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Katherine\Desktop\"/>
    </mc:Choice>
  </mc:AlternateContent>
  <xr:revisionPtr revIDLastSave="2" documentId="11_E81765BE4EFD6DA232F33D98B3CC677DB044244A" xr6:coauthVersionLast="47" xr6:coauthVersionMax="47" xr10:uidLastSave="{D5C78FF4-6908-4FE4-AAEC-EEB00FD55165}"/>
  <bookViews>
    <workbookView xWindow="0" yWindow="0" windowWidth="12180" windowHeight="5948" tabRatio="887" firstSheet="9" activeTab="66" xr2:uid="{00000000-000D-0000-FFFF-FFFF00000000}"/>
  </bookViews>
  <sheets>
    <sheet name="Acadia" sheetId="52" r:id="rId1"/>
    <sheet name="Sheet3" sheetId="17" state="hidden" r:id="rId2"/>
    <sheet name="Allen" sheetId="53" r:id="rId3"/>
    <sheet name="Ascension" sheetId="54" r:id="rId4"/>
    <sheet name="Assumption" sheetId="55" r:id="rId5"/>
    <sheet name="Avoyelles" sheetId="56" r:id="rId6"/>
    <sheet name="Beauregard" sheetId="116" r:id="rId7"/>
    <sheet name="Bienville" sheetId="57" r:id="rId8"/>
    <sheet name="Bossier" sheetId="58" r:id="rId9"/>
    <sheet name="Caddo" sheetId="59" r:id="rId10"/>
    <sheet name="Calcasieu" sheetId="60" r:id="rId11"/>
    <sheet name="Caldwell" sheetId="61" r:id="rId12"/>
    <sheet name="Cameron" sheetId="62" r:id="rId13"/>
    <sheet name="Catahoula" sheetId="78" r:id="rId14"/>
    <sheet name="Claiborne" sheetId="63" r:id="rId15"/>
    <sheet name="Concordia" sheetId="118" r:id="rId16"/>
    <sheet name="Desoto" sheetId="65" r:id="rId17"/>
    <sheet name="East Baton Rouge" sheetId="79" r:id="rId18"/>
    <sheet name="East Carroll" sheetId="80" r:id="rId19"/>
    <sheet name="East Feliciana" sheetId="119" r:id="rId20"/>
    <sheet name="Evangeline" sheetId="66" r:id="rId21"/>
    <sheet name="Franklin" sheetId="67" r:id="rId22"/>
    <sheet name="Grant" sheetId="68" r:id="rId23"/>
    <sheet name="Iberia" sheetId="114" r:id="rId24"/>
    <sheet name="Iberville" sheetId="69" r:id="rId25"/>
    <sheet name="Jackson" sheetId="70" r:id="rId26"/>
    <sheet name="Jefferson" sheetId="71" r:id="rId27"/>
    <sheet name="Jefferson Davis" sheetId="82" r:id="rId28"/>
    <sheet name="Lafayette" sheetId="72" r:id="rId29"/>
    <sheet name="Lafourche" sheetId="73" r:id="rId30"/>
    <sheet name="LaSalle" sheetId="74" r:id="rId31"/>
    <sheet name="Lincoln" sheetId="83" r:id="rId32"/>
    <sheet name="Livingston" sheetId="84" r:id="rId33"/>
    <sheet name="Madison" sheetId="85" r:id="rId34"/>
    <sheet name="Morehouse" sheetId="86" r:id="rId35"/>
    <sheet name="Natchitoches" sheetId="87" r:id="rId36"/>
    <sheet name="Orleans" sheetId="88" r:id="rId37"/>
    <sheet name="Ouachita" sheetId="117" r:id="rId38"/>
    <sheet name="Plaquemines" sheetId="90" r:id="rId39"/>
    <sheet name="Pointe Coupee" sheetId="91" r:id="rId40"/>
    <sheet name="Rapides" sheetId="92" r:id="rId41"/>
    <sheet name="Red River" sheetId="93" r:id="rId42"/>
    <sheet name="Richland" sheetId="115" r:id="rId43"/>
    <sheet name="Sabine" sheetId="94" r:id="rId44"/>
    <sheet name="St. Bernard" sheetId="100" r:id="rId45"/>
    <sheet name="St. Charles" sheetId="95" r:id="rId46"/>
    <sheet name="St. Helena" sheetId="101" r:id="rId47"/>
    <sheet name="St. James" sheetId="96" r:id="rId48"/>
    <sheet name="St. John the Baptist" sheetId="102" r:id="rId49"/>
    <sheet name="St. Landry" sheetId="97" r:id="rId50"/>
    <sheet name="St. Martin" sheetId="103" r:id="rId51"/>
    <sheet name="St. Mary" sheetId="98" r:id="rId52"/>
    <sheet name="St. Tammany" sheetId="99" r:id="rId53"/>
    <sheet name="Tangipahoa" sheetId="104" r:id="rId54"/>
    <sheet name="Tensas" sheetId="105" r:id="rId55"/>
    <sheet name="Terrebonne" sheetId="106" r:id="rId56"/>
    <sheet name="Union" sheetId="107" r:id="rId57"/>
    <sheet name="Vermillion" sheetId="108" r:id="rId58"/>
    <sheet name="Vernon" sheetId="109" r:id="rId59"/>
    <sheet name="Washington" sheetId="110" r:id="rId60"/>
    <sheet name="Webster" sheetId="111" r:id="rId61"/>
    <sheet name="West Baton Rouge" sheetId="112" r:id="rId62"/>
    <sheet name="West Carroll" sheetId="113" r:id="rId63"/>
    <sheet name="West Feliciana" sheetId="120" r:id="rId64"/>
    <sheet name="Winn" sheetId="75" r:id="rId65"/>
    <sheet name="Governmental Cross Sectional" sheetId="3" r:id="rId66"/>
    <sheet name="Business-type Cross Sectional" sheetId="121" r:id="rId6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4" i="3" l="1"/>
  <c r="H14" i="3"/>
  <c r="M14" i="3"/>
  <c r="F14" i="3"/>
  <c r="D14" i="3"/>
  <c r="C14" i="3"/>
  <c r="N14" i="3" l="1"/>
  <c r="C69" i="121" l="1"/>
  <c r="F61" i="121"/>
  <c r="D61" i="121"/>
  <c r="C61" i="121"/>
  <c r="C58" i="121"/>
  <c r="J57" i="121"/>
  <c r="H57" i="121"/>
  <c r="D57" i="121"/>
  <c r="J56" i="121"/>
  <c r="J54" i="121"/>
  <c r="D54" i="121"/>
  <c r="C54" i="121"/>
  <c r="J53" i="121"/>
  <c r="C53" i="121"/>
  <c r="D51" i="121"/>
  <c r="C51" i="121"/>
  <c r="K51" i="121" s="1"/>
  <c r="I50" i="121"/>
  <c r="C50" i="121"/>
  <c r="C47" i="121"/>
  <c r="F45" i="121"/>
  <c r="D45" i="121"/>
  <c r="C45" i="121"/>
  <c r="J44" i="121"/>
  <c r="C44" i="121"/>
  <c r="C43" i="121"/>
  <c r="C38" i="121"/>
  <c r="K38" i="121" s="1"/>
  <c r="M35" i="121"/>
  <c r="C35" i="121"/>
  <c r="J34" i="121"/>
  <c r="D34" i="121"/>
  <c r="C34" i="121"/>
  <c r="C32" i="121"/>
  <c r="C30" i="121"/>
  <c r="C28" i="121"/>
  <c r="J26" i="121"/>
  <c r="C26" i="121"/>
  <c r="D24" i="121"/>
  <c r="J23" i="121"/>
  <c r="F23" i="121"/>
  <c r="E23" i="121"/>
  <c r="D23" i="121"/>
  <c r="C23" i="121"/>
  <c r="M22" i="121"/>
  <c r="C22" i="121"/>
  <c r="C16" i="121"/>
  <c r="C14" i="121"/>
  <c r="F9" i="121"/>
  <c r="D9" i="121"/>
  <c r="C9" i="121"/>
  <c r="AE70" i="3"/>
  <c r="AD70" i="3"/>
  <c r="AC70" i="3"/>
  <c r="AB70" i="3"/>
  <c r="AA70" i="3"/>
  <c r="Z70" i="3"/>
  <c r="W70" i="3"/>
  <c r="V70" i="3"/>
  <c r="U70" i="3"/>
  <c r="T70" i="3"/>
  <c r="Y70" i="3" s="1"/>
  <c r="M70" i="3"/>
  <c r="K70" i="3"/>
  <c r="J70" i="3"/>
  <c r="N70" i="3" s="1"/>
  <c r="D70" i="3"/>
  <c r="C70" i="3"/>
  <c r="AF69" i="3"/>
  <c r="AE69" i="3"/>
  <c r="AD69" i="3"/>
  <c r="AB69" i="3"/>
  <c r="AC69" i="3"/>
  <c r="AA69" i="3"/>
  <c r="Z69" i="3"/>
  <c r="S69" i="3"/>
  <c r="M69" i="3"/>
  <c r="L69" i="3"/>
  <c r="N69" i="3" s="1"/>
  <c r="F69" i="3"/>
  <c r="D69" i="3"/>
  <c r="C69" i="3"/>
  <c r="AD68" i="3"/>
  <c r="AC68" i="3"/>
  <c r="AB68" i="3"/>
  <c r="AA68" i="3"/>
  <c r="Z68" i="3"/>
  <c r="S68" i="3"/>
  <c r="Y68" i="3" s="1"/>
  <c r="M68" i="3"/>
  <c r="I68" i="3"/>
  <c r="N68" i="3" s="1"/>
  <c r="D68" i="3"/>
  <c r="C68" i="3"/>
  <c r="AF67" i="3"/>
  <c r="AE67" i="3"/>
  <c r="AD67" i="3"/>
  <c r="AC67" i="3"/>
  <c r="AB67" i="3"/>
  <c r="AA67" i="3"/>
  <c r="Z67" i="3"/>
  <c r="S67" i="3"/>
  <c r="I66" i="3"/>
  <c r="M66" i="3"/>
  <c r="M67" i="3"/>
  <c r="N67" i="3" s="1"/>
  <c r="F67" i="3"/>
  <c r="D67" i="3"/>
  <c r="C67" i="3"/>
  <c r="AE66" i="3"/>
  <c r="AD66" i="3"/>
  <c r="AC66" i="3"/>
  <c r="AB66" i="3"/>
  <c r="AA66" i="3"/>
  <c r="Z66" i="3"/>
  <c r="AG66" i="3" s="1"/>
  <c r="X66" i="3"/>
  <c r="W66" i="3"/>
  <c r="V66" i="3"/>
  <c r="U66" i="3"/>
  <c r="T66" i="3"/>
  <c r="H66" i="3"/>
  <c r="N66" i="3" s="1"/>
  <c r="F66" i="3"/>
  <c r="D66" i="3"/>
  <c r="C66" i="3"/>
  <c r="AF65" i="3"/>
  <c r="AE65" i="3"/>
  <c r="AD65" i="3"/>
  <c r="AC65" i="3"/>
  <c r="AA65" i="3"/>
  <c r="Z65" i="3"/>
  <c r="S65" i="3"/>
  <c r="M65" i="3"/>
  <c r="H65" i="3"/>
  <c r="N65" i="3" s="1"/>
  <c r="F65" i="3"/>
  <c r="D65" i="3"/>
  <c r="C65" i="3"/>
  <c r="J64" i="3"/>
  <c r="C64" i="3"/>
  <c r="M34" i="109"/>
  <c r="M64" i="3"/>
  <c r="D64" i="3"/>
  <c r="K64" i="3"/>
  <c r="AE64" i="3"/>
  <c r="AD64" i="3"/>
  <c r="AC64" i="3"/>
  <c r="AB64" i="3"/>
  <c r="AA64" i="3"/>
  <c r="Z64" i="3"/>
  <c r="X64" i="3"/>
  <c r="W64" i="3"/>
  <c r="V64" i="3"/>
  <c r="U64" i="3"/>
  <c r="T64" i="3"/>
  <c r="AF63" i="3"/>
  <c r="AE63" i="3"/>
  <c r="AD63" i="3"/>
  <c r="AC63" i="3"/>
  <c r="AB63" i="3"/>
  <c r="Z63" i="3"/>
  <c r="AA63" i="3"/>
  <c r="S63" i="3"/>
  <c r="Y63" i="3" s="1"/>
  <c r="M63" i="3"/>
  <c r="L63" i="3"/>
  <c r="I63" i="3"/>
  <c r="H63" i="3"/>
  <c r="N63" i="3" s="1"/>
  <c r="F63" i="3"/>
  <c r="D63" i="3"/>
  <c r="C63" i="3"/>
  <c r="AF62" i="3"/>
  <c r="AE62" i="3"/>
  <c r="AD62" i="3"/>
  <c r="AC62" i="3"/>
  <c r="AB62" i="3"/>
  <c r="AA62" i="3"/>
  <c r="Z62" i="3"/>
  <c r="S62" i="3"/>
  <c r="M62" i="3"/>
  <c r="L62" i="3"/>
  <c r="I62" i="3"/>
  <c r="N62" i="3" s="1"/>
  <c r="F62" i="3"/>
  <c r="D62" i="3"/>
  <c r="C62" i="3"/>
  <c r="AF61" i="3"/>
  <c r="AE61" i="3"/>
  <c r="AD61" i="3"/>
  <c r="AC61" i="3"/>
  <c r="AB61" i="3"/>
  <c r="AA61" i="3"/>
  <c r="Z61" i="3"/>
  <c r="AG61" i="3" s="1"/>
  <c r="S61" i="3"/>
  <c r="M61" i="3"/>
  <c r="L61" i="3"/>
  <c r="I61" i="3"/>
  <c r="N61" i="3" s="1"/>
  <c r="D61" i="3"/>
  <c r="C61" i="3"/>
  <c r="AE60" i="3"/>
  <c r="AD60" i="3"/>
  <c r="AC60" i="3"/>
  <c r="AB60" i="3"/>
  <c r="AA60" i="3"/>
  <c r="Z60" i="3"/>
  <c r="X60" i="3"/>
  <c r="W60" i="3"/>
  <c r="V60" i="3"/>
  <c r="U60" i="3"/>
  <c r="T60" i="3"/>
  <c r="H60" i="3"/>
  <c r="M60" i="3"/>
  <c r="F60" i="3"/>
  <c r="D60" i="3"/>
  <c r="C60" i="3"/>
  <c r="AE59" i="3"/>
  <c r="AD59" i="3"/>
  <c r="AC59" i="3"/>
  <c r="AA59" i="3"/>
  <c r="Z59" i="3"/>
  <c r="S59" i="3"/>
  <c r="H59" i="3"/>
  <c r="M59" i="3"/>
  <c r="L59" i="3"/>
  <c r="F59" i="3"/>
  <c r="D59" i="3"/>
  <c r="C59" i="3"/>
  <c r="AF58" i="3"/>
  <c r="AE58" i="3"/>
  <c r="AD58" i="3"/>
  <c r="AC58" i="3"/>
  <c r="AB58" i="3"/>
  <c r="AA58" i="3"/>
  <c r="Z58" i="3"/>
  <c r="S58" i="3"/>
  <c r="Y58" i="3" s="1"/>
  <c r="M58" i="3"/>
  <c r="L58" i="3"/>
  <c r="H58" i="3"/>
  <c r="N58" i="3" s="1"/>
  <c r="F58" i="3"/>
  <c r="D58" i="3"/>
  <c r="C58" i="3"/>
  <c r="AF57" i="3"/>
  <c r="AE57" i="3"/>
  <c r="AD57" i="3"/>
  <c r="AC57" i="3"/>
  <c r="AB57" i="3"/>
  <c r="AA57" i="3"/>
  <c r="Z57" i="3"/>
  <c r="S57" i="3"/>
  <c r="Y57" i="3" s="1"/>
  <c r="L57" i="3"/>
  <c r="H57" i="3"/>
  <c r="M57" i="3"/>
  <c r="F57" i="3"/>
  <c r="D57" i="3"/>
  <c r="C57" i="3"/>
  <c r="AE56" i="3"/>
  <c r="AD56" i="3"/>
  <c r="AC56" i="3"/>
  <c r="AB56" i="3"/>
  <c r="AA56" i="3"/>
  <c r="Z56" i="3"/>
  <c r="S56" i="3"/>
  <c r="M56" i="3"/>
  <c r="L56" i="3"/>
  <c r="H56" i="3"/>
  <c r="N56" i="3" s="1"/>
  <c r="F56" i="3"/>
  <c r="D56" i="3"/>
  <c r="C56" i="3"/>
  <c r="AE55" i="3"/>
  <c r="AC55" i="3"/>
  <c r="AA55" i="3"/>
  <c r="Z55" i="3"/>
  <c r="S55" i="3"/>
  <c r="M55" i="3"/>
  <c r="J55" i="3"/>
  <c r="N55" i="3" s="1"/>
  <c r="F55" i="3"/>
  <c r="D55" i="3"/>
  <c r="C55" i="3"/>
  <c r="AE54" i="3"/>
  <c r="AD54" i="3"/>
  <c r="AC54" i="3"/>
  <c r="AB54" i="3"/>
  <c r="AA54" i="3"/>
  <c r="Z54" i="3"/>
  <c r="S54" i="3"/>
  <c r="L54" i="3"/>
  <c r="M54" i="3"/>
  <c r="I54" i="3"/>
  <c r="H54" i="3"/>
  <c r="N54" i="3" s="1"/>
  <c r="F54" i="3"/>
  <c r="D54" i="3"/>
  <c r="C54" i="3"/>
  <c r="AF53" i="3"/>
  <c r="AE53" i="3"/>
  <c r="AD53" i="3"/>
  <c r="AC53" i="3"/>
  <c r="AB53" i="3"/>
  <c r="AA53" i="3"/>
  <c r="Z53" i="3"/>
  <c r="S53" i="3"/>
  <c r="M53" i="3"/>
  <c r="L53" i="3"/>
  <c r="I53" i="3"/>
  <c r="N53" i="3" s="1"/>
  <c r="F53" i="3"/>
  <c r="D53" i="3"/>
  <c r="C53" i="3"/>
  <c r="M52" i="3"/>
  <c r="H52" i="3"/>
  <c r="N52" i="3" s="1"/>
  <c r="F52" i="3"/>
  <c r="D52" i="3"/>
  <c r="C52" i="3"/>
  <c r="G52" i="3" s="1"/>
  <c r="AE51" i="3"/>
  <c r="AD51" i="3"/>
  <c r="AB51" i="3"/>
  <c r="AC51" i="3"/>
  <c r="AA51" i="3"/>
  <c r="Z51" i="3"/>
  <c r="S51" i="3"/>
  <c r="Y51" i="3" s="1"/>
  <c r="M51" i="3"/>
  <c r="L51" i="3"/>
  <c r="N51" i="3" s="1"/>
  <c r="F51" i="3"/>
  <c r="D51" i="3"/>
  <c r="C51" i="3"/>
  <c r="AE50" i="3"/>
  <c r="AD50" i="3"/>
  <c r="AC50" i="3"/>
  <c r="AA50" i="3"/>
  <c r="Z50" i="3"/>
  <c r="X50" i="3"/>
  <c r="U50" i="3"/>
  <c r="M50" i="3"/>
  <c r="N50" i="3" s="1"/>
  <c r="F50" i="3"/>
  <c r="D50" i="3"/>
  <c r="C50" i="3"/>
  <c r="AE49" i="3"/>
  <c r="AC49" i="3"/>
  <c r="AB49" i="3"/>
  <c r="AA49" i="3"/>
  <c r="Z49" i="3"/>
  <c r="X49" i="3"/>
  <c r="W49" i="3"/>
  <c r="V49" i="3"/>
  <c r="U49" i="3"/>
  <c r="T49" i="3"/>
  <c r="M49" i="3"/>
  <c r="J49" i="3"/>
  <c r="N49" i="3" s="1"/>
  <c r="D49" i="3"/>
  <c r="C49" i="3"/>
  <c r="AE48" i="3"/>
  <c r="AD48" i="3"/>
  <c r="AC48" i="3"/>
  <c r="AB48" i="3"/>
  <c r="AA48" i="3"/>
  <c r="Z48" i="3"/>
  <c r="X48" i="3"/>
  <c r="W48" i="3"/>
  <c r="V48" i="3"/>
  <c r="U48" i="3"/>
  <c r="T48" i="3"/>
  <c r="M48" i="3"/>
  <c r="H48" i="3"/>
  <c r="N48" i="3" s="1"/>
  <c r="C48" i="3"/>
  <c r="AD47" i="3"/>
  <c r="AC47" i="3"/>
  <c r="AA47" i="3"/>
  <c r="Z47" i="3"/>
  <c r="AG47" i="3" s="1"/>
  <c r="S47" i="3"/>
  <c r="M47" i="3"/>
  <c r="L47" i="3"/>
  <c r="H47" i="3"/>
  <c r="N47" i="3" s="1"/>
  <c r="F47" i="3"/>
  <c r="D47" i="3"/>
  <c r="C47" i="3"/>
  <c r="AE46" i="3"/>
  <c r="AD46" i="3"/>
  <c r="AC46" i="3"/>
  <c r="AB46" i="3"/>
  <c r="AA46" i="3"/>
  <c r="Z46" i="3"/>
  <c r="X46" i="3"/>
  <c r="W46" i="3"/>
  <c r="V46" i="3"/>
  <c r="U46" i="3"/>
  <c r="T46" i="3"/>
  <c r="Y46" i="3" s="1"/>
  <c r="M46" i="3"/>
  <c r="K46" i="3"/>
  <c r="J46" i="3"/>
  <c r="F46" i="3"/>
  <c r="D46" i="3"/>
  <c r="C46" i="3"/>
  <c r="AF45" i="3"/>
  <c r="AE45" i="3"/>
  <c r="AD45" i="3"/>
  <c r="AC45" i="3"/>
  <c r="AB45" i="3"/>
  <c r="AA45" i="3"/>
  <c r="Z45" i="3"/>
  <c r="S45" i="3"/>
  <c r="Y45" i="3" s="1"/>
  <c r="L45" i="3"/>
  <c r="I45" i="3"/>
  <c r="M45" i="3"/>
  <c r="F45" i="3"/>
  <c r="D45" i="3"/>
  <c r="C45" i="3"/>
  <c r="AF44" i="3"/>
  <c r="AE44" i="3"/>
  <c r="AD44" i="3"/>
  <c r="AC44" i="3"/>
  <c r="AB44" i="3"/>
  <c r="AA44" i="3"/>
  <c r="Z44" i="3"/>
  <c r="X44" i="3"/>
  <c r="W44" i="3"/>
  <c r="V44" i="3"/>
  <c r="U44" i="3"/>
  <c r="T44" i="3"/>
  <c r="Y44" i="3" s="1"/>
  <c r="L44" i="3"/>
  <c r="M44" i="3"/>
  <c r="K44" i="3"/>
  <c r="J44" i="3"/>
  <c r="N44" i="3" s="1"/>
  <c r="D44" i="3"/>
  <c r="C44" i="3"/>
  <c r="AD43" i="3"/>
  <c r="AC43" i="3"/>
  <c r="AB43" i="3"/>
  <c r="AA43" i="3"/>
  <c r="Z43" i="3"/>
  <c r="X43" i="3"/>
  <c r="W43" i="3"/>
  <c r="V43" i="3"/>
  <c r="U43" i="3"/>
  <c r="T43" i="3"/>
  <c r="M43" i="3"/>
  <c r="I43" i="3"/>
  <c r="N43" i="3" s="1"/>
  <c r="F43" i="3"/>
  <c r="D43" i="3"/>
  <c r="C43" i="3"/>
  <c r="AF42" i="3"/>
  <c r="AE42" i="3"/>
  <c r="AD42" i="3"/>
  <c r="AC42" i="3"/>
  <c r="AB42" i="3"/>
  <c r="AA42" i="3"/>
  <c r="Z42" i="3"/>
  <c r="AG42" i="3" s="1"/>
  <c r="S42" i="3"/>
  <c r="M42" i="3"/>
  <c r="I42" i="3"/>
  <c r="N42" i="3" s="1"/>
  <c r="F42" i="3"/>
  <c r="D42" i="3"/>
  <c r="C42" i="3"/>
  <c r="AD41" i="3"/>
  <c r="AC41" i="3"/>
  <c r="AB41" i="3"/>
  <c r="AA41" i="3"/>
  <c r="Z41" i="3"/>
  <c r="S41" i="3"/>
  <c r="M41" i="3"/>
  <c r="N41" i="3" s="1"/>
  <c r="D41" i="3"/>
  <c r="C41" i="3"/>
  <c r="AF40" i="3"/>
  <c r="AE40" i="3"/>
  <c r="AC40" i="3"/>
  <c r="AB40" i="3"/>
  <c r="AA40" i="3"/>
  <c r="Z40" i="3"/>
  <c r="X40" i="3"/>
  <c r="W40" i="3"/>
  <c r="V40" i="3"/>
  <c r="U40" i="3"/>
  <c r="T40" i="3"/>
  <c r="M40" i="3"/>
  <c r="H40" i="3"/>
  <c r="N40" i="3" s="1"/>
  <c r="C40" i="3"/>
  <c r="AF39" i="3"/>
  <c r="AE39" i="3"/>
  <c r="AD39" i="3"/>
  <c r="AC39" i="3"/>
  <c r="AB39" i="3"/>
  <c r="AA39" i="3"/>
  <c r="Z39" i="3"/>
  <c r="X39" i="3"/>
  <c r="W39" i="3"/>
  <c r="V39" i="3"/>
  <c r="U39" i="3"/>
  <c r="T39" i="3"/>
  <c r="M39" i="3"/>
  <c r="H39" i="3"/>
  <c r="N39" i="3" s="1"/>
  <c r="F39" i="3"/>
  <c r="D39" i="3"/>
  <c r="C39" i="3"/>
  <c r="AE38" i="3"/>
  <c r="AD38" i="3"/>
  <c r="AC38" i="3"/>
  <c r="AB38" i="3"/>
  <c r="AA38" i="3"/>
  <c r="Z38" i="3"/>
  <c r="S38" i="3"/>
  <c r="M38" i="3"/>
  <c r="L38" i="3"/>
  <c r="F38" i="3"/>
  <c r="D38" i="3"/>
  <c r="C38" i="3"/>
  <c r="AE37" i="3"/>
  <c r="AD37" i="3"/>
  <c r="AC37" i="3"/>
  <c r="AB37" i="3"/>
  <c r="AA37" i="3"/>
  <c r="Z37" i="3"/>
  <c r="S37" i="3"/>
  <c r="M37" i="3"/>
  <c r="L37" i="3"/>
  <c r="H37" i="3"/>
  <c r="N37" i="3" s="1"/>
  <c r="F37" i="3"/>
  <c r="D37" i="3"/>
  <c r="C37" i="3"/>
  <c r="AF36" i="3"/>
  <c r="AD36" i="3"/>
  <c r="AC36" i="3"/>
  <c r="AB36" i="3"/>
  <c r="AA36" i="3"/>
  <c r="Z36" i="3"/>
  <c r="S36" i="3"/>
  <c r="M36" i="3"/>
  <c r="I36" i="3"/>
  <c r="H36" i="3"/>
  <c r="N36" i="3" s="1"/>
  <c r="F36" i="3"/>
  <c r="C36" i="3"/>
  <c r="AE35" i="3"/>
  <c r="AD35" i="3"/>
  <c r="AC35" i="3"/>
  <c r="AA35" i="3"/>
  <c r="Z35" i="3"/>
  <c r="S35" i="3"/>
  <c r="M35" i="3"/>
  <c r="I35" i="3"/>
  <c r="N35" i="3" s="1"/>
  <c r="F35" i="3"/>
  <c r="D35" i="3"/>
  <c r="C35" i="3"/>
  <c r="AF34" i="3"/>
  <c r="AE34" i="3"/>
  <c r="AD34" i="3"/>
  <c r="AC34" i="3"/>
  <c r="AB34" i="3"/>
  <c r="AA34" i="3"/>
  <c r="Z34" i="3"/>
  <c r="S34" i="3"/>
  <c r="M34" i="3"/>
  <c r="L34" i="3"/>
  <c r="I34" i="3"/>
  <c r="N34" i="3" s="1"/>
  <c r="F34" i="3"/>
  <c r="D34" i="3"/>
  <c r="C34" i="3"/>
  <c r="AE33" i="3"/>
  <c r="AD33" i="3"/>
  <c r="AC33" i="3"/>
  <c r="AB33" i="3"/>
  <c r="AA33" i="3"/>
  <c r="Z33" i="3"/>
  <c r="AG33" i="3" s="1"/>
  <c r="S33" i="3"/>
  <c r="M33" i="3"/>
  <c r="I33" i="3"/>
  <c r="H33" i="3"/>
  <c r="N33" i="3" s="1"/>
  <c r="F33" i="3"/>
  <c r="D33" i="3"/>
  <c r="C33" i="3"/>
  <c r="AF32" i="3"/>
  <c r="AE32" i="3"/>
  <c r="AD32" i="3"/>
  <c r="AC32" i="3"/>
  <c r="AA32" i="3"/>
  <c r="Z32" i="3"/>
  <c r="S32" i="3"/>
  <c r="Y32" i="3" s="1"/>
  <c r="L32" i="3"/>
  <c r="M32" i="3"/>
  <c r="F32" i="3"/>
  <c r="D32" i="3"/>
  <c r="C32" i="3"/>
  <c r="AD31" i="3"/>
  <c r="AC31" i="3"/>
  <c r="AA31" i="3"/>
  <c r="Z31" i="3"/>
  <c r="X31" i="3"/>
  <c r="W31" i="3"/>
  <c r="V31" i="3"/>
  <c r="U31" i="3"/>
  <c r="T31" i="3"/>
  <c r="AE30" i="3"/>
  <c r="AD30" i="3"/>
  <c r="AC30" i="3"/>
  <c r="AB30" i="3"/>
  <c r="AA30" i="3"/>
  <c r="Z30" i="3"/>
  <c r="S30" i="3"/>
  <c r="F31" i="3"/>
  <c r="M31" i="3"/>
  <c r="H31" i="3"/>
  <c r="N31" i="3" s="1"/>
  <c r="D31" i="3"/>
  <c r="C31" i="3"/>
  <c r="M30" i="3"/>
  <c r="I30" i="3"/>
  <c r="N30" i="3" s="1"/>
  <c r="F30" i="3"/>
  <c r="D30" i="3"/>
  <c r="C30" i="3"/>
  <c r="AF29" i="3"/>
  <c r="AE29" i="3"/>
  <c r="AD29" i="3"/>
  <c r="AC29" i="3"/>
  <c r="AB29" i="3"/>
  <c r="AA29" i="3"/>
  <c r="Z29" i="3"/>
  <c r="AG29" i="3" s="1"/>
  <c r="S29" i="3"/>
  <c r="M29" i="3"/>
  <c r="H29" i="3"/>
  <c r="N29" i="3" s="1"/>
  <c r="F29" i="3"/>
  <c r="D29" i="3"/>
  <c r="C29" i="3"/>
  <c r="AD28" i="3"/>
  <c r="AC28" i="3"/>
  <c r="AB28" i="3"/>
  <c r="AA28" i="3"/>
  <c r="Z28" i="3"/>
  <c r="X28" i="3"/>
  <c r="W28" i="3"/>
  <c r="U28" i="3"/>
  <c r="T28" i="3"/>
  <c r="M28" i="3"/>
  <c r="L28" i="3"/>
  <c r="H28" i="3"/>
  <c r="N28" i="3" s="1"/>
  <c r="F28" i="3"/>
  <c r="D28" i="3"/>
  <c r="C28" i="3"/>
  <c r="G28" i="3" s="1"/>
  <c r="AD27" i="3"/>
  <c r="AB27" i="3"/>
  <c r="AC27" i="3"/>
  <c r="AA27" i="3"/>
  <c r="Z27" i="3"/>
  <c r="S27" i="3"/>
  <c r="M27" i="3"/>
  <c r="I27" i="3"/>
  <c r="H27" i="3"/>
  <c r="N27" i="3" s="1"/>
  <c r="F27" i="3"/>
  <c r="D27" i="3"/>
  <c r="C27" i="3"/>
  <c r="AB26" i="3"/>
  <c r="AE26" i="3"/>
  <c r="AD26" i="3"/>
  <c r="AC26" i="3"/>
  <c r="AA26" i="3"/>
  <c r="Z26" i="3"/>
  <c r="S26" i="3"/>
  <c r="Y26" i="3" s="1"/>
  <c r="M26" i="3"/>
  <c r="L26" i="3"/>
  <c r="H26" i="3"/>
  <c r="I26" i="3"/>
  <c r="D26" i="3"/>
  <c r="C26" i="3"/>
  <c r="AD25" i="3"/>
  <c r="AC25" i="3"/>
  <c r="AB25" i="3"/>
  <c r="AA25" i="3"/>
  <c r="Z25" i="3"/>
  <c r="AG25" i="3" s="1"/>
  <c r="S25" i="3"/>
  <c r="M25" i="3"/>
  <c r="H25" i="3"/>
  <c r="F25" i="3"/>
  <c r="D25" i="3"/>
  <c r="C25" i="3"/>
  <c r="AE24" i="3"/>
  <c r="AD24" i="3"/>
  <c r="AC24" i="3"/>
  <c r="AB24" i="3"/>
  <c r="AA24" i="3"/>
  <c r="Z24" i="3"/>
  <c r="X24" i="3"/>
  <c r="W24" i="3"/>
  <c r="V24" i="3"/>
  <c r="U24" i="3"/>
  <c r="T24" i="3"/>
  <c r="M24" i="3"/>
  <c r="I24" i="3"/>
  <c r="H24" i="3"/>
  <c r="N24" i="3" s="1"/>
  <c r="F24" i="3"/>
  <c r="D24" i="3"/>
  <c r="C24" i="3"/>
  <c r="AF23" i="3"/>
  <c r="AE23" i="3"/>
  <c r="AD23" i="3"/>
  <c r="AC23" i="3"/>
  <c r="AA23" i="3"/>
  <c r="Z23" i="3"/>
  <c r="S23" i="3"/>
  <c r="L23" i="3"/>
  <c r="I23" i="3"/>
  <c r="M23" i="3"/>
  <c r="F23" i="3"/>
  <c r="D23" i="3"/>
  <c r="C23" i="3"/>
  <c r="AF22" i="3"/>
  <c r="AE22" i="3"/>
  <c r="AD22" i="3"/>
  <c r="AC22" i="3"/>
  <c r="AB22" i="3"/>
  <c r="AA22" i="3"/>
  <c r="Z22" i="3"/>
  <c r="X22" i="3"/>
  <c r="W22" i="3"/>
  <c r="V22" i="3"/>
  <c r="U22" i="3"/>
  <c r="T22" i="3"/>
  <c r="L22" i="3"/>
  <c r="M22" i="3"/>
  <c r="H22" i="3"/>
  <c r="N22" i="3" s="1"/>
  <c r="F22" i="3"/>
  <c r="D22" i="3"/>
  <c r="C22" i="3"/>
  <c r="AE21" i="3"/>
  <c r="AD21" i="3"/>
  <c r="AC21" i="3"/>
  <c r="AB21" i="3"/>
  <c r="AA21" i="3"/>
  <c r="Z21" i="3"/>
  <c r="AG21" i="3" s="1"/>
  <c r="X21" i="3"/>
  <c r="W21" i="3"/>
  <c r="V21" i="3"/>
  <c r="U21" i="3"/>
  <c r="T21" i="3"/>
  <c r="M21" i="3"/>
  <c r="H21" i="3"/>
  <c r="N21" i="3" s="1"/>
  <c r="F21" i="3"/>
  <c r="D21" i="3"/>
  <c r="C21" i="3"/>
  <c r="AF20" i="3"/>
  <c r="AE20" i="3"/>
  <c r="AD20" i="3"/>
  <c r="AC20" i="3"/>
  <c r="AB20" i="3"/>
  <c r="AA20" i="3"/>
  <c r="Z20" i="3"/>
  <c r="S20" i="3"/>
  <c r="M20" i="3"/>
  <c r="I20" i="3"/>
  <c r="N20" i="3" s="1"/>
  <c r="F20" i="3"/>
  <c r="D20" i="3"/>
  <c r="C20" i="3"/>
  <c r="AE19" i="3"/>
  <c r="AD19" i="3"/>
  <c r="AC19" i="3"/>
  <c r="AB19" i="3"/>
  <c r="AA19" i="3"/>
  <c r="Z19" i="3"/>
  <c r="S19" i="3"/>
  <c r="M19" i="3"/>
  <c r="I19" i="3"/>
  <c r="N19" i="3" s="1"/>
  <c r="F19" i="3"/>
  <c r="D19" i="3"/>
  <c r="C19" i="3"/>
  <c r="AE18" i="3"/>
  <c r="AD18" i="3"/>
  <c r="AC18" i="3"/>
  <c r="AB18" i="3"/>
  <c r="AA18" i="3"/>
  <c r="Z18" i="3"/>
  <c r="X18" i="3"/>
  <c r="W18" i="3"/>
  <c r="V18" i="3"/>
  <c r="U18" i="3"/>
  <c r="T18" i="3"/>
  <c r="M18" i="3"/>
  <c r="H18" i="3"/>
  <c r="J18" i="3"/>
  <c r="F18" i="3"/>
  <c r="C18" i="3"/>
  <c r="AD17" i="3"/>
  <c r="AC17" i="3"/>
  <c r="AB17" i="3"/>
  <c r="AA17" i="3"/>
  <c r="Z17" i="3"/>
  <c r="AG17" i="3" s="1"/>
  <c r="S17" i="3"/>
  <c r="M17" i="3"/>
  <c r="N17" i="3" s="1"/>
  <c r="F17" i="3"/>
  <c r="D17" i="3"/>
  <c r="C17" i="3"/>
  <c r="S16" i="3"/>
  <c r="Z16" i="3"/>
  <c r="AA16" i="3"/>
  <c r="AB16" i="3"/>
  <c r="AC16" i="3"/>
  <c r="AD16" i="3"/>
  <c r="AF16" i="3"/>
  <c r="L16" i="3"/>
  <c r="M16" i="3"/>
  <c r="I16" i="3"/>
  <c r="N16" i="3" s="1"/>
  <c r="D16" i="3"/>
  <c r="C16" i="3"/>
  <c r="AB15" i="3"/>
  <c r="AC15" i="3"/>
  <c r="AD15" i="3"/>
  <c r="AE15" i="3"/>
  <c r="AF15" i="3"/>
  <c r="AA15" i="3"/>
  <c r="S15" i="3"/>
  <c r="Y15" i="3" s="1"/>
  <c r="M15" i="3"/>
  <c r="I15" i="3"/>
  <c r="N15" i="3" s="1"/>
  <c r="D15" i="3"/>
  <c r="C15" i="3"/>
  <c r="AE13" i="3"/>
  <c r="AB13" i="3"/>
  <c r="AF13" i="3"/>
  <c r="AC13" i="3"/>
  <c r="AA13" i="3"/>
  <c r="Z13" i="3"/>
  <c r="AG13" i="3" s="1"/>
  <c r="S13" i="3"/>
  <c r="C12" i="3"/>
  <c r="D12" i="3"/>
  <c r="F12" i="3"/>
  <c r="G12" i="3" s="1"/>
  <c r="M12" i="3"/>
  <c r="M13" i="3"/>
  <c r="I13" i="3"/>
  <c r="N13" i="3" s="1"/>
  <c r="F13" i="3"/>
  <c r="D13" i="3"/>
  <c r="C13" i="3"/>
  <c r="AF12" i="3"/>
  <c r="AE12" i="3"/>
  <c r="AD12" i="3"/>
  <c r="AC12" i="3"/>
  <c r="AA12" i="3"/>
  <c r="Z12" i="3"/>
  <c r="X12" i="3"/>
  <c r="W12" i="3"/>
  <c r="V12" i="3"/>
  <c r="U12" i="3"/>
  <c r="T12" i="3"/>
  <c r="H12" i="3"/>
  <c r="N12" i="3" s="1"/>
  <c r="AB11" i="3"/>
  <c r="AD11" i="3"/>
  <c r="AC11" i="3"/>
  <c r="AA11" i="3"/>
  <c r="Z11" i="3"/>
  <c r="S11" i="3"/>
  <c r="M11" i="3"/>
  <c r="J11" i="3"/>
  <c r="H11" i="3"/>
  <c r="N11" i="3" s="1"/>
  <c r="D11" i="3"/>
  <c r="C11" i="3"/>
  <c r="AE10" i="3"/>
  <c r="AD10" i="3"/>
  <c r="AB10" i="3"/>
  <c r="AC10" i="3"/>
  <c r="AA10" i="3"/>
  <c r="Z10" i="3"/>
  <c r="X10" i="3"/>
  <c r="W10" i="3"/>
  <c r="V10" i="3"/>
  <c r="U10" i="3"/>
  <c r="T10" i="3"/>
  <c r="S10" i="3"/>
  <c r="M10" i="3"/>
  <c r="N10" i="3" s="1"/>
  <c r="F10" i="3"/>
  <c r="D10" i="3"/>
  <c r="C10" i="3"/>
  <c r="AE9" i="3"/>
  <c r="AD9" i="3"/>
  <c r="AC9" i="3"/>
  <c r="AA9" i="3"/>
  <c r="Z9" i="3"/>
  <c r="S9" i="3"/>
  <c r="M9" i="3"/>
  <c r="L9" i="3"/>
  <c r="I9" i="3"/>
  <c r="N9" i="3" s="1"/>
  <c r="F9" i="3"/>
  <c r="D9" i="3"/>
  <c r="C9" i="3"/>
  <c r="AF8" i="3"/>
  <c r="AE8" i="3"/>
  <c r="AB8" i="3"/>
  <c r="AA8" i="3"/>
  <c r="Z8" i="3"/>
  <c r="S8" i="3"/>
  <c r="M8" i="3"/>
  <c r="H8" i="3"/>
  <c r="N8" i="3" s="1"/>
  <c r="F8" i="3"/>
  <c r="D8" i="3"/>
  <c r="C8" i="3"/>
  <c r="AB7" i="3"/>
  <c r="AE7" i="3"/>
  <c r="AD7" i="3"/>
  <c r="AC7" i="3"/>
  <c r="AA7" i="3"/>
  <c r="Z7" i="3"/>
  <c r="S7" i="3"/>
  <c r="M7" i="3"/>
  <c r="L7" i="3"/>
  <c r="I7" i="3"/>
  <c r="N7" i="3" s="1"/>
  <c r="F7" i="3"/>
  <c r="D7" i="3"/>
  <c r="C7" i="3"/>
  <c r="Y7" i="3"/>
  <c r="Y8" i="3"/>
  <c r="Y9" i="3"/>
  <c r="Y12" i="3"/>
  <c r="Y13" i="3"/>
  <c r="AH13" i="3"/>
  <c r="AG14" i="3"/>
  <c r="Y14" i="3"/>
  <c r="AH14" i="3"/>
  <c r="AG15" i="3"/>
  <c r="Y16" i="3"/>
  <c r="Y17" i="3"/>
  <c r="AH17" i="3"/>
  <c r="Y19" i="3"/>
  <c r="Y20" i="3"/>
  <c r="Y23" i="3"/>
  <c r="Y25" i="3"/>
  <c r="AH25" i="3"/>
  <c r="Y27" i="3"/>
  <c r="Y29" i="3"/>
  <c r="AG30" i="3"/>
  <c r="Y30" i="3"/>
  <c r="Y31" i="3"/>
  <c r="Y33" i="3"/>
  <c r="Y34" i="3"/>
  <c r="Y35" i="3"/>
  <c r="Y36" i="3"/>
  <c r="Y37" i="3"/>
  <c r="AG38" i="3"/>
  <c r="Y38" i="3"/>
  <c r="Y39" i="3"/>
  <c r="Y41" i="3"/>
  <c r="Y42" i="3"/>
  <c r="Y43" i="3"/>
  <c r="AG46" i="3"/>
  <c r="AH46" i="3" s="1"/>
  <c r="Y47" i="3"/>
  <c r="AG50" i="3"/>
  <c r="Y50" i="3"/>
  <c r="AG52" i="3"/>
  <c r="Y52" i="3"/>
  <c r="AH52" i="3"/>
  <c r="Y53" i="3"/>
  <c r="AG54" i="3"/>
  <c r="Y54" i="3"/>
  <c r="Y55" i="3"/>
  <c r="Y56" i="3"/>
  <c r="AG58" i="3"/>
  <c r="AH58" i="3" s="1"/>
  <c r="Y59" i="3"/>
  <c r="Y61" i="3"/>
  <c r="AG62" i="3"/>
  <c r="Y62" i="3"/>
  <c r="Y65" i="3"/>
  <c r="Y67" i="3"/>
  <c r="Y69" i="3"/>
  <c r="AG70" i="3"/>
  <c r="AH70" i="3" s="1"/>
  <c r="G8" i="3"/>
  <c r="G9" i="3"/>
  <c r="G10" i="3"/>
  <c r="G11" i="3"/>
  <c r="G13" i="3"/>
  <c r="G14" i="3"/>
  <c r="G15" i="3"/>
  <c r="G16" i="3"/>
  <c r="G18" i="3"/>
  <c r="G19" i="3"/>
  <c r="G20" i="3"/>
  <c r="G21" i="3"/>
  <c r="G23" i="3"/>
  <c r="G25" i="3"/>
  <c r="G26" i="3"/>
  <c r="G29" i="3"/>
  <c r="G30" i="3"/>
  <c r="G31" i="3"/>
  <c r="G33" i="3"/>
  <c r="G34" i="3"/>
  <c r="G35" i="3"/>
  <c r="G36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3" i="3"/>
  <c r="G54" i="3"/>
  <c r="G56" i="3"/>
  <c r="G57" i="3"/>
  <c r="G58" i="3"/>
  <c r="G59" i="3"/>
  <c r="G61" i="3"/>
  <c r="G62" i="3"/>
  <c r="G63" i="3"/>
  <c r="G64" i="3"/>
  <c r="G65" i="3"/>
  <c r="G66" i="3"/>
  <c r="G67" i="3"/>
  <c r="G68" i="3"/>
  <c r="G70" i="3"/>
  <c r="K72" i="3"/>
  <c r="E72" i="3"/>
  <c r="D72" i="3"/>
  <c r="C72" i="3"/>
  <c r="AI52" i="3"/>
  <c r="AI14" i="3"/>
  <c r="K73" i="121"/>
  <c r="M7" i="121"/>
  <c r="E72" i="121"/>
  <c r="F72" i="121"/>
  <c r="G72" i="121"/>
  <c r="H72" i="121"/>
  <c r="I72" i="121"/>
  <c r="J72" i="121"/>
  <c r="K70" i="121"/>
  <c r="L70" i="121"/>
  <c r="K69" i="121"/>
  <c r="K68" i="121"/>
  <c r="L68" i="121"/>
  <c r="K67" i="121"/>
  <c r="L67" i="121"/>
  <c r="L66" i="121"/>
  <c r="L65" i="121"/>
  <c r="K64" i="121"/>
  <c r="L64" i="121"/>
  <c r="K63" i="121"/>
  <c r="L63" i="121"/>
  <c r="K62" i="121"/>
  <c r="L62" i="121"/>
  <c r="K61" i="121"/>
  <c r="K60" i="121"/>
  <c r="L60" i="121"/>
  <c r="K59" i="121"/>
  <c r="L59" i="121"/>
  <c r="K58" i="121"/>
  <c r="K56" i="121"/>
  <c r="L55" i="121"/>
  <c r="K54" i="121"/>
  <c r="K53" i="121"/>
  <c r="K52" i="121"/>
  <c r="L52" i="121" s="1"/>
  <c r="K50" i="121"/>
  <c r="K49" i="121"/>
  <c r="L49" i="121"/>
  <c r="K48" i="121"/>
  <c r="L48" i="121" s="1"/>
  <c r="K47" i="121"/>
  <c r="K46" i="121"/>
  <c r="L46" i="121" s="1"/>
  <c r="K45" i="121"/>
  <c r="K44" i="121"/>
  <c r="K43" i="121"/>
  <c r="K42" i="121"/>
  <c r="L42" i="121" s="1"/>
  <c r="K41" i="121"/>
  <c r="L41" i="121"/>
  <c r="K40" i="121"/>
  <c r="L40" i="121" s="1"/>
  <c r="K39" i="121"/>
  <c r="L39" i="121"/>
  <c r="K37" i="121"/>
  <c r="L37" i="121"/>
  <c r="K36" i="121"/>
  <c r="L36" i="121" s="1"/>
  <c r="K35" i="121"/>
  <c r="L35" i="121"/>
  <c r="K34" i="121"/>
  <c r="K33" i="121"/>
  <c r="L33" i="121"/>
  <c r="K32" i="121"/>
  <c r="K31" i="121"/>
  <c r="L31" i="121"/>
  <c r="K30" i="121"/>
  <c r="K29" i="121"/>
  <c r="L29" i="121"/>
  <c r="K27" i="121"/>
  <c r="L27" i="121"/>
  <c r="K26" i="121"/>
  <c r="K25" i="121"/>
  <c r="L25" i="121"/>
  <c r="K24" i="121"/>
  <c r="K23" i="121"/>
  <c r="K22" i="121"/>
  <c r="L22" i="121" s="1"/>
  <c r="K21" i="121"/>
  <c r="L21" i="121"/>
  <c r="K20" i="121"/>
  <c r="L20" i="121" s="1"/>
  <c r="K19" i="121"/>
  <c r="L19" i="121"/>
  <c r="K18" i="121"/>
  <c r="L18" i="121" s="1"/>
  <c r="K17" i="121"/>
  <c r="L17" i="121"/>
  <c r="K16" i="121"/>
  <c r="K15" i="121"/>
  <c r="L15" i="121"/>
  <c r="K14" i="121"/>
  <c r="L13" i="121"/>
  <c r="K12" i="121"/>
  <c r="L12" i="121" s="1"/>
  <c r="K11" i="121"/>
  <c r="L11" i="121"/>
  <c r="K10" i="121"/>
  <c r="L10" i="121" s="1"/>
  <c r="K9" i="121"/>
  <c r="K8" i="121"/>
  <c r="L8" i="121" s="1"/>
  <c r="K7" i="121"/>
  <c r="L7" i="121"/>
  <c r="J21" i="75"/>
  <c r="K21" i="75"/>
  <c r="L21" i="75"/>
  <c r="J18" i="120"/>
  <c r="K18" i="120"/>
  <c r="L18" i="120"/>
  <c r="J19" i="113"/>
  <c r="K19" i="113"/>
  <c r="L19" i="113"/>
  <c r="J18" i="112"/>
  <c r="K18" i="112"/>
  <c r="J21" i="111"/>
  <c r="K21" i="111"/>
  <c r="L21" i="111"/>
  <c r="J17" i="110"/>
  <c r="K17" i="110"/>
  <c r="L17" i="110"/>
  <c r="J21" i="109"/>
  <c r="K21" i="109"/>
  <c r="L21" i="109"/>
  <c r="J19" i="108"/>
  <c r="K19" i="108"/>
  <c r="L19" i="108"/>
  <c r="J19" i="107"/>
  <c r="K19" i="107"/>
  <c r="L19" i="107"/>
  <c r="J20" i="106"/>
  <c r="K20" i="106"/>
  <c r="L20" i="106"/>
  <c r="J21" i="105"/>
  <c r="K21" i="105"/>
  <c r="L21" i="105"/>
  <c r="J15" i="104"/>
  <c r="K15" i="104"/>
  <c r="L15" i="104"/>
  <c r="J18" i="99"/>
  <c r="K18" i="99"/>
  <c r="L18" i="99"/>
  <c r="J20" i="98"/>
  <c r="K20" i="98"/>
  <c r="L20" i="98"/>
  <c r="J16" i="103"/>
  <c r="K16" i="103"/>
  <c r="L16" i="103"/>
  <c r="J16" i="97"/>
  <c r="K16" i="97"/>
  <c r="L16" i="97"/>
  <c r="J17" i="102"/>
  <c r="K17" i="102"/>
  <c r="L17" i="102"/>
  <c r="J20" i="96"/>
  <c r="K20" i="96"/>
  <c r="L20" i="96"/>
  <c r="J18" i="101"/>
  <c r="K18" i="101"/>
  <c r="L18" i="101"/>
  <c r="J18" i="95"/>
  <c r="K18" i="95"/>
  <c r="L18" i="95"/>
  <c r="J18" i="100"/>
  <c r="K18" i="100"/>
  <c r="L18" i="100"/>
  <c r="J21" i="94"/>
  <c r="K21" i="94"/>
  <c r="L21" i="94"/>
  <c r="J15" i="93"/>
  <c r="K15" i="93"/>
  <c r="J22" i="115"/>
  <c r="K22" i="115"/>
  <c r="L22" i="115"/>
  <c r="J21" i="92"/>
  <c r="K21" i="92"/>
  <c r="L21" i="92"/>
  <c r="J19" i="91"/>
  <c r="K19" i="91"/>
  <c r="L19" i="91"/>
  <c r="J23" i="90"/>
  <c r="K23" i="90"/>
  <c r="L23" i="90"/>
  <c r="J21" i="117"/>
  <c r="K21" i="117"/>
  <c r="L21" i="117"/>
  <c r="J19" i="88"/>
  <c r="K19" i="88"/>
  <c r="L19" i="88"/>
  <c r="J16" i="87"/>
  <c r="K16" i="87"/>
  <c r="L16" i="87"/>
  <c r="J21" i="86"/>
  <c r="K21" i="86"/>
  <c r="L21" i="86"/>
  <c r="J23" i="85"/>
  <c r="K23" i="85"/>
  <c r="L23" i="85"/>
  <c r="J17" i="84"/>
  <c r="K17" i="84"/>
  <c r="L17" i="84"/>
  <c r="J17" i="83"/>
  <c r="K17" i="83"/>
  <c r="L17" i="83"/>
  <c r="J17" i="74"/>
  <c r="K17" i="74"/>
  <c r="L17" i="74"/>
  <c r="J16" i="73"/>
  <c r="K16" i="73"/>
  <c r="K21" i="73" s="1"/>
  <c r="L16" i="73"/>
  <c r="J21" i="72"/>
  <c r="K21" i="72"/>
  <c r="L21" i="72"/>
  <c r="J17" i="82"/>
  <c r="K17" i="82"/>
  <c r="L17" i="82"/>
  <c r="J20" i="71"/>
  <c r="K20" i="71"/>
  <c r="L20" i="71"/>
  <c r="J20" i="70"/>
  <c r="K20" i="70"/>
  <c r="L20" i="70"/>
  <c r="J17" i="69"/>
  <c r="K17" i="69"/>
  <c r="L17" i="69"/>
  <c r="J19" i="114"/>
  <c r="K19" i="114"/>
  <c r="L19" i="114"/>
  <c r="J24" i="68"/>
  <c r="K24" i="68"/>
  <c r="L24" i="68"/>
  <c r="J16" i="67"/>
  <c r="K16" i="67"/>
  <c r="L16" i="67"/>
  <c r="J17" i="66"/>
  <c r="K17" i="66"/>
  <c r="L17" i="66"/>
  <c r="J16" i="119"/>
  <c r="K16" i="119"/>
  <c r="L16" i="119"/>
  <c r="J23" i="80"/>
  <c r="K23" i="80"/>
  <c r="L23" i="80"/>
  <c r="J18" i="79"/>
  <c r="K18" i="79"/>
  <c r="L18" i="79"/>
  <c r="J26" i="65"/>
  <c r="K26" i="65"/>
  <c r="L26" i="65"/>
  <c r="L23" i="118"/>
  <c r="K23" i="118"/>
  <c r="J23" i="118"/>
  <c r="O21" i="3" s="1"/>
  <c r="J18" i="63"/>
  <c r="K18" i="63"/>
  <c r="L18" i="63"/>
  <c r="J17" i="78"/>
  <c r="K17" i="78"/>
  <c r="L17" i="78"/>
  <c r="J22" i="62"/>
  <c r="K22" i="62"/>
  <c r="J17" i="61"/>
  <c r="K17" i="61"/>
  <c r="L17" i="61"/>
  <c r="J17" i="60"/>
  <c r="K17" i="60"/>
  <c r="L17" i="60"/>
  <c r="J19" i="59"/>
  <c r="K19" i="59"/>
  <c r="L19" i="59"/>
  <c r="J24" i="58"/>
  <c r="K24" i="58"/>
  <c r="L24" i="58"/>
  <c r="J17" i="57"/>
  <c r="K17" i="57"/>
  <c r="L17" i="57"/>
  <c r="J23" i="116"/>
  <c r="K23" i="116"/>
  <c r="J16" i="56"/>
  <c r="K16" i="56"/>
  <c r="L16" i="56"/>
  <c r="J23" i="55"/>
  <c r="K23" i="55"/>
  <c r="J17" i="54"/>
  <c r="K17" i="54"/>
  <c r="L17" i="54"/>
  <c r="J16" i="53"/>
  <c r="K16" i="53"/>
  <c r="L16" i="53"/>
  <c r="L17" i="52"/>
  <c r="K17" i="52"/>
  <c r="J17" i="52"/>
  <c r="O7" i="3" s="1"/>
  <c r="I18" i="120"/>
  <c r="AJ69" i="3" s="1"/>
  <c r="M45" i="120"/>
  <c r="P45" i="120"/>
  <c r="P32" i="120"/>
  <c r="P34" i="120" s="1"/>
  <c r="O37" i="120"/>
  <c r="O38" i="120"/>
  <c r="O39" i="120"/>
  <c r="O40" i="120"/>
  <c r="O41" i="120"/>
  <c r="O42" i="120"/>
  <c r="O43" i="120"/>
  <c r="N21" i="120"/>
  <c r="N22" i="120"/>
  <c r="O22" i="120"/>
  <c r="N23" i="120"/>
  <c r="O23" i="120" s="1"/>
  <c r="N24" i="120"/>
  <c r="O24" i="120"/>
  <c r="N25" i="120"/>
  <c r="O25" i="120" s="1"/>
  <c r="M9" i="120"/>
  <c r="O9" i="120"/>
  <c r="M10" i="120"/>
  <c r="O10" i="120" s="1"/>
  <c r="M11" i="120"/>
  <c r="O11" i="120"/>
  <c r="M12" i="120"/>
  <c r="O12" i="120" s="1"/>
  <c r="M13" i="120"/>
  <c r="O13" i="120" s="1"/>
  <c r="M14" i="120"/>
  <c r="O14" i="120" s="1"/>
  <c r="M15" i="120"/>
  <c r="O15" i="120" s="1"/>
  <c r="M16" i="120"/>
  <c r="O16" i="120" s="1"/>
  <c r="N45" i="120"/>
  <c r="M27" i="120"/>
  <c r="O34" i="120"/>
  <c r="N34" i="120"/>
  <c r="M34" i="120"/>
  <c r="L34" i="120"/>
  <c r="K34" i="120"/>
  <c r="J34" i="120"/>
  <c r="I34" i="120"/>
  <c r="P27" i="120"/>
  <c r="P18" i="120"/>
  <c r="P29" i="120"/>
  <c r="L27" i="120"/>
  <c r="K27" i="120"/>
  <c r="J27" i="120"/>
  <c r="J29" i="120" s="1"/>
  <c r="I27" i="120"/>
  <c r="M69" i="121" s="1"/>
  <c r="L69" i="121" s="1"/>
  <c r="I29" i="120"/>
  <c r="I16" i="119"/>
  <c r="AJ25" i="3" s="1"/>
  <c r="AI25" i="3" s="1"/>
  <c r="M31" i="119"/>
  <c r="M9" i="119"/>
  <c r="M10" i="119"/>
  <c r="M11" i="119"/>
  <c r="M12" i="119"/>
  <c r="M13" i="119"/>
  <c r="M14" i="119"/>
  <c r="I17" i="52"/>
  <c r="AJ7" i="3" s="1"/>
  <c r="I16" i="53"/>
  <c r="AJ8" i="3" s="1"/>
  <c r="I17" i="54"/>
  <c r="AJ9" i="3" s="1"/>
  <c r="I23" i="55"/>
  <c r="AJ10" i="3" s="1"/>
  <c r="I16" i="56"/>
  <c r="AJ11" i="3" s="1"/>
  <c r="I23" i="116"/>
  <c r="AJ12" i="3" s="1"/>
  <c r="I17" i="57"/>
  <c r="AJ13" i="3" s="1"/>
  <c r="AI13" i="3" s="1"/>
  <c r="I24" i="58"/>
  <c r="I19" i="59"/>
  <c r="AJ15" i="3" s="1"/>
  <c r="I17" i="60"/>
  <c r="AJ16" i="3" s="1"/>
  <c r="I17" i="61"/>
  <c r="AJ17" i="3" s="1"/>
  <c r="I22" i="62"/>
  <c r="AJ18" i="3" s="1"/>
  <c r="I17" i="78"/>
  <c r="AJ19" i="3" s="1"/>
  <c r="I18" i="63"/>
  <c r="AJ20" i="3" s="1"/>
  <c r="I23" i="118"/>
  <c r="AJ21" i="3" s="1"/>
  <c r="I26" i="65"/>
  <c r="AJ22" i="3" s="1"/>
  <c r="I18" i="79"/>
  <c r="AJ23" i="3" s="1"/>
  <c r="I23" i="80"/>
  <c r="AJ24" i="3" s="1"/>
  <c r="I17" i="66"/>
  <c r="AJ26" i="3" s="1"/>
  <c r="I16" i="67"/>
  <c r="AJ27" i="3" s="1"/>
  <c r="I24" i="68"/>
  <c r="AJ28" i="3" s="1"/>
  <c r="I19" i="114"/>
  <c r="AJ29" i="3" s="1"/>
  <c r="I17" i="69"/>
  <c r="AJ30" i="3" s="1"/>
  <c r="I20" i="70"/>
  <c r="AJ31" i="3" s="1"/>
  <c r="I20" i="71"/>
  <c r="AJ32" i="3" s="1"/>
  <c r="I17" i="82"/>
  <c r="AJ33" i="3" s="1"/>
  <c r="I21" i="72"/>
  <c r="AJ34" i="3" s="1"/>
  <c r="I16" i="73"/>
  <c r="AJ35" i="3" s="1"/>
  <c r="I17" i="74"/>
  <c r="AJ36" i="3" s="1"/>
  <c r="I17" i="83"/>
  <c r="AJ37" i="3" s="1"/>
  <c r="I17" i="84"/>
  <c r="AJ38" i="3" s="1"/>
  <c r="I23" i="85"/>
  <c r="AJ39" i="3" s="1"/>
  <c r="I21" i="86"/>
  <c r="AJ40" i="3" s="1"/>
  <c r="I16" i="87"/>
  <c r="AJ41" i="3" s="1"/>
  <c r="I19" i="88"/>
  <c r="AJ42" i="3" s="1"/>
  <c r="I21" i="117"/>
  <c r="AJ43" i="3" s="1"/>
  <c r="I23" i="90"/>
  <c r="AJ44" i="3" s="1"/>
  <c r="I19" i="91"/>
  <c r="AJ45" i="3" s="1"/>
  <c r="I21" i="92"/>
  <c r="AJ46" i="3" s="1"/>
  <c r="AI46" i="3" s="1"/>
  <c r="I15" i="93"/>
  <c r="AJ47" i="3" s="1"/>
  <c r="I22" i="115"/>
  <c r="AJ48" i="3" s="1"/>
  <c r="I21" i="94"/>
  <c r="AJ49" i="3" s="1"/>
  <c r="I18" i="100"/>
  <c r="AJ50" i="3" s="1"/>
  <c r="I18" i="95"/>
  <c r="AJ51" i="3" s="1"/>
  <c r="I18" i="101"/>
  <c r="I20" i="96"/>
  <c r="AJ53" i="3" s="1"/>
  <c r="I17" i="102"/>
  <c r="AJ54" i="3" s="1"/>
  <c r="I16" i="97"/>
  <c r="AJ55" i="3" s="1"/>
  <c r="I16" i="103"/>
  <c r="AJ56" i="3" s="1"/>
  <c r="I20" i="98"/>
  <c r="AJ57" i="3" s="1"/>
  <c r="I18" i="99"/>
  <c r="AJ58" i="3" s="1"/>
  <c r="I15" i="104"/>
  <c r="AJ59" i="3" s="1"/>
  <c r="I21" i="105"/>
  <c r="AJ60" i="3" s="1"/>
  <c r="I20" i="106"/>
  <c r="AJ61" i="3" s="1"/>
  <c r="I19" i="107"/>
  <c r="AJ62" i="3" s="1"/>
  <c r="I19" i="108"/>
  <c r="AJ63" i="3" s="1"/>
  <c r="I21" i="109"/>
  <c r="AJ64" i="3" s="1"/>
  <c r="I17" i="110"/>
  <c r="AJ65" i="3" s="1"/>
  <c r="I21" i="111"/>
  <c r="AJ66" i="3" s="1"/>
  <c r="I18" i="112"/>
  <c r="AJ67" i="3" s="1"/>
  <c r="I19" i="113"/>
  <c r="AJ68" i="3" s="1"/>
  <c r="I21" i="75"/>
  <c r="AJ70" i="3" s="1"/>
  <c r="AI70" i="3" s="1"/>
  <c r="M36" i="52"/>
  <c r="R7" i="3" s="1"/>
  <c r="M32" i="53"/>
  <c r="M44" i="54"/>
  <c r="L42" i="55"/>
  <c r="M33" i="56"/>
  <c r="M37" i="116"/>
  <c r="M31" i="57"/>
  <c r="M48" i="59"/>
  <c r="M49" i="60"/>
  <c r="M33" i="61"/>
  <c r="L37" i="62"/>
  <c r="M29" i="78"/>
  <c r="M32" i="63"/>
  <c r="M38" i="118"/>
  <c r="R21" i="3" s="1"/>
  <c r="M47" i="65"/>
  <c r="M54" i="79"/>
  <c r="M44" i="80"/>
  <c r="M45" i="66"/>
  <c r="M30" i="67"/>
  <c r="M44" i="68"/>
  <c r="M38" i="114"/>
  <c r="M44" i="69"/>
  <c r="M33" i="70"/>
  <c r="M55" i="71"/>
  <c r="M31" i="82"/>
  <c r="M54" i="72"/>
  <c r="M34" i="73"/>
  <c r="M30" i="74"/>
  <c r="M32" i="83"/>
  <c r="M37" i="84"/>
  <c r="M36" i="85"/>
  <c r="M30" i="86"/>
  <c r="M26" i="87"/>
  <c r="M43" i="88"/>
  <c r="M48" i="117"/>
  <c r="M54" i="90"/>
  <c r="M48" i="91"/>
  <c r="M35" i="92"/>
  <c r="L37" i="93"/>
  <c r="M31" i="115"/>
  <c r="M31" i="94"/>
  <c r="M40" i="100"/>
  <c r="M49" i="95"/>
  <c r="M43" i="101"/>
  <c r="M51" i="96"/>
  <c r="M48" i="102"/>
  <c r="M48" i="97"/>
  <c r="M41" i="103"/>
  <c r="M46" i="98"/>
  <c r="M55" i="99"/>
  <c r="M38" i="104"/>
  <c r="M36" i="105"/>
  <c r="M54" i="106"/>
  <c r="M36" i="107"/>
  <c r="M45" i="108"/>
  <c r="M40" i="110"/>
  <c r="M42" i="111"/>
  <c r="L31" i="112"/>
  <c r="M35" i="113"/>
  <c r="M33" i="75"/>
  <c r="M10" i="118"/>
  <c r="M11" i="118"/>
  <c r="M12" i="118"/>
  <c r="M13" i="118"/>
  <c r="M14" i="118"/>
  <c r="M15" i="118"/>
  <c r="M16" i="118"/>
  <c r="M17" i="118"/>
  <c r="M18" i="118"/>
  <c r="M19" i="118"/>
  <c r="M20" i="118"/>
  <c r="M21" i="118"/>
  <c r="O39" i="117"/>
  <c r="O40" i="117"/>
  <c r="O41" i="117"/>
  <c r="O42" i="117"/>
  <c r="O43" i="117"/>
  <c r="M12" i="117"/>
  <c r="O12" i="117"/>
  <c r="O52" i="117"/>
  <c r="N48" i="117"/>
  <c r="O46" i="117"/>
  <c r="O45" i="117"/>
  <c r="O44" i="117"/>
  <c r="O38" i="117"/>
  <c r="O37" i="117"/>
  <c r="O36" i="117"/>
  <c r="O34" i="117"/>
  <c r="O33" i="117"/>
  <c r="M26" i="117"/>
  <c r="L26" i="117"/>
  <c r="L28" i="117" s="1"/>
  <c r="K26" i="117"/>
  <c r="J26" i="117"/>
  <c r="I26" i="117"/>
  <c r="M43" i="121" s="1"/>
  <c r="L43" i="121" s="1"/>
  <c r="N24" i="117"/>
  <c r="M19" i="117"/>
  <c r="O19" i="117"/>
  <c r="M18" i="117"/>
  <c r="O18" i="117" s="1"/>
  <c r="M17" i="117"/>
  <c r="O17" i="117"/>
  <c r="M16" i="117"/>
  <c r="O16" i="117" s="1"/>
  <c r="M15" i="117"/>
  <c r="O15" i="117"/>
  <c r="M14" i="117"/>
  <c r="O14" i="117"/>
  <c r="M13" i="117"/>
  <c r="O13" i="117"/>
  <c r="M11" i="117"/>
  <c r="O11" i="117"/>
  <c r="M10" i="117"/>
  <c r="L23" i="116"/>
  <c r="M11" i="116"/>
  <c r="M12" i="116"/>
  <c r="M13" i="116"/>
  <c r="M14" i="116"/>
  <c r="M15" i="116"/>
  <c r="M16" i="116"/>
  <c r="M17" i="116"/>
  <c r="M18" i="116"/>
  <c r="M19" i="116"/>
  <c r="M20" i="116"/>
  <c r="M21" i="116"/>
  <c r="M10" i="116"/>
  <c r="I28" i="117"/>
  <c r="O10" i="117"/>
  <c r="J28" i="117"/>
  <c r="N33" i="75"/>
  <c r="N21" i="75"/>
  <c r="M9" i="75"/>
  <c r="M10" i="75"/>
  <c r="M11" i="75"/>
  <c r="M12" i="75"/>
  <c r="M13" i="75"/>
  <c r="M14" i="75"/>
  <c r="M15" i="75"/>
  <c r="M16" i="75"/>
  <c r="M17" i="75"/>
  <c r="M18" i="75"/>
  <c r="M19" i="75"/>
  <c r="O56" i="106"/>
  <c r="N38" i="104"/>
  <c r="N18" i="104"/>
  <c r="N20" i="104"/>
  <c r="N40" i="104"/>
  <c r="N44" i="104" s="1"/>
  <c r="M8" i="104"/>
  <c r="M9" i="104"/>
  <c r="M10" i="104"/>
  <c r="M11" i="104"/>
  <c r="M12" i="104"/>
  <c r="M13" i="104"/>
  <c r="O52" i="99"/>
  <c r="O42" i="98"/>
  <c r="M15" i="98"/>
  <c r="O15" i="98"/>
  <c r="O33" i="103"/>
  <c r="O38" i="103"/>
  <c r="N48" i="97"/>
  <c r="N19" i="97"/>
  <c r="N20" i="97"/>
  <c r="N21" i="97"/>
  <c r="N22" i="97"/>
  <c r="O22" i="97" s="1"/>
  <c r="N23" i="97"/>
  <c r="O23" i="97" s="1"/>
  <c r="N24" i="97"/>
  <c r="O24" i="97" s="1"/>
  <c r="N25" i="97"/>
  <c r="O52" i="97"/>
  <c r="O31" i="97"/>
  <c r="O32" i="97"/>
  <c r="O33" i="97"/>
  <c r="O34" i="97"/>
  <c r="O35" i="97"/>
  <c r="O36" i="97"/>
  <c r="O37" i="97"/>
  <c r="O38" i="97"/>
  <c r="O39" i="97"/>
  <c r="O40" i="97"/>
  <c r="O42" i="97"/>
  <c r="O43" i="97"/>
  <c r="O44" i="97"/>
  <c r="O45" i="97"/>
  <c r="O46" i="97"/>
  <c r="O20" i="97"/>
  <c r="O21" i="97"/>
  <c r="O25" i="97"/>
  <c r="M10" i="97"/>
  <c r="O10" i="97"/>
  <c r="M11" i="97"/>
  <c r="O11" i="97" s="1"/>
  <c r="M12" i="97"/>
  <c r="O12" i="97"/>
  <c r="M13" i="97"/>
  <c r="O13" i="97" s="1"/>
  <c r="M14" i="97"/>
  <c r="O14" i="97"/>
  <c r="O16" i="97"/>
  <c r="M16" i="97"/>
  <c r="M50" i="97" s="1"/>
  <c r="M54" i="97" s="1"/>
  <c r="O54" i="102"/>
  <c r="N51" i="96"/>
  <c r="N23" i="96"/>
  <c r="N24" i="96"/>
  <c r="O65" i="96"/>
  <c r="O37" i="96"/>
  <c r="O38" i="96"/>
  <c r="O39" i="96"/>
  <c r="O40" i="96"/>
  <c r="O41" i="96"/>
  <c r="O42" i="96"/>
  <c r="O43" i="96"/>
  <c r="O44" i="96"/>
  <c r="O45" i="96"/>
  <c r="O46" i="96"/>
  <c r="O47" i="96"/>
  <c r="O48" i="96"/>
  <c r="O49" i="96"/>
  <c r="O24" i="96"/>
  <c r="M9" i="96"/>
  <c r="O9" i="96"/>
  <c r="M10" i="96"/>
  <c r="O10" i="96"/>
  <c r="M11" i="96"/>
  <c r="O11" i="96"/>
  <c r="M12" i="96"/>
  <c r="O12" i="96"/>
  <c r="M13" i="96"/>
  <c r="O13" i="96"/>
  <c r="M14" i="96"/>
  <c r="O14" i="96"/>
  <c r="M15" i="96"/>
  <c r="O15" i="96"/>
  <c r="M16" i="96"/>
  <c r="O16" i="96"/>
  <c r="M17" i="96"/>
  <c r="O17" i="96"/>
  <c r="M18" i="96"/>
  <c r="O18" i="96"/>
  <c r="O55" i="96"/>
  <c r="P51" i="96"/>
  <c r="P31" i="96"/>
  <c r="P33" i="96" s="1"/>
  <c r="O63" i="96"/>
  <c r="O61" i="96"/>
  <c r="O59" i="96"/>
  <c r="O43" i="101"/>
  <c r="O22" i="101"/>
  <c r="O25" i="101"/>
  <c r="P43" i="101"/>
  <c r="P23" i="101"/>
  <c r="P25" i="101"/>
  <c r="Q29" i="101"/>
  <c r="M9" i="95"/>
  <c r="O9" i="95"/>
  <c r="M10" i="95"/>
  <c r="O10" i="95"/>
  <c r="M11" i="95"/>
  <c r="O11" i="95"/>
  <c r="M12" i="95"/>
  <c r="O12" i="95"/>
  <c r="M13" i="95"/>
  <c r="O13" i="95"/>
  <c r="M14" i="95"/>
  <c r="O14" i="95"/>
  <c r="M15" i="95"/>
  <c r="O15" i="95"/>
  <c r="M16" i="95"/>
  <c r="O16" i="95"/>
  <c r="O44" i="100"/>
  <c r="N40" i="100"/>
  <c r="O38" i="100"/>
  <c r="O30" i="100"/>
  <c r="O31" i="100"/>
  <c r="O32" i="100"/>
  <c r="O33" i="100"/>
  <c r="O34" i="100"/>
  <c r="O35" i="100"/>
  <c r="O36" i="100"/>
  <c r="O37" i="100"/>
  <c r="M20" i="115"/>
  <c r="M18" i="115"/>
  <c r="M17" i="115"/>
  <c r="M16" i="115"/>
  <c r="M15" i="115"/>
  <c r="M14" i="115"/>
  <c r="M13" i="115"/>
  <c r="M12" i="115"/>
  <c r="M11" i="115"/>
  <c r="M10" i="115"/>
  <c r="M9" i="115"/>
  <c r="M14" i="88"/>
  <c r="M9" i="86"/>
  <c r="M10" i="86"/>
  <c r="M11" i="86"/>
  <c r="M12" i="86"/>
  <c r="M13" i="86"/>
  <c r="M14" i="86"/>
  <c r="M15" i="86"/>
  <c r="M16" i="86"/>
  <c r="M17" i="86"/>
  <c r="M18" i="86"/>
  <c r="M19" i="86"/>
  <c r="N34" i="73"/>
  <c r="N19" i="73"/>
  <c r="O19" i="73" s="1"/>
  <c r="N36" i="73"/>
  <c r="N40" i="73"/>
  <c r="O38" i="73"/>
  <c r="O27" i="73"/>
  <c r="O28" i="73"/>
  <c r="O29" i="73"/>
  <c r="O30" i="73"/>
  <c r="O31" i="73"/>
  <c r="O32" i="73"/>
  <c r="O34" i="73"/>
  <c r="M9" i="73"/>
  <c r="O9" i="73"/>
  <c r="M10" i="73"/>
  <c r="M11" i="73"/>
  <c r="O11" i="73"/>
  <c r="M12" i="73"/>
  <c r="O12" i="73" s="1"/>
  <c r="M13" i="73"/>
  <c r="O13" i="73"/>
  <c r="M14" i="73"/>
  <c r="O14" i="73" s="1"/>
  <c r="P34" i="73"/>
  <c r="P23" i="73"/>
  <c r="P36" i="73" s="1"/>
  <c r="P40" i="73" s="1"/>
  <c r="J21" i="73"/>
  <c r="L21" i="73"/>
  <c r="I21" i="73"/>
  <c r="O58" i="72"/>
  <c r="O27" i="72"/>
  <c r="O59" i="71"/>
  <c r="P55" i="71"/>
  <c r="P31" i="71"/>
  <c r="P32" i="71"/>
  <c r="P33" i="71"/>
  <c r="P34" i="71"/>
  <c r="P35" i="71"/>
  <c r="P36" i="71"/>
  <c r="N55" i="71"/>
  <c r="N23" i="71"/>
  <c r="N24" i="71"/>
  <c r="N26" i="71"/>
  <c r="N28" i="71" s="1"/>
  <c r="O42" i="71"/>
  <c r="O43" i="71"/>
  <c r="O44" i="71"/>
  <c r="O45" i="71"/>
  <c r="O46" i="71"/>
  <c r="O47" i="71"/>
  <c r="O48" i="71"/>
  <c r="O49" i="71"/>
  <c r="O50" i="71"/>
  <c r="O51" i="71"/>
  <c r="O52" i="71"/>
  <c r="O53" i="71"/>
  <c r="O23" i="71"/>
  <c r="O24" i="71"/>
  <c r="M10" i="71"/>
  <c r="O10" i="71"/>
  <c r="M11" i="71"/>
  <c r="O11" i="71" s="1"/>
  <c r="M12" i="71"/>
  <c r="O12" i="71"/>
  <c r="M13" i="71"/>
  <c r="O13" i="71" s="1"/>
  <c r="M14" i="71"/>
  <c r="O14" i="71"/>
  <c r="M15" i="71"/>
  <c r="O15" i="71" s="1"/>
  <c r="M16" i="71"/>
  <c r="O16" i="71"/>
  <c r="M17" i="71"/>
  <c r="O17" i="71" s="1"/>
  <c r="M18" i="71"/>
  <c r="O18" i="71"/>
  <c r="M26" i="71"/>
  <c r="M20" i="71"/>
  <c r="N44" i="69"/>
  <c r="N20" i="69"/>
  <c r="O33" i="69"/>
  <c r="O34" i="69"/>
  <c r="O35" i="69"/>
  <c r="O36" i="69"/>
  <c r="O37" i="69"/>
  <c r="O38" i="69"/>
  <c r="O39" i="69"/>
  <c r="O40" i="69"/>
  <c r="M9" i="69"/>
  <c r="M10" i="69"/>
  <c r="O10" i="69"/>
  <c r="M11" i="69"/>
  <c r="O11" i="69" s="1"/>
  <c r="M12" i="69"/>
  <c r="O12" i="69"/>
  <c r="M13" i="69"/>
  <c r="O13" i="69" s="1"/>
  <c r="M14" i="69"/>
  <c r="O14" i="69"/>
  <c r="M15" i="69"/>
  <c r="O15" i="69" s="1"/>
  <c r="O48" i="69"/>
  <c r="P44" i="69"/>
  <c r="P27" i="69"/>
  <c r="P30" i="69" s="1"/>
  <c r="Q44" i="69"/>
  <c r="Q28" i="69"/>
  <c r="Q30" i="69"/>
  <c r="Q46" i="69"/>
  <c r="Q50" i="69" s="1"/>
  <c r="M16" i="114"/>
  <c r="N38" i="114"/>
  <c r="M23" i="114"/>
  <c r="L23" i="114"/>
  <c r="K23" i="114"/>
  <c r="J23" i="114"/>
  <c r="I23" i="114"/>
  <c r="N21" i="114"/>
  <c r="N19" i="114"/>
  <c r="M17" i="114"/>
  <c r="M15" i="114"/>
  <c r="M14" i="114"/>
  <c r="M13" i="114"/>
  <c r="M12" i="114"/>
  <c r="M11" i="114"/>
  <c r="M10" i="114"/>
  <c r="M9" i="114"/>
  <c r="M19" i="114" s="1"/>
  <c r="M40" i="114" s="1"/>
  <c r="M44" i="114" s="1"/>
  <c r="O49" i="66"/>
  <c r="P45" i="66"/>
  <c r="P28" i="66"/>
  <c r="P30" i="66"/>
  <c r="N45" i="66"/>
  <c r="N20" i="66"/>
  <c r="N21" i="66"/>
  <c r="O21" i="66" s="1"/>
  <c r="O34" i="66"/>
  <c r="O35" i="66"/>
  <c r="O37" i="66"/>
  <c r="O38" i="66"/>
  <c r="O39" i="66"/>
  <c r="O40" i="66"/>
  <c r="O41" i="66"/>
  <c r="O42" i="66"/>
  <c r="O43" i="66"/>
  <c r="M9" i="66"/>
  <c r="O9" i="66"/>
  <c r="M10" i="66"/>
  <c r="O10" i="66"/>
  <c r="M11" i="66"/>
  <c r="O11" i="66"/>
  <c r="M12" i="66"/>
  <c r="O12" i="66"/>
  <c r="M13" i="66"/>
  <c r="O13" i="66"/>
  <c r="M14" i="66"/>
  <c r="O14" i="66"/>
  <c r="M15" i="66"/>
  <c r="O15" i="66"/>
  <c r="M23" i="66"/>
  <c r="M17" i="66"/>
  <c r="M25" i="66" s="1"/>
  <c r="M47" i="66" s="1"/>
  <c r="M51" i="66" s="1"/>
  <c r="N26" i="80"/>
  <c r="O26" i="80"/>
  <c r="O28" i="80" s="1"/>
  <c r="M10" i="80"/>
  <c r="O10" i="80"/>
  <c r="M11" i="80"/>
  <c r="M12" i="80"/>
  <c r="O12" i="80"/>
  <c r="M13" i="80"/>
  <c r="O13" i="80" s="1"/>
  <c r="M14" i="80"/>
  <c r="O14" i="80"/>
  <c r="M15" i="80"/>
  <c r="O15" i="80" s="1"/>
  <c r="M16" i="80"/>
  <c r="O16" i="80"/>
  <c r="M17" i="80"/>
  <c r="O17" i="80" s="1"/>
  <c r="M18" i="80"/>
  <c r="O18" i="80"/>
  <c r="M19" i="80"/>
  <c r="O19" i="80" s="1"/>
  <c r="M20" i="80"/>
  <c r="O20" i="80"/>
  <c r="M21" i="80"/>
  <c r="O21" i="80" s="1"/>
  <c r="N29" i="65"/>
  <c r="O29" i="65"/>
  <c r="M10" i="65"/>
  <c r="O10" i="65"/>
  <c r="M11" i="65"/>
  <c r="O11" i="65"/>
  <c r="M12" i="65"/>
  <c r="O12" i="65"/>
  <c r="M13" i="65"/>
  <c r="O13" i="65"/>
  <c r="M14" i="65"/>
  <c r="O14" i="65"/>
  <c r="M15" i="65"/>
  <c r="O15" i="65"/>
  <c r="M16" i="65"/>
  <c r="O16" i="65"/>
  <c r="M17" i="65"/>
  <c r="O17" i="65"/>
  <c r="M18" i="65"/>
  <c r="O18" i="65"/>
  <c r="M19" i="65"/>
  <c r="O19" i="65"/>
  <c r="M20" i="65"/>
  <c r="O20" i="65"/>
  <c r="M21" i="65"/>
  <c r="O21" i="65"/>
  <c r="M22" i="65"/>
  <c r="O22" i="65"/>
  <c r="M23" i="65"/>
  <c r="O23" i="65"/>
  <c r="M24" i="65"/>
  <c r="O24" i="65"/>
  <c r="O53" i="60"/>
  <c r="P49" i="60"/>
  <c r="P28" i="60"/>
  <c r="P29" i="60"/>
  <c r="P30" i="60"/>
  <c r="P31" i="60"/>
  <c r="P32" i="60"/>
  <c r="P33" i="60"/>
  <c r="N49" i="60"/>
  <c r="N20" i="60"/>
  <c r="N21" i="60"/>
  <c r="O39" i="60"/>
  <c r="O40" i="60"/>
  <c r="O41" i="60"/>
  <c r="O42" i="60"/>
  <c r="O43" i="60"/>
  <c r="O44" i="60"/>
  <c r="O45" i="60"/>
  <c r="O46" i="60"/>
  <c r="O47" i="60"/>
  <c r="O21" i="60"/>
  <c r="M9" i="60"/>
  <c r="O9" i="60"/>
  <c r="M10" i="60"/>
  <c r="O10" i="60" s="1"/>
  <c r="M11" i="60"/>
  <c r="O11" i="60"/>
  <c r="M12" i="60"/>
  <c r="O12" i="60" s="1"/>
  <c r="M13" i="60"/>
  <c r="O13" i="60"/>
  <c r="M14" i="60"/>
  <c r="M15" i="60"/>
  <c r="O15" i="60"/>
  <c r="M23" i="60"/>
  <c r="N48" i="59"/>
  <c r="N22" i="59"/>
  <c r="N23" i="59"/>
  <c r="N24" i="59"/>
  <c r="N25" i="59"/>
  <c r="N26" i="59"/>
  <c r="N27" i="59"/>
  <c r="N28" i="59"/>
  <c r="M9" i="59"/>
  <c r="M10" i="59"/>
  <c r="M11" i="59"/>
  <c r="M12" i="59"/>
  <c r="M13" i="59"/>
  <c r="M14" i="59"/>
  <c r="M15" i="59"/>
  <c r="M16" i="59"/>
  <c r="M17" i="59"/>
  <c r="N45" i="58"/>
  <c r="N27" i="58"/>
  <c r="N29" i="58"/>
  <c r="N31" i="58"/>
  <c r="N47" i="58" s="1"/>
  <c r="N51" i="58" s="1"/>
  <c r="M29" i="58"/>
  <c r="M10" i="58"/>
  <c r="M11" i="58"/>
  <c r="M12" i="58"/>
  <c r="M13" i="58"/>
  <c r="M14" i="58"/>
  <c r="M15" i="58"/>
  <c r="M16" i="58"/>
  <c r="M17" i="58"/>
  <c r="M18" i="58"/>
  <c r="M19" i="58"/>
  <c r="M20" i="58"/>
  <c r="M21" i="58"/>
  <c r="M22" i="58"/>
  <c r="M24" i="58"/>
  <c r="M31" i="58" s="1"/>
  <c r="M47" i="58" s="1"/>
  <c r="O47" i="58" s="1"/>
  <c r="N33" i="56"/>
  <c r="N19" i="56"/>
  <c r="N35" i="56" s="1"/>
  <c r="N39" i="56" s="1"/>
  <c r="M42" i="55"/>
  <c r="M26" i="55"/>
  <c r="M27" i="55"/>
  <c r="M28" i="55"/>
  <c r="L10" i="55"/>
  <c r="L11" i="55"/>
  <c r="L12" i="55"/>
  <c r="L13" i="55"/>
  <c r="L14" i="55"/>
  <c r="L15" i="55"/>
  <c r="L16" i="55"/>
  <c r="L17" i="55"/>
  <c r="L18" i="55"/>
  <c r="L19" i="55"/>
  <c r="L20" i="55"/>
  <c r="L21" i="55"/>
  <c r="O48" i="54"/>
  <c r="Q44" i="54"/>
  <c r="Q30" i="54"/>
  <c r="Q32" i="54"/>
  <c r="P44" i="54"/>
  <c r="P29" i="54"/>
  <c r="P32" i="54" s="1"/>
  <c r="N44" i="54"/>
  <c r="N20" i="54"/>
  <c r="N21" i="54"/>
  <c r="O21" i="54" s="1"/>
  <c r="N22" i="54"/>
  <c r="O36" i="54"/>
  <c r="O37" i="54"/>
  <c r="O38" i="54"/>
  <c r="O39" i="54"/>
  <c r="O40" i="54"/>
  <c r="O41" i="54"/>
  <c r="O42" i="54"/>
  <c r="O44" i="54"/>
  <c r="O22" i="54"/>
  <c r="M9" i="54"/>
  <c r="O9" i="54"/>
  <c r="M10" i="54"/>
  <c r="O10" i="54" s="1"/>
  <c r="M11" i="54"/>
  <c r="O11" i="54"/>
  <c r="M12" i="54"/>
  <c r="O12" i="54" s="1"/>
  <c r="M13" i="54"/>
  <c r="O13" i="54"/>
  <c r="M14" i="54"/>
  <c r="O14" i="54" s="1"/>
  <c r="M15" i="54"/>
  <c r="O15" i="54"/>
  <c r="M24" i="54"/>
  <c r="M17" i="54"/>
  <c r="M26" i="54" s="1"/>
  <c r="M46" i="54" s="1"/>
  <c r="M50" i="54" s="1"/>
  <c r="J24" i="54"/>
  <c r="J26" i="54"/>
  <c r="K24" i="54"/>
  <c r="K26" i="54" s="1"/>
  <c r="L24" i="54"/>
  <c r="P17" i="54"/>
  <c r="P26" i="54" s="1"/>
  <c r="Q17" i="54"/>
  <c r="Q26" i="54"/>
  <c r="I24" i="54"/>
  <c r="N36" i="52"/>
  <c r="N20" i="52"/>
  <c r="N38" i="52" s="1"/>
  <c r="N48" i="52" s="1"/>
  <c r="M9" i="52"/>
  <c r="M10" i="52"/>
  <c r="M11" i="52"/>
  <c r="M12" i="52"/>
  <c r="M13" i="52"/>
  <c r="M14" i="52"/>
  <c r="M15" i="52"/>
  <c r="N23" i="114"/>
  <c r="N40" i="114"/>
  <c r="N44" i="114" s="1"/>
  <c r="M17" i="113"/>
  <c r="M16" i="113"/>
  <c r="M15" i="113"/>
  <c r="M14" i="113"/>
  <c r="M13" i="113"/>
  <c r="M12" i="113"/>
  <c r="M11" i="113"/>
  <c r="M10" i="113"/>
  <c r="M19" i="113" s="1"/>
  <c r="M37" i="113" s="1"/>
  <c r="M41" i="113" s="1"/>
  <c r="L16" i="112"/>
  <c r="L15" i="112"/>
  <c r="L14" i="112"/>
  <c r="L13" i="112"/>
  <c r="L12" i="112"/>
  <c r="L11" i="112"/>
  <c r="L10" i="112"/>
  <c r="L9" i="112"/>
  <c r="J27" i="111"/>
  <c r="K27" i="111"/>
  <c r="L27" i="111"/>
  <c r="M27" i="111"/>
  <c r="I27" i="111"/>
  <c r="N25" i="111"/>
  <c r="N24" i="111"/>
  <c r="N42" i="111"/>
  <c r="N21" i="111"/>
  <c r="M19" i="111"/>
  <c r="M18" i="111"/>
  <c r="M17" i="111"/>
  <c r="M16" i="111"/>
  <c r="M15" i="111"/>
  <c r="M14" i="111"/>
  <c r="M13" i="111"/>
  <c r="M12" i="111"/>
  <c r="M11" i="111"/>
  <c r="M10" i="111"/>
  <c r="M9" i="111"/>
  <c r="M14" i="110"/>
  <c r="O14" i="110" s="1"/>
  <c r="O44" i="110"/>
  <c r="N40" i="110"/>
  <c r="O38" i="110"/>
  <c r="O37" i="110"/>
  <c r="O36" i="110"/>
  <c r="O35" i="110"/>
  <c r="O34" i="110"/>
  <c r="O33" i="110"/>
  <c r="O32" i="110"/>
  <c r="O31" i="110"/>
  <c r="O30" i="110"/>
  <c r="O29" i="110"/>
  <c r="O27" i="110"/>
  <c r="L22" i="110"/>
  <c r="K22" i="110"/>
  <c r="J22" i="110"/>
  <c r="I22" i="110"/>
  <c r="N20" i="110"/>
  <c r="N22" i="110" s="1"/>
  <c r="N24" i="110" s="1"/>
  <c r="M15" i="110"/>
  <c r="O15" i="110"/>
  <c r="M13" i="110"/>
  <c r="O13" i="110" s="1"/>
  <c r="M12" i="110"/>
  <c r="O12" i="110"/>
  <c r="M11" i="110"/>
  <c r="O11" i="110" s="1"/>
  <c r="M10" i="110"/>
  <c r="O10" i="110"/>
  <c r="M9" i="110"/>
  <c r="M8" i="110"/>
  <c r="N34" i="109"/>
  <c r="N21" i="109"/>
  <c r="M19" i="109"/>
  <c r="M18" i="109"/>
  <c r="M17" i="109"/>
  <c r="M16" i="109"/>
  <c r="M15" i="109"/>
  <c r="M14" i="109"/>
  <c r="M13" i="109"/>
  <c r="M12" i="109"/>
  <c r="M11" i="109"/>
  <c r="M10" i="109"/>
  <c r="M9" i="109"/>
  <c r="M21" i="109" s="1"/>
  <c r="M36" i="109" s="1"/>
  <c r="M40" i="109" s="1"/>
  <c r="O23" i="108"/>
  <c r="O25" i="108" s="1"/>
  <c r="M13" i="108"/>
  <c r="M14" i="108"/>
  <c r="M15" i="108"/>
  <c r="M16" i="108"/>
  <c r="N45" i="108"/>
  <c r="M25" i="108"/>
  <c r="L25" i="108"/>
  <c r="K25" i="108"/>
  <c r="J25" i="108"/>
  <c r="I25" i="108"/>
  <c r="N22" i="108"/>
  <c r="N25" i="108" s="1"/>
  <c r="N19" i="108"/>
  <c r="M17" i="108"/>
  <c r="M12" i="108"/>
  <c r="M11" i="108"/>
  <c r="M10" i="108"/>
  <c r="M15" i="107"/>
  <c r="M17" i="107"/>
  <c r="M16" i="107"/>
  <c r="M14" i="107"/>
  <c r="M13" i="107"/>
  <c r="M12" i="107"/>
  <c r="M11" i="107"/>
  <c r="M10" i="107"/>
  <c r="M9" i="107"/>
  <c r="J24" i="110"/>
  <c r="I24" i="110"/>
  <c r="K24" i="110"/>
  <c r="O8" i="110"/>
  <c r="O20" i="110"/>
  <c r="O22" i="110" s="1"/>
  <c r="N47" i="108"/>
  <c r="N51" i="108" s="1"/>
  <c r="O45" i="108"/>
  <c r="O19" i="108"/>
  <c r="M19" i="108"/>
  <c r="M47" i="108" s="1"/>
  <c r="M51" i="108" s="1"/>
  <c r="M19" i="107"/>
  <c r="M38" i="107" s="1"/>
  <c r="N24" i="106"/>
  <c r="O24" i="106" s="1"/>
  <c r="M15" i="106"/>
  <c r="O15" i="106"/>
  <c r="O58" i="106"/>
  <c r="P54" i="106"/>
  <c r="N54" i="106"/>
  <c r="O52" i="106"/>
  <c r="O51" i="106"/>
  <c r="O50" i="106"/>
  <c r="O49" i="106"/>
  <c r="O48" i="106"/>
  <c r="O47" i="106"/>
  <c r="O46" i="106"/>
  <c r="O45" i="106"/>
  <c r="O41" i="106"/>
  <c r="N41" i="106"/>
  <c r="M41" i="106"/>
  <c r="L41" i="106"/>
  <c r="K41" i="106"/>
  <c r="J41" i="106"/>
  <c r="I41" i="106"/>
  <c r="P39" i="106"/>
  <c r="P38" i="106"/>
  <c r="P37" i="106"/>
  <c r="P36" i="106"/>
  <c r="P35" i="106"/>
  <c r="P34" i="106"/>
  <c r="P33" i="106"/>
  <c r="P28" i="106"/>
  <c r="M28" i="106"/>
  <c r="L28" i="106"/>
  <c r="K28" i="106"/>
  <c r="J28" i="106"/>
  <c r="I28" i="106"/>
  <c r="M61" i="121" s="1"/>
  <c r="L61" i="121" s="1"/>
  <c r="N26" i="106"/>
  <c r="O26" i="106" s="1"/>
  <c r="N25" i="106"/>
  <c r="O25" i="106"/>
  <c r="N23" i="106"/>
  <c r="P20" i="106"/>
  <c r="P30" i="106" s="1"/>
  <c r="M18" i="106"/>
  <c r="O18" i="106"/>
  <c r="M17" i="106"/>
  <c r="O17" i="106" s="1"/>
  <c r="M16" i="106"/>
  <c r="O16" i="106"/>
  <c r="M14" i="106"/>
  <c r="O14" i="106" s="1"/>
  <c r="M13" i="106"/>
  <c r="O13" i="106"/>
  <c r="M12" i="106"/>
  <c r="O12" i="106" s="1"/>
  <c r="M11" i="106"/>
  <c r="O11" i="106"/>
  <c r="M10" i="106"/>
  <c r="M9" i="106"/>
  <c r="O9" i="106"/>
  <c r="M19" i="105"/>
  <c r="M18" i="105"/>
  <c r="M17" i="105"/>
  <c r="M16" i="105"/>
  <c r="M15" i="105"/>
  <c r="M14" i="105"/>
  <c r="M13" i="105"/>
  <c r="M12" i="105"/>
  <c r="M11" i="105"/>
  <c r="M10" i="105"/>
  <c r="M9" i="105"/>
  <c r="L20" i="104"/>
  <c r="K20" i="104"/>
  <c r="J20" i="104"/>
  <c r="I20" i="104"/>
  <c r="N41" i="103"/>
  <c r="O28" i="103"/>
  <c r="N19" i="103"/>
  <c r="O19" i="103" s="1"/>
  <c r="O21" i="103" s="1"/>
  <c r="L21" i="103"/>
  <c r="L23" i="103"/>
  <c r="J21" i="103"/>
  <c r="K21" i="103"/>
  <c r="I21" i="103"/>
  <c r="M56" i="121" s="1"/>
  <c r="O45" i="103"/>
  <c r="O39" i="103"/>
  <c r="O37" i="103"/>
  <c r="O36" i="103"/>
  <c r="O35" i="103"/>
  <c r="O34" i="103"/>
  <c r="O32" i="103"/>
  <c r="O31" i="103"/>
  <c r="O30" i="103"/>
  <c r="O29" i="103"/>
  <c r="O27" i="103"/>
  <c r="K23" i="103"/>
  <c r="J23" i="103"/>
  <c r="M14" i="103"/>
  <c r="O14" i="103"/>
  <c r="M13" i="103"/>
  <c r="O13" i="103"/>
  <c r="M12" i="103"/>
  <c r="O12" i="103"/>
  <c r="M11" i="103"/>
  <c r="O11" i="103"/>
  <c r="M10" i="103"/>
  <c r="O10" i="103"/>
  <c r="M9" i="103"/>
  <c r="O9" i="103"/>
  <c r="M8" i="103"/>
  <c r="O8" i="103"/>
  <c r="N56" i="102"/>
  <c r="P56" i="102"/>
  <c r="M56" i="102"/>
  <c r="O52" i="102"/>
  <c r="O56" i="102"/>
  <c r="O42" i="102"/>
  <c r="P30" i="102"/>
  <c r="P32" i="102"/>
  <c r="N21" i="102"/>
  <c r="O21" i="102"/>
  <c r="N22" i="102"/>
  <c r="O22" i="102"/>
  <c r="P48" i="102"/>
  <c r="P50" i="102" s="1"/>
  <c r="N48" i="102"/>
  <c r="O46" i="102"/>
  <c r="O45" i="102"/>
  <c r="O44" i="102"/>
  <c r="O43" i="102"/>
  <c r="O41" i="102"/>
  <c r="O40" i="102"/>
  <c r="O39" i="102"/>
  <c r="O38" i="102"/>
  <c r="O37" i="102"/>
  <c r="O36" i="102"/>
  <c r="O35" i="102"/>
  <c r="O32" i="102"/>
  <c r="N32" i="102"/>
  <c r="M32" i="102"/>
  <c r="L32" i="102"/>
  <c r="K32" i="102"/>
  <c r="J32" i="102"/>
  <c r="I32" i="102"/>
  <c r="M25" i="102"/>
  <c r="L25" i="102"/>
  <c r="K25" i="102"/>
  <c r="J25" i="102"/>
  <c r="I25" i="102"/>
  <c r="M54" i="121" s="1"/>
  <c r="N23" i="102"/>
  <c r="O23" i="102" s="1"/>
  <c r="N20" i="102"/>
  <c r="O20" i="102"/>
  <c r="O25" i="102" s="1"/>
  <c r="P17" i="102"/>
  <c r="M15" i="102"/>
  <c r="O15" i="102"/>
  <c r="M14" i="102"/>
  <c r="O14" i="102" s="1"/>
  <c r="M13" i="102"/>
  <c r="O13" i="102"/>
  <c r="M12" i="102"/>
  <c r="O12" i="102" s="1"/>
  <c r="M11" i="102"/>
  <c r="O11" i="102"/>
  <c r="M10" i="102"/>
  <c r="O10" i="102" s="1"/>
  <c r="M9" i="102"/>
  <c r="N51" i="101"/>
  <c r="O51" i="101"/>
  <c r="P51" i="101"/>
  <c r="M51" i="101"/>
  <c r="Q49" i="101"/>
  <c r="Q47" i="101"/>
  <c r="N43" i="101"/>
  <c r="Q30" i="101"/>
  <c r="Q31" i="101"/>
  <c r="Q32" i="101"/>
  <c r="Q33" i="101"/>
  <c r="Q34" i="101"/>
  <c r="Q35" i="101"/>
  <c r="Q36" i="101"/>
  <c r="Q37" i="101"/>
  <c r="Q38" i="101"/>
  <c r="Q39" i="101"/>
  <c r="Q40" i="101"/>
  <c r="Q41" i="101"/>
  <c r="N21" i="103"/>
  <c r="N23" i="103" s="1"/>
  <c r="N43" i="103" s="1"/>
  <c r="N47" i="103" s="1"/>
  <c r="I23" i="103"/>
  <c r="O47" i="108"/>
  <c r="O51" i="108" s="1"/>
  <c r="M42" i="107"/>
  <c r="I30" i="106"/>
  <c r="N60" i="106"/>
  <c r="J30" i="106"/>
  <c r="K30" i="106"/>
  <c r="M16" i="103"/>
  <c r="M23" i="103" s="1"/>
  <c r="M43" i="103" s="1"/>
  <c r="M47" i="103" s="1"/>
  <c r="I27" i="102"/>
  <c r="M17" i="102"/>
  <c r="M50" i="102" s="1"/>
  <c r="M58" i="102" s="1"/>
  <c r="P58" i="102"/>
  <c r="O9" i="102"/>
  <c r="J27" i="102"/>
  <c r="N25" i="102"/>
  <c r="N27" i="102" s="1"/>
  <c r="P25" i="102"/>
  <c r="Q22" i="101"/>
  <c r="N21" i="101"/>
  <c r="N25" i="101" s="1"/>
  <c r="Q11" i="101"/>
  <c r="Q12" i="101"/>
  <c r="Q13" i="101"/>
  <c r="Q14" i="101"/>
  <c r="Q15" i="101"/>
  <c r="Q16" i="101"/>
  <c r="Q10" i="101"/>
  <c r="M14" i="101"/>
  <c r="M15" i="101"/>
  <c r="M25" i="101"/>
  <c r="L25" i="101"/>
  <c r="K25" i="101"/>
  <c r="J25" i="101"/>
  <c r="I25" i="101"/>
  <c r="Q23" i="101"/>
  <c r="Q21" i="101"/>
  <c r="Q25" i="101" s="1"/>
  <c r="N18" i="101"/>
  <c r="M16" i="101"/>
  <c r="M13" i="101"/>
  <c r="M12" i="101"/>
  <c r="M11" i="101"/>
  <c r="M10" i="101"/>
  <c r="O42" i="100"/>
  <c r="M11" i="100"/>
  <c r="O11" i="100" s="1"/>
  <c r="O46" i="100"/>
  <c r="M24" i="100"/>
  <c r="L24" i="100"/>
  <c r="K24" i="100"/>
  <c r="J24" i="100"/>
  <c r="I24" i="100"/>
  <c r="M50" i="121" s="1"/>
  <c r="N22" i="100"/>
  <c r="N21" i="100"/>
  <c r="M16" i="100"/>
  <c r="O16" i="100"/>
  <c r="M15" i="100"/>
  <c r="O15" i="100" s="1"/>
  <c r="M14" i="100"/>
  <c r="O14" i="100"/>
  <c r="M13" i="100"/>
  <c r="O13" i="100" s="1"/>
  <c r="M12" i="100"/>
  <c r="M10" i="100"/>
  <c r="O10" i="100"/>
  <c r="P55" i="99"/>
  <c r="O47" i="99"/>
  <c r="O40" i="99"/>
  <c r="O39" i="99"/>
  <c r="P28" i="99"/>
  <c r="P30" i="99"/>
  <c r="O59" i="99"/>
  <c r="N55" i="99"/>
  <c r="O53" i="99"/>
  <c r="O51" i="99"/>
  <c r="O50" i="99"/>
  <c r="O49" i="99"/>
  <c r="O48" i="99"/>
  <c r="O46" i="99"/>
  <c r="O45" i="99"/>
  <c r="O44" i="99"/>
  <c r="O42" i="99"/>
  <c r="O41" i="99"/>
  <c r="O38" i="99"/>
  <c r="O37" i="99"/>
  <c r="O36" i="99"/>
  <c r="O35" i="99"/>
  <c r="O34" i="99"/>
  <c r="O33" i="99"/>
  <c r="O55" i="99" s="1"/>
  <c r="O30" i="99"/>
  <c r="N30" i="99"/>
  <c r="M30" i="99"/>
  <c r="L30" i="99"/>
  <c r="K30" i="99"/>
  <c r="J30" i="99"/>
  <c r="I30" i="99"/>
  <c r="P23" i="99"/>
  <c r="M23" i="99"/>
  <c r="L23" i="99"/>
  <c r="K23" i="99"/>
  <c r="J23" i="99"/>
  <c r="J25" i="99" s="1"/>
  <c r="I23" i="99"/>
  <c r="M58" i="121" s="1"/>
  <c r="L58" i="121" s="1"/>
  <c r="N21" i="99"/>
  <c r="O21" i="99"/>
  <c r="P18" i="99"/>
  <c r="M16" i="99"/>
  <c r="O16" i="99" s="1"/>
  <c r="M15" i="99"/>
  <c r="O15" i="99"/>
  <c r="M14" i="99"/>
  <c r="O14" i="99" s="1"/>
  <c r="M13" i="99"/>
  <c r="O13" i="99" s="1"/>
  <c r="M12" i="99"/>
  <c r="O12" i="99" s="1"/>
  <c r="M11" i="99"/>
  <c r="O11" i="99" s="1"/>
  <c r="M10" i="99"/>
  <c r="O10" i="99" s="1"/>
  <c r="M9" i="99"/>
  <c r="O9" i="99"/>
  <c r="O50" i="98"/>
  <c r="O40" i="98"/>
  <c r="O39" i="98"/>
  <c r="O41" i="98"/>
  <c r="M60" i="106"/>
  <c r="M18" i="101"/>
  <c r="M45" i="101" s="1"/>
  <c r="Q18" i="101"/>
  <c r="J26" i="100"/>
  <c r="I26" i="100"/>
  <c r="N48" i="100"/>
  <c r="M18" i="100"/>
  <c r="M26" i="100" s="1"/>
  <c r="O12" i="100"/>
  <c r="O21" i="100"/>
  <c r="N23" i="99"/>
  <c r="N25" i="99" s="1"/>
  <c r="I25" i="99"/>
  <c r="P57" i="99"/>
  <c r="P61" i="99" s="1"/>
  <c r="L25" i="99"/>
  <c r="N24" i="98"/>
  <c r="O54" i="98"/>
  <c r="N46" i="98"/>
  <c r="O44" i="98"/>
  <c r="O38" i="98"/>
  <c r="O37" i="98"/>
  <c r="O36" i="98"/>
  <c r="O35" i="98"/>
  <c r="O34" i="98"/>
  <c r="O33" i="98"/>
  <c r="M27" i="98"/>
  <c r="L27" i="98"/>
  <c r="K27" i="98"/>
  <c r="J27" i="98"/>
  <c r="I27" i="98"/>
  <c r="M57" i="121" s="1"/>
  <c r="N25" i="98"/>
  <c r="O25" i="98" s="1"/>
  <c r="N23" i="98"/>
  <c r="M18" i="98"/>
  <c r="O18" i="98" s="1"/>
  <c r="M17" i="98"/>
  <c r="O17" i="98" s="1"/>
  <c r="M16" i="98"/>
  <c r="O16" i="98" s="1"/>
  <c r="M14" i="98"/>
  <c r="O14" i="98" s="1"/>
  <c r="M13" i="98"/>
  <c r="O13" i="98"/>
  <c r="M12" i="98"/>
  <c r="O12" i="98" s="1"/>
  <c r="M11" i="98"/>
  <c r="O11" i="98"/>
  <c r="M10" i="98"/>
  <c r="O10" i="98" s="1"/>
  <c r="M9" i="98"/>
  <c r="M27" i="97"/>
  <c r="L27" i="97"/>
  <c r="K27" i="97"/>
  <c r="J27" i="97"/>
  <c r="I27" i="97"/>
  <c r="N16" i="97"/>
  <c r="P20" i="96"/>
  <c r="P26" i="96"/>
  <c r="P28" i="96" s="1"/>
  <c r="O33" i="96"/>
  <c r="N33" i="96"/>
  <c r="M33" i="96"/>
  <c r="L33" i="96"/>
  <c r="K33" i="96"/>
  <c r="J33" i="96"/>
  <c r="I33" i="96"/>
  <c r="M26" i="96"/>
  <c r="L26" i="96"/>
  <c r="K26" i="96"/>
  <c r="J26" i="96"/>
  <c r="J28" i="96" s="1"/>
  <c r="I26" i="96"/>
  <c r="O43" i="95"/>
  <c r="O44" i="95"/>
  <c r="P31" i="95"/>
  <c r="P32" i="95"/>
  <c r="P33" i="95"/>
  <c r="O53" i="95"/>
  <c r="P49" i="95"/>
  <c r="N49" i="95"/>
  <c r="O47" i="95"/>
  <c r="O46" i="95"/>
  <c r="O45" i="95"/>
  <c r="O42" i="95"/>
  <c r="O41" i="95"/>
  <c r="O40" i="95"/>
  <c r="O39" i="95"/>
  <c r="O35" i="95"/>
  <c r="N35" i="95"/>
  <c r="M35" i="95"/>
  <c r="L35" i="95"/>
  <c r="K35" i="95"/>
  <c r="J35" i="95"/>
  <c r="I35" i="95"/>
  <c r="P30" i="95"/>
  <c r="P35" i="95" s="1"/>
  <c r="M25" i="95"/>
  <c r="L25" i="95"/>
  <c r="K25" i="95"/>
  <c r="K27" i="95"/>
  <c r="J25" i="95"/>
  <c r="I25" i="95"/>
  <c r="M51" i="121" s="1"/>
  <c r="N23" i="95"/>
  <c r="O23" i="95"/>
  <c r="N22" i="95"/>
  <c r="O22" i="95" s="1"/>
  <c r="N21" i="95"/>
  <c r="P18" i="95"/>
  <c r="N31" i="94"/>
  <c r="N21" i="94"/>
  <c r="M19" i="94"/>
  <c r="M18" i="94"/>
  <c r="M17" i="94"/>
  <c r="M16" i="94"/>
  <c r="M15" i="94"/>
  <c r="M14" i="94"/>
  <c r="M13" i="94"/>
  <c r="M12" i="94"/>
  <c r="M11" i="94"/>
  <c r="M10" i="94"/>
  <c r="M9" i="94"/>
  <c r="N41" i="93"/>
  <c r="M37" i="93"/>
  <c r="N35" i="93"/>
  <c r="N34" i="93"/>
  <c r="N33" i="93"/>
  <c r="N32" i="93"/>
  <c r="N31" i="93"/>
  <c r="N30" i="93"/>
  <c r="N29" i="93"/>
  <c r="N28" i="93"/>
  <c r="N27" i="93"/>
  <c r="N26" i="93"/>
  <c r="L20" i="93"/>
  <c r="K20" i="93"/>
  <c r="J20" i="93"/>
  <c r="I20" i="93"/>
  <c r="M47" i="121" s="1"/>
  <c r="L47" i="121" s="1"/>
  <c r="M18" i="93"/>
  <c r="M20" i="93" s="1"/>
  <c r="M22" i="93"/>
  <c r="J22" i="93"/>
  <c r="L13" i="93"/>
  <c r="N13" i="93" s="1"/>
  <c r="L12" i="93"/>
  <c r="N12" i="93"/>
  <c r="L11" i="93"/>
  <c r="N11" i="93"/>
  <c r="L10" i="93"/>
  <c r="N10" i="93"/>
  <c r="L9" i="93"/>
  <c r="N21" i="92"/>
  <c r="M19" i="92"/>
  <c r="N35" i="92"/>
  <c r="N37" i="92" s="1"/>
  <c r="N41" i="92" s="1"/>
  <c r="M18" i="92"/>
  <c r="M17" i="92"/>
  <c r="M16" i="92"/>
  <c r="M15" i="92"/>
  <c r="M14" i="92"/>
  <c r="M13" i="92"/>
  <c r="M12" i="92"/>
  <c r="M11" i="92"/>
  <c r="M10" i="92"/>
  <c r="M9" i="92"/>
  <c r="M21" i="92"/>
  <c r="M37" i="92" s="1"/>
  <c r="M41" i="92" s="1"/>
  <c r="M48" i="100"/>
  <c r="O23" i="99"/>
  <c r="I29" i="98"/>
  <c r="K29" i="98"/>
  <c r="M20" i="98"/>
  <c r="O9" i="98"/>
  <c r="J29" i="98"/>
  <c r="O23" i="98"/>
  <c r="L28" i="96"/>
  <c r="K28" i="96"/>
  <c r="N25" i="95"/>
  <c r="N27" i="95" s="1"/>
  <c r="I27" i="95"/>
  <c r="L27" i="95"/>
  <c r="O49" i="95"/>
  <c r="O21" i="95"/>
  <c r="K22" i="93"/>
  <c r="M39" i="93"/>
  <c r="M43" i="93" s="1"/>
  <c r="N18" i="93"/>
  <c r="N20" i="93" s="1"/>
  <c r="N9" i="93"/>
  <c r="O52" i="91"/>
  <c r="Q48" i="91"/>
  <c r="P48" i="91"/>
  <c r="O44" i="91"/>
  <c r="Q19" i="91"/>
  <c r="N24" i="91"/>
  <c r="O24" i="91" s="1"/>
  <c r="N23" i="91"/>
  <c r="O23" i="91"/>
  <c r="N48" i="91"/>
  <c r="O46" i="91"/>
  <c r="O45" i="91"/>
  <c r="O43" i="91"/>
  <c r="O42" i="91"/>
  <c r="O41" i="91"/>
  <c r="O40" i="91"/>
  <c r="O39" i="91"/>
  <c r="O35" i="91"/>
  <c r="N35" i="91"/>
  <c r="M35" i="91"/>
  <c r="L35" i="91"/>
  <c r="K35" i="91"/>
  <c r="J35" i="91"/>
  <c r="I35" i="91"/>
  <c r="Q33" i="91"/>
  <c r="Q35" i="91"/>
  <c r="Q50" i="91" s="1"/>
  <c r="Q54" i="91" s="1"/>
  <c r="P32" i="91"/>
  <c r="M27" i="91"/>
  <c r="L27" i="91"/>
  <c r="K27" i="91"/>
  <c r="J27" i="91"/>
  <c r="I27" i="91"/>
  <c r="M45" i="121" s="1"/>
  <c r="L45" i="121" s="1"/>
  <c r="N25" i="91"/>
  <c r="O25" i="91"/>
  <c r="N22" i="91"/>
  <c r="O22" i="91" s="1"/>
  <c r="P19" i="91"/>
  <c r="M17" i="91"/>
  <c r="O17" i="91" s="1"/>
  <c r="M16" i="91"/>
  <c r="O16" i="91"/>
  <c r="M15" i="91"/>
  <c r="O15" i="91" s="1"/>
  <c r="M14" i="91"/>
  <c r="O14" i="91"/>
  <c r="M13" i="91"/>
  <c r="O13" i="91" s="1"/>
  <c r="M12" i="91"/>
  <c r="O12" i="91"/>
  <c r="M11" i="91"/>
  <c r="M10" i="91"/>
  <c r="O10" i="91"/>
  <c r="O42" i="90"/>
  <c r="O43" i="90"/>
  <c r="O44" i="90"/>
  <c r="O45" i="90"/>
  <c r="O46" i="90"/>
  <c r="O47" i="90"/>
  <c r="O48" i="90"/>
  <c r="O49" i="90"/>
  <c r="O50" i="90"/>
  <c r="O51" i="90"/>
  <c r="O52" i="90"/>
  <c r="O36" i="90"/>
  <c r="O35" i="90"/>
  <c r="N54" i="90"/>
  <c r="M29" i="90"/>
  <c r="J29" i="90"/>
  <c r="K29" i="90"/>
  <c r="K31" i="90" s="1"/>
  <c r="L29" i="90"/>
  <c r="L31" i="90" s="1"/>
  <c r="I29" i="90"/>
  <c r="M44" i="121" s="1"/>
  <c r="N27" i="90"/>
  <c r="O27" i="90"/>
  <c r="N26" i="90"/>
  <c r="O26" i="90" s="1"/>
  <c r="M20" i="90"/>
  <c r="O20" i="90"/>
  <c r="M21" i="90"/>
  <c r="O21" i="90" s="1"/>
  <c r="N23" i="90"/>
  <c r="M11" i="90"/>
  <c r="O11" i="90"/>
  <c r="O58" i="90"/>
  <c r="O41" i="90"/>
  <c r="O39" i="90"/>
  <c r="O38" i="90"/>
  <c r="M19" i="90"/>
  <c r="O19" i="90" s="1"/>
  <c r="M18" i="90"/>
  <c r="O18" i="90"/>
  <c r="M17" i="90"/>
  <c r="M16" i="90"/>
  <c r="O16" i="90"/>
  <c r="M15" i="90"/>
  <c r="O15" i="90" s="1"/>
  <c r="M14" i="90"/>
  <c r="O14" i="90"/>
  <c r="M13" i="90"/>
  <c r="O13" i="90" s="1"/>
  <c r="M12" i="90"/>
  <c r="O12" i="90"/>
  <c r="M10" i="90"/>
  <c r="O10" i="90" s="1"/>
  <c r="M9" i="90"/>
  <c r="O9" i="90"/>
  <c r="N43" i="88"/>
  <c r="M27" i="88"/>
  <c r="L27" i="88"/>
  <c r="K27" i="88"/>
  <c r="J27" i="88"/>
  <c r="I27" i="88"/>
  <c r="N25" i="88"/>
  <c r="N24" i="88"/>
  <c r="N23" i="88"/>
  <c r="N22" i="88"/>
  <c r="N19" i="88"/>
  <c r="M17" i="88"/>
  <c r="M16" i="88"/>
  <c r="M15" i="88"/>
  <c r="M13" i="88"/>
  <c r="M12" i="88"/>
  <c r="M11" i="88"/>
  <c r="M10" i="88"/>
  <c r="M9" i="87"/>
  <c r="M14" i="87"/>
  <c r="M13" i="87"/>
  <c r="M12" i="87"/>
  <c r="M11" i="87"/>
  <c r="M10" i="87"/>
  <c r="M19" i="85"/>
  <c r="M20" i="85"/>
  <c r="M21" i="85"/>
  <c r="M18" i="85"/>
  <c r="M17" i="85"/>
  <c r="M16" i="85"/>
  <c r="M15" i="85"/>
  <c r="M14" i="85"/>
  <c r="M13" i="85"/>
  <c r="M12" i="85"/>
  <c r="M11" i="85"/>
  <c r="M10" i="85"/>
  <c r="M9" i="85"/>
  <c r="O41" i="84"/>
  <c r="N37" i="84"/>
  <c r="O35" i="84"/>
  <c r="O34" i="84"/>
  <c r="O33" i="84"/>
  <c r="O32" i="84"/>
  <c r="O31" i="84"/>
  <c r="O30" i="84"/>
  <c r="O29" i="84"/>
  <c r="O28" i="84"/>
  <c r="M22" i="84"/>
  <c r="L22" i="84"/>
  <c r="K22" i="84"/>
  <c r="J22" i="84"/>
  <c r="I22" i="84"/>
  <c r="M38" i="121" s="1"/>
  <c r="N20" i="84"/>
  <c r="M15" i="84"/>
  <c r="O15" i="84"/>
  <c r="M14" i="84"/>
  <c r="O14" i="84" s="1"/>
  <c r="M13" i="84"/>
  <c r="O13" i="84"/>
  <c r="M12" i="84"/>
  <c r="O12" i="84" s="1"/>
  <c r="M11" i="84"/>
  <c r="O11" i="84"/>
  <c r="M10" i="84"/>
  <c r="O10" i="84" s="1"/>
  <c r="M9" i="84"/>
  <c r="O9" i="84"/>
  <c r="M15" i="83"/>
  <c r="M14" i="83"/>
  <c r="M13" i="83"/>
  <c r="M12" i="83"/>
  <c r="M11" i="83"/>
  <c r="M10" i="83"/>
  <c r="M9" i="83"/>
  <c r="N29" i="90"/>
  <c r="N31" i="90" s="1"/>
  <c r="O48" i="100"/>
  <c r="J29" i="91"/>
  <c r="N27" i="91"/>
  <c r="N29" i="91" s="1"/>
  <c r="K29" i="91"/>
  <c r="L29" i="91"/>
  <c r="P35" i="91"/>
  <c r="P50" i="91"/>
  <c r="P54" i="91"/>
  <c r="O48" i="91"/>
  <c r="I29" i="91"/>
  <c r="O27" i="91"/>
  <c r="P27" i="91"/>
  <c r="P29" i="91"/>
  <c r="J31" i="90"/>
  <c r="N56" i="90"/>
  <c r="N60" i="90" s="1"/>
  <c r="I31" i="90"/>
  <c r="M23" i="85"/>
  <c r="M38" i="85" s="1"/>
  <c r="M42" i="85" s="1"/>
  <c r="K24" i="84"/>
  <c r="J24" i="84"/>
  <c r="M17" i="84"/>
  <c r="M15" i="82"/>
  <c r="M14" i="82"/>
  <c r="M13" i="82"/>
  <c r="M12" i="82"/>
  <c r="M11" i="82"/>
  <c r="M10" i="82"/>
  <c r="M9" i="82"/>
  <c r="O35" i="80"/>
  <c r="O48" i="80"/>
  <c r="N44" i="80"/>
  <c r="O42" i="80"/>
  <c r="O41" i="80"/>
  <c r="O40" i="80"/>
  <c r="O39" i="80"/>
  <c r="O38" i="80"/>
  <c r="O37" i="80"/>
  <c r="O36" i="80"/>
  <c r="O34" i="80"/>
  <c r="M28" i="80"/>
  <c r="L28" i="80"/>
  <c r="L30" i="80" s="1"/>
  <c r="K28" i="80"/>
  <c r="J28" i="80"/>
  <c r="I28" i="80"/>
  <c r="M24" i="121" s="1"/>
  <c r="O58" i="79"/>
  <c r="O47" i="79"/>
  <c r="O46" i="79"/>
  <c r="N22" i="79"/>
  <c r="O22" i="79"/>
  <c r="N23" i="79"/>
  <c r="O23" i="79" s="1"/>
  <c r="N24" i="79"/>
  <c r="O24" i="79"/>
  <c r="M12" i="79"/>
  <c r="O12" i="79" s="1"/>
  <c r="P54" i="79"/>
  <c r="N54" i="79"/>
  <c r="O52" i="79"/>
  <c r="O51" i="79"/>
  <c r="O50" i="79"/>
  <c r="O49" i="79"/>
  <c r="O48" i="79"/>
  <c r="O45" i="79"/>
  <c r="O44" i="79"/>
  <c r="O43" i="79"/>
  <c r="O42" i="79"/>
  <c r="O41" i="79"/>
  <c r="O40" i="79"/>
  <c r="O36" i="79"/>
  <c r="N36" i="79"/>
  <c r="M36" i="79"/>
  <c r="L36" i="79"/>
  <c r="K36" i="79"/>
  <c r="J36" i="79"/>
  <c r="I36" i="79"/>
  <c r="P34" i="79"/>
  <c r="P33" i="79"/>
  <c r="P32" i="79"/>
  <c r="P36" i="79" s="1"/>
  <c r="P56" i="79" s="1"/>
  <c r="M27" i="79"/>
  <c r="L27" i="79"/>
  <c r="K27" i="79"/>
  <c r="J27" i="79"/>
  <c r="I27" i="79"/>
  <c r="M23" i="121" s="1"/>
  <c r="L23" i="121" s="1"/>
  <c r="N25" i="79"/>
  <c r="O25" i="79"/>
  <c r="N21" i="79"/>
  <c r="P18" i="79"/>
  <c r="M16" i="79"/>
  <c r="O16" i="79"/>
  <c r="M15" i="79"/>
  <c r="O15" i="79" s="1"/>
  <c r="M14" i="79"/>
  <c r="O14" i="79"/>
  <c r="M13" i="79"/>
  <c r="O13" i="79" s="1"/>
  <c r="M11" i="79"/>
  <c r="O11" i="79"/>
  <c r="M10" i="79"/>
  <c r="O10" i="79" s="1"/>
  <c r="M9" i="79"/>
  <c r="O9" i="79"/>
  <c r="O18" i="79" s="1"/>
  <c r="M15" i="78"/>
  <c r="M14" i="78"/>
  <c r="M13" i="78"/>
  <c r="M12" i="78"/>
  <c r="M11" i="78"/>
  <c r="M10" i="78"/>
  <c r="M9" i="78"/>
  <c r="N27" i="79"/>
  <c r="N29" i="79" s="1"/>
  <c r="N28" i="80"/>
  <c r="N30" i="80"/>
  <c r="N46" i="80" s="1"/>
  <c r="N50" i="80" s="1"/>
  <c r="J30" i="80"/>
  <c r="K30" i="80"/>
  <c r="I30" i="80"/>
  <c r="O44" i="80"/>
  <c r="L29" i="79"/>
  <c r="J29" i="79"/>
  <c r="P60" i="79"/>
  <c r="I29" i="79"/>
  <c r="M18" i="79"/>
  <c r="M29" i="79" s="1"/>
  <c r="M56" i="79" s="1"/>
  <c r="M60" i="79"/>
  <c r="O21" i="79"/>
  <c r="P27" i="79"/>
  <c r="P29" i="79"/>
  <c r="M15" i="74"/>
  <c r="M14" i="74"/>
  <c r="M13" i="74"/>
  <c r="M12" i="74"/>
  <c r="M11" i="74"/>
  <c r="M10" i="74"/>
  <c r="M9" i="74"/>
  <c r="N21" i="73"/>
  <c r="P16" i="73"/>
  <c r="O50" i="72"/>
  <c r="P37" i="72"/>
  <c r="N30" i="72"/>
  <c r="O30" i="72"/>
  <c r="N29" i="72"/>
  <c r="O29" i="72" s="1"/>
  <c r="N28" i="72"/>
  <c r="O28" i="72"/>
  <c r="N26" i="72"/>
  <c r="O26" i="72" s="1"/>
  <c r="N25" i="72"/>
  <c r="O25" i="72"/>
  <c r="M18" i="72"/>
  <c r="O18" i="72" s="1"/>
  <c r="M14" i="72"/>
  <c r="O14" i="72"/>
  <c r="M13" i="72"/>
  <c r="O13" i="72" s="1"/>
  <c r="P54" i="72"/>
  <c r="P56" i="72" s="1"/>
  <c r="P60" i="72" s="1"/>
  <c r="N54" i="72"/>
  <c r="O52" i="72"/>
  <c r="O51" i="72"/>
  <c r="O49" i="72"/>
  <c r="O48" i="72"/>
  <c r="O47" i="72"/>
  <c r="O46" i="72"/>
  <c r="O45" i="72"/>
  <c r="O44" i="72"/>
  <c r="O43" i="72"/>
  <c r="O42" i="72"/>
  <c r="O41" i="72"/>
  <c r="M33" i="72"/>
  <c r="L33" i="72"/>
  <c r="K33" i="72"/>
  <c r="J33" i="72"/>
  <c r="J35" i="72" s="1"/>
  <c r="I33" i="72"/>
  <c r="N31" i="72"/>
  <c r="O31" i="72" s="1"/>
  <c r="N24" i="72"/>
  <c r="N33" i="72" s="1"/>
  <c r="N35" i="72" s="1"/>
  <c r="P21" i="72"/>
  <c r="M19" i="72"/>
  <c r="O19" i="72" s="1"/>
  <c r="M17" i="72"/>
  <c r="O17" i="72"/>
  <c r="M16" i="72"/>
  <c r="O16" i="72" s="1"/>
  <c r="M15" i="72"/>
  <c r="O15" i="72"/>
  <c r="M12" i="72"/>
  <c r="O12" i="72" s="1"/>
  <c r="M11" i="72"/>
  <c r="O11" i="72"/>
  <c r="M10" i="72"/>
  <c r="O10" i="72" s="1"/>
  <c r="M9" i="72"/>
  <c r="M21" i="72" s="1"/>
  <c r="M56" i="72" s="1"/>
  <c r="M60" i="72" s="1"/>
  <c r="O38" i="71"/>
  <c r="N38" i="71"/>
  <c r="M38" i="71"/>
  <c r="L38" i="71"/>
  <c r="K38" i="71"/>
  <c r="J38" i="71"/>
  <c r="I38" i="71"/>
  <c r="L26" i="71"/>
  <c r="K26" i="71"/>
  <c r="K28" i="71" s="1"/>
  <c r="J26" i="71"/>
  <c r="I26" i="71"/>
  <c r="M32" i="121" s="1"/>
  <c r="P20" i="71"/>
  <c r="P26" i="71" s="1"/>
  <c r="P28" i="71" s="1"/>
  <c r="M18" i="70"/>
  <c r="M17" i="70"/>
  <c r="M16" i="70"/>
  <c r="M15" i="70"/>
  <c r="M14" i="70"/>
  <c r="M13" i="70"/>
  <c r="M12" i="70"/>
  <c r="M11" i="70"/>
  <c r="M10" i="70"/>
  <c r="L28" i="71"/>
  <c r="P21" i="73"/>
  <c r="K35" i="72"/>
  <c r="O9" i="72"/>
  <c r="O24" i="72"/>
  <c r="O33" i="72"/>
  <c r="I28" i="71"/>
  <c r="M20" i="70"/>
  <c r="M35" i="70" s="1"/>
  <c r="M39" i="70" s="1"/>
  <c r="O30" i="69"/>
  <c r="N30" i="69"/>
  <c r="M30" i="69"/>
  <c r="L30" i="69"/>
  <c r="K30" i="69"/>
  <c r="J30" i="69"/>
  <c r="I30" i="69"/>
  <c r="M22" i="69"/>
  <c r="L22" i="69"/>
  <c r="K22" i="69"/>
  <c r="J22" i="69"/>
  <c r="I22" i="69"/>
  <c r="M30" i="121" s="1"/>
  <c r="Q17" i="69"/>
  <c r="P17" i="69"/>
  <c r="N27" i="68"/>
  <c r="N29" i="68"/>
  <c r="N31" i="68" s="1"/>
  <c r="M19" i="68"/>
  <c r="O19" i="68"/>
  <c r="M18" i="68"/>
  <c r="M17" i="68"/>
  <c r="O17" i="68"/>
  <c r="O48" i="68"/>
  <c r="N44" i="68"/>
  <c r="O42" i="68"/>
  <c r="O41" i="68"/>
  <c r="O40" i="68"/>
  <c r="O39" i="68"/>
  <c r="O38" i="68"/>
  <c r="O37" i="68"/>
  <c r="O36" i="68"/>
  <c r="O35" i="68"/>
  <c r="M29" i="68"/>
  <c r="L29" i="68"/>
  <c r="K29" i="68"/>
  <c r="K31" i="68" s="1"/>
  <c r="J29" i="68"/>
  <c r="I29" i="68"/>
  <c r="M28" i="121" s="1"/>
  <c r="M22" i="68"/>
  <c r="O22" i="68"/>
  <c r="M21" i="68"/>
  <c r="O21" i="68" s="1"/>
  <c r="M20" i="68"/>
  <c r="O20" i="68"/>
  <c r="M16" i="68"/>
  <c r="O16" i="68" s="1"/>
  <c r="M14" i="68"/>
  <c r="O14" i="68"/>
  <c r="M13" i="68"/>
  <c r="O13" i="68" s="1"/>
  <c r="M12" i="68"/>
  <c r="O12" i="68"/>
  <c r="M11" i="68"/>
  <c r="O11" i="68" s="1"/>
  <c r="M10" i="68"/>
  <c r="O10" i="68"/>
  <c r="M14" i="67"/>
  <c r="M13" i="67"/>
  <c r="M12" i="67"/>
  <c r="M11" i="67"/>
  <c r="M10" i="67"/>
  <c r="M9" i="67"/>
  <c r="J24" i="69"/>
  <c r="K24" i="69"/>
  <c r="O27" i="68"/>
  <c r="I24" i="69"/>
  <c r="I31" i="68"/>
  <c r="O29" i="68"/>
  <c r="J31" i="68"/>
  <c r="L31" i="68"/>
  <c r="O30" i="66"/>
  <c r="N30" i="66"/>
  <c r="M30" i="66"/>
  <c r="L30" i="66"/>
  <c r="K30" i="66"/>
  <c r="J30" i="66"/>
  <c r="I30" i="66"/>
  <c r="L23" i="66"/>
  <c r="L25" i="66" s="1"/>
  <c r="K23" i="66"/>
  <c r="J23" i="66"/>
  <c r="I23" i="66"/>
  <c r="P17" i="66"/>
  <c r="K25" i="66"/>
  <c r="N47" i="65"/>
  <c r="O45" i="65"/>
  <c r="O43" i="65"/>
  <c r="O42" i="65"/>
  <c r="O41" i="65"/>
  <c r="O36" i="65"/>
  <c r="O35" i="65"/>
  <c r="O34" i="65"/>
  <c r="N31" i="65"/>
  <c r="O40" i="65"/>
  <c r="O39" i="65"/>
  <c r="O38" i="65"/>
  <c r="O37" i="65"/>
  <c r="L31" i="65"/>
  <c r="K31" i="65"/>
  <c r="J31" i="65"/>
  <c r="M15" i="63"/>
  <c r="M16" i="63"/>
  <c r="M14" i="63"/>
  <c r="M13" i="63"/>
  <c r="M12" i="63"/>
  <c r="M11" i="63"/>
  <c r="M10" i="63"/>
  <c r="M9" i="63"/>
  <c r="L15" i="62"/>
  <c r="L14" i="62"/>
  <c r="L13" i="62"/>
  <c r="L12" i="62"/>
  <c r="L11" i="62"/>
  <c r="L20" i="62"/>
  <c r="L19" i="62"/>
  <c r="L18" i="62"/>
  <c r="L17" i="62"/>
  <c r="L16" i="62"/>
  <c r="L10" i="62"/>
  <c r="M15" i="61"/>
  <c r="M14" i="61"/>
  <c r="M13" i="61"/>
  <c r="M12" i="61"/>
  <c r="M11" i="61"/>
  <c r="M10" i="61"/>
  <c r="M9" i="61"/>
  <c r="L23" i="60"/>
  <c r="K23" i="60"/>
  <c r="J23" i="60"/>
  <c r="I23" i="60"/>
  <c r="M16" i="121" s="1"/>
  <c r="J25" i="66"/>
  <c r="N49" i="65"/>
  <c r="N53" i="65" s="1"/>
  <c r="I31" i="65"/>
  <c r="M26" i="65"/>
  <c r="M31" i="65"/>
  <c r="M49" i="65"/>
  <c r="M53" i="65" s="1"/>
  <c r="M17" i="61"/>
  <c r="M35" i="61" s="1"/>
  <c r="M39" i="61" s="1"/>
  <c r="O35" i="60"/>
  <c r="N35" i="60"/>
  <c r="M35" i="60"/>
  <c r="L35" i="60"/>
  <c r="K35" i="60"/>
  <c r="J35" i="60"/>
  <c r="I35" i="60"/>
  <c r="P17" i="60"/>
  <c r="L25" i="60"/>
  <c r="J25" i="60"/>
  <c r="L30" i="59"/>
  <c r="M30" i="59"/>
  <c r="K30" i="59"/>
  <c r="J30" i="59"/>
  <c r="I30" i="59"/>
  <c r="O49" i="58"/>
  <c r="O51" i="58" s="1"/>
  <c r="O43" i="58"/>
  <c r="O42" i="58"/>
  <c r="O37" i="58"/>
  <c r="O36" i="58"/>
  <c r="O35" i="58"/>
  <c r="O27" i="58"/>
  <c r="O29" i="58" s="1"/>
  <c r="O18" i="58"/>
  <c r="O15" i="58"/>
  <c r="O14" i="58"/>
  <c r="O13" i="58"/>
  <c r="O12" i="58"/>
  <c r="O11" i="58"/>
  <c r="M51" i="58"/>
  <c r="O41" i="58"/>
  <c r="O40" i="58"/>
  <c r="O39" i="58"/>
  <c r="O38" i="58"/>
  <c r="O45" i="58" s="1"/>
  <c r="L29" i="58"/>
  <c r="K29" i="58"/>
  <c r="J29" i="58"/>
  <c r="I29" i="58"/>
  <c r="M14" i="121" s="1"/>
  <c r="L31" i="58"/>
  <c r="O22" i="58"/>
  <c r="O21" i="58"/>
  <c r="O20" i="58"/>
  <c r="O19" i="58"/>
  <c r="O17" i="58"/>
  <c r="O16" i="58"/>
  <c r="M13" i="57"/>
  <c r="M15" i="57"/>
  <c r="M14" i="57"/>
  <c r="M12" i="57"/>
  <c r="M11" i="57"/>
  <c r="M10" i="57"/>
  <c r="M9" i="57"/>
  <c r="J31" i="58"/>
  <c r="I31" i="58"/>
  <c r="K31" i="58"/>
  <c r="P23" i="60"/>
  <c r="I25" i="60"/>
  <c r="O10" i="58"/>
  <c r="M17" i="57"/>
  <c r="M33" i="57" s="1"/>
  <c r="M37" i="57" s="1"/>
  <c r="M14" i="56"/>
  <c r="M13" i="56"/>
  <c r="M12" i="56"/>
  <c r="M11" i="56"/>
  <c r="M10" i="56"/>
  <c r="M9" i="56"/>
  <c r="M16" i="56" s="1"/>
  <c r="M35" i="56" s="1"/>
  <c r="M39" i="56" s="1"/>
  <c r="L30" i="55"/>
  <c r="K30" i="55"/>
  <c r="J30" i="55"/>
  <c r="I30" i="55"/>
  <c r="O32" i="54"/>
  <c r="N32" i="54"/>
  <c r="M32" i="54"/>
  <c r="L32" i="54"/>
  <c r="K32" i="54"/>
  <c r="J32" i="54"/>
  <c r="I32" i="54"/>
  <c r="M14" i="53"/>
  <c r="M13" i="53"/>
  <c r="M12" i="53"/>
  <c r="M11" i="53"/>
  <c r="M10" i="53"/>
  <c r="M9" i="53"/>
  <c r="O44" i="17"/>
  <c r="N40" i="17"/>
  <c r="M40" i="17"/>
  <c r="O38" i="17"/>
  <c r="O37" i="17"/>
  <c r="O36" i="17"/>
  <c r="O35" i="17"/>
  <c r="O34" i="17"/>
  <c r="O33" i="17"/>
  <c r="O32" i="17"/>
  <c r="O31" i="17"/>
  <c r="O30" i="17"/>
  <c r="O24" i="17"/>
  <c r="N24" i="17"/>
  <c r="M24" i="17"/>
  <c r="L24" i="17"/>
  <c r="K24" i="17"/>
  <c r="J24" i="17"/>
  <c r="I24" i="17"/>
  <c r="N19" i="17"/>
  <c r="L19" i="17"/>
  <c r="L26" i="17" s="1"/>
  <c r="K19" i="17"/>
  <c r="K26" i="17" s="1"/>
  <c r="J19" i="17"/>
  <c r="I19" i="17"/>
  <c r="I26" i="17" s="1"/>
  <c r="M17" i="17"/>
  <c r="O17" i="17" s="1"/>
  <c r="M16" i="17"/>
  <c r="O16" i="17"/>
  <c r="M15" i="17"/>
  <c r="O15" i="17" s="1"/>
  <c r="M14" i="17"/>
  <c r="O14" i="17"/>
  <c r="M13" i="17"/>
  <c r="O13" i="17" s="1"/>
  <c r="M12" i="17"/>
  <c r="O12" i="17"/>
  <c r="M11" i="17"/>
  <c r="O11" i="17"/>
  <c r="M10" i="17"/>
  <c r="O10" i="17"/>
  <c r="M9" i="17"/>
  <c r="M19" i="17" s="1"/>
  <c r="M26" i="17" s="1"/>
  <c r="M42" i="17" s="1"/>
  <c r="O9" i="17"/>
  <c r="J26" i="17"/>
  <c r="O19" i="17"/>
  <c r="O26" i="17" s="1"/>
  <c r="N26" i="17"/>
  <c r="N42" i="17"/>
  <c r="N46" i="17"/>
  <c r="O40" i="17" l="1"/>
  <c r="M16" i="53"/>
  <c r="M34" i="53" s="1"/>
  <c r="M38" i="53" s="1"/>
  <c r="O24" i="58"/>
  <c r="M18" i="63"/>
  <c r="M34" i="63" s="1"/>
  <c r="M38" i="63" s="1"/>
  <c r="O47" i="65"/>
  <c r="M16" i="67"/>
  <c r="M32" i="67" s="1"/>
  <c r="M36" i="67" s="1"/>
  <c r="O54" i="72"/>
  <c r="M17" i="74"/>
  <c r="M32" i="74" s="1"/>
  <c r="M36" i="74" s="1"/>
  <c r="M17" i="78"/>
  <c r="M31" i="78" s="1"/>
  <c r="M35" i="78" s="1"/>
  <c r="O54" i="79"/>
  <c r="M17" i="82"/>
  <c r="M33" i="82" s="1"/>
  <c r="M37" i="82" s="1"/>
  <c r="M17" i="83"/>
  <c r="M34" i="83" s="1"/>
  <c r="M38" i="83" s="1"/>
  <c r="O17" i="84"/>
  <c r="O37" i="84"/>
  <c r="M16" i="87"/>
  <c r="M28" i="87" s="1"/>
  <c r="M32" i="87" s="1"/>
  <c r="M19" i="88"/>
  <c r="M45" i="88" s="1"/>
  <c r="M53" i="88" s="1"/>
  <c r="N27" i="88"/>
  <c r="N45" i="88" s="1"/>
  <c r="N53" i="88" s="1"/>
  <c r="O54" i="90"/>
  <c r="L15" i="93"/>
  <c r="N15" i="93"/>
  <c r="N22" i="93" s="1"/>
  <c r="M21" i="94"/>
  <c r="M33" i="94" s="1"/>
  <c r="M37" i="94" s="1"/>
  <c r="N33" i="94"/>
  <c r="N37" i="94" s="1"/>
  <c r="O20" i="98"/>
  <c r="O46" i="98"/>
  <c r="N57" i="99"/>
  <c r="N61" i="99" s="1"/>
  <c r="N24" i="100"/>
  <c r="N26" i="100" s="1"/>
  <c r="Q51" i="101"/>
  <c r="M53" i="101"/>
  <c r="O48" i="102"/>
  <c r="O16" i="103"/>
  <c r="O23" i="103" s="1"/>
  <c r="O41" i="103"/>
  <c r="O43" i="103" s="1"/>
  <c r="M21" i="105"/>
  <c r="M38" i="105" s="1"/>
  <c r="M42" i="105" s="1"/>
  <c r="O54" i="106"/>
  <c r="N36" i="109"/>
  <c r="N40" i="109" s="1"/>
  <c r="O40" i="110"/>
  <c r="M21" i="111"/>
  <c r="M44" i="111" s="1"/>
  <c r="M48" i="111" s="1"/>
  <c r="N27" i="111"/>
  <c r="L18" i="112"/>
  <c r="L33" i="112" s="1"/>
  <c r="L37" i="112" s="1"/>
  <c r="L23" i="55"/>
  <c r="L44" i="55" s="1"/>
  <c r="L48" i="55" s="1"/>
  <c r="N30" i="59"/>
  <c r="N50" i="59" s="1"/>
  <c r="N60" i="59" s="1"/>
  <c r="N23" i="60"/>
  <c r="N25" i="60" s="1"/>
  <c r="N51" i="60" s="1"/>
  <c r="N55" i="60" s="1"/>
  <c r="O26" i="65"/>
  <c r="O31" i="65" s="1"/>
  <c r="O17" i="66"/>
  <c r="O20" i="71"/>
  <c r="M22" i="115"/>
  <c r="M33" i="115" s="1"/>
  <c r="M37" i="115" s="1"/>
  <c r="P45" i="101"/>
  <c r="P53" i="101" s="1"/>
  <c r="O45" i="101"/>
  <c r="O48" i="97"/>
  <c r="O60" i="106"/>
  <c r="N35" i="75"/>
  <c r="N39" i="75" s="1"/>
  <c r="O48" i="117"/>
  <c r="O21" i="117"/>
  <c r="P47" i="120"/>
  <c r="P51" i="120" s="1"/>
  <c r="O8" i="3"/>
  <c r="L26" i="54"/>
  <c r="O9" i="3"/>
  <c r="R9" i="3" s="1"/>
  <c r="O10" i="3"/>
  <c r="O11" i="3"/>
  <c r="R11" i="3" s="1"/>
  <c r="O12" i="3"/>
  <c r="O13" i="3"/>
  <c r="R13" i="3" s="1"/>
  <c r="O14" i="3"/>
  <c r="R14" i="3" s="1"/>
  <c r="O15" i="3"/>
  <c r="K25" i="60"/>
  <c r="O16" i="3"/>
  <c r="O17" i="3"/>
  <c r="R17" i="3" s="1"/>
  <c r="O18" i="3"/>
  <c r="R18" i="3" s="1"/>
  <c r="O19" i="3"/>
  <c r="R19" i="3" s="1"/>
  <c r="O20" i="3"/>
  <c r="O22" i="3"/>
  <c r="R22" i="3" s="1"/>
  <c r="O23" i="3"/>
  <c r="R23" i="3" s="1"/>
  <c r="O24" i="3"/>
  <c r="R24" i="3" s="1"/>
  <c r="O25" i="3"/>
  <c r="R25" i="3" s="1"/>
  <c r="O26" i="3"/>
  <c r="R26" i="3" s="1"/>
  <c r="O27" i="3"/>
  <c r="R27" i="3" s="1"/>
  <c r="O28" i="3"/>
  <c r="O29" i="3"/>
  <c r="R29" i="3" s="1"/>
  <c r="O30" i="3"/>
  <c r="R30" i="3" s="1"/>
  <c r="O31" i="3"/>
  <c r="J28" i="71"/>
  <c r="O32" i="3"/>
  <c r="R32" i="3" s="1"/>
  <c r="O33" i="3"/>
  <c r="R33" i="3" s="1"/>
  <c r="L35" i="72"/>
  <c r="O34" i="3"/>
  <c r="R34" i="3" s="1"/>
  <c r="O35" i="3"/>
  <c r="R35" i="3" s="1"/>
  <c r="O36" i="3"/>
  <c r="O37" i="3"/>
  <c r="R37" i="3" s="1"/>
  <c r="O38" i="3"/>
  <c r="R38" i="3" s="1"/>
  <c r="O39" i="3"/>
  <c r="R39" i="3" s="1"/>
  <c r="O40" i="3"/>
  <c r="O41" i="3"/>
  <c r="R41" i="3" s="1"/>
  <c r="O42" i="3"/>
  <c r="R42" i="3" s="1"/>
  <c r="O43" i="3"/>
  <c r="R43" i="3" s="1"/>
  <c r="O44" i="3"/>
  <c r="O45" i="3"/>
  <c r="R45" i="3" s="1"/>
  <c r="O46" i="3"/>
  <c r="R46" i="3" s="1"/>
  <c r="O48" i="3"/>
  <c r="O47" i="3"/>
  <c r="O49" i="3"/>
  <c r="R49" i="3" s="1"/>
  <c r="K26" i="100"/>
  <c r="O50" i="3"/>
  <c r="R50" i="3" s="1"/>
  <c r="O51" i="3"/>
  <c r="R51" i="3" s="1"/>
  <c r="O52" i="3"/>
  <c r="O53" i="3"/>
  <c r="R53" i="3" s="1"/>
  <c r="K27" i="102"/>
  <c r="O54" i="3"/>
  <c r="R54" i="3" s="1"/>
  <c r="O55" i="3"/>
  <c r="R55" i="3" s="1"/>
  <c r="O56" i="3"/>
  <c r="L29" i="98"/>
  <c r="O57" i="3"/>
  <c r="R57" i="3" s="1"/>
  <c r="K25" i="99"/>
  <c r="O58" i="3"/>
  <c r="R58" i="3" s="1"/>
  <c r="O59" i="3"/>
  <c r="R59" i="3" s="1"/>
  <c r="O60" i="3"/>
  <c r="R60" i="3" s="1"/>
  <c r="O61" i="3"/>
  <c r="R61" i="3" s="1"/>
  <c r="O62" i="3"/>
  <c r="R62" i="3" s="1"/>
  <c r="O63" i="3"/>
  <c r="R63" i="3" s="1"/>
  <c r="O64" i="3"/>
  <c r="L24" i="110"/>
  <c r="O65" i="3"/>
  <c r="R65" i="3" s="1"/>
  <c r="O66" i="3"/>
  <c r="R66" i="3" s="1"/>
  <c r="O67" i="3"/>
  <c r="R67" i="3" s="1"/>
  <c r="O68" i="3"/>
  <c r="L29" i="120"/>
  <c r="K29" i="120"/>
  <c r="O69" i="3"/>
  <c r="R69" i="3" s="1"/>
  <c r="O70" i="3"/>
  <c r="R70" i="3" s="1"/>
  <c r="L32" i="121"/>
  <c r="L50" i="121"/>
  <c r="P67" i="3"/>
  <c r="Q67" i="3" s="1"/>
  <c r="P65" i="3"/>
  <c r="Q65" i="3" s="1"/>
  <c r="P62" i="3"/>
  <c r="Q62" i="3" s="1"/>
  <c r="P61" i="3"/>
  <c r="P58" i="3"/>
  <c r="Q58" i="3" s="1"/>
  <c r="P53" i="3"/>
  <c r="Q53" i="3" s="1"/>
  <c r="P51" i="3"/>
  <c r="P49" i="3"/>
  <c r="Q49" i="3" s="1"/>
  <c r="P43" i="3"/>
  <c r="Q43" i="3" s="1"/>
  <c r="P41" i="3"/>
  <c r="Q41" i="3" s="1"/>
  <c r="P39" i="3"/>
  <c r="Q39" i="3" s="1"/>
  <c r="P35" i="3"/>
  <c r="Q35" i="3" s="1"/>
  <c r="P34" i="3"/>
  <c r="P33" i="3"/>
  <c r="Q33" i="3" s="1"/>
  <c r="P30" i="3"/>
  <c r="Q30" i="3" s="1"/>
  <c r="P29" i="3"/>
  <c r="Q29" i="3" s="1"/>
  <c r="P21" i="3"/>
  <c r="Q21" i="3" s="1"/>
  <c r="P14" i="3"/>
  <c r="Q14" i="3" s="1"/>
  <c r="P13" i="3"/>
  <c r="Q13" i="3" s="1"/>
  <c r="AH62" i="3"/>
  <c r="AH54" i="3"/>
  <c r="AH50" i="3"/>
  <c r="AI50" i="3" s="1"/>
  <c r="AH38" i="3"/>
  <c r="AI38" i="3" s="1"/>
  <c r="AH30" i="3"/>
  <c r="AI30" i="3" s="1"/>
  <c r="AI17" i="3"/>
  <c r="G7" i="3"/>
  <c r="P7" i="3" s="1"/>
  <c r="AG9" i="3"/>
  <c r="AH9" i="3" s="1"/>
  <c r="AI9" i="3" s="1"/>
  <c r="Y10" i="3"/>
  <c r="AG11" i="3"/>
  <c r="AG12" i="3"/>
  <c r="N18" i="3"/>
  <c r="X72" i="3"/>
  <c r="AG18" i="3"/>
  <c r="AG19" i="3"/>
  <c r="AH19" i="3" s="1"/>
  <c r="AI19" i="3" s="1"/>
  <c r="AG20" i="3"/>
  <c r="G22" i="3"/>
  <c r="Y22" i="3"/>
  <c r="AG22" i="3"/>
  <c r="N23" i="3"/>
  <c r="P23" i="3" s="1"/>
  <c r="Q23" i="3" s="1"/>
  <c r="AG23" i="3"/>
  <c r="AH23" i="3" s="1"/>
  <c r="AI23" i="3" s="1"/>
  <c r="G24" i="3"/>
  <c r="P24" i="3" s="1"/>
  <c r="Q24" i="3" s="1"/>
  <c r="Y24" i="3"/>
  <c r="AG24" i="3"/>
  <c r="N25" i="3"/>
  <c r="P25" i="3" s="1"/>
  <c r="Q25" i="3" s="1"/>
  <c r="N26" i="3"/>
  <c r="AG26" i="3"/>
  <c r="AH26" i="3" s="1"/>
  <c r="AI26" i="3" s="1"/>
  <c r="G27" i="3"/>
  <c r="P27" i="3" s="1"/>
  <c r="Q27" i="3" s="1"/>
  <c r="AG27" i="3"/>
  <c r="AH27" i="3" s="1"/>
  <c r="AI27" i="3" s="1"/>
  <c r="Y28" i="3"/>
  <c r="AG28" i="3"/>
  <c r="AH28" i="3" s="1"/>
  <c r="AH29" i="3"/>
  <c r="AI29" i="3" s="1"/>
  <c r="AG31" i="3"/>
  <c r="G32" i="3"/>
  <c r="N32" i="3"/>
  <c r="P32" i="3" s="1"/>
  <c r="AG32" i="3"/>
  <c r="AH32" i="3" s="1"/>
  <c r="AH33" i="3"/>
  <c r="AI33" i="3" s="1"/>
  <c r="AG34" i="3"/>
  <c r="AH34" i="3" s="1"/>
  <c r="AG35" i="3"/>
  <c r="AG36" i="3"/>
  <c r="AH36" i="3" s="1"/>
  <c r="G37" i="3"/>
  <c r="P37" i="3" s="1"/>
  <c r="Q37" i="3" s="1"/>
  <c r="AG37" i="3"/>
  <c r="AH37" i="3" s="1"/>
  <c r="N38" i="3"/>
  <c r="P38" i="3" s="1"/>
  <c r="AG39" i="3"/>
  <c r="AG40" i="3"/>
  <c r="AG41" i="3"/>
  <c r="AH41" i="3" s="1"/>
  <c r="AI41" i="3" s="1"/>
  <c r="AH42" i="3"/>
  <c r="AI42" i="3" s="1"/>
  <c r="AG43" i="3"/>
  <c r="N45" i="3"/>
  <c r="P45" i="3" s="1"/>
  <c r="Q45" i="3" s="1"/>
  <c r="AG45" i="3"/>
  <c r="J72" i="3"/>
  <c r="N46" i="3"/>
  <c r="AH47" i="3"/>
  <c r="AI47" i="3" s="1"/>
  <c r="Y48" i="3"/>
  <c r="AG48" i="3"/>
  <c r="AH48" i="3" s="1"/>
  <c r="Y49" i="3"/>
  <c r="AG49" i="3"/>
  <c r="AG51" i="3"/>
  <c r="AG53" i="3"/>
  <c r="AH53" i="3" s="1"/>
  <c r="AI53" i="3" s="1"/>
  <c r="G55" i="3"/>
  <c r="P55" i="3" s="1"/>
  <c r="Q55" i="3" s="1"/>
  <c r="AG55" i="3"/>
  <c r="AG56" i="3"/>
  <c r="AH56" i="3" s="1"/>
  <c r="N57" i="3"/>
  <c r="P57" i="3" s="1"/>
  <c r="Q57" i="3" s="1"/>
  <c r="AG57" i="3"/>
  <c r="N59" i="3"/>
  <c r="P59" i="3" s="1"/>
  <c r="Q59" i="3" s="1"/>
  <c r="AG59" i="3"/>
  <c r="G60" i="3"/>
  <c r="N60" i="3"/>
  <c r="P60" i="3" s="1"/>
  <c r="Y60" i="3"/>
  <c r="AG60" i="3"/>
  <c r="AH61" i="3"/>
  <c r="AI61" i="3" s="1"/>
  <c r="AG63" i="3"/>
  <c r="Y64" i="3"/>
  <c r="AG64" i="3"/>
  <c r="AH64" i="3" s="1"/>
  <c r="R64" i="3"/>
  <c r="N64" i="3"/>
  <c r="P64" i="3" s="1"/>
  <c r="Q64" i="3" s="1"/>
  <c r="AG65" i="3"/>
  <c r="AH65" i="3" s="1"/>
  <c r="AI65" i="3" s="1"/>
  <c r="Y66" i="3"/>
  <c r="AG67" i="3"/>
  <c r="AG68" i="3"/>
  <c r="AH68" i="3" s="1"/>
  <c r="G69" i="3"/>
  <c r="AG69" i="3"/>
  <c r="AH69" i="3" s="1"/>
  <c r="AI69" i="3" s="1"/>
  <c r="L51" i="121"/>
  <c r="Q61" i="3"/>
  <c r="O42" i="17"/>
  <c r="O46" i="17" s="1"/>
  <c r="M46" i="17"/>
  <c r="O31" i="58"/>
  <c r="N56" i="79"/>
  <c r="N60" i="79" s="1"/>
  <c r="N28" i="106"/>
  <c r="N30" i="106" s="1"/>
  <c r="O23" i="106"/>
  <c r="O28" i="106" s="1"/>
  <c r="N26" i="117"/>
  <c r="N28" i="117" s="1"/>
  <c r="O24" i="117"/>
  <c r="O26" i="117" s="1"/>
  <c r="O28" i="117" s="1"/>
  <c r="K57" i="121"/>
  <c r="L57" i="121" s="1"/>
  <c r="D72" i="121"/>
  <c r="L22" i="62"/>
  <c r="L39" i="62" s="1"/>
  <c r="L47" i="62" s="1"/>
  <c r="M26" i="121"/>
  <c r="I25" i="66"/>
  <c r="O21" i="72"/>
  <c r="M34" i="121"/>
  <c r="I35" i="72"/>
  <c r="M35" i="72"/>
  <c r="N56" i="72"/>
  <c r="N60" i="72" s="1"/>
  <c r="O20" i="84"/>
  <c r="O22" i="84" s="1"/>
  <c r="O24" i="84" s="1"/>
  <c r="O39" i="84" s="1"/>
  <c r="O43" i="84" s="1"/>
  <c r="N22" i="84"/>
  <c r="O17" i="90"/>
  <c r="O23" i="90" s="1"/>
  <c r="M23" i="90"/>
  <c r="M31" i="90" s="1"/>
  <c r="M56" i="90" s="1"/>
  <c r="M60" i="90" s="1"/>
  <c r="O18" i="99"/>
  <c r="P46" i="54"/>
  <c r="P50" i="54" s="1"/>
  <c r="M21" i="86"/>
  <c r="M32" i="86" s="1"/>
  <c r="M38" i="86" s="1"/>
  <c r="Q43" i="101"/>
  <c r="Q45" i="101" s="1"/>
  <c r="Q53" i="101" s="1"/>
  <c r="O24" i="98"/>
  <c r="O27" i="98" s="1"/>
  <c r="O29" i="98" s="1"/>
  <c r="O48" i="98" s="1"/>
  <c r="O56" i="98" s="1"/>
  <c r="N27" i="98"/>
  <c r="N29" i="98" s="1"/>
  <c r="P25" i="60"/>
  <c r="O44" i="68"/>
  <c r="N46" i="68"/>
  <c r="N50" i="68" s="1"/>
  <c r="O18" i="68"/>
  <c r="O24" i="68" s="1"/>
  <c r="O31" i="68" s="1"/>
  <c r="M24" i="68"/>
  <c r="M31" i="68" s="1"/>
  <c r="M46" i="68" s="1"/>
  <c r="P33" i="72"/>
  <c r="P35" i="72" s="1"/>
  <c r="O27" i="79"/>
  <c r="O29" i="79" s="1"/>
  <c r="O56" i="79" s="1"/>
  <c r="O60" i="79" s="1"/>
  <c r="M48" i="98"/>
  <c r="M56" i="98" s="1"/>
  <c r="M29" i="98"/>
  <c r="O53" i="101"/>
  <c r="O20" i="54"/>
  <c r="O24" i="54" s="1"/>
  <c r="N24" i="54"/>
  <c r="N26" i="54" s="1"/>
  <c r="N46" i="54" s="1"/>
  <c r="N50" i="54" s="1"/>
  <c r="O11" i="80"/>
  <c r="M23" i="80"/>
  <c r="M16" i="119"/>
  <c r="M33" i="119" s="1"/>
  <c r="M37" i="119" s="1"/>
  <c r="L26" i="121"/>
  <c r="O35" i="72"/>
  <c r="O56" i="72" s="1"/>
  <c r="O60" i="72" s="1"/>
  <c r="M30" i="80"/>
  <c r="M46" i="80" s="1"/>
  <c r="M50" i="80" s="1"/>
  <c r="M24" i="84"/>
  <c r="M39" i="84"/>
  <c r="M43" i="84" s="1"/>
  <c r="O29" i="90"/>
  <c r="O31" i="90" s="1"/>
  <c r="O56" i="90" s="1"/>
  <c r="O60" i="90" s="1"/>
  <c r="O11" i="91"/>
  <c r="O19" i="91" s="1"/>
  <c r="O29" i="91" s="1"/>
  <c r="O50" i="91" s="1"/>
  <c r="O54" i="91" s="1"/>
  <c r="M19" i="91"/>
  <c r="N50" i="91"/>
  <c r="N54" i="91" s="1"/>
  <c r="Q27" i="91"/>
  <c r="Q29" i="91"/>
  <c r="P25" i="95"/>
  <c r="P27" i="95"/>
  <c r="P25" i="99"/>
  <c r="O18" i="100"/>
  <c r="M20" i="106"/>
  <c r="M30" i="106" s="1"/>
  <c r="O10" i="106"/>
  <c r="O20" i="106" s="1"/>
  <c r="O17" i="54"/>
  <c r="O14" i="60"/>
  <c r="M17" i="60"/>
  <c r="M25" i="60" s="1"/>
  <c r="M51" i="60" s="1"/>
  <c r="M55" i="60" s="1"/>
  <c r="O17" i="60"/>
  <c r="K29" i="79"/>
  <c r="L24" i="69"/>
  <c r="L24" i="84"/>
  <c r="L30" i="106"/>
  <c r="Q7" i="3"/>
  <c r="AH57" i="3"/>
  <c r="AI57" i="3" s="1"/>
  <c r="I22" i="93"/>
  <c r="M18" i="99"/>
  <c r="O17" i="102"/>
  <c r="N45" i="101"/>
  <c r="N53" i="101" s="1"/>
  <c r="N50" i="102"/>
  <c r="N58" i="102" s="1"/>
  <c r="O47" i="103"/>
  <c r="O9" i="110"/>
  <c r="O17" i="110" s="1"/>
  <c r="O24" i="110" s="1"/>
  <c r="O42" i="110" s="1"/>
  <c r="O46" i="110" s="1"/>
  <c r="M17" i="110"/>
  <c r="M24" i="110" s="1"/>
  <c r="M42" i="110" s="1"/>
  <c r="M46" i="110" s="1"/>
  <c r="M30" i="55"/>
  <c r="M44" i="55" s="1"/>
  <c r="M48" i="55" s="1"/>
  <c r="O49" i="60"/>
  <c r="O23" i="80"/>
  <c r="O30" i="80" s="1"/>
  <c r="O46" i="80" s="1"/>
  <c r="O50" i="80" s="1"/>
  <c r="P46" i="69"/>
  <c r="P50" i="69" s="1"/>
  <c r="M28" i="71"/>
  <c r="M57" i="71" s="1"/>
  <c r="M61" i="71" s="1"/>
  <c r="O55" i="71"/>
  <c r="O10" i="73"/>
  <c r="M16" i="73"/>
  <c r="M18" i="95"/>
  <c r="P53" i="96"/>
  <c r="P57" i="96" s="1"/>
  <c r="P67" i="96" s="1"/>
  <c r="M20" i="96"/>
  <c r="N27" i="97"/>
  <c r="N50" i="97" s="1"/>
  <c r="N54" i="97" s="1"/>
  <c r="O19" i="97"/>
  <c r="O27" i="97" s="1"/>
  <c r="M21" i="75"/>
  <c r="M35" i="75" s="1"/>
  <c r="M39" i="75" s="1"/>
  <c r="M18" i="120"/>
  <c r="M29" i="120" s="1"/>
  <c r="M47" i="120" s="1"/>
  <c r="M51" i="120" s="1"/>
  <c r="O45" i="120"/>
  <c r="L24" i="121"/>
  <c r="L54" i="121"/>
  <c r="Y40" i="3"/>
  <c r="AH40" i="3" s="1"/>
  <c r="AI40" i="3" s="1"/>
  <c r="V72" i="3"/>
  <c r="C72" i="121"/>
  <c r="K72" i="121" s="1"/>
  <c r="K28" i="121"/>
  <c r="L28" i="121" s="1"/>
  <c r="L38" i="121"/>
  <c r="I24" i="84"/>
  <c r="O25" i="95"/>
  <c r="J27" i="95"/>
  <c r="N51" i="95"/>
  <c r="N55" i="95" s="1"/>
  <c r="M53" i="121"/>
  <c r="L53" i="121" s="1"/>
  <c r="I28" i="96"/>
  <c r="N48" i="98"/>
  <c r="N56" i="98" s="1"/>
  <c r="O22" i="100"/>
  <c r="O24" i="100" s="1"/>
  <c r="O26" i="100" s="1"/>
  <c r="P27" i="102"/>
  <c r="M27" i="102"/>
  <c r="N44" i="111"/>
  <c r="N48" i="111" s="1"/>
  <c r="M17" i="52"/>
  <c r="M38" i="52" s="1"/>
  <c r="M48" i="52" s="1"/>
  <c r="M9" i="121"/>
  <c r="I26" i="54"/>
  <c r="M19" i="59"/>
  <c r="M50" i="59" s="1"/>
  <c r="M60" i="59" s="1"/>
  <c r="O20" i="60"/>
  <c r="O23" i="60" s="1"/>
  <c r="O25" i="60" s="1"/>
  <c r="P35" i="60"/>
  <c r="P51" i="60" s="1"/>
  <c r="P55" i="60" s="1"/>
  <c r="N23" i="66"/>
  <c r="N25" i="66" s="1"/>
  <c r="N47" i="66" s="1"/>
  <c r="N51" i="66" s="1"/>
  <c r="O20" i="66"/>
  <c r="O23" i="66" s="1"/>
  <c r="O25" i="66" s="1"/>
  <c r="P47" i="66"/>
  <c r="P51" i="66" s="1"/>
  <c r="O9" i="69"/>
  <c r="O17" i="69" s="1"/>
  <c r="M17" i="69"/>
  <c r="M24" i="69" s="1"/>
  <c r="M46" i="69" s="1"/>
  <c r="M50" i="69" s="1"/>
  <c r="O44" i="69"/>
  <c r="N22" i="69"/>
  <c r="N24" i="69" s="1"/>
  <c r="N46" i="69" s="1"/>
  <c r="N50" i="69" s="1"/>
  <c r="O20" i="69"/>
  <c r="O22" i="69" s="1"/>
  <c r="O24" i="69" s="1"/>
  <c r="O26" i="71"/>
  <c r="O28" i="71" s="1"/>
  <c r="P38" i="71"/>
  <c r="P57" i="71" s="1"/>
  <c r="P61" i="71" s="1"/>
  <c r="O16" i="73"/>
  <c r="O21" i="73" s="1"/>
  <c r="O36" i="73" s="1"/>
  <c r="O40" i="73" s="1"/>
  <c r="O18" i="95"/>
  <c r="O20" i="96"/>
  <c r="O51" i="96"/>
  <c r="M21" i="117"/>
  <c r="M28" i="117" s="1"/>
  <c r="M50" i="117" s="1"/>
  <c r="O18" i="120"/>
  <c r="O21" i="120"/>
  <c r="O27" i="120" s="1"/>
  <c r="O29" i="120" s="1"/>
  <c r="N27" i="120"/>
  <c r="N29" i="120" s="1"/>
  <c r="N47" i="120" s="1"/>
  <c r="N51" i="120" s="1"/>
  <c r="L16" i="121"/>
  <c r="P11" i="3"/>
  <c r="Q11" i="3" s="1"/>
  <c r="H72" i="3"/>
  <c r="P22" i="3"/>
  <c r="Q22" i="3" s="1"/>
  <c r="L72" i="3"/>
  <c r="AH24" i="3"/>
  <c r="AI24" i="3" s="1"/>
  <c r="O25" i="99"/>
  <c r="O57" i="99" s="1"/>
  <c r="O61" i="99" s="1"/>
  <c r="N37" i="93"/>
  <c r="N39" i="93" s="1"/>
  <c r="N43" i="93" s="1"/>
  <c r="P51" i="95"/>
  <c r="P55" i="95" s="1"/>
  <c r="O27" i="102"/>
  <c r="O50" i="102" s="1"/>
  <c r="O58" i="102" s="1"/>
  <c r="P41" i="106"/>
  <c r="P56" i="106" s="1"/>
  <c r="P60" i="106" s="1"/>
  <c r="N42" i="110"/>
  <c r="N46" i="110" s="1"/>
  <c r="Q46" i="54"/>
  <c r="Q50" i="54" s="1"/>
  <c r="O45" i="66"/>
  <c r="O47" i="66" s="1"/>
  <c r="O51" i="66" s="1"/>
  <c r="N57" i="71"/>
  <c r="N61" i="71" s="1"/>
  <c r="O40" i="100"/>
  <c r="N26" i="96"/>
  <c r="N28" i="96" s="1"/>
  <c r="N53" i="96" s="1"/>
  <c r="N57" i="96" s="1"/>
  <c r="N67" i="96" s="1"/>
  <c r="O23" i="96"/>
  <c r="O26" i="96" s="1"/>
  <c r="O28" i="96" s="1"/>
  <c r="O50" i="97"/>
  <c r="O54" i="97" s="1"/>
  <c r="M15" i="104"/>
  <c r="M40" i="104" s="1"/>
  <c r="M44" i="104" s="1"/>
  <c r="L26" i="100"/>
  <c r="L27" i="102"/>
  <c r="L34" i="121"/>
  <c r="N50" i="117"/>
  <c r="N54" i="117" s="1"/>
  <c r="L14" i="121"/>
  <c r="L30" i="121"/>
  <c r="Q51" i="3"/>
  <c r="AG8" i="3"/>
  <c r="AH8" i="3" s="1"/>
  <c r="AI8" i="3" s="1"/>
  <c r="Z72" i="3"/>
  <c r="AF72" i="3"/>
  <c r="AD72" i="3"/>
  <c r="U72" i="3"/>
  <c r="Y21" i="3"/>
  <c r="AH21" i="3" s="1"/>
  <c r="AI21" i="3" s="1"/>
  <c r="AI37" i="3"/>
  <c r="Q38" i="3"/>
  <c r="M23" i="116"/>
  <c r="M39" i="116" s="1"/>
  <c r="M43" i="116" s="1"/>
  <c r="K28" i="117"/>
  <c r="M23" i="118"/>
  <c r="M40" i="118" s="1"/>
  <c r="M44" i="118" s="1"/>
  <c r="AJ72" i="3"/>
  <c r="L44" i="121"/>
  <c r="L56" i="121"/>
  <c r="P46" i="3"/>
  <c r="Q46" i="3" s="1"/>
  <c r="Q34" i="3"/>
  <c r="P26" i="3"/>
  <c r="Q26" i="3" s="1"/>
  <c r="AI64" i="3"/>
  <c r="P70" i="3"/>
  <c r="Q70" i="3" s="1"/>
  <c r="P42" i="3"/>
  <c r="Q42" i="3" s="1"/>
  <c r="P9" i="3"/>
  <c r="Q9" i="3" s="1"/>
  <c r="AI68" i="3"/>
  <c r="AI58" i="3"/>
  <c r="AI48" i="3"/>
  <c r="AI32" i="3"/>
  <c r="AB72" i="3"/>
  <c r="AG7" i="3"/>
  <c r="P8" i="3"/>
  <c r="AG16" i="3"/>
  <c r="AH16" i="3" s="1"/>
  <c r="AI16" i="3" s="1"/>
  <c r="G17" i="3"/>
  <c r="G72" i="3" s="1"/>
  <c r="F72" i="3"/>
  <c r="P19" i="3"/>
  <c r="Q19" i="3" s="1"/>
  <c r="M72" i="3"/>
  <c r="AI34" i="3"/>
  <c r="AI36" i="3"/>
  <c r="AH45" i="3"/>
  <c r="AI45" i="3" s="1"/>
  <c r="AH49" i="3"/>
  <c r="AI49" i="3" s="1"/>
  <c r="AH63" i="3"/>
  <c r="AI63" i="3" s="1"/>
  <c r="AH66" i="3"/>
  <c r="AI66" i="3" s="1"/>
  <c r="P69" i="3"/>
  <c r="Q69" i="3" s="1"/>
  <c r="P66" i="3"/>
  <c r="Q66" i="3" s="1"/>
  <c r="Q60" i="3"/>
  <c r="P54" i="3"/>
  <c r="Q54" i="3" s="1"/>
  <c r="P50" i="3"/>
  <c r="Q50" i="3" s="1"/>
  <c r="Q32" i="3"/>
  <c r="P18" i="3"/>
  <c r="Q18" i="3" s="1"/>
  <c r="AI62" i="3"/>
  <c r="AI56" i="3"/>
  <c r="AI54" i="3"/>
  <c r="AI28" i="3"/>
  <c r="Y11" i="3"/>
  <c r="AH11" i="3" s="1"/>
  <c r="AI11" i="3" s="1"/>
  <c r="S72" i="3"/>
  <c r="AH51" i="3"/>
  <c r="AI51" i="3" s="1"/>
  <c r="AH60" i="3"/>
  <c r="AI60" i="3" s="1"/>
  <c r="P63" i="3"/>
  <c r="Q63" i="3" s="1"/>
  <c r="I72" i="3"/>
  <c r="AC72" i="3"/>
  <c r="AG10" i="3"/>
  <c r="AH10" i="3" s="1"/>
  <c r="AI10" i="3" s="1"/>
  <c r="AA72" i="3"/>
  <c r="AE72" i="3"/>
  <c r="Y18" i="3"/>
  <c r="AH18" i="3" s="1"/>
  <c r="AI18" i="3" s="1"/>
  <c r="T72" i="3"/>
  <c r="AH20" i="3"/>
  <c r="AI20" i="3" s="1"/>
  <c r="AH31" i="3"/>
  <c r="AI31" i="3" s="1"/>
  <c r="AH39" i="3"/>
  <c r="AI39" i="3" s="1"/>
  <c r="AG44" i="3"/>
  <c r="AH44" i="3" s="1"/>
  <c r="AI44" i="3" s="1"/>
  <c r="AH59" i="3"/>
  <c r="AI59" i="3" s="1"/>
  <c r="AH15" i="3"/>
  <c r="AI15" i="3" s="1"/>
  <c r="W72" i="3"/>
  <c r="AH12" i="3"/>
  <c r="AI12" i="3" s="1"/>
  <c r="AH22" i="3"/>
  <c r="AI22" i="3" s="1"/>
  <c r="AH35" i="3"/>
  <c r="AI35" i="3" s="1"/>
  <c r="AH43" i="3"/>
  <c r="AI43" i="3" s="1"/>
  <c r="AH55" i="3"/>
  <c r="AI55" i="3" s="1"/>
  <c r="AH67" i="3"/>
  <c r="AI67" i="3" s="1"/>
  <c r="P68" i="3" l="1"/>
  <c r="R68" i="3"/>
  <c r="P56" i="3"/>
  <c r="R56" i="3"/>
  <c r="P52" i="3"/>
  <c r="R52" i="3"/>
  <c r="P47" i="3"/>
  <c r="R47" i="3"/>
  <c r="P48" i="3"/>
  <c r="R48" i="3"/>
  <c r="P44" i="3"/>
  <c r="R44" i="3"/>
  <c r="P40" i="3"/>
  <c r="R40" i="3"/>
  <c r="P36" i="3"/>
  <c r="R36" i="3"/>
  <c r="P31" i="3"/>
  <c r="R31" i="3"/>
  <c r="P28" i="3"/>
  <c r="R28" i="3"/>
  <c r="P20" i="3"/>
  <c r="R20" i="3"/>
  <c r="P16" i="3"/>
  <c r="R16" i="3"/>
  <c r="P15" i="3"/>
  <c r="R15" i="3"/>
  <c r="P12" i="3"/>
  <c r="R12" i="3"/>
  <c r="P10" i="3"/>
  <c r="R10" i="3"/>
  <c r="R8" i="3"/>
  <c r="O72" i="3"/>
  <c r="L22" i="93"/>
  <c r="L39" i="93"/>
  <c r="L43" i="93" s="1"/>
  <c r="O49" i="65"/>
  <c r="O53" i="65" s="1"/>
  <c r="AG72" i="3"/>
  <c r="AH7" i="3"/>
  <c r="O53" i="96"/>
  <c r="O57" i="96" s="1"/>
  <c r="O67" i="96" s="1"/>
  <c r="O46" i="69"/>
  <c r="O50" i="69" s="1"/>
  <c r="M51" i="95"/>
  <c r="M55" i="95" s="1"/>
  <c r="M27" i="95"/>
  <c r="P17" i="3"/>
  <c r="Q17" i="3" s="1"/>
  <c r="N24" i="84"/>
  <c r="N39" i="84"/>
  <c r="N43" i="84" s="1"/>
  <c r="O47" i="120"/>
  <c r="O51" i="120" s="1"/>
  <c r="M36" i="73"/>
  <c r="M40" i="73" s="1"/>
  <c r="M21" i="73"/>
  <c r="M29" i="91"/>
  <c r="M50" i="91"/>
  <c r="M54" i="91" s="1"/>
  <c r="O30" i="106"/>
  <c r="N72" i="3"/>
  <c r="Y72" i="3"/>
  <c r="M72" i="121"/>
  <c r="L9" i="121"/>
  <c r="O27" i="95"/>
  <c r="O51" i="95" s="1"/>
  <c r="O55" i="95" s="1"/>
  <c r="L72" i="121"/>
  <c r="M53" i="96"/>
  <c r="M57" i="96" s="1"/>
  <c r="M67" i="96" s="1"/>
  <c r="M28" i="96"/>
  <c r="M54" i="117"/>
  <c r="O50" i="117"/>
  <c r="O54" i="117" s="1"/>
  <c r="O57" i="71"/>
  <c r="O61" i="71" s="1"/>
  <c r="O51" i="60"/>
  <c r="O55" i="60" s="1"/>
  <c r="M57" i="99"/>
  <c r="M61" i="99" s="1"/>
  <c r="M25" i="99"/>
  <c r="O26" i="54"/>
  <c r="O46" i="54" s="1"/>
  <c r="O50" i="54" s="1"/>
  <c r="M50" i="68"/>
  <c r="O46" i="68"/>
  <c r="O50" i="68" s="1"/>
  <c r="R72" i="3" l="1"/>
  <c r="Q8" i="3"/>
  <c r="Q10" i="3"/>
  <c r="Q12" i="3"/>
  <c r="Q15" i="3"/>
  <c r="Q16" i="3"/>
  <c r="Q20" i="3"/>
  <c r="Q28" i="3"/>
  <c r="Q31" i="3"/>
  <c r="Q36" i="3"/>
  <c r="Q40" i="3"/>
  <c r="Q44" i="3"/>
  <c r="Q48" i="3"/>
  <c r="Q47" i="3"/>
  <c r="Q52" i="3"/>
  <c r="Q56" i="3"/>
  <c r="Q68" i="3"/>
  <c r="P72" i="3"/>
  <c r="Q72" i="3" s="1"/>
  <c r="AH72" i="3"/>
  <c r="AI72" i="3" s="1"/>
  <c r="AI7" i="3"/>
</calcChain>
</file>

<file path=xl/sharedStrings.xml><?xml version="1.0" encoding="utf-8"?>
<sst xmlns="http://schemas.openxmlformats.org/spreadsheetml/2006/main" count="3119" uniqueCount="720">
  <si>
    <t>Acadia County 2013 Statement of Activities</t>
  </si>
  <si>
    <t>Issued: December 31, 2013</t>
  </si>
  <si>
    <t>NET (EXPENSE) REVENUE AND CHANGE IN NET ASSETS</t>
  </si>
  <si>
    <t xml:space="preserve"> </t>
  </si>
  <si>
    <t>PROGRAM REVENUES</t>
  </si>
  <si>
    <t>PRIMARY GOVERNMENT</t>
  </si>
  <si>
    <t>FUNCTIONS/PROGRAMS</t>
  </si>
  <si>
    <t>Expenses</t>
  </si>
  <si>
    <t>Charges for Services</t>
  </si>
  <si>
    <t>Operating Grants and Contributions</t>
  </si>
  <si>
    <t>Capital Grants and Contributions</t>
  </si>
  <si>
    <t>Total Governmental Activities</t>
  </si>
  <si>
    <t>Component Units</t>
  </si>
  <si>
    <t>Primary Government:</t>
  </si>
  <si>
    <t>Government Activities:</t>
  </si>
  <si>
    <t>General government</t>
  </si>
  <si>
    <t>Public safety</t>
  </si>
  <si>
    <t>Public works</t>
  </si>
  <si>
    <t>Economic development and assistance</t>
  </si>
  <si>
    <t>Health and welfare</t>
  </si>
  <si>
    <t>Culture and recreation</t>
  </si>
  <si>
    <t>Interest on long-term debt</t>
  </si>
  <si>
    <t>Total Government Activities</t>
  </si>
  <si>
    <t>Component units:</t>
  </si>
  <si>
    <t>Acadia Parish District Criminal Court</t>
  </si>
  <si>
    <t>General Revenues:</t>
  </si>
  <si>
    <t>Taxes:</t>
  </si>
  <si>
    <t>Property</t>
  </si>
  <si>
    <t>Sales</t>
  </si>
  <si>
    <t>Severance</t>
  </si>
  <si>
    <t>Fire insurance premiums</t>
  </si>
  <si>
    <t>Occupational and insurance</t>
  </si>
  <si>
    <t>Other</t>
  </si>
  <si>
    <t>Grants and contributions not restricted to specific programs</t>
  </si>
  <si>
    <t>Investment income gains (losses)</t>
  </si>
  <si>
    <t>Loss on disposal of capital assets</t>
  </si>
  <si>
    <t>Miscellaneous</t>
  </si>
  <si>
    <t>Transfers</t>
  </si>
  <si>
    <t xml:space="preserve">Total General Revenues </t>
  </si>
  <si>
    <t>Change in Net Assets</t>
  </si>
  <si>
    <t>Net position, beginning, as previously stated</t>
  </si>
  <si>
    <t>Cumulative effect of change in accounting principle</t>
  </si>
  <si>
    <t>Prior period adjustment</t>
  </si>
  <si>
    <t>Net Assets- Beginning, restated</t>
  </si>
  <si>
    <t>Net Assets- End of Year</t>
  </si>
  <si>
    <t>Calhoun County 2010 Statement of Activities</t>
  </si>
  <si>
    <t>Issued: December 23,2011</t>
  </si>
  <si>
    <t>NET (EXPENSES) REVENUES AND CHANGES IN NET ASSETS</t>
  </si>
  <si>
    <t>Governmental Activities</t>
  </si>
  <si>
    <t>Business-type Activities</t>
  </si>
  <si>
    <t>Total</t>
  </si>
  <si>
    <t>Highways and roads</t>
  </si>
  <si>
    <t>Sanitation</t>
  </si>
  <si>
    <t>Health</t>
  </si>
  <si>
    <t>Welfare</t>
  </si>
  <si>
    <t>Education</t>
  </si>
  <si>
    <t>Business-Type Activities:</t>
  </si>
  <si>
    <t>Solid Waste</t>
  </si>
  <si>
    <t>Total Business-Type Activities</t>
  </si>
  <si>
    <t>Property taxes for general purposes</t>
  </si>
  <si>
    <t>Property taxes for specific purposes</t>
  </si>
  <si>
    <t>General Sales Tax</t>
  </si>
  <si>
    <t>Other County Sales and Use Taxes</t>
  </si>
  <si>
    <t>Grants/contributions not restricted to specific programs</t>
  </si>
  <si>
    <t>Investment Income</t>
  </si>
  <si>
    <t>Extraordinary Item (Note 17)</t>
  </si>
  <si>
    <t>Total General Revenues and Transfers</t>
  </si>
  <si>
    <t>Net Assets- Beginning of Year</t>
  </si>
  <si>
    <t>Allen County 2013 Statement of Activities</t>
  </si>
  <si>
    <t>NET (EXPENSE) REVENUE AND CHANGE IN NET POSITIONS</t>
  </si>
  <si>
    <t>Fees, Fines, and Charges for Services</t>
  </si>
  <si>
    <t>Economic development</t>
  </si>
  <si>
    <t>Other governments</t>
  </si>
  <si>
    <t>Ad valorem</t>
  </si>
  <si>
    <t>Sales and use</t>
  </si>
  <si>
    <t>State revenue sharing</t>
  </si>
  <si>
    <t>All other revenues</t>
  </si>
  <si>
    <t>Investment earnings</t>
  </si>
  <si>
    <t>Special items:</t>
  </si>
  <si>
    <t>Gain on disposal of assets</t>
  </si>
  <si>
    <t>Loss on disposal of assets</t>
  </si>
  <si>
    <t>Ascension County 2013 Statement of Activities</t>
  </si>
  <si>
    <t>COMPONENT UNITS</t>
  </si>
  <si>
    <t>Transportation and development</t>
  </si>
  <si>
    <t>Business-type Activities:</t>
  </si>
  <si>
    <t>Waste disposal facilities</t>
  </si>
  <si>
    <t>Waterworks services</t>
  </si>
  <si>
    <t>Lamar Dixon Expo center</t>
  </si>
  <si>
    <t>Total business-type Activities</t>
  </si>
  <si>
    <t>Total primary government</t>
  </si>
  <si>
    <t>Governmental activities</t>
  </si>
  <si>
    <t>Business-type activities</t>
  </si>
  <si>
    <t>Total component units</t>
  </si>
  <si>
    <t>Franchise and other</t>
  </si>
  <si>
    <t>Investment earnings (loss)</t>
  </si>
  <si>
    <t>Gain on sale of capital assets</t>
  </si>
  <si>
    <t>Assumption County 2013 Statement of Activities</t>
  </si>
  <si>
    <t>NET (EXPENSE) REVENUE AND CHANGES IN NET ASSETS</t>
  </si>
  <si>
    <t>Governmental Unit</t>
  </si>
  <si>
    <t>Legislative</t>
  </si>
  <si>
    <t>Judicial</t>
  </si>
  <si>
    <t>Executive</t>
  </si>
  <si>
    <t>Elections</t>
  </si>
  <si>
    <t>Financial and administrative</t>
  </si>
  <si>
    <t>Other general administration</t>
  </si>
  <si>
    <t>Debt service</t>
  </si>
  <si>
    <t>Waterworks District No. 1</t>
  </si>
  <si>
    <t>Assumption parish assessor</t>
  </si>
  <si>
    <t>Assumption parish clerk of court</t>
  </si>
  <si>
    <t>Local sources</t>
  </si>
  <si>
    <t>Sales and use taxes</t>
  </si>
  <si>
    <t>Other taxes</t>
  </si>
  <si>
    <t>Other revenue</t>
  </si>
  <si>
    <t>State sources</t>
  </si>
  <si>
    <t>Unrestricted revenue</t>
  </si>
  <si>
    <t>Avoyelles County 2013 Statement of Activities</t>
  </si>
  <si>
    <t>Property taxes, levied for general purposes</t>
  </si>
  <si>
    <t>Sales and use taxes, levied for general purposes</t>
  </si>
  <si>
    <t>Grants and contributions not restricted to specific programs:</t>
  </si>
  <si>
    <t>Parish equalization</t>
  </si>
  <si>
    <t>State grants</t>
  </si>
  <si>
    <t>Casino revenue</t>
  </si>
  <si>
    <t>Interest and investment earnings</t>
  </si>
  <si>
    <t>Beauregard County 2013 Statement of Activities</t>
  </si>
  <si>
    <t>Other general government activities</t>
  </si>
  <si>
    <t>Other activities</t>
  </si>
  <si>
    <t>Ad valorem taxes</t>
  </si>
  <si>
    <t>Severance taxes</t>
  </si>
  <si>
    <t>Sales taxes</t>
  </si>
  <si>
    <t>State revenue sharing, unrestricted</t>
  </si>
  <si>
    <t>Bienville County 2013 Statement of Activities</t>
  </si>
  <si>
    <t>Conservation of natural resources</t>
  </si>
  <si>
    <t>Property taxes levied for general purposes</t>
  </si>
  <si>
    <t>Property taxes levied for public works</t>
  </si>
  <si>
    <t>Property taxes levied for debt service</t>
  </si>
  <si>
    <t>Sales and use taxes levied for public works</t>
  </si>
  <si>
    <t>Other taxes, penalties, and interest</t>
  </si>
  <si>
    <t>Licenses and permits</t>
  </si>
  <si>
    <t>Unrestricted investment earnings</t>
  </si>
  <si>
    <t>Special item - Gain (loss) on disposal of assets</t>
  </si>
  <si>
    <t>Bossier County 2013 Statement of Activities</t>
  </si>
  <si>
    <t>General government:</t>
  </si>
  <si>
    <t>Zoning and planning</t>
  </si>
  <si>
    <t>Finance and administrative</t>
  </si>
  <si>
    <t>Public utilities</t>
  </si>
  <si>
    <t>Sewer and water</t>
  </si>
  <si>
    <t>Total government</t>
  </si>
  <si>
    <t>Gaming tax revenues</t>
  </si>
  <si>
    <t>Franchise taxes</t>
  </si>
  <si>
    <t>Can't distinguish the numbers on pdf, too blurry</t>
  </si>
  <si>
    <t>Caddo County 2013 Statement of Activities</t>
  </si>
  <si>
    <t>Primary Government</t>
  </si>
  <si>
    <t>Criminal justice</t>
  </si>
  <si>
    <t>Highways, streets, and drainage</t>
  </si>
  <si>
    <t>Building facilities</t>
  </si>
  <si>
    <t>Interest and fees on long-term debt</t>
  </si>
  <si>
    <t>Judicial services</t>
  </si>
  <si>
    <t>Fire protection services</t>
  </si>
  <si>
    <t>Sewerage services</t>
  </si>
  <si>
    <t>Water services</t>
  </si>
  <si>
    <t>Hospital services</t>
  </si>
  <si>
    <t>Telephone tariff</t>
  </si>
  <si>
    <t>State revenue sharing and supplemental pay</t>
  </si>
  <si>
    <t>Gaming</t>
  </si>
  <si>
    <t>Oil and gas leases</t>
  </si>
  <si>
    <t>Inmate work release revenue</t>
  </si>
  <si>
    <t>Fire insurance rebate</t>
  </si>
  <si>
    <t>Net position - beginning, as previously stated</t>
  </si>
  <si>
    <t>Adjustment - opening net position for component unit included in the current year</t>
  </si>
  <si>
    <t>Net Assets- Beginning, as restated</t>
  </si>
  <si>
    <t>Calcasieu County 2013 Statement of Activities</t>
  </si>
  <si>
    <t>Water</t>
  </si>
  <si>
    <t>Sewer</t>
  </si>
  <si>
    <t>Total Business-type Activities</t>
  </si>
  <si>
    <t>Calcasieu Parish public trust authority</t>
  </si>
  <si>
    <t>West Calcasieu Cameron Hospital</t>
  </si>
  <si>
    <t>Sulfur parks and recreation</t>
  </si>
  <si>
    <t>Gravity drainage District 4 of Ward 3</t>
  </si>
  <si>
    <t>Airport authority District No. 1</t>
  </si>
  <si>
    <t>Other component units</t>
  </si>
  <si>
    <t>Franchise</t>
  </si>
  <si>
    <t>Gaming revenues</t>
  </si>
  <si>
    <t>Caldwell County 2013 Statement of Activities</t>
  </si>
  <si>
    <t>Transportation</t>
  </si>
  <si>
    <t>Property taxes levied for:</t>
  </si>
  <si>
    <t>General purposes</t>
  </si>
  <si>
    <t>Sales and use taxes levied for:</t>
  </si>
  <si>
    <t>Other taxes, penalties and interest</t>
  </si>
  <si>
    <t>Other revenues</t>
  </si>
  <si>
    <t>Cameron County 2013 Statement of Activities</t>
  </si>
  <si>
    <t>Other general government</t>
  </si>
  <si>
    <t>Other taxes for general purposes</t>
  </si>
  <si>
    <t>Fines, forfeitures, and court costs</t>
  </si>
  <si>
    <t>Intergovernmental:</t>
  </si>
  <si>
    <t>State</t>
  </si>
  <si>
    <t>Local</t>
  </si>
  <si>
    <t>Gain (loss) on disposal of capital assets</t>
  </si>
  <si>
    <t>Interest earnings</t>
  </si>
  <si>
    <t>Net position - beginning</t>
  </si>
  <si>
    <t>Catahoula County 2013 Statement of Activities</t>
  </si>
  <si>
    <t>Interest expense</t>
  </si>
  <si>
    <t>Property taxes</t>
  </si>
  <si>
    <t>Gain (loss) on sale of capital assets</t>
  </si>
  <si>
    <t>Proceeds from insurance</t>
  </si>
  <si>
    <t>Claiborne County 2013 Statement of Activities</t>
  </si>
  <si>
    <t>Conservation</t>
  </si>
  <si>
    <t>Concordia County 2013 Statement of Activities</t>
  </si>
  <si>
    <t xml:space="preserve">Finance </t>
  </si>
  <si>
    <t>Other general</t>
  </si>
  <si>
    <t>State funds:</t>
  </si>
  <si>
    <t>Parish transportation</t>
  </si>
  <si>
    <t>Investment income</t>
  </si>
  <si>
    <t>Desoto County 2013 Statement of Activities</t>
  </si>
  <si>
    <t>Finance and administration</t>
  </si>
  <si>
    <t>Community development</t>
  </si>
  <si>
    <t>Animal control</t>
  </si>
  <si>
    <t>Eastside sewer</t>
  </si>
  <si>
    <t>Tourism taxes</t>
  </si>
  <si>
    <t>Video poker</t>
  </si>
  <si>
    <t>Gain on disposal of capital assets</t>
  </si>
  <si>
    <t>Rentals, leases and royalties</t>
  </si>
  <si>
    <t>Other miscellaneous</t>
  </si>
  <si>
    <t>Transfers:</t>
  </si>
  <si>
    <t>Interfund</t>
  </si>
  <si>
    <t>East Baton Rouge County 2013 Statement of Activities</t>
  </si>
  <si>
    <t>Conservation and development</t>
  </si>
  <si>
    <t>Interest and fiscal charges on long-term debt</t>
  </si>
  <si>
    <t>Airport</t>
  </si>
  <si>
    <t>Solid waste collection and disposal</t>
  </si>
  <si>
    <t>Convention center</t>
  </si>
  <si>
    <t>Parking facilities</t>
  </si>
  <si>
    <t>Judicial court services</t>
  </si>
  <si>
    <t>Economic development districts</t>
  </si>
  <si>
    <t>Mass transit</t>
  </si>
  <si>
    <t>Gross receipts business</t>
  </si>
  <si>
    <t>Occupancy</t>
  </si>
  <si>
    <t>Occupational</t>
  </si>
  <si>
    <t>Insurance premium</t>
  </si>
  <si>
    <t>Gaming admissions</t>
  </si>
  <si>
    <t>Interest and penalties - delinquent taxes</t>
  </si>
  <si>
    <t>Transfers (to) from other funds</t>
  </si>
  <si>
    <t>East Carroll County 2013 Statement of Activities</t>
  </si>
  <si>
    <t>Property taxes, levied for debt services</t>
  </si>
  <si>
    <t>Sales taxes, levied for general purposes</t>
  </si>
  <si>
    <t>East Feliciana County 2013 Statement of Activities</t>
  </si>
  <si>
    <t>Intergovernmental revenues</t>
  </si>
  <si>
    <t>Franchise fees</t>
  </si>
  <si>
    <t>Insurance rebates</t>
  </si>
  <si>
    <t>Fines and forfeitures</t>
  </si>
  <si>
    <t>Interest earned</t>
  </si>
  <si>
    <t>Evangeline County 2013 Statement of Activities</t>
  </si>
  <si>
    <t>Criminal Court Fund</t>
  </si>
  <si>
    <t>Ward One sewer system</t>
  </si>
  <si>
    <t>Section 8 housing program</t>
  </si>
  <si>
    <t>Criminal Court fund</t>
  </si>
  <si>
    <t>Beer taxes</t>
  </si>
  <si>
    <t>Other state grants</t>
  </si>
  <si>
    <t>Franklin County 2013 Statement of Activities</t>
  </si>
  <si>
    <t>Gain (loss) on disposal of assets</t>
  </si>
  <si>
    <t>Grant County 2013 Statement of Activities</t>
  </si>
  <si>
    <t>Road maintenance</t>
  </si>
  <si>
    <t>Landfill maintenance</t>
  </si>
  <si>
    <t>CDBG Herman Park Sewer System</t>
  </si>
  <si>
    <t>Other public works</t>
  </si>
  <si>
    <t>Utility system</t>
  </si>
  <si>
    <t>Revenue sharing</t>
  </si>
  <si>
    <t>Iberia County 2013 Statement of Activities</t>
  </si>
  <si>
    <t>Health and human services</t>
  </si>
  <si>
    <t>Urban redevelopment and housing</t>
  </si>
  <si>
    <t>Unallocated depreciation</t>
  </si>
  <si>
    <t>Component units</t>
  </si>
  <si>
    <t>Hotel/motel taxes</t>
  </si>
  <si>
    <t>Occupational licenses</t>
  </si>
  <si>
    <t>Net Assets- Beginning of Year, as restated</t>
  </si>
  <si>
    <t>Iberville County 2013 Statement of Activities</t>
  </si>
  <si>
    <t>Public health</t>
  </si>
  <si>
    <t>Water, natural gas and sewer</t>
  </si>
  <si>
    <t>Alcoholic beverage taxes</t>
  </si>
  <si>
    <t>Gaming taxes</t>
  </si>
  <si>
    <t>Unrestricted grants and contributions</t>
  </si>
  <si>
    <t>Miscellaneous revenues</t>
  </si>
  <si>
    <t>Transfers (from) to governmental activities</t>
  </si>
  <si>
    <t>Total General Revenues and transfers</t>
  </si>
  <si>
    <t>Jackson County 2013 Statement of Activities</t>
  </si>
  <si>
    <t>Severance tax</t>
  </si>
  <si>
    <t>Miscellaneous taxes</t>
  </si>
  <si>
    <t>Jefferson County 2012 Statement of Activities</t>
  </si>
  <si>
    <t>Issued: December 31, 2012</t>
  </si>
  <si>
    <t>(amounts in thousands)</t>
  </si>
  <si>
    <t>Transit</t>
  </si>
  <si>
    <t>Consolidated Waterworks District No. 1</t>
  </si>
  <si>
    <t>Consolidated Sewerage District No. 1</t>
  </si>
  <si>
    <t>JEDCO</t>
  </si>
  <si>
    <t>Jefferson Facilities, Inc</t>
  </si>
  <si>
    <t>Jefferson Redevelopment, Inc</t>
  </si>
  <si>
    <t>Jefferson Parish Finance Authority</t>
  </si>
  <si>
    <t>Hospital District No. 1</t>
  </si>
  <si>
    <t>Hospital District No. 2</t>
  </si>
  <si>
    <t>Alcoholic beverage</t>
  </si>
  <si>
    <t>Chain store</t>
  </si>
  <si>
    <t>Hotel/Motel</t>
  </si>
  <si>
    <t>Auto rental</t>
  </si>
  <si>
    <t>Gain on extinguishement of debt</t>
  </si>
  <si>
    <t>Jefferson Davis County 2013 Statement of Activities</t>
  </si>
  <si>
    <t>Sales tax</t>
  </si>
  <si>
    <t>Occupational licenses and permits</t>
  </si>
  <si>
    <t>Other general revenues</t>
  </si>
  <si>
    <t>Lafayette County 2013 Statement of Activities</t>
  </si>
  <si>
    <t>Fees, Fines and Charges for Services</t>
  </si>
  <si>
    <t>Traffic and transportation</t>
  </si>
  <si>
    <t>Streets and drainage</t>
  </si>
  <si>
    <t>Economic opportunity</t>
  </si>
  <si>
    <t>Electric</t>
  </si>
  <si>
    <t>Communications system</t>
  </si>
  <si>
    <t>Coal-fired electric plant</t>
  </si>
  <si>
    <t>Solid waste collection services</t>
  </si>
  <si>
    <t>Animal shelter control program</t>
  </si>
  <si>
    <t>CNG Service Station</t>
  </si>
  <si>
    <t>Net gain (loss) on sale of capital assets</t>
  </si>
  <si>
    <t>Lafourche County 2013 Statement of Activities</t>
  </si>
  <si>
    <t>Health and community services</t>
  </si>
  <si>
    <t>Interest and fiscal charges</t>
  </si>
  <si>
    <t>Grants not restricted to specific programs</t>
  </si>
  <si>
    <t>LaSalle County 2013 Statement of Activities</t>
  </si>
  <si>
    <t>Intergovernmental</t>
  </si>
  <si>
    <t>Special item - gain (loss) on sale of assets</t>
  </si>
  <si>
    <t>Lincoln County 2013 Statement of Activities</t>
  </si>
  <si>
    <t>Culture and Recreation</t>
  </si>
  <si>
    <t>Rents and royalties</t>
  </si>
  <si>
    <t>Transfers to other funds</t>
  </si>
  <si>
    <t>Livingston County 2013 Statement of Activities</t>
  </si>
  <si>
    <t>Debt service interest and fees</t>
  </si>
  <si>
    <t>Utilities - water and sewer</t>
  </si>
  <si>
    <t>Royalties</t>
  </si>
  <si>
    <t>Use of money and property</t>
  </si>
  <si>
    <t>Madison Parish 2013 Statement of Activities</t>
  </si>
  <si>
    <t>Other general administrative</t>
  </si>
  <si>
    <t>Other taxes and penalties</t>
  </si>
  <si>
    <t>Total General Revenues and Special Items</t>
  </si>
  <si>
    <t>Change in Net position</t>
  </si>
  <si>
    <t>Net position- beginning of year</t>
  </si>
  <si>
    <t>Net position- end of year</t>
  </si>
  <si>
    <t>Morehouse Parish 2013 Statement of Activities</t>
  </si>
  <si>
    <t>Building maintenance</t>
  </si>
  <si>
    <t>Debt service interest</t>
  </si>
  <si>
    <t>Taxes</t>
  </si>
  <si>
    <t>Unrestricted investment earnings and miscellaneous</t>
  </si>
  <si>
    <t>Special item:</t>
  </si>
  <si>
    <t>Natchitoches County 2013 Statement of Activities</t>
  </si>
  <si>
    <t>Recreation and culture</t>
  </si>
  <si>
    <t>Interest</t>
  </si>
  <si>
    <t>Orleans County 2013 Statement of Activities</t>
  </si>
  <si>
    <t>Urban development and housing</t>
  </si>
  <si>
    <t>Audubon commission</t>
  </si>
  <si>
    <t>Louis Armstrong New Orleans International Airport</t>
  </si>
  <si>
    <t>Sewerage and water board</t>
  </si>
  <si>
    <t>Other nonmajor component units</t>
  </si>
  <si>
    <t>Utility taxes</t>
  </si>
  <si>
    <t>Culture and recreation taxes</t>
  </si>
  <si>
    <t>Parking taxes</t>
  </si>
  <si>
    <t>Beverage taxes</t>
  </si>
  <si>
    <t>Unrestricted investment income</t>
  </si>
  <si>
    <t>Passenger facility charges</t>
  </si>
  <si>
    <t>Forgiveness of loan principal and accrued interest</t>
  </si>
  <si>
    <t>Net position - beginning of year</t>
  </si>
  <si>
    <t>Prior period adjustments</t>
  </si>
  <si>
    <t>Ouachita County 2013 Statement of Activities</t>
  </si>
  <si>
    <t>Economic and governmental assistance</t>
  </si>
  <si>
    <t>Ad valorem taxes levied for:</t>
  </si>
  <si>
    <t>Special revenue purposes</t>
  </si>
  <si>
    <t>Sales taxes levied for:</t>
  </si>
  <si>
    <t>Assessments</t>
  </si>
  <si>
    <t>Insurance premiums</t>
  </si>
  <si>
    <t>Gain on disposals of assets (net)</t>
  </si>
  <si>
    <t>Plaquemines Parish 2013 Statement of Activities</t>
  </si>
  <si>
    <t>Business-Type Activities</t>
  </si>
  <si>
    <t>Governmental activities:</t>
  </si>
  <si>
    <t>Business-type activities:</t>
  </si>
  <si>
    <t>Water and sewer</t>
  </si>
  <si>
    <t>Boat harbors and shipyards</t>
  </si>
  <si>
    <t>Total Business-type activities</t>
  </si>
  <si>
    <t>Grants and contributions not restricted:</t>
  </si>
  <si>
    <t>Federal</t>
  </si>
  <si>
    <t>Other:</t>
  </si>
  <si>
    <t>Parish oil royalties</t>
  </si>
  <si>
    <t>Parish gas royalties</t>
  </si>
  <si>
    <t>Mineral and surface leases</t>
  </si>
  <si>
    <t>Property leases</t>
  </si>
  <si>
    <t>Cablevision fee</t>
  </si>
  <si>
    <t>Proceeds from sale of assets</t>
  </si>
  <si>
    <t>Settlements</t>
  </si>
  <si>
    <t>Penalties</t>
  </si>
  <si>
    <t>Pointe Coupee County 2013 Statement of Activities</t>
  </si>
  <si>
    <t>Drainage</t>
  </si>
  <si>
    <t>Gas</t>
  </si>
  <si>
    <t>Solid waste</t>
  </si>
  <si>
    <t>Multi-use center</t>
  </si>
  <si>
    <t>Gain (loss) on sale of capital assets, net</t>
  </si>
  <si>
    <t>Rapides Parish 2013 Statement of Activities</t>
  </si>
  <si>
    <t>Sales and use taxes, levied for public works</t>
  </si>
  <si>
    <t>Other taxes, licenses, and penalties</t>
  </si>
  <si>
    <t>Federal grant programs - unrestricted</t>
  </si>
  <si>
    <t>State grant programs - unrestricted</t>
  </si>
  <si>
    <t>Red River County 2013 Statement of Activities</t>
  </si>
  <si>
    <t>License and permits</t>
  </si>
  <si>
    <t>Interest and investment income (losses)</t>
  </si>
  <si>
    <t>Net Assets- Beginning of Year (restated)</t>
  </si>
  <si>
    <t>Richland Parish 2013 Statement of Activities</t>
  </si>
  <si>
    <t>Debt service:</t>
  </si>
  <si>
    <t>Sabine Parish 2013 Statement of Activities</t>
  </si>
  <si>
    <t>State grant programs</t>
  </si>
  <si>
    <t>St. Bernard County 2013 Statement of Activities</t>
  </si>
  <si>
    <t>Ad valorem (property) taxes</t>
  </si>
  <si>
    <t>E telephone</t>
  </si>
  <si>
    <t>Other general revenues (expenses)</t>
  </si>
  <si>
    <t>Cancellation of debt</t>
  </si>
  <si>
    <t>Total General Revenues</t>
  </si>
  <si>
    <t>Transfer in (out)</t>
  </si>
  <si>
    <t>St. Charles County 2013 Statement of Activities</t>
  </si>
  <si>
    <t>Interest and other charges on long-term debt</t>
  </si>
  <si>
    <t>Transfers - capital contributions</t>
  </si>
  <si>
    <t>Waterworks utility system</t>
  </si>
  <si>
    <t>Wastewater utility system</t>
  </si>
  <si>
    <t>Communications district</t>
  </si>
  <si>
    <t>Library service district no. 1</t>
  </si>
  <si>
    <t>Sunset drainage district</t>
  </si>
  <si>
    <t>Hospital service district</t>
  </si>
  <si>
    <t>Maintenance tax</t>
  </si>
  <si>
    <t>Alcoholic beverage tax</t>
  </si>
  <si>
    <t>Airport expansion agreement</t>
  </si>
  <si>
    <t>Cable TV franchise tax</t>
  </si>
  <si>
    <t>St. Helena County 2013 Statement of Activities</t>
  </si>
  <si>
    <t>Discretely Presented Component Units</t>
  </si>
  <si>
    <t>St. Helena Par Hospital Serv Dist 1 &amp; Subsidiary</t>
  </si>
  <si>
    <t>Water Works Dist No. 2 of St. Helena Par</t>
  </si>
  <si>
    <t>Other Component Units</t>
  </si>
  <si>
    <t>Total Component Units</t>
  </si>
  <si>
    <t>Recreation</t>
  </si>
  <si>
    <t>Interest on long-term indebtedness</t>
  </si>
  <si>
    <t>St. Helena Parish Hospital Serv Dist 1 &amp; Subsidary</t>
  </si>
  <si>
    <t>Water works district No. 2 of St. Helena Parish</t>
  </si>
  <si>
    <t>Fire Insurance rebates</t>
  </si>
  <si>
    <t>Severance Taxes</t>
  </si>
  <si>
    <t>Recovery of bad debts</t>
  </si>
  <si>
    <t>Payments (to) from other local governments</t>
  </si>
  <si>
    <t>Gain (loss) on sale or Acquisition (Disposition) of assets</t>
  </si>
  <si>
    <t>Net Position - beginning</t>
  </si>
  <si>
    <t>St. James County 2013 Statement of Activities</t>
  </si>
  <si>
    <t>Highways and streets</t>
  </si>
  <si>
    <t>Public housing</t>
  </si>
  <si>
    <t>Public transportation</t>
  </si>
  <si>
    <t>Gas and water</t>
  </si>
  <si>
    <t>Youth detention</t>
  </si>
  <si>
    <t>St. James Parish Hospital</t>
  </si>
  <si>
    <t>Voluntary payments in lieu of taxes</t>
  </si>
  <si>
    <t>Alcoholic beverages</t>
  </si>
  <si>
    <t>Fines and forfeits</t>
  </si>
  <si>
    <t>Interest on investments</t>
  </si>
  <si>
    <t>Contributions</t>
  </si>
  <si>
    <t>Gain (loss) on sale of fixed assets</t>
  </si>
  <si>
    <t>Change in Net Assets before extraordinary item</t>
  </si>
  <si>
    <t>Extraordinary item - loss on impairment of capital asset</t>
  </si>
  <si>
    <t>Change in net assets</t>
  </si>
  <si>
    <t>Net position - beginning as previously reported</t>
  </si>
  <si>
    <t>Adjustment for sales tax liability</t>
  </si>
  <si>
    <t>Adjustment for implementation of GASB 65</t>
  </si>
  <si>
    <t>Net Assets- Beginning of Year, restated</t>
  </si>
  <si>
    <t>St. John the Baptist County 2013 Statement of Activities</t>
  </si>
  <si>
    <t>Library</t>
  </si>
  <si>
    <t>Public works and transportation</t>
  </si>
  <si>
    <t>Mosquito</t>
  </si>
  <si>
    <t>Utilities</t>
  </si>
  <si>
    <t>Video poker taxes</t>
  </si>
  <si>
    <t>State revenue sharing (unrestricted)</t>
  </si>
  <si>
    <t>Grants and contributions not restricted</t>
  </si>
  <si>
    <t>Net assets - beginning of year</t>
  </si>
  <si>
    <t>Restatement</t>
  </si>
  <si>
    <t>St. Landry County 2013 Statement of Activities</t>
  </si>
  <si>
    <t>Tourist commission</t>
  </si>
  <si>
    <t>Criminal court</t>
  </si>
  <si>
    <t>Workforce investment board</t>
  </si>
  <si>
    <t>Ag Arena Authority</t>
  </si>
  <si>
    <t>Registrar of voters</t>
  </si>
  <si>
    <t>Fire Protection District No. 6</t>
  </si>
  <si>
    <t>Historical development commission</t>
  </si>
  <si>
    <t>Property taxes - general</t>
  </si>
  <si>
    <t>Hotel/motel tax</t>
  </si>
  <si>
    <t>4% slot tax</t>
  </si>
  <si>
    <t>Insurance premium tax</t>
  </si>
  <si>
    <t>Alcohol tax</t>
  </si>
  <si>
    <t>Royalties, commissions and fees</t>
  </si>
  <si>
    <t>2% fire insurance rebate</t>
  </si>
  <si>
    <t>Payments in lieu of taxes</t>
  </si>
  <si>
    <t>Special item - sales tax allocation (solid waste)</t>
  </si>
  <si>
    <t>Special item - gain on sale of equipment</t>
  </si>
  <si>
    <t>St. Martin Parish 2013 Statement of Activities</t>
  </si>
  <si>
    <t>Net Revenues (Expenses</t>
  </si>
  <si>
    <t>Total business-type activities</t>
  </si>
  <si>
    <t>Transportation funds</t>
  </si>
  <si>
    <t>Video poker fees</t>
  </si>
  <si>
    <t>Gain on sale of asset</t>
  </si>
  <si>
    <t>Transfers-other govts.</t>
  </si>
  <si>
    <t>Transfers-internal</t>
  </si>
  <si>
    <t>Total general revenue and transfers</t>
  </si>
  <si>
    <t>Change in Net Position</t>
  </si>
  <si>
    <t>Net Position, beginning</t>
  </si>
  <si>
    <t>St. Mary County 2013 Statement of Activities</t>
  </si>
  <si>
    <t>Urban redevelopment &amp; housing</t>
  </si>
  <si>
    <t>Fees on long-term debt</t>
  </si>
  <si>
    <t>Solid waste landfill</t>
  </si>
  <si>
    <t>Small animal control</t>
  </si>
  <si>
    <t>Kemper Williams Park</t>
  </si>
  <si>
    <t>Ad valorem taxes levied for general purposes</t>
  </si>
  <si>
    <t>Ad valorem taxes levied for debt service</t>
  </si>
  <si>
    <t>Other taxes, penalties, and interest, etc.</t>
  </si>
  <si>
    <t>Royalty road funds</t>
  </si>
  <si>
    <t>State shared revenue</t>
  </si>
  <si>
    <t>Investment earnings and interest</t>
  </si>
  <si>
    <t>Proceeds from loss/damage of assets</t>
  </si>
  <si>
    <t>Gain on sale of equipment</t>
  </si>
  <si>
    <t>Operating</t>
  </si>
  <si>
    <t>Total General Revenues, special items, and Transfers</t>
  </si>
  <si>
    <t>Net position - beginning of year (as previously stated)</t>
  </si>
  <si>
    <t>Net Assets- Beginning of Year (as adjusted)</t>
  </si>
  <si>
    <t>St. Tammany County 2013 Statement of Activities</t>
  </si>
  <si>
    <t>Water/Sewer</t>
  </si>
  <si>
    <t>Property taxes, general (Ad valorem, parcel fees, etc.)</t>
  </si>
  <si>
    <t>Property taxes, special purpose (Ad valorem, parcel fees, etc.)</t>
  </si>
  <si>
    <t>Hotel/Motel tax</t>
  </si>
  <si>
    <t>Timber severance tax</t>
  </si>
  <si>
    <t>Mineral severance tax</t>
  </si>
  <si>
    <t>Cigarette paper tax</t>
  </si>
  <si>
    <t>Gaming revenue tax</t>
  </si>
  <si>
    <t>Telephone service tax</t>
  </si>
  <si>
    <t>Fire insurance tax</t>
  </si>
  <si>
    <t>Federal payment in lieu of ad valorem</t>
  </si>
  <si>
    <t>Sale of revocated property</t>
  </si>
  <si>
    <t>GNOE excess revenue</t>
  </si>
  <si>
    <t>Extraordinary item - CDL forgiveness</t>
  </si>
  <si>
    <t>Net Assets- Beginning</t>
  </si>
  <si>
    <t>Net Assets- Ending</t>
  </si>
  <si>
    <t>Tangipahoa Parish 2013 Statement of Activities</t>
  </si>
  <si>
    <t>Net Revenues (Expenses) Revenues and Changes in Net Position</t>
  </si>
  <si>
    <t>Component Units:</t>
  </si>
  <si>
    <t>2% Fire insurance rebate</t>
  </si>
  <si>
    <t>Donations</t>
  </si>
  <si>
    <t>Gain from disposition of capital assets</t>
  </si>
  <si>
    <t>Transfer and contributions</t>
  </si>
  <si>
    <t>Total general revenues, transfers, and contributions</t>
  </si>
  <si>
    <t>Net Position, beginning (as restated)</t>
  </si>
  <si>
    <t>Tensas Parish 2013 Statement of Activities</t>
  </si>
  <si>
    <t>Other general adminstrative</t>
  </si>
  <si>
    <t>Fire insurance rebates</t>
  </si>
  <si>
    <t>Terrebonne County 2013 Statement of Activities</t>
  </si>
  <si>
    <t>Electric and gas</t>
  </si>
  <si>
    <t>Sewerage</t>
  </si>
  <si>
    <t>Civic center</t>
  </si>
  <si>
    <t>Health and welfare services</t>
  </si>
  <si>
    <t>Union County 2013 Statement of Activities</t>
  </si>
  <si>
    <t>OPEB obligation</t>
  </si>
  <si>
    <t>Restricted investment earnings</t>
  </si>
  <si>
    <t>Vermillion County 2013 Statement of Activities</t>
  </si>
  <si>
    <t>Tourist Commission</t>
  </si>
  <si>
    <t>Sanitation and waste disposal</t>
  </si>
  <si>
    <t>Criminal court fund</t>
  </si>
  <si>
    <t>Property taxes, levied for debt service</t>
  </si>
  <si>
    <t>Franchise tax</t>
  </si>
  <si>
    <t>Occupational licenses and other permits</t>
  </si>
  <si>
    <t>Interest income</t>
  </si>
  <si>
    <t>Appropriation of capital expenditures to other governmental entities</t>
  </si>
  <si>
    <t>Vernon Parish 2013 Statement of Activities</t>
  </si>
  <si>
    <t>Grants and contributions not restricted to specific purposes:</t>
  </si>
  <si>
    <t>Federal grant programs</t>
  </si>
  <si>
    <t>Net position- beginning</t>
  </si>
  <si>
    <t>Net position- ending</t>
  </si>
  <si>
    <t>Washington Parish 2013 Statement of Activities</t>
  </si>
  <si>
    <t>Net Revenues (Expenses) Revenues &amp; Changes in Net Position</t>
  </si>
  <si>
    <t>Hurricane relief and restoration</t>
  </si>
  <si>
    <t>Revenues</t>
  </si>
  <si>
    <t>Property taxes, levied for general purpose</t>
  </si>
  <si>
    <t>Timber severance</t>
  </si>
  <si>
    <t>Mineral severance</t>
  </si>
  <si>
    <t>Other tax</t>
  </si>
  <si>
    <t>Unrestricted interest</t>
  </si>
  <si>
    <t>Loss on disposal</t>
  </si>
  <si>
    <t>Webster Parish 2013 Statement of Activities</t>
  </si>
  <si>
    <t>Community services</t>
  </si>
  <si>
    <t>E-911</t>
  </si>
  <si>
    <t>Grants and contributions not restricted for a specific purpose</t>
  </si>
  <si>
    <t>Fees, charges and commissions</t>
  </si>
  <si>
    <t>Changes in Net position</t>
  </si>
  <si>
    <t>West Baton Rouge County 2013 Statement of Activities</t>
  </si>
  <si>
    <t>Urban housing</t>
  </si>
  <si>
    <t>Rent</t>
  </si>
  <si>
    <t>West Carroll County 2013 Statement of Activities</t>
  </si>
  <si>
    <t>Ad valorem:</t>
  </si>
  <si>
    <t>Sales and use taxes:</t>
  </si>
  <si>
    <t>West Feliciana County 2013 Statement of Activities</t>
  </si>
  <si>
    <t>Capital outlay</t>
  </si>
  <si>
    <t>Enterprise - Waterworks District No. 13</t>
  </si>
  <si>
    <t>Enterprise - Hardwood sewer</t>
  </si>
  <si>
    <t>Enterprise - Solitude sewer</t>
  </si>
  <si>
    <t>Enterprise - Turner sewer</t>
  </si>
  <si>
    <t>Enterprise - Independence sewer</t>
  </si>
  <si>
    <t>Gain from sale of asset</t>
  </si>
  <si>
    <t>Winn Parish 2013 Statement of Activities</t>
  </si>
  <si>
    <t>Debt Service</t>
  </si>
  <si>
    <t>Federal grant programs- unrestricted</t>
  </si>
  <si>
    <t>State grant programs- unrestricted</t>
  </si>
  <si>
    <t>2013-SOA</t>
  </si>
  <si>
    <t>Other Revenue:</t>
  </si>
  <si>
    <t>General Government:</t>
  </si>
  <si>
    <t>Other Expenditures:</t>
  </si>
  <si>
    <t>Revenues-</t>
  </si>
  <si>
    <t>Intergovernmental Transfers  and Grants (out if negetive):</t>
  </si>
  <si>
    <t>Expenditures-</t>
  </si>
  <si>
    <t>Key:</t>
  </si>
  <si>
    <t>Property/Ad Valorem</t>
  </si>
  <si>
    <t>Sales/Use (includes gaming taxes, hotel-motel etc)</t>
  </si>
  <si>
    <t>Other Tax Revenue</t>
  </si>
  <si>
    <t>Total Tax Revenue (SUM)</t>
  </si>
  <si>
    <t>State Revenue Sharing</t>
  </si>
  <si>
    <t>Source Not Specified</t>
  </si>
  <si>
    <t>Local Transfer</t>
  </si>
  <si>
    <t>All Other Revenue</t>
  </si>
  <si>
    <t>Total Other Revenue (SUM)</t>
  </si>
  <si>
    <t>Total Program Revenue (SUM)</t>
  </si>
  <si>
    <t>Total Revenues (Sum)</t>
  </si>
  <si>
    <t xml:space="preserve">Accuracy </t>
  </si>
  <si>
    <t>Accuracy</t>
  </si>
  <si>
    <t>General Government (not detailed)</t>
  </si>
  <si>
    <t>Finance and Administration</t>
  </si>
  <si>
    <t>Other General Government</t>
  </si>
  <si>
    <t>Total General Government (SUM)</t>
  </si>
  <si>
    <t>Public Safety</t>
  </si>
  <si>
    <t>Public Works</t>
  </si>
  <si>
    <t>Economic Development and Assistance</t>
  </si>
  <si>
    <t>Health and Welfare</t>
  </si>
  <si>
    <t>Interest and fiscal charges on long-term debt (debt service)</t>
  </si>
  <si>
    <t>All Other Expenditures</t>
  </si>
  <si>
    <t>Total Other Expenditures (SUM)</t>
  </si>
  <si>
    <t>Total Expenditures (Sum)</t>
  </si>
  <si>
    <t>Error Found in Statement</t>
  </si>
  <si>
    <t>Parish's Statement Not Available</t>
  </si>
  <si>
    <t>PARISH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</si>
  <si>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</si>
  <si>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</si>
  <si>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</si>
  <si>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</si>
  <si>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</si>
  <si>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</si>
  <si>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</si>
  <si>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</si>
  <si>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</si>
  <si>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</si>
  <si>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</si>
  <si>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</si>
  <si>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</si>
  <si>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</si>
  <si>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</si>
  <si>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DeSoto</t>
  </si>
  <si>
    <t xml:space="preserve">East Baton Rouge </t>
  </si>
  <si>
    <t>East Carroll</t>
  </si>
  <si>
    <t>East Feliciana</t>
  </si>
  <si>
    <t>Evangeline</t>
  </si>
  <si>
    <t>Franklin</t>
  </si>
  <si>
    <t>Grant</t>
  </si>
  <si>
    <t>Iberia</t>
  </si>
  <si>
    <t>Iberville</t>
  </si>
  <si>
    <t>Jackson</t>
  </si>
  <si>
    <t>Jefferson</t>
  </si>
  <si>
    <t>Jefferson Davis</t>
  </si>
  <si>
    <t>Lafayette</t>
  </si>
  <si>
    <t>Lafourche</t>
  </si>
  <si>
    <t>LaSalle</t>
  </si>
  <si>
    <t>Lincoln</t>
  </si>
  <si>
    <t>Livingston</t>
  </si>
  <si>
    <t>Madison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</si>
  <si>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</si>
  <si>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</si>
  <si>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</si>
  <si>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</si>
  <si>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</si>
  <si>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</si>
  <si>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</si>
  <si>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</si>
  <si>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Richland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</si>
  <si>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</si>
  <si>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</si>
  <si>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</si>
  <si>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</si>
  <si>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</si>
  <si>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</si>
  <si>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</si>
  <si>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 xml:space="preserve">St. Martin </t>
  </si>
  <si>
    <t>St, Mary</t>
  </si>
  <si>
    <t>St. Tammany</t>
  </si>
  <si>
    <t>Tangipahoa</t>
  </si>
  <si>
    <t>Tensas</t>
  </si>
  <si>
    <t>Terrebonne</t>
  </si>
  <si>
    <t>Union</t>
  </si>
  <si>
    <t>Vermilion</t>
  </si>
  <si>
    <t>Vernon</t>
  </si>
  <si>
    <t>Washington</t>
  </si>
  <si>
    <t>Webster</t>
  </si>
  <si>
    <t>West Baton Rouge</t>
  </si>
  <si>
    <t>West Carroll</t>
  </si>
  <si>
    <t>West Feliciana</t>
  </si>
  <si>
    <t>Winn</t>
  </si>
  <si>
    <t>Totals</t>
  </si>
  <si>
    <t>Busines-Type Activities</t>
  </si>
  <si>
    <t>Utilities (Water, Sewer, Gas)</t>
  </si>
  <si>
    <t>Health and Waste Disposal</t>
  </si>
  <si>
    <t>Civic Center</t>
  </si>
  <si>
    <t>Interest on Long-term Debt</t>
  </si>
  <si>
    <t>Other Business-Type Expenditures</t>
  </si>
  <si>
    <t>OCS</t>
  </si>
  <si>
    <t>East Baton Rouge</t>
  </si>
  <si>
    <t>St. Martin</t>
  </si>
  <si>
    <t>St. 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</si>
</sst>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indexed="8"/>
      <name val="Calibri"/>
      <family val="2"/>
    </font>
    <font>
      <b/>
      <sz val="14"/>
      <color indexed="8"/>
      <name val="Calibri"/>
      <family val="2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b/>
      <u/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i/>
      <sz val="11"/>
      <name val="Arial"/>
      <family val="2"/>
    </font>
    <font>
      <b/>
      <i/>
      <sz val="11"/>
      <color indexed="8"/>
      <name val="Arial"/>
      <family val="2"/>
    </font>
    <font>
      <b/>
      <sz val="11"/>
      <name val="Arial Black"/>
      <family val="2"/>
    </font>
    <font>
      <b/>
      <sz val="10"/>
      <name val="Arial"/>
      <family val="2"/>
    </font>
    <font>
      <sz val="11"/>
      <color indexed="10"/>
      <name val="Calibri"/>
      <family val="2"/>
    </font>
    <font>
      <b/>
      <sz val="10"/>
      <color indexed="8"/>
      <name val="Arial"/>
      <family val="2"/>
    </font>
    <font>
      <b/>
      <sz val="12"/>
      <name val="Arial"/>
      <family val="2"/>
    </font>
    <font>
      <b/>
      <sz val="11"/>
      <color indexed="8"/>
      <name val="Arial"/>
      <family val="2"/>
    </font>
    <font>
      <b/>
      <sz val="11"/>
      <color indexed="9"/>
      <name val="Calibri"/>
      <family val="2"/>
    </font>
    <font>
      <b/>
      <sz val="11"/>
      <name val="Arial"/>
      <family val="2"/>
    </font>
    <font>
      <b/>
      <sz val="11"/>
      <color indexed="10"/>
      <name val="Calibri"/>
      <family val="2"/>
    </font>
    <font>
      <b/>
      <sz val="11"/>
      <color theme="0"/>
      <name val="Calibri"/>
      <family val="2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7480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2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23" fillId="0" borderId="0" applyFont="0" applyFill="0" applyBorder="0" applyAlignment="0" applyProtection="0"/>
  </cellStyleXfs>
  <cellXfs count="2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5" fillId="0" borderId="0" xfId="0" applyFont="1"/>
    <xf numFmtId="3" fontId="0" fillId="0" borderId="0" xfId="0" applyNumberFormat="1"/>
    <xf numFmtId="0" fontId="1" fillId="0" borderId="0" xfId="0" applyFont="1"/>
    <xf numFmtId="4" fontId="0" fillId="2" borderId="0" xfId="0" applyNumberFormat="1" applyFill="1"/>
    <xf numFmtId="4" fontId="0" fillId="0" borderId="0" xfId="0" applyNumberFormat="1"/>
    <xf numFmtId="4" fontId="0" fillId="3" borderId="0" xfId="0" applyNumberFormat="1" applyFill="1"/>
    <xf numFmtId="4" fontId="0" fillId="4" borderId="0" xfId="0" applyNumberFormat="1" applyFill="1"/>
    <xf numFmtId="4" fontId="0" fillId="5" borderId="0" xfId="0" applyNumberFormat="1" applyFill="1"/>
    <xf numFmtId="4" fontId="0" fillId="6" borderId="0" xfId="0" applyNumberFormat="1" applyFill="1"/>
    <xf numFmtId="4" fontId="0" fillId="7" borderId="1" xfId="0" applyNumberFormat="1" applyFill="1" applyBorder="1"/>
    <xf numFmtId="4" fontId="0" fillId="0" borderId="1" xfId="0" applyNumberFormat="1" applyBorder="1"/>
    <xf numFmtId="0" fontId="5" fillId="8" borderId="0" xfId="0" applyFont="1" applyFill="1"/>
    <xf numFmtId="4" fontId="5" fillId="8" borderId="0" xfId="0" applyNumberFormat="1" applyFont="1" applyFill="1"/>
    <xf numFmtId="0" fontId="1" fillId="9" borderId="0" xfId="0" applyFont="1" applyFill="1"/>
    <xf numFmtId="4" fontId="1" fillId="9" borderId="0" xfId="0" applyNumberFormat="1" applyFont="1" applyFill="1"/>
    <xf numFmtId="0" fontId="5" fillId="10" borderId="0" xfId="0" applyFont="1" applyFill="1"/>
    <xf numFmtId="0" fontId="0" fillId="10" borderId="0" xfId="0" applyFill="1"/>
    <xf numFmtId="4" fontId="5" fillId="10" borderId="0" xfId="0" applyNumberFormat="1" applyFont="1" applyFill="1"/>
    <xf numFmtId="4" fontId="5" fillId="0" borderId="0" xfId="0" applyNumberFormat="1" applyFont="1"/>
    <xf numFmtId="0" fontId="7" fillId="0" borderId="0" xfId="0" applyFont="1"/>
    <xf numFmtId="4" fontId="0" fillId="11" borderId="0" xfId="0" applyNumberFormat="1" applyFill="1"/>
    <xf numFmtId="4" fontId="0" fillId="12" borderId="0" xfId="0" applyNumberFormat="1" applyFill="1"/>
    <xf numFmtId="4" fontId="0" fillId="13" borderId="1" xfId="0" applyNumberFormat="1" applyFill="1" applyBorder="1"/>
    <xf numFmtId="0" fontId="5" fillId="14" borderId="0" xfId="0" applyFont="1" applyFill="1"/>
    <xf numFmtId="4" fontId="5" fillId="14" borderId="0" xfId="0" applyNumberFormat="1" applyFont="1" applyFill="1"/>
    <xf numFmtId="4" fontId="1" fillId="14" borderId="0" xfId="0" applyNumberFormat="1" applyFont="1" applyFill="1"/>
    <xf numFmtId="0" fontId="5" fillId="15" borderId="0" xfId="0" applyFont="1" applyFill="1"/>
    <xf numFmtId="4" fontId="5" fillId="15" borderId="0" xfId="0" applyNumberFormat="1" applyFont="1" applyFill="1"/>
    <xf numFmtId="0" fontId="8" fillId="10" borderId="3" xfId="0" applyFont="1" applyFill="1" applyBorder="1"/>
    <xf numFmtId="0" fontId="9" fillId="10" borderId="0" xfId="0" applyFont="1" applyFill="1"/>
    <xf numFmtId="0" fontId="0" fillId="10" borderId="4" xfId="0" applyFill="1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17" borderId="0" xfId="0" applyFill="1"/>
    <xf numFmtId="0" fontId="9" fillId="17" borderId="0" xfId="0" applyFont="1" applyFill="1"/>
    <xf numFmtId="0" fontId="0" fillId="17" borderId="4" xfId="0" applyFill="1" applyBorder="1"/>
    <xf numFmtId="0" fontId="10" fillId="17" borderId="0" xfId="0" applyFont="1" applyFill="1"/>
    <xf numFmtId="0" fontId="11" fillId="10" borderId="7" xfId="0" applyFont="1" applyFill="1" applyBorder="1"/>
    <xf numFmtId="0" fontId="5" fillId="10" borderId="1" xfId="0" applyFont="1" applyFill="1" applyBorder="1"/>
    <xf numFmtId="0" fontId="5" fillId="10" borderId="4" xfId="0" applyFont="1" applyFill="1" applyBorder="1"/>
    <xf numFmtId="0" fontId="12" fillId="10" borderId="8" xfId="0" applyFont="1" applyFill="1" applyBorder="1"/>
    <xf numFmtId="0" fontId="5" fillId="10" borderId="2" xfId="0" applyFont="1" applyFill="1" applyBorder="1"/>
    <xf numFmtId="0" fontId="5" fillId="10" borderId="9" xfId="0" applyFont="1" applyFill="1" applyBorder="1"/>
    <xf numFmtId="0" fontId="10" fillId="10" borderId="0" xfId="0" applyFont="1" applyFill="1"/>
    <xf numFmtId="0" fontId="0" fillId="18" borderId="5" xfId="0" applyFill="1" applyBorder="1" applyAlignment="1">
      <alignment horizontal="right"/>
    </xf>
    <xf numFmtId="0" fontId="0" fillId="18" borderId="6" xfId="0" applyFill="1" applyBorder="1"/>
    <xf numFmtId="0" fontId="11" fillId="17" borderId="0" xfId="0" applyFont="1" applyFill="1"/>
    <xf numFmtId="0" fontId="0" fillId="17" borderId="1" xfId="0" applyFill="1" applyBorder="1"/>
    <xf numFmtId="0" fontId="5" fillId="17" borderId="1" xfId="0" applyFont="1" applyFill="1" applyBorder="1"/>
    <xf numFmtId="0" fontId="5" fillId="17" borderId="4" xfId="0" applyFont="1" applyFill="1" applyBorder="1"/>
    <xf numFmtId="0" fontId="5" fillId="17" borderId="0" xfId="0" applyFont="1" applyFill="1"/>
    <xf numFmtId="0" fontId="8" fillId="0" borderId="10" xfId="0" applyFont="1" applyBorder="1" applyAlignment="1">
      <alignment horizontal="center"/>
    </xf>
    <xf numFmtId="0" fontId="13" fillId="10" borderId="4" xfId="0" applyFont="1" applyFill="1" applyBorder="1"/>
    <xf numFmtId="0" fontId="12" fillId="4" borderId="11" xfId="0" applyFont="1" applyFill="1" applyBorder="1"/>
    <xf numFmtId="0" fontId="14" fillId="10" borderId="12" xfId="0" applyFont="1" applyFill="1" applyBorder="1"/>
    <xf numFmtId="0" fontId="12" fillId="2" borderId="11" xfId="0" applyFont="1" applyFill="1" applyBorder="1"/>
    <xf numFmtId="0" fontId="12" fillId="19" borderId="13" xfId="0" applyFont="1" applyFill="1" applyBorder="1"/>
    <xf numFmtId="0" fontId="12" fillId="20" borderId="13" xfId="0" applyFont="1" applyFill="1" applyBorder="1"/>
    <xf numFmtId="0" fontId="12" fillId="13" borderId="14" xfId="0" applyFont="1" applyFill="1" applyBorder="1"/>
    <xf numFmtId="0" fontId="12" fillId="10" borderId="14" xfId="0" applyFont="1" applyFill="1" applyBorder="1"/>
    <xf numFmtId="0" fontId="15" fillId="10" borderId="14" xfId="0" applyFont="1" applyFill="1" applyBorder="1"/>
    <xf numFmtId="0" fontId="15" fillId="18" borderId="15" xfId="0" applyFont="1" applyFill="1" applyBorder="1" applyAlignment="1">
      <alignment horizontal="center"/>
    </xf>
    <xf numFmtId="0" fontId="15" fillId="18" borderId="16" xfId="0" applyFont="1" applyFill="1" applyBorder="1" applyAlignment="1">
      <alignment horizontal="center"/>
    </xf>
    <xf numFmtId="0" fontId="12" fillId="17" borderId="12" xfId="0" applyFont="1" applyFill="1" applyBorder="1"/>
    <xf numFmtId="0" fontId="12" fillId="17" borderId="14" xfId="0" applyFont="1" applyFill="1" applyBorder="1"/>
    <xf numFmtId="0" fontId="15" fillId="17" borderId="14" xfId="0" applyFont="1" applyFill="1" applyBorder="1"/>
    <xf numFmtId="0" fontId="12" fillId="0" borderId="0" xfId="0" applyFont="1"/>
    <xf numFmtId="0" fontId="16" fillId="0" borderId="0" xfId="0" applyFont="1"/>
    <xf numFmtId="0" fontId="15" fillId="0" borderId="0" xfId="0" applyFont="1"/>
    <xf numFmtId="0" fontId="0" fillId="0" borderId="0" xfId="0" applyAlignment="1">
      <alignment horizontal="right"/>
    </xf>
    <xf numFmtId="0" fontId="18" fillId="0" borderId="0" xfId="0" applyFont="1" applyAlignment="1">
      <alignment horizontal="center"/>
    </xf>
    <xf numFmtId="0" fontId="8" fillId="0" borderId="0" xfId="0" applyFont="1"/>
    <xf numFmtId="3" fontId="0" fillId="0" borderId="0" xfId="0" quotePrefix="1" applyNumberFormat="1"/>
    <xf numFmtId="0" fontId="19" fillId="0" borderId="0" xfId="0" applyFont="1" applyAlignment="1">
      <alignment horizontal="right"/>
    </xf>
    <xf numFmtId="0" fontId="8" fillId="21" borderId="0" xfId="0" applyFont="1" applyFill="1"/>
    <xf numFmtId="0" fontId="5" fillId="21" borderId="0" xfId="0" applyFont="1" applyFill="1"/>
    <xf numFmtId="3" fontId="5" fillId="21" borderId="0" xfId="0" quotePrefix="1" applyNumberFormat="1" applyFont="1" applyFill="1"/>
    <xf numFmtId="3" fontId="5" fillId="21" borderId="0" xfId="0" applyNumberFormat="1" applyFont="1" applyFill="1"/>
    <xf numFmtId="4" fontId="0" fillId="22" borderId="1" xfId="0" applyNumberFormat="1" applyFill="1" applyBorder="1"/>
    <xf numFmtId="0" fontId="0" fillId="16" borderId="0" xfId="0" applyFill="1"/>
    <xf numFmtId="4" fontId="7" fillId="0" borderId="0" xfId="0" applyNumberFormat="1" applyFont="1"/>
    <xf numFmtId="0" fontId="0" fillId="0" borderId="1" xfId="0" applyBorder="1"/>
    <xf numFmtId="0" fontId="21" fillId="0" borderId="1" xfId="0" applyFont="1" applyBorder="1" applyAlignment="1">
      <alignment horizontal="center" wrapText="1"/>
    </xf>
    <xf numFmtId="4" fontId="5" fillId="16" borderId="0" xfId="0" applyNumberFormat="1" applyFont="1" applyFill="1"/>
    <xf numFmtId="4" fontId="5" fillId="23" borderId="0" xfId="0" applyNumberFormat="1" applyFont="1" applyFill="1"/>
    <xf numFmtId="0" fontId="1" fillId="16" borderId="0" xfId="0" applyFont="1" applyFill="1"/>
    <xf numFmtId="4" fontId="1" fillId="16" borderId="0" xfId="0" applyNumberFormat="1" applyFont="1" applyFill="1"/>
    <xf numFmtId="3" fontId="1" fillId="14" borderId="0" xfId="0" applyNumberFormat="1" applyFont="1" applyFill="1"/>
    <xf numFmtId="3" fontId="1" fillId="23" borderId="0" xfId="0" applyNumberFormat="1" applyFont="1" applyFill="1"/>
    <xf numFmtId="4" fontId="0" fillId="13" borderId="0" xfId="0" applyNumberFormat="1" applyFill="1"/>
    <xf numFmtId="4" fontId="0" fillId="7" borderId="0" xfId="0" applyNumberFormat="1" applyFill="1"/>
    <xf numFmtId="0" fontId="21" fillId="0" borderId="2" xfId="0" applyFont="1" applyBorder="1" applyAlignment="1">
      <alignment horizontal="center" wrapText="1"/>
    </xf>
    <xf numFmtId="3" fontId="1" fillId="16" borderId="0" xfId="0" applyNumberFormat="1" applyFont="1" applyFill="1"/>
    <xf numFmtId="4" fontId="0" fillId="24" borderId="0" xfId="0" applyNumberFormat="1" applyFill="1"/>
    <xf numFmtId="4" fontId="0" fillId="23" borderId="0" xfId="0" applyNumberFormat="1" applyFill="1"/>
    <xf numFmtId="4" fontId="0" fillId="23" borderId="1" xfId="0" applyNumberFormat="1" applyFill="1" applyBorder="1"/>
    <xf numFmtId="0" fontId="12" fillId="25" borderId="11" xfId="0" applyFont="1" applyFill="1" applyBorder="1"/>
    <xf numFmtId="4" fontId="0" fillId="25" borderId="0" xfId="0" applyNumberFormat="1" applyFill="1"/>
    <xf numFmtId="4" fontId="0" fillId="19" borderId="0" xfId="0" applyNumberFormat="1" applyFill="1"/>
    <xf numFmtId="4" fontId="0" fillId="26" borderId="0" xfId="0" applyNumberFormat="1" applyFill="1"/>
    <xf numFmtId="4" fontId="0" fillId="16" borderId="0" xfId="0" applyNumberFormat="1" applyFill="1"/>
    <xf numFmtId="0" fontId="12" fillId="27" borderId="11" xfId="0" applyFont="1" applyFill="1" applyBorder="1"/>
    <xf numFmtId="4" fontId="0" fillId="27" borderId="0" xfId="0" applyNumberFormat="1" applyFill="1"/>
    <xf numFmtId="3" fontId="0" fillId="2" borderId="0" xfId="0" applyNumberFormat="1" applyFill="1"/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 wrapText="1"/>
    </xf>
    <xf numFmtId="4" fontId="0" fillId="4" borderId="1" xfId="0" applyNumberFormat="1" applyFill="1" applyBorder="1"/>
    <xf numFmtId="0" fontId="1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4" fontId="7" fillId="0" borderId="1" xfId="0" applyNumberFormat="1" applyFont="1" applyBorder="1"/>
    <xf numFmtId="4" fontId="1" fillId="0" borderId="0" xfId="0" applyNumberFormat="1" applyFont="1"/>
    <xf numFmtId="3" fontId="1" fillId="0" borderId="0" xfId="0" applyNumberFormat="1" applyFont="1"/>
    <xf numFmtId="4" fontId="0" fillId="26" borderId="1" xfId="0" applyNumberFormat="1" applyFill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0" fontId="6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wrapText="1"/>
    </xf>
    <xf numFmtId="0" fontId="0" fillId="5" borderId="0" xfId="0" applyFill="1"/>
    <xf numFmtId="0" fontId="0" fillId="4" borderId="0" xfId="0" applyFill="1"/>
    <xf numFmtId="4" fontId="22" fillId="0" borderId="0" xfId="0" applyNumberFormat="1" applyFont="1"/>
    <xf numFmtId="0" fontId="0" fillId="25" borderId="0" xfId="0" applyFill="1"/>
    <xf numFmtId="164" fontId="0" fillId="0" borderId="0" xfId="1" applyNumberFormat="1" applyFont="1"/>
    <xf numFmtId="164" fontId="0" fillId="13" borderId="0" xfId="1" applyNumberFormat="1" applyFont="1" applyFill="1"/>
    <xf numFmtId="164" fontId="0" fillId="7" borderId="0" xfId="1" applyNumberFormat="1" applyFont="1" applyFill="1"/>
    <xf numFmtId="164" fontId="0" fillId="24" borderId="0" xfId="1" applyNumberFormat="1" applyFont="1" applyFill="1"/>
    <xf numFmtId="164" fontId="0" fillId="27" borderId="0" xfId="1" applyNumberFormat="1" applyFont="1" applyFill="1"/>
    <xf numFmtId="164" fontId="0" fillId="16" borderId="0" xfId="1" applyNumberFormat="1" applyFont="1" applyFill="1"/>
    <xf numFmtId="164" fontId="0" fillId="3" borderId="0" xfId="1" applyNumberFormat="1" applyFont="1" applyFill="1"/>
    <xf numFmtId="164" fontId="0" fillId="4" borderId="0" xfId="1" applyNumberFormat="1" applyFont="1" applyFill="1"/>
    <xf numFmtId="164" fontId="0" fillId="5" borderId="0" xfId="1" applyNumberFormat="1" applyFont="1" applyFill="1"/>
    <xf numFmtId="164" fontId="0" fillId="6" borderId="0" xfId="1" applyNumberFormat="1" applyFont="1" applyFill="1"/>
    <xf numFmtId="164" fontId="0" fillId="23" borderId="0" xfId="1" applyNumberFormat="1" applyFont="1" applyFill="1"/>
    <xf numFmtId="164" fontId="0" fillId="7" borderId="0" xfId="1" applyNumberFormat="1" applyFont="1" applyFill="1" applyBorder="1"/>
    <xf numFmtId="164" fontId="5" fillId="8" borderId="0" xfId="1" applyNumberFormat="1" applyFont="1" applyFill="1"/>
    <xf numFmtId="164" fontId="4" fillId="0" borderId="0" xfId="1" applyNumberFormat="1" applyFont="1" applyAlignment="1"/>
    <xf numFmtId="164" fontId="0" fillId="0" borderId="0" xfId="1" applyNumberFormat="1" applyFont="1" applyBorder="1"/>
    <xf numFmtId="164" fontId="3" fillId="0" borderId="0" xfId="1" applyNumberFormat="1" applyFont="1"/>
    <xf numFmtId="164" fontId="5" fillId="0" borderId="0" xfId="1" applyNumberFormat="1" applyFont="1" applyBorder="1" applyAlignment="1">
      <alignment horizontal="center" wrapText="1"/>
    </xf>
    <xf numFmtId="164" fontId="0" fillId="0" borderId="0" xfId="1" applyNumberFormat="1" applyFont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164" fontId="6" fillId="0" borderId="0" xfId="1" applyNumberFormat="1" applyFont="1"/>
    <xf numFmtId="164" fontId="6" fillId="0" borderId="1" xfId="1" applyNumberFormat="1" applyFont="1" applyBorder="1" applyAlignment="1">
      <alignment horizontal="center" wrapText="1"/>
    </xf>
    <xf numFmtId="164" fontId="5" fillId="0" borderId="2" xfId="1" applyNumberFormat="1" applyFont="1" applyBorder="1" applyAlignment="1">
      <alignment horizontal="center" wrapText="1"/>
    </xf>
    <xf numFmtId="164" fontId="5" fillId="0" borderId="0" xfId="1" applyNumberFormat="1" applyFont="1"/>
    <xf numFmtId="164" fontId="1" fillId="0" borderId="0" xfId="1" applyNumberFormat="1" applyFont="1"/>
    <xf numFmtId="164" fontId="0" fillId="0" borderId="0" xfId="1" applyNumberFormat="1" applyFont="1" applyFill="1"/>
    <xf numFmtId="164" fontId="0" fillId="0" borderId="0" xfId="1" applyNumberFormat="1" applyFont="1" applyFill="1" applyBorder="1"/>
    <xf numFmtId="164" fontId="0" fillId="0" borderId="18" xfId="1" applyNumberFormat="1" applyFont="1" applyBorder="1"/>
    <xf numFmtId="164" fontId="7" fillId="0" borderId="0" xfId="1" applyNumberFormat="1" applyFont="1"/>
    <xf numFmtId="164" fontId="0" fillId="11" borderId="0" xfId="1" applyNumberFormat="1" applyFont="1" applyFill="1"/>
    <xf numFmtId="164" fontId="0" fillId="12" borderId="0" xfId="1" applyNumberFormat="1" applyFont="1" applyFill="1"/>
    <xf numFmtId="164" fontId="0" fillId="25" borderId="0" xfId="1" applyNumberFormat="1" applyFont="1" applyFill="1"/>
    <xf numFmtId="164" fontId="5" fillId="0" borderId="0" xfId="1" applyNumberFormat="1" applyFont="1" applyFill="1"/>
    <xf numFmtId="164" fontId="5" fillId="14" borderId="0" xfId="1" applyNumberFormat="1" applyFont="1" applyFill="1"/>
    <xf numFmtId="164" fontId="5" fillId="14" borderId="0" xfId="1" applyNumberFormat="1" applyFont="1" applyFill="1" applyBorder="1"/>
    <xf numFmtId="164" fontId="1" fillId="14" borderId="0" xfId="1" applyNumberFormat="1" applyFont="1" applyFill="1"/>
    <xf numFmtId="164" fontId="5" fillId="15" borderId="0" xfId="1" applyNumberFormat="1" applyFont="1" applyFill="1"/>
    <xf numFmtId="164" fontId="5" fillId="15" borderId="0" xfId="1" applyNumberFormat="1" applyFont="1" applyFill="1" applyBorder="1"/>
    <xf numFmtId="164" fontId="5" fillId="23" borderId="0" xfId="1" applyNumberFormat="1" applyFont="1" applyFill="1"/>
    <xf numFmtId="4" fontId="22" fillId="12" borderId="0" xfId="0" applyNumberFormat="1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8" fillId="14" borderId="3" xfId="0" applyFont="1" applyFill="1" applyBorder="1"/>
    <xf numFmtId="0" fontId="0" fillId="14" borderId="0" xfId="0" applyFill="1"/>
    <xf numFmtId="0" fontId="13" fillId="14" borderId="4" xfId="0" applyFont="1" applyFill="1" applyBorder="1"/>
    <xf numFmtId="0" fontId="12" fillId="22" borderId="12" xfId="0" applyFont="1" applyFill="1" applyBorder="1"/>
    <xf numFmtId="0" fontId="12" fillId="29" borderId="14" xfId="0" applyFont="1" applyFill="1" applyBorder="1"/>
    <xf numFmtId="0" fontId="12" fillId="6" borderId="14" xfId="0" applyFont="1" applyFill="1" applyBorder="1"/>
    <xf numFmtId="0" fontId="12" fillId="30" borderId="14" xfId="0" applyFont="1" applyFill="1" applyBorder="1"/>
    <xf numFmtId="0" fontId="12" fillId="31" borderId="14" xfId="0" applyFont="1" applyFill="1" applyBorder="1"/>
    <xf numFmtId="0" fontId="12" fillId="32" borderId="14" xfId="0" applyFont="1" applyFill="1" applyBorder="1"/>
    <xf numFmtId="0" fontId="12" fillId="26" borderId="14" xfId="0" applyFont="1" applyFill="1" applyBorder="1"/>
    <xf numFmtId="0" fontId="8" fillId="33" borderId="0" xfId="0" applyFont="1" applyFill="1"/>
    <xf numFmtId="0" fontId="5" fillId="33" borderId="0" xfId="0" applyFont="1" applyFill="1"/>
    <xf numFmtId="3" fontId="0" fillId="33" borderId="0" xfId="0" applyNumberFormat="1" applyFill="1"/>
    <xf numFmtId="0" fontId="20" fillId="34" borderId="0" xfId="0" applyFont="1" applyFill="1" applyAlignment="1">
      <alignment horizontal="right"/>
    </xf>
    <xf numFmtId="0" fontId="4" fillId="35" borderId="0" xfId="0" applyFont="1" applyFill="1"/>
    <xf numFmtId="0" fontId="5" fillId="35" borderId="0" xfId="0" applyFont="1" applyFill="1"/>
    <xf numFmtId="3" fontId="0" fillId="35" borderId="0" xfId="0" applyNumberFormat="1" applyFill="1"/>
    <xf numFmtId="0" fontId="0" fillId="35" borderId="0" xfId="0" applyFill="1"/>
    <xf numFmtId="0" fontId="4" fillId="33" borderId="0" xfId="0" applyFont="1" applyFill="1"/>
    <xf numFmtId="0" fontId="24" fillId="0" borderId="0" xfId="0" applyFont="1"/>
    <xf numFmtId="0" fontId="25" fillId="0" borderId="0" xfId="0" applyFont="1"/>
    <xf numFmtId="3" fontId="26" fillId="0" borderId="0" xfId="0" applyNumberFormat="1" applyFont="1"/>
    <xf numFmtId="0" fontId="26" fillId="0" borderId="0" xfId="0" applyFont="1"/>
    <xf numFmtId="0" fontId="0" fillId="23" borderId="0" xfId="0" applyFill="1"/>
    <xf numFmtId="0" fontId="4" fillId="36" borderId="0" xfId="0" applyFont="1" applyFill="1"/>
    <xf numFmtId="0" fontId="5" fillId="36" borderId="0" xfId="0" applyFont="1" applyFill="1"/>
    <xf numFmtId="3" fontId="0" fillId="36" borderId="0" xfId="0" applyNumberFormat="1" applyFill="1"/>
    <xf numFmtId="0" fontId="0" fillId="36" borderId="0" xfId="0" applyFill="1"/>
    <xf numFmtId="3" fontId="22" fillId="0" borderId="0" xfId="0" applyNumberFormat="1" applyFont="1"/>
    <xf numFmtId="0" fontId="22" fillId="0" borderId="0" xfId="0" applyFont="1"/>
    <xf numFmtId="0" fontId="27" fillId="37" borderId="0" xfId="0" applyFont="1" applyFill="1"/>
    <xf numFmtId="0" fontId="28" fillId="37" borderId="0" xfId="0" applyFont="1" applyFill="1"/>
    <xf numFmtId="3" fontId="29" fillId="37" borderId="0" xfId="0" applyNumberFormat="1" applyFont="1" applyFill="1"/>
    <xf numFmtId="0" fontId="29" fillId="0" borderId="0" xfId="0" applyFont="1"/>
    <xf numFmtId="0" fontId="29" fillId="37" borderId="0" xfId="0" applyFont="1" applyFill="1"/>
    <xf numFmtId="0" fontId="24" fillId="37" borderId="0" xfId="0" applyFont="1" applyFill="1"/>
    <xf numFmtId="0" fontId="25" fillId="37" borderId="0" xfId="0" applyFont="1" applyFill="1"/>
    <xf numFmtId="3" fontId="22" fillId="37" borderId="0" xfId="0" applyNumberFormat="1" applyFont="1" applyFill="1"/>
    <xf numFmtId="0" fontId="22" fillId="37" borderId="0" xfId="0" applyFont="1" applyFill="1"/>
    <xf numFmtId="0" fontId="4" fillId="37" borderId="0" xfId="0" applyFont="1" applyFill="1"/>
    <xf numFmtId="0" fontId="5" fillId="37" borderId="0" xfId="0" applyFont="1" applyFill="1"/>
    <xf numFmtId="3" fontId="0" fillId="37" borderId="0" xfId="0" applyNumberFormat="1" applyFill="1"/>
    <xf numFmtId="0" fontId="0" fillId="37" borderId="0" xfId="0" applyFill="1"/>
    <xf numFmtId="0" fontId="24" fillId="35" borderId="0" xfId="0" applyFont="1" applyFill="1"/>
    <xf numFmtId="0" fontId="25" fillId="35" borderId="0" xfId="0" applyFont="1" applyFill="1"/>
    <xf numFmtId="3" fontId="26" fillId="35" borderId="0" xfId="0" applyNumberFormat="1" applyFont="1" applyFill="1"/>
    <xf numFmtId="0" fontId="26" fillId="35" borderId="0" xfId="0" applyFont="1" applyFill="1"/>
    <xf numFmtId="0" fontId="20" fillId="0" borderId="0" xfId="0" applyFont="1" applyAlignment="1">
      <alignment horizontal="right"/>
    </xf>
    <xf numFmtId="0" fontId="20" fillId="21" borderId="0" xfId="0" applyFont="1" applyFill="1" applyAlignment="1">
      <alignment horizontal="right"/>
    </xf>
    <xf numFmtId="0" fontId="30" fillId="0" borderId="0" xfId="0" applyFont="1"/>
    <xf numFmtId="0" fontId="12" fillId="38" borderId="11" xfId="0" applyFont="1" applyFill="1" applyBorder="1"/>
    <xf numFmtId="0" fontId="12" fillId="39" borderId="11" xfId="0" applyFont="1" applyFill="1" applyBorder="1"/>
    <xf numFmtId="0" fontId="12" fillId="40" borderId="11" xfId="0" applyFont="1" applyFill="1" applyBorder="1"/>
    <xf numFmtId="0" fontId="12" fillId="41" borderId="13" xfId="0" applyFont="1" applyFill="1" applyBorder="1"/>
    <xf numFmtId="0" fontId="14" fillId="42" borderId="11" xfId="0" applyFont="1" applyFill="1" applyBorder="1"/>
    <xf numFmtId="0" fontId="12" fillId="21" borderId="12" xfId="0" applyFont="1" applyFill="1" applyBorder="1"/>
    <xf numFmtId="0" fontId="12" fillId="43" borderId="11" xfId="0" applyFont="1" applyFill="1" applyBorder="1"/>
    <xf numFmtId="0" fontId="12" fillId="44" borderId="11" xfId="0" applyFont="1" applyFill="1" applyBorder="1"/>
    <xf numFmtId="0" fontId="12" fillId="8" borderId="1" xfId="0" applyFont="1" applyFill="1" applyBorder="1"/>
    <xf numFmtId="0" fontId="12" fillId="45" borderId="9" xfId="0" applyFont="1" applyFill="1" applyBorder="1"/>
    <xf numFmtId="0" fontId="12" fillId="46" borderId="11" xfId="0" applyFont="1" applyFill="1" applyBorder="1"/>
    <xf numFmtId="0" fontId="12" fillId="15" borderId="11" xfId="0" applyFont="1" applyFill="1" applyBorder="1"/>
    <xf numFmtId="0" fontId="12" fillId="20" borderId="11" xfId="0" applyFont="1" applyFill="1" applyBorder="1"/>
    <xf numFmtId="4" fontId="0" fillId="35" borderId="0" xfId="0" applyNumberFormat="1" applyFill="1"/>
    <xf numFmtId="3" fontId="26" fillId="0" borderId="0" xfId="0" quotePrefix="1" applyNumberFormat="1" applyFont="1"/>
    <xf numFmtId="3" fontId="26" fillId="35" borderId="0" xfId="0" quotePrefix="1" applyNumberFormat="1" applyFont="1" applyFill="1"/>
    <xf numFmtId="164" fontId="0" fillId="2" borderId="0" xfId="1" applyNumberFormat="1" applyFont="1" applyFill="1"/>
    <xf numFmtId="164" fontId="5" fillId="16" borderId="0" xfId="1" applyNumberFormat="1" applyFont="1" applyFill="1"/>
    <xf numFmtId="164" fontId="7" fillId="0" borderId="0" xfId="1" applyNumberFormat="1" applyFont="1" applyFill="1"/>
    <xf numFmtId="164" fontId="5" fillId="28" borderId="0" xfId="1" applyNumberFormat="1" applyFont="1" applyFill="1"/>
    <xf numFmtId="4" fontId="7" fillId="13" borderId="0" xfId="0" applyNumberFormat="1" applyFont="1" applyFill="1"/>
    <xf numFmtId="4" fontId="7" fillId="29" borderId="0" xfId="0" applyNumberFormat="1" applyFont="1" applyFill="1"/>
    <xf numFmtId="4" fontId="7" fillId="22" borderId="0" xfId="0" applyNumberFormat="1" applyFont="1" applyFill="1"/>
    <xf numFmtId="164" fontId="7" fillId="22" borderId="0" xfId="1" applyNumberFormat="1" applyFont="1" applyFill="1"/>
    <xf numFmtId="4" fontId="7" fillId="6" borderId="0" xfId="0" applyNumberFormat="1" applyFont="1" applyFill="1"/>
    <xf numFmtId="4" fontId="7" fillId="26" borderId="0" xfId="0" applyNumberFormat="1" applyFont="1" applyFill="1"/>
    <xf numFmtId="4" fontId="7" fillId="22" borderId="1" xfId="0" applyNumberFormat="1" applyFont="1" applyFill="1" applyBorder="1"/>
    <xf numFmtId="4" fontId="0" fillId="22" borderId="0" xfId="0" applyNumberFormat="1" applyFill="1"/>
    <xf numFmtId="4" fontId="7" fillId="32" borderId="0" xfId="0" applyNumberFormat="1" applyFont="1" applyFill="1"/>
    <xf numFmtId="4" fontId="7" fillId="26" borderId="1" xfId="0" applyNumberFormat="1" applyFont="1" applyFill="1" applyBorder="1"/>
    <xf numFmtId="4" fontId="7" fillId="31" borderId="0" xfId="0" applyNumberFormat="1" applyFont="1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15" borderId="3" xfId="0" applyFont="1" applyFill="1" applyBorder="1" applyAlignment="1">
      <alignment horizontal="center"/>
    </xf>
    <xf numFmtId="0" fontId="5" fillId="15" borderId="17" xfId="0" applyFont="1" applyFill="1" applyBorder="1" applyAlignment="1">
      <alignment horizontal="center"/>
    </xf>
    <xf numFmtId="0" fontId="17" fillId="18" borderId="3" xfId="0" applyFont="1" applyFill="1" applyBorder="1" applyAlignment="1">
      <alignment horizontal="center"/>
    </xf>
    <xf numFmtId="0" fontId="17" fillId="18" borderId="17" xfId="0" applyFont="1" applyFill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164" fontId="5" fillId="0" borderId="1" xfId="1" applyNumberFormat="1" applyFont="1" applyBorder="1" applyAlignment="1">
      <alignment horizontal="center" wrapText="1"/>
    </xf>
    <xf numFmtId="0" fontId="21" fillId="0" borderId="0" xfId="0" applyFont="1" applyAlignment="1">
      <alignment horizontal="center"/>
    </xf>
    <xf numFmtId="0" fontId="1" fillId="0" borderId="18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339966"/>
      <color rgb="FFCC99FF"/>
      <color rgb="FFFF8080"/>
      <color rgb="FFFF00FF"/>
      <color rgb="FF00FF00"/>
      <color rgb="FFFF9900"/>
      <color rgb="FF969696"/>
      <color rgb="FF800080"/>
      <color rgb="FF808000"/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opLeftCell="A5" workbookViewId="0">
      <selection activeCell="L17" activeCellId="3" sqref="J17 J17 K17 L17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  <col min="14" max="14" width="12.28515625" customWidth="1"/>
  </cols>
  <sheetData>
    <row r="1" spans="1:14" ht="30" customHeight="1">
      <c r="J1" s="258" t="s">
        <v>0</v>
      </c>
      <c r="K1" s="258"/>
      <c r="L1" s="258"/>
      <c r="M1" s="258"/>
    </row>
    <row r="2" spans="1:14" ht="21.75" customHeight="1">
      <c r="J2" s="259" t="s">
        <v>1</v>
      </c>
      <c r="K2" s="259"/>
      <c r="L2" s="259"/>
      <c r="M2" s="259"/>
    </row>
    <row r="3" spans="1:14" ht="10.5" customHeight="1">
      <c r="E3" s="3"/>
      <c r="F3" s="3"/>
      <c r="G3" s="3"/>
      <c r="H3" s="3"/>
      <c r="I3" s="3"/>
      <c r="J3" s="3"/>
      <c r="K3" s="3"/>
      <c r="L3" s="3"/>
    </row>
    <row r="4" spans="1:14" ht="42" customHeight="1">
      <c r="E4" s="2"/>
      <c r="M4" s="261" t="s">
        <v>2</v>
      </c>
      <c r="N4" s="261"/>
    </row>
    <row r="5" spans="1:14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2" t="s">
        <v>5</v>
      </c>
      <c r="N5" s="262"/>
    </row>
    <row r="6" spans="1:14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7" t="s">
        <v>11</v>
      </c>
      <c r="N6" s="90" t="s">
        <v>12</v>
      </c>
    </row>
    <row r="7" spans="1:14" ht="30.75" customHeight="1">
      <c r="A7" s="8" t="s">
        <v>13</v>
      </c>
      <c r="I7" s="9"/>
      <c r="J7" s="9"/>
      <c r="K7" s="9"/>
      <c r="L7" s="9"/>
    </row>
    <row r="8" spans="1:14">
      <c r="B8" s="10" t="s">
        <v>14</v>
      </c>
      <c r="I8" s="9"/>
      <c r="J8" s="9"/>
      <c r="K8" s="9"/>
      <c r="L8" s="9"/>
      <c r="M8" s="9"/>
    </row>
    <row r="9" spans="1:14">
      <c r="C9" t="s">
        <v>15</v>
      </c>
      <c r="H9" s="12"/>
      <c r="I9" s="11">
        <v>-3475315</v>
      </c>
      <c r="J9" s="12">
        <v>74560</v>
      </c>
      <c r="K9" s="12"/>
      <c r="L9" s="12">
        <v>23340</v>
      </c>
      <c r="M9" s="12">
        <f t="shared" ref="M9:M15" si="0">SUM(I9:L9)</f>
        <v>-3377415</v>
      </c>
    </row>
    <row r="10" spans="1:14">
      <c r="C10" t="s">
        <v>16</v>
      </c>
      <c r="H10" s="12"/>
      <c r="I10" s="13">
        <v>-2252548</v>
      </c>
      <c r="J10" s="12">
        <v>25010</v>
      </c>
      <c r="K10" s="12">
        <v>761554</v>
      </c>
      <c r="L10" s="12">
        <v>488909</v>
      </c>
      <c r="M10" s="12">
        <f t="shared" si="0"/>
        <v>-977075</v>
      </c>
    </row>
    <row r="11" spans="1:14">
      <c r="C11" t="s">
        <v>17</v>
      </c>
      <c r="H11" s="12"/>
      <c r="I11" s="14">
        <v>-5747372</v>
      </c>
      <c r="J11" s="12"/>
      <c r="K11" s="12">
        <v>653955</v>
      </c>
      <c r="L11" s="12">
        <v>805163</v>
      </c>
      <c r="M11" s="12">
        <f t="shared" si="0"/>
        <v>-4288254</v>
      </c>
    </row>
    <row r="12" spans="1:14">
      <c r="C12" t="s">
        <v>18</v>
      </c>
      <c r="H12" s="12"/>
      <c r="I12" s="102">
        <v>-530123</v>
      </c>
      <c r="J12" s="12">
        <v>8189</v>
      </c>
      <c r="K12" s="12">
        <v>9284</v>
      </c>
      <c r="L12" s="12">
        <v>740924</v>
      </c>
      <c r="M12" s="12">
        <f t="shared" si="0"/>
        <v>228274</v>
      </c>
    </row>
    <row r="13" spans="1:14">
      <c r="C13" t="s">
        <v>19</v>
      </c>
      <c r="H13" s="12"/>
      <c r="I13" s="15">
        <v>-7195864</v>
      </c>
      <c r="J13" s="12">
        <v>7940</v>
      </c>
      <c r="K13" s="12">
        <v>156381</v>
      </c>
      <c r="L13" s="12">
        <v>57397</v>
      </c>
      <c r="M13" s="12">
        <f t="shared" si="0"/>
        <v>-6974146</v>
      </c>
    </row>
    <row r="14" spans="1:14">
      <c r="C14" t="s">
        <v>20</v>
      </c>
      <c r="H14" s="12"/>
      <c r="I14" s="16">
        <v>-279572</v>
      </c>
      <c r="J14" s="12">
        <v>79085</v>
      </c>
      <c r="K14" s="12"/>
      <c r="L14" s="12"/>
      <c r="M14" s="12">
        <f t="shared" si="0"/>
        <v>-200487</v>
      </c>
    </row>
    <row r="15" spans="1:14">
      <c r="C15" t="s">
        <v>21</v>
      </c>
      <c r="H15" s="12"/>
      <c r="I15" s="17">
        <v>-472119</v>
      </c>
      <c r="J15" s="18"/>
      <c r="K15" s="18"/>
      <c r="L15" s="18"/>
      <c r="M15" s="18">
        <f t="shared" si="0"/>
        <v>-472119</v>
      </c>
      <c r="N15" s="89"/>
    </row>
    <row r="16" spans="1:14">
      <c r="H16" s="12"/>
      <c r="I16" s="12"/>
      <c r="J16" s="12"/>
      <c r="K16" s="12"/>
      <c r="L16" s="12"/>
      <c r="M16" s="12"/>
    </row>
    <row r="17" spans="1:14">
      <c r="E17" s="19" t="s">
        <v>22</v>
      </c>
      <c r="F17" s="19"/>
      <c r="G17" s="19"/>
      <c r="H17" s="20"/>
      <c r="I17" s="20">
        <f>SUM(I9:I15)</f>
        <v>-19952913</v>
      </c>
      <c r="J17" s="20">
        <f>SUM(J9:J15)</f>
        <v>194784</v>
      </c>
      <c r="K17" s="20">
        <f>SUM(K9:K15)</f>
        <v>1581174</v>
      </c>
      <c r="L17" s="20">
        <f>SUM(L9:L15)</f>
        <v>2115733</v>
      </c>
      <c r="M17" s="91">
        <f>SUM(M9:M15)</f>
        <v>-16061222</v>
      </c>
      <c r="N17" s="87"/>
    </row>
    <row r="18" spans="1:14">
      <c r="H18" s="12"/>
      <c r="I18" s="12"/>
      <c r="J18" s="12"/>
      <c r="K18" s="12"/>
      <c r="L18" s="12"/>
      <c r="M18" s="12"/>
    </row>
    <row r="19" spans="1:14">
      <c r="A19" s="10" t="s">
        <v>23</v>
      </c>
      <c r="H19" s="12"/>
      <c r="I19" s="12"/>
      <c r="J19" s="12"/>
      <c r="K19" s="12"/>
      <c r="L19" s="12"/>
      <c r="M19" s="12"/>
    </row>
    <row r="20" spans="1:14">
      <c r="B20" t="s">
        <v>24</v>
      </c>
      <c r="H20" s="12"/>
      <c r="I20" s="94">
        <v>-769154</v>
      </c>
      <c r="J20" s="94">
        <v>209708</v>
      </c>
      <c r="K20" s="94">
        <v>61151</v>
      </c>
      <c r="L20" s="94">
        <v>0</v>
      </c>
      <c r="M20" s="94"/>
      <c r="N20" s="94">
        <f>SUM(I20:M20)</f>
        <v>-498295</v>
      </c>
    </row>
    <row r="21" spans="1:14">
      <c r="H21" s="12"/>
      <c r="I21" s="12"/>
      <c r="J21" s="12"/>
      <c r="K21" s="12"/>
      <c r="L21" s="12"/>
      <c r="M21" s="12"/>
    </row>
    <row r="22" spans="1:14">
      <c r="A22" s="8"/>
      <c r="B22" s="8"/>
      <c r="C22" s="8"/>
      <c r="D22" s="8"/>
      <c r="E22" s="8"/>
      <c r="G22" s="8" t="s">
        <v>25</v>
      </c>
      <c r="H22" s="26"/>
      <c r="I22" s="26"/>
      <c r="J22" s="26"/>
      <c r="K22" s="26"/>
      <c r="L22" s="26"/>
      <c r="M22" s="12"/>
    </row>
    <row r="23" spans="1:14">
      <c r="A23" s="8"/>
      <c r="B23" s="8"/>
      <c r="C23" s="8"/>
      <c r="D23" s="8"/>
      <c r="E23" s="8"/>
      <c r="G23" s="8"/>
      <c r="H23" s="88" t="s">
        <v>26</v>
      </c>
      <c r="I23" s="26"/>
      <c r="J23" s="26"/>
      <c r="K23" s="26"/>
      <c r="L23" s="26"/>
      <c r="M23" s="12"/>
    </row>
    <row r="24" spans="1:14">
      <c r="H24" s="12"/>
      <c r="I24" s="12" t="s">
        <v>27</v>
      </c>
      <c r="J24" s="12"/>
      <c r="K24" s="12"/>
      <c r="L24" s="12"/>
      <c r="M24" s="28">
        <v>5081628</v>
      </c>
    </row>
    <row r="25" spans="1:14">
      <c r="H25" s="12"/>
      <c r="I25" s="12" t="s">
        <v>28</v>
      </c>
      <c r="J25" s="12"/>
      <c r="K25" s="12"/>
      <c r="L25" s="12"/>
      <c r="M25" s="14">
        <v>11701851</v>
      </c>
    </row>
    <row r="26" spans="1:14">
      <c r="H26" s="12"/>
      <c r="I26" s="12" t="s">
        <v>29</v>
      </c>
      <c r="J26" s="12"/>
      <c r="K26" s="12"/>
      <c r="L26" s="12"/>
      <c r="M26" s="15">
        <v>1010850</v>
      </c>
    </row>
    <row r="27" spans="1:14">
      <c r="H27" s="12"/>
      <c r="I27" s="12" t="s">
        <v>30</v>
      </c>
      <c r="J27" s="12"/>
      <c r="K27" s="12"/>
      <c r="L27" s="12"/>
      <c r="M27" s="15">
        <v>252516</v>
      </c>
    </row>
    <row r="28" spans="1:14">
      <c r="H28" s="12"/>
      <c r="I28" s="12" t="s">
        <v>31</v>
      </c>
      <c r="J28" s="12"/>
      <c r="K28" s="12"/>
      <c r="L28" s="12"/>
      <c r="M28" s="15">
        <v>503125</v>
      </c>
    </row>
    <row r="29" spans="1:14">
      <c r="H29" s="12"/>
      <c r="I29" s="12" t="s">
        <v>32</v>
      </c>
      <c r="J29" s="12"/>
      <c r="K29" s="12"/>
      <c r="L29" s="12"/>
      <c r="M29" s="15">
        <v>292470</v>
      </c>
    </row>
    <row r="30" spans="1:14">
      <c r="H30" s="12" t="s">
        <v>33</v>
      </c>
      <c r="I30" s="12"/>
      <c r="J30" s="12"/>
      <c r="K30" s="12"/>
      <c r="L30" s="12"/>
      <c r="M30" s="11">
        <v>438274</v>
      </c>
    </row>
    <row r="31" spans="1:14">
      <c r="H31" s="12" t="s">
        <v>34</v>
      </c>
      <c r="I31" s="12"/>
      <c r="J31" s="12"/>
      <c r="K31" s="12"/>
      <c r="L31" s="12"/>
      <c r="M31" s="29">
        <v>-48655</v>
      </c>
    </row>
    <row r="32" spans="1:14">
      <c r="H32" s="12" t="s">
        <v>35</v>
      </c>
      <c r="I32" s="12"/>
      <c r="J32" s="12"/>
      <c r="K32" s="12"/>
      <c r="L32" s="12"/>
      <c r="M32" s="29">
        <v>-33534</v>
      </c>
    </row>
    <row r="33" spans="5:14">
      <c r="H33" s="12" t="s">
        <v>36</v>
      </c>
      <c r="I33" s="12"/>
      <c r="J33" s="12"/>
      <c r="K33" s="12"/>
      <c r="L33" s="12"/>
      <c r="M33" s="29">
        <v>446277</v>
      </c>
      <c r="N33" s="9">
        <v>426</v>
      </c>
    </row>
    <row r="34" spans="5:14">
      <c r="H34" s="12" t="s">
        <v>37</v>
      </c>
      <c r="I34" s="12"/>
      <c r="J34" s="12"/>
      <c r="K34" s="12"/>
      <c r="L34" s="12"/>
      <c r="M34" s="97">
        <v>-525290</v>
      </c>
      <c r="N34" s="9">
        <v>505290</v>
      </c>
    </row>
    <row r="35" spans="5:14">
      <c r="H35" s="12"/>
      <c r="I35" s="12"/>
      <c r="J35" s="12"/>
      <c r="K35" s="12"/>
      <c r="L35" s="12"/>
      <c r="M35" s="12"/>
    </row>
    <row r="36" spans="5:14">
      <c r="H36" s="20" t="s">
        <v>38</v>
      </c>
      <c r="I36" s="20"/>
      <c r="J36" s="20"/>
      <c r="K36" s="20"/>
      <c r="L36" s="20"/>
      <c r="M36" s="20">
        <f>SUM(M24:M34)</f>
        <v>19119512</v>
      </c>
      <c r="N36" s="93">
        <f>SUM(N24:N34)</f>
        <v>505716</v>
      </c>
    </row>
    <row r="37" spans="5:14">
      <c r="H37" s="12"/>
      <c r="I37" s="12"/>
      <c r="J37" s="12"/>
      <c r="K37" s="12"/>
      <c r="L37" s="12"/>
      <c r="M37" s="12"/>
    </row>
    <row r="38" spans="5:14">
      <c r="H38" s="20" t="s">
        <v>39</v>
      </c>
      <c r="I38" s="20"/>
      <c r="J38" s="20"/>
      <c r="K38" s="20"/>
      <c r="L38" s="20"/>
      <c r="M38" s="20">
        <f>SUM(M17,M36)</f>
        <v>3058290</v>
      </c>
      <c r="N38" s="94">
        <f>N36+N20</f>
        <v>7421</v>
      </c>
    </row>
    <row r="39" spans="5:14">
      <c r="H39" s="26"/>
      <c r="I39" s="26"/>
      <c r="J39" s="26"/>
      <c r="K39" s="26"/>
      <c r="L39" s="26"/>
      <c r="M39" s="26"/>
    </row>
    <row r="40" spans="5:14">
      <c r="H40" s="91" t="s">
        <v>40</v>
      </c>
      <c r="I40" s="91"/>
      <c r="J40" s="91"/>
      <c r="K40" s="91"/>
      <c r="L40" s="91"/>
      <c r="M40" s="91">
        <v>49162484</v>
      </c>
      <c r="N40" s="93">
        <v>31388</v>
      </c>
    </row>
    <row r="41" spans="5:14">
      <c r="H41" s="26"/>
      <c r="I41" s="26"/>
      <c r="J41" s="26"/>
      <c r="K41" s="26"/>
      <c r="L41" s="26"/>
      <c r="M41" s="26"/>
    </row>
    <row r="42" spans="5:14">
      <c r="H42" s="91" t="s">
        <v>41</v>
      </c>
      <c r="I42" s="91"/>
      <c r="J42" s="91"/>
      <c r="K42" s="91"/>
      <c r="L42" s="91"/>
      <c r="M42" s="91">
        <v>-110785</v>
      </c>
      <c r="N42" s="93"/>
    </row>
    <row r="43" spans="5:14">
      <c r="H43" s="26"/>
      <c r="I43" s="26"/>
      <c r="J43" s="26"/>
      <c r="K43" s="26"/>
      <c r="L43" s="26"/>
      <c r="M43" s="26"/>
    </row>
    <row r="44" spans="5:14">
      <c r="H44" s="91" t="s">
        <v>42</v>
      </c>
      <c r="I44" s="91"/>
      <c r="J44" s="91"/>
      <c r="K44" s="91"/>
      <c r="L44" s="91"/>
      <c r="M44" s="91">
        <v>511435</v>
      </c>
      <c r="N44" s="93"/>
    </row>
    <row r="45" spans="5:14">
      <c r="H45" s="26"/>
      <c r="I45" s="26"/>
      <c r="J45" s="26"/>
      <c r="K45" s="26"/>
      <c r="L45" s="26"/>
      <c r="M45" s="26"/>
    </row>
    <row r="46" spans="5:14">
      <c r="E46" s="31" t="s">
        <v>43</v>
      </c>
      <c r="F46" s="31"/>
      <c r="G46" s="31"/>
      <c r="H46" s="32"/>
      <c r="I46" s="32"/>
      <c r="J46" s="32"/>
      <c r="K46" s="32"/>
      <c r="L46" s="32"/>
      <c r="M46" s="33">
        <v>49563134</v>
      </c>
      <c r="N46" s="95">
        <v>31388</v>
      </c>
    </row>
    <row r="47" spans="5:14">
      <c r="H47" s="12"/>
      <c r="I47" s="12"/>
      <c r="J47" s="12"/>
      <c r="K47" s="12"/>
      <c r="L47" s="12"/>
      <c r="M47" s="12"/>
    </row>
    <row r="48" spans="5:14">
      <c r="E48" s="34" t="s">
        <v>44</v>
      </c>
      <c r="F48" s="34"/>
      <c r="G48" s="34"/>
      <c r="H48" s="35"/>
      <c r="I48" s="35"/>
      <c r="J48" s="35"/>
      <c r="K48" s="35"/>
      <c r="L48" s="35"/>
      <c r="M48" s="92">
        <f>M46+M38</f>
        <v>52621424</v>
      </c>
      <c r="N48" s="96">
        <f>N46+N38</f>
        <v>38809</v>
      </c>
    </row>
    <row r="55" spans="11:13">
      <c r="K55" s="9"/>
      <c r="L55" s="9"/>
      <c r="M55" s="9"/>
    </row>
  </sheetData>
  <mergeCells count="5">
    <mergeCell ref="J1:M1"/>
    <mergeCell ref="J2:M2"/>
    <mergeCell ref="J5:L5"/>
    <mergeCell ref="M4:N4"/>
    <mergeCell ref="M5:N5"/>
  </mergeCells>
  <pageMargins left="0.7" right="0.7" top="0.75" bottom="0.75" header="0.3" footer="0.3"/>
  <pageSetup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"/>
  <sheetViews>
    <sheetView zoomScale="75" zoomScaleNormal="75" zoomScalePageLayoutView="75" workbookViewId="0">
      <selection sqref="A1:XFD1048576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9.42578125" customWidth="1"/>
    <col min="9" max="9" width="23.7109375" customWidth="1"/>
    <col min="10" max="10" width="18.85546875" bestFit="1" customWidth="1"/>
    <col min="11" max="12" width="19.28515625" customWidth="1"/>
    <col min="13" max="13" width="21.42578125" customWidth="1"/>
    <col min="14" max="14" width="19.28515625" customWidth="1"/>
    <col min="15" max="15" width="23.7109375" customWidth="1"/>
  </cols>
  <sheetData>
    <row r="1" spans="1:15" ht="30" customHeight="1">
      <c r="J1" s="258" t="s">
        <v>45</v>
      </c>
      <c r="K1" s="258"/>
      <c r="L1" s="258"/>
      <c r="M1" s="258"/>
      <c r="N1" s="258"/>
      <c r="O1" s="1"/>
    </row>
    <row r="2" spans="1:15" ht="21.75" customHeight="1">
      <c r="J2" s="259" t="s">
        <v>46</v>
      </c>
      <c r="K2" s="259"/>
      <c r="L2" s="259"/>
      <c r="M2" s="259"/>
      <c r="N2" s="259"/>
      <c r="O2" s="2"/>
    </row>
    <row r="3" spans="1:15" ht="20.25" customHeight="1">
      <c r="E3" s="3"/>
      <c r="F3" s="3"/>
      <c r="G3" s="3"/>
      <c r="H3" s="3"/>
      <c r="I3" s="3"/>
      <c r="J3" s="3"/>
      <c r="K3" s="3"/>
      <c r="L3" s="3"/>
    </row>
    <row r="4" spans="1:15" ht="34.5" customHeight="1">
      <c r="E4" s="2"/>
      <c r="M4" s="260" t="s">
        <v>47</v>
      </c>
      <c r="N4" s="260"/>
      <c r="O4" s="260"/>
    </row>
    <row r="5" spans="1:15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3" t="s">
        <v>5</v>
      </c>
      <c r="N5" s="263"/>
      <c r="O5" s="263"/>
    </row>
    <row r="6" spans="1:15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7" t="s">
        <v>48</v>
      </c>
      <c r="N6" s="7" t="s">
        <v>49</v>
      </c>
      <c r="O6" s="7" t="s">
        <v>50</v>
      </c>
    </row>
    <row r="7" spans="1:15" ht="30.75" customHeight="1">
      <c r="A7" s="8" t="s">
        <v>13</v>
      </c>
      <c r="I7" s="9"/>
      <c r="J7" s="9"/>
      <c r="K7" s="9"/>
      <c r="L7" s="9"/>
    </row>
    <row r="8" spans="1:15">
      <c r="B8" s="10" t="s">
        <v>14</v>
      </c>
      <c r="I8" s="9"/>
      <c r="J8" s="9"/>
      <c r="K8" s="9"/>
      <c r="L8" s="9"/>
      <c r="M8" s="9"/>
      <c r="N8" s="9"/>
      <c r="O8" s="9"/>
    </row>
    <row r="9" spans="1:15">
      <c r="C9" t="s">
        <v>15</v>
      </c>
      <c r="I9" s="11">
        <v>-16401980.800000001</v>
      </c>
      <c r="J9" s="12">
        <v>4333438.12</v>
      </c>
      <c r="K9" s="12">
        <v>2704791.69</v>
      </c>
      <c r="L9" s="12"/>
      <c r="M9" s="12">
        <f t="shared" ref="M9:M17" si="0">SUM(I9:L9)</f>
        <v>-9363750.9900000002</v>
      </c>
      <c r="N9" s="12"/>
      <c r="O9" s="12">
        <f>SUM(M9:N9)</f>
        <v>-9363750.9900000002</v>
      </c>
    </row>
    <row r="10" spans="1:15">
      <c r="C10" t="s">
        <v>16</v>
      </c>
      <c r="I10" s="13">
        <v>-16556688.33</v>
      </c>
      <c r="J10" s="12">
        <v>1328868.26</v>
      </c>
      <c r="K10" s="12">
        <v>3765237.84</v>
      </c>
      <c r="L10" s="12"/>
      <c r="M10" s="12">
        <f t="shared" si="0"/>
        <v>-11462582.23</v>
      </c>
      <c r="N10" s="12"/>
      <c r="O10" s="12">
        <f t="shared" ref="O10:O17" si="1">SUM(M10:N10)</f>
        <v>-11462582.23</v>
      </c>
    </row>
    <row r="11" spans="1:15">
      <c r="C11" t="s">
        <v>51</v>
      </c>
      <c r="I11" s="14">
        <v>-12309705.390000001</v>
      </c>
      <c r="J11" s="12">
        <v>133348.79999999999</v>
      </c>
      <c r="K11" s="12">
        <v>3792599.24</v>
      </c>
      <c r="L11" s="12">
        <v>55534.45</v>
      </c>
      <c r="M11" s="12">
        <f t="shared" si="0"/>
        <v>-8328222.8999999994</v>
      </c>
      <c r="N11" s="12"/>
      <c r="O11" s="12">
        <f t="shared" si="1"/>
        <v>-8328222.8999999994</v>
      </c>
    </row>
    <row r="12" spans="1:15">
      <c r="C12" t="s">
        <v>52</v>
      </c>
      <c r="I12" s="14">
        <v>-22409528.390000001</v>
      </c>
      <c r="J12" s="12"/>
      <c r="K12" s="12">
        <v>22196827.16</v>
      </c>
      <c r="L12" s="12"/>
      <c r="M12" s="12">
        <f t="shared" si="0"/>
        <v>-212701.23000000045</v>
      </c>
      <c r="N12" s="12"/>
      <c r="O12" s="12">
        <f t="shared" si="1"/>
        <v>-212701.23000000045</v>
      </c>
    </row>
    <row r="13" spans="1:15">
      <c r="C13" t="s">
        <v>53</v>
      </c>
      <c r="I13" s="15">
        <v>-384287.66</v>
      </c>
      <c r="J13" s="12">
        <v>93696</v>
      </c>
      <c r="K13" s="12">
        <v>7591.44</v>
      </c>
      <c r="L13" s="12"/>
      <c r="M13" s="12">
        <f t="shared" si="0"/>
        <v>-283000.21999999997</v>
      </c>
      <c r="N13" s="12"/>
      <c r="O13" s="12">
        <f t="shared" si="1"/>
        <v>-283000.21999999997</v>
      </c>
    </row>
    <row r="14" spans="1:15">
      <c r="C14" t="s">
        <v>54</v>
      </c>
      <c r="I14" s="15">
        <v>-115639.57</v>
      </c>
      <c r="J14" s="12"/>
      <c r="K14" s="12"/>
      <c r="L14" s="12"/>
      <c r="M14" s="12">
        <f t="shared" si="0"/>
        <v>-115639.57</v>
      </c>
      <c r="N14" s="12"/>
      <c r="O14" s="12">
        <f t="shared" si="1"/>
        <v>-115639.57</v>
      </c>
    </row>
    <row r="15" spans="1:15">
      <c r="C15" t="s">
        <v>20</v>
      </c>
      <c r="I15" s="16">
        <v>-635743.19999999995</v>
      </c>
      <c r="J15" s="12"/>
      <c r="K15" s="12"/>
      <c r="L15" s="12"/>
      <c r="M15" s="12">
        <f t="shared" si="0"/>
        <v>-635743.19999999995</v>
      </c>
      <c r="N15" s="12"/>
      <c r="O15" s="12">
        <f t="shared" si="1"/>
        <v>-635743.19999999995</v>
      </c>
    </row>
    <row r="16" spans="1:15">
      <c r="C16" t="s">
        <v>55</v>
      </c>
      <c r="I16" s="14">
        <v>-73000</v>
      </c>
      <c r="J16" s="12"/>
      <c r="K16" s="12"/>
      <c r="L16" s="12"/>
      <c r="M16" s="12">
        <f t="shared" si="0"/>
        <v>-73000</v>
      </c>
      <c r="N16" s="12"/>
      <c r="O16" s="12">
        <f t="shared" si="1"/>
        <v>-73000</v>
      </c>
    </row>
    <row r="17" spans="1:15">
      <c r="C17" t="s">
        <v>21</v>
      </c>
      <c r="I17" s="17">
        <v>-622092.61</v>
      </c>
      <c r="J17" s="18"/>
      <c r="K17" s="18"/>
      <c r="L17" s="18"/>
      <c r="M17" s="18">
        <f t="shared" si="0"/>
        <v>-622092.61</v>
      </c>
      <c r="N17" s="18"/>
      <c r="O17" s="18">
        <f t="shared" si="1"/>
        <v>-622092.61</v>
      </c>
    </row>
    <row r="18" spans="1:15">
      <c r="I18" s="12"/>
      <c r="J18" s="12"/>
      <c r="K18" s="12"/>
      <c r="L18" s="12"/>
      <c r="M18" s="12"/>
      <c r="N18" s="12"/>
      <c r="O18" s="12"/>
    </row>
    <row r="19" spans="1:15">
      <c r="E19" s="19" t="s">
        <v>22</v>
      </c>
      <c r="F19" s="19"/>
      <c r="G19" s="19"/>
      <c r="H19" s="19"/>
      <c r="I19" s="20">
        <f t="shared" ref="I19:O19" si="2">SUM(I9:I17)</f>
        <v>-69508665.949999988</v>
      </c>
      <c r="J19" s="20">
        <f t="shared" si="2"/>
        <v>5889351.1799999997</v>
      </c>
      <c r="K19" s="20">
        <f t="shared" si="2"/>
        <v>32467047.370000001</v>
      </c>
      <c r="L19" s="20">
        <f t="shared" si="2"/>
        <v>55534.45</v>
      </c>
      <c r="M19" s="20">
        <f t="shared" si="2"/>
        <v>-31096732.949999996</v>
      </c>
      <c r="N19" s="20">
        <f t="shared" si="2"/>
        <v>0</v>
      </c>
      <c r="O19" s="20">
        <f t="shared" si="2"/>
        <v>-31096732.949999996</v>
      </c>
    </row>
    <row r="20" spans="1:15">
      <c r="I20" s="12"/>
      <c r="J20" s="12"/>
      <c r="K20" s="12"/>
      <c r="L20" s="12"/>
      <c r="M20" s="12"/>
      <c r="N20" s="12"/>
      <c r="O20" s="12"/>
    </row>
    <row r="21" spans="1:15">
      <c r="B21" s="10" t="s">
        <v>56</v>
      </c>
      <c r="I21" s="12"/>
      <c r="J21" s="12"/>
      <c r="K21" s="12"/>
      <c r="L21" s="12"/>
      <c r="M21" s="12"/>
      <c r="N21" s="12"/>
      <c r="O21" s="12"/>
    </row>
    <row r="22" spans="1:15">
      <c r="C22" t="s">
        <v>57</v>
      </c>
      <c r="I22" s="86">
        <v>-1744754.24</v>
      </c>
      <c r="J22" s="18">
        <v>2172224.37</v>
      </c>
      <c r="K22" s="18"/>
      <c r="L22" s="18"/>
      <c r="M22" s="18"/>
      <c r="N22" s="18">
        <v>427470.13</v>
      </c>
      <c r="O22" s="18">
        <v>427470.13</v>
      </c>
    </row>
    <row r="23" spans="1:15">
      <c r="I23" s="12"/>
      <c r="J23" s="12"/>
      <c r="K23" s="12"/>
      <c r="L23" s="12"/>
      <c r="M23" s="12"/>
      <c r="N23" s="12"/>
      <c r="O23" s="12"/>
    </row>
    <row r="24" spans="1:15" s="10" customFormat="1">
      <c r="E24" s="21" t="s">
        <v>58</v>
      </c>
      <c r="F24" s="21"/>
      <c r="G24" s="21"/>
      <c r="H24" s="21"/>
      <c r="I24" s="22">
        <f t="shared" ref="I24:O24" si="3">SUM(I22:I22)</f>
        <v>-1744754.24</v>
      </c>
      <c r="J24" s="22">
        <f t="shared" si="3"/>
        <v>2172224.37</v>
      </c>
      <c r="K24" s="22">
        <f t="shared" si="3"/>
        <v>0</v>
      </c>
      <c r="L24" s="22">
        <f t="shared" si="3"/>
        <v>0</v>
      </c>
      <c r="M24" s="22">
        <f t="shared" si="3"/>
        <v>0</v>
      </c>
      <c r="N24" s="22">
        <f t="shared" si="3"/>
        <v>427470.13</v>
      </c>
      <c r="O24" s="22">
        <f t="shared" si="3"/>
        <v>427470.13</v>
      </c>
    </row>
    <row r="25" spans="1:15">
      <c r="I25" s="12"/>
      <c r="J25" s="12"/>
      <c r="K25" s="12"/>
      <c r="L25" s="12"/>
      <c r="M25" s="12"/>
      <c r="N25" s="12"/>
      <c r="O25" s="12"/>
    </row>
    <row r="26" spans="1:15">
      <c r="C26" s="23" t="s">
        <v>11</v>
      </c>
      <c r="D26" s="23"/>
      <c r="E26" s="24"/>
      <c r="F26" s="23"/>
      <c r="G26" s="23"/>
      <c r="H26" s="23"/>
      <c r="I26" s="25">
        <f t="shared" ref="I26:O26" si="4">SUM(I19+I24)</f>
        <v>-71253420.189999983</v>
      </c>
      <c r="J26" s="25">
        <f t="shared" si="4"/>
        <v>8061575.5499999998</v>
      </c>
      <c r="K26" s="25">
        <f t="shared" si="4"/>
        <v>32467047.370000001</v>
      </c>
      <c r="L26" s="25">
        <f t="shared" si="4"/>
        <v>55534.45</v>
      </c>
      <c r="M26" s="25">
        <f t="shared" si="4"/>
        <v>-31096732.949999996</v>
      </c>
      <c r="N26" s="25">
        <f t="shared" si="4"/>
        <v>427470.13</v>
      </c>
      <c r="O26" s="25">
        <f t="shared" si="4"/>
        <v>-30669262.819999997</v>
      </c>
    </row>
    <row r="27" spans="1:15">
      <c r="I27" s="12"/>
      <c r="J27" s="12"/>
      <c r="K27" s="12"/>
      <c r="L27" s="12"/>
      <c r="M27" s="12"/>
      <c r="N27" s="12"/>
      <c r="O27" s="12"/>
    </row>
    <row r="28" spans="1:15">
      <c r="A28" s="8"/>
      <c r="B28" s="8"/>
      <c r="C28" s="8"/>
      <c r="D28" s="8"/>
      <c r="E28" s="8"/>
      <c r="G28" s="8" t="s">
        <v>25</v>
      </c>
      <c r="H28" s="8"/>
      <c r="I28" s="26"/>
      <c r="J28" s="26"/>
      <c r="K28" s="26"/>
      <c r="L28" s="26"/>
      <c r="M28" s="12"/>
      <c r="N28" s="12"/>
      <c r="O28" s="12"/>
    </row>
    <row r="29" spans="1:15">
      <c r="A29" s="8"/>
      <c r="B29" s="8"/>
      <c r="C29" s="8"/>
      <c r="D29" s="8"/>
      <c r="E29" s="8"/>
      <c r="G29" s="8"/>
      <c r="H29" s="27" t="s">
        <v>26</v>
      </c>
      <c r="I29" s="26"/>
      <c r="J29" s="26"/>
      <c r="K29" s="26"/>
      <c r="L29" s="26"/>
      <c r="M29" s="12"/>
      <c r="N29" s="12"/>
      <c r="O29" s="12"/>
    </row>
    <row r="30" spans="1:15">
      <c r="I30" s="12" t="s">
        <v>59</v>
      </c>
      <c r="J30" s="12"/>
      <c r="K30" s="12"/>
      <c r="L30" s="12"/>
      <c r="M30" s="28">
        <v>6433134.9400000004</v>
      </c>
      <c r="N30" s="12"/>
      <c r="O30" s="12">
        <f>SUM(M30:N30)</f>
        <v>6433134.9400000004</v>
      </c>
    </row>
    <row r="31" spans="1:15">
      <c r="I31" s="12" t="s">
        <v>60</v>
      </c>
      <c r="J31" s="12"/>
      <c r="K31" s="12"/>
      <c r="L31" s="12"/>
      <c r="M31" s="28">
        <v>4562102.6500000004</v>
      </c>
      <c r="N31" s="12"/>
      <c r="O31" s="12">
        <f t="shared" ref="O31:O36" si="5">SUM(M31:N31)</f>
        <v>4562102.6500000004</v>
      </c>
    </row>
    <row r="32" spans="1:15">
      <c r="I32" s="12" t="s">
        <v>61</v>
      </c>
      <c r="J32" s="12"/>
      <c r="K32" s="12"/>
      <c r="L32" s="12"/>
      <c r="M32" s="14">
        <v>4286349.53</v>
      </c>
      <c r="N32" s="12"/>
      <c r="O32" s="12">
        <f t="shared" si="5"/>
        <v>4286349.53</v>
      </c>
    </row>
    <row r="33" spans="5:15">
      <c r="I33" s="12" t="s">
        <v>62</v>
      </c>
      <c r="J33" s="12"/>
      <c r="K33" s="12"/>
      <c r="L33" s="12"/>
      <c r="M33" s="14">
        <v>1673649.69</v>
      </c>
      <c r="N33" s="12"/>
      <c r="O33" s="12">
        <f t="shared" si="5"/>
        <v>1673649.69</v>
      </c>
    </row>
    <row r="34" spans="5:15">
      <c r="H34" t="s">
        <v>63</v>
      </c>
      <c r="I34" s="12"/>
      <c r="J34" s="12"/>
      <c r="K34" s="12"/>
      <c r="L34" s="12"/>
      <c r="M34" s="11">
        <v>850414.01</v>
      </c>
      <c r="N34" s="12"/>
      <c r="O34" s="12">
        <f t="shared" si="5"/>
        <v>850414.01</v>
      </c>
    </row>
    <row r="35" spans="5:15">
      <c r="H35" t="s">
        <v>64</v>
      </c>
      <c r="I35" s="12"/>
      <c r="J35" s="12"/>
      <c r="K35" s="12"/>
      <c r="L35" s="12"/>
      <c r="M35" s="29">
        <v>274846.25</v>
      </c>
      <c r="N35" s="12">
        <v>6565.7</v>
      </c>
      <c r="O35" s="12">
        <f t="shared" si="5"/>
        <v>281411.95</v>
      </c>
    </row>
    <row r="36" spans="5:15">
      <c r="H36" t="s">
        <v>36</v>
      </c>
      <c r="I36" s="12"/>
      <c r="J36" s="12"/>
      <c r="K36" s="12"/>
      <c r="L36" s="12"/>
      <c r="M36" s="29">
        <v>3718934.86</v>
      </c>
      <c r="N36" s="12">
        <v>64169.68</v>
      </c>
      <c r="O36" s="12">
        <f t="shared" si="5"/>
        <v>3783104.54</v>
      </c>
    </row>
    <row r="37" spans="5:15">
      <c r="H37" t="s">
        <v>37</v>
      </c>
      <c r="I37" s="12"/>
      <c r="J37" s="12"/>
      <c r="K37" s="12"/>
      <c r="L37" s="12"/>
      <c r="M37" s="30">
        <v>432773</v>
      </c>
      <c r="N37" s="18">
        <v>-432773</v>
      </c>
      <c r="O37" s="18">
        <f>SUM(M37,N37)</f>
        <v>0</v>
      </c>
    </row>
    <row r="38" spans="5:15">
      <c r="H38" t="s">
        <v>65</v>
      </c>
      <c r="I38" s="12"/>
      <c r="J38" s="12"/>
      <c r="K38" s="12"/>
      <c r="L38" s="12"/>
      <c r="M38" s="29">
        <v>-73267927.200000003</v>
      </c>
      <c r="N38" s="12"/>
      <c r="O38" s="12">
        <f>SUM(M38,N38)</f>
        <v>-73267927.200000003</v>
      </c>
    </row>
    <row r="39" spans="5:15">
      <c r="I39" s="12"/>
      <c r="J39" s="12"/>
      <c r="K39" s="12"/>
      <c r="L39" s="12"/>
      <c r="M39" s="12"/>
      <c r="N39" s="12"/>
      <c r="O39" s="12"/>
    </row>
    <row r="40" spans="5:15">
      <c r="H40" s="19" t="s">
        <v>66</v>
      </c>
      <c r="I40" s="20"/>
      <c r="J40" s="20"/>
      <c r="K40" s="20"/>
      <c r="L40" s="20"/>
      <c r="M40" s="20">
        <f>SUM(M30:M38)</f>
        <v>-51035722.269999996</v>
      </c>
      <c r="N40" s="20">
        <f>SUM(N30:N38)</f>
        <v>-362037.62</v>
      </c>
      <c r="O40" s="20">
        <f>SUM(O30:O38)</f>
        <v>-51397759.890000001</v>
      </c>
    </row>
    <row r="41" spans="5:15">
      <c r="I41" s="12"/>
      <c r="J41" s="12"/>
      <c r="K41" s="12"/>
      <c r="L41" s="12"/>
      <c r="M41" s="12"/>
      <c r="N41" s="12"/>
      <c r="O41" s="12"/>
    </row>
    <row r="42" spans="5:15">
      <c r="H42" s="19" t="s">
        <v>39</v>
      </c>
      <c r="I42" s="20"/>
      <c r="J42" s="20"/>
      <c r="K42" s="20"/>
      <c r="L42" s="20"/>
      <c r="M42" s="20">
        <f>SUM(M40,M26)</f>
        <v>-82132455.219999999</v>
      </c>
      <c r="N42" s="20">
        <f>SUM(N40,N26)</f>
        <v>65432.510000000009</v>
      </c>
      <c r="O42" s="20">
        <f>SUM(M42:N42)</f>
        <v>-82067022.709999993</v>
      </c>
    </row>
    <row r="43" spans="5:15">
      <c r="H43" s="8"/>
      <c r="I43" s="26"/>
      <c r="J43" s="26"/>
      <c r="K43" s="26"/>
      <c r="L43" s="26"/>
      <c r="M43" s="26"/>
      <c r="N43" s="26"/>
      <c r="O43" s="26"/>
    </row>
    <row r="44" spans="5:15">
      <c r="E44" s="31" t="s">
        <v>67</v>
      </c>
      <c r="F44" s="31"/>
      <c r="G44" s="31"/>
      <c r="H44" s="31"/>
      <c r="I44" s="32"/>
      <c r="J44" s="32"/>
      <c r="K44" s="32"/>
      <c r="L44" s="32"/>
      <c r="M44" s="33">
        <v>151809390.44</v>
      </c>
      <c r="N44" s="33">
        <v>2795005.38</v>
      </c>
      <c r="O44" s="33">
        <f>SUM(M44:N44)</f>
        <v>154604395.81999999</v>
      </c>
    </row>
    <row r="45" spans="5:15">
      <c r="I45" s="12"/>
      <c r="J45" s="12"/>
      <c r="K45" s="12"/>
      <c r="L45" s="12"/>
      <c r="M45" s="12"/>
      <c r="N45" s="12"/>
      <c r="O45" s="12"/>
    </row>
    <row r="46" spans="5:15">
      <c r="E46" s="34" t="s">
        <v>44</v>
      </c>
      <c r="F46" s="34"/>
      <c r="G46" s="34"/>
      <c r="H46" s="34"/>
      <c r="I46" s="35"/>
      <c r="J46" s="35"/>
      <c r="K46" s="35"/>
      <c r="L46" s="35"/>
      <c r="M46" s="35">
        <f>SUM(M42,M44)</f>
        <v>69676935.219999999</v>
      </c>
      <c r="N46" s="35">
        <f t="shared" ref="N46:O46" si="6">SUM(N42,N44)</f>
        <v>2860437.8899999997</v>
      </c>
      <c r="O46" s="35">
        <f t="shared" si="6"/>
        <v>72537373.109999999</v>
      </c>
    </row>
    <row r="53" spans="11:13">
      <c r="K53" s="9"/>
      <c r="L53" s="9"/>
      <c r="M53" s="9"/>
    </row>
  </sheetData>
  <mergeCells count="5">
    <mergeCell ref="J1:N1"/>
    <mergeCell ref="J2:N2"/>
    <mergeCell ref="M4:O4"/>
    <mergeCell ref="J5:L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"/>
  <sheetViews>
    <sheetView topLeftCell="A4" workbookViewId="0">
      <selection activeCell="I17" sqref="I17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</cols>
  <sheetData>
    <row r="1" spans="1:13" ht="30" customHeight="1">
      <c r="J1" s="258" t="s">
        <v>68</v>
      </c>
      <c r="K1" s="258"/>
      <c r="L1" s="258"/>
      <c r="M1" s="258"/>
    </row>
    <row r="2" spans="1:13" ht="21.75" customHeight="1">
      <c r="J2" s="259" t="s">
        <v>1</v>
      </c>
      <c r="K2" s="259"/>
      <c r="L2" s="259"/>
      <c r="M2" s="259"/>
    </row>
    <row r="3" spans="1:13" ht="10.5" customHeight="1">
      <c r="E3" s="3"/>
      <c r="F3" s="3"/>
      <c r="G3" s="3"/>
      <c r="H3" s="3"/>
      <c r="I3" s="3"/>
      <c r="J3" s="3"/>
      <c r="K3" s="3"/>
      <c r="L3" s="3"/>
    </row>
    <row r="4" spans="1:13" ht="49.5" customHeight="1">
      <c r="E4" s="2"/>
      <c r="M4" s="172" t="s">
        <v>69</v>
      </c>
    </row>
    <row r="5" spans="1:13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175" t="s">
        <v>5</v>
      </c>
    </row>
    <row r="6" spans="1:13" ht="44.25" customHeight="1">
      <c r="A6" s="5" t="s">
        <v>6</v>
      </c>
      <c r="I6" s="6" t="s">
        <v>7</v>
      </c>
      <c r="J6" s="6" t="s">
        <v>70</v>
      </c>
      <c r="K6" s="6" t="s">
        <v>9</v>
      </c>
      <c r="L6" s="6" t="s">
        <v>10</v>
      </c>
      <c r="M6" s="7" t="s">
        <v>11</v>
      </c>
    </row>
    <row r="7" spans="1:13" ht="30.75" customHeight="1">
      <c r="A7" s="8" t="s">
        <v>13</v>
      </c>
      <c r="I7" s="9"/>
      <c r="J7" s="9"/>
      <c r="K7" s="9"/>
      <c r="L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C9" t="s">
        <v>15</v>
      </c>
      <c r="H9" s="12"/>
      <c r="I9" s="11">
        <v>-1828189</v>
      </c>
      <c r="J9" s="12">
        <v>201510</v>
      </c>
      <c r="K9" s="12">
        <v>13730</v>
      </c>
      <c r="L9" s="12"/>
      <c r="M9" s="12">
        <f t="shared" ref="M9:M14" si="0">SUM(I9:L9)</f>
        <v>-1612949</v>
      </c>
    </row>
    <row r="10" spans="1:13">
      <c r="C10" t="s">
        <v>16</v>
      </c>
      <c r="H10" s="12"/>
      <c r="I10" s="13">
        <v>-613949</v>
      </c>
      <c r="J10" s="12"/>
      <c r="K10" s="12">
        <v>25419</v>
      </c>
      <c r="L10" s="12">
        <v>27776</v>
      </c>
      <c r="M10" s="12">
        <f t="shared" si="0"/>
        <v>-560754</v>
      </c>
    </row>
    <row r="11" spans="1:13">
      <c r="C11" t="s">
        <v>17</v>
      </c>
      <c r="H11" s="12"/>
      <c r="I11" s="14">
        <v>-6291960</v>
      </c>
      <c r="J11" s="12"/>
      <c r="K11" s="12">
        <v>29509</v>
      </c>
      <c r="L11" s="12"/>
      <c r="M11" s="12">
        <f t="shared" si="0"/>
        <v>-6262451</v>
      </c>
    </row>
    <row r="12" spans="1:13">
      <c r="C12" t="s">
        <v>71</v>
      </c>
      <c r="H12" s="12"/>
      <c r="I12" s="102">
        <v>-322491</v>
      </c>
      <c r="J12" s="12">
        <v>92074</v>
      </c>
      <c r="K12" s="12">
        <v>96087</v>
      </c>
      <c r="L12" s="12">
        <v>54290</v>
      </c>
      <c r="M12" s="12">
        <f t="shared" si="0"/>
        <v>-80040</v>
      </c>
    </row>
    <row r="13" spans="1:13">
      <c r="C13" t="s">
        <v>72</v>
      </c>
      <c r="H13" s="12"/>
      <c r="I13" s="107">
        <v>-516630</v>
      </c>
      <c r="J13" s="12"/>
      <c r="K13" s="12">
        <v>495024</v>
      </c>
      <c r="L13" s="12"/>
      <c r="M13" s="12">
        <f t="shared" si="0"/>
        <v>-21606</v>
      </c>
    </row>
    <row r="14" spans="1:13">
      <c r="C14" t="s">
        <v>21</v>
      </c>
      <c r="H14" s="12"/>
      <c r="I14" s="17">
        <v>-5262</v>
      </c>
      <c r="J14" s="18"/>
      <c r="K14" s="18"/>
      <c r="L14" s="18"/>
      <c r="M14" s="18">
        <f t="shared" si="0"/>
        <v>-5262</v>
      </c>
    </row>
    <row r="15" spans="1:13">
      <c r="H15" s="12"/>
      <c r="I15" s="12"/>
      <c r="J15" s="12"/>
      <c r="K15" s="12"/>
      <c r="L15" s="12"/>
      <c r="M15" s="12"/>
    </row>
    <row r="16" spans="1:13">
      <c r="E16" s="19" t="s">
        <v>22</v>
      </c>
      <c r="F16" s="19"/>
      <c r="G16" s="19"/>
      <c r="H16" s="20"/>
      <c r="I16" s="20">
        <f>SUM(I9:I14)</f>
        <v>-9578481</v>
      </c>
      <c r="J16" s="20">
        <f>SUM(J9:J14)</f>
        <v>293584</v>
      </c>
      <c r="K16" s="20">
        <f>SUM(K9:K14)</f>
        <v>659769</v>
      </c>
      <c r="L16" s="20">
        <f>SUM(L9:L14)</f>
        <v>82066</v>
      </c>
      <c r="M16" s="91">
        <f>SUM(M9:M14)</f>
        <v>-8543062</v>
      </c>
    </row>
    <row r="17" spans="1:13">
      <c r="H17" s="12"/>
      <c r="I17" s="12"/>
      <c r="J17" s="12"/>
      <c r="K17" s="12"/>
      <c r="L17" s="12"/>
      <c r="M17" s="12"/>
    </row>
    <row r="18" spans="1:13">
      <c r="H18" s="12"/>
      <c r="I18" s="12"/>
      <c r="J18" s="12"/>
      <c r="K18" s="12"/>
      <c r="L18" s="12"/>
      <c r="M18" s="12"/>
    </row>
    <row r="19" spans="1:13">
      <c r="A19" s="8"/>
      <c r="B19" s="8"/>
      <c r="C19" s="8"/>
      <c r="D19" s="8"/>
      <c r="E19" s="8"/>
      <c r="G19" s="8" t="s">
        <v>25</v>
      </c>
      <c r="H19" s="26"/>
      <c r="I19" s="26"/>
      <c r="J19" s="26"/>
      <c r="K19" s="26"/>
      <c r="L19" s="26"/>
      <c r="M19" s="12"/>
    </row>
    <row r="20" spans="1:13">
      <c r="A20" s="8"/>
      <c r="B20" s="8"/>
      <c r="C20" s="8"/>
      <c r="D20" s="8"/>
      <c r="E20" s="8"/>
      <c r="G20" s="8"/>
      <c r="H20" s="88" t="s">
        <v>26</v>
      </c>
      <c r="I20" s="26"/>
      <c r="J20" s="26"/>
      <c r="K20" s="26"/>
      <c r="L20" s="26"/>
      <c r="M20" s="12"/>
    </row>
    <row r="21" spans="1:13">
      <c r="H21" s="12"/>
      <c r="I21" s="12" t="s">
        <v>73</v>
      </c>
      <c r="J21" s="12"/>
      <c r="K21" s="12"/>
      <c r="L21" s="12"/>
      <c r="M21" s="28">
        <v>2978127</v>
      </c>
    </row>
    <row r="22" spans="1:13">
      <c r="H22" s="12"/>
      <c r="I22" s="12" t="s">
        <v>74</v>
      </c>
      <c r="J22" s="12"/>
      <c r="K22" s="12"/>
      <c r="L22" s="12"/>
      <c r="M22" s="14">
        <v>1915340</v>
      </c>
    </row>
    <row r="23" spans="1:13">
      <c r="H23" s="12"/>
      <c r="I23" s="12" t="s">
        <v>29</v>
      </c>
      <c r="J23" s="12"/>
      <c r="K23" s="12"/>
      <c r="L23" s="12"/>
      <c r="M23" s="15">
        <v>1165147</v>
      </c>
    </row>
    <row r="24" spans="1:13">
      <c r="H24" s="12"/>
      <c r="I24" s="12" t="s">
        <v>32</v>
      </c>
      <c r="J24" s="12"/>
      <c r="K24" s="12"/>
      <c r="L24" s="12"/>
      <c r="M24" s="15">
        <v>1652</v>
      </c>
    </row>
    <row r="25" spans="1:13">
      <c r="H25" s="12" t="s">
        <v>75</v>
      </c>
      <c r="I25" s="12"/>
      <c r="J25" s="12"/>
      <c r="K25" s="12"/>
      <c r="L25" s="12"/>
      <c r="M25" s="105">
        <v>177544</v>
      </c>
    </row>
    <row r="26" spans="1:13">
      <c r="H26" s="12" t="s">
        <v>76</v>
      </c>
      <c r="I26" s="12"/>
      <c r="J26" s="12"/>
      <c r="K26" s="12"/>
      <c r="L26" s="12"/>
      <c r="M26" s="29">
        <v>1340652</v>
      </c>
    </row>
    <row r="27" spans="1:13">
      <c r="H27" s="12" t="s">
        <v>77</v>
      </c>
      <c r="I27" s="12"/>
      <c r="J27" s="12"/>
      <c r="K27" s="12"/>
      <c r="L27" s="12"/>
      <c r="M27" s="29">
        <v>15570</v>
      </c>
    </row>
    <row r="28" spans="1:13">
      <c r="H28" s="12" t="s">
        <v>78</v>
      </c>
      <c r="I28" s="12"/>
      <c r="J28" s="12"/>
      <c r="K28" s="12"/>
      <c r="L28" s="12"/>
      <c r="M28" s="12"/>
    </row>
    <row r="29" spans="1:13">
      <c r="H29" s="12"/>
      <c r="I29" s="12" t="s">
        <v>79</v>
      </c>
      <c r="J29" s="12"/>
      <c r="K29" s="12"/>
      <c r="L29" s="12"/>
      <c r="M29" s="29">
        <v>41245</v>
      </c>
    </row>
    <row r="30" spans="1:13">
      <c r="H30" s="12"/>
      <c r="I30" s="12" t="s">
        <v>80</v>
      </c>
      <c r="J30" s="12"/>
      <c r="K30" s="12"/>
      <c r="L30" s="12"/>
      <c r="M30" s="29">
        <v>-978399</v>
      </c>
    </row>
    <row r="31" spans="1:13">
      <c r="H31" s="12"/>
      <c r="I31" s="12"/>
      <c r="J31" s="12"/>
      <c r="K31" s="12"/>
      <c r="L31" s="12"/>
      <c r="M31" s="12"/>
    </row>
    <row r="32" spans="1:13">
      <c r="H32" s="20" t="s">
        <v>38</v>
      </c>
      <c r="I32" s="20"/>
      <c r="J32" s="20"/>
      <c r="K32" s="20"/>
      <c r="L32" s="20"/>
      <c r="M32" s="20">
        <f>SUM(M21:M30)</f>
        <v>6656878</v>
      </c>
    </row>
    <row r="33" spans="5:13">
      <c r="H33" s="12"/>
      <c r="I33" s="12"/>
      <c r="J33" s="12"/>
      <c r="K33" s="12"/>
      <c r="L33" s="12"/>
      <c r="M33" s="12"/>
    </row>
    <row r="34" spans="5:13">
      <c r="H34" s="20" t="s">
        <v>39</v>
      </c>
      <c r="I34" s="20"/>
      <c r="J34" s="20"/>
      <c r="K34" s="20"/>
      <c r="L34" s="20"/>
      <c r="M34" s="20">
        <f>SUM(M16,M32)</f>
        <v>-1886184</v>
      </c>
    </row>
    <row r="35" spans="5:13">
      <c r="H35" s="26"/>
      <c r="I35" s="26"/>
      <c r="J35" s="26"/>
      <c r="K35" s="26"/>
      <c r="L35" s="26"/>
      <c r="M35" s="26"/>
    </row>
    <row r="36" spans="5:13">
      <c r="E36" s="31" t="s">
        <v>67</v>
      </c>
      <c r="F36" s="31"/>
      <c r="G36" s="31"/>
      <c r="H36" s="32"/>
      <c r="I36" s="32"/>
      <c r="J36" s="32"/>
      <c r="K36" s="32"/>
      <c r="L36" s="32"/>
      <c r="M36" s="33">
        <v>32770564</v>
      </c>
    </row>
    <row r="37" spans="5:13">
      <c r="H37" s="12"/>
      <c r="I37" s="12"/>
      <c r="J37" s="12"/>
      <c r="K37" s="12"/>
      <c r="L37" s="12"/>
      <c r="M37" s="12"/>
    </row>
    <row r="38" spans="5:13">
      <c r="E38" s="34" t="s">
        <v>44</v>
      </c>
      <c r="F38" s="34"/>
      <c r="G38" s="34"/>
      <c r="H38" s="35"/>
      <c r="I38" s="35"/>
      <c r="J38" s="35"/>
      <c r="K38" s="35"/>
      <c r="L38" s="35"/>
      <c r="M38" s="92">
        <f>SUM(M34,M36)</f>
        <v>30884380</v>
      </c>
    </row>
    <row r="45" spans="5:13">
      <c r="K45" s="9"/>
      <c r="L45" s="9"/>
      <c r="M45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7"/>
  <sheetViews>
    <sheetView topLeftCell="A4" workbookViewId="0">
      <selection activeCell="I21" sqref="I21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  <col min="16" max="16" width="14.42578125" customWidth="1"/>
    <col min="17" max="17" width="17.28515625" customWidth="1"/>
  </cols>
  <sheetData>
    <row r="1" spans="1:17" ht="30" customHeight="1">
      <c r="J1" s="258" t="s">
        <v>81</v>
      </c>
      <c r="K1" s="258"/>
      <c r="L1" s="258"/>
      <c r="M1" s="258"/>
      <c r="N1" s="170"/>
      <c r="O1" s="170"/>
    </row>
    <row r="2" spans="1:17" ht="21.75" customHeight="1">
      <c r="J2" s="259" t="s">
        <v>1</v>
      </c>
      <c r="K2" s="259"/>
      <c r="L2" s="259"/>
      <c r="M2" s="259"/>
      <c r="N2" s="171"/>
      <c r="O2" s="171"/>
    </row>
    <row r="3" spans="1:17" ht="18.75" customHeight="1">
      <c r="E3" s="3"/>
      <c r="F3" s="3"/>
      <c r="G3" s="3"/>
      <c r="H3" s="3"/>
      <c r="I3" s="3"/>
      <c r="J3" s="3"/>
      <c r="K3" s="3"/>
      <c r="L3" s="3"/>
    </row>
    <row r="4" spans="1:17" ht="30.75" customHeight="1">
      <c r="E4" s="2"/>
      <c r="M4" s="260" t="s">
        <v>2</v>
      </c>
      <c r="N4" s="260"/>
      <c r="O4" s="260"/>
      <c r="P4" s="260"/>
      <c r="Q4" s="260"/>
    </row>
    <row r="5" spans="1:17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4" t="s">
        <v>5</v>
      </c>
      <c r="N5" s="264"/>
      <c r="O5" s="264"/>
      <c r="P5" s="265" t="s">
        <v>82</v>
      </c>
      <c r="Q5" s="265"/>
    </row>
    <row r="6" spans="1:17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  <c r="P6" s="90" t="s">
        <v>48</v>
      </c>
      <c r="Q6" s="99" t="s">
        <v>49</v>
      </c>
    </row>
    <row r="7" spans="1:17" ht="30.75" customHeight="1">
      <c r="A7" s="8" t="s">
        <v>13</v>
      </c>
      <c r="I7" s="9"/>
      <c r="J7" s="9"/>
      <c r="K7" s="9"/>
      <c r="L7" s="9"/>
    </row>
    <row r="8" spans="1:17">
      <c r="B8" s="10" t="s">
        <v>14</v>
      </c>
      <c r="I8" s="9"/>
      <c r="J8" s="9"/>
      <c r="K8" s="9"/>
      <c r="L8" s="9"/>
      <c r="M8" s="9"/>
      <c r="N8" s="9"/>
      <c r="O8" s="9"/>
    </row>
    <row r="9" spans="1:17">
      <c r="C9" t="s">
        <v>15</v>
      </c>
      <c r="H9" s="12"/>
      <c r="I9" s="11">
        <v>-14935768</v>
      </c>
      <c r="J9" s="12">
        <v>3911600</v>
      </c>
      <c r="K9" s="12">
        <v>256912</v>
      </c>
      <c r="L9" s="12">
        <v>633123</v>
      </c>
      <c r="M9" s="12">
        <f t="shared" ref="M9:M15" si="0">SUM(I9:L9)</f>
        <v>-10134133</v>
      </c>
      <c r="N9" s="12"/>
      <c r="O9" s="12">
        <f t="shared" ref="O9:O15" si="1">SUM(M9:N9)</f>
        <v>-10134133</v>
      </c>
    </row>
    <row r="10" spans="1:17">
      <c r="C10" t="s">
        <v>16</v>
      </c>
      <c r="H10" s="12"/>
      <c r="I10" s="13">
        <v>-9548259</v>
      </c>
      <c r="J10" s="12">
        <v>552709</v>
      </c>
      <c r="K10" s="12">
        <v>1041074</v>
      </c>
      <c r="L10" s="12"/>
      <c r="M10" s="12">
        <f t="shared" si="0"/>
        <v>-7954476</v>
      </c>
      <c r="N10" s="12"/>
      <c r="O10" s="12">
        <f t="shared" si="1"/>
        <v>-7954476</v>
      </c>
    </row>
    <row r="11" spans="1:17">
      <c r="C11" t="s">
        <v>17</v>
      </c>
      <c r="H11" s="12"/>
      <c r="I11" s="14">
        <v>-14605186</v>
      </c>
      <c r="J11" s="12"/>
      <c r="K11" s="12">
        <v>1566915</v>
      </c>
      <c r="L11" s="12"/>
      <c r="M11" s="12">
        <f t="shared" si="0"/>
        <v>-13038271</v>
      </c>
      <c r="N11" s="12"/>
      <c r="O11" s="12">
        <f t="shared" si="1"/>
        <v>-13038271</v>
      </c>
    </row>
    <row r="12" spans="1:17">
      <c r="C12" t="s">
        <v>19</v>
      </c>
      <c r="H12" s="12"/>
      <c r="I12" s="15">
        <v>-5709382</v>
      </c>
      <c r="J12" s="12">
        <v>59619</v>
      </c>
      <c r="K12" s="12">
        <v>1684346</v>
      </c>
      <c r="L12" s="12"/>
      <c r="M12" s="12">
        <f t="shared" si="0"/>
        <v>-3965417</v>
      </c>
      <c r="N12" s="12"/>
      <c r="O12" s="12">
        <f t="shared" si="1"/>
        <v>-3965417</v>
      </c>
    </row>
    <row r="13" spans="1:17">
      <c r="C13" t="s">
        <v>20</v>
      </c>
      <c r="H13" s="12"/>
      <c r="I13" s="16">
        <v>-7695027</v>
      </c>
      <c r="J13" s="12">
        <v>533345</v>
      </c>
      <c r="K13" s="12">
        <v>435102</v>
      </c>
      <c r="L13" s="12">
        <v>443112</v>
      </c>
      <c r="M13" s="12">
        <f t="shared" si="0"/>
        <v>-6283468</v>
      </c>
      <c r="N13" s="12"/>
      <c r="O13" s="12">
        <f t="shared" si="1"/>
        <v>-6283468</v>
      </c>
    </row>
    <row r="14" spans="1:17">
      <c r="C14" t="s">
        <v>83</v>
      </c>
      <c r="H14" s="12"/>
      <c r="I14" s="14">
        <v>-10557421</v>
      </c>
      <c r="J14" s="12"/>
      <c r="K14" s="12"/>
      <c r="L14" s="12">
        <v>5569290</v>
      </c>
      <c r="M14" s="12">
        <f t="shared" si="0"/>
        <v>-4988131</v>
      </c>
      <c r="N14" s="12"/>
      <c r="O14" s="12">
        <f t="shared" si="1"/>
        <v>-4988131</v>
      </c>
    </row>
    <row r="15" spans="1:17">
      <c r="C15" t="s">
        <v>21</v>
      </c>
      <c r="H15" s="12"/>
      <c r="I15" s="98">
        <v>-3644962</v>
      </c>
      <c r="J15" s="12"/>
      <c r="K15" s="12"/>
      <c r="L15" s="12"/>
      <c r="M15" s="12">
        <f t="shared" si="0"/>
        <v>-3644962</v>
      </c>
      <c r="N15" s="12"/>
      <c r="O15" s="12">
        <f t="shared" si="1"/>
        <v>-3644962</v>
      </c>
    </row>
    <row r="16" spans="1:17">
      <c r="H16" s="12"/>
      <c r="I16" s="12"/>
      <c r="J16" s="12"/>
      <c r="K16" s="12"/>
      <c r="L16" s="12"/>
      <c r="M16" s="12"/>
      <c r="N16" s="12"/>
      <c r="O16" s="12"/>
    </row>
    <row r="17" spans="1:17">
      <c r="E17" s="19" t="s">
        <v>22</v>
      </c>
      <c r="F17" s="19"/>
      <c r="G17" s="19"/>
      <c r="H17" s="20"/>
      <c r="I17" s="20">
        <f>SUM(I9:I15)</f>
        <v>-66696005</v>
      </c>
      <c r="J17" s="20">
        <f>SUM(J9:J15)</f>
        <v>5057273</v>
      </c>
      <c r="K17" s="20">
        <f>SUM(K9:K15)</f>
        <v>4984349</v>
      </c>
      <c r="L17" s="20">
        <f>SUM(L9:L15)</f>
        <v>6645525</v>
      </c>
      <c r="M17" s="91">
        <f>SUM(M9:M15)</f>
        <v>-50008858</v>
      </c>
      <c r="N17" s="91"/>
      <c r="O17" s="91">
        <f>SUM(O9:O15)</f>
        <v>-50008858</v>
      </c>
      <c r="P17" s="93">
        <f>SUM(P9:P15)</f>
        <v>0</v>
      </c>
      <c r="Q17" s="93">
        <f>SUM(Q9:Q15)</f>
        <v>0</v>
      </c>
    </row>
    <row r="18" spans="1:17">
      <c r="E18" s="8"/>
      <c r="F18" s="8"/>
      <c r="G18" s="8"/>
      <c r="H18" s="26"/>
      <c r="I18" s="26"/>
      <c r="J18" s="26"/>
      <c r="K18" s="26"/>
      <c r="L18" s="26"/>
      <c r="M18" s="26"/>
      <c r="N18" s="26"/>
      <c r="O18" s="26"/>
    </row>
    <row r="19" spans="1:17">
      <c r="B19" s="10" t="s">
        <v>84</v>
      </c>
      <c r="E19" s="8"/>
      <c r="F19" s="8"/>
      <c r="G19" s="8"/>
      <c r="H19" s="26"/>
      <c r="I19" s="26"/>
      <c r="J19" s="26"/>
      <c r="K19" s="26"/>
      <c r="L19" s="26"/>
      <c r="M19" s="26"/>
      <c r="N19" s="26"/>
      <c r="O19" s="26"/>
    </row>
    <row r="20" spans="1:17">
      <c r="B20" s="10"/>
      <c r="C20" t="s">
        <v>85</v>
      </c>
      <c r="E20" s="8"/>
      <c r="F20" s="8"/>
      <c r="G20" s="8"/>
      <c r="H20" s="26"/>
      <c r="I20" s="248">
        <v>-1694248</v>
      </c>
      <c r="J20" s="88">
        <v>154083</v>
      </c>
      <c r="K20" s="88">
        <v>737</v>
      </c>
      <c r="L20" s="88">
        <v>881</v>
      </c>
      <c r="M20" s="88"/>
      <c r="N20" s="88">
        <f>SUM(I20:L20)</f>
        <v>-1538547</v>
      </c>
      <c r="O20" s="88">
        <f>N20</f>
        <v>-1538547</v>
      </c>
    </row>
    <row r="21" spans="1:17">
      <c r="B21" s="10"/>
      <c r="C21" t="s">
        <v>86</v>
      </c>
      <c r="E21" s="8"/>
      <c r="F21" s="8"/>
      <c r="G21" s="8"/>
      <c r="H21" s="26"/>
      <c r="I21" s="249">
        <v>-250905</v>
      </c>
      <c r="J21" s="88">
        <v>217437</v>
      </c>
      <c r="K21" s="88"/>
      <c r="L21" s="88"/>
      <c r="M21" s="88"/>
      <c r="N21" s="88">
        <f t="shared" ref="N21:N22" si="2">SUM(I21:L21)</f>
        <v>-33468</v>
      </c>
      <c r="O21" s="88">
        <f>N21</f>
        <v>-33468</v>
      </c>
    </row>
    <row r="22" spans="1:17">
      <c r="B22" s="10"/>
      <c r="C22" t="s">
        <v>87</v>
      </c>
      <c r="E22" s="8"/>
      <c r="F22" s="8"/>
      <c r="G22" s="8"/>
      <c r="H22" s="26"/>
      <c r="I22" s="247">
        <v>-2261537</v>
      </c>
      <c r="J22" s="88">
        <v>1669187</v>
      </c>
      <c r="K22" s="88">
        <v>419063</v>
      </c>
      <c r="L22" s="88">
        <v>91592</v>
      </c>
      <c r="M22" s="88"/>
      <c r="N22" s="88">
        <f t="shared" si="2"/>
        <v>-81695</v>
      </c>
      <c r="O22" s="88">
        <f>N22</f>
        <v>-81695</v>
      </c>
    </row>
    <row r="23" spans="1:17">
      <c r="B23" s="10"/>
      <c r="E23" s="8"/>
      <c r="F23" s="8"/>
      <c r="G23" s="8"/>
      <c r="H23" s="26"/>
      <c r="I23" s="26"/>
      <c r="J23" s="26"/>
      <c r="K23" s="26"/>
      <c r="L23" s="26"/>
      <c r="M23" s="26"/>
      <c r="N23" s="26"/>
      <c r="O23" s="26"/>
    </row>
    <row r="24" spans="1:17">
      <c r="E24" s="19" t="s">
        <v>88</v>
      </c>
      <c r="F24" s="19"/>
      <c r="G24" s="19"/>
      <c r="H24" s="20"/>
      <c r="I24" s="20">
        <f t="shared" ref="I24:O24" si="3">SUM(I20:I22)</f>
        <v>-4206690</v>
      </c>
      <c r="J24" s="20">
        <f t="shared" si="3"/>
        <v>2040707</v>
      </c>
      <c r="K24" s="20">
        <f t="shared" si="3"/>
        <v>419800</v>
      </c>
      <c r="L24" s="20">
        <f t="shared" si="3"/>
        <v>92473</v>
      </c>
      <c r="M24" s="91">
        <f t="shared" si="3"/>
        <v>0</v>
      </c>
      <c r="N24" s="91">
        <f t="shared" si="3"/>
        <v>-1653710</v>
      </c>
      <c r="O24" s="91">
        <f t="shared" si="3"/>
        <v>-1653710</v>
      </c>
      <c r="P24" s="87"/>
      <c r="Q24" s="87"/>
    </row>
    <row r="25" spans="1:17">
      <c r="E25" s="8"/>
      <c r="F25" s="8"/>
      <c r="G25" s="8"/>
      <c r="H25" s="26"/>
      <c r="I25" s="26"/>
      <c r="J25" s="26"/>
      <c r="K25" s="26"/>
      <c r="L25" s="26"/>
      <c r="M25" s="26"/>
      <c r="N25" s="26"/>
      <c r="O25" s="26"/>
    </row>
    <row r="26" spans="1:17">
      <c r="E26" s="19" t="s">
        <v>89</v>
      </c>
      <c r="F26" s="19"/>
      <c r="G26" s="19"/>
      <c r="H26" s="20"/>
      <c r="I26" s="20">
        <f>I24+I17</f>
        <v>-70902695</v>
      </c>
      <c r="J26" s="20">
        <f t="shared" ref="J26:Q26" si="4">J24+J17</f>
        <v>7097980</v>
      </c>
      <c r="K26" s="20">
        <f t="shared" si="4"/>
        <v>5404149</v>
      </c>
      <c r="L26" s="20">
        <f t="shared" si="4"/>
        <v>6737998</v>
      </c>
      <c r="M26" s="20">
        <f t="shared" si="4"/>
        <v>-50008858</v>
      </c>
      <c r="N26" s="20">
        <f t="shared" si="4"/>
        <v>-1653710</v>
      </c>
      <c r="O26" s="20">
        <f t="shared" si="4"/>
        <v>-51662568</v>
      </c>
      <c r="P26" s="20">
        <f t="shared" si="4"/>
        <v>0</v>
      </c>
      <c r="Q26" s="20">
        <f t="shared" si="4"/>
        <v>0</v>
      </c>
    </row>
    <row r="27" spans="1:17">
      <c r="H27" s="12"/>
      <c r="I27" s="12"/>
      <c r="J27" s="12"/>
      <c r="K27" s="12"/>
      <c r="L27" s="12"/>
      <c r="M27" s="12"/>
      <c r="N27" s="12"/>
      <c r="O27" s="12"/>
    </row>
    <row r="28" spans="1:17">
      <c r="A28" s="10" t="s">
        <v>23</v>
      </c>
      <c r="H28" s="12"/>
      <c r="I28" s="12"/>
      <c r="J28" s="12"/>
      <c r="K28" s="12"/>
      <c r="L28" s="12"/>
      <c r="M28" s="12"/>
      <c r="N28" s="12"/>
      <c r="O28" s="12"/>
    </row>
    <row r="29" spans="1:17">
      <c r="B29" t="s">
        <v>90</v>
      </c>
      <c r="H29" s="12"/>
      <c r="I29" s="12">
        <v>-50001134</v>
      </c>
      <c r="J29" s="12">
        <v>17673716</v>
      </c>
      <c r="K29" s="12">
        <v>3785208</v>
      </c>
      <c r="L29" s="12"/>
      <c r="M29" s="12"/>
      <c r="N29" s="12"/>
      <c r="O29" s="12"/>
      <c r="P29" s="12">
        <f>SUM(I29:L29)</f>
        <v>-28542210</v>
      </c>
    </row>
    <row r="30" spans="1:17">
      <c r="B30" t="s">
        <v>91</v>
      </c>
      <c r="H30" s="12"/>
      <c r="I30" s="12">
        <v>-7713127</v>
      </c>
      <c r="J30" s="12">
        <v>6229842</v>
      </c>
      <c r="K30" s="12"/>
      <c r="L30" s="12"/>
      <c r="M30" s="12"/>
      <c r="N30" s="12"/>
      <c r="O30" s="12"/>
      <c r="Q30" s="12">
        <f>SUM(I30:L30)</f>
        <v>-1483285</v>
      </c>
    </row>
    <row r="31" spans="1:17">
      <c r="H31" s="12"/>
      <c r="I31" s="12"/>
      <c r="J31" s="12"/>
      <c r="K31" s="12"/>
      <c r="L31" s="12"/>
      <c r="M31" s="12"/>
      <c r="N31" s="12"/>
      <c r="O31" s="12"/>
    </row>
    <row r="32" spans="1:17">
      <c r="E32" s="19" t="s">
        <v>92</v>
      </c>
      <c r="F32" s="19"/>
      <c r="G32" s="19"/>
      <c r="H32" s="20"/>
      <c r="I32" s="20">
        <f t="shared" ref="I32:Q32" si="5">SUM(I29:I30)</f>
        <v>-57714261</v>
      </c>
      <c r="J32" s="20">
        <f t="shared" si="5"/>
        <v>23903558</v>
      </c>
      <c r="K32" s="20">
        <f t="shared" si="5"/>
        <v>3785208</v>
      </c>
      <c r="L32" s="20">
        <f t="shared" si="5"/>
        <v>0</v>
      </c>
      <c r="M32" s="91">
        <f t="shared" si="5"/>
        <v>0</v>
      </c>
      <c r="N32" s="91">
        <f t="shared" si="5"/>
        <v>0</v>
      </c>
      <c r="O32" s="91">
        <f t="shared" si="5"/>
        <v>0</v>
      </c>
      <c r="P32" s="94">
        <f t="shared" si="5"/>
        <v>-28542210</v>
      </c>
      <c r="Q32" s="93">
        <f t="shared" si="5"/>
        <v>-1483285</v>
      </c>
    </row>
    <row r="33" spans="1:17">
      <c r="H33" s="12"/>
      <c r="I33" s="12"/>
      <c r="J33" s="12"/>
      <c r="K33" s="12"/>
      <c r="L33" s="12"/>
      <c r="M33" s="12"/>
      <c r="N33" s="12"/>
      <c r="O33" s="12"/>
    </row>
    <row r="34" spans="1:17">
      <c r="A34" s="8"/>
      <c r="B34" s="8"/>
      <c r="C34" s="8"/>
      <c r="D34" s="8"/>
      <c r="E34" s="8"/>
      <c r="G34" s="8" t="s">
        <v>25</v>
      </c>
      <c r="H34" s="26"/>
      <c r="I34" s="26"/>
      <c r="J34" s="26"/>
      <c r="K34" s="26"/>
      <c r="L34" s="26"/>
      <c r="M34" s="12"/>
      <c r="N34" s="12"/>
      <c r="O34" s="12"/>
    </row>
    <row r="35" spans="1:17">
      <c r="A35" s="8"/>
      <c r="B35" s="8"/>
      <c r="C35" s="8"/>
      <c r="D35" s="8"/>
      <c r="E35" s="8"/>
      <c r="G35" s="8"/>
      <c r="H35" s="88" t="s">
        <v>26</v>
      </c>
      <c r="I35" s="26"/>
      <c r="J35" s="26"/>
      <c r="K35" s="26"/>
      <c r="L35" s="26"/>
      <c r="M35" s="12"/>
      <c r="N35" s="12"/>
      <c r="O35" s="12"/>
    </row>
    <row r="36" spans="1:17">
      <c r="H36" s="12"/>
      <c r="I36" s="12" t="s">
        <v>73</v>
      </c>
      <c r="J36" s="12"/>
      <c r="K36" s="12"/>
      <c r="L36" s="12"/>
      <c r="M36" s="28">
        <v>26337905</v>
      </c>
      <c r="N36" s="12"/>
      <c r="O36" s="12">
        <f>SUM(M36:N36)</f>
        <v>26337905</v>
      </c>
      <c r="P36" s="12">
        <v>17194323</v>
      </c>
      <c r="Q36" s="9">
        <v>189710</v>
      </c>
    </row>
    <row r="37" spans="1:17">
      <c r="H37" s="12"/>
      <c r="I37" s="12" t="s">
        <v>28</v>
      </c>
      <c r="J37" s="12"/>
      <c r="K37" s="12"/>
      <c r="L37" s="12"/>
      <c r="M37" s="14">
        <v>47074455</v>
      </c>
      <c r="N37" s="12"/>
      <c r="O37" s="12">
        <f t="shared" ref="O37:O42" si="6">SUM(M37:N37)</f>
        <v>47074455</v>
      </c>
      <c r="P37" s="12">
        <v>10213682</v>
      </c>
      <c r="Q37" s="12">
        <v>1273033</v>
      </c>
    </row>
    <row r="38" spans="1:17">
      <c r="H38" s="12"/>
      <c r="I38" s="12" t="s">
        <v>93</v>
      </c>
      <c r="J38" s="12"/>
      <c r="K38" s="12"/>
      <c r="L38" s="12"/>
      <c r="M38" s="15">
        <v>1831140</v>
      </c>
      <c r="N38" s="12">
        <v>417113</v>
      </c>
      <c r="O38" s="12">
        <f t="shared" si="6"/>
        <v>2248253</v>
      </c>
      <c r="P38" s="12">
        <v>387957</v>
      </c>
    </row>
    <row r="39" spans="1:17">
      <c r="H39" s="12" t="s">
        <v>33</v>
      </c>
      <c r="I39" s="12"/>
      <c r="J39" s="12"/>
      <c r="K39" s="12"/>
      <c r="L39" s="12"/>
      <c r="M39" s="11">
        <v>673943</v>
      </c>
      <c r="N39" s="12"/>
      <c r="O39" s="12">
        <f t="shared" si="6"/>
        <v>673943</v>
      </c>
      <c r="P39" s="12">
        <v>2183790</v>
      </c>
      <c r="Q39" s="12">
        <v>905000</v>
      </c>
    </row>
    <row r="40" spans="1:17">
      <c r="H40" s="12" t="s">
        <v>94</v>
      </c>
      <c r="I40" s="12"/>
      <c r="J40" s="12"/>
      <c r="K40" s="12"/>
      <c r="L40" s="12"/>
      <c r="M40" s="29">
        <v>436804</v>
      </c>
      <c r="N40" s="12">
        <v>36169</v>
      </c>
      <c r="O40" s="12">
        <f t="shared" si="6"/>
        <v>472973</v>
      </c>
      <c r="P40" s="12">
        <v>8589</v>
      </c>
      <c r="Q40" s="12">
        <v>-667680</v>
      </c>
    </row>
    <row r="41" spans="1:17">
      <c r="H41" s="12" t="s">
        <v>95</v>
      </c>
      <c r="I41" s="12"/>
      <c r="J41" s="12"/>
      <c r="K41" s="12"/>
      <c r="L41" s="12"/>
      <c r="M41" s="29">
        <v>398588</v>
      </c>
      <c r="N41" s="12">
        <v>4575</v>
      </c>
      <c r="O41" s="12">
        <f t="shared" si="6"/>
        <v>403163</v>
      </c>
    </row>
    <row r="42" spans="1:17">
      <c r="G42" t="s">
        <v>37</v>
      </c>
      <c r="H42" s="12"/>
      <c r="I42" s="12"/>
      <c r="J42" s="12"/>
      <c r="K42" s="12"/>
      <c r="L42" s="12"/>
      <c r="M42" s="97">
        <v>-1191000</v>
      </c>
      <c r="N42" s="12">
        <v>1191000</v>
      </c>
      <c r="O42" s="12">
        <f t="shared" si="6"/>
        <v>0</v>
      </c>
      <c r="P42" s="9"/>
    </row>
    <row r="43" spans="1:17">
      <c r="H43" s="12"/>
      <c r="I43" s="12"/>
      <c r="J43" s="12"/>
      <c r="K43" s="12"/>
      <c r="L43" s="12"/>
      <c r="M43" s="12"/>
      <c r="N43" s="12"/>
      <c r="O43" s="12"/>
    </row>
    <row r="44" spans="1:17">
      <c r="H44" s="20" t="s">
        <v>38</v>
      </c>
      <c r="I44" s="20"/>
      <c r="J44" s="20"/>
      <c r="K44" s="20"/>
      <c r="L44" s="20"/>
      <c r="M44" s="20">
        <f>SUM(M36:M42)</f>
        <v>75561835</v>
      </c>
      <c r="N44" s="20">
        <f>SUM(N36:N42)</f>
        <v>1648857</v>
      </c>
      <c r="O44" s="20">
        <f>SUM(O36:O42)</f>
        <v>77210692</v>
      </c>
      <c r="P44" s="94">
        <f>SUM(P36:P42)</f>
        <v>29988341</v>
      </c>
      <c r="Q44" s="100">
        <f>SUM(Q36:Q42)</f>
        <v>1700063</v>
      </c>
    </row>
    <row r="45" spans="1:17">
      <c r="H45" s="12"/>
      <c r="I45" s="12"/>
      <c r="J45" s="12"/>
      <c r="K45" s="12"/>
      <c r="L45" s="12"/>
      <c r="M45" s="12"/>
      <c r="N45" s="12"/>
      <c r="O45" s="12"/>
    </row>
    <row r="46" spans="1:17">
      <c r="H46" s="20" t="s">
        <v>39</v>
      </c>
      <c r="I46" s="20"/>
      <c r="J46" s="20"/>
      <c r="K46" s="20"/>
      <c r="L46" s="20"/>
      <c r="M46" s="20">
        <f>M44+M26</f>
        <v>25552977</v>
      </c>
      <c r="N46" s="20">
        <f t="shared" ref="N46:O46" si="7">N44+N26</f>
        <v>-4853</v>
      </c>
      <c r="O46" s="20">
        <f t="shared" si="7"/>
        <v>25548124</v>
      </c>
      <c r="P46" s="94">
        <f>P44+P32</f>
        <v>1446131</v>
      </c>
      <c r="Q46" s="100">
        <f>Q44+Q32</f>
        <v>216778</v>
      </c>
    </row>
    <row r="47" spans="1:17">
      <c r="H47" s="26"/>
      <c r="I47" s="26"/>
      <c r="J47" s="26"/>
      <c r="K47" s="26"/>
      <c r="L47" s="26"/>
      <c r="M47" s="26"/>
      <c r="N47" s="26"/>
      <c r="O47" s="26"/>
    </row>
    <row r="48" spans="1:17">
      <c r="E48" s="31" t="s">
        <v>67</v>
      </c>
      <c r="F48" s="31"/>
      <c r="G48" s="31"/>
      <c r="H48" s="32"/>
      <c r="I48" s="32"/>
      <c r="J48" s="32"/>
      <c r="K48" s="32"/>
      <c r="L48" s="32"/>
      <c r="M48" s="33">
        <v>259286351</v>
      </c>
      <c r="N48" s="33">
        <v>18437522</v>
      </c>
      <c r="O48" s="33">
        <f>SUM(M48:N48)</f>
        <v>277723873</v>
      </c>
      <c r="P48" s="95">
        <v>41726517</v>
      </c>
      <c r="Q48" s="95">
        <v>18505420</v>
      </c>
    </row>
    <row r="49" spans="5:17">
      <c r="H49" s="12"/>
      <c r="I49" s="12"/>
      <c r="J49" s="12"/>
      <c r="K49" s="12"/>
      <c r="L49" s="12"/>
      <c r="M49" s="12"/>
      <c r="N49" s="12"/>
      <c r="O49" s="12"/>
    </row>
    <row r="50" spans="5:17">
      <c r="E50" s="34" t="s">
        <v>44</v>
      </c>
      <c r="F50" s="34"/>
      <c r="G50" s="34"/>
      <c r="H50" s="35"/>
      <c r="I50" s="35"/>
      <c r="J50" s="35"/>
      <c r="K50" s="35"/>
      <c r="L50" s="35"/>
      <c r="M50" s="92">
        <f>SUM(M46,M48)</f>
        <v>284839328</v>
      </c>
      <c r="N50" s="92">
        <f>N48+N46</f>
        <v>18432669</v>
      </c>
      <c r="O50" s="92">
        <f>O48+O46</f>
        <v>303271997</v>
      </c>
      <c r="P50" s="96">
        <f>P48+P46</f>
        <v>43172648</v>
      </c>
      <c r="Q50" s="96">
        <f>Q48+Q46</f>
        <v>18722198</v>
      </c>
    </row>
    <row r="57" spans="5:17">
      <c r="K57" s="9"/>
      <c r="L57" s="9"/>
      <c r="M57" s="9"/>
      <c r="N57" s="9"/>
      <c r="O57" s="9"/>
    </row>
  </sheetData>
  <mergeCells count="6">
    <mergeCell ref="J1:M1"/>
    <mergeCell ref="J2:M2"/>
    <mergeCell ref="J5:L5"/>
    <mergeCell ref="M5:O5"/>
    <mergeCell ref="P5:Q5"/>
    <mergeCell ref="M4:Q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5"/>
  <sheetViews>
    <sheetView workbookViewId="0">
      <selection activeCell="J26" sqref="J26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1" width="19.28515625" customWidth="1"/>
    <col min="12" max="12" width="19.7109375" customWidth="1"/>
    <col min="13" max="13" width="18.42578125" customWidth="1"/>
  </cols>
  <sheetData>
    <row r="1" spans="1:13" ht="30" customHeight="1">
      <c r="J1" s="1" t="s">
        <v>96</v>
      </c>
      <c r="K1" s="1"/>
      <c r="L1" s="1"/>
      <c r="M1" s="170"/>
    </row>
    <row r="2" spans="1:13" ht="21.75" customHeight="1">
      <c r="J2" s="259" t="s">
        <v>1</v>
      </c>
      <c r="K2" s="259"/>
      <c r="L2" s="259"/>
      <c r="M2" s="171"/>
    </row>
    <row r="3" spans="1:13" ht="18.75" customHeight="1">
      <c r="E3" s="3"/>
      <c r="F3" s="3"/>
      <c r="G3" s="3"/>
      <c r="H3" s="3"/>
      <c r="I3" s="3"/>
      <c r="J3" s="3"/>
      <c r="K3" s="3"/>
    </row>
    <row r="4" spans="1:13" ht="30.75" customHeight="1">
      <c r="E4" s="2"/>
      <c r="L4" s="260" t="s">
        <v>97</v>
      </c>
      <c r="M4" s="260"/>
    </row>
    <row r="5" spans="1:13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4" t="s">
        <v>5</v>
      </c>
      <c r="M5" s="264"/>
    </row>
    <row r="6" spans="1:13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98</v>
      </c>
      <c r="M6" s="6" t="s">
        <v>12</v>
      </c>
    </row>
    <row r="7" spans="1:13" ht="30.75" customHeight="1">
      <c r="A7" s="8" t="s">
        <v>13</v>
      </c>
      <c r="I7" s="9"/>
      <c r="J7" s="9"/>
      <c r="K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B9" s="10"/>
      <c r="C9" t="s">
        <v>15</v>
      </c>
      <c r="I9" s="9"/>
      <c r="J9" s="9"/>
      <c r="K9" s="9"/>
      <c r="L9" s="9"/>
      <c r="M9" s="9"/>
    </row>
    <row r="10" spans="1:13">
      <c r="D10" t="s">
        <v>99</v>
      </c>
      <c r="H10" s="12"/>
      <c r="I10" s="97">
        <v>-500036</v>
      </c>
      <c r="J10" s="12"/>
      <c r="K10" s="12"/>
      <c r="L10" s="12">
        <f t="shared" ref="L10:L21" si="0">SUM(I10:K10)</f>
        <v>-500036</v>
      </c>
      <c r="M10" s="12"/>
    </row>
    <row r="11" spans="1:13">
      <c r="D11" t="s">
        <v>100</v>
      </c>
      <c r="H11" s="12"/>
      <c r="I11" s="98">
        <v>-973086</v>
      </c>
      <c r="J11" s="12">
        <v>80459</v>
      </c>
      <c r="K11" s="12"/>
      <c r="L11" s="12">
        <f t="shared" si="0"/>
        <v>-892627</v>
      </c>
      <c r="M11" s="12"/>
    </row>
    <row r="12" spans="1:13">
      <c r="D12" t="s">
        <v>101</v>
      </c>
      <c r="H12" s="12"/>
      <c r="I12" s="11">
        <v>-41555</v>
      </c>
      <c r="J12" s="12"/>
      <c r="K12" s="12"/>
      <c r="L12" s="12">
        <f t="shared" si="0"/>
        <v>-41555</v>
      </c>
      <c r="M12" s="12"/>
    </row>
    <row r="13" spans="1:13">
      <c r="D13" t="s">
        <v>102</v>
      </c>
      <c r="H13" s="12"/>
      <c r="I13" s="101">
        <v>-47260</v>
      </c>
      <c r="J13" s="12"/>
      <c r="K13" s="12"/>
      <c r="L13" s="12">
        <f t="shared" si="0"/>
        <v>-47260</v>
      </c>
      <c r="M13" s="12"/>
    </row>
    <row r="14" spans="1:13">
      <c r="D14" t="s">
        <v>103</v>
      </c>
      <c r="H14" s="12"/>
      <c r="I14" s="110">
        <v>-341977</v>
      </c>
      <c r="J14" s="12"/>
      <c r="K14" s="12"/>
      <c r="L14" s="12">
        <f t="shared" si="0"/>
        <v>-341977</v>
      </c>
      <c r="M14" s="12"/>
    </row>
    <row r="15" spans="1:13">
      <c r="D15" t="s">
        <v>104</v>
      </c>
      <c r="H15" s="12"/>
      <c r="I15" s="108">
        <v>-149648</v>
      </c>
      <c r="J15" s="12"/>
      <c r="K15" s="12"/>
      <c r="L15" s="12">
        <f t="shared" si="0"/>
        <v>-149648</v>
      </c>
      <c r="M15" s="12"/>
    </row>
    <row r="16" spans="1:13">
      <c r="C16" t="s">
        <v>16</v>
      </c>
      <c r="H16" s="12"/>
      <c r="I16" s="13">
        <v>-3129680</v>
      </c>
      <c r="J16" s="12">
        <v>713313</v>
      </c>
      <c r="K16" s="12">
        <v>546282</v>
      </c>
      <c r="L16" s="12">
        <f t="shared" si="0"/>
        <v>-1870085</v>
      </c>
      <c r="M16" s="12"/>
    </row>
    <row r="17" spans="1:13">
      <c r="C17" t="s">
        <v>17</v>
      </c>
      <c r="H17" s="12"/>
      <c r="I17" s="14">
        <v>-5670444</v>
      </c>
      <c r="J17" s="12">
        <v>2211875</v>
      </c>
      <c r="K17" s="12">
        <v>252864</v>
      </c>
      <c r="L17" s="12">
        <f t="shared" si="0"/>
        <v>-3205705</v>
      </c>
      <c r="M17" s="12"/>
    </row>
    <row r="18" spans="1:13">
      <c r="C18" t="s">
        <v>19</v>
      </c>
      <c r="H18" s="12"/>
      <c r="I18" s="15">
        <v>-2903954</v>
      </c>
      <c r="J18" s="12">
        <v>197975</v>
      </c>
      <c r="K18" s="12">
        <v>3656931</v>
      </c>
      <c r="L18" s="12">
        <f t="shared" si="0"/>
        <v>950952</v>
      </c>
      <c r="M18" s="12"/>
    </row>
    <row r="19" spans="1:13">
      <c r="C19" t="s">
        <v>20</v>
      </c>
      <c r="H19" s="12"/>
      <c r="I19" s="16">
        <v>-1221329</v>
      </c>
      <c r="J19" s="12">
        <v>11198</v>
      </c>
      <c r="K19" s="12">
        <v>7950</v>
      </c>
      <c r="L19" s="12">
        <f t="shared" si="0"/>
        <v>-1202181</v>
      </c>
      <c r="M19" s="12"/>
    </row>
    <row r="20" spans="1:13">
      <c r="C20" t="s">
        <v>71</v>
      </c>
      <c r="H20" s="12"/>
      <c r="I20" s="102">
        <v>-179461</v>
      </c>
      <c r="J20" s="12">
        <v>2739</v>
      </c>
      <c r="K20" s="12"/>
      <c r="L20" s="12">
        <f t="shared" si="0"/>
        <v>-176722</v>
      </c>
      <c r="M20" s="12"/>
    </row>
    <row r="21" spans="1:13">
      <c r="C21" t="s">
        <v>105</v>
      </c>
      <c r="H21" s="12"/>
      <c r="I21" s="98">
        <v>-461</v>
      </c>
      <c r="J21" s="12"/>
      <c r="K21" s="12"/>
      <c r="L21" s="12">
        <f t="shared" si="0"/>
        <v>-461</v>
      </c>
      <c r="M21" s="12"/>
    </row>
    <row r="22" spans="1:13">
      <c r="H22" s="12"/>
      <c r="I22" s="12"/>
      <c r="J22" s="12"/>
      <c r="K22" s="12"/>
      <c r="L22" s="12"/>
      <c r="M22" s="12"/>
    </row>
    <row r="23" spans="1:13">
      <c r="E23" s="19" t="s">
        <v>22</v>
      </c>
      <c r="F23" s="19"/>
      <c r="G23" s="19"/>
      <c r="H23" s="20"/>
      <c r="I23" s="20">
        <f>SUM(I10:I21)</f>
        <v>-15158891</v>
      </c>
      <c r="J23" s="20">
        <f>SUM(J10:J21)</f>
        <v>3217559</v>
      </c>
      <c r="K23" s="20">
        <f>SUM(K10:K21)</f>
        <v>4464027</v>
      </c>
      <c r="L23" s="91">
        <f>SUM(L10:L21)</f>
        <v>-7477305</v>
      </c>
      <c r="M23" s="91"/>
    </row>
    <row r="24" spans="1:13">
      <c r="E24" s="8"/>
      <c r="F24" s="8"/>
      <c r="G24" s="8"/>
      <c r="H24" s="26"/>
      <c r="I24" s="26"/>
      <c r="J24" s="26"/>
      <c r="K24" s="26"/>
      <c r="L24" s="26"/>
      <c r="M24" s="26"/>
    </row>
    <row r="25" spans="1:13">
      <c r="A25" s="10" t="s">
        <v>23</v>
      </c>
      <c r="H25" s="12"/>
      <c r="I25" s="12"/>
      <c r="J25" s="12"/>
      <c r="K25" s="12"/>
      <c r="L25" s="12"/>
      <c r="M25" s="12"/>
    </row>
    <row r="26" spans="1:13">
      <c r="B26" t="s">
        <v>106</v>
      </c>
      <c r="H26" s="12"/>
      <c r="I26" s="12">
        <v>-3508343</v>
      </c>
      <c r="J26" s="12">
        <v>4185201</v>
      </c>
      <c r="K26" s="12"/>
      <c r="L26" s="12"/>
      <c r="M26" s="12">
        <f>SUM(I26:L26)</f>
        <v>676858</v>
      </c>
    </row>
    <row r="27" spans="1:13">
      <c r="B27" t="s">
        <v>107</v>
      </c>
      <c r="H27" s="12"/>
      <c r="I27" s="12">
        <v>-827738</v>
      </c>
      <c r="J27" s="12"/>
      <c r="K27" s="12"/>
      <c r="L27" s="12"/>
      <c r="M27" s="12">
        <f>SUM(I27:L27)</f>
        <v>-827738</v>
      </c>
    </row>
    <row r="28" spans="1:13">
      <c r="B28" t="s">
        <v>108</v>
      </c>
      <c r="H28" s="12"/>
      <c r="I28" s="12">
        <v>-871957</v>
      </c>
      <c r="J28" s="12">
        <v>790096</v>
      </c>
      <c r="K28" s="12"/>
      <c r="L28" s="12"/>
      <c r="M28" s="12">
        <f>SUM(I28:L28)</f>
        <v>-81861</v>
      </c>
    </row>
    <row r="29" spans="1:13">
      <c r="H29" s="12"/>
      <c r="I29" s="12"/>
      <c r="J29" s="12"/>
      <c r="K29" s="12"/>
      <c r="L29" s="12"/>
      <c r="M29" s="12"/>
    </row>
    <row r="30" spans="1:13">
      <c r="E30" s="19" t="s">
        <v>92</v>
      </c>
      <c r="F30" s="19"/>
      <c r="G30" s="19"/>
      <c r="H30" s="20"/>
      <c r="I30" s="20">
        <f>SUM(I26:I28)</f>
        <v>-5208038</v>
      </c>
      <c r="J30" s="20">
        <f>SUM(J26:J28)</f>
        <v>4975297</v>
      </c>
      <c r="K30" s="20">
        <f>SUM(K26:K28)</f>
        <v>0</v>
      </c>
      <c r="L30" s="91">
        <f>SUM(L26:L28)</f>
        <v>0</v>
      </c>
      <c r="M30" s="91">
        <f>SUM(M26:M28)</f>
        <v>-232741</v>
      </c>
    </row>
    <row r="31" spans="1:13">
      <c r="H31" s="12"/>
      <c r="I31" s="12"/>
      <c r="J31" s="12"/>
      <c r="K31" s="12"/>
      <c r="L31" s="12"/>
      <c r="M31" s="12"/>
    </row>
    <row r="32" spans="1:13">
      <c r="A32" s="8"/>
      <c r="B32" s="8"/>
      <c r="C32" s="8"/>
      <c r="D32" s="8"/>
      <c r="E32" s="8"/>
      <c r="G32" s="8" t="s">
        <v>25</v>
      </c>
      <c r="H32" s="26"/>
      <c r="I32" s="26"/>
      <c r="J32" s="26"/>
      <c r="K32" s="26"/>
      <c r="L32" s="12"/>
      <c r="M32" s="12"/>
    </row>
    <row r="33" spans="1:13">
      <c r="A33" s="8"/>
      <c r="B33" s="8"/>
      <c r="C33" s="8"/>
      <c r="D33" s="8"/>
      <c r="E33" s="8"/>
      <c r="G33" s="27" t="s">
        <v>109</v>
      </c>
      <c r="H33" s="26"/>
      <c r="I33" s="26"/>
      <c r="J33" s="26"/>
      <c r="K33" s="26"/>
      <c r="L33" s="12"/>
      <c r="M33" s="12"/>
    </row>
    <row r="34" spans="1:13">
      <c r="A34" s="8"/>
      <c r="B34" s="8"/>
      <c r="C34" s="8"/>
      <c r="D34" s="8"/>
      <c r="E34" s="8"/>
      <c r="G34" s="8"/>
      <c r="H34" s="88" t="s">
        <v>26</v>
      </c>
      <c r="I34" s="26"/>
      <c r="J34" s="26"/>
      <c r="K34" s="26"/>
      <c r="L34" s="12"/>
      <c r="M34" s="12"/>
    </row>
    <row r="35" spans="1:13">
      <c r="H35" s="12"/>
      <c r="I35" s="12" t="s">
        <v>73</v>
      </c>
      <c r="J35" s="12"/>
      <c r="K35" s="12"/>
      <c r="L35" s="28">
        <v>3578953</v>
      </c>
      <c r="M35" s="12">
        <v>835517</v>
      </c>
    </row>
    <row r="36" spans="1:13">
      <c r="H36" s="12"/>
      <c r="I36" s="12" t="s">
        <v>110</v>
      </c>
      <c r="J36" s="12"/>
      <c r="K36" s="12"/>
      <c r="L36" s="14">
        <v>4938431</v>
      </c>
      <c r="M36" s="12"/>
    </row>
    <row r="37" spans="1:13">
      <c r="H37" s="12"/>
      <c r="I37" s="12" t="s">
        <v>111</v>
      </c>
      <c r="J37" s="12"/>
      <c r="K37" s="12"/>
      <c r="L37" s="15">
        <v>962612</v>
      </c>
      <c r="M37" s="12"/>
    </row>
    <row r="38" spans="1:13">
      <c r="H38" s="12" t="s">
        <v>112</v>
      </c>
      <c r="I38" s="12"/>
      <c r="J38" s="12"/>
      <c r="K38" s="12"/>
      <c r="L38" s="29">
        <v>876717</v>
      </c>
      <c r="M38" s="12">
        <v>128219</v>
      </c>
    </row>
    <row r="39" spans="1:13">
      <c r="G39" t="s">
        <v>113</v>
      </c>
      <c r="H39" s="12"/>
      <c r="I39" s="12"/>
      <c r="J39" s="12"/>
      <c r="K39" s="12"/>
      <c r="L39" s="12"/>
      <c r="M39" s="12"/>
    </row>
    <row r="40" spans="1:13">
      <c r="H40" s="12" t="s">
        <v>114</v>
      </c>
      <c r="I40" s="12"/>
      <c r="J40" s="12"/>
      <c r="K40" s="12"/>
      <c r="L40" s="29">
        <v>809136</v>
      </c>
      <c r="M40" s="12">
        <v>36109</v>
      </c>
    </row>
    <row r="41" spans="1:13">
      <c r="H41" s="12"/>
      <c r="I41" s="12"/>
      <c r="J41" s="12"/>
      <c r="K41" s="12"/>
      <c r="L41" s="12"/>
      <c r="M41" s="12"/>
    </row>
    <row r="42" spans="1:13">
      <c r="H42" s="20" t="s">
        <v>38</v>
      </c>
      <c r="I42" s="20"/>
      <c r="J42" s="20"/>
      <c r="K42" s="20"/>
      <c r="L42" s="20">
        <f>SUM(L35:L40)</f>
        <v>11165849</v>
      </c>
      <c r="M42" s="20">
        <f>SUM(M35:M40)</f>
        <v>999845</v>
      </c>
    </row>
    <row r="43" spans="1:13">
      <c r="H43" s="12"/>
      <c r="I43" s="12"/>
      <c r="J43" s="12"/>
      <c r="K43" s="12"/>
      <c r="L43" s="12"/>
      <c r="M43" s="12"/>
    </row>
    <row r="44" spans="1:13">
      <c r="H44" s="20" t="s">
        <v>39</v>
      </c>
      <c r="I44" s="20"/>
      <c r="J44" s="20"/>
      <c r="K44" s="20"/>
      <c r="L44" s="20">
        <f>L42+L23</f>
        <v>3688544</v>
      </c>
      <c r="M44" s="20">
        <f>M42+M30</f>
        <v>767104</v>
      </c>
    </row>
    <row r="45" spans="1:13">
      <c r="H45" s="26"/>
      <c r="I45" s="26"/>
      <c r="J45" s="26"/>
      <c r="K45" s="26"/>
      <c r="L45" s="26"/>
      <c r="M45" s="26"/>
    </row>
    <row r="46" spans="1:13">
      <c r="E46" s="31" t="s">
        <v>67</v>
      </c>
      <c r="F46" s="31"/>
      <c r="G46" s="31"/>
      <c r="H46" s="32"/>
      <c r="I46" s="32"/>
      <c r="J46" s="32"/>
      <c r="K46" s="32"/>
      <c r="L46" s="33">
        <v>60909408</v>
      </c>
      <c r="M46" s="33">
        <v>17530322</v>
      </c>
    </row>
    <row r="47" spans="1:13">
      <c r="H47" s="12"/>
      <c r="I47" s="12"/>
      <c r="J47" s="12"/>
      <c r="K47" s="12"/>
      <c r="L47" s="12"/>
      <c r="M47" s="12"/>
    </row>
    <row r="48" spans="1:13">
      <c r="E48" s="34" t="s">
        <v>44</v>
      </c>
      <c r="F48" s="34"/>
      <c r="G48" s="34"/>
      <c r="H48" s="35"/>
      <c r="I48" s="35"/>
      <c r="J48" s="35"/>
      <c r="K48" s="35"/>
      <c r="L48" s="92">
        <f>SUM(L44,L46)</f>
        <v>64597952</v>
      </c>
      <c r="M48" s="92">
        <f>M46+M44</f>
        <v>18297426</v>
      </c>
    </row>
    <row r="55" spans="11:13">
      <c r="K55" s="9"/>
      <c r="L55" s="9"/>
      <c r="M55" s="9"/>
    </row>
  </sheetData>
  <mergeCells count="4">
    <mergeCell ref="J2:L2"/>
    <mergeCell ref="L4:M4"/>
    <mergeCell ref="J5:K5"/>
    <mergeCell ref="L5:M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6"/>
  <sheetViews>
    <sheetView topLeftCell="A6" workbookViewId="0">
      <selection activeCell="M38" sqref="M38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0.85546875" customWidth="1"/>
    <col min="14" max="14" width="12.28515625" customWidth="1"/>
  </cols>
  <sheetData>
    <row r="1" spans="1:14" ht="30" customHeight="1">
      <c r="J1" s="258" t="s">
        <v>115</v>
      </c>
      <c r="K1" s="258"/>
      <c r="L1" s="258"/>
      <c r="M1" s="258"/>
    </row>
    <row r="2" spans="1:14" ht="21.75" customHeight="1">
      <c r="J2" s="259" t="s">
        <v>1</v>
      </c>
      <c r="K2" s="259"/>
      <c r="L2" s="259"/>
      <c r="M2" s="259"/>
    </row>
    <row r="3" spans="1:14" ht="10.5" customHeight="1">
      <c r="E3" s="3"/>
      <c r="F3" s="3"/>
      <c r="G3" s="3"/>
      <c r="H3" s="3"/>
      <c r="I3" s="3"/>
      <c r="J3" s="3"/>
      <c r="K3" s="3"/>
      <c r="L3" s="3"/>
    </row>
    <row r="4" spans="1:14" ht="42" customHeight="1">
      <c r="E4" s="2"/>
      <c r="M4" s="261" t="s">
        <v>2</v>
      </c>
      <c r="N4" s="261"/>
    </row>
    <row r="5" spans="1:14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2" t="s">
        <v>5</v>
      </c>
      <c r="N5" s="262"/>
    </row>
    <row r="6" spans="1:14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7" t="s">
        <v>48</v>
      </c>
      <c r="N6" s="90" t="s">
        <v>12</v>
      </c>
    </row>
    <row r="7" spans="1:14" ht="30.75" customHeight="1">
      <c r="A7" s="8" t="s">
        <v>13</v>
      </c>
      <c r="I7" s="9"/>
      <c r="J7" s="9"/>
      <c r="K7" s="9"/>
      <c r="L7" s="9"/>
    </row>
    <row r="8" spans="1:14">
      <c r="B8" s="10" t="s">
        <v>14</v>
      </c>
      <c r="I8" s="9"/>
      <c r="J8" s="9"/>
      <c r="K8" s="9"/>
      <c r="L8" s="9"/>
      <c r="M8" s="9"/>
    </row>
    <row r="9" spans="1:14">
      <c r="C9" t="s">
        <v>15</v>
      </c>
      <c r="H9" s="12"/>
      <c r="I9" s="11">
        <v>-1799591</v>
      </c>
      <c r="J9" s="12">
        <v>97332</v>
      </c>
      <c r="K9" s="12"/>
      <c r="L9" s="12"/>
      <c r="M9" s="12">
        <f t="shared" ref="M9:M14" si="0">SUM(I9:L9)</f>
        <v>-1702259</v>
      </c>
    </row>
    <row r="10" spans="1:14">
      <c r="C10" t="s">
        <v>16</v>
      </c>
      <c r="H10" s="12"/>
      <c r="I10" s="13">
        <v>-851197</v>
      </c>
      <c r="J10" s="12">
        <v>421565</v>
      </c>
      <c r="K10" s="12">
        <v>17453</v>
      </c>
      <c r="L10" s="12"/>
      <c r="M10" s="12">
        <f t="shared" si="0"/>
        <v>-412179</v>
      </c>
    </row>
    <row r="11" spans="1:14">
      <c r="C11" t="s">
        <v>17</v>
      </c>
      <c r="H11" s="12"/>
      <c r="I11" s="14">
        <v>-4483547</v>
      </c>
      <c r="J11" s="12">
        <v>1498</v>
      </c>
      <c r="K11" s="12">
        <v>551866</v>
      </c>
      <c r="L11" s="12">
        <v>1399959</v>
      </c>
      <c r="M11" s="12">
        <f t="shared" si="0"/>
        <v>-2530224</v>
      </c>
    </row>
    <row r="12" spans="1:14">
      <c r="C12" t="s">
        <v>19</v>
      </c>
      <c r="H12" s="12"/>
      <c r="I12" s="15">
        <v>-923688</v>
      </c>
      <c r="J12" s="12"/>
      <c r="K12" s="12">
        <v>651146</v>
      </c>
      <c r="L12" s="12"/>
      <c r="M12" s="12">
        <f t="shared" si="0"/>
        <v>-272542</v>
      </c>
    </row>
    <row r="13" spans="1:14">
      <c r="C13" t="s">
        <v>20</v>
      </c>
      <c r="H13" s="12"/>
      <c r="I13" s="16">
        <v>-649782</v>
      </c>
      <c r="J13" s="12"/>
      <c r="K13" s="12"/>
      <c r="L13" s="12"/>
      <c r="M13" s="12">
        <f t="shared" si="0"/>
        <v>-649782</v>
      </c>
    </row>
    <row r="14" spans="1:14">
      <c r="C14" t="s">
        <v>71</v>
      </c>
      <c r="H14" s="12"/>
      <c r="I14" s="103">
        <v>-99146</v>
      </c>
      <c r="J14" s="18"/>
      <c r="K14" s="18"/>
      <c r="L14" s="18"/>
      <c r="M14" s="18">
        <f t="shared" si="0"/>
        <v>-99146</v>
      </c>
      <c r="N14" s="89"/>
    </row>
    <row r="15" spans="1:14">
      <c r="H15" s="12"/>
      <c r="I15" s="12"/>
      <c r="J15" s="12"/>
      <c r="K15" s="12"/>
      <c r="L15" s="12"/>
      <c r="M15" s="12"/>
    </row>
    <row r="16" spans="1:14">
      <c r="E16" s="19" t="s">
        <v>22</v>
      </c>
      <c r="F16" s="19"/>
      <c r="G16" s="19"/>
      <c r="H16" s="20"/>
      <c r="I16" s="20">
        <f>SUM(I9:I14)</f>
        <v>-8806951</v>
      </c>
      <c r="J16" s="20">
        <f>SUM(J9:J14)</f>
        <v>520395</v>
      </c>
      <c r="K16" s="20">
        <f>SUM(K9:K14)</f>
        <v>1220465</v>
      </c>
      <c r="L16" s="20">
        <f>SUM(L9:L14)</f>
        <v>1399959</v>
      </c>
      <c r="M16" s="91">
        <f>SUM(M9:M14)</f>
        <v>-5666132</v>
      </c>
      <c r="N16" s="87"/>
    </row>
    <row r="17" spans="1:14">
      <c r="H17" s="12"/>
      <c r="I17" s="12"/>
      <c r="J17" s="12"/>
      <c r="K17" s="12"/>
      <c r="L17" s="12"/>
      <c r="M17" s="12"/>
    </row>
    <row r="18" spans="1:14">
      <c r="A18" s="10" t="s">
        <v>23</v>
      </c>
      <c r="H18" s="12"/>
      <c r="I18" s="12"/>
      <c r="J18" s="12"/>
      <c r="K18" s="12"/>
      <c r="L18" s="12"/>
      <c r="M18" s="12"/>
    </row>
    <row r="19" spans="1:14">
      <c r="B19" t="s">
        <v>90</v>
      </c>
      <c r="H19" s="12"/>
      <c r="I19" s="94">
        <v>-394480</v>
      </c>
      <c r="J19" s="94">
        <v>158142</v>
      </c>
      <c r="K19" s="94">
        <v>87500</v>
      </c>
      <c r="L19" s="94"/>
      <c r="M19" s="94"/>
      <c r="N19" s="94">
        <f>SUM(I19:M19)</f>
        <v>-148838</v>
      </c>
    </row>
    <row r="20" spans="1:14">
      <c r="H20" s="12"/>
      <c r="I20" s="12"/>
      <c r="J20" s="12"/>
      <c r="K20" s="12"/>
      <c r="L20" s="12"/>
      <c r="M20" s="12"/>
    </row>
    <row r="21" spans="1:14">
      <c r="A21" s="8"/>
      <c r="B21" s="8"/>
      <c r="C21" s="8"/>
      <c r="D21" s="8"/>
      <c r="E21" s="8"/>
      <c r="G21" s="8" t="s">
        <v>25</v>
      </c>
      <c r="H21" s="26"/>
      <c r="I21" s="26"/>
      <c r="J21" s="26"/>
      <c r="K21" s="26"/>
      <c r="L21" s="26"/>
      <c r="M21" s="12"/>
    </row>
    <row r="22" spans="1:14">
      <c r="A22" s="8"/>
      <c r="B22" s="8"/>
      <c r="C22" s="8"/>
      <c r="D22" s="8"/>
      <c r="E22" s="8"/>
      <c r="G22" s="8"/>
      <c r="H22" s="88" t="s">
        <v>26</v>
      </c>
      <c r="I22" s="26"/>
      <c r="J22" s="26"/>
      <c r="K22" s="26"/>
      <c r="L22" s="26"/>
      <c r="M22" s="12"/>
    </row>
    <row r="23" spans="1:14">
      <c r="H23" s="12"/>
      <c r="I23" s="12" t="s">
        <v>116</v>
      </c>
      <c r="J23" s="12"/>
      <c r="K23" s="12"/>
      <c r="L23" s="12"/>
      <c r="M23" s="28">
        <v>2033687</v>
      </c>
    </row>
    <row r="24" spans="1:14">
      <c r="H24" s="12"/>
      <c r="I24" s="12" t="s">
        <v>117</v>
      </c>
      <c r="J24" s="12"/>
      <c r="K24" s="12"/>
      <c r="L24" s="12"/>
      <c r="M24" s="14">
        <v>4481433</v>
      </c>
      <c r="N24" s="9">
        <v>113357</v>
      </c>
    </row>
    <row r="25" spans="1:14">
      <c r="H25" s="12" t="s">
        <v>118</v>
      </c>
      <c r="I25" s="12"/>
      <c r="J25" s="12"/>
      <c r="K25" s="12"/>
      <c r="L25" s="12"/>
      <c r="M25" s="12"/>
    </row>
    <row r="26" spans="1:14">
      <c r="H26" s="12"/>
      <c r="I26" s="12" t="s">
        <v>75</v>
      </c>
      <c r="J26" s="12"/>
      <c r="K26" s="12"/>
      <c r="L26" s="12"/>
      <c r="M26" s="105">
        <v>173216</v>
      </c>
    </row>
    <row r="27" spans="1:14">
      <c r="H27" s="12"/>
      <c r="I27" s="12" t="s">
        <v>119</v>
      </c>
      <c r="J27" s="12"/>
      <c r="K27" s="12"/>
      <c r="L27" s="12"/>
      <c r="M27" s="29">
        <v>372408</v>
      </c>
    </row>
    <row r="28" spans="1:14">
      <c r="H28" s="12"/>
      <c r="I28" s="12" t="s">
        <v>120</v>
      </c>
      <c r="J28" s="12"/>
      <c r="K28" s="12"/>
      <c r="L28" s="12"/>
      <c r="M28" s="106">
        <v>591608</v>
      </c>
    </row>
    <row r="29" spans="1:14">
      <c r="H29" s="12"/>
      <c r="I29" s="12" t="s">
        <v>121</v>
      </c>
      <c r="J29" s="12"/>
      <c r="K29" s="12"/>
      <c r="L29" s="12"/>
      <c r="M29" s="29">
        <v>112335</v>
      </c>
    </row>
    <row r="30" spans="1:14">
      <c r="H30" s="12" t="s">
        <v>122</v>
      </c>
      <c r="I30" s="12"/>
      <c r="J30" s="12"/>
      <c r="K30" s="12"/>
      <c r="L30" s="12"/>
      <c r="M30" s="29">
        <v>23802</v>
      </c>
      <c r="N30">
        <v>669</v>
      </c>
    </row>
    <row r="31" spans="1:14">
      <c r="H31" s="12" t="s">
        <v>36</v>
      </c>
      <c r="I31" s="12"/>
      <c r="J31" s="12"/>
      <c r="K31" s="12"/>
      <c r="L31" s="12"/>
      <c r="M31" s="29">
        <v>128711</v>
      </c>
      <c r="N31" s="9">
        <v>14194</v>
      </c>
    </row>
    <row r="32" spans="1:14">
      <c r="H32" s="12"/>
      <c r="I32" s="12"/>
      <c r="J32" s="12"/>
      <c r="K32" s="12"/>
      <c r="L32" s="12"/>
      <c r="M32" s="12"/>
    </row>
    <row r="33" spans="5:14">
      <c r="H33" s="20" t="s">
        <v>38</v>
      </c>
      <c r="I33" s="20"/>
      <c r="J33" s="20"/>
      <c r="K33" s="20"/>
      <c r="L33" s="20"/>
      <c r="M33" s="20">
        <f>SUM(M23:M31)</f>
        <v>7917200</v>
      </c>
      <c r="N33" s="93">
        <f>SUM(N23:N31)</f>
        <v>128220</v>
      </c>
    </row>
    <row r="34" spans="5:14">
      <c r="H34" s="12"/>
      <c r="I34" s="12"/>
      <c r="J34" s="12"/>
      <c r="K34" s="12"/>
      <c r="L34" s="12"/>
      <c r="M34" s="12"/>
    </row>
    <row r="35" spans="5:14">
      <c r="H35" s="20" t="s">
        <v>39</v>
      </c>
      <c r="I35" s="20"/>
      <c r="J35" s="20"/>
      <c r="K35" s="20"/>
      <c r="L35" s="20"/>
      <c r="M35" s="20">
        <f>SUM(M16,M33)</f>
        <v>2251068</v>
      </c>
      <c r="N35" s="94">
        <f>N33+N19</f>
        <v>-20618</v>
      </c>
    </row>
    <row r="36" spans="5:14">
      <c r="H36" s="26"/>
      <c r="I36" s="26"/>
      <c r="J36" s="26"/>
      <c r="K36" s="26"/>
      <c r="L36" s="26"/>
      <c r="M36" s="26"/>
    </row>
    <row r="37" spans="5:14">
      <c r="E37" s="31" t="s">
        <v>67</v>
      </c>
      <c r="F37" s="31"/>
      <c r="G37" s="31"/>
      <c r="H37" s="32"/>
      <c r="I37" s="32"/>
      <c r="J37" s="32"/>
      <c r="K37" s="32"/>
      <c r="L37" s="32"/>
      <c r="M37" s="33">
        <v>12774390</v>
      </c>
      <c r="N37" s="95">
        <v>273206</v>
      </c>
    </row>
    <row r="38" spans="5:14">
      <c r="H38" s="12"/>
      <c r="I38" s="12"/>
      <c r="J38" s="12"/>
      <c r="K38" s="12"/>
      <c r="L38" s="12"/>
      <c r="M38" s="12"/>
    </row>
    <row r="39" spans="5:14">
      <c r="E39" s="34" t="s">
        <v>44</v>
      </c>
      <c r="F39" s="34"/>
      <c r="G39" s="34"/>
      <c r="H39" s="35"/>
      <c r="I39" s="35"/>
      <c r="J39" s="35"/>
      <c r="K39" s="35"/>
      <c r="L39" s="35"/>
      <c r="M39" s="92">
        <f>SUM(M35,M37)</f>
        <v>15025458</v>
      </c>
      <c r="N39" s="96">
        <f>N37+N35</f>
        <v>252588</v>
      </c>
    </row>
    <row r="46" spans="5:14">
      <c r="K46" s="9"/>
      <c r="L46" s="9"/>
      <c r="M46" s="9"/>
    </row>
  </sheetData>
  <mergeCells count="5">
    <mergeCell ref="J1:M1"/>
    <mergeCell ref="J2:M2"/>
    <mergeCell ref="M4:N4"/>
    <mergeCell ref="J5:L5"/>
    <mergeCell ref="M5:N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0"/>
  <sheetViews>
    <sheetView topLeftCell="A6" workbookViewId="0">
      <selection activeCell="M42" sqref="M42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6.42578125" customWidth="1"/>
    <col min="11" max="11" width="16.28515625" customWidth="1"/>
    <col min="12" max="12" width="15.42578125" customWidth="1"/>
    <col min="13" max="13" width="19.7109375" customWidth="1"/>
  </cols>
  <sheetData>
    <row r="1" spans="1:13" ht="30" customHeight="1">
      <c r="J1" s="1" t="s">
        <v>123</v>
      </c>
      <c r="K1" s="1"/>
      <c r="L1" s="1"/>
      <c r="M1" s="1"/>
    </row>
    <row r="2" spans="1:13" ht="21.75" customHeight="1">
      <c r="J2" s="259" t="s">
        <v>1</v>
      </c>
      <c r="K2" s="259"/>
      <c r="L2" s="259"/>
      <c r="M2" s="259"/>
    </row>
    <row r="3" spans="1:13" ht="18.75" customHeight="1">
      <c r="E3" s="3"/>
      <c r="F3" s="3"/>
      <c r="G3" s="3"/>
      <c r="H3" s="3"/>
      <c r="I3" s="3"/>
      <c r="J3" s="3"/>
      <c r="K3" s="3"/>
      <c r="L3" s="3"/>
    </row>
    <row r="4" spans="1:13" ht="30.75" customHeight="1">
      <c r="E4" s="2"/>
      <c r="M4" s="172" t="s">
        <v>97</v>
      </c>
    </row>
    <row r="5" spans="1:13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172"/>
      <c r="M5" s="176" t="s">
        <v>5</v>
      </c>
    </row>
    <row r="6" spans="1:13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98</v>
      </c>
    </row>
    <row r="7" spans="1:13" ht="30.75" customHeight="1">
      <c r="A7" s="8" t="s">
        <v>13</v>
      </c>
      <c r="I7" s="9"/>
      <c r="J7" s="9"/>
      <c r="K7" s="9"/>
      <c r="L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B9" s="10"/>
      <c r="C9" t="s">
        <v>15</v>
      </c>
      <c r="I9" s="9"/>
      <c r="J9" s="9"/>
      <c r="K9" s="9"/>
      <c r="L9" s="9"/>
      <c r="M9" s="9"/>
    </row>
    <row r="10" spans="1:13">
      <c r="D10" t="s">
        <v>99</v>
      </c>
      <c r="H10" s="12"/>
      <c r="I10" s="97">
        <v>-233073</v>
      </c>
      <c r="J10" s="12"/>
      <c r="K10" s="12"/>
      <c r="L10" s="12"/>
      <c r="M10" s="12">
        <f>SUM(I10:L10)</f>
        <v>-233073</v>
      </c>
    </row>
    <row r="11" spans="1:13">
      <c r="D11" t="s">
        <v>100</v>
      </c>
      <c r="H11" s="12"/>
      <c r="I11" s="98">
        <v>-1228208</v>
      </c>
      <c r="J11" s="12">
        <v>894833</v>
      </c>
      <c r="K11" s="12">
        <v>9247</v>
      </c>
      <c r="L11" s="12"/>
      <c r="M11" s="12">
        <f t="shared" ref="M11:M21" si="0">SUM(I11:L11)</f>
        <v>-324128</v>
      </c>
    </row>
    <row r="12" spans="1:13">
      <c r="D12" t="s">
        <v>102</v>
      </c>
      <c r="H12" s="12"/>
      <c r="I12" s="101">
        <v>-73428</v>
      </c>
      <c r="J12" s="12"/>
      <c r="K12" s="12"/>
      <c r="L12" s="12"/>
      <c r="M12" s="12">
        <f t="shared" si="0"/>
        <v>-73428</v>
      </c>
    </row>
    <row r="13" spans="1:13">
      <c r="D13" t="s">
        <v>103</v>
      </c>
      <c r="H13" s="12"/>
      <c r="I13" s="110">
        <v>-883767</v>
      </c>
      <c r="J13" s="12">
        <v>203327</v>
      </c>
      <c r="K13" s="12"/>
      <c r="L13" s="12"/>
      <c r="M13" s="12">
        <f t="shared" si="0"/>
        <v>-680440</v>
      </c>
    </row>
    <row r="14" spans="1:13">
      <c r="D14" t="s">
        <v>124</v>
      </c>
      <c r="H14" s="12"/>
      <c r="I14" s="108">
        <v>-641778</v>
      </c>
      <c r="J14" s="12">
        <v>171670</v>
      </c>
      <c r="K14" s="12">
        <v>52950</v>
      </c>
      <c r="L14" s="12"/>
      <c r="M14" s="12">
        <f t="shared" si="0"/>
        <v>-417158</v>
      </c>
    </row>
    <row r="15" spans="1:13">
      <c r="C15" t="s">
        <v>16</v>
      </c>
      <c r="H15" s="12"/>
      <c r="I15" s="13">
        <v>-1649102</v>
      </c>
      <c r="J15" s="12"/>
      <c r="K15" s="12">
        <v>53092</v>
      </c>
      <c r="L15" s="12"/>
      <c r="M15" s="12">
        <f t="shared" si="0"/>
        <v>-1596010</v>
      </c>
    </row>
    <row r="16" spans="1:13">
      <c r="C16" t="s">
        <v>17</v>
      </c>
      <c r="H16" s="12"/>
      <c r="I16" s="14">
        <v>-7046314</v>
      </c>
      <c r="J16" s="12">
        <v>18000</v>
      </c>
      <c r="K16" s="12">
        <v>662708</v>
      </c>
      <c r="L16" s="12">
        <v>359778</v>
      </c>
      <c r="M16" s="12">
        <f t="shared" si="0"/>
        <v>-6005828</v>
      </c>
    </row>
    <row r="17" spans="1:13">
      <c r="C17" t="s">
        <v>19</v>
      </c>
      <c r="H17" s="12"/>
      <c r="I17" s="15">
        <v>-531255</v>
      </c>
      <c r="J17" s="12"/>
      <c r="K17" s="12"/>
      <c r="L17" s="12"/>
      <c r="M17" s="12">
        <f t="shared" si="0"/>
        <v>-531255</v>
      </c>
    </row>
    <row r="18" spans="1:13">
      <c r="C18" t="s">
        <v>20</v>
      </c>
      <c r="H18" s="12"/>
      <c r="I18" s="16">
        <v>-1073277</v>
      </c>
      <c r="J18" s="12"/>
      <c r="K18" s="12">
        <v>75691</v>
      </c>
      <c r="L18" s="12">
        <v>35000</v>
      </c>
      <c r="M18" s="12">
        <f t="shared" si="0"/>
        <v>-962586</v>
      </c>
    </row>
    <row r="19" spans="1:13">
      <c r="C19" t="s">
        <v>52</v>
      </c>
      <c r="H19" s="12"/>
      <c r="I19" s="107">
        <v>-1461093</v>
      </c>
      <c r="J19" s="12">
        <v>66138</v>
      </c>
      <c r="K19" s="12"/>
      <c r="L19" s="12"/>
      <c r="M19" s="12">
        <f t="shared" si="0"/>
        <v>-1394955</v>
      </c>
    </row>
    <row r="20" spans="1:13">
      <c r="C20" t="s">
        <v>125</v>
      </c>
      <c r="H20" s="12"/>
      <c r="I20" s="107">
        <v>-78307</v>
      </c>
      <c r="J20" s="12"/>
      <c r="K20" s="12"/>
      <c r="L20" s="12"/>
      <c r="M20" s="12">
        <f t="shared" si="0"/>
        <v>-78307</v>
      </c>
    </row>
    <row r="21" spans="1:13">
      <c r="C21" t="s">
        <v>21</v>
      </c>
      <c r="H21" s="12"/>
      <c r="I21" s="98">
        <v>-106427</v>
      </c>
      <c r="J21" s="12"/>
      <c r="K21" s="12"/>
      <c r="L21" s="12"/>
      <c r="M21" s="12">
        <f t="shared" si="0"/>
        <v>-106427</v>
      </c>
    </row>
    <row r="22" spans="1:13">
      <c r="H22" s="12"/>
      <c r="I22" s="12"/>
      <c r="J22" s="12"/>
      <c r="K22" s="12"/>
      <c r="L22" s="12"/>
      <c r="M22" s="12"/>
    </row>
    <row r="23" spans="1:13">
      <c r="E23" s="19" t="s">
        <v>22</v>
      </c>
      <c r="F23" s="19"/>
      <c r="G23" s="19"/>
      <c r="H23" s="20"/>
      <c r="I23" s="20">
        <f>SUM(I10:I21)</f>
        <v>-15006029</v>
      </c>
      <c r="J23" s="20">
        <f>SUM(J10:J21)</f>
        <v>1353968</v>
      </c>
      <c r="K23" s="20">
        <f>SUM(K10:K21)</f>
        <v>853688</v>
      </c>
      <c r="L23" s="20">
        <f>SUM(L10:L21)</f>
        <v>394778</v>
      </c>
      <c r="M23" s="91">
        <f>SUM(M10:M21)</f>
        <v>-12403595</v>
      </c>
    </row>
    <row r="24" spans="1:13">
      <c r="E24" s="8"/>
      <c r="F24" s="8"/>
      <c r="G24" s="8"/>
      <c r="H24" s="26"/>
      <c r="I24" s="26"/>
      <c r="J24" s="26"/>
      <c r="K24" s="26"/>
      <c r="L24" s="26"/>
      <c r="M24" s="26"/>
    </row>
    <row r="25" spans="1:13">
      <c r="A25" s="8"/>
      <c r="B25" s="8"/>
      <c r="C25" s="8"/>
      <c r="D25" s="8"/>
      <c r="E25" s="8"/>
      <c r="G25" s="8" t="s">
        <v>25</v>
      </c>
      <c r="H25" s="26"/>
      <c r="I25" s="26"/>
      <c r="J25" s="26"/>
      <c r="K25" s="26"/>
      <c r="L25" s="26"/>
      <c r="M25" s="12"/>
    </row>
    <row r="26" spans="1:13">
      <c r="A26" s="8"/>
      <c r="B26" s="8"/>
      <c r="C26" s="8"/>
      <c r="D26" s="8"/>
      <c r="E26" s="8"/>
      <c r="G26" s="8"/>
      <c r="H26" s="88" t="s">
        <v>26</v>
      </c>
      <c r="I26" s="26"/>
      <c r="J26" s="26"/>
      <c r="K26" s="26"/>
      <c r="L26" s="26"/>
      <c r="M26" s="12"/>
    </row>
    <row r="27" spans="1:13">
      <c r="H27" s="12"/>
      <c r="I27" s="12" t="s">
        <v>126</v>
      </c>
      <c r="J27" s="12"/>
      <c r="K27" s="12"/>
      <c r="L27" s="12"/>
      <c r="M27" s="28">
        <v>5473137</v>
      </c>
    </row>
    <row r="28" spans="1:13">
      <c r="H28" s="12"/>
      <c r="I28" s="12" t="s">
        <v>127</v>
      </c>
      <c r="J28" s="12"/>
      <c r="K28" s="12"/>
      <c r="L28" s="12"/>
      <c r="M28" s="15">
        <v>1596193</v>
      </c>
    </row>
    <row r="29" spans="1:13">
      <c r="H29" s="12"/>
      <c r="I29" s="12" t="s">
        <v>128</v>
      </c>
      <c r="J29" s="12"/>
      <c r="K29" s="12"/>
      <c r="L29" s="12"/>
      <c r="M29" s="14">
        <v>6529270</v>
      </c>
    </row>
    <row r="30" spans="1:13">
      <c r="H30" s="12"/>
      <c r="I30" s="12" t="s">
        <v>129</v>
      </c>
      <c r="J30" s="12"/>
      <c r="K30" s="12"/>
      <c r="L30" s="12"/>
      <c r="M30" s="105">
        <v>129957</v>
      </c>
    </row>
    <row r="31" spans="1:13">
      <c r="H31" s="12"/>
      <c r="I31" s="12" t="s">
        <v>111</v>
      </c>
      <c r="J31" s="12"/>
      <c r="K31" s="12"/>
      <c r="L31" s="12"/>
      <c r="M31" s="15">
        <v>178211</v>
      </c>
    </row>
    <row r="32" spans="1:13">
      <c r="H32" s="12" t="s">
        <v>122</v>
      </c>
      <c r="I32" s="12"/>
      <c r="J32" s="12"/>
      <c r="K32" s="12"/>
      <c r="L32" s="12"/>
      <c r="M32" s="29">
        <v>30993</v>
      </c>
    </row>
    <row r="33" spans="5:13">
      <c r="H33" s="12" t="s">
        <v>78</v>
      </c>
      <c r="I33" s="12"/>
      <c r="J33" s="12"/>
      <c r="K33" s="12"/>
      <c r="L33" s="12"/>
      <c r="M33" s="12"/>
    </row>
    <row r="34" spans="5:13">
      <c r="H34" s="12"/>
      <c r="I34" s="12" t="s">
        <v>36</v>
      </c>
      <c r="J34" s="12"/>
      <c r="K34" s="12"/>
      <c r="L34" s="12"/>
      <c r="M34" s="29">
        <v>280384</v>
      </c>
    </row>
    <row r="35" spans="5:13">
      <c r="H35" s="12"/>
      <c r="I35" s="12" t="s">
        <v>79</v>
      </c>
      <c r="J35" s="12"/>
      <c r="K35" s="12"/>
      <c r="L35" s="12"/>
      <c r="M35" s="29">
        <v>292128</v>
      </c>
    </row>
    <row r="36" spans="5:13">
      <c r="H36" s="12"/>
      <c r="I36" s="12"/>
      <c r="J36" s="12"/>
      <c r="K36" s="12"/>
      <c r="L36" s="12"/>
      <c r="M36" s="12"/>
    </row>
    <row r="37" spans="5:13">
      <c r="H37" s="20" t="s">
        <v>38</v>
      </c>
      <c r="I37" s="20"/>
      <c r="J37" s="20"/>
      <c r="K37" s="20"/>
      <c r="L37" s="20"/>
      <c r="M37" s="20">
        <f>SUM(M27:M35)</f>
        <v>14510273</v>
      </c>
    </row>
    <row r="38" spans="5:13">
      <c r="H38" s="12"/>
      <c r="I38" s="12"/>
      <c r="J38" s="12"/>
      <c r="K38" s="12"/>
      <c r="L38" s="12"/>
      <c r="M38" s="12"/>
    </row>
    <row r="39" spans="5:13">
      <c r="H39" s="20" t="s">
        <v>39</v>
      </c>
      <c r="I39" s="20"/>
      <c r="J39" s="20"/>
      <c r="K39" s="20"/>
      <c r="L39" s="20"/>
      <c r="M39" s="20">
        <f>M37+M23</f>
        <v>2106678</v>
      </c>
    </row>
    <row r="40" spans="5:13">
      <c r="H40" s="26"/>
      <c r="I40" s="26"/>
      <c r="J40" s="26"/>
      <c r="K40" s="26"/>
      <c r="L40" s="26"/>
      <c r="M40" s="26"/>
    </row>
    <row r="41" spans="5:13">
      <c r="E41" s="31" t="s">
        <v>67</v>
      </c>
      <c r="F41" s="31"/>
      <c r="G41" s="31"/>
      <c r="H41" s="32"/>
      <c r="I41" s="32"/>
      <c r="J41" s="32"/>
      <c r="K41" s="32"/>
      <c r="L41" s="32"/>
      <c r="M41" s="33">
        <v>45699042</v>
      </c>
    </row>
    <row r="42" spans="5:13">
      <c r="H42" s="12"/>
      <c r="I42" s="12"/>
      <c r="J42" s="12"/>
      <c r="K42" s="12"/>
      <c r="L42" s="12"/>
      <c r="M42" s="12"/>
    </row>
    <row r="43" spans="5:13">
      <c r="E43" s="34" t="s">
        <v>44</v>
      </c>
      <c r="F43" s="34"/>
      <c r="G43" s="34"/>
      <c r="H43" s="35"/>
      <c r="I43" s="35"/>
      <c r="J43" s="35"/>
      <c r="K43" s="35"/>
      <c r="L43" s="35"/>
      <c r="M43" s="92">
        <f>SUM(M39,M41)</f>
        <v>47805720</v>
      </c>
    </row>
    <row r="50" spans="11:13">
      <c r="K50" s="9"/>
      <c r="L50" s="9"/>
      <c r="M50" s="9"/>
    </row>
  </sheetData>
  <mergeCells count="2">
    <mergeCell ref="J2:M2"/>
    <mergeCell ref="J5:K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4"/>
  <sheetViews>
    <sheetView topLeftCell="A4" workbookViewId="0">
      <selection activeCell="M36" sqref="M36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1" width="19.28515625" customWidth="1"/>
    <col min="12" max="12" width="16.42578125" customWidth="1"/>
    <col min="13" max="13" width="21.85546875" customWidth="1"/>
  </cols>
  <sheetData>
    <row r="1" spans="1:13" ht="30" customHeight="1">
      <c r="J1" s="258" t="s">
        <v>130</v>
      </c>
      <c r="K1" s="258"/>
      <c r="L1" s="258"/>
      <c r="M1" s="258"/>
    </row>
    <row r="2" spans="1:13" ht="21.75" customHeight="1">
      <c r="J2" s="259" t="s">
        <v>1</v>
      </c>
      <c r="K2" s="259"/>
      <c r="L2" s="259"/>
      <c r="M2" s="259"/>
    </row>
    <row r="3" spans="1:13" ht="10.5" customHeight="1">
      <c r="E3" s="3"/>
      <c r="F3" s="3"/>
      <c r="G3" s="3"/>
      <c r="H3" s="3"/>
      <c r="I3" s="3"/>
      <c r="J3" s="3"/>
      <c r="K3" s="3"/>
      <c r="L3" s="3"/>
    </row>
    <row r="4" spans="1:13" ht="47.25" customHeight="1">
      <c r="E4" s="2"/>
      <c r="M4" s="173" t="s">
        <v>2</v>
      </c>
    </row>
    <row r="5" spans="1:13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174"/>
    </row>
    <row r="6" spans="1:13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7"/>
    </row>
    <row r="7" spans="1:13" ht="30.75" customHeight="1">
      <c r="A7" s="8" t="s">
        <v>13</v>
      </c>
      <c r="I7" s="9"/>
      <c r="J7" s="9"/>
      <c r="K7" s="9"/>
      <c r="L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C9" t="s">
        <v>15</v>
      </c>
      <c r="H9" s="12"/>
      <c r="I9" s="11">
        <v>-2274040</v>
      </c>
      <c r="J9" s="12">
        <v>21531</v>
      </c>
      <c r="K9" s="12">
        <v>117418</v>
      </c>
      <c r="L9" s="12"/>
      <c r="M9" s="12">
        <f t="shared" ref="M9:M15" si="0">SUM(I9:L9)</f>
        <v>-2135091</v>
      </c>
    </row>
    <row r="10" spans="1:13">
      <c r="C10" t="s">
        <v>16</v>
      </c>
      <c r="H10" s="12"/>
      <c r="I10" s="13">
        <v>-589526</v>
      </c>
      <c r="J10" s="12"/>
      <c r="K10" s="12"/>
      <c r="L10" s="12"/>
      <c r="M10" s="12">
        <f t="shared" si="0"/>
        <v>-589526</v>
      </c>
    </row>
    <row r="11" spans="1:13">
      <c r="C11" t="s">
        <v>17</v>
      </c>
      <c r="H11" s="12"/>
      <c r="I11" s="14">
        <v>-6911006</v>
      </c>
      <c r="J11" s="12"/>
      <c r="K11" s="12">
        <v>315519</v>
      </c>
      <c r="L11" s="12">
        <v>933040</v>
      </c>
      <c r="M11" s="12">
        <f t="shared" si="0"/>
        <v>-5662447</v>
      </c>
    </row>
    <row r="12" spans="1:13">
      <c r="C12" t="s">
        <v>19</v>
      </c>
      <c r="H12" s="12"/>
      <c r="I12" s="15">
        <v>-366113</v>
      </c>
      <c r="J12" s="12"/>
      <c r="K12" s="12">
        <v>389793</v>
      </c>
      <c r="L12" s="12"/>
      <c r="M12" s="12">
        <f t="shared" si="0"/>
        <v>23680</v>
      </c>
    </row>
    <row r="13" spans="1:13">
      <c r="C13" t="s">
        <v>131</v>
      </c>
      <c r="H13" s="12"/>
      <c r="I13" s="107">
        <v>-37414</v>
      </c>
      <c r="J13" s="12"/>
      <c r="K13" s="12"/>
      <c r="L13" s="12"/>
      <c r="M13" s="12">
        <f>SUM(I13:L13)</f>
        <v>-37414</v>
      </c>
    </row>
    <row r="14" spans="1:13">
      <c r="C14" t="s">
        <v>18</v>
      </c>
      <c r="H14" s="12"/>
      <c r="I14" s="102">
        <v>-380167</v>
      </c>
      <c r="J14" s="12"/>
      <c r="K14" s="12">
        <v>80704</v>
      </c>
      <c r="L14" s="12"/>
      <c r="M14" s="12">
        <f t="shared" si="0"/>
        <v>-299463</v>
      </c>
    </row>
    <row r="15" spans="1:13">
      <c r="C15" t="s">
        <v>105</v>
      </c>
      <c r="H15" s="12"/>
      <c r="I15" s="17">
        <v>-409519</v>
      </c>
      <c r="J15" s="18"/>
      <c r="K15" s="18"/>
      <c r="L15" s="18"/>
      <c r="M15" s="18">
        <f t="shared" si="0"/>
        <v>-409519</v>
      </c>
    </row>
    <row r="16" spans="1:13">
      <c r="H16" s="12"/>
      <c r="I16" s="12"/>
      <c r="J16" s="12"/>
      <c r="K16" s="12"/>
      <c r="L16" s="12"/>
      <c r="M16" s="12"/>
    </row>
    <row r="17" spans="1:13">
      <c r="E17" s="19" t="s">
        <v>22</v>
      </c>
      <c r="F17" s="19"/>
      <c r="G17" s="19"/>
      <c r="H17" s="20"/>
      <c r="I17" s="20">
        <f>SUM(I9:I15)</f>
        <v>-10967785</v>
      </c>
      <c r="J17" s="20">
        <f>SUM(J9:J15)</f>
        <v>21531</v>
      </c>
      <c r="K17" s="20">
        <f>SUM(K9:K15)</f>
        <v>903434</v>
      </c>
      <c r="L17" s="20">
        <f>SUM(L9:L15)</f>
        <v>933040</v>
      </c>
      <c r="M17" s="91">
        <f>SUM(M9:M15)</f>
        <v>-9109780</v>
      </c>
    </row>
    <row r="18" spans="1:13">
      <c r="H18" s="12"/>
      <c r="I18" s="12"/>
      <c r="J18" s="12"/>
      <c r="K18" s="12"/>
      <c r="L18" s="12"/>
      <c r="M18" s="12"/>
    </row>
    <row r="19" spans="1:13">
      <c r="A19" s="8"/>
      <c r="B19" s="8"/>
      <c r="C19" s="8"/>
      <c r="D19" s="8"/>
      <c r="E19" s="8"/>
      <c r="G19" s="8" t="s">
        <v>25</v>
      </c>
      <c r="H19" s="26"/>
      <c r="I19" s="26"/>
      <c r="J19" s="26"/>
      <c r="K19" s="26"/>
      <c r="L19" s="26"/>
      <c r="M19" s="12"/>
    </row>
    <row r="20" spans="1:13">
      <c r="A20" s="8"/>
      <c r="B20" s="8"/>
      <c r="C20" s="8"/>
      <c r="D20" s="8"/>
      <c r="E20" s="8"/>
      <c r="G20" s="8"/>
      <c r="H20" s="88" t="s">
        <v>26</v>
      </c>
      <c r="I20" s="26"/>
      <c r="J20" s="26"/>
      <c r="K20" s="26"/>
      <c r="L20" s="26"/>
      <c r="M20" s="12"/>
    </row>
    <row r="21" spans="1:13">
      <c r="H21" s="12"/>
      <c r="I21" s="12" t="s">
        <v>132</v>
      </c>
      <c r="J21" s="12"/>
      <c r="K21" s="12"/>
      <c r="L21" s="12"/>
      <c r="M21" s="28">
        <v>1645255</v>
      </c>
    </row>
    <row r="22" spans="1:13">
      <c r="H22" s="12"/>
      <c r="I22" s="12" t="s">
        <v>133</v>
      </c>
      <c r="J22" s="12"/>
      <c r="K22" s="12"/>
      <c r="L22" s="12"/>
      <c r="M22" s="28">
        <v>1942336</v>
      </c>
    </row>
    <row r="23" spans="1:13">
      <c r="H23" s="12"/>
      <c r="I23" s="12" t="s">
        <v>134</v>
      </c>
      <c r="J23" s="12"/>
      <c r="K23" s="12"/>
      <c r="L23" s="12"/>
      <c r="M23" s="28">
        <v>1142496</v>
      </c>
    </row>
    <row r="24" spans="1:13">
      <c r="H24" s="12"/>
      <c r="I24" s="12" t="s">
        <v>135</v>
      </c>
      <c r="J24" s="12"/>
      <c r="K24" s="12"/>
      <c r="L24" s="12"/>
      <c r="M24" s="14">
        <v>2259144</v>
      </c>
    </row>
    <row r="25" spans="1:13">
      <c r="H25" s="12" t="s">
        <v>136</v>
      </c>
      <c r="I25" s="12"/>
      <c r="J25" s="12"/>
      <c r="K25" s="12"/>
      <c r="L25" s="12"/>
      <c r="M25" s="15">
        <v>32045</v>
      </c>
    </row>
    <row r="26" spans="1:13">
      <c r="H26" s="12" t="s">
        <v>33</v>
      </c>
      <c r="I26" s="12"/>
      <c r="J26" s="12"/>
      <c r="K26" s="12"/>
      <c r="L26" s="12"/>
      <c r="M26" s="11">
        <v>1530570</v>
      </c>
    </row>
    <row r="27" spans="1:13">
      <c r="H27" s="12" t="s">
        <v>137</v>
      </c>
      <c r="I27" s="12"/>
      <c r="J27" s="12"/>
      <c r="K27" s="12"/>
      <c r="L27" s="12"/>
      <c r="M27" s="29">
        <v>52840</v>
      </c>
    </row>
    <row r="28" spans="1:13">
      <c r="H28" s="12" t="s">
        <v>138</v>
      </c>
      <c r="I28" s="12"/>
      <c r="J28" s="12"/>
      <c r="K28" s="12"/>
      <c r="L28" s="12"/>
      <c r="M28" s="29">
        <v>262524</v>
      </c>
    </row>
    <row r="29" spans="1:13">
      <c r="H29" s="12" t="s">
        <v>139</v>
      </c>
      <c r="I29" s="12"/>
      <c r="J29" s="12"/>
      <c r="K29" s="12"/>
      <c r="L29" s="12"/>
      <c r="M29" s="29">
        <v>22700</v>
      </c>
    </row>
    <row r="30" spans="1:13">
      <c r="H30" s="12"/>
      <c r="I30" s="12"/>
      <c r="J30" s="12"/>
      <c r="K30" s="12"/>
      <c r="L30" s="12"/>
      <c r="M30" s="12"/>
    </row>
    <row r="31" spans="1:13">
      <c r="H31" s="20" t="s">
        <v>38</v>
      </c>
      <c r="I31" s="20"/>
      <c r="J31" s="20"/>
      <c r="K31" s="20"/>
      <c r="L31" s="20"/>
      <c r="M31" s="20">
        <f>SUM(M21:M29)</f>
        <v>8889910</v>
      </c>
    </row>
    <row r="32" spans="1:13">
      <c r="H32" s="12"/>
      <c r="I32" s="12"/>
      <c r="J32" s="12"/>
      <c r="K32" s="12"/>
      <c r="L32" s="12"/>
      <c r="M32" s="12"/>
    </row>
    <row r="33" spans="5:13">
      <c r="H33" s="20" t="s">
        <v>39</v>
      </c>
      <c r="I33" s="20"/>
      <c r="J33" s="20"/>
      <c r="K33" s="20"/>
      <c r="L33" s="20"/>
      <c r="M33" s="20">
        <f>SUM(M17,M31)</f>
        <v>-219870</v>
      </c>
    </row>
    <row r="34" spans="5:13">
      <c r="H34" s="26"/>
      <c r="I34" s="26"/>
      <c r="J34" s="26"/>
      <c r="K34" s="26"/>
      <c r="L34" s="26"/>
      <c r="M34" s="26"/>
    </row>
    <row r="35" spans="5:13">
      <c r="E35" s="31" t="s">
        <v>67</v>
      </c>
      <c r="F35" s="31"/>
      <c r="G35" s="31"/>
      <c r="H35" s="32"/>
      <c r="I35" s="32"/>
      <c r="J35" s="32"/>
      <c r="K35" s="32"/>
      <c r="L35" s="32"/>
      <c r="M35" s="33">
        <v>32795084</v>
      </c>
    </row>
    <row r="36" spans="5:13">
      <c r="H36" s="12"/>
      <c r="I36" s="12"/>
      <c r="J36" s="12"/>
      <c r="K36" s="12"/>
      <c r="L36" s="12"/>
      <c r="M36" s="12"/>
    </row>
    <row r="37" spans="5:13">
      <c r="E37" s="34" t="s">
        <v>44</v>
      </c>
      <c r="F37" s="34"/>
      <c r="G37" s="34"/>
      <c r="H37" s="35"/>
      <c r="I37" s="35"/>
      <c r="J37" s="35"/>
      <c r="K37" s="35"/>
      <c r="L37" s="35"/>
      <c r="M37" s="92">
        <f>SUM(M33,M35)</f>
        <v>32575214</v>
      </c>
    </row>
    <row r="44" spans="5:13">
      <c r="K44" s="9"/>
      <c r="L44" s="9"/>
      <c r="M44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O58"/>
  <sheetViews>
    <sheetView topLeftCell="K30" workbookViewId="0">
      <selection activeCell="M46" sqref="M46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</cols>
  <sheetData>
    <row r="1" spans="1:15" ht="30" customHeight="1">
      <c r="J1" s="258" t="s">
        <v>140</v>
      </c>
      <c r="K1" s="258"/>
      <c r="L1" s="258"/>
      <c r="M1" s="258"/>
      <c r="N1" s="170"/>
      <c r="O1" s="170"/>
    </row>
    <row r="2" spans="1:15" ht="21.75" customHeight="1">
      <c r="J2" s="259" t="s">
        <v>1</v>
      </c>
      <c r="K2" s="259"/>
      <c r="L2" s="259"/>
      <c r="M2" s="259"/>
      <c r="N2" s="171"/>
      <c r="O2" s="171"/>
    </row>
    <row r="3" spans="1:15" ht="18.75" customHeight="1">
      <c r="E3" s="3"/>
      <c r="F3" s="3"/>
      <c r="G3" s="3"/>
      <c r="H3" s="3"/>
      <c r="I3" s="3"/>
      <c r="J3" s="3"/>
      <c r="K3" s="3"/>
      <c r="L3" s="3"/>
    </row>
    <row r="4" spans="1:15" ht="30.75" customHeight="1">
      <c r="E4" s="2"/>
      <c r="M4" s="260" t="s">
        <v>97</v>
      </c>
      <c r="N4" s="260"/>
      <c r="O4" s="260"/>
    </row>
    <row r="5" spans="1:15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4" t="s">
        <v>5</v>
      </c>
      <c r="N5" s="264"/>
      <c r="O5" s="264"/>
    </row>
    <row r="6" spans="1:15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</row>
    <row r="7" spans="1:15" ht="30.75" customHeight="1">
      <c r="A7" s="8" t="s">
        <v>13</v>
      </c>
      <c r="I7" s="9"/>
      <c r="J7" s="9"/>
      <c r="K7" s="9"/>
      <c r="L7" s="9"/>
    </row>
    <row r="8" spans="1:15">
      <c r="B8" s="10" t="s">
        <v>14</v>
      </c>
      <c r="H8" s="131"/>
      <c r="I8" s="131"/>
      <c r="J8" s="131"/>
      <c r="K8" s="131"/>
      <c r="L8" s="131"/>
      <c r="M8" s="145"/>
      <c r="N8" s="145"/>
      <c r="O8" s="145"/>
    </row>
    <row r="9" spans="1:15">
      <c r="B9" s="10"/>
      <c r="C9" t="s">
        <v>141</v>
      </c>
      <c r="H9" s="131"/>
      <c r="I9" s="131"/>
      <c r="J9" s="131"/>
      <c r="K9" s="131"/>
      <c r="L9" s="131"/>
      <c r="M9" s="145"/>
      <c r="N9" s="145"/>
      <c r="O9" s="145"/>
    </row>
    <row r="10" spans="1:15">
      <c r="D10" t="s">
        <v>142</v>
      </c>
      <c r="H10" s="131"/>
      <c r="I10" s="243">
        <v>-6106</v>
      </c>
      <c r="J10" s="155"/>
      <c r="K10" s="131"/>
      <c r="L10" s="131"/>
      <c r="M10" s="131">
        <f t="shared" ref="M10:M22" si="0">SUM(I10:L10)</f>
        <v>-6106</v>
      </c>
      <c r="N10" s="131"/>
      <c r="O10" s="131">
        <f t="shared" ref="O10:O22" si="1">SUM(M10:N10)</f>
        <v>-6106</v>
      </c>
    </row>
    <row r="11" spans="1:15">
      <c r="D11" t="s">
        <v>99</v>
      </c>
      <c r="H11" s="131"/>
      <c r="I11" s="132">
        <v>-349570</v>
      </c>
      <c r="J11" s="155"/>
      <c r="K11" s="131"/>
      <c r="L11" s="131"/>
      <c r="M11" s="131">
        <f>SUM(I11:L11)</f>
        <v>-349570</v>
      </c>
      <c r="N11" s="131"/>
      <c r="O11" s="131">
        <f>SUM(M11:N11)</f>
        <v>-349570</v>
      </c>
    </row>
    <row r="12" spans="1:15">
      <c r="D12" t="s">
        <v>100</v>
      </c>
      <c r="H12" s="131"/>
      <c r="I12" s="133">
        <v>-2792610</v>
      </c>
      <c r="J12" s="155">
        <v>1141917</v>
      </c>
      <c r="K12" s="131"/>
      <c r="L12" s="131"/>
      <c r="M12" s="131">
        <f>SUM(I12:L12)</f>
        <v>-1650693</v>
      </c>
      <c r="N12" s="131"/>
      <c r="O12" s="131">
        <f>SUM(M12:N12)</f>
        <v>-1650693</v>
      </c>
    </row>
    <row r="13" spans="1:15">
      <c r="D13" t="s">
        <v>102</v>
      </c>
      <c r="H13" s="131"/>
      <c r="I13" s="134">
        <v>-126899</v>
      </c>
      <c r="J13" s="155"/>
      <c r="K13" s="131"/>
      <c r="L13" s="131"/>
      <c r="M13" s="131">
        <f>SUM(I13:L13)</f>
        <v>-126899</v>
      </c>
      <c r="N13" s="131"/>
      <c r="O13" s="131">
        <f>SUM(M13:N13)</f>
        <v>-126899</v>
      </c>
    </row>
    <row r="14" spans="1:15">
      <c r="D14" t="s">
        <v>143</v>
      </c>
      <c r="H14" s="131"/>
      <c r="I14" s="135">
        <v>-1726144</v>
      </c>
      <c r="J14" s="155">
        <v>20700</v>
      </c>
      <c r="K14" s="131"/>
      <c r="L14" s="131"/>
      <c r="M14" s="131">
        <f>SUM(I14:L14)</f>
        <v>-1705444</v>
      </c>
      <c r="N14" s="131"/>
      <c r="O14" s="131">
        <f>SUM(M14:N14)</f>
        <v>-1705444</v>
      </c>
    </row>
    <row r="15" spans="1:15">
      <c r="D15" t="s">
        <v>32</v>
      </c>
      <c r="H15" s="131"/>
      <c r="I15" s="136">
        <v>-3196970</v>
      </c>
      <c r="J15" s="155">
        <v>299550</v>
      </c>
      <c r="K15" s="131">
        <v>359</v>
      </c>
      <c r="L15" s="131"/>
      <c r="M15" s="131">
        <f>SUM(I15:L15)</f>
        <v>-2897061</v>
      </c>
      <c r="N15" s="131"/>
      <c r="O15" s="131">
        <f>SUM(M15:N15)</f>
        <v>-2897061</v>
      </c>
    </row>
    <row r="16" spans="1:15">
      <c r="C16" t="s">
        <v>16</v>
      </c>
      <c r="H16" s="131"/>
      <c r="I16" s="137">
        <v>-5059208</v>
      </c>
      <c r="J16" s="155">
        <v>242010</v>
      </c>
      <c r="K16" s="131"/>
      <c r="L16" s="131"/>
      <c r="M16" s="131">
        <f t="shared" si="0"/>
        <v>-4817198</v>
      </c>
      <c r="N16" s="131"/>
      <c r="O16" s="131">
        <f t="shared" si="1"/>
        <v>-4817198</v>
      </c>
    </row>
    <row r="17" spans="2:15">
      <c r="C17" t="s">
        <v>17</v>
      </c>
      <c r="H17" s="131"/>
      <c r="I17" s="138">
        <v>-16834285</v>
      </c>
      <c r="J17" s="155">
        <v>251723</v>
      </c>
      <c r="K17" s="131">
        <v>146235</v>
      </c>
      <c r="L17" s="131">
        <v>7904940</v>
      </c>
      <c r="M17" s="131">
        <f t="shared" si="0"/>
        <v>-8531387</v>
      </c>
      <c r="N17" s="131"/>
      <c r="O17" s="131">
        <f t="shared" si="1"/>
        <v>-8531387</v>
      </c>
    </row>
    <row r="18" spans="2:15">
      <c r="C18" t="s">
        <v>144</v>
      </c>
      <c r="H18" s="131"/>
      <c r="I18" s="138">
        <v>-149734</v>
      </c>
      <c r="J18" s="155"/>
      <c r="K18" s="131"/>
      <c r="L18" s="131">
        <v>69792</v>
      </c>
      <c r="M18" s="131">
        <f>SUM(I18:L18)</f>
        <v>-79942</v>
      </c>
      <c r="N18" s="131"/>
      <c r="O18" s="131">
        <f t="shared" si="1"/>
        <v>-79942</v>
      </c>
    </row>
    <row r="19" spans="2:15">
      <c r="C19" t="s">
        <v>19</v>
      </c>
      <c r="H19" s="131"/>
      <c r="I19" s="139">
        <v>-3852114</v>
      </c>
      <c r="J19" s="155"/>
      <c r="K19" s="131">
        <v>3679953</v>
      </c>
      <c r="L19" s="131"/>
      <c r="M19" s="131">
        <f t="shared" si="0"/>
        <v>-172161</v>
      </c>
      <c r="N19" s="131"/>
      <c r="O19" s="131">
        <f t="shared" si="1"/>
        <v>-172161</v>
      </c>
    </row>
    <row r="20" spans="2:15">
      <c r="C20" t="s">
        <v>20</v>
      </c>
      <c r="H20" s="131"/>
      <c r="I20" s="140">
        <v>-5397105</v>
      </c>
      <c r="J20" s="155">
        <v>71519</v>
      </c>
      <c r="K20" s="131"/>
      <c r="L20" s="131"/>
      <c r="M20" s="131">
        <f t="shared" si="0"/>
        <v>-5325586</v>
      </c>
      <c r="N20" s="131"/>
      <c r="O20" s="131">
        <f t="shared" si="1"/>
        <v>-5325586</v>
      </c>
    </row>
    <row r="21" spans="2:15">
      <c r="C21" t="s">
        <v>71</v>
      </c>
      <c r="H21" s="131"/>
      <c r="I21" s="141">
        <v>-2202272</v>
      </c>
      <c r="J21" s="155"/>
      <c r="K21" s="131"/>
      <c r="L21" s="131"/>
      <c r="M21" s="131">
        <f t="shared" si="0"/>
        <v>-2202272</v>
      </c>
      <c r="N21" s="131"/>
      <c r="O21" s="131">
        <f t="shared" si="1"/>
        <v>-2202272</v>
      </c>
    </row>
    <row r="22" spans="2:15">
      <c r="C22" t="s">
        <v>21</v>
      </c>
      <c r="H22" s="131"/>
      <c r="I22" s="142">
        <v>-2194004</v>
      </c>
      <c r="J22" s="156"/>
      <c r="K22" s="145"/>
      <c r="L22" s="145"/>
      <c r="M22" s="145">
        <f t="shared" si="0"/>
        <v>-2194004</v>
      </c>
      <c r="N22" s="145"/>
      <c r="O22" s="145">
        <f t="shared" si="1"/>
        <v>-2194004</v>
      </c>
    </row>
    <row r="23" spans="2:15">
      <c r="H23" s="131"/>
      <c r="I23" s="156"/>
      <c r="J23" s="156"/>
      <c r="K23" s="145"/>
      <c r="L23" s="145"/>
      <c r="M23" s="145"/>
      <c r="N23" s="145"/>
      <c r="O23" s="145"/>
    </row>
    <row r="24" spans="2:15">
      <c r="E24" s="19" t="s">
        <v>22</v>
      </c>
      <c r="F24" s="19"/>
      <c r="G24" s="19"/>
      <c r="H24" s="143"/>
      <c r="I24" s="143">
        <f>SUM(I10:I22)</f>
        <v>-43887021</v>
      </c>
      <c r="J24" s="143">
        <f>SUM(J10:J22)</f>
        <v>2027419</v>
      </c>
      <c r="K24" s="143">
        <f>SUM(K10:K22)</f>
        <v>3826547</v>
      </c>
      <c r="L24" s="143">
        <f>SUM(L10:L22)</f>
        <v>7974732</v>
      </c>
      <c r="M24" s="244">
        <f>SUM(M10:M22)</f>
        <v>-30058323</v>
      </c>
      <c r="N24" s="244"/>
      <c r="O24" s="244">
        <f>SUM(O10:O22)</f>
        <v>-30058323</v>
      </c>
    </row>
    <row r="25" spans="2:15">
      <c r="E25" s="8"/>
      <c r="F25" s="8"/>
      <c r="G25" s="8"/>
      <c r="H25" s="162"/>
      <c r="I25" s="162"/>
      <c r="J25" s="162"/>
      <c r="K25" s="162"/>
      <c r="L25" s="162"/>
      <c r="M25" s="162"/>
      <c r="N25" s="162"/>
      <c r="O25" s="162"/>
    </row>
    <row r="26" spans="2:15">
      <c r="B26" s="10" t="s">
        <v>84</v>
      </c>
      <c r="E26" s="8"/>
      <c r="F26" s="8"/>
      <c r="G26" s="8"/>
      <c r="H26" s="162"/>
      <c r="I26" s="162"/>
      <c r="J26" s="162"/>
      <c r="K26" s="162"/>
      <c r="L26" s="162"/>
      <c r="M26" s="162"/>
      <c r="N26" s="162"/>
      <c r="O26" s="162"/>
    </row>
    <row r="27" spans="2:15">
      <c r="B27" s="10"/>
      <c r="C27" t="s">
        <v>145</v>
      </c>
      <c r="E27" s="8"/>
      <c r="F27" s="8"/>
      <c r="G27" s="8"/>
      <c r="H27" s="162"/>
      <c r="I27" s="250">
        <v>-815573</v>
      </c>
      <c r="J27" s="245">
        <v>1758109</v>
      </c>
      <c r="K27" s="245"/>
      <c r="L27" s="245"/>
      <c r="M27" s="245"/>
      <c r="N27" s="245">
        <f>SUM(I27:M27)</f>
        <v>942536</v>
      </c>
      <c r="O27" s="245">
        <f>N27</f>
        <v>942536</v>
      </c>
    </row>
    <row r="28" spans="2:15">
      <c r="B28" s="10"/>
      <c r="E28" s="8"/>
      <c r="F28" s="8"/>
      <c r="G28" s="8"/>
      <c r="H28" s="162"/>
      <c r="I28" s="162"/>
      <c r="J28" s="162"/>
      <c r="K28" s="162"/>
      <c r="L28" s="162"/>
      <c r="M28" s="162"/>
      <c r="N28" s="162"/>
      <c r="O28" s="162"/>
    </row>
    <row r="29" spans="2:15">
      <c r="E29" s="19" t="s">
        <v>88</v>
      </c>
      <c r="F29" s="19"/>
      <c r="G29" s="19"/>
      <c r="H29" s="143"/>
      <c r="I29" s="143">
        <f t="shared" ref="I29:O29" si="2">SUM(I27:I27)</f>
        <v>-815573</v>
      </c>
      <c r="J29" s="143">
        <f t="shared" si="2"/>
        <v>1758109</v>
      </c>
      <c r="K29" s="143">
        <f t="shared" si="2"/>
        <v>0</v>
      </c>
      <c r="L29" s="143">
        <f t="shared" si="2"/>
        <v>0</v>
      </c>
      <c r="M29" s="244">
        <f t="shared" si="2"/>
        <v>0</v>
      </c>
      <c r="N29" s="244">
        <f t="shared" si="2"/>
        <v>942536</v>
      </c>
      <c r="O29" s="244">
        <f t="shared" si="2"/>
        <v>942536</v>
      </c>
    </row>
    <row r="30" spans="2:15">
      <c r="E30" s="8"/>
      <c r="F30" s="8"/>
      <c r="G30" s="8"/>
      <c r="H30" s="162"/>
      <c r="I30" s="162"/>
      <c r="J30" s="162"/>
      <c r="K30" s="162"/>
      <c r="L30" s="162"/>
      <c r="M30" s="162"/>
      <c r="N30" s="162"/>
      <c r="O30" s="162"/>
    </row>
    <row r="31" spans="2:15">
      <c r="E31" s="19" t="s">
        <v>146</v>
      </c>
      <c r="F31" s="19"/>
      <c r="G31" s="19"/>
      <c r="H31" s="143"/>
      <c r="I31" s="143">
        <f t="shared" ref="I31:O31" si="3">I29+I24</f>
        <v>-44702594</v>
      </c>
      <c r="J31" s="143">
        <f t="shared" si="3"/>
        <v>3785528</v>
      </c>
      <c r="K31" s="143">
        <f t="shared" si="3"/>
        <v>3826547</v>
      </c>
      <c r="L31" s="143">
        <f t="shared" si="3"/>
        <v>7974732</v>
      </c>
      <c r="M31" s="244">
        <f t="shared" si="3"/>
        <v>-30058323</v>
      </c>
      <c r="N31" s="244">
        <f t="shared" si="3"/>
        <v>942536</v>
      </c>
      <c r="O31" s="244">
        <f t="shared" si="3"/>
        <v>-29115787</v>
      </c>
    </row>
    <row r="32" spans="2:15">
      <c r="H32" s="131"/>
      <c r="I32" s="131"/>
      <c r="J32" s="131"/>
      <c r="K32" s="131"/>
      <c r="L32" s="131"/>
      <c r="M32" s="131"/>
      <c r="N32" s="131"/>
      <c r="O32" s="131"/>
    </row>
    <row r="33" spans="1:15">
      <c r="A33" s="8"/>
      <c r="B33" s="8"/>
      <c r="C33" s="8"/>
      <c r="D33" s="8"/>
      <c r="E33" s="8"/>
      <c r="G33" s="8" t="s">
        <v>25</v>
      </c>
      <c r="H33" s="153"/>
      <c r="I33" s="153"/>
      <c r="J33" s="153"/>
      <c r="K33" s="153"/>
      <c r="L33" s="153"/>
      <c r="M33" s="131"/>
      <c r="N33" s="131"/>
      <c r="O33" s="131"/>
    </row>
    <row r="34" spans="1:15">
      <c r="A34" s="8"/>
      <c r="B34" s="8"/>
      <c r="C34" s="8"/>
      <c r="D34" s="8"/>
      <c r="E34" s="8"/>
      <c r="G34" s="8"/>
      <c r="H34" s="158" t="s">
        <v>26</v>
      </c>
      <c r="I34" s="153"/>
      <c r="J34" s="153"/>
      <c r="K34" s="153"/>
      <c r="L34" s="153"/>
      <c r="M34" s="131"/>
      <c r="N34" s="131"/>
      <c r="O34" s="131"/>
    </row>
    <row r="35" spans="1:15">
      <c r="H35" s="131"/>
      <c r="I35" s="131" t="s">
        <v>73</v>
      </c>
      <c r="J35" s="131"/>
      <c r="K35" s="131"/>
      <c r="L35" s="131"/>
      <c r="M35" s="159">
        <v>14172204</v>
      </c>
      <c r="N35" s="155"/>
      <c r="O35" s="155">
        <f t="shared" ref="O35:O43" si="4">SUM(M35:N35)</f>
        <v>14172204</v>
      </c>
    </row>
    <row r="36" spans="1:15">
      <c r="H36" s="131"/>
      <c r="I36" s="131" t="s">
        <v>128</v>
      </c>
      <c r="J36" s="131"/>
      <c r="K36" s="131"/>
      <c r="L36" s="131"/>
      <c r="M36" s="138">
        <v>15605483</v>
      </c>
      <c r="N36" s="155"/>
      <c r="O36" s="155">
        <f t="shared" si="4"/>
        <v>15605483</v>
      </c>
    </row>
    <row r="37" spans="1:15">
      <c r="H37" s="131"/>
      <c r="I37" s="131" t="s">
        <v>147</v>
      </c>
      <c r="J37" s="131"/>
      <c r="K37" s="131"/>
      <c r="L37" s="131"/>
      <c r="M37" s="138">
        <v>4207854</v>
      </c>
      <c r="N37" s="155"/>
      <c r="O37" s="155">
        <f t="shared" si="4"/>
        <v>4207854</v>
      </c>
    </row>
    <row r="38" spans="1:15">
      <c r="H38" s="131"/>
      <c r="I38" s="131" t="s">
        <v>148</v>
      </c>
      <c r="J38" s="131"/>
      <c r="K38" s="131"/>
      <c r="L38" s="131"/>
      <c r="M38" s="138">
        <v>406106</v>
      </c>
      <c r="N38" s="155"/>
      <c r="O38" s="155">
        <f t="shared" si="4"/>
        <v>406106</v>
      </c>
    </row>
    <row r="39" spans="1:15">
      <c r="H39" s="131"/>
      <c r="I39" s="131" t="s">
        <v>111</v>
      </c>
      <c r="J39" s="131"/>
      <c r="K39" s="131"/>
      <c r="L39" s="131"/>
      <c r="M39" s="139">
        <v>1164826</v>
      </c>
      <c r="N39" s="155"/>
      <c r="O39" s="155">
        <f t="shared" si="4"/>
        <v>1164826</v>
      </c>
    </row>
    <row r="40" spans="1:15">
      <c r="H40" s="131" t="s">
        <v>77</v>
      </c>
      <c r="I40" s="131"/>
      <c r="J40" s="131"/>
      <c r="K40" s="131"/>
      <c r="L40" s="131"/>
      <c r="M40" s="160">
        <v>39676</v>
      </c>
      <c r="N40" s="155">
        <v>855</v>
      </c>
      <c r="O40" s="155">
        <f t="shared" si="4"/>
        <v>40531</v>
      </c>
    </row>
    <row r="41" spans="1:15">
      <c r="H41" s="131" t="s">
        <v>75</v>
      </c>
      <c r="I41" s="131"/>
      <c r="J41" s="131"/>
      <c r="K41" s="131"/>
      <c r="L41" s="131"/>
      <c r="M41" s="161">
        <v>650991</v>
      </c>
      <c r="N41" s="155"/>
      <c r="O41" s="155">
        <f t="shared" si="4"/>
        <v>650991</v>
      </c>
    </row>
    <row r="42" spans="1:15">
      <c r="H42" s="131" t="s">
        <v>36</v>
      </c>
      <c r="I42" s="131"/>
      <c r="J42" s="131"/>
      <c r="K42" s="131"/>
      <c r="L42" s="131"/>
      <c r="M42" s="160">
        <v>2562419</v>
      </c>
      <c r="N42" s="155">
        <v>2879</v>
      </c>
      <c r="O42" s="155">
        <f t="shared" si="4"/>
        <v>2565298</v>
      </c>
    </row>
    <row r="43" spans="1:15">
      <c r="H43" s="131" t="s">
        <v>37</v>
      </c>
      <c r="I43" s="131"/>
      <c r="J43" s="131"/>
      <c r="K43" s="131"/>
      <c r="L43" s="131"/>
      <c r="M43" s="132">
        <v>161824</v>
      </c>
      <c r="N43" s="155">
        <v>-161824</v>
      </c>
      <c r="O43" s="155">
        <f t="shared" si="4"/>
        <v>0</v>
      </c>
    </row>
    <row r="44" spans="1:15">
      <c r="H44" s="131"/>
      <c r="I44" s="131"/>
      <c r="J44" s="131"/>
      <c r="K44" s="131"/>
      <c r="L44" s="131"/>
      <c r="M44" s="131"/>
      <c r="N44" s="131"/>
      <c r="O44" s="131"/>
    </row>
    <row r="45" spans="1:15">
      <c r="H45" s="143" t="s">
        <v>38</v>
      </c>
      <c r="I45" s="143"/>
      <c r="J45" s="143"/>
      <c r="K45" s="143"/>
      <c r="L45" s="143"/>
      <c r="M45" s="246">
        <v>38691383</v>
      </c>
      <c r="N45" s="246">
        <f>SUM(N35:N43)</f>
        <v>-158090</v>
      </c>
      <c r="O45" s="246">
        <f>SUM(O35:O43)</f>
        <v>38813293</v>
      </c>
    </row>
    <row r="46" spans="1:15">
      <c r="H46" s="131"/>
      <c r="I46" s="131"/>
      <c r="J46" s="131"/>
      <c r="K46" s="131"/>
      <c r="L46" s="131"/>
      <c r="M46" s="131"/>
      <c r="N46" s="131"/>
      <c r="O46" s="131"/>
    </row>
    <row r="47" spans="1:15">
      <c r="H47" s="143" t="s">
        <v>39</v>
      </c>
      <c r="I47" s="143"/>
      <c r="J47" s="143"/>
      <c r="K47" s="143"/>
      <c r="L47" s="143"/>
      <c r="M47" s="143">
        <f>M45+M31</f>
        <v>8633060</v>
      </c>
      <c r="N47" s="143">
        <f>N45+N31</f>
        <v>784446</v>
      </c>
      <c r="O47" s="143">
        <f>SUM(M47:N47)</f>
        <v>9417506</v>
      </c>
    </row>
    <row r="48" spans="1:15">
      <c r="H48" s="162"/>
      <c r="I48" s="162"/>
      <c r="J48" s="162"/>
      <c r="K48" s="162"/>
      <c r="L48" s="162"/>
      <c r="M48" s="162"/>
      <c r="N48" s="162"/>
      <c r="O48" s="162"/>
    </row>
    <row r="49" spans="5:15">
      <c r="E49" s="31" t="s">
        <v>67</v>
      </c>
      <c r="F49" s="31"/>
      <c r="G49" s="31"/>
      <c r="H49" s="163"/>
      <c r="I49" s="164"/>
      <c r="J49" s="164"/>
      <c r="K49" s="163"/>
      <c r="L49" s="163"/>
      <c r="M49" s="165">
        <v>273279268</v>
      </c>
      <c r="N49" s="165">
        <v>1951163</v>
      </c>
      <c r="O49" s="165">
        <f>SUM(M49:N49)</f>
        <v>275230431</v>
      </c>
    </row>
    <row r="50" spans="5:15">
      <c r="H50" s="131"/>
      <c r="I50" s="131"/>
      <c r="J50" s="131"/>
      <c r="K50" s="131"/>
      <c r="L50" s="131"/>
      <c r="M50" s="131"/>
      <c r="N50" s="131"/>
      <c r="O50" s="131"/>
    </row>
    <row r="51" spans="5:15">
      <c r="E51" s="34" t="s">
        <v>44</v>
      </c>
      <c r="F51" s="34"/>
      <c r="G51" s="34"/>
      <c r="H51" s="166"/>
      <c r="I51" s="167"/>
      <c r="J51" s="167"/>
      <c r="K51" s="166"/>
      <c r="L51" s="166"/>
      <c r="M51" s="168">
        <f>SUM(M47,M49)</f>
        <v>281912328</v>
      </c>
      <c r="N51" s="168">
        <f>N49+N47</f>
        <v>2735609</v>
      </c>
      <c r="O51" s="168">
        <f>O49+O47</f>
        <v>284647937</v>
      </c>
    </row>
    <row r="52" spans="5:15">
      <c r="H52" s="131"/>
      <c r="I52" s="131"/>
      <c r="J52" s="131"/>
      <c r="K52" s="131"/>
      <c r="L52" s="131"/>
      <c r="M52" s="131"/>
      <c r="N52" s="131"/>
      <c r="O52" s="131"/>
    </row>
    <row r="53" spans="5:15">
      <c r="M53" t="s">
        <v>149</v>
      </c>
    </row>
    <row r="58" spans="5:15">
      <c r="K58" s="9"/>
      <c r="L58" s="9"/>
      <c r="M58" s="9"/>
      <c r="N58" s="9"/>
      <c r="O58" s="9"/>
    </row>
  </sheetData>
  <mergeCells count="5">
    <mergeCell ref="J1:M1"/>
    <mergeCell ref="J2:M2"/>
    <mergeCell ref="M4:O4"/>
    <mergeCell ref="J5:L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67"/>
  <sheetViews>
    <sheetView topLeftCell="A34" workbookViewId="0">
      <selection activeCell="M60" sqref="M60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8.28515625" customWidth="1"/>
    <col min="14" max="14" width="18.42578125" customWidth="1"/>
  </cols>
  <sheetData>
    <row r="1" spans="1:14" ht="30" customHeight="1">
      <c r="J1" s="1" t="s">
        <v>150</v>
      </c>
      <c r="K1" s="1"/>
      <c r="L1" s="1"/>
      <c r="M1" s="1"/>
      <c r="N1" s="170"/>
    </row>
    <row r="2" spans="1:14" ht="21.75" customHeight="1">
      <c r="J2" s="259" t="s">
        <v>1</v>
      </c>
      <c r="K2" s="259"/>
      <c r="L2" s="259"/>
      <c r="M2" s="259"/>
      <c r="N2" s="171"/>
    </row>
    <row r="3" spans="1:14" ht="18.75" customHeight="1">
      <c r="E3" s="3"/>
      <c r="F3" s="3"/>
      <c r="G3" s="3"/>
      <c r="H3" s="3"/>
      <c r="I3" s="3"/>
      <c r="J3" s="3"/>
      <c r="K3" s="3"/>
      <c r="L3" s="3"/>
    </row>
    <row r="4" spans="1:14" ht="30.75" customHeight="1">
      <c r="E4" s="2"/>
      <c r="M4" s="260" t="s">
        <v>97</v>
      </c>
      <c r="N4" s="260"/>
    </row>
    <row r="5" spans="1:14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4"/>
      <c r="N5" s="264"/>
    </row>
    <row r="6" spans="1:14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151</v>
      </c>
      <c r="N6" s="6" t="s">
        <v>12</v>
      </c>
    </row>
    <row r="7" spans="1:14" ht="30.75" customHeight="1">
      <c r="A7" s="8" t="s">
        <v>13</v>
      </c>
      <c r="I7" s="9"/>
      <c r="J7" s="9"/>
      <c r="K7" s="9"/>
      <c r="L7" s="9"/>
    </row>
    <row r="8" spans="1:14">
      <c r="B8" s="10" t="s">
        <v>14</v>
      </c>
      <c r="I8" s="9"/>
      <c r="J8" s="9"/>
      <c r="K8" s="9"/>
      <c r="L8" s="9"/>
      <c r="M8" s="9"/>
      <c r="N8" s="9"/>
    </row>
    <row r="9" spans="1:14">
      <c r="B9" s="10"/>
      <c r="C9" t="s">
        <v>15</v>
      </c>
      <c r="I9" s="111">
        <v>-16327879</v>
      </c>
      <c r="J9" s="9">
        <v>2657856</v>
      </c>
      <c r="K9" s="9">
        <v>109667</v>
      </c>
      <c r="L9" s="9">
        <v>28220</v>
      </c>
      <c r="M9" s="9">
        <f>SUM(I9:L9)</f>
        <v>-13532136</v>
      </c>
      <c r="N9" s="9"/>
    </row>
    <row r="10" spans="1:14">
      <c r="C10" t="s">
        <v>152</v>
      </c>
      <c r="H10" s="12"/>
      <c r="I10" s="107">
        <v>-21190633</v>
      </c>
      <c r="J10" s="12">
        <v>31019</v>
      </c>
      <c r="K10" s="12">
        <v>1335382</v>
      </c>
      <c r="L10" s="12"/>
      <c r="M10" s="12">
        <f>SUM(I10:L10)</f>
        <v>-19824232</v>
      </c>
      <c r="N10" s="12"/>
    </row>
    <row r="11" spans="1:14">
      <c r="C11" t="s">
        <v>19</v>
      </c>
      <c r="H11" s="12"/>
      <c r="I11" s="15">
        <v>-14409692</v>
      </c>
      <c r="J11" s="12">
        <v>162137</v>
      </c>
      <c r="K11" s="12">
        <v>11280586</v>
      </c>
      <c r="L11" s="12"/>
      <c r="M11" s="12">
        <f>SUM(I11:L11)</f>
        <v>-2966969</v>
      </c>
      <c r="N11" s="12"/>
    </row>
    <row r="12" spans="1:14">
      <c r="C12" t="s">
        <v>153</v>
      </c>
      <c r="H12" s="12"/>
      <c r="I12" s="14">
        <v>-25884621</v>
      </c>
      <c r="J12" s="12">
        <v>572258</v>
      </c>
      <c r="K12" s="12">
        <v>2180422</v>
      </c>
      <c r="L12" s="12">
        <v>835032</v>
      </c>
      <c r="M12" s="12">
        <f>SUM(I12:L12)</f>
        <v>-22296909</v>
      </c>
      <c r="N12" s="12"/>
    </row>
    <row r="13" spans="1:14">
      <c r="C13" t="s">
        <v>154</v>
      </c>
      <c r="H13" s="12"/>
      <c r="I13" s="107">
        <v>-6222969</v>
      </c>
      <c r="J13" s="12"/>
      <c r="K13" s="12">
        <v>114800</v>
      </c>
      <c r="L13" s="12"/>
      <c r="M13" s="12">
        <f>SUM(I13:K13)</f>
        <v>-6108169</v>
      </c>
      <c r="N13" s="12"/>
    </row>
    <row r="14" spans="1:14">
      <c r="C14" t="s">
        <v>52</v>
      </c>
      <c r="H14" s="12"/>
      <c r="I14" s="107">
        <v>-2290081</v>
      </c>
      <c r="J14" s="12"/>
      <c r="K14" s="12"/>
      <c r="L14" s="12"/>
      <c r="M14" s="12">
        <f>SUM(I14:K14)</f>
        <v>-2290081</v>
      </c>
      <c r="N14" s="12"/>
    </row>
    <row r="15" spans="1:14">
      <c r="C15" t="s">
        <v>20</v>
      </c>
      <c r="H15" s="12"/>
      <c r="I15" s="16">
        <v>-15171125</v>
      </c>
      <c r="J15" s="12">
        <v>102387</v>
      </c>
      <c r="K15" s="12">
        <v>425638</v>
      </c>
      <c r="L15" s="12"/>
      <c r="M15" s="12">
        <f>SUM(I15:K15)</f>
        <v>-14643100</v>
      </c>
      <c r="N15" s="12"/>
    </row>
    <row r="16" spans="1:14">
      <c r="C16" t="s">
        <v>71</v>
      </c>
      <c r="H16" s="12"/>
      <c r="I16" s="102">
        <v>-4153012</v>
      </c>
      <c r="J16" s="12"/>
      <c r="K16" s="12">
        <v>73955</v>
      </c>
      <c r="L16" s="12"/>
      <c r="M16" s="12">
        <f>SUM(I16:K16)</f>
        <v>-4079057</v>
      </c>
      <c r="N16" s="12"/>
    </row>
    <row r="17" spans="1:14">
      <c r="C17" t="s">
        <v>155</v>
      </c>
      <c r="H17" s="12"/>
      <c r="I17" s="98">
        <v>-1515768</v>
      </c>
      <c r="J17" s="12"/>
      <c r="K17" s="12"/>
      <c r="L17" s="12"/>
      <c r="M17" s="12">
        <f>SUM(I17:K17)</f>
        <v>-1515768</v>
      </c>
      <c r="N17" s="12"/>
    </row>
    <row r="18" spans="1:14">
      <c r="H18" s="12"/>
      <c r="I18" s="12"/>
      <c r="J18" s="12"/>
      <c r="K18" s="12"/>
      <c r="L18" s="12"/>
      <c r="M18" s="12"/>
      <c r="N18" s="12"/>
    </row>
    <row r="19" spans="1:14">
      <c r="E19" s="19" t="s">
        <v>22</v>
      </c>
      <c r="F19" s="19"/>
      <c r="G19" s="19"/>
      <c r="H19" s="20"/>
      <c r="I19" s="20">
        <f>SUM(I9:I17)</f>
        <v>-107165780</v>
      </c>
      <c r="J19" s="20">
        <f>SUM(J9:J17)</f>
        <v>3525657</v>
      </c>
      <c r="K19" s="20">
        <f>SUM(K9:K17)</f>
        <v>15520450</v>
      </c>
      <c r="L19" s="20">
        <f>SUM(L9:L17)</f>
        <v>863252</v>
      </c>
      <c r="M19" s="91">
        <f>SUM(M9:M17)</f>
        <v>-87256421</v>
      </c>
      <c r="N19" s="91"/>
    </row>
    <row r="20" spans="1:14">
      <c r="E20" s="8"/>
      <c r="F20" s="8"/>
      <c r="G20" s="8"/>
      <c r="H20" s="26"/>
      <c r="I20" s="26"/>
      <c r="J20" s="26"/>
      <c r="K20" s="26"/>
      <c r="L20" s="26"/>
      <c r="M20" s="26"/>
      <c r="N20" s="26"/>
    </row>
    <row r="21" spans="1:14">
      <c r="A21" s="10" t="s">
        <v>23</v>
      </c>
      <c r="H21" s="12"/>
      <c r="I21" s="12"/>
      <c r="J21" s="12"/>
      <c r="K21" s="12"/>
      <c r="L21" s="12"/>
      <c r="M21" s="12"/>
      <c r="N21" s="12"/>
    </row>
    <row r="22" spans="1:14">
      <c r="B22" t="s">
        <v>156</v>
      </c>
      <c r="H22" s="12"/>
      <c r="I22" s="12">
        <v>-8462144</v>
      </c>
      <c r="J22" s="12">
        <v>1539156</v>
      </c>
      <c r="K22" s="12">
        <v>6584270</v>
      </c>
      <c r="L22" s="12"/>
      <c r="M22" s="12"/>
      <c r="N22" s="12">
        <f t="shared" ref="N22:N28" si="0">SUM(I22:M22)</f>
        <v>-338718</v>
      </c>
    </row>
    <row r="23" spans="1:14">
      <c r="B23" t="s">
        <v>71</v>
      </c>
      <c r="H23" s="12"/>
      <c r="I23" s="12">
        <v>-6975</v>
      </c>
      <c r="J23" s="12"/>
      <c r="K23" s="12"/>
      <c r="L23" s="12">
        <v>7500000</v>
      </c>
      <c r="M23" s="12"/>
      <c r="N23" s="12">
        <f t="shared" si="0"/>
        <v>7493025</v>
      </c>
    </row>
    <row r="24" spans="1:14">
      <c r="B24" t="s">
        <v>16</v>
      </c>
      <c r="H24" s="12"/>
      <c r="I24" s="12">
        <v>-38053859</v>
      </c>
      <c r="J24" s="12">
        <v>12294218</v>
      </c>
      <c r="K24" s="12"/>
      <c r="L24" s="12"/>
      <c r="M24" s="12"/>
      <c r="N24" s="12">
        <f t="shared" si="0"/>
        <v>-25759641</v>
      </c>
    </row>
    <row r="25" spans="1:14">
      <c r="B25" t="s">
        <v>157</v>
      </c>
      <c r="H25" s="12"/>
      <c r="I25" s="12">
        <v>-10980607</v>
      </c>
      <c r="J25" s="12">
        <v>3013946</v>
      </c>
      <c r="K25" s="12">
        <v>261553</v>
      </c>
      <c r="L25" s="12">
        <v>212526</v>
      </c>
      <c r="M25" s="12"/>
      <c r="N25" s="12">
        <f t="shared" si="0"/>
        <v>-7492582</v>
      </c>
    </row>
    <row r="26" spans="1:14">
      <c r="B26" t="s">
        <v>158</v>
      </c>
      <c r="H26" s="12"/>
      <c r="I26" s="12">
        <v>-1207390</v>
      </c>
      <c r="J26" s="12">
        <v>947869</v>
      </c>
      <c r="K26" s="12"/>
      <c r="L26" s="12"/>
      <c r="M26" s="12"/>
      <c r="N26" s="12">
        <f t="shared" si="0"/>
        <v>-259521</v>
      </c>
    </row>
    <row r="27" spans="1:14">
      <c r="B27" t="s">
        <v>159</v>
      </c>
      <c r="H27" s="12"/>
      <c r="I27" s="12">
        <v>-1901688</v>
      </c>
      <c r="J27" s="12">
        <v>2000218</v>
      </c>
      <c r="K27" s="12"/>
      <c r="L27" s="12"/>
      <c r="M27" s="12"/>
      <c r="N27" s="12">
        <f t="shared" si="0"/>
        <v>98530</v>
      </c>
    </row>
    <row r="28" spans="1:14">
      <c r="B28" t="s">
        <v>160</v>
      </c>
      <c r="H28" s="12"/>
      <c r="I28" s="12">
        <v>-16701576</v>
      </c>
      <c r="J28" s="12">
        <v>14603792</v>
      </c>
      <c r="K28" s="12">
        <v>1377931</v>
      </c>
      <c r="L28" s="12">
        <v>296277</v>
      </c>
      <c r="M28" s="12"/>
      <c r="N28" s="12">
        <f t="shared" si="0"/>
        <v>-423576</v>
      </c>
    </row>
    <row r="29" spans="1:14">
      <c r="H29" s="12"/>
      <c r="I29" s="12"/>
      <c r="J29" s="12"/>
      <c r="K29" s="12"/>
      <c r="L29" s="12"/>
      <c r="M29" s="12"/>
      <c r="N29" s="12"/>
    </row>
    <row r="30" spans="1:14">
      <c r="E30" s="19" t="s">
        <v>92</v>
      </c>
      <c r="F30" s="19"/>
      <c r="G30" s="19"/>
      <c r="H30" s="20"/>
      <c r="I30" s="20">
        <f t="shared" ref="I30:N30" si="1">SUM(I22:I28)</f>
        <v>-77314239</v>
      </c>
      <c r="J30" s="20">
        <f t="shared" si="1"/>
        <v>34399199</v>
      </c>
      <c r="K30" s="20">
        <f t="shared" si="1"/>
        <v>8223754</v>
      </c>
      <c r="L30" s="20">
        <f t="shared" si="1"/>
        <v>8008803</v>
      </c>
      <c r="M30" s="91">
        <f t="shared" si="1"/>
        <v>0</v>
      </c>
      <c r="N30" s="91">
        <f t="shared" si="1"/>
        <v>-26682483</v>
      </c>
    </row>
    <row r="31" spans="1:14">
      <c r="H31" s="12"/>
      <c r="I31" s="12"/>
      <c r="J31" s="12"/>
      <c r="K31" s="12"/>
      <c r="L31" s="12"/>
      <c r="M31" s="12"/>
      <c r="N31" s="12"/>
    </row>
    <row r="32" spans="1:14">
      <c r="A32" s="8"/>
      <c r="B32" s="8"/>
      <c r="C32" s="8"/>
      <c r="D32" s="8"/>
      <c r="E32" s="8"/>
      <c r="G32" s="8" t="s">
        <v>25</v>
      </c>
      <c r="H32" s="26"/>
      <c r="I32" s="26"/>
      <c r="J32" s="26"/>
      <c r="K32" s="26"/>
      <c r="L32" s="26"/>
      <c r="M32" s="12"/>
      <c r="N32" s="12"/>
    </row>
    <row r="33" spans="1:14">
      <c r="A33" s="8"/>
      <c r="B33" s="8"/>
      <c r="C33" s="8"/>
      <c r="D33" s="8"/>
      <c r="E33" s="8"/>
      <c r="G33" s="8"/>
      <c r="H33" s="88" t="s">
        <v>26</v>
      </c>
      <c r="I33" s="26"/>
      <c r="J33" s="26"/>
      <c r="K33" s="26"/>
      <c r="L33" s="26"/>
      <c r="M33" s="12"/>
      <c r="N33" s="12"/>
    </row>
    <row r="34" spans="1:14">
      <c r="H34" s="12"/>
      <c r="I34" s="12" t="s">
        <v>132</v>
      </c>
      <c r="J34" s="12"/>
      <c r="K34" s="12"/>
      <c r="L34" s="12"/>
      <c r="M34" s="28">
        <v>55858768</v>
      </c>
      <c r="N34" s="12">
        <v>7938894</v>
      </c>
    </row>
    <row r="35" spans="1:14">
      <c r="H35" s="12"/>
      <c r="I35" s="12" t="s">
        <v>134</v>
      </c>
      <c r="J35" s="12"/>
      <c r="K35" s="12"/>
      <c r="L35" s="12"/>
      <c r="M35" s="28">
        <v>2883688</v>
      </c>
      <c r="N35" s="12"/>
    </row>
    <row r="36" spans="1:14">
      <c r="H36" s="12"/>
      <c r="I36" s="12" t="s">
        <v>128</v>
      </c>
      <c r="J36" s="12"/>
      <c r="K36" s="12"/>
      <c r="L36" s="12"/>
      <c r="M36" s="14">
        <v>9544058</v>
      </c>
      <c r="N36" s="12">
        <v>15696184</v>
      </c>
    </row>
    <row r="37" spans="1:14">
      <c r="H37" s="12"/>
      <c r="I37" s="12" t="s">
        <v>148</v>
      </c>
      <c r="J37" s="12"/>
      <c r="K37" s="12"/>
      <c r="L37" s="12"/>
      <c r="M37" s="14">
        <v>213429</v>
      </c>
      <c r="N37" s="12"/>
    </row>
    <row r="38" spans="1:14">
      <c r="H38" s="12"/>
      <c r="I38" s="12" t="s">
        <v>161</v>
      </c>
      <c r="J38" s="12"/>
      <c r="K38" s="12"/>
      <c r="L38" s="12"/>
      <c r="M38" s="12"/>
      <c r="N38" s="12">
        <v>3873072</v>
      </c>
    </row>
    <row r="39" spans="1:14">
      <c r="H39" s="12" t="s">
        <v>162</v>
      </c>
      <c r="I39" s="12"/>
      <c r="J39" s="12"/>
      <c r="K39" s="12"/>
      <c r="L39" s="12"/>
      <c r="M39" s="12"/>
      <c r="N39" s="12">
        <v>522585</v>
      </c>
    </row>
    <row r="40" spans="1:14">
      <c r="H40" s="12" t="s">
        <v>163</v>
      </c>
      <c r="I40" s="12"/>
      <c r="J40" s="12"/>
      <c r="K40" s="12"/>
      <c r="L40" s="12"/>
      <c r="M40" s="14">
        <v>1924061</v>
      </c>
      <c r="N40" s="12"/>
    </row>
    <row r="41" spans="1:14">
      <c r="H41" s="12" t="s">
        <v>33</v>
      </c>
      <c r="I41" s="12"/>
      <c r="J41" s="12"/>
      <c r="K41" s="12"/>
      <c r="L41" s="12"/>
      <c r="M41" s="11">
        <v>1310860</v>
      </c>
      <c r="N41" s="12"/>
    </row>
    <row r="42" spans="1:14">
      <c r="H42" s="12" t="s">
        <v>164</v>
      </c>
      <c r="I42" s="12"/>
      <c r="J42" s="12"/>
      <c r="K42" s="12"/>
      <c r="L42" s="12"/>
      <c r="M42" s="29">
        <v>1187767</v>
      </c>
      <c r="N42" s="12"/>
    </row>
    <row r="43" spans="1:14">
      <c r="H43" s="12" t="s">
        <v>77</v>
      </c>
      <c r="I43" s="12"/>
      <c r="J43" s="12"/>
      <c r="K43" s="12"/>
      <c r="L43" s="12"/>
      <c r="M43" s="29">
        <v>175458</v>
      </c>
      <c r="N43" s="12">
        <v>137926</v>
      </c>
    </row>
    <row r="44" spans="1:14">
      <c r="H44" s="12" t="s">
        <v>165</v>
      </c>
      <c r="I44" s="12"/>
      <c r="J44" s="12"/>
      <c r="K44" s="12"/>
      <c r="L44" s="12"/>
      <c r="M44" s="12"/>
      <c r="N44" s="12">
        <v>1731328</v>
      </c>
    </row>
    <row r="45" spans="1:14">
      <c r="H45" s="12" t="s">
        <v>166</v>
      </c>
      <c r="I45" s="12"/>
      <c r="J45" s="12"/>
      <c r="K45" s="12"/>
      <c r="L45" s="12"/>
      <c r="M45" s="12"/>
      <c r="N45" s="12">
        <v>214324</v>
      </c>
    </row>
    <row r="46" spans="1:14">
      <c r="H46" s="12" t="s">
        <v>36</v>
      </c>
      <c r="I46" s="12"/>
      <c r="J46" s="12"/>
      <c r="K46" s="12"/>
      <c r="L46" s="12"/>
      <c r="M46" s="29">
        <v>939427</v>
      </c>
      <c r="N46" s="12">
        <v>1894072</v>
      </c>
    </row>
    <row r="47" spans="1:14">
      <c r="H47" s="12"/>
      <c r="I47" s="12"/>
      <c r="J47" s="12"/>
      <c r="K47" s="12"/>
      <c r="L47" s="12"/>
      <c r="M47" s="12"/>
      <c r="N47" s="12"/>
    </row>
    <row r="48" spans="1:14">
      <c r="H48" s="20" t="s">
        <v>38</v>
      </c>
      <c r="I48" s="20"/>
      <c r="J48" s="20"/>
      <c r="K48" s="20"/>
      <c r="L48" s="20"/>
      <c r="M48" s="20">
        <f>SUM(M33:M46)</f>
        <v>74037516</v>
      </c>
      <c r="N48" s="20">
        <f>SUM(N34:N46)</f>
        <v>32008385</v>
      </c>
    </row>
    <row r="49" spans="5:14">
      <c r="H49" s="12"/>
      <c r="I49" s="12"/>
      <c r="J49" s="12"/>
      <c r="K49" s="12"/>
      <c r="L49" s="12"/>
      <c r="M49" s="12"/>
      <c r="N49" s="12"/>
    </row>
    <row r="50" spans="5:14">
      <c r="H50" s="20" t="s">
        <v>39</v>
      </c>
      <c r="I50" s="20"/>
      <c r="J50" s="20"/>
      <c r="K50" s="20"/>
      <c r="L50" s="20"/>
      <c r="M50" s="20">
        <f>M48+M19</f>
        <v>-13218905</v>
      </c>
      <c r="N50" s="20">
        <f>N48+N30</f>
        <v>5325902</v>
      </c>
    </row>
    <row r="51" spans="5:14">
      <c r="H51" s="26"/>
      <c r="I51" s="26"/>
      <c r="J51" s="26"/>
      <c r="K51" s="26"/>
      <c r="L51" s="26"/>
      <c r="M51" s="26"/>
      <c r="N51" s="26"/>
    </row>
    <row r="52" spans="5:14">
      <c r="H52" s="91" t="s">
        <v>167</v>
      </c>
      <c r="I52" s="91"/>
      <c r="J52" s="91"/>
      <c r="K52" s="91"/>
      <c r="L52" s="91"/>
      <c r="M52" s="91">
        <v>369601880</v>
      </c>
      <c r="N52" s="91">
        <v>50670840</v>
      </c>
    </row>
    <row r="53" spans="5:14">
      <c r="H53" s="26"/>
      <c r="I53" s="26"/>
      <c r="J53" s="26"/>
      <c r="K53" s="26"/>
      <c r="L53" s="26"/>
      <c r="M53" s="26"/>
      <c r="N53" s="26"/>
    </row>
    <row r="54" spans="5:14">
      <c r="H54" s="91" t="s">
        <v>168</v>
      </c>
      <c r="I54" s="91"/>
      <c r="J54" s="91"/>
      <c r="K54" s="91"/>
      <c r="L54" s="91"/>
      <c r="M54" s="91"/>
      <c r="N54" s="91">
        <v>34751</v>
      </c>
    </row>
    <row r="55" spans="5:14">
      <c r="H55" s="26"/>
      <c r="I55" s="26"/>
      <c r="J55" s="26"/>
      <c r="K55" s="26"/>
      <c r="L55" s="26"/>
      <c r="M55" s="26"/>
      <c r="N55" s="26"/>
    </row>
    <row r="56" spans="5:14">
      <c r="H56" s="91" t="s">
        <v>42</v>
      </c>
      <c r="I56" s="91"/>
      <c r="J56" s="91"/>
      <c r="K56" s="91"/>
      <c r="L56" s="91"/>
      <c r="M56" s="91">
        <v>-2608226</v>
      </c>
      <c r="N56" s="91">
        <v>40503</v>
      </c>
    </row>
    <row r="57" spans="5:14">
      <c r="H57" s="26"/>
      <c r="I57" s="26"/>
      <c r="J57" s="26"/>
      <c r="K57" s="26"/>
      <c r="L57" s="26"/>
      <c r="M57" s="26"/>
      <c r="N57" s="26"/>
    </row>
    <row r="58" spans="5:14">
      <c r="E58" s="31" t="s">
        <v>169</v>
      </c>
      <c r="F58" s="31"/>
      <c r="G58" s="31"/>
      <c r="H58" s="32"/>
      <c r="I58" s="32"/>
      <c r="J58" s="32"/>
      <c r="K58" s="32"/>
      <c r="L58" s="32"/>
      <c r="M58" s="33">
        <v>366993654</v>
      </c>
      <c r="N58" s="33">
        <v>50746094</v>
      </c>
    </row>
    <row r="59" spans="5:14">
      <c r="H59" s="12"/>
      <c r="I59" s="12"/>
      <c r="J59" s="12"/>
      <c r="K59" s="12"/>
      <c r="L59" s="12"/>
      <c r="M59" s="12"/>
      <c r="N59" s="12"/>
    </row>
    <row r="60" spans="5:14">
      <c r="E60" s="34" t="s">
        <v>44</v>
      </c>
      <c r="F60" s="34"/>
      <c r="G60" s="34"/>
      <c r="H60" s="35"/>
      <c r="I60" s="35"/>
      <c r="J60" s="35"/>
      <c r="K60" s="35"/>
      <c r="L60" s="35"/>
      <c r="M60" s="92">
        <f>SUM(M50,M58)</f>
        <v>353774749</v>
      </c>
      <c r="N60" s="92">
        <f>N58+N50</f>
        <v>56071996</v>
      </c>
    </row>
    <row r="67" spans="11:14">
      <c r="K67" s="9"/>
      <c r="L67" s="9"/>
      <c r="M67" s="9"/>
      <c r="N67" s="9"/>
    </row>
  </sheetData>
  <mergeCells count="4">
    <mergeCell ref="J2:M2"/>
    <mergeCell ref="M4:N4"/>
    <mergeCell ref="M5:N5"/>
    <mergeCell ref="J5:L5"/>
  </mergeCell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2"/>
  <sheetViews>
    <sheetView topLeftCell="A4" workbookViewId="0">
      <selection activeCell="I20" sqref="I20:I21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  <col min="16" max="16" width="14.42578125" customWidth="1"/>
  </cols>
  <sheetData>
    <row r="1" spans="1:16" ht="30" customHeight="1">
      <c r="J1" s="258" t="s">
        <v>170</v>
      </c>
      <c r="K1" s="258"/>
      <c r="L1" s="258"/>
      <c r="M1" s="258"/>
      <c r="N1" s="170"/>
      <c r="O1" s="170"/>
    </row>
    <row r="2" spans="1:16" ht="21.75" customHeight="1">
      <c r="J2" s="259" t="s">
        <v>1</v>
      </c>
      <c r="K2" s="259"/>
      <c r="L2" s="259"/>
      <c r="M2" s="259"/>
      <c r="N2" s="171"/>
      <c r="O2" s="171"/>
    </row>
    <row r="3" spans="1:16" ht="18.75" customHeight="1">
      <c r="E3" s="3"/>
      <c r="F3" s="3"/>
      <c r="G3" s="3"/>
      <c r="H3" s="3"/>
      <c r="I3" s="3"/>
      <c r="J3" s="3"/>
      <c r="K3" s="3"/>
      <c r="L3" s="3"/>
    </row>
    <row r="4" spans="1:16" ht="30.75" customHeight="1">
      <c r="E4" s="2"/>
      <c r="M4" s="260" t="s">
        <v>2</v>
      </c>
      <c r="N4" s="260"/>
      <c r="O4" s="260"/>
      <c r="P4" s="260"/>
    </row>
    <row r="5" spans="1:16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2" t="s">
        <v>5</v>
      </c>
      <c r="N5" s="262"/>
      <c r="O5" s="262"/>
      <c r="P5" s="112"/>
    </row>
    <row r="6" spans="1:16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  <c r="P6" s="90" t="s">
        <v>12</v>
      </c>
    </row>
    <row r="7" spans="1:16" ht="30.75" customHeight="1">
      <c r="A7" s="8" t="s">
        <v>13</v>
      </c>
      <c r="I7" s="9"/>
      <c r="J7" s="9"/>
      <c r="K7" s="9"/>
      <c r="L7" s="9"/>
    </row>
    <row r="8" spans="1:16">
      <c r="B8" s="10" t="s">
        <v>14</v>
      </c>
      <c r="I8" s="9"/>
      <c r="J8" s="9"/>
      <c r="K8" s="9"/>
      <c r="L8" s="9"/>
      <c r="M8" s="9"/>
      <c r="N8" s="9"/>
      <c r="O8" s="9"/>
    </row>
    <row r="9" spans="1:16">
      <c r="C9" t="s">
        <v>15</v>
      </c>
      <c r="H9" s="12"/>
      <c r="I9" s="11">
        <v>-26708294</v>
      </c>
      <c r="J9" s="12">
        <v>10909651</v>
      </c>
      <c r="K9" s="12">
        <v>1697421</v>
      </c>
      <c r="L9" s="12">
        <v>893024</v>
      </c>
      <c r="M9" s="12">
        <f t="shared" ref="M9:M15" si="0">SUM(I9:L9)</f>
        <v>-13208198</v>
      </c>
      <c r="N9" s="12"/>
      <c r="O9" s="12">
        <f t="shared" ref="O9:O15" si="1">SUM(M9:N9)</f>
        <v>-13208198</v>
      </c>
    </row>
    <row r="10" spans="1:16">
      <c r="C10" t="s">
        <v>16</v>
      </c>
      <c r="H10" s="12"/>
      <c r="I10" s="13">
        <v>-14697518</v>
      </c>
      <c r="J10" s="12">
        <v>1164201</v>
      </c>
      <c r="K10" s="12">
        <v>2515578</v>
      </c>
      <c r="L10" s="12"/>
      <c r="M10" s="12">
        <f t="shared" si="0"/>
        <v>-11017739</v>
      </c>
      <c r="N10" s="12"/>
      <c r="O10" s="12">
        <f t="shared" si="1"/>
        <v>-11017739</v>
      </c>
    </row>
    <row r="11" spans="1:16">
      <c r="C11" t="s">
        <v>17</v>
      </c>
      <c r="H11" s="12"/>
      <c r="I11" s="14">
        <v>-36610516</v>
      </c>
      <c r="J11" s="12">
        <v>218293</v>
      </c>
      <c r="K11" s="12">
        <v>4188992</v>
      </c>
      <c r="L11" s="12">
        <v>2805046</v>
      </c>
      <c r="M11" s="12">
        <f t="shared" si="0"/>
        <v>-29398185</v>
      </c>
      <c r="N11" s="12"/>
      <c r="O11" s="12">
        <f t="shared" si="1"/>
        <v>-29398185</v>
      </c>
    </row>
    <row r="12" spans="1:16">
      <c r="C12" t="s">
        <v>52</v>
      </c>
      <c r="H12" s="12"/>
      <c r="I12" s="107">
        <v>-6166860</v>
      </c>
      <c r="J12" s="12">
        <v>240</v>
      </c>
      <c r="K12" s="12"/>
      <c r="L12" s="12"/>
      <c r="M12" s="12">
        <f>SUM(I12:L12)</f>
        <v>-6166620</v>
      </c>
      <c r="N12" s="12"/>
      <c r="O12" s="12">
        <f>SUM(M12:N12)</f>
        <v>-6166620</v>
      </c>
    </row>
    <row r="13" spans="1:16">
      <c r="C13" t="s">
        <v>19</v>
      </c>
      <c r="H13" s="12"/>
      <c r="I13" s="15">
        <v>-14842859</v>
      </c>
      <c r="J13" s="12">
        <v>171434</v>
      </c>
      <c r="K13" s="12">
        <v>7723418</v>
      </c>
      <c r="L13" s="12">
        <v>37210</v>
      </c>
      <c r="M13" s="12">
        <f t="shared" si="0"/>
        <v>-6910797</v>
      </c>
      <c r="N13" s="12"/>
      <c r="O13" s="12">
        <f t="shared" si="1"/>
        <v>-6910797</v>
      </c>
    </row>
    <row r="14" spans="1:16">
      <c r="C14" t="s">
        <v>20</v>
      </c>
      <c r="H14" s="12"/>
      <c r="I14" s="16">
        <v>-13726013</v>
      </c>
      <c r="J14" s="12">
        <v>511155</v>
      </c>
      <c r="K14" s="12">
        <v>32730</v>
      </c>
      <c r="L14" s="12">
        <v>2176242</v>
      </c>
      <c r="M14" s="12">
        <f t="shared" si="0"/>
        <v>-11005886</v>
      </c>
      <c r="N14" s="12"/>
      <c r="O14" s="12">
        <f t="shared" si="1"/>
        <v>-11005886</v>
      </c>
    </row>
    <row r="15" spans="1:16">
      <c r="C15" t="s">
        <v>71</v>
      </c>
      <c r="H15" s="12"/>
      <c r="I15" s="102">
        <v>-16911643</v>
      </c>
      <c r="J15" s="12">
        <v>794458</v>
      </c>
      <c r="K15" s="12">
        <v>87505</v>
      </c>
      <c r="L15" s="12">
        <v>501988</v>
      </c>
      <c r="M15" s="12">
        <f t="shared" si="0"/>
        <v>-15527692</v>
      </c>
      <c r="N15" s="12"/>
      <c r="O15" s="12">
        <f t="shared" si="1"/>
        <v>-15527692</v>
      </c>
    </row>
    <row r="16" spans="1:16">
      <c r="H16" s="12"/>
      <c r="I16" s="12"/>
      <c r="J16" s="12"/>
      <c r="K16" s="12"/>
      <c r="L16" s="12"/>
      <c r="M16" s="12"/>
      <c r="N16" s="12"/>
      <c r="O16" s="12"/>
    </row>
    <row r="17" spans="1:16">
      <c r="E17" s="19" t="s">
        <v>22</v>
      </c>
      <c r="F17" s="19"/>
      <c r="G17" s="19"/>
      <c r="H17" s="20"/>
      <c r="I17" s="20">
        <f>SUM(I9:I15)</f>
        <v>-129663703</v>
      </c>
      <c r="J17" s="20">
        <f>SUM(J9:J15)</f>
        <v>13769432</v>
      </c>
      <c r="K17" s="20">
        <f>SUM(K9:K15)</f>
        <v>16245644</v>
      </c>
      <c r="L17" s="20">
        <f>SUM(L9:L15)</f>
        <v>6413510</v>
      </c>
      <c r="M17" s="91">
        <f>SUM(M9:M15)</f>
        <v>-93235117</v>
      </c>
      <c r="N17" s="91"/>
      <c r="O17" s="91">
        <f>SUM(O9:O15)</f>
        <v>-93235117</v>
      </c>
      <c r="P17" s="93">
        <f>SUM(P9:P15)</f>
        <v>0</v>
      </c>
    </row>
    <row r="18" spans="1:16">
      <c r="E18" s="8"/>
      <c r="F18" s="8"/>
      <c r="G18" s="8"/>
      <c r="H18" s="26"/>
      <c r="I18" s="26"/>
      <c r="J18" s="26"/>
      <c r="K18" s="26"/>
      <c r="L18" s="26"/>
      <c r="M18" s="26"/>
      <c r="N18" s="26"/>
      <c r="O18" s="26"/>
    </row>
    <row r="19" spans="1:16">
      <c r="B19" s="10" t="s">
        <v>84</v>
      </c>
      <c r="E19" s="8"/>
      <c r="F19" s="8"/>
      <c r="G19" s="8"/>
      <c r="H19" s="26"/>
      <c r="I19" s="26"/>
      <c r="J19" s="26"/>
      <c r="K19" s="26"/>
      <c r="L19" s="26"/>
      <c r="M19" s="26"/>
      <c r="N19" s="26"/>
      <c r="O19" s="26"/>
    </row>
    <row r="20" spans="1:16">
      <c r="C20" t="s">
        <v>171</v>
      </c>
      <c r="E20" s="8"/>
      <c r="F20" s="8"/>
      <c r="G20" s="8"/>
      <c r="H20" s="26"/>
      <c r="I20" s="249">
        <v>-1173252</v>
      </c>
      <c r="J20" s="88">
        <v>972811</v>
      </c>
      <c r="K20" s="88"/>
      <c r="L20" s="88"/>
      <c r="M20" s="88"/>
      <c r="N20" s="88">
        <f>SUM(I20:L20)</f>
        <v>-200441</v>
      </c>
      <c r="O20" s="88">
        <f>SUM(M20:N20)</f>
        <v>-200441</v>
      </c>
    </row>
    <row r="21" spans="1:16">
      <c r="C21" t="s">
        <v>172</v>
      </c>
      <c r="E21" s="8"/>
      <c r="F21" s="8"/>
      <c r="G21" s="8"/>
      <c r="H21" s="26"/>
      <c r="I21" s="249">
        <v>-984594</v>
      </c>
      <c r="J21" s="88">
        <v>303496</v>
      </c>
      <c r="K21" s="88"/>
      <c r="L21" s="88"/>
      <c r="M21" s="88"/>
      <c r="N21" s="88">
        <f>SUM(I21:L21)</f>
        <v>-681098</v>
      </c>
      <c r="O21" s="88">
        <f>SUM(M21:N21)</f>
        <v>-681098</v>
      </c>
    </row>
    <row r="22" spans="1:16">
      <c r="E22" s="8"/>
      <c r="F22" s="8"/>
      <c r="G22" s="8"/>
      <c r="H22" s="26"/>
      <c r="I22" s="26"/>
      <c r="J22" s="26"/>
      <c r="K22" s="26"/>
      <c r="L22" s="26"/>
      <c r="M22" s="26"/>
      <c r="N22" s="26"/>
      <c r="O22" s="26"/>
    </row>
    <row r="23" spans="1:16">
      <c r="E23" s="19" t="s">
        <v>173</v>
      </c>
      <c r="F23" s="19"/>
      <c r="G23" s="19"/>
      <c r="H23" s="20"/>
      <c r="I23" s="20">
        <f t="shared" ref="I23:O23" si="2">SUM(I20:I21)</f>
        <v>-2157846</v>
      </c>
      <c r="J23" s="20">
        <f t="shared" si="2"/>
        <v>1276307</v>
      </c>
      <c r="K23" s="20">
        <f t="shared" si="2"/>
        <v>0</v>
      </c>
      <c r="L23" s="20">
        <f t="shared" si="2"/>
        <v>0</v>
      </c>
      <c r="M23" s="91">
        <f t="shared" si="2"/>
        <v>0</v>
      </c>
      <c r="N23" s="91">
        <f t="shared" si="2"/>
        <v>-881539</v>
      </c>
      <c r="O23" s="91">
        <f t="shared" si="2"/>
        <v>-881539</v>
      </c>
      <c r="P23" s="93">
        <f>SUM(P15:P21)</f>
        <v>0</v>
      </c>
    </row>
    <row r="24" spans="1:16">
      <c r="E24" s="8"/>
      <c r="F24" s="8"/>
      <c r="G24" s="8"/>
      <c r="H24" s="26"/>
      <c r="I24" s="26"/>
      <c r="J24" s="26"/>
      <c r="K24" s="26"/>
      <c r="L24" s="26"/>
      <c r="M24" s="26"/>
      <c r="N24" s="26"/>
      <c r="O24" s="26"/>
    </row>
    <row r="25" spans="1:16">
      <c r="E25" s="19" t="s">
        <v>89</v>
      </c>
      <c r="F25" s="19"/>
      <c r="G25" s="19"/>
      <c r="H25" s="20"/>
      <c r="I25" s="20">
        <f>I23+I17</f>
        <v>-131821549</v>
      </c>
      <c r="J25" s="20">
        <f>J23+J17</f>
        <v>15045739</v>
      </c>
      <c r="K25" s="20">
        <f>SUM(K17+K23)</f>
        <v>16245644</v>
      </c>
      <c r="L25" s="20">
        <f>SUM(L17+L23)</f>
        <v>6413510</v>
      </c>
      <c r="M25" s="91">
        <f>M23+M17</f>
        <v>-93235117</v>
      </c>
      <c r="N25" s="91">
        <f>N23+N17</f>
        <v>-881539</v>
      </c>
      <c r="O25" s="91">
        <f>O23+O17</f>
        <v>-94116656</v>
      </c>
      <c r="P25" s="93">
        <f>SUM(P16:P23)</f>
        <v>0</v>
      </c>
    </row>
    <row r="26" spans="1:16">
      <c r="E26" s="8"/>
      <c r="F26" s="8"/>
      <c r="G26" s="8"/>
      <c r="H26" s="26"/>
      <c r="I26" s="26"/>
      <c r="J26" s="26"/>
      <c r="K26" s="26"/>
      <c r="L26" s="26"/>
      <c r="M26" s="26"/>
      <c r="N26" s="26"/>
      <c r="O26" s="26"/>
    </row>
    <row r="27" spans="1:16">
      <c r="A27" s="10" t="s">
        <v>23</v>
      </c>
      <c r="H27" s="12"/>
      <c r="I27" s="12"/>
      <c r="J27" s="12"/>
      <c r="K27" s="12"/>
      <c r="L27" s="12"/>
      <c r="M27" s="12"/>
      <c r="N27" s="12"/>
      <c r="O27" s="12"/>
    </row>
    <row r="28" spans="1:16">
      <c r="B28" t="s">
        <v>174</v>
      </c>
      <c r="H28" s="12"/>
      <c r="I28" s="12">
        <v>-677888</v>
      </c>
      <c r="J28" s="12">
        <v>524104</v>
      </c>
      <c r="K28" s="12"/>
      <c r="L28" s="12"/>
      <c r="M28" s="12"/>
      <c r="N28" s="12"/>
      <c r="O28" s="12"/>
      <c r="P28" s="12">
        <f>SUM(I28:M28)</f>
        <v>-153784</v>
      </c>
    </row>
    <row r="29" spans="1:16">
      <c r="B29" t="s">
        <v>175</v>
      </c>
      <c r="H29" s="12"/>
      <c r="I29" s="12">
        <v>-70501459</v>
      </c>
      <c r="J29" s="12">
        <v>62399171</v>
      </c>
      <c r="K29" s="12">
        <v>23240</v>
      </c>
      <c r="L29" s="12"/>
      <c r="M29" s="12"/>
      <c r="N29" s="12"/>
      <c r="O29" s="12"/>
      <c r="P29" s="12">
        <f>SUM(I29:L29)</f>
        <v>-8079048</v>
      </c>
    </row>
    <row r="30" spans="1:16">
      <c r="B30" t="s">
        <v>176</v>
      </c>
      <c r="H30" s="12"/>
      <c r="I30" s="12">
        <v>-5389452</v>
      </c>
      <c r="J30" s="12">
        <v>2059927</v>
      </c>
      <c r="K30" s="12"/>
      <c r="L30" s="12"/>
      <c r="M30" s="12"/>
      <c r="N30" s="12"/>
      <c r="O30" s="12"/>
      <c r="P30" s="12">
        <f>SUM(I30:L30)</f>
        <v>-3329525</v>
      </c>
    </row>
    <row r="31" spans="1:16">
      <c r="B31" t="s">
        <v>177</v>
      </c>
      <c r="H31" s="12"/>
      <c r="I31" s="12">
        <v>-2568122</v>
      </c>
      <c r="J31" s="12"/>
      <c r="K31" s="12"/>
      <c r="L31" s="12">
        <v>168820</v>
      </c>
      <c r="M31" s="12"/>
      <c r="N31" s="12"/>
      <c r="O31" s="12"/>
      <c r="P31" s="12">
        <f>SUM(I31:L31)</f>
        <v>-2399302</v>
      </c>
    </row>
    <row r="32" spans="1:16">
      <c r="B32" t="s">
        <v>178</v>
      </c>
      <c r="H32" s="12"/>
      <c r="I32" s="12">
        <v>-3844490</v>
      </c>
      <c r="J32" s="12">
        <v>1660328</v>
      </c>
      <c r="K32" s="12">
        <v>381325</v>
      </c>
      <c r="L32" s="12">
        <v>3288118</v>
      </c>
      <c r="M32" s="12"/>
      <c r="N32" s="12"/>
      <c r="O32" s="12"/>
      <c r="P32" s="12">
        <f>SUM(I32:L32)</f>
        <v>1485281</v>
      </c>
    </row>
    <row r="33" spans="1:16">
      <c r="B33" t="s">
        <v>179</v>
      </c>
      <c r="H33" s="12"/>
      <c r="I33" s="12">
        <v>-40655166</v>
      </c>
      <c r="J33" s="12">
        <v>15439370</v>
      </c>
      <c r="K33" s="12">
        <v>7198453</v>
      </c>
      <c r="L33" s="12">
        <v>3190023</v>
      </c>
      <c r="M33" s="12"/>
      <c r="N33" s="12"/>
      <c r="O33" s="12"/>
      <c r="P33" s="12">
        <f>SUM(I33:L33)</f>
        <v>-14827320</v>
      </c>
    </row>
    <row r="34" spans="1:16">
      <c r="H34" s="12"/>
      <c r="I34" s="12"/>
      <c r="J34" s="12"/>
      <c r="K34" s="12"/>
      <c r="L34" s="12"/>
      <c r="M34" s="12"/>
      <c r="N34" s="12"/>
      <c r="O34" s="12"/>
    </row>
    <row r="35" spans="1:16">
      <c r="E35" s="19" t="s">
        <v>92</v>
      </c>
      <c r="F35" s="19"/>
      <c r="G35" s="19"/>
      <c r="H35" s="20"/>
      <c r="I35" s="20">
        <f t="shared" ref="I35:P35" si="3">SUM(I28:I33)</f>
        <v>-123636577</v>
      </c>
      <c r="J35" s="20">
        <f t="shared" si="3"/>
        <v>82082900</v>
      </c>
      <c r="K35" s="20">
        <f t="shared" si="3"/>
        <v>7603018</v>
      </c>
      <c r="L35" s="20">
        <f t="shared" si="3"/>
        <v>6646961</v>
      </c>
      <c r="M35" s="91">
        <f t="shared" si="3"/>
        <v>0</v>
      </c>
      <c r="N35" s="91">
        <f t="shared" si="3"/>
        <v>0</v>
      </c>
      <c r="O35" s="91">
        <f t="shared" si="3"/>
        <v>0</v>
      </c>
      <c r="P35" s="94">
        <f t="shared" si="3"/>
        <v>-27303698</v>
      </c>
    </row>
    <row r="36" spans="1:16">
      <c r="H36" s="12"/>
      <c r="I36" s="12"/>
      <c r="J36" s="12"/>
      <c r="K36" s="12"/>
      <c r="L36" s="12"/>
      <c r="M36" s="12"/>
      <c r="N36" s="12"/>
      <c r="O36" s="12"/>
    </row>
    <row r="37" spans="1:16">
      <c r="A37" s="8"/>
      <c r="B37" s="8"/>
      <c r="C37" s="8"/>
      <c r="D37" s="8"/>
      <c r="E37" s="8"/>
      <c r="G37" s="8" t="s">
        <v>25</v>
      </c>
      <c r="H37" s="26"/>
      <c r="I37" s="26"/>
      <c r="J37" s="26"/>
      <c r="K37" s="26"/>
      <c r="L37" s="26"/>
      <c r="M37" s="12"/>
      <c r="N37" s="12"/>
      <c r="O37" s="12"/>
    </row>
    <row r="38" spans="1:16">
      <c r="A38" s="8"/>
      <c r="B38" s="8"/>
      <c r="C38" s="8"/>
      <c r="D38" s="8"/>
      <c r="E38" s="8"/>
      <c r="G38" s="8"/>
      <c r="H38" s="88" t="s">
        <v>26</v>
      </c>
      <c r="I38" s="26"/>
      <c r="J38" s="26"/>
      <c r="K38" s="26"/>
      <c r="L38" s="26"/>
      <c r="M38" s="12"/>
      <c r="N38" s="12"/>
      <c r="O38" s="12"/>
    </row>
    <row r="39" spans="1:16">
      <c r="H39" s="12"/>
      <c r="I39" s="12" t="s">
        <v>27</v>
      </c>
      <c r="J39" s="12"/>
      <c r="K39" s="12"/>
      <c r="L39" s="12"/>
      <c r="M39" s="28">
        <v>47011753</v>
      </c>
      <c r="N39" s="12">
        <v>339531</v>
      </c>
      <c r="O39" s="12">
        <f t="shared" ref="O39:O47" si="4">SUM(M39:N39)</f>
        <v>47351284</v>
      </c>
      <c r="P39" s="12">
        <v>41602575</v>
      </c>
    </row>
    <row r="40" spans="1:16">
      <c r="H40" s="12"/>
      <c r="I40" s="12" t="s">
        <v>28</v>
      </c>
      <c r="J40" s="12"/>
      <c r="K40" s="12"/>
      <c r="L40" s="12"/>
      <c r="M40" s="14">
        <v>38649679</v>
      </c>
      <c r="N40" s="12"/>
      <c r="O40" s="12">
        <f t="shared" si="4"/>
        <v>38649679</v>
      </c>
      <c r="P40" s="12"/>
    </row>
    <row r="41" spans="1:16">
      <c r="H41" s="12"/>
      <c r="I41" s="12" t="s">
        <v>180</v>
      </c>
      <c r="J41" s="12"/>
      <c r="K41" s="12"/>
      <c r="L41" s="12"/>
      <c r="M41" s="14">
        <v>957265</v>
      </c>
      <c r="N41" s="12"/>
      <c r="O41" s="12">
        <f t="shared" si="4"/>
        <v>957265</v>
      </c>
      <c r="P41" s="12"/>
    </row>
    <row r="42" spans="1:16">
      <c r="H42" s="12" t="s">
        <v>181</v>
      </c>
      <c r="I42" s="12"/>
      <c r="J42" s="12"/>
      <c r="K42" s="12"/>
      <c r="L42" s="12"/>
      <c r="M42" s="14">
        <v>11424986</v>
      </c>
      <c r="N42" s="12"/>
      <c r="O42" s="12">
        <f t="shared" si="4"/>
        <v>11424986</v>
      </c>
      <c r="P42" s="12"/>
    </row>
    <row r="43" spans="1:16">
      <c r="H43" s="12" t="s">
        <v>33</v>
      </c>
      <c r="I43" s="12"/>
      <c r="J43" s="12"/>
      <c r="K43" s="12"/>
      <c r="L43" s="12"/>
      <c r="M43" s="11">
        <v>2654935</v>
      </c>
      <c r="N43" s="12"/>
      <c r="O43" s="12">
        <f t="shared" si="4"/>
        <v>2654935</v>
      </c>
      <c r="P43" s="12">
        <v>726870</v>
      </c>
    </row>
    <row r="44" spans="1:16">
      <c r="H44" s="12" t="s">
        <v>77</v>
      </c>
      <c r="I44" s="12"/>
      <c r="J44" s="12"/>
      <c r="K44" s="12"/>
      <c r="L44" s="12"/>
      <c r="M44" s="29">
        <v>49857</v>
      </c>
      <c r="N44" s="12">
        <v>8615</v>
      </c>
      <c r="O44" s="12">
        <f t="shared" si="4"/>
        <v>58472</v>
      </c>
      <c r="P44">
        <v>132952</v>
      </c>
    </row>
    <row r="45" spans="1:16">
      <c r="H45" s="12" t="s">
        <v>95</v>
      </c>
      <c r="I45" s="12"/>
      <c r="J45" s="12"/>
      <c r="K45" s="12"/>
      <c r="L45" s="12"/>
      <c r="M45" s="29">
        <v>229681</v>
      </c>
      <c r="N45" s="12"/>
      <c r="O45" s="12">
        <f t="shared" si="4"/>
        <v>229681</v>
      </c>
      <c r="P45" s="9">
        <v>44048</v>
      </c>
    </row>
    <row r="46" spans="1:16">
      <c r="H46" s="12" t="s">
        <v>36</v>
      </c>
      <c r="I46" s="12"/>
      <c r="J46" s="12"/>
      <c r="K46" s="12"/>
      <c r="L46" s="12"/>
      <c r="M46" s="29">
        <v>82419</v>
      </c>
      <c r="N46" s="12">
        <v>22002</v>
      </c>
      <c r="O46" s="12">
        <f t="shared" si="4"/>
        <v>104421</v>
      </c>
      <c r="P46" s="9">
        <v>4126937</v>
      </c>
    </row>
    <row r="47" spans="1:16">
      <c r="H47" s="12" t="s">
        <v>37</v>
      </c>
      <c r="I47" s="12"/>
      <c r="J47" s="12"/>
      <c r="K47" s="12"/>
      <c r="L47" s="12"/>
      <c r="M47" s="97">
        <v>-263947</v>
      </c>
      <c r="N47" s="12">
        <v>263947</v>
      </c>
      <c r="O47" s="12">
        <f t="shared" si="4"/>
        <v>0</v>
      </c>
      <c r="P47" s="9"/>
    </row>
    <row r="48" spans="1:16">
      <c r="H48" s="12"/>
      <c r="I48" s="12"/>
      <c r="J48" s="12"/>
      <c r="K48" s="12"/>
      <c r="L48" s="12"/>
      <c r="M48" s="12"/>
      <c r="N48" s="12"/>
      <c r="O48" s="12"/>
    </row>
    <row r="49" spans="5:16">
      <c r="H49" s="20" t="s">
        <v>38</v>
      </c>
      <c r="I49" s="20"/>
      <c r="J49" s="20"/>
      <c r="K49" s="20"/>
      <c r="L49" s="20"/>
      <c r="M49" s="20">
        <f>SUM(M39:M47)</f>
        <v>100796628</v>
      </c>
      <c r="N49" s="20">
        <f>SUM(N39:N47)</f>
        <v>634095</v>
      </c>
      <c r="O49" s="20">
        <f>SUM(O39:O47)</f>
        <v>101430723</v>
      </c>
      <c r="P49" s="93">
        <f>SUM(P39:P46)</f>
        <v>46633382</v>
      </c>
    </row>
    <row r="50" spans="5:16">
      <c r="H50" s="12"/>
      <c r="I50" s="12"/>
      <c r="J50" s="12"/>
      <c r="K50" s="12"/>
      <c r="L50" s="12"/>
      <c r="M50" s="12"/>
      <c r="N50" s="12"/>
      <c r="O50" s="12"/>
    </row>
    <row r="51" spans="5:16">
      <c r="H51" s="20" t="s">
        <v>39</v>
      </c>
      <c r="I51" s="20"/>
      <c r="J51" s="20"/>
      <c r="K51" s="20"/>
      <c r="L51" s="20"/>
      <c r="M51" s="20">
        <f>M49+M25</f>
        <v>7561511</v>
      </c>
      <c r="N51" s="20">
        <f t="shared" ref="N51:O51" si="5">N49+N25</f>
        <v>-247444</v>
      </c>
      <c r="O51" s="20">
        <f t="shared" si="5"/>
        <v>7314067</v>
      </c>
      <c r="P51" s="20">
        <f>P49+P35</f>
        <v>19329684</v>
      </c>
    </row>
    <row r="52" spans="5:16">
      <c r="H52" s="26"/>
      <c r="I52" s="26"/>
      <c r="J52" s="26"/>
      <c r="K52" s="26"/>
      <c r="L52" s="26"/>
      <c r="M52" s="26"/>
      <c r="N52" s="26"/>
      <c r="O52" s="26"/>
    </row>
    <row r="53" spans="5:16">
      <c r="E53" s="31" t="s">
        <v>67</v>
      </c>
      <c r="F53" s="31"/>
      <c r="G53" s="31"/>
      <c r="H53" s="32"/>
      <c r="I53" s="32"/>
      <c r="J53" s="32"/>
      <c r="K53" s="32"/>
      <c r="L53" s="32"/>
      <c r="M53" s="33">
        <v>748695349</v>
      </c>
      <c r="N53" s="33">
        <v>10760427</v>
      </c>
      <c r="O53" s="33">
        <f>SUM(M53:N53)</f>
        <v>759455776</v>
      </c>
      <c r="P53" s="95">
        <v>298255364</v>
      </c>
    </row>
    <row r="54" spans="5:16">
      <c r="H54" s="12"/>
      <c r="I54" s="12"/>
      <c r="J54" s="12"/>
      <c r="K54" s="12"/>
      <c r="L54" s="12"/>
      <c r="M54" s="12"/>
      <c r="N54" s="12"/>
      <c r="O54" s="12"/>
    </row>
    <row r="55" spans="5:16">
      <c r="E55" s="34" t="s">
        <v>44</v>
      </c>
      <c r="F55" s="34"/>
      <c r="G55" s="34"/>
      <c r="H55" s="35"/>
      <c r="I55" s="35"/>
      <c r="J55" s="35"/>
      <c r="K55" s="35"/>
      <c r="L55" s="35"/>
      <c r="M55" s="92">
        <f>SUM(M51,M53)</f>
        <v>756256860</v>
      </c>
      <c r="N55" s="92">
        <f>N53+N51</f>
        <v>10512983</v>
      </c>
      <c r="O55" s="92">
        <f>O53+O51</f>
        <v>766769843</v>
      </c>
      <c r="P55" s="96">
        <f>P53+P51</f>
        <v>317585048</v>
      </c>
    </row>
    <row r="62" spans="5:16">
      <c r="K62" s="9"/>
      <c r="L62" s="9"/>
      <c r="M62" s="9"/>
      <c r="N62" s="9"/>
      <c r="O62" s="9"/>
    </row>
  </sheetData>
  <mergeCells count="5">
    <mergeCell ref="J1:M1"/>
    <mergeCell ref="J2:M2"/>
    <mergeCell ref="M4:P4"/>
    <mergeCell ref="J5:L5"/>
    <mergeCell ref="M5:O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6"/>
  <sheetViews>
    <sheetView topLeftCell="A5" workbookViewId="0">
      <selection activeCell="F15" sqref="F15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</cols>
  <sheetData>
    <row r="1" spans="1:13" ht="30" customHeight="1">
      <c r="J1" s="258" t="s">
        <v>182</v>
      </c>
      <c r="K1" s="258"/>
      <c r="L1" s="258"/>
      <c r="M1" s="258"/>
    </row>
    <row r="2" spans="1:13" ht="21.75" customHeight="1">
      <c r="J2" s="259" t="s">
        <v>1</v>
      </c>
      <c r="K2" s="259"/>
      <c r="L2" s="259"/>
      <c r="M2" s="259"/>
    </row>
    <row r="3" spans="1:13" ht="10.5" customHeight="1">
      <c r="E3" s="3"/>
      <c r="F3" s="3"/>
      <c r="G3" s="3"/>
      <c r="H3" s="3"/>
      <c r="I3" s="3"/>
      <c r="J3" s="3"/>
      <c r="K3" s="3"/>
      <c r="L3" s="3"/>
    </row>
    <row r="4" spans="1:13" ht="42" customHeight="1">
      <c r="E4" s="2"/>
      <c r="M4" s="173"/>
    </row>
    <row r="5" spans="1:13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174"/>
    </row>
    <row r="6" spans="1:13" ht="48.7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113" t="s">
        <v>97</v>
      </c>
    </row>
    <row r="7" spans="1:13" ht="30.75" customHeight="1">
      <c r="A7" s="8" t="s">
        <v>13</v>
      </c>
      <c r="I7" s="9"/>
      <c r="J7" s="9"/>
      <c r="K7" s="9"/>
      <c r="L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C9" t="s">
        <v>15</v>
      </c>
      <c r="H9" s="12"/>
      <c r="I9" s="11">
        <v>-1723572</v>
      </c>
      <c r="J9" s="12">
        <v>173733</v>
      </c>
      <c r="K9" s="12">
        <v>264518</v>
      </c>
      <c r="L9" s="12"/>
      <c r="M9" s="12">
        <f t="shared" ref="M9:M15" si="0">SUM(I9:L9)</f>
        <v>-1285321</v>
      </c>
    </row>
    <row r="10" spans="1:13">
      <c r="C10" t="s">
        <v>16</v>
      </c>
      <c r="H10" s="12"/>
      <c r="I10" s="13">
        <v>-543904</v>
      </c>
      <c r="J10" s="12">
        <v>68978</v>
      </c>
      <c r="K10" s="12">
        <v>222356</v>
      </c>
      <c r="L10" s="12">
        <v>46980</v>
      </c>
      <c r="M10" s="12">
        <f t="shared" si="0"/>
        <v>-205590</v>
      </c>
    </row>
    <row r="11" spans="1:13">
      <c r="C11" t="s">
        <v>17</v>
      </c>
      <c r="H11" s="12"/>
      <c r="I11" s="14">
        <v>-2752221</v>
      </c>
      <c r="J11" s="12"/>
      <c r="K11" s="12">
        <v>1524970</v>
      </c>
      <c r="L11" s="12">
        <v>578014</v>
      </c>
      <c r="M11" s="12">
        <f t="shared" si="0"/>
        <v>-649237</v>
      </c>
    </row>
    <row r="12" spans="1:13">
      <c r="C12" t="s">
        <v>19</v>
      </c>
      <c r="H12" s="12"/>
      <c r="I12" s="15">
        <v>-195994</v>
      </c>
      <c r="J12" s="12"/>
      <c r="K12" s="12"/>
      <c r="L12" s="12"/>
      <c r="M12" s="12">
        <f t="shared" si="0"/>
        <v>-195994</v>
      </c>
    </row>
    <row r="13" spans="1:13">
      <c r="C13" t="s">
        <v>20</v>
      </c>
      <c r="H13" s="12"/>
      <c r="I13" s="16">
        <v>-207512</v>
      </c>
      <c r="J13" s="12">
        <v>16469</v>
      </c>
      <c r="K13" s="12">
        <v>15399</v>
      </c>
      <c r="L13" s="12">
        <v>20670</v>
      </c>
      <c r="M13" s="12">
        <f t="shared" si="0"/>
        <v>-154974</v>
      </c>
    </row>
    <row r="14" spans="1:13">
      <c r="C14" t="s">
        <v>18</v>
      </c>
      <c r="H14" s="12"/>
      <c r="I14" s="102">
        <v>-238412</v>
      </c>
      <c r="J14" s="12"/>
      <c r="K14" s="12"/>
      <c r="L14" s="12"/>
      <c r="M14" s="12">
        <f t="shared" si="0"/>
        <v>-238412</v>
      </c>
    </row>
    <row r="15" spans="1:13">
      <c r="C15" t="s">
        <v>183</v>
      </c>
      <c r="H15" s="12"/>
      <c r="I15" s="114">
        <v>-27853</v>
      </c>
      <c r="J15" s="18">
        <v>3841</v>
      </c>
      <c r="K15" s="18">
        <v>69176</v>
      </c>
      <c r="L15" s="18"/>
      <c r="M15" s="18">
        <f t="shared" si="0"/>
        <v>45164</v>
      </c>
    </row>
    <row r="16" spans="1:13">
      <c r="H16" s="12"/>
      <c r="I16" s="12"/>
      <c r="J16" s="12"/>
      <c r="K16" s="12"/>
      <c r="L16" s="12"/>
      <c r="M16" s="12"/>
    </row>
    <row r="17" spans="1:13">
      <c r="E17" s="19" t="s">
        <v>22</v>
      </c>
      <c r="F17" s="19"/>
      <c r="G17" s="19"/>
      <c r="H17" s="20"/>
      <c r="I17" s="20">
        <f>SUM(I9:I15)</f>
        <v>-5689468</v>
      </c>
      <c r="J17" s="20">
        <f>SUM(J9:J15)</f>
        <v>263021</v>
      </c>
      <c r="K17" s="20">
        <f>SUM(K9:K15)</f>
        <v>2096419</v>
      </c>
      <c r="L17" s="20">
        <f>SUM(L9:L15)</f>
        <v>645664</v>
      </c>
      <c r="M17" s="91">
        <f>SUM(M9:M15)</f>
        <v>-2684364</v>
      </c>
    </row>
    <row r="18" spans="1:13">
      <c r="H18" s="12"/>
      <c r="I18" s="12"/>
      <c r="J18" s="12"/>
      <c r="K18" s="12"/>
      <c r="L18" s="12"/>
      <c r="M18" s="12"/>
    </row>
    <row r="19" spans="1:13">
      <c r="A19" s="8"/>
      <c r="B19" s="8"/>
      <c r="C19" s="8"/>
      <c r="D19" s="8"/>
      <c r="E19" s="8"/>
      <c r="G19" s="8" t="s">
        <v>25</v>
      </c>
      <c r="H19" s="26"/>
      <c r="I19" s="26"/>
      <c r="J19" s="26"/>
      <c r="K19" s="26"/>
      <c r="L19" s="26"/>
      <c r="M19" s="12"/>
    </row>
    <row r="20" spans="1:13">
      <c r="A20" s="8"/>
      <c r="B20" s="8"/>
      <c r="C20" s="8"/>
      <c r="D20" s="8"/>
      <c r="E20" s="8"/>
      <c r="G20" s="8"/>
      <c r="H20" s="88" t="s">
        <v>184</v>
      </c>
      <c r="I20" s="26"/>
      <c r="J20" s="26"/>
      <c r="K20" s="26"/>
      <c r="L20" s="26"/>
      <c r="M20" s="12"/>
    </row>
    <row r="21" spans="1:13">
      <c r="H21" s="12"/>
      <c r="I21" s="12" t="s">
        <v>185</v>
      </c>
      <c r="J21" s="12"/>
      <c r="K21" s="12"/>
      <c r="L21" s="12"/>
      <c r="M21" s="28">
        <v>449958</v>
      </c>
    </row>
    <row r="22" spans="1:13">
      <c r="H22" s="12"/>
      <c r="I22" s="12" t="s">
        <v>17</v>
      </c>
      <c r="J22" s="12"/>
      <c r="K22" s="12"/>
      <c r="L22" s="12"/>
      <c r="M22" s="28">
        <v>510292</v>
      </c>
    </row>
    <row r="23" spans="1:13">
      <c r="H23" s="12"/>
      <c r="I23" s="12" t="s">
        <v>19</v>
      </c>
      <c r="J23" s="12"/>
      <c r="K23" s="12"/>
      <c r="L23" s="12"/>
      <c r="M23" s="28">
        <v>126841</v>
      </c>
    </row>
    <row r="24" spans="1:13">
      <c r="H24" s="12"/>
      <c r="I24" s="12" t="s">
        <v>20</v>
      </c>
      <c r="J24" s="12"/>
      <c r="K24" s="12"/>
      <c r="L24" s="12"/>
      <c r="M24" s="28">
        <v>322042</v>
      </c>
    </row>
    <row r="25" spans="1:13">
      <c r="H25" s="12"/>
      <c r="I25" s="12" t="s">
        <v>18</v>
      </c>
      <c r="J25" s="12"/>
      <c r="K25" s="12"/>
      <c r="L25" s="12"/>
      <c r="M25" s="28">
        <v>326059</v>
      </c>
    </row>
    <row r="26" spans="1:13">
      <c r="H26" s="12" t="s">
        <v>186</v>
      </c>
      <c r="I26" s="12"/>
      <c r="J26" s="12"/>
      <c r="K26" s="12"/>
      <c r="L26" s="12"/>
      <c r="M26" s="12"/>
    </row>
    <row r="27" spans="1:13">
      <c r="H27" s="12"/>
      <c r="I27" s="12" t="s">
        <v>185</v>
      </c>
      <c r="J27" s="12"/>
      <c r="K27" s="12"/>
      <c r="L27" s="12"/>
      <c r="M27" s="14">
        <v>252837</v>
      </c>
    </row>
    <row r="28" spans="1:13">
      <c r="H28" s="12"/>
      <c r="I28" s="12" t="s">
        <v>17</v>
      </c>
      <c r="J28" s="12"/>
      <c r="K28" s="12"/>
      <c r="L28" s="12"/>
      <c r="M28" s="14">
        <v>1603585</v>
      </c>
    </row>
    <row r="29" spans="1:13">
      <c r="H29" s="12" t="s">
        <v>187</v>
      </c>
      <c r="I29" s="12"/>
      <c r="J29" s="12"/>
      <c r="K29" s="12"/>
      <c r="L29" s="12"/>
      <c r="M29" s="15">
        <v>11854</v>
      </c>
    </row>
    <row r="30" spans="1:13">
      <c r="H30" s="12" t="s">
        <v>138</v>
      </c>
      <c r="I30" s="12"/>
      <c r="J30" s="12"/>
      <c r="K30" s="12"/>
      <c r="L30" s="12"/>
      <c r="M30" s="29">
        <v>26586</v>
      </c>
    </row>
    <row r="31" spans="1:13">
      <c r="H31" s="12" t="s">
        <v>188</v>
      </c>
      <c r="I31" s="12"/>
      <c r="J31" s="12"/>
      <c r="K31" s="12"/>
      <c r="L31" s="12"/>
      <c r="M31" s="29">
        <v>9807</v>
      </c>
    </row>
    <row r="32" spans="1:13">
      <c r="H32" s="12"/>
      <c r="I32" s="12"/>
      <c r="J32" s="12"/>
      <c r="K32" s="12"/>
      <c r="L32" s="12"/>
      <c r="M32" s="12"/>
    </row>
    <row r="33" spans="5:13">
      <c r="H33" s="20" t="s">
        <v>38</v>
      </c>
      <c r="I33" s="20"/>
      <c r="J33" s="20"/>
      <c r="K33" s="20"/>
      <c r="L33" s="20"/>
      <c r="M33" s="20">
        <f>SUM(M21:M31)</f>
        <v>3639861</v>
      </c>
    </row>
    <row r="34" spans="5:13">
      <c r="H34" s="12"/>
      <c r="I34" s="12"/>
      <c r="J34" s="12"/>
      <c r="K34" s="12"/>
      <c r="L34" s="12"/>
      <c r="M34" s="12"/>
    </row>
    <row r="35" spans="5:13">
      <c r="H35" s="20" t="s">
        <v>39</v>
      </c>
      <c r="I35" s="20"/>
      <c r="J35" s="20"/>
      <c r="K35" s="20"/>
      <c r="L35" s="20"/>
      <c r="M35" s="20">
        <f>SUM(M17,M33)</f>
        <v>955497</v>
      </c>
    </row>
    <row r="36" spans="5:13">
      <c r="H36" s="26"/>
      <c r="I36" s="26"/>
      <c r="J36" s="26"/>
      <c r="K36" s="26"/>
      <c r="L36" s="26"/>
      <c r="M36" s="26"/>
    </row>
    <row r="37" spans="5:13">
      <c r="E37" s="31" t="s">
        <v>67</v>
      </c>
      <c r="F37" s="31"/>
      <c r="G37" s="31"/>
      <c r="H37" s="32"/>
      <c r="I37" s="32"/>
      <c r="J37" s="32"/>
      <c r="K37" s="32"/>
      <c r="L37" s="32"/>
      <c r="M37" s="33">
        <v>18894603</v>
      </c>
    </row>
    <row r="38" spans="5:13">
      <c r="H38" s="12"/>
      <c r="I38" s="12"/>
      <c r="J38" s="12"/>
      <c r="K38" s="12"/>
      <c r="L38" s="12"/>
      <c r="M38" s="12"/>
    </row>
    <row r="39" spans="5:13">
      <c r="E39" s="34" t="s">
        <v>44</v>
      </c>
      <c r="F39" s="34"/>
      <c r="G39" s="34"/>
      <c r="H39" s="35"/>
      <c r="I39" s="35"/>
      <c r="J39" s="35"/>
      <c r="K39" s="35"/>
      <c r="L39" s="35"/>
      <c r="M39" s="92">
        <f>SUM(M35,M37)</f>
        <v>19850100</v>
      </c>
    </row>
    <row r="46" spans="5:13">
      <c r="K46" s="9"/>
      <c r="L46" s="9"/>
      <c r="M46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54"/>
  <sheetViews>
    <sheetView topLeftCell="A8" workbookViewId="0">
      <selection activeCell="L46" sqref="L46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1" width="19.28515625" customWidth="1"/>
    <col min="12" max="12" width="24" customWidth="1"/>
  </cols>
  <sheetData>
    <row r="1" spans="1:13" ht="27" customHeight="1">
      <c r="I1" s="258" t="s">
        <v>189</v>
      </c>
      <c r="J1" s="258"/>
      <c r="K1" s="258"/>
      <c r="L1" s="258"/>
    </row>
    <row r="2" spans="1:13" ht="18">
      <c r="J2" s="2" t="s">
        <v>1</v>
      </c>
      <c r="K2" s="2"/>
      <c r="L2" s="2"/>
      <c r="M2" s="2"/>
    </row>
    <row r="3" spans="1:13" ht="15.75">
      <c r="E3" s="3"/>
      <c r="F3" s="3"/>
      <c r="G3" s="3"/>
      <c r="H3" s="3"/>
      <c r="I3" s="3"/>
      <c r="J3" s="3"/>
      <c r="K3" s="3"/>
    </row>
    <row r="4" spans="1:13" ht="18">
      <c r="E4" s="2"/>
      <c r="L4" s="173"/>
    </row>
    <row r="5" spans="1:13" ht="42.75">
      <c r="A5" t="s">
        <v>3</v>
      </c>
      <c r="C5" s="4"/>
      <c r="D5" s="4"/>
      <c r="E5" s="4"/>
      <c r="F5" s="4"/>
      <c r="G5" s="4"/>
      <c r="H5" s="4"/>
      <c r="I5" s="4"/>
      <c r="J5" s="260"/>
      <c r="K5" s="260"/>
      <c r="L5" s="113" t="s">
        <v>47</v>
      </c>
    </row>
    <row r="6" spans="1:13" ht="42" customHeight="1">
      <c r="A6" s="5" t="s">
        <v>6</v>
      </c>
      <c r="I6" s="6" t="s">
        <v>7</v>
      </c>
      <c r="J6" s="6" t="s">
        <v>9</v>
      </c>
      <c r="K6" s="6" t="s">
        <v>10</v>
      </c>
      <c r="L6" s="7" t="s">
        <v>48</v>
      </c>
    </row>
    <row r="7" spans="1:13">
      <c r="A7" s="8" t="s">
        <v>13</v>
      </c>
      <c r="I7" s="9"/>
      <c r="J7" s="9"/>
      <c r="K7" s="9"/>
    </row>
    <row r="8" spans="1:13">
      <c r="B8" s="10" t="s">
        <v>14</v>
      </c>
      <c r="I8" s="9"/>
      <c r="J8" s="9"/>
      <c r="K8" s="9"/>
      <c r="L8" s="9"/>
    </row>
    <row r="9" spans="1:13">
      <c r="B9" t="s">
        <v>141</v>
      </c>
      <c r="I9" s="9"/>
      <c r="J9" s="9"/>
      <c r="K9" s="9"/>
      <c r="L9" s="9"/>
    </row>
    <row r="10" spans="1:13">
      <c r="C10" t="s">
        <v>99</v>
      </c>
      <c r="H10" s="12"/>
      <c r="I10" s="97">
        <v>-204907</v>
      </c>
      <c r="J10" s="12"/>
      <c r="K10" s="12"/>
      <c r="L10" s="12">
        <f t="shared" ref="L10:L20" si="0">SUM(I10:K10)</f>
        <v>-204907</v>
      </c>
    </row>
    <row r="11" spans="1:13">
      <c r="C11" t="s">
        <v>100</v>
      </c>
      <c r="H11" s="12"/>
      <c r="I11" s="98">
        <v>-1395672</v>
      </c>
      <c r="J11" s="12"/>
      <c r="K11" s="12"/>
      <c r="L11" s="12">
        <f>SUM(I11:K11)</f>
        <v>-1395672</v>
      </c>
    </row>
    <row r="12" spans="1:13">
      <c r="C12" t="s">
        <v>102</v>
      </c>
      <c r="H12" s="12"/>
      <c r="I12" s="101">
        <v>-222</v>
      </c>
      <c r="J12" s="12"/>
      <c r="K12" s="12"/>
      <c r="L12" s="12">
        <f>SUM(I12:K12)</f>
        <v>-222</v>
      </c>
    </row>
    <row r="13" spans="1:13">
      <c r="C13" t="s">
        <v>143</v>
      </c>
      <c r="H13" s="12"/>
      <c r="I13" s="110">
        <v>-1795846</v>
      </c>
      <c r="J13" s="12">
        <v>124586</v>
      </c>
      <c r="K13" s="12"/>
      <c r="L13" s="12">
        <f>SUM(I13:K13)</f>
        <v>-1671260</v>
      </c>
    </row>
    <row r="14" spans="1:13">
      <c r="C14" t="s">
        <v>190</v>
      </c>
      <c r="H14" s="12"/>
      <c r="I14" s="108">
        <v>-6103072</v>
      </c>
      <c r="J14" s="12"/>
      <c r="K14" s="12"/>
      <c r="L14" s="12">
        <f>SUM(I14:K14)</f>
        <v>-6103072</v>
      </c>
    </row>
    <row r="15" spans="1:13">
      <c r="C15" t="s">
        <v>21</v>
      </c>
      <c r="H15" s="12"/>
      <c r="I15" s="98">
        <v>-328311</v>
      </c>
      <c r="J15" s="12"/>
      <c r="K15" s="12"/>
      <c r="L15" s="12">
        <f>SUM(I15:K15)</f>
        <v>-328311</v>
      </c>
    </row>
    <row r="16" spans="1:13">
      <c r="C16" t="s">
        <v>16</v>
      </c>
      <c r="H16" s="12"/>
      <c r="I16" s="13">
        <v>-1288757</v>
      </c>
      <c r="J16" s="12">
        <v>204251</v>
      </c>
      <c r="K16" s="12">
        <v>4319561</v>
      </c>
      <c r="L16" s="12">
        <f t="shared" si="0"/>
        <v>3235055</v>
      </c>
    </row>
    <row r="17" spans="1:12">
      <c r="C17" t="s">
        <v>17</v>
      </c>
      <c r="H17" s="12"/>
      <c r="I17" s="14">
        <v>-4883639</v>
      </c>
      <c r="J17" s="12">
        <v>100943</v>
      </c>
      <c r="K17" s="12">
        <v>251906</v>
      </c>
      <c r="L17" s="12">
        <f t="shared" si="0"/>
        <v>-4530790</v>
      </c>
    </row>
    <row r="18" spans="1:12">
      <c r="C18" t="s">
        <v>20</v>
      </c>
      <c r="H18" s="12"/>
      <c r="I18" s="16">
        <v>-1289236</v>
      </c>
      <c r="J18" s="12"/>
      <c r="K18" s="12"/>
      <c r="L18" s="12">
        <f t="shared" si="0"/>
        <v>-1289236</v>
      </c>
    </row>
    <row r="19" spans="1:12">
      <c r="C19" t="s">
        <v>19</v>
      </c>
      <c r="H19" s="12"/>
      <c r="I19" s="15">
        <v>-395890</v>
      </c>
      <c r="J19" s="12"/>
      <c r="K19" s="12"/>
      <c r="L19" s="12">
        <f t="shared" si="0"/>
        <v>-395890</v>
      </c>
    </row>
    <row r="20" spans="1:12">
      <c r="C20" t="s">
        <v>71</v>
      </c>
      <c r="H20" s="12"/>
      <c r="I20" s="102">
        <v>-2866511</v>
      </c>
      <c r="J20" s="12">
        <v>13635190</v>
      </c>
      <c r="K20" s="12"/>
      <c r="L20" s="12">
        <f t="shared" si="0"/>
        <v>10768679</v>
      </c>
    </row>
    <row r="21" spans="1:12">
      <c r="H21" s="12"/>
      <c r="I21" s="12"/>
      <c r="J21" s="12"/>
      <c r="K21" s="12"/>
      <c r="L21" s="12"/>
    </row>
    <row r="22" spans="1:12">
      <c r="E22" s="19" t="s">
        <v>22</v>
      </c>
      <c r="F22" s="19"/>
      <c r="G22" s="19"/>
      <c r="H22" s="20"/>
      <c r="I22" s="20">
        <f>SUM(I10:I20)</f>
        <v>-20552063</v>
      </c>
      <c r="J22" s="20">
        <f>SUM(J10:J20)</f>
        <v>14064970</v>
      </c>
      <c r="K22" s="20">
        <f>SUM(K10:K20)</f>
        <v>4571467</v>
      </c>
      <c r="L22" s="91">
        <f>SUM(L10:L20)</f>
        <v>-1915626</v>
      </c>
    </row>
    <row r="23" spans="1:12">
      <c r="H23" s="12"/>
      <c r="I23" s="12"/>
      <c r="J23" s="12"/>
      <c r="K23" s="12"/>
      <c r="L23" s="12"/>
    </row>
    <row r="24" spans="1:12">
      <c r="A24" s="8"/>
      <c r="B24" s="8"/>
      <c r="C24" s="8"/>
      <c r="D24" s="8"/>
      <c r="E24" s="8"/>
      <c r="G24" s="8" t="s">
        <v>25</v>
      </c>
      <c r="H24" s="26"/>
      <c r="I24" s="26"/>
      <c r="J24" s="26"/>
      <c r="K24" s="26"/>
      <c r="L24" s="12"/>
    </row>
    <row r="25" spans="1:12">
      <c r="A25" s="8"/>
      <c r="B25" s="8"/>
      <c r="C25" s="8"/>
      <c r="D25" s="8"/>
      <c r="E25" s="8"/>
      <c r="G25" s="8"/>
      <c r="H25" s="88" t="s">
        <v>26</v>
      </c>
      <c r="I25" s="26"/>
      <c r="J25" s="26"/>
      <c r="K25" s="26"/>
      <c r="L25" s="12"/>
    </row>
    <row r="26" spans="1:12">
      <c r="H26" s="12"/>
      <c r="I26" s="12" t="s">
        <v>116</v>
      </c>
      <c r="J26" s="12"/>
      <c r="K26" s="12"/>
      <c r="L26" s="28">
        <v>6689108</v>
      </c>
    </row>
    <row r="27" spans="1:12">
      <c r="H27" s="12"/>
      <c r="I27" s="12" t="s">
        <v>191</v>
      </c>
      <c r="J27" s="12"/>
      <c r="K27" s="12"/>
      <c r="L27" s="15">
        <v>1099003</v>
      </c>
    </row>
    <row r="28" spans="1:12">
      <c r="H28" s="12" t="s">
        <v>137</v>
      </c>
      <c r="I28" s="12"/>
      <c r="J28" s="12"/>
      <c r="K28" s="12"/>
      <c r="L28" s="29">
        <v>399674</v>
      </c>
    </row>
    <row r="29" spans="1:12">
      <c r="H29" s="12" t="s">
        <v>192</v>
      </c>
      <c r="I29" s="12"/>
      <c r="J29" s="12"/>
      <c r="K29" s="12"/>
      <c r="L29" s="29">
        <v>187131</v>
      </c>
    </row>
    <row r="30" spans="1:12">
      <c r="H30" s="12" t="s">
        <v>193</v>
      </c>
      <c r="I30" s="12"/>
      <c r="J30" s="12"/>
      <c r="K30" s="12"/>
      <c r="L30" s="12"/>
    </row>
    <row r="31" spans="1:12">
      <c r="H31" s="12"/>
      <c r="I31" s="12" t="s">
        <v>194</v>
      </c>
      <c r="J31" s="12"/>
      <c r="K31" s="12"/>
      <c r="L31" s="106">
        <v>5939885</v>
      </c>
    </row>
    <row r="32" spans="1:12">
      <c r="H32" s="12"/>
      <c r="I32" s="12" t="s">
        <v>195</v>
      </c>
      <c r="J32" s="12"/>
      <c r="K32" s="12"/>
      <c r="L32" s="105">
        <v>-639</v>
      </c>
    </row>
    <row r="33" spans="5:12">
      <c r="H33" s="12" t="s">
        <v>196</v>
      </c>
      <c r="I33" s="12"/>
      <c r="J33" s="12"/>
      <c r="K33" s="12"/>
      <c r="L33" s="29">
        <v>151221</v>
      </c>
    </row>
    <row r="34" spans="5:12">
      <c r="H34" s="12" t="s">
        <v>197</v>
      </c>
      <c r="I34" s="12"/>
      <c r="J34" s="12"/>
      <c r="K34" s="12"/>
      <c r="L34" s="29">
        <v>21036</v>
      </c>
    </row>
    <row r="35" spans="5:12">
      <c r="H35" s="12" t="s">
        <v>32</v>
      </c>
      <c r="I35" s="12"/>
      <c r="J35" s="12"/>
      <c r="K35" s="12"/>
      <c r="L35" s="29">
        <v>451353</v>
      </c>
    </row>
    <row r="36" spans="5:12">
      <c r="H36" s="12"/>
      <c r="I36" s="12"/>
      <c r="J36" s="12"/>
      <c r="K36" s="12"/>
      <c r="L36" s="12"/>
    </row>
    <row r="37" spans="5:12">
      <c r="H37" s="20" t="s">
        <v>38</v>
      </c>
      <c r="I37" s="20"/>
      <c r="J37" s="20"/>
      <c r="K37" s="20"/>
      <c r="L37" s="20">
        <f>SUM(L26:L35)</f>
        <v>14937772</v>
      </c>
    </row>
    <row r="38" spans="5:12">
      <c r="H38" s="12"/>
      <c r="I38" s="12"/>
      <c r="J38" s="12"/>
      <c r="K38" s="12"/>
      <c r="L38" s="12"/>
    </row>
    <row r="39" spans="5:12">
      <c r="H39" s="20" t="s">
        <v>39</v>
      </c>
      <c r="I39" s="20"/>
      <c r="J39" s="20"/>
      <c r="K39" s="20"/>
      <c r="L39" s="20">
        <f>SUM(L22,L37)</f>
        <v>13022146</v>
      </c>
    </row>
    <row r="40" spans="5:12">
      <c r="H40" s="26"/>
      <c r="I40" s="26"/>
      <c r="J40" s="26"/>
      <c r="K40" s="26"/>
      <c r="L40" s="26"/>
    </row>
    <row r="41" spans="5:12">
      <c r="H41" s="91" t="s">
        <v>198</v>
      </c>
      <c r="I41" s="91"/>
      <c r="J41" s="91"/>
      <c r="K41" s="91"/>
      <c r="L41" s="91">
        <v>146125596</v>
      </c>
    </row>
    <row r="42" spans="5:12">
      <c r="H42" s="26"/>
      <c r="I42" s="26"/>
      <c r="J42" s="26"/>
      <c r="K42" s="26"/>
      <c r="L42" s="26"/>
    </row>
    <row r="43" spans="5:12">
      <c r="H43" s="91" t="s">
        <v>42</v>
      </c>
      <c r="I43" s="91"/>
      <c r="J43" s="91"/>
      <c r="K43" s="91"/>
      <c r="L43" s="91">
        <v>-12953737</v>
      </c>
    </row>
    <row r="44" spans="5:12">
      <c r="H44" s="26"/>
      <c r="I44" s="26"/>
      <c r="J44" s="26"/>
      <c r="K44" s="26"/>
      <c r="L44" s="26"/>
    </row>
    <row r="45" spans="5:12">
      <c r="E45" s="31" t="s">
        <v>67</v>
      </c>
      <c r="F45" s="31"/>
      <c r="G45" s="31"/>
      <c r="H45" s="32"/>
      <c r="I45" s="32"/>
      <c r="J45" s="32"/>
      <c r="K45" s="32"/>
      <c r="L45" s="33">
        <v>133171859</v>
      </c>
    </row>
    <row r="46" spans="5:12">
      <c r="H46" s="12"/>
      <c r="I46" s="12"/>
      <c r="J46" s="12"/>
      <c r="K46" s="12"/>
      <c r="L46" s="12"/>
    </row>
    <row r="47" spans="5:12">
      <c r="E47" s="34" t="s">
        <v>44</v>
      </c>
      <c r="F47" s="34"/>
      <c r="G47" s="34"/>
      <c r="H47" s="35"/>
      <c r="I47" s="35"/>
      <c r="J47" s="35"/>
      <c r="K47" s="35"/>
      <c r="L47" s="92">
        <f>SUM(L39,L45)</f>
        <v>146194005</v>
      </c>
    </row>
    <row r="54" spans="10:12">
      <c r="J54" s="9"/>
      <c r="K54" s="9"/>
      <c r="L54" s="9"/>
    </row>
  </sheetData>
  <mergeCells count="2">
    <mergeCell ref="J5:K5"/>
    <mergeCell ref="I1:L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2"/>
  <sheetViews>
    <sheetView topLeftCell="A5" workbookViewId="0">
      <selection activeCell="M34" sqref="M34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6.140625" customWidth="1"/>
    <col min="11" max="11" width="18" customWidth="1"/>
    <col min="12" max="12" width="19.28515625" customWidth="1"/>
    <col min="13" max="13" width="24" customWidth="1"/>
  </cols>
  <sheetData>
    <row r="1" spans="1:13" ht="31.5" customHeight="1">
      <c r="J1" s="258" t="s">
        <v>199</v>
      </c>
      <c r="K1" s="258"/>
      <c r="L1" s="258"/>
      <c r="M1" s="258"/>
    </row>
    <row r="2" spans="1:13" ht="18">
      <c r="J2" s="259" t="s">
        <v>1</v>
      </c>
      <c r="K2" s="259"/>
      <c r="L2" s="259"/>
      <c r="M2" s="259"/>
    </row>
    <row r="3" spans="1:13" ht="15.75">
      <c r="E3" s="3"/>
      <c r="F3" s="3"/>
      <c r="G3" s="3"/>
      <c r="H3" s="3"/>
      <c r="I3" s="3"/>
      <c r="J3" s="3"/>
      <c r="K3" s="3"/>
      <c r="L3" s="3"/>
    </row>
    <row r="4" spans="1:13" ht="18">
      <c r="E4" s="2"/>
      <c r="M4" s="173"/>
    </row>
    <row r="5" spans="1:13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174"/>
    </row>
    <row r="6" spans="1:13" ht="42.7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113" t="s">
        <v>97</v>
      </c>
    </row>
    <row r="7" spans="1:13">
      <c r="A7" s="8" t="s">
        <v>13</v>
      </c>
      <c r="I7" s="9"/>
      <c r="J7" s="9"/>
      <c r="K7" s="9"/>
      <c r="L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C9" t="s">
        <v>15</v>
      </c>
      <c r="H9" s="12"/>
      <c r="I9" s="11">
        <v>-680369</v>
      </c>
      <c r="J9" s="12">
        <v>113760</v>
      </c>
      <c r="K9" s="12">
        <v>3293</v>
      </c>
      <c r="L9" s="12"/>
      <c r="M9" s="12">
        <f t="shared" ref="M9:M15" si="0">SUM(I9:L9)</f>
        <v>-563316</v>
      </c>
    </row>
    <row r="10" spans="1:13">
      <c r="C10" t="s">
        <v>16</v>
      </c>
      <c r="H10" s="12"/>
      <c r="I10" s="13">
        <v>-512635</v>
      </c>
      <c r="J10" s="12">
        <v>75120</v>
      </c>
      <c r="K10" s="12">
        <v>171908</v>
      </c>
      <c r="L10" s="12"/>
      <c r="M10" s="12">
        <f t="shared" si="0"/>
        <v>-265607</v>
      </c>
    </row>
    <row r="11" spans="1:13">
      <c r="C11" t="s">
        <v>17</v>
      </c>
      <c r="H11" s="12"/>
      <c r="I11" s="14">
        <v>-2382377</v>
      </c>
      <c r="J11" s="12">
        <v>2365</v>
      </c>
      <c r="K11" s="12">
        <v>760794</v>
      </c>
      <c r="L11" s="12">
        <v>60650</v>
      </c>
      <c r="M11" s="12">
        <f t="shared" si="0"/>
        <v>-1558568</v>
      </c>
    </row>
    <row r="12" spans="1:13">
      <c r="C12" t="s">
        <v>19</v>
      </c>
      <c r="H12" s="12"/>
      <c r="I12" s="15">
        <v>-242320</v>
      </c>
      <c r="J12" s="12"/>
      <c r="K12" s="12">
        <v>350621</v>
      </c>
      <c r="L12" s="12"/>
      <c r="M12" s="12">
        <f t="shared" si="0"/>
        <v>108301</v>
      </c>
    </row>
    <row r="13" spans="1:13">
      <c r="C13" t="s">
        <v>20</v>
      </c>
      <c r="H13" s="12"/>
      <c r="I13" s="16">
        <v>-361409</v>
      </c>
      <c r="J13" s="12">
        <v>6187</v>
      </c>
      <c r="K13" s="12">
        <v>26195</v>
      </c>
      <c r="L13" s="12"/>
      <c r="M13" s="12">
        <f t="shared" si="0"/>
        <v>-329027</v>
      </c>
    </row>
    <row r="14" spans="1:13">
      <c r="C14" t="s">
        <v>18</v>
      </c>
      <c r="H14" s="12"/>
      <c r="I14" s="102">
        <v>-2249</v>
      </c>
      <c r="J14" s="12"/>
      <c r="K14" s="12"/>
      <c r="L14" s="12"/>
      <c r="M14" s="12">
        <f t="shared" si="0"/>
        <v>-2249</v>
      </c>
    </row>
    <row r="15" spans="1:13">
      <c r="C15" t="s">
        <v>200</v>
      </c>
      <c r="H15" s="12"/>
      <c r="I15" s="17">
        <v>-9343</v>
      </c>
      <c r="J15" s="18"/>
      <c r="K15" s="18"/>
      <c r="L15" s="18"/>
      <c r="M15" s="18">
        <f t="shared" si="0"/>
        <v>-9343</v>
      </c>
    </row>
    <row r="16" spans="1:13">
      <c r="H16" s="12"/>
      <c r="I16" s="12"/>
      <c r="J16" s="12"/>
      <c r="K16" s="12"/>
      <c r="L16" s="12"/>
      <c r="M16" s="12"/>
    </row>
    <row r="17" spans="1:13">
      <c r="E17" s="19" t="s">
        <v>22</v>
      </c>
      <c r="F17" s="19"/>
      <c r="G17" s="19"/>
      <c r="H17" s="20"/>
      <c r="I17" s="20">
        <f>SUM(I9:I15)</f>
        <v>-4190702</v>
      </c>
      <c r="J17" s="20">
        <f>SUM(J9:J15)</f>
        <v>197432</v>
      </c>
      <c r="K17" s="20">
        <f>SUM(K9:K15)</f>
        <v>1312811</v>
      </c>
      <c r="L17" s="20">
        <f>SUM(L9:L15)</f>
        <v>60650</v>
      </c>
      <c r="M17" s="91">
        <f>SUM(M9:M15)</f>
        <v>-2619809</v>
      </c>
    </row>
    <row r="18" spans="1:13">
      <c r="H18" s="12"/>
      <c r="I18" s="12"/>
      <c r="J18" s="12"/>
      <c r="K18" s="12"/>
      <c r="L18" s="12"/>
      <c r="M18" s="12"/>
    </row>
    <row r="19" spans="1:13">
      <c r="A19" s="8"/>
      <c r="B19" s="8"/>
      <c r="C19" s="8"/>
      <c r="D19" s="8"/>
      <c r="E19" s="8"/>
      <c r="G19" s="8" t="s">
        <v>25</v>
      </c>
      <c r="H19" s="26"/>
      <c r="I19" s="26"/>
      <c r="J19" s="26"/>
      <c r="K19" s="26"/>
      <c r="L19" s="26"/>
      <c r="M19" s="12"/>
    </row>
    <row r="20" spans="1:13">
      <c r="H20" s="12" t="s">
        <v>201</v>
      </c>
      <c r="I20" s="12"/>
      <c r="J20" s="12"/>
      <c r="K20" s="12"/>
      <c r="L20" s="12"/>
      <c r="M20" s="28">
        <v>827325</v>
      </c>
    </row>
    <row r="21" spans="1:13">
      <c r="H21" s="12" t="s">
        <v>110</v>
      </c>
      <c r="I21" s="12"/>
      <c r="J21" s="12"/>
      <c r="K21" s="12"/>
      <c r="L21" s="12"/>
      <c r="M21" s="14">
        <v>1635040</v>
      </c>
    </row>
    <row r="22" spans="1:13">
      <c r="H22" s="12" t="s">
        <v>187</v>
      </c>
      <c r="I22" s="12"/>
      <c r="J22" s="12"/>
      <c r="K22" s="12"/>
      <c r="L22" s="12"/>
      <c r="M22" s="15">
        <v>5639</v>
      </c>
    </row>
    <row r="23" spans="1:13">
      <c r="H23" s="12" t="s">
        <v>33</v>
      </c>
      <c r="I23" s="12"/>
      <c r="J23" s="12"/>
      <c r="K23" s="12"/>
      <c r="L23" s="12"/>
      <c r="M23" s="11">
        <v>324352</v>
      </c>
    </row>
    <row r="24" spans="1:13">
      <c r="H24" s="12" t="s">
        <v>138</v>
      </c>
      <c r="I24" s="12"/>
      <c r="J24" s="12"/>
      <c r="K24" s="12"/>
      <c r="L24" s="12"/>
      <c r="M24" s="29">
        <v>5485</v>
      </c>
    </row>
    <row r="25" spans="1:13">
      <c r="H25" s="12" t="s">
        <v>202</v>
      </c>
      <c r="I25" s="12"/>
      <c r="J25" s="12"/>
      <c r="K25" s="12"/>
      <c r="L25" s="12"/>
      <c r="M25" s="29">
        <v>18118</v>
      </c>
    </row>
    <row r="26" spans="1:13">
      <c r="H26" s="12" t="s">
        <v>203</v>
      </c>
      <c r="I26" s="12"/>
      <c r="J26" s="12"/>
      <c r="K26" s="12"/>
      <c r="L26" s="12"/>
      <c r="M26" s="29">
        <v>12050</v>
      </c>
    </row>
    <row r="27" spans="1:13">
      <c r="H27" s="12" t="s">
        <v>32</v>
      </c>
      <c r="I27" s="12"/>
      <c r="J27" s="12"/>
      <c r="K27" s="12"/>
      <c r="L27" s="12"/>
      <c r="M27" s="29">
        <v>28240</v>
      </c>
    </row>
    <row r="28" spans="1:13">
      <c r="H28" s="12"/>
      <c r="I28" s="12"/>
      <c r="J28" s="12"/>
      <c r="K28" s="12"/>
      <c r="L28" s="12"/>
      <c r="M28" s="12"/>
    </row>
    <row r="29" spans="1:13">
      <c r="H29" s="20" t="s">
        <v>38</v>
      </c>
      <c r="I29" s="20"/>
      <c r="J29" s="20"/>
      <c r="K29" s="20"/>
      <c r="L29" s="20"/>
      <c r="M29" s="20">
        <f>SUM(M20:M27)</f>
        <v>2856249</v>
      </c>
    </row>
    <row r="30" spans="1:13">
      <c r="H30" s="12"/>
      <c r="I30" s="12"/>
      <c r="J30" s="12"/>
      <c r="K30" s="12"/>
      <c r="L30" s="12"/>
      <c r="M30" s="12"/>
    </row>
    <row r="31" spans="1:13">
      <c r="H31" s="20" t="s">
        <v>39</v>
      </c>
      <c r="I31" s="20"/>
      <c r="J31" s="20"/>
      <c r="K31" s="20"/>
      <c r="L31" s="20"/>
      <c r="M31" s="20">
        <f>SUM(M17,M29)</f>
        <v>236440</v>
      </c>
    </row>
    <row r="32" spans="1:13">
      <c r="H32" s="26"/>
      <c r="I32" s="26"/>
      <c r="J32" s="26"/>
      <c r="K32" s="26"/>
      <c r="L32" s="26"/>
      <c r="M32" s="26"/>
    </row>
    <row r="33" spans="5:13">
      <c r="E33" s="31" t="s">
        <v>67</v>
      </c>
      <c r="F33" s="31"/>
      <c r="G33" s="31"/>
      <c r="H33" s="32"/>
      <c r="I33" s="32"/>
      <c r="J33" s="32"/>
      <c r="K33" s="32"/>
      <c r="L33" s="32"/>
      <c r="M33" s="33">
        <v>8289746</v>
      </c>
    </row>
    <row r="34" spans="5:13">
      <c r="H34" s="12"/>
      <c r="I34" s="12"/>
      <c r="J34" s="12"/>
      <c r="K34" s="12"/>
      <c r="L34" s="12"/>
      <c r="M34" s="12"/>
    </row>
    <row r="35" spans="5:13">
      <c r="E35" s="34" t="s">
        <v>44</v>
      </c>
      <c r="F35" s="34"/>
      <c r="G35" s="34"/>
      <c r="H35" s="35"/>
      <c r="I35" s="35"/>
      <c r="J35" s="35"/>
      <c r="K35" s="35"/>
      <c r="L35" s="35"/>
      <c r="M35" s="92">
        <f>SUM(M31,M33)</f>
        <v>8526186</v>
      </c>
    </row>
    <row r="42" spans="5:13">
      <c r="K42" s="9"/>
      <c r="L42" s="9"/>
      <c r="M42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45"/>
  <sheetViews>
    <sheetView topLeftCell="A6" workbookViewId="0">
      <selection activeCell="G30" sqref="G30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</cols>
  <sheetData>
    <row r="1" spans="1:13" ht="31.5" customHeight="1">
      <c r="J1" s="258" t="s">
        <v>204</v>
      </c>
      <c r="K1" s="258"/>
      <c r="L1" s="258"/>
      <c r="M1" s="258"/>
    </row>
    <row r="2" spans="1:13" ht="18">
      <c r="J2" s="259" t="s">
        <v>1</v>
      </c>
      <c r="K2" s="259"/>
      <c r="L2" s="259"/>
      <c r="M2" s="259"/>
    </row>
    <row r="3" spans="1:13" ht="15.75">
      <c r="E3" s="3"/>
      <c r="F3" s="3"/>
      <c r="G3" s="3"/>
      <c r="H3" s="3"/>
      <c r="I3" s="3"/>
      <c r="J3" s="3"/>
      <c r="K3" s="3"/>
      <c r="L3" s="3"/>
    </row>
    <row r="4" spans="1:13" ht="18">
      <c r="E4" s="2"/>
      <c r="M4" s="173"/>
    </row>
    <row r="5" spans="1:13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174"/>
    </row>
    <row r="6" spans="1:13" ht="42.7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113" t="s">
        <v>97</v>
      </c>
    </row>
    <row r="7" spans="1:13">
      <c r="A7" s="8" t="s">
        <v>13</v>
      </c>
      <c r="I7" s="9"/>
      <c r="J7" s="9"/>
      <c r="K7" s="9"/>
      <c r="L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C9" t="s">
        <v>15</v>
      </c>
      <c r="H9" s="12"/>
      <c r="I9" s="11">
        <v>-1518254</v>
      </c>
      <c r="J9" s="12">
        <v>402549</v>
      </c>
      <c r="K9" s="12"/>
      <c r="L9" s="12"/>
      <c r="M9" s="12">
        <f t="shared" ref="M9:M16" si="0">SUM(I9:L9)</f>
        <v>-1115705</v>
      </c>
    </row>
    <row r="10" spans="1:13">
      <c r="C10" t="s">
        <v>16</v>
      </c>
      <c r="H10" s="12"/>
      <c r="I10" s="13">
        <v>-376302</v>
      </c>
      <c r="J10" s="12"/>
      <c r="K10" s="12">
        <v>110377</v>
      </c>
      <c r="L10" s="12">
        <v>49781</v>
      </c>
      <c r="M10" s="12">
        <f t="shared" si="0"/>
        <v>-216144</v>
      </c>
    </row>
    <row r="11" spans="1:13">
      <c r="C11" t="s">
        <v>17</v>
      </c>
      <c r="H11" s="12"/>
      <c r="I11" s="14">
        <v>-3221702</v>
      </c>
      <c r="J11" s="12"/>
      <c r="K11" s="12">
        <v>448932</v>
      </c>
      <c r="L11" s="12">
        <v>130201</v>
      </c>
      <c r="M11" s="12">
        <f t="shared" si="0"/>
        <v>-2642569</v>
      </c>
    </row>
    <row r="12" spans="1:13">
      <c r="C12" t="s">
        <v>19</v>
      </c>
      <c r="H12" s="12"/>
      <c r="I12" s="15">
        <v>-875416</v>
      </c>
      <c r="J12" s="12">
        <v>8533</v>
      </c>
      <c r="K12" s="12">
        <v>639375</v>
      </c>
      <c r="L12" s="12"/>
      <c r="M12" s="12">
        <f t="shared" si="0"/>
        <v>-227508</v>
      </c>
    </row>
    <row r="13" spans="1:13">
      <c r="C13" t="s">
        <v>20</v>
      </c>
      <c r="H13" s="12"/>
      <c r="I13" s="16">
        <v>-539041</v>
      </c>
      <c r="J13" s="12">
        <v>1983</v>
      </c>
      <c r="K13" s="12">
        <v>2438</v>
      </c>
      <c r="L13" s="12"/>
      <c r="M13" s="12">
        <f t="shared" si="0"/>
        <v>-534620</v>
      </c>
    </row>
    <row r="14" spans="1:13">
      <c r="C14" t="s">
        <v>18</v>
      </c>
      <c r="H14" s="12"/>
      <c r="I14" s="102">
        <v>-60016</v>
      </c>
      <c r="J14" s="12"/>
      <c r="K14" s="12"/>
      <c r="L14" s="12"/>
      <c r="M14" s="12">
        <f t="shared" si="0"/>
        <v>-60016</v>
      </c>
    </row>
    <row r="15" spans="1:13">
      <c r="C15" t="s">
        <v>205</v>
      </c>
      <c r="H15" s="12"/>
      <c r="I15" s="107">
        <v>-5200</v>
      </c>
      <c r="J15" s="12"/>
      <c r="K15" s="12"/>
      <c r="L15" s="12"/>
      <c r="M15" s="12">
        <f>SUM(I15:L15)</f>
        <v>-5200</v>
      </c>
    </row>
    <row r="16" spans="1:13">
      <c r="C16" t="s">
        <v>200</v>
      </c>
      <c r="H16" s="12"/>
      <c r="I16" s="17">
        <v>-43230</v>
      </c>
      <c r="J16" s="18"/>
      <c r="K16" s="18"/>
      <c r="L16" s="18"/>
      <c r="M16" s="18">
        <f t="shared" si="0"/>
        <v>-43230</v>
      </c>
    </row>
    <row r="17" spans="1:13">
      <c r="H17" s="12"/>
      <c r="I17" s="12"/>
      <c r="J17" s="12"/>
      <c r="K17" s="12"/>
      <c r="L17" s="12"/>
      <c r="M17" s="12"/>
    </row>
    <row r="18" spans="1:13">
      <c r="E18" s="19" t="s">
        <v>22</v>
      </c>
      <c r="F18" s="19"/>
      <c r="G18" s="19"/>
      <c r="H18" s="20"/>
      <c r="I18" s="20">
        <f>SUM(I9:I16)</f>
        <v>-6639161</v>
      </c>
      <c r="J18" s="20">
        <f>SUM(J9:J16)</f>
        <v>413065</v>
      </c>
      <c r="K18" s="20">
        <f>SUM(K9:K16)</f>
        <v>1201122</v>
      </c>
      <c r="L18" s="20">
        <f>SUM(L9:L16)</f>
        <v>179982</v>
      </c>
      <c r="M18" s="91">
        <f>SUM(M9:M16)</f>
        <v>-4844992</v>
      </c>
    </row>
    <row r="19" spans="1:13">
      <c r="H19" s="12"/>
      <c r="I19" s="12"/>
      <c r="J19" s="12"/>
      <c r="K19" s="12"/>
      <c r="L19" s="12"/>
      <c r="M19" s="12"/>
    </row>
    <row r="20" spans="1:13">
      <c r="A20" s="8"/>
      <c r="B20" s="8"/>
      <c r="C20" s="8"/>
      <c r="D20" s="8"/>
      <c r="E20" s="8"/>
      <c r="G20" s="8" t="s">
        <v>25</v>
      </c>
      <c r="H20" s="26"/>
      <c r="I20" s="26"/>
      <c r="J20" s="26"/>
      <c r="K20" s="26"/>
      <c r="L20" s="26"/>
      <c r="M20" s="12"/>
    </row>
    <row r="21" spans="1:13">
      <c r="A21" s="8"/>
      <c r="B21" s="8"/>
      <c r="C21" s="8"/>
      <c r="D21" s="8"/>
      <c r="E21" s="8"/>
      <c r="G21" s="8"/>
      <c r="H21" s="88" t="s">
        <v>184</v>
      </c>
      <c r="I21" s="26"/>
      <c r="J21" s="26"/>
      <c r="K21" s="26"/>
      <c r="L21" s="26"/>
      <c r="M21" s="12"/>
    </row>
    <row r="22" spans="1:13">
      <c r="H22" s="12"/>
      <c r="I22" s="12" t="s">
        <v>185</v>
      </c>
      <c r="J22" s="12"/>
      <c r="K22" s="12"/>
      <c r="L22" s="12"/>
      <c r="M22" s="28">
        <v>907751</v>
      </c>
    </row>
    <row r="23" spans="1:13">
      <c r="H23" s="12"/>
      <c r="I23" s="12" t="s">
        <v>17</v>
      </c>
      <c r="J23" s="12"/>
      <c r="K23" s="12"/>
      <c r="L23" s="12"/>
      <c r="M23" s="28">
        <v>1358920</v>
      </c>
    </row>
    <row r="24" spans="1:13">
      <c r="H24" s="12"/>
      <c r="I24" s="12" t="s">
        <v>20</v>
      </c>
      <c r="J24" s="12"/>
      <c r="K24" s="12"/>
      <c r="L24" s="12"/>
      <c r="M24" s="28">
        <v>782665</v>
      </c>
    </row>
    <row r="25" spans="1:13">
      <c r="H25" s="12" t="s">
        <v>135</v>
      </c>
      <c r="I25" s="12"/>
      <c r="J25" s="12"/>
      <c r="K25" s="12"/>
      <c r="L25" s="12"/>
      <c r="M25" s="14">
        <v>941476</v>
      </c>
    </row>
    <row r="26" spans="1:13">
      <c r="H26" s="12" t="s">
        <v>187</v>
      </c>
      <c r="I26" s="12"/>
      <c r="J26" s="12"/>
      <c r="K26" s="12"/>
      <c r="L26" s="12"/>
      <c r="M26" s="15">
        <v>12275</v>
      </c>
    </row>
    <row r="27" spans="1:13">
      <c r="H27" s="12" t="s">
        <v>33</v>
      </c>
      <c r="I27" s="12"/>
      <c r="J27" s="12"/>
      <c r="K27" s="12"/>
      <c r="L27" s="12"/>
      <c r="M27" s="11">
        <v>1507924</v>
      </c>
    </row>
    <row r="28" spans="1:13">
      <c r="H28" s="12" t="s">
        <v>138</v>
      </c>
      <c r="I28" s="12"/>
      <c r="J28" s="12"/>
      <c r="K28" s="12"/>
      <c r="L28" s="12"/>
      <c r="M28" s="29">
        <v>175700</v>
      </c>
    </row>
    <row r="29" spans="1:13">
      <c r="H29" s="12" t="s">
        <v>95</v>
      </c>
      <c r="I29" s="12"/>
      <c r="J29" s="12"/>
      <c r="K29" s="12"/>
      <c r="L29" s="12"/>
      <c r="M29" s="29">
        <v>37908</v>
      </c>
    </row>
    <row r="30" spans="1:13">
      <c r="H30" s="12" t="s">
        <v>32</v>
      </c>
      <c r="I30" s="12"/>
      <c r="J30" s="12"/>
      <c r="K30" s="12"/>
      <c r="L30" s="12"/>
      <c r="M30" s="29">
        <v>69090</v>
      </c>
    </row>
    <row r="31" spans="1:13">
      <c r="H31" s="12"/>
      <c r="I31" s="12"/>
      <c r="J31" s="12"/>
      <c r="K31" s="12"/>
      <c r="L31" s="12"/>
      <c r="M31" s="12"/>
    </row>
    <row r="32" spans="1:13">
      <c r="H32" s="20" t="s">
        <v>38</v>
      </c>
      <c r="I32" s="20"/>
      <c r="J32" s="20"/>
      <c r="K32" s="20"/>
      <c r="L32" s="20"/>
      <c r="M32" s="20">
        <f>SUM(M22:M30)</f>
        <v>5793709</v>
      </c>
    </row>
    <row r="33" spans="5:13">
      <c r="H33" s="12"/>
      <c r="I33" s="12"/>
      <c r="J33" s="12"/>
      <c r="K33" s="12"/>
      <c r="L33" s="12"/>
      <c r="M33" s="12"/>
    </row>
    <row r="34" spans="5:13">
      <c r="H34" s="20" t="s">
        <v>39</v>
      </c>
      <c r="I34" s="20"/>
      <c r="J34" s="20"/>
      <c r="K34" s="20"/>
      <c r="L34" s="20"/>
      <c r="M34" s="20">
        <f>SUM(M18,M32)</f>
        <v>948717</v>
      </c>
    </row>
    <row r="35" spans="5:13">
      <c r="H35" s="26"/>
      <c r="I35" s="26"/>
      <c r="J35" s="26"/>
      <c r="K35" s="26"/>
      <c r="L35" s="26"/>
      <c r="M35" s="26"/>
    </row>
    <row r="36" spans="5:13">
      <c r="E36" s="31" t="s">
        <v>67</v>
      </c>
      <c r="F36" s="31"/>
      <c r="G36" s="31"/>
      <c r="H36" s="32"/>
      <c r="I36" s="32"/>
      <c r="J36" s="32"/>
      <c r="K36" s="32"/>
      <c r="L36" s="32"/>
      <c r="M36" s="33">
        <v>14433436</v>
      </c>
    </row>
    <row r="37" spans="5:13">
      <c r="H37" s="12"/>
      <c r="I37" s="12"/>
      <c r="J37" s="12"/>
      <c r="K37" s="12"/>
      <c r="L37" s="12"/>
      <c r="M37" s="12"/>
    </row>
    <row r="38" spans="5:13">
      <c r="E38" s="34" t="s">
        <v>44</v>
      </c>
      <c r="F38" s="34"/>
      <c r="G38" s="34"/>
      <c r="H38" s="35"/>
      <c r="I38" s="35"/>
      <c r="J38" s="35"/>
      <c r="K38" s="35"/>
      <c r="L38" s="35"/>
      <c r="M38" s="92">
        <f>SUM(M34,M36)</f>
        <v>15382153</v>
      </c>
    </row>
    <row r="45" spans="5:13">
      <c r="K45" s="9"/>
      <c r="L45" s="9"/>
      <c r="M45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4"/>
  <sheetViews>
    <sheetView topLeftCell="A6" workbookViewId="0">
      <selection activeCell="F29" sqref="F29"/>
    </sheetView>
  </sheetViews>
  <sheetFormatPr defaultColWidth="8.85546875" defaultRowHeight="14.25"/>
  <cols>
    <col min="1" max="1" width="3.140625" style="131" customWidth="1"/>
    <col min="2" max="2" width="2.42578125" style="131" customWidth="1"/>
    <col min="3" max="3" width="3.28515625" style="131" customWidth="1"/>
    <col min="4" max="4" width="8.42578125" style="131" customWidth="1"/>
    <col min="5" max="5" width="8.85546875" style="131"/>
    <col min="6" max="6" width="13.28515625" style="131" customWidth="1"/>
    <col min="7" max="7" width="5.7109375" style="131" customWidth="1"/>
    <col min="8" max="8" width="3" style="131" customWidth="1"/>
    <col min="9" max="9" width="15.140625" style="131" customWidth="1"/>
    <col min="10" max="10" width="18.85546875" style="131" bestFit="1" customWidth="1"/>
    <col min="11" max="12" width="19.28515625" style="131" customWidth="1"/>
    <col min="13" max="13" width="24" style="131" customWidth="1"/>
    <col min="14" max="16384" width="8.85546875" style="131"/>
  </cols>
  <sheetData>
    <row r="1" spans="1:13" ht="31.5" customHeight="1">
      <c r="J1" s="270" t="s">
        <v>206</v>
      </c>
      <c r="K1" s="270"/>
      <c r="L1" s="270"/>
      <c r="M1" s="270"/>
    </row>
    <row r="2" spans="1:13" ht="18">
      <c r="J2" s="271" t="s">
        <v>1</v>
      </c>
      <c r="K2" s="271"/>
      <c r="L2" s="271"/>
      <c r="M2" s="271"/>
    </row>
    <row r="3" spans="1:13" ht="15.75">
      <c r="E3" s="144"/>
      <c r="F3" s="144"/>
      <c r="G3" s="144"/>
      <c r="H3" s="144"/>
      <c r="I3" s="144"/>
      <c r="J3" s="144"/>
      <c r="K3" s="144"/>
      <c r="L3" s="144"/>
      <c r="M3" s="145"/>
    </row>
    <row r="4" spans="1:13" ht="18">
      <c r="E4" s="146"/>
      <c r="M4" s="147"/>
    </row>
    <row r="5" spans="1:13">
      <c r="A5" s="131" t="s">
        <v>3</v>
      </c>
      <c r="C5" s="148"/>
      <c r="D5" s="148"/>
      <c r="E5" s="148"/>
      <c r="F5" s="148"/>
      <c r="G5" s="148"/>
      <c r="H5" s="148"/>
      <c r="I5" s="148"/>
      <c r="J5" s="272" t="s">
        <v>4</v>
      </c>
      <c r="K5" s="272"/>
      <c r="L5" s="272"/>
      <c r="M5" s="149"/>
    </row>
    <row r="6" spans="1:13" ht="42.75" customHeight="1">
      <c r="A6" s="150" t="s">
        <v>6</v>
      </c>
      <c r="I6" s="151" t="s">
        <v>7</v>
      </c>
      <c r="J6" s="151" t="s">
        <v>8</v>
      </c>
      <c r="K6" s="151" t="s">
        <v>9</v>
      </c>
      <c r="L6" s="151" t="s">
        <v>10</v>
      </c>
      <c r="M6" s="152" t="s">
        <v>97</v>
      </c>
    </row>
    <row r="7" spans="1:13">
      <c r="A7" s="153" t="s">
        <v>13</v>
      </c>
    </row>
    <row r="8" spans="1:13">
      <c r="B8" s="154" t="s">
        <v>14</v>
      </c>
      <c r="M8" s="145"/>
    </row>
    <row r="9" spans="1:13">
      <c r="B9" s="131" t="s">
        <v>141</v>
      </c>
      <c r="I9" s="155"/>
      <c r="J9" s="155"/>
    </row>
    <row r="10" spans="1:13">
      <c r="C10" s="131" t="s">
        <v>99</v>
      </c>
      <c r="I10" s="132">
        <v>-231502</v>
      </c>
      <c r="J10" s="155"/>
      <c r="M10" s="131">
        <f t="shared" ref="M10:M21" si="0">SUM(I10:L10)</f>
        <v>-231502</v>
      </c>
    </row>
    <row r="11" spans="1:13">
      <c r="C11" s="131" t="s">
        <v>100</v>
      </c>
      <c r="I11" s="133">
        <v>-614792</v>
      </c>
      <c r="J11" s="155"/>
      <c r="M11" s="131">
        <f t="shared" si="0"/>
        <v>-614792</v>
      </c>
    </row>
    <row r="12" spans="1:13">
      <c r="C12" s="131" t="s">
        <v>102</v>
      </c>
      <c r="I12" s="134">
        <v>-40450</v>
      </c>
      <c r="J12" s="155"/>
      <c r="M12" s="131">
        <f t="shared" si="0"/>
        <v>-40450</v>
      </c>
    </row>
    <row r="13" spans="1:13">
      <c r="C13" s="131" t="s">
        <v>207</v>
      </c>
      <c r="I13" s="135">
        <v>-348180</v>
      </c>
      <c r="J13" s="155"/>
      <c r="M13" s="131">
        <f t="shared" si="0"/>
        <v>-348180</v>
      </c>
    </row>
    <row r="14" spans="1:13">
      <c r="C14" s="131" t="s">
        <v>208</v>
      </c>
      <c r="I14" s="136">
        <v>-876320</v>
      </c>
      <c r="J14" s="155"/>
      <c r="K14" s="131">
        <v>54243</v>
      </c>
      <c r="L14" s="131">
        <v>171774</v>
      </c>
      <c r="M14" s="131">
        <f t="shared" si="0"/>
        <v>-650303</v>
      </c>
    </row>
    <row r="15" spans="1:13">
      <c r="B15" s="131" t="s">
        <v>16</v>
      </c>
      <c r="I15" s="137">
        <v>-230232</v>
      </c>
      <c r="J15" s="155">
        <v>148144</v>
      </c>
      <c r="K15" s="131">
        <v>140704</v>
      </c>
      <c r="M15" s="131">
        <f t="shared" si="0"/>
        <v>58616</v>
      </c>
    </row>
    <row r="16" spans="1:13">
      <c r="B16" s="131" t="s">
        <v>17</v>
      </c>
      <c r="I16" s="138">
        <v>-2920856</v>
      </c>
      <c r="J16" s="155"/>
      <c r="M16" s="131">
        <f t="shared" si="0"/>
        <v>-2920856</v>
      </c>
    </row>
    <row r="17" spans="1:13">
      <c r="B17" s="131" t="s">
        <v>19</v>
      </c>
      <c r="I17" s="139">
        <v>-138664</v>
      </c>
      <c r="J17" s="155"/>
      <c r="K17" s="131">
        <v>2189</v>
      </c>
      <c r="M17" s="131">
        <f t="shared" si="0"/>
        <v>-136475</v>
      </c>
    </row>
    <row r="18" spans="1:13">
      <c r="B18" s="131" t="s">
        <v>20</v>
      </c>
      <c r="I18" s="140">
        <v>-31153</v>
      </c>
      <c r="J18" s="155"/>
      <c r="M18" s="131">
        <f t="shared" si="0"/>
        <v>-31153</v>
      </c>
    </row>
    <row r="19" spans="1:13">
      <c r="B19" s="131" t="s">
        <v>71</v>
      </c>
      <c r="I19" s="141">
        <v>-188191</v>
      </c>
      <c r="J19" s="155"/>
      <c r="K19" s="131">
        <v>120413</v>
      </c>
      <c r="M19" s="131">
        <f t="shared" si="0"/>
        <v>-67778</v>
      </c>
    </row>
    <row r="20" spans="1:13">
      <c r="B20" s="131" t="s">
        <v>183</v>
      </c>
      <c r="I20" s="138">
        <v>-33545</v>
      </c>
      <c r="J20" s="156"/>
      <c r="K20" s="145"/>
      <c r="L20" s="145"/>
      <c r="M20" s="131">
        <f t="shared" si="0"/>
        <v>-33545</v>
      </c>
    </row>
    <row r="21" spans="1:13">
      <c r="B21" s="131" t="s">
        <v>21</v>
      </c>
      <c r="I21" s="142">
        <v>-433026</v>
      </c>
      <c r="J21" s="156"/>
      <c r="K21" s="145"/>
      <c r="L21" s="145"/>
      <c r="M21" s="131">
        <f t="shared" si="0"/>
        <v>-433026</v>
      </c>
    </row>
    <row r="22" spans="1:13">
      <c r="I22" s="157"/>
      <c r="J22" s="157"/>
      <c r="K22" s="157"/>
      <c r="L22" s="157"/>
      <c r="M22" s="157"/>
    </row>
    <row r="23" spans="1:13">
      <c r="E23" s="143" t="s">
        <v>22</v>
      </c>
      <c r="F23" s="143"/>
      <c r="G23" s="143"/>
      <c r="H23" s="143"/>
      <c r="I23" s="143">
        <f>SUM(I10:I21)</f>
        <v>-6086911</v>
      </c>
      <c r="J23" s="143">
        <f t="shared" ref="J23:M23" si="1">SUM(J10:J21)</f>
        <v>148144</v>
      </c>
      <c r="K23" s="143">
        <f t="shared" si="1"/>
        <v>317549</v>
      </c>
      <c r="L23" s="143">
        <f t="shared" si="1"/>
        <v>171774</v>
      </c>
      <c r="M23" s="143">
        <f t="shared" si="1"/>
        <v>-5449444</v>
      </c>
    </row>
    <row r="25" spans="1:13">
      <c r="A25" s="153"/>
      <c r="B25" s="153"/>
      <c r="C25" s="153"/>
      <c r="D25" s="153"/>
      <c r="E25" s="153"/>
      <c r="G25" s="153" t="s">
        <v>25</v>
      </c>
      <c r="H25" s="153"/>
      <c r="I25" s="153"/>
      <c r="J25" s="153"/>
      <c r="K25" s="153"/>
      <c r="L25" s="153"/>
    </row>
    <row r="26" spans="1:13">
      <c r="A26" s="153"/>
      <c r="B26" s="153"/>
      <c r="C26" s="153"/>
      <c r="D26" s="153"/>
      <c r="E26" s="153"/>
      <c r="G26" s="153"/>
      <c r="H26" s="158" t="s">
        <v>26</v>
      </c>
      <c r="I26" s="153"/>
      <c r="J26" s="153"/>
      <c r="K26" s="153"/>
      <c r="L26" s="153"/>
    </row>
    <row r="27" spans="1:13">
      <c r="I27" s="131" t="s">
        <v>201</v>
      </c>
      <c r="M27" s="159">
        <v>1752385</v>
      </c>
    </row>
    <row r="28" spans="1:13">
      <c r="I28" s="131" t="s">
        <v>128</v>
      </c>
      <c r="M28" s="138">
        <v>2864419</v>
      </c>
    </row>
    <row r="29" spans="1:13">
      <c r="I29" s="131" t="s">
        <v>111</v>
      </c>
      <c r="M29" s="139">
        <v>13437</v>
      </c>
    </row>
    <row r="30" spans="1:13">
      <c r="H30" s="131" t="s">
        <v>137</v>
      </c>
      <c r="M30" s="160">
        <v>244385</v>
      </c>
    </row>
    <row r="31" spans="1:13">
      <c r="H31" s="131" t="s">
        <v>209</v>
      </c>
      <c r="M31" s="155"/>
    </row>
    <row r="32" spans="1:13">
      <c r="I32" s="131" t="s">
        <v>210</v>
      </c>
      <c r="M32" s="160">
        <v>274906</v>
      </c>
    </row>
    <row r="33" spans="5:13">
      <c r="I33" s="131" t="s">
        <v>75</v>
      </c>
      <c r="M33" s="161">
        <v>66922</v>
      </c>
    </row>
    <row r="34" spans="5:13">
      <c r="I34" s="131" t="s">
        <v>29</v>
      </c>
      <c r="M34" s="160">
        <v>1032251</v>
      </c>
    </row>
    <row r="35" spans="5:13">
      <c r="H35" s="131" t="s">
        <v>211</v>
      </c>
      <c r="M35" s="160">
        <v>22857</v>
      </c>
    </row>
    <row r="36" spans="5:13">
      <c r="H36" s="131" t="s">
        <v>32</v>
      </c>
      <c r="M36" s="160">
        <v>553171</v>
      </c>
    </row>
    <row r="38" spans="5:13">
      <c r="H38" s="143" t="s">
        <v>38</v>
      </c>
      <c r="I38" s="143"/>
      <c r="J38" s="143"/>
      <c r="K38" s="143"/>
      <c r="L38" s="143"/>
      <c r="M38" s="143">
        <f>SUM(M27:M36)</f>
        <v>6824733</v>
      </c>
    </row>
    <row r="40" spans="5:13">
      <c r="H40" s="143" t="s">
        <v>39</v>
      </c>
      <c r="I40" s="143"/>
      <c r="J40" s="143"/>
      <c r="K40" s="143"/>
      <c r="L40" s="143"/>
      <c r="M40" s="143">
        <f>SUM(M23,M38)</f>
        <v>1375289</v>
      </c>
    </row>
    <row r="41" spans="5:13">
      <c r="H41" s="162"/>
      <c r="I41" s="162"/>
      <c r="J41" s="162"/>
      <c r="K41" s="162"/>
      <c r="L41" s="162"/>
      <c r="M41" s="162"/>
    </row>
    <row r="42" spans="5:13">
      <c r="E42" s="163" t="s">
        <v>67</v>
      </c>
      <c r="F42" s="163"/>
      <c r="G42" s="163"/>
      <c r="H42" s="163"/>
      <c r="I42" s="164"/>
      <c r="J42" s="164"/>
      <c r="K42" s="163"/>
      <c r="L42" s="163"/>
      <c r="M42" s="165">
        <v>9542811</v>
      </c>
    </row>
    <row r="44" spans="5:13">
      <c r="E44" s="166" t="s">
        <v>44</v>
      </c>
      <c r="F44" s="166"/>
      <c r="G44" s="166"/>
      <c r="H44" s="166"/>
      <c r="I44" s="167"/>
      <c r="J44" s="167"/>
      <c r="K44" s="166"/>
      <c r="L44" s="166"/>
      <c r="M44" s="168">
        <f>SUM(M40,M42)</f>
        <v>10918100</v>
      </c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60"/>
  <sheetViews>
    <sheetView topLeftCell="A10" workbookViewId="0">
      <selection activeCell="F49" sqref="F49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</cols>
  <sheetData>
    <row r="1" spans="1:15" ht="30" customHeight="1">
      <c r="J1" s="258" t="s">
        <v>212</v>
      </c>
      <c r="K1" s="258"/>
      <c r="L1" s="258"/>
      <c r="M1" s="258"/>
      <c r="N1" s="170"/>
      <c r="O1" s="170"/>
    </row>
    <row r="2" spans="1:15" ht="21.75" customHeight="1">
      <c r="J2" s="259" t="s">
        <v>1</v>
      </c>
      <c r="K2" s="259"/>
      <c r="L2" s="259"/>
      <c r="M2" s="259"/>
      <c r="N2" s="171"/>
      <c r="O2" s="171"/>
    </row>
    <row r="3" spans="1:15" ht="18.75" customHeight="1">
      <c r="E3" s="3"/>
      <c r="F3" s="3"/>
      <c r="G3" s="3"/>
      <c r="H3" s="3"/>
      <c r="I3" s="3"/>
      <c r="J3" s="3"/>
      <c r="K3" s="3"/>
      <c r="L3" s="3"/>
    </row>
    <row r="4" spans="1:15" ht="30.75" customHeight="1">
      <c r="E4" s="2"/>
      <c r="M4" s="260" t="s">
        <v>2</v>
      </c>
      <c r="N4" s="260"/>
      <c r="O4" s="260"/>
    </row>
    <row r="5" spans="1:15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4" t="s">
        <v>5</v>
      </c>
      <c r="N5" s="264"/>
      <c r="O5" s="264"/>
    </row>
    <row r="6" spans="1:15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</row>
    <row r="7" spans="1:15" ht="30.75" customHeight="1">
      <c r="A7" s="8" t="s">
        <v>13</v>
      </c>
      <c r="I7" s="9"/>
      <c r="J7" s="9"/>
      <c r="K7" s="9"/>
      <c r="L7" s="9"/>
    </row>
    <row r="8" spans="1:15">
      <c r="B8" s="10" t="s">
        <v>14</v>
      </c>
      <c r="I8" s="9"/>
      <c r="J8" s="9"/>
      <c r="K8" s="9"/>
      <c r="L8" s="9"/>
      <c r="M8" s="9"/>
      <c r="N8" s="9"/>
      <c r="O8" s="9"/>
    </row>
    <row r="9" spans="1:15">
      <c r="B9" t="s">
        <v>141</v>
      </c>
      <c r="I9" s="9"/>
      <c r="J9" s="9"/>
      <c r="K9" s="9"/>
      <c r="L9" s="9"/>
      <c r="M9" s="9"/>
      <c r="N9" s="9"/>
      <c r="O9" s="9"/>
    </row>
    <row r="10" spans="1:15">
      <c r="C10" t="s">
        <v>99</v>
      </c>
      <c r="H10" s="12"/>
      <c r="I10" s="97">
        <v>-371189</v>
      </c>
      <c r="J10" s="12"/>
      <c r="K10" s="12"/>
      <c r="L10" s="12"/>
      <c r="M10" s="12">
        <f>SUM(I10:L10)</f>
        <v>-371189</v>
      </c>
      <c r="N10" s="12"/>
      <c r="O10" s="12">
        <f t="shared" ref="O10:O24" si="0">SUM(M10:N10)</f>
        <v>-371189</v>
      </c>
    </row>
    <row r="11" spans="1:15">
      <c r="C11" t="s">
        <v>100</v>
      </c>
      <c r="H11" s="12"/>
      <c r="I11" s="98">
        <v>-2401455</v>
      </c>
      <c r="J11" s="12">
        <v>1080171</v>
      </c>
      <c r="K11" s="12"/>
      <c r="L11" s="12"/>
      <c r="M11" s="12">
        <f>SUM(I11:L11)</f>
        <v>-1321284</v>
      </c>
      <c r="N11" s="12"/>
      <c r="O11" s="12">
        <f>SUM(M11:N11)</f>
        <v>-1321284</v>
      </c>
    </row>
    <row r="12" spans="1:15">
      <c r="C12" t="s">
        <v>102</v>
      </c>
      <c r="H12" s="12"/>
      <c r="I12" s="101">
        <v>-46958</v>
      </c>
      <c r="J12" s="12"/>
      <c r="K12" s="12"/>
      <c r="L12" s="12"/>
      <c r="M12" s="12">
        <f>SUM(I12:L12)</f>
        <v>-46958</v>
      </c>
      <c r="N12" s="12"/>
      <c r="O12" s="12">
        <f>SUM(M12:N12)</f>
        <v>-46958</v>
      </c>
    </row>
    <row r="13" spans="1:15">
      <c r="C13" t="s">
        <v>213</v>
      </c>
      <c r="H13" s="12"/>
      <c r="I13" s="110">
        <v>-1317624</v>
      </c>
      <c r="J13" s="12">
        <v>319261</v>
      </c>
      <c r="K13" s="12">
        <v>56347</v>
      </c>
      <c r="L13" s="12"/>
      <c r="M13" s="12">
        <f>SUM(I13:L13)</f>
        <v>-942016</v>
      </c>
      <c r="N13" s="12"/>
      <c r="O13" s="12">
        <f>SUM(M13:N13)</f>
        <v>-942016</v>
      </c>
    </row>
    <row r="14" spans="1:15">
      <c r="C14" t="s">
        <v>32</v>
      </c>
      <c r="H14" s="12"/>
      <c r="I14" s="108">
        <v>-1492190</v>
      </c>
      <c r="J14" s="12"/>
      <c r="K14" s="12"/>
      <c r="L14" s="12"/>
      <c r="M14" s="12">
        <f>SUM(I14:L14)</f>
        <v>-1492190</v>
      </c>
      <c r="N14" s="12"/>
      <c r="O14" s="12">
        <f>SUM(M14:N14)</f>
        <v>-1492190</v>
      </c>
    </row>
    <row r="15" spans="1:15">
      <c r="C15" t="s">
        <v>16</v>
      </c>
      <c r="H15" s="12"/>
      <c r="I15" s="13">
        <v>-1012619</v>
      </c>
      <c r="J15" s="12"/>
      <c r="K15" s="12">
        <v>110561</v>
      </c>
      <c r="L15" s="12"/>
      <c r="M15" s="12">
        <f t="shared" ref="M15:M24" si="1">SUM(I15:L15)</f>
        <v>-902058</v>
      </c>
      <c r="N15" s="12"/>
      <c r="O15" s="12">
        <f t="shared" si="0"/>
        <v>-902058</v>
      </c>
    </row>
    <row r="16" spans="1:15">
      <c r="C16" t="s">
        <v>17</v>
      </c>
      <c r="H16" s="12"/>
      <c r="I16" s="14">
        <v>-8949274</v>
      </c>
      <c r="J16" s="12">
        <v>304845</v>
      </c>
      <c r="K16" s="12"/>
      <c r="L16" s="12">
        <v>442442</v>
      </c>
      <c r="M16" s="12">
        <f t="shared" si="1"/>
        <v>-8201987</v>
      </c>
      <c r="N16" s="12"/>
      <c r="O16" s="12">
        <f t="shared" si="0"/>
        <v>-8201987</v>
      </c>
    </row>
    <row r="17" spans="2:15">
      <c r="C17" t="s">
        <v>52</v>
      </c>
      <c r="H17" s="12"/>
      <c r="I17" s="107">
        <v>-3857649</v>
      </c>
      <c r="J17" s="12">
        <v>1179593</v>
      </c>
      <c r="K17" s="12"/>
      <c r="L17" s="12">
        <v>20000</v>
      </c>
      <c r="M17" s="12">
        <f>SUM(I17:L17)</f>
        <v>-2658056</v>
      </c>
      <c r="N17" s="12"/>
      <c r="O17" s="12">
        <f t="shared" si="0"/>
        <v>-2658056</v>
      </c>
    </row>
    <row r="18" spans="2:15">
      <c r="C18" t="s">
        <v>20</v>
      </c>
      <c r="H18" s="12"/>
      <c r="I18" s="16">
        <v>-342350</v>
      </c>
      <c r="J18" s="12"/>
      <c r="K18" s="12"/>
      <c r="L18" s="12"/>
      <c r="M18" s="12">
        <f t="shared" si="1"/>
        <v>-342350</v>
      </c>
      <c r="N18" s="12"/>
      <c r="O18" s="12">
        <f t="shared" si="0"/>
        <v>-342350</v>
      </c>
    </row>
    <row r="19" spans="2:15">
      <c r="C19" t="s">
        <v>19</v>
      </c>
      <c r="H19" s="12"/>
      <c r="I19" s="15">
        <v>-1423093</v>
      </c>
      <c r="J19" s="12"/>
      <c r="K19" s="12">
        <v>2880298</v>
      </c>
      <c r="L19" s="12"/>
      <c r="M19" s="12">
        <f t="shared" si="1"/>
        <v>1457205</v>
      </c>
      <c r="N19" s="12"/>
      <c r="O19" s="12">
        <f t="shared" si="0"/>
        <v>1457205</v>
      </c>
    </row>
    <row r="20" spans="2:15">
      <c r="C20" t="s">
        <v>214</v>
      </c>
      <c r="H20" s="12"/>
      <c r="I20" s="107">
        <v>-2054244</v>
      </c>
      <c r="J20" s="12"/>
      <c r="K20" s="12"/>
      <c r="L20" s="12"/>
      <c r="M20" s="12">
        <f t="shared" si="1"/>
        <v>-2054244</v>
      </c>
      <c r="N20" s="12"/>
      <c r="O20" s="12">
        <f t="shared" si="0"/>
        <v>-2054244</v>
      </c>
    </row>
    <row r="21" spans="2:15">
      <c r="C21" t="s">
        <v>71</v>
      </c>
      <c r="H21" s="12"/>
      <c r="I21" s="102">
        <v>-3278177</v>
      </c>
      <c r="J21" s="12"/>
      <c r="K21" s="12">
        <v>2701472</v>
      </c>
      <c r="L21" s="12"/>
      <c r="M21" s="12">
        <f>SUM(I21:L21)</f>
        <v>-576705</v>
      </c>
      <c r="N21" s="12"/>
      <c r="O21" s="12">
        <f t="shared" si="0"/>
        <v>-576705</v>
      </c>
    </row>
    <row r="22" spans="2:15">
      <c r="C22" t="s">
        <v>183</v>
      </c>
      <c r="H22" s="12"/>
      <c r="I22" s="14">
        <v>-764110</v>
      </c>
      <c r="J22" s="12">
        <v>243905</v>
      </c>
      <c r="K22" s="12">
        <v>158838</v>
      </c>
      <c r="L22" s="12"/>
      <c r="M22" s="12">
        <f>SUM(I22:L22)</f>
        <v>-361367</v>
      </c>
      <c r="N22" s="12"/>
      <c r="O22" s="12">
        <f t="shared" si="0"/>
        <v>-361367</v>
      </c>
    </row>
    <row r="23" spans="2:15">
      <c r="C23" t="s">
        <v>215</v>
      </c>
      <c r="H23" s="12"/>
      <c r="I23" s="107">
        <v>-411754</v>
      </c>
      <c r="J23" s="12">
        <v>26019</v>
      </c>
      <c r="K23" s="12">
        <v>5542</v>
      </c>
      <c r="L23" s="12"/>
      <c r="M23" s="12">
        <f>SUM(I23:L23)</f>
        <v>-380193</v>
      </c>
      <c r="N23" s="12"/>
      <c r="O23" s="12">
        <f t="shared" si="0"/>
        <v>-380193</v>
      </c>
    </row>
    <row r="24" spans="2:15">
      <c r="C24" t="s">
        <v>21</v>
      </c>
      <c r="H24" s="12"/>
      <c r="I24" s="98">
        <v>-241</v>
      </c>
      <c r="J24" s="12"/>
      <c r="K24" s="12"/>
      <c r="L24" s="12"/>
      <c r="M24" s="12">
        <f t="shared" si="1"/>
        <v>-241</v>
      </c>
      <c r="N24" s="12"/>
      <c r="O24" s="12">
        <f t="shared" si="0"/>
        <v>-241</v>
      </c>
    </row>
    <row r="25" spans="2:15">
      <c r="H25" s="12"/>
      <c r="I25" s="12"/>
      <c r="J25" s="12"/>
      <c r="K25" s="12"/>
      <c r="L25" s="12"/>
      <c r="M25" s="12"/>
      <c r="N25" s="12"/>
      <c r="O25" s="12"/>
    </row>
    <row r="26" spans="2:15">
      <c r="E26" s="19" t="s">
        <v>22</v>
      </c>
      <c r="F26" s="19"/>
      <c r="G26" s="19"/>
      <c r="H26" s="20"/>
      <c r="I26" s="20">
        <f>SUM(I10:I24)</f>
        <v>-27722927</v>
      </c>
      <c r="J26" s="20">
        <f>SUM(J10:J24)</f>
        <v>3153794</v>
      </c>
      <c r="K26" s="20">
        <f>SUM(K10:K24)</f>
        <v>5913058</v>
      </c>
      <c r="L26" s="20">
        <f>SUM(L10:L24)</f>
        <v>462442</v>
      </c>
      <c r="M26" s="91">
        <f>SUM(M10:M24)</f>
        <v>-18193633</v>
      </c>
      <c r="N26" s="91"/>
      <c r="O26" s="91">
        <f>SUM(O10:O24)</f>
        <v>-18193633</v>
      </c>
    </row>
    <row r="27" spans="2:15">
      <c r="E27" s="8"/>
      <c r="F27" s="8"/>
      <c r="G27" s="8"/>
      <c r="H27" s="26"/>
      <c r="I27" s="26"/>
      <c r="J27" s="26"/>
      <c r="K27" s="26"/>
      <c r="L27" s="26"/>
      <c r="M27" s="26"/>
      <c r="N27" s="26"/>
      <c r="O27" s="26"/>
    </row>
    <row r="28" spans="2:15">
      <c r="B28" s="10" t="s">
        <v>84</v>
      </c>
      <c r="E28" s="8"/>
      <c r="F28" s="8"/>
      <c r="G28" s="8"/>
      <c r="H28" s="26"/>
      <c r="I28" s="26"/>
      <c r="J28" s="26"/>
      <c r="K28" s="26"/>
      <c r="L28" s="26"/>
      <c r="M28" s="26"/>
      <c r="N28" s="26"/>
      <c r="O28" s="26"/>
    </row>
    <row r="29" spans="2:15">
      <c r="B29" s="10"/>
      <c r="C29" t="s">
        <v>216</v>
      </c>
      <c r="E29" s="8"/>
      <c r="F29" s="8"/>
      <c r="G29" s="8"/>
      <c r="H29" s="26"/>
      <c r="I29" s="249">
        <v>-32468</v>
      </c>
      <c r="J29" s="88">
        <v>11667</v>
      </c>
      <c r="K29" s="88"/>
      <c r="L29" s="88"/>
      <c r="M29" s="88"/>
      <c r="N29" s="88">
        <f>SUM(I29:L29)</f>
        <v>-20801</v>
      </c>
      <c r="O29" s="88">
        <f>N29</f>
        <v>-20801</v>
      </c>
    </row>
    <row r="30" spans="2:15">
      <c r="E30" s="8"/>
      <c r="F30" s="8"/>
      <c r="G30" s="8"/>
      <c r="H30" s="26"/>
      <c r="I30" s="26"/>
      <c r="J30" s="26"/>
      <c r="K30" s="26"/>
      <c r="L30" s="26"/>
      <c r="M30" s="26"/>
      <c r="N30" s="26"/>
      <c r="O30" s="26"/>
    </row>
    <row r="31" spans="2:15">
      <c r="E31" s="19" t="s">
        <v>89</v>
      </c>
      <c r="F31" s="19"/>
      <c r="G31" s="19"/>
      <c r="H31" s="20"/>
      <c r="I31" s="20">
        <f t="shared" ref="I31:N31" si="2">I29+I26</f>
        <v>-27755395</v>
      </c>
      <c r="J31" s="20">
        <f t="shared" si="2"/>
        <v>3165461</v>
      </c>
      <c r="K31" s="20">
        <f t="shared" si="2"/>
        <v>5913058</v>
      </c>
      <c r="L31" s="20">
        <f t="shared" si="2"/>
        <v>462442</v>
      </c>
      <c r="M31" s="91">
        <f t="shared" si="2"/>
        <v>-18193633</v>
      </c>
      <c r="N31" s="91">
        <f t="shared" si="2"/>
        <v>-20801</v>
      </c>
      <c r="O31" s="91">
        <f>O29+O26</f>
        <v>-18214434</v>
      </c>
    </row>
    <row r="32" spans="2:15">
      <c r="H32" s="12"/>
      <c r="I32" s="12"/>
      <c r="J32" s="12"/>
      <c r="K32" s="12"/>
      <c r="L32" s="12"/>
      <c r="M32" s="12"/>
      <c r="N32" s="12"/>
      <c r="O32" s="12"/>
    </row>
    <row r="33" spans="1:15">
      <c r="A33" s="8"/>
      <c r="B33" s="8"/>
      <c r="C33" s="8"/>
      <c r="D33" s="8"/>
      <c r="E33" s="8"/>
      <c r="G33" s="8" t="s">
        <v>25</v>
      </c>
      <c r="H33" s="26"/>
      <c r="I33" s="26"/>
      <c r="J33" s="26"/>
      <c r="K33" s="26"/>
      <c r="L33" s="26"/>
      <c r="M33" s="12"/>
      <c r="N33" s="12"/>
      <c r="O33" s="12"/>
    </row>
    <row r="34" spans="1:15">
      <c r="A34" s="8"/>
      <c r="B34" s="8"/>
      <c r="C34" s="8"/>
      <c r="D34" s="8"/>
      <c r="E34" s="8"/>
      <c r="G34" s="8"/>
      <c r="H34" s="88" t="s">
        <v>126</v>
      </c>
      <c r="I34" s="26"/>
      <c r="J34" s="26"/>
      <c r="K34" s="26"/>
      <c r="L34" s="26"/>
      <c r="M34" s="28">
        <v>11903890</v>
      </c>
      <c r="N34" s="12"/>
      <c r="O34" s="12">
        <f t="shared" ref="O34:O43" si="3">SUM(M34:N34)</f>
        <v>11903890</v>
      </c>
    </row>
    <row r="35" spans="1:15">
      <c r="H35" s="12" t="s">
        <v>128</v>
      </c>
      <c r="I35" s="12"/>
      <c r="J35" s="12"/>
      <c r="K35" s="12"/>
      <c r="L35" s="12"/>
      <c r="M35" s="14">
        <v>7022500</v>
      </c>
      <c r="N35" s="12"/>
      <c r="O35" s="12">
        <f t="shared" si="3"/>
        <v>7022500</v>
      </c>
    </row>
    <row r="36" spans="1:15">
      <c r="H36" s="12" t="s">
        <v>127</v>
      </c>
      <c r="I36" s="12"/>
      <c r="J36" s="12"/>
      <c r="K36" s="12"/>
      <c r="L36" s="12"/>
      <c r="M36" s="15">
        <v>1412788</v>
      </c>
      <c r="N36" s="12"/>
      <c r="O36" s="12">
        <f t="shared" si="3"/>
        <v>1412788</v>
      </c>
    </row>
    <row r="37" spans="1:15">
      <c r="H37" s="12" t="s">
        <v>217</v>
      </c>
      <c r="I37" s="12"/>
      <c r="J37" s="12"/>
      <c r="K37" s="12"/>
      <c r="L37" s="12"/>
      <c r="M37" s="14">
        <v>144811</v>
      </c>
      <c r="N37" s="12"/>
      <c r="O37" s="12">
        <f t="shared" si="3"/>
        <v>144811</v>
      </c>
    </row>
    <row r="38" spans="1:15">
      <c r="H38" s="12" t="s">
        <v>218</v>
      </c>
      <c r="I38" s="12"/>
      <c r="J38" s="12"/>
      <c r="K38" s="12"/>
      <c r="L38" s="12"/>
      <c r="M38" s="14">
        <v>128344</v>
      </c>
      <c r="N38" s="12"/>
      <c r="O38" s="12">
        <f t="shared" si="3"/>
        <v>128344</v>
      </c>
    </row>
    <row r="39" spans="1:15">
      <c r="H39" s="12" t="s">
        <v>77</v>
      </c>
      <c r="I39" s="12"/>
      <c r="J39" s="12"/>
      <c r="K39" s="12"/>
      <c r="L39" s="12"/>
      <c r="M39" s="29">
        <v>-79777</v>
      </c>
      <c r="N39" s="12"/>
      <c r="O39" s="12">
        <f t="shared" si="3"/>
        <v>-79777</v>
      </c>
    </row>
    <row r="40" spans="1:15">
      <c r="H40" s="12" t="s">
        <v>75</v>
      </c>
      <c r="I40" s="12"/>
      <c r="J40" s="12"/>
      <c r="K40" s="12"/>
      <c r="L40" s="12"/>
      <c r="M40" s="105">
        <v>56559</v>
      </c>
      <c r="N40" s="12"/>
      <c r="O40" s="12">
        <f t="shared" si="3"/>
        <v>56559</v>
      </c>
    </row>
    <row r="41" spans="1:15">
      <c r="H41" s="12" t="s">
        <v>219</v>
      </c>
      <c r="I41" s="12"/>
      <c r="J41" s="12"/>
      <c r="K41" s="12"/>
      <c r="L41" s="12"/>
      <c r="M41" s="29">
        <v>13390</v>
      </c>
      <c r="N41" s="12"/>
      <c r="O41" s="12">
        <f t="shared" si="3"/>
        <v>13390</v>
      </c>
    </row>
    <row r="42" spans="1:15">
      <c r="H42" s="12" t="s">
        <v>220</v>
      </c>
      <c r="I42" s="12"/>
      <c r="J42" s="12"/>
      <c r="K42" s="12"/>
      <c r="L42" s="12"/>
      <c r="M42" s="29">
        <v>731230</v>
      </c>
      <c r="N42" s="12"/>
      <c r="O42" s="12">
        <f t="shared" si="3"/>
        <v>731230</v>
      </c>
    </row>
    <row r="43" spans="1:15">
      <c r="H43" s="12" t="s">
        <v>221</v>
      </c>
      <c r="I43" s="12"/>
      <c r="J43" s="12"/>
      <c r="K43" s="12"/>
      <c r="L43" s="12"/>
      <c r="M43" s="29">
        <v>253944</v>
      </c>
      <c r="N43" s="12"/>
      <c r="O43" s="12">
        <f t="shared" si="3"/>
        <v>253944</v>
      </c>
    </row>
    <row r="44" spans="1:15">
      <c r="G44" t="s">
        <v>222</v>
      </c>
      <c r="H44" s="12"/>
      <c r="I44" s="12"/>
      <c r="J44" s="12"/>
      <c r="K44" s="12"/>
      <c r="L44" s="12"/>
      <c r="M44" s="12"/>
      <c r="N44" s="12"/>
      <c r="O44" s="12"/>
    </row>
    <row r="45" spans="1:15">
      <c r="H45" s="12" t="s">
        <v>223</v>
      </c>
      <c r="I45" s="12"/>
      <c r="J45" s="12"/>
      <c r="K45" s="12"/>
      <c r="L45" s="12"/>
      <c r="M45" s="97">
        <v>-21150</v>
      </c>
      <c r="N45" s="12">
        <v>21150</v>
      </c>
      <c r="O45" s="12">
        <f>SUM(M45:N45)</f>
        <v>0</v>
      </c>
    </row>
    <row r="46" spans="1:15">
      <c r="H46" s="12"/>
      <c r="I46" s="12"/>
      <c r="J46" s="12"/>
      <c r="K46" s="12"/>
      <c r="L46" s="12"/>
      <c r="M46" s="12"/>
      <c r="N46" s="12"/>
      <c r="O46" s="12"/>
    </row>
    <row r="47" spans="1:15">
      <c r="H47" s="20" t="s">
        <v>38</v>
      </c>
      <c r="I47" s="20"/>
      <c r="J47" s="20"/>
      <c r="K47" s="20"/>
      <c r="L47" s="20"/>
      <c r="M47" s="20">
        <f>SUM(M34:M45)</f>
        <v>21566529</v>
      </c>
      <c r="N47" s="20">
        <f>SUM(N34:N45)</f>
        <v>21150</v>
      </c>
      <c r="O47" s="20">
        <f>SUM(O34:O45)</f>
        <v>21587679</v>
      </c>
    </row>
    <row r="48" spans="1:15">
      <c r="H48" s="12"/>
      <c r="I48" s="12"/>
      <c r="J48" s="12"/>
      <c r="K48" s="12"/>
      <c r="L48" s="12"/>
      <c r="M48" s="12"/>
      <c r="N48" s="12"/>
      <c r="O48" s="12"/>
    </row>
    <row r="49" spans="5:15">
      <c r="H49" s="20" t="s">
        <v>39</v>
      </c>
      <c r="I49" s="20"/>
      <c r="J49" s="20"/>
      <c r="K49" s="20"/>
      <c r="L49" s="20"/>
      <c r="M49" s="20">
        <f>M47+M31</f>
        <v>3372896</v>
      </c>
      <c r="N49" s="20">
        <f>N47+N31</f>
        <v>349</v>
      </c>
      <c r="O49" s="20">
        <f>O47+O31</f>
        <v>3373245</v>
      </c>
    </row>
    <row r="50" spans="5:15">
      <c r="H50" s="26"/>
      <c r="I50" s="26"/>
      <c r="J50" s="26"/>
      <c r="K50" s="26"/>
      <c r="L50" s="26"/>
      <c r="M50" s="26"/>
      <c r="N50" s="26"/>
      <c r="O50" s="26"/>
    </row>
    <row r="51" spans="5:15">
      <c r="E51" s="31" t="s">
        <v>67</v>
      </c>
      <c r="F51" s="31"/>
      <c r="G51" s="31"/>
      <c r="H51" s="32"/>
      <c r="I51" s="32"/>
      <c r="J51" s="32"/>
      <c r="K51" s="32"/>
      <c r="L51" s="32"/>
      <c r="M51" s="33">
        <v>108886870</v>
      </c>
      <c r="N51" s="33">
        <v>11562</v>
      </c>
      <c r="O51" s="33">
        <v>108898432</v>
      </c>
    </row>
    <row r="52" spans="5:15">
      <c r="H52" s="12"/>
      <c r="I52" s="12"/>
      <c r="J52" s="12"/>
      <c r="K52" s="12"/>
      <c r="L52" s="12"/>
      <c r="M52" s="12"/>
      <c r="N52" s="12"/>
      <c r="O52" s="12"/>
    </row>
    <row r="53" spans="5:15">
      <c r="E53" s="34" t="s">
        <v>44</v>
      </c>
      <c r="F53" s="34"/>
      <c r="G53" s="34"/>
      <c r="H53" s="35"/>
      <c r="I53" s="35"/>
      <c r="J53" s="35"/>
      <c r="K53" s="35"/>
      <c r="L53" s="35"/>
      <c r="M53" s="92">
        <f>SUM(M49,M51)</f>
        <v>112259766</v>
      </c>
      <c r="N53" s="92">
        <f>N51+N49</f>
        <v>11911</v>
      </c>
      <c r="O53" s="92">
        <f>O51+O49</f>
        <v>112271677</v>
      </c>
    </row>
    <row r="60" spans="5:15">
      <c r="K60" s="9"/>
      <c r="L60" s="9"/>
      <c r="M60" s="9"/>
      <c r="N60" s="9"/>
      <c r="O60" s="9"/>
    </row>
  </sheetData>
  <mergeCells count="5">
    <mergeCell ref="J1:M1"/>
    <mergeCell ref="J2:M2"/>
    <mergeCell ref="M4:O4"/>
    <mergeCell ref="J5:L5"/>
    <mergeCell ref="M5:O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67"/>
  <sheetViews>
    <sheetView topLeftCell="A6" workbookViewId="0">
      <selection activeCell="G22" sqref="G22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  <col min="16" max="16" width="14.42578125" customWidth="1"/>
  </cols>
  <sheetData>
    <row r="1" spans="1:16" ht="30" customHeight="1">
      <c r="J1" s="258" t="s">
        <v>224</v>
      </c>
      <c r="K1" s="258"/>
      <c r="L1" s="258"/>
      <c r="M1" s="258"/>
      <c r="N1" s="170"/>
      <c r="O1" s="170"/>
    </row>
    <row r="2" spans="1:16" ht="21.75" customHeight="1">
      <c r="J2" s="259" t="s">
        <v>1</v>
      </c>
      <c r="K2" s="259"/>
      <c r="L2" s="259"/>
      <c r="M2" s="259"/>
      <c r="N2" s="171"/>
      <c r="O2" s="171"/>
    </row>
    <row r="3" spans="1:16" ht="18.75" customHeight="1">
      <c r="E3" s="3"/>
      <c r="F3" s="3"/>
      <c r="G3" s="3"/>
      <c r="H3" s="3"/>
      <c r="I3" s="3"/>
      <c r="J3" s="3"/>
      <c r="K3" s="3"/>
      <c r="L3" s="3"/>
    </row>
    <row r="4" spans="1:16" ht="30.75" customHeight="1">
      <c r="E4" s="2"/>
      <c r="M4" s="260" t="s">
        <v>2</v>
      </c>
      <c r="N4" s="260"/>
      <c r="O4" s="260"/>
      <c r="P4" s="260"/>
    </row>
    <row r="5" spans="1:16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2" t="s">
        <v>5</v>
      </c>
      <c r="N5" s="262"/>
      <c r="O5" s="262"/>
      <c r="P5" s="112"/>
    </row>
    <row r="6" spans="1:16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  <c r="P6" s="90" t="s">
        <v>12</v>
      </c>
    </row>
    <row r="7" spans="1:16" ht="30.75" customHeight="1">
      <c r="A7" s="8" t="s">
        <v>13</v>
      </c>
      <c r="I7" s="9"/>
      <c r="J7" s="9"/>
      <c r="K7" s="9"/>
      <c r="L7" s="9"/>
    </row>
    <row r="8" spans="1:16">
      <c r="B8" s="10" t="s">
        <v>14</v>
      </c>
      <c r="I8" s="9"/>
      <c r="J8" s="9"/>
      <c r="K8" s="9"/>
      <c r="L8" s="9"/>
      <c r="M8" s="9"/>
      <c r="N8" s="9"/>
      <c r="O8" s="9"/>
    </row>
    <row r="9" spans="1:16">
      <c r="C9" t="s">
        <v>15</v>
      </c>
      <c r="H9" s="12"/>
      <c r="I9" s="11">
        <v>-97833150</v>
      </c>
      <c r="J9" s="12">
        <v>22638870</v>
      </c>
      <c r="K9" s="12">
        <v>294653</v>
      </c>
      <c r="L9" s="12"/>
      <c r="M9" s="12">
        <f t="shared" ref="M9:M16" si="0">SUM(I9:L9)</f>
        <v>-74899627</v>
      </c>
      <c r="N9" s="12"/>
      <c r="O9" s="12">
        <f t="shared" ref="O9:O16" si="1">SUM(M9:N9)</f>
        <v>-74899627</v>
      </c>
    </row>
    <row r="10" spans="1:16">
      <c r="C10" t="s">
        <v>16</v>
      </c>
      <c r="H10" s="12"/>
      <c r="I10" s="13">
        <v>-237028010</v>
      </c>
      <c r="J10" s="12">
        <v>28032000</v>
      </c>
      <c r="K10" s="12">
        <v>10591272</v>
      </c>
      <c r="L10" s="12">
        <v>301660</v>
      </c>
      <c r="M10" s="12">
        <f t="shared" si="0"/>
        <v>-198103078</v>
      </c>
      <c r="N10" s="12"/>
      <c r="O10" s="12">
        <f t="shared" si="1"/>
        <v>-198103078</v>
      </c>
    </row>
    <row r="11" spans="1:16">
      <c r="C11" t="s">
        <v>183</v>
      </c>
      <c r="H11" s="12"/>
      <c r="I11" s="14">
        <v>-68812076</v>
      </c>
      <c r="J11" s="12">
        <v>269248</v>
      </c>
      <c r="K11" s="12">
        <v>610377</v>
      </c>
      <c r="L11" s="12">
        <v>12571646</v>
      </c>
      <c r="M11" s="12">
        <f>SUM(I11:L11)</f>
        <v>-55360805</v>
      </c>
      <c r="N11" s="12"/>
      <c r="O11" s="12">
        <f>SUM(M11:N11)</f>
        <v>-55360805</v>
      </c>
    </row>
    <row r="12" spans="1:16">
      <c r="C12" t="s">
        <v>52</v>
      </c>
      <c r="H12" s="12"/>
      <c r="I12" s="107">
        <v>-5791</v>
      </c>
      <c r="J12" s="12">
        <v>54389</v>
      </c>
      <c r="K12" s="12"/>
      <c r="L12" s="12"/>
      <c r="M12" s="12">
        <f>SUM(I12:L12)</f>
        <v>48598</v>
      </c>
      <c r="N12" s="12"/>
      <c r="O12" s="12">
        <f>SUM(M12:N12)</f>
        <v>48598</v>
      </c>
    </row>
    <row r="13" spans="1:16">
      <c r="C13" t="s">
        <v>19</v>
      </c>
      <c r="H13" s="12"/>
      <c r="I13" s="15">
        <v>-9499922</v>
      </c>
      <c r="J13" s="12">
        <v>798229</v>
      </c>
      <c r="K13" s="12">
        <v>604950</v>
      </c>
      <c r="L13" s="12"/>
      <c r="M13" s="12">
        <f>SUM(I13:L13)</f>
        <v>-8096743</v>
      </c>
      <c r="N13" s="12"/>
      <c r="O13" s="12">
        <f t="shared" si="1"/>
        <v>-8096743</v>
      </c>
    </row>
    <row r="14" spans="1:16">
      <c r="C14" t="s">
        <v>20</v>
      </c>
      <c r="H14" s="12"/>
      <c r="I14" s="16">
        <v>-38171468</v>
      </c>
      <c r="J14" s="12">
        <v>320831</v>
      </c>
      <c r="K14" s="12">
        <v>966897</v>
      </c>
      <c r="L14" s="12"/>
      <c r="M14" s="12">
        <f t="shared" si="0"/>
        <v>-36883740</v>
      </c>
      <c r="N14" s="12"/>
      <c r="O14" s="12">
        <f t="shared" si="1"/>
        <v>-36883740</v>
      </c>
    </row>
    <row r="15" spans="1:16">
      <c r="C15" t="s">
        <v>225</v>
      </c>
      <c r="H15" s="12"/>
      <c r="I15" s="107">
        <v>-50034044</v>
      </c>
      <c r="J15" s="12">
        <v>3555210</v>
      </c>
      <c r="K15" s="12">
        <v>35143291</v>
      </c>
      <c r="L15" s="12">
        <v>254986</v>
      </c>
      <c r="M15" s="12">
        <f t="shared" si="0"/>
        <v>-11080557</v>
      </c>
      <c r="N15" s="12"/>
      <c r="O15" s="12">
        <f t="shared" si="1"/>
        <v>-11080557</v>
      </c>
    </row>
    <row r="16" spans="1:16">
      <c r="C16" t="s">
        <v>226</v>
      </c>
      <c r="H16" s="12"/>
      <c r="I16" s="98">
        <v>-15625052</v>
      </c>
      <c r="J16" s="12"/>
      <c r="K16" s="12"/>
      <c r="L16" s="12"/>
      <c r="M16" s="12">
        <f t="shared" si="0"/>
        <v>-15625052</v>
      </c>
      <c r="N16" s="12"/>
      <c r="O16" s="12">
        <f t="shared" si="1"/>
        <v>-15625052</v>
      </c>
    </row>
    <row r="17" spans="1:16">
      <c r="H17" s="12"/>
      <c r="I17" s="12"/>
      <c r="J17" s="12"/>
      <c r="K17" s="12"/>
      <c r="L17" s="12"/>
      <c r="M17" s="12"/>
      <c r="N17" s="12"/>
      <c r="O17" s="12"/>
    </row>
    <row r="18" spans="1:16">
      <c r="E18" s="19" t="s">
        <v>22</v>
      </c>
      <c r="F18" s="19"/>
      <c r="G18" s="19"/>
      <c r="H18" s="20"/>
      <c r="I18" s="20">
        <f>SUM(I9:I16)</f>
        <v>-517009513</v>
      </c>
      <c r="J18" s="20">
        <f>SUM(J9:J16)</f>
        <v>55668777</v>
      </c>
      <c r="K18" s="20">
        <f>SUM(K9:K16)</f>
        <v>48211440</v>
      </c>
      <c r="L18" s="20">
        <f>SUM(L9:L16)</f>
        <v>13128292</v>
      </c>
      <c r="M18" s="91">
        <f>SUM(M9:M16)</f>
        <v>-400001004</v>
      </c>
      <c r="N18" s="91"/>
      <c r="O18" s="91">
        <f>SUM(O9:O16)</f>
        <v>-400001004</v>
      </c>
      <c r="P18" s="93">
        <f>SUM(P9:P16)</f>
        <v>0</v>
      </c>
    </row>
    <row r="19" spans="1:16">
      <c r="E19" s="8"/>
      <c r="F19" s="8"/>
      <c r="G19" s="8"/>
      <c r="H19" s="26"/>
      <c r="I19" s="26"/>
      <c r="J19" s="26"/>
      <c r="K19" s="26"/>
      <c r="L19" s="26"/>
      <c r="M19" s="26"/>
      <c r="N19" s="26"/>
      <c r="O19" s="26"/>
    </row>
    <row r="20" spans="1:16">
      <c r="B20" s="10" t="s">
        <v>84</v>
      </c>
      <c r="E20" s="8"/>
      <c r="F20" s="8"/>
      <c r="G20" s="8"/>
      <c r="H20" s="26"/>
      <c r="I20" s="26"/>
      <c r="J20" s="26"/>
      <c r="K20" s="26"/>
      <c r="L20" s="26"/>
      <c r="M20" s="26"/>
      <c r="N20" s="26"/>
      <c r="O20" s="26"/>
    </row>
    <row r="21" spans="1:16">
      <c r="C21" t="s">
        <v>227</v>
      </c>
      <c r="E21" s="8"/>
      <c r="F21" s="8"/>
      <c r="G21" s="8"/>
      <c r="H21" s="26"/>
      <c r="I21" s="251">
        <v>-28608472</v>
      </c>
      <c r="J21" s="88">
        <v>17581662</v>
      </c>
      <c r="K21" s="88">
        <v>705204</v>
      </c>
      <c r="L21" s="88">
        <v>5293273</v>
      </c>
      <c r="M21" s="88"/>
      <c r="N21" s="88">
        <f>SUM(I21:L21)</f>
        <v>-5028333</v>
      </c>
      <c r="O21" s="88">
        <f>SUM(M21:N21)</f>
        <v>-5028333</v>
      </c>
    </row>
    <row r="22" spans="1:16">
      <c r="C22" t="s">
        <v>172</v>
      </c>
      <c r="E22" s="8"/>
      <c r="F22" s="8"/>
      <c r="G22" s="8"/>
      <c r="H22" s="26"/>
      <c r="I22" s="249">
        <v>-131780088</v>
      </c>
      <c r="J22" s="88">
        <v>74404748</v>
      </c>
      <c r="K22" s="88">
        <v>6847548</v>
      </c>
      <c r="L22" s="88">
        <v>2862431</v>
      </c>
      <c r="M22" s="88"/>
      <c r="N22" s="88">
        <f t="shared" ref="N22:N24" si="2">SUM(I22:L22)</f>
        <v>-47665361</v>
      </c>
      <c r="O22" s="88">
        <f t="shared" ref="O22:O24" si="3">SUM(M22:N22)</f>
        <v>-47665361</v>
      </c>
    </row>
    <row r="23" spans="1:16">
      <c r="C23" t="s">
        <v>228</v>
      </c>
      <c r="E23" s="8"/>
      <c r="F23" s="8"/>
      <c r="G23" s="8"/>
      <c r="H23" s="26"/>
      <c r="I23" s="248">
        <v>-37196266</v>
      </c>
      <c r="J23" s="88">
        <v>36332687</v>
      </c>
      <c r="K23" s="88"/>
      <c r="L23" s="88"/>
      <c r="M23" s="88"/>
      <c r="N23" s="88">
        <f t="shared" si="2"/>
        <v>-863579</v>
      </c>
      <c r="O23" s="88">
        <f t="shared" si="3"/>
        <v>-863579</v>
      </c>
    </row>
    <row r="24" spans="1:16">
      <c r="C24" t="s">
        <v>229</v>
      </c>
      <c r="E24" s="8"/>
      <c r="F24" s="8"/>
      <c r="G24" s="8"/>
      <c r="H24" s="26"/>
      <c r="I24" s="247">
        <v>-13305252</v>
      </c>
      <c r="J24" s="88">
        <v>6459913</v>
      </c>
      <c r="K24" s="88">
        <v>59498</v>
      </c>
      <c r="L24" s="88">
        <v>1470739</v>
      </c>
      <c r="M24" s="88"/>
      <c r="N24" s="88">
        <f t="shared" si="2"/>
        <v>-5315102</v>
      </c>
      <c r="O24" s="88">
        <f t="shared" si="3"/>
        <v>-5315102</v>
      </c>
    </row>
    <row r="25" spans="1:16">
      <c r="C25" t="s">
        <v>230</v>
      </c>
      <c r="E25" s="8"/>
      <c r="F25" s="8"/>
      <c r="G25" s="8"/>
      <c r="H25" s="26"/>
      <c r="I25" s="252">
        <v>-1110612</v>
      </c>
      <c r="J25" s="88">
        <v>1091019</v>
      </c>
      <c r="K25" s="88"/>
      <c r="L25" s="88"/>
      <c r="M25" s="88"/>
      <c r="N25" s="88">
        <f>SUM(I25:L25)</f>
        <v>-19593</v>
      </c>
      <c r="O25" s="88">
        <f>SUM(M25:N25)</f>
        <v>-19593</v>
      </c>
    </row>
    <row r="26" spans="1:16">
      <c r="E26" s="8"/>
      <c r="F26" s="8"/>
      <c r="G26" s="8"/>
      <c r="H26" s="26"/>
      <c r="I26" s="26"/>
      <c r="J26" s="26"/>
      <c r="K26" s="26"/>
      <c r="L26" s="26"/>
      <c r="M26" s="26"/>
      <c r="N26" s="26"/>
      <c r="O26" s="26"/>
    </row>
    <row r="27" spans="1:16">
      <c r="E27" s="19" t="s">
        <v>173</v>
      </c>
      <c r="F27" s="19"/>
      <c r="G27" s="19"/>
      <c r="H27" s="20"/>
      <c r="I27" s="20">
        <f t="shared" ref="I27:O27" si="4">SUM(I21:I25)</f>
        <v>-212000690</v>
      </c>
      <c r="J27" s="20">
        <f t="shared" si="4"/>
        <v>135870029</v>
      </c>
      <c r="K27" s="20">
        <f t="shared" si="4"/>
        <v>7612250</v>
      </c>
      <c r="L27" s="20">
        <f t="shared" si="4"/>
        <v>9626443</v>
      </c>
      <c r="M27" s="91">
        <f t="shared" si="4"/>
        <v>0</v>
      </c>
      <c r="N27" s="91">
        <f t="shared" si="4"/>
        <v>-58891968</v>
      </c>
      <c r="O27" s="91">
        <f t="shared" si="4"/>
        <v>-58891968</v>
      </c>
      <c r="P27" s="93">
        <f>SUM(P15:P25)</f>
        <v>0</v>
      </c>
    </row>
    <row r="28" spans="1:16">
      <c r="E28" s="8"/>
      <c r="F28" s="8"/>
      <c r="G28" s="8"/>
      <c r="H28" s="26"/>
      <c r="I28" s="26"/>
      <c r="J28" s="26"/>
      <c r="K28" s="26"/>
      <c r="L28" s="26"/>
      <c r="M28" s="26"/>
      <c r="N28" s="26"/>
      <c r="O28" s="26"/>
    </row>
    <row r="29" spans="1:16">
      <c r="E29" s="19" t="s">
        <v>89</v>
      </c>
      <c r="F29" s="19"/>
      <c r="G29" s="19"/>
      <c r="H29" s="20"/>
      <c r="I29" s="20">
        <f>I27+I18</f>
        <v>-729010203</v>
      </c>
      <c r="J29" s="20">
        <f>J27+J18</f>
        <v>191538806</v>
      </c>
      <c r="K29" s="20">
        <f>SUM(K18+K27)</f>
        <v>55823690</v>
      </c>
      <c r="L29" s="20">
        <f>SUM(L18+L27)</f>
        <v>22754735</v>
      </c>
      <c r="M29" s="91">
        <f>M27+M18</f>
        <v>-400001004</v>
      </c>
      <c r="N29" s="91">
        <f>N27+N18</f>
        <v>-58891968</v>
      </c>
      <c r="O29" s="91">
        <f>O27+O18</f>
        <v>-458892972</v>
      </c>
      <c r="P29" s="93">
        <f>SUM(P17:P27)</f>
        <v>0</v>
      </c>
    </row>
    <row r="30" spans="1:16">
      <c r="E30" s="8"/>
      <c r="F30" s="8"/>
      <c r="G30" s="8"/>
      <c r="H30" s="26"/>
      <c r="I30" s="26"/>
      <c r="J30" s="26"/>
      <c r="K30" s="26"/>
      <c r="L30" s="26"/>
      <c r="M30" s="26"/>
      <c r="N30" s="26"/>
      <c r="O30" s="26"/>
    </row>
    <row r="31" spans="1:16">
      <c r="A31" s="10" t="s">
        <v>23</v>
      </c>
      <c r="H31" s="12"/>
      <c r="I31" s="12"/>
      <c r="J31" s="12"/>
      <c r="K31" s="12"/>
      <c r="L31" s="12"/>
      <c r="M31" s="12"/>
      <c r="N31" s="12"/>
      <c r="O31" s="12"/>
    </row>
    <row r="32" spans="1:16">
      <c r="B32" t="s">
        <v>231</v>
      </c>
      <c r="H32" s="12"/>
      <c r="I32" s="12">
        <v>-56432777</v>
      </c>
      <c r="J32" s="12">
        <v>25651979</v>
      </c>
      <c r="K32" s="12">
        <v>23396868</v>
      </c>
      <c r="L32" s="12"/>
      <c r="M32" s="12"/>
      <c r="N32" s="12"/>
      <c r="O32" s="12"/>
      <c r="P32" s="12">
        <f>SUM(I32:M32)</f>
        <v>-7383930</v>
      </c>
    </row>
    <row r="33" spans="1:16">
      <c r="B33" t="s">
        <v>232</v>
      </c>
      <c r="H33" s="12"/>
      <c r="I33" s="12">
        <v>-4029211</v>
      </c>
      <c r="J33" s="12">
        <v>211925</v>
      </c>
      <c r="K33" s="12">
        <v>2840925</v>
      </c>
      <c r="L33" s="12"/>
      <c r="M33" s="12"/>
      <c r="N33" s="12"/>
      <c r="O33" s="12"/>
      <c r="P33" s="12">
        <f>SUM(I33:L33)</f>
        <v>-976361</v>
      </c>
    </row>
    <row r="34" spans="1:16">
      <c r="B34" t="s">
        <v>233</v>
      </c>
      <c r="H34" s="12"/>
      <c r="I34" s="12">
        <v>-19426686</v>
      </c>
      <c r="J34" s="12">
        <v>2186502</v>
      </c>
      <c r="K34" s="12"/>
      <c r="L34" s="12">
        <v>2830311</v>
      </c>
      <c r="M34" s="12"/>
      <c r="N34" s="12"/>
      <c r="O34" s="12"/>
      <c r="P34" s="12">
        <f>SUM(I34:L34)</f>
        <v>-14409873</v>
      </c>
    </row>
    <row r="35" spans="1:16">
      <c r="H35" s="12"/>
      <c r="I35" s="12"/>
      <c r="J35" s="12"/>
      <c r="K35" s="12"/>
      <c r="L35" s="12"/>
      <c r="M35" s="12"/>
      <c r="N35" s="12"/>
      <c r="O35" s="12"/>
    </row>
    <row r="36" spans="1:16">
      <c r="E36" s="19" t="s">
        <v>92</v>
      </c>
      <c r="F36" s="19"/>
      <c r="G36" s="19"/>
      <c r="H36" s="20"/>
      <c r="I36" s="20">
        <f t="shared" ref="I36:P36" si="5">SUM(I32:I34)</f>
        <v>-79888674</v>
      </c>
      <c r="J36" s="20">
        <f t="shared" si="5"/>
        <v>28050406</v>
      </c>
      <c r="K36" s="20">
        <f t="shared" si="5"/>
        <v>26237793</v>
      </c>
      <c r="L36" s="20">
        <f t="shared" si="5"/>
        <v>2830311</v>
      </c>
      <c r="M36" s="91">
        <f t="shared" si="5"/>
        <v>0</v>
      </c>
      <c r="N36" s="91">
        <f t="shared" si="5"/>
        <v>0</v>
      </c>
      <c r="O36" s="91">
        <f t="shared" si="5"/>
        <v>0</v>
      </c>
      <c r="P36" s="94">
        <f t="shared" si="5"/>
        <v>-22770164</v>
      </c>
    </row>
    <row r="37" spans="1:16">
      <c r="H37" s="12"/>
      <c r="I37" s="12"/>
      <c r="J37" s="12"/>
      <c r="K37" s="12"/>
      <c r="L37" s="12"/>
      <c r="M37" s="12"/>
      <c r="N37" s="12"/>
      <c r="O37" s="12"/>
    </row>
    <row r="38" spans="1:16">
      <c r="A38" s="8"/>
      <c r="B38" s="8"/>
      <c r="C38" s="8"/>
      <c r="D38" s="8"/>
      <c r="E38" s="8"/>
      <c r="G38" s="8" t="s">
        <v>25</v>
      </c>
      <c r="H38" s="26"/>
      <c r="I38" s="26"/>
      <c r="J38" s="26"/>
      <c r="K38" s="26"/>
      <c r="L38" s="26"/>
      <c r="M38" s="12"/>
      <c r="N38" s="12"/>
      <c r="O38" s="12"/>
    </row>
    <row r="39" spans="1:16">
      <c r="A39" s="8"/>
      <c r="B39" s="8"/>
      <c r="C39" s="8"/>
      <c r="D39" s="8"/>
      <c r="E39" s="8"/>
      <c r="G39" s="8"/>
      <c r="H39" s="88" t="s">
        <v>26</v>
      </c>
      <c r="I39" s="26"/>
      <c r="J39" s="26"/>
      <c r="K39" s="26"/>
      <c r="L39" s="26"/>
      <c r="M39" s="12"/>
      <c r="N39" s="12"/>
      <c r="O39" s="12"/>
    </row>
    <row r="40" spans="1:16">
      <c r="H40" s="12"/>
      <c r="I40" s="12" t="s">
        <v>27</v>
      </c>
      <c r="J40" s="12"/>
      <c r="K40" s="12"/>
      <c r="L40" s="12"/>
      <c r="M40" s="28">
        <v>94352140</v>
      </c>
      <c r="N40" s="12"/>
      <c r="O40" s="12">
        <f t="shared" ref="O40:O52" si="6">SUM(M40:N40)</f>
        <v>94352140</v>
      </c>
      <c r="P40" s="12">
        <v>14612939</v>
      </c>
    </row>
    <row r="41" spans="1:16">
      <c r="H41" s="12"/>
      <c r="I41" s="12" t="s">
        <v>234</v>
      </c>
      <c r="J41" s="12"/>
      <c r="K41" s="12"/>
      <c r="L41" s="12"/>
      <c r="M41" s="15">
        <v>23093005</v>
      </c>
      <c r="N41" s="12"/>
      <c r="O41" s="12">
        <f t="shared" si="6"/>
        <v>23093005</v>
      </c>
      <c r="P41" s="12"/>
    </row>
    <row r="42" spans="1:16">
      <c r="H42" s="12"/>
      <c r="I42" s="12" t="s">
        <v>28</v>
      </c>
      <c r="J42" s="12"/>
      <c r="K42" s="12"/>
      <c r="L42" s="12"/>
      <c r="M42" s="14">
        <v>219609518</v>
      </c>
      <c r="N42" s="12">
        <v>42996932</v>
      </c>
      <c r="O42" s="12">
        <f t="shared" si="6"/>
        <v>262606450</v>
      </c>
      <c r="P42" s="12"/>
    </row>
    <row r="43" spans="1:16">
      <c r="H43" s="12"/>
      <c r="I43" s="12" t="s">
        <v>235</v>
      </c>
      <c r="J43" s="12"/>
      <c r="K43" s="12"/>
      <c r="L43" s="12"/>
      <c r="M43" s="15">
        <v>2200681</v>
      </c>
      <c r="N43" s="12"/>
      <c r="O43" s="12">
        <f t="shared" si="6"/>
        <v>2200681</v>
      </c>
      <c r="P43" s="12">
        <v>2085006</v>
      </c>
    </row>
    <row r="44" spans="1:16">
      <c r="H44" s="12"/>
      <c r="I44" s="12" t="s">
        <v>236</v>
      </c>
      <c r="J44" s="12"/>
      <c r="K44" s="12"/>
      <c r="L44" s="12"/>
      <c r="M44" s="15">
        <v>10382634</v>
      </c>
      <c r="N44" s="12"/>
      <c r="O44" s="12">
        <f t="shared" si="6"/>
        <v>10382634</v>
      </c>
      <c r="P44" s="12"/>
    </row>
    <row r="45" spans="1:16">
      <c r="H45" s="12"/>
      <c r="I45" s="12" t="s">
        <v>237</v>
      </c>
      <c r="J45" s="12"/>
      <c r="K45" s="12"/>
      <c r="L45" s="12"/>
      <c r="M45" s="15">
        <v>3774099</v>
      </c>
      <c r="N45" s="12"/>
      <c r="O45" s="12">
        <f t="shared" si="6"/>
        <v>3774099</v>
      </c>
    </row>
    <row r="46" spans="1:16">
      <c r="H46" s="12"/>
      <c r="I46" s="12" t="s">
        <v>238</v>
      </c>
      <c r="J46" s="12"/>
      <c r="K46" s="12"/>
      <c r="L46" s="12"/>
      <c r="M46" s="14">
        <v>9438267</v>
      </c>
      <c r="N46" s="12"/>
      <c r="O46" s="12">
        <f t="shared" si="6"/>
        <v>9438267</v>
      </c>
    </row>
    <row r="47" spans="1:16">
      <c r="H47" s="12"/>
      <c r="I47" s="12" t="s">
        <v>239</v>
      </c>
      <c r="J47" s="12"/>
      <c r="K47" s="12"/>
      <c r="L47" s="12"/>
      <c r="M47" s="15">
        <v>2524919</v>
      </c>
      <c r="N47" s="12"/>
      <c r="O47" s="12">
        <f t="shared" si="6"/>
        <v>2524919</v>
      </c>
    </row>
    <row r="48" spans="1:16">
      <c r="H48" s="12" t="s">
        <v>36</v>
      </c>
      <c r="I48" s="12"/>
      <c r="J48" s="12"/>
      <c r="K48" s="12"/>
      <c r="L48" s="12"/>
      <c r="M48" s="29">
        <v>11040</v>
      </c>
      <c r="N48" s="12">
        <v>75000</v>
      </c>
      <c r="O48" s="12">
        <f t="shared" si="6"/>
        <v>86040</v>
      </c>
      <c r="P48">
        <v>274166</v>
      </c>
    </row>
    <row r="49" spans="5:16">
      <c r="H49" s="12" t="s">
        <v>33</v>
      </c>
      <c r="I49" s="12"/>
      <c r="J49" s="12"/>
      <c r="K49" s="12"/>
      <c r="L49" s="12"/>
      <c r="M49" s="11">
        <v>7675158</v>
      </c>
      <c r="N49" s="12"/>
      <c r="O49" s="12">
        <f t="shared" si="6"/>
        <v>7675158</v>
      </c>
      <c r="P49">
        <v>5915612</v>
      </c>
    </row>
    <row r="50" spans="5:16">
      <c r="H50" s="12" t="s">
        <v>77</v>
      </c>
      <c r="I50" s="12"/>
      <c r="J50" s="12"/>
      <c r="K50" s="12"/>
      <c r="L50" s="12"/>
      <c r="M50" s="29">
        <v>659477</v>
      </c>
      <c r="N50" s="12">
        <v>1348565</v>
      </c>
      <c r="O50" s="12">
        <f t="shared" si="6"/>
        <v>2008042</v>
      </c>
      <c r="P50" s="9">
        <v>200832</v>
      </c>
    </row>
    <row r="51" spans="5:16">
      <c r="H51" s="12" t="s">
        <v>95</v>
      </c>
      <c r="I51" s="12"/>
      <c r="J51" s="12"/>
      <c r="K51" s="12"/>
      <c r="L51" s="12"/>
      <c r="M51" s="29">
        <v>595694</v>
      </c>
      <c r="N51" s="12">
        <v>-910915</v>
      </c>
      <c r="O51" s="12">
        <f>SUM(M51:N51)</f>
        <v>-315221</v>
      </c>
      <c r="P51" s="9">
        <v>12103</v>
      </c>
    </row>
    <row r="52" spans="5:16">
      <c r="H52" s="12" t="s">
        <v>240</v>
      </c>
      <c r="I52" s="12"/>
      <c r="J52" s="12"/>
      <c r="K52" s="12"/>
      <c r="L52" s="12"/>
      <c r="M52" s="97">
        <v>1330318</v>
      </c>
      <c r="N52" s="12">
        <v>-1330318</v>
      </c>
      <c r="O52" s="12">
        <f t="shared" si="6"/>
        <v>0</v>
      </c>
      <c r="P52" s="9"/>
    </row>
    <row r="53" spans="5:16">
      <c r="H53" s="12"/>
      <c r="I53" s="12"/>
      <c r="J53" s="12"/>
      <c r="K53" s="12"/>
      <c r="L53" s="12"/>
      <c r="M53" s="12"/>
      <c r="N53" s="12"/>
      <c r="O53" s="12"/>
    </row>
    <row r="54" spans="5:16">
      <c r="H54" s="20" t="s">
        <v>38</v>
      </c>
      <c r="I54" s="20"/>
      <c r="J54" s="20"/>
      <c r="K54" s="20"/>
      <c r="L54" s="20"/>
      <c r="M54" s="20">
        <f>SUM(M40:M52)</f>
        <v>375646950</v>
      </c>
      <c r="N54" s="20">
        <f>SUM(N40:N52)</f>
        <v>42179264</v>
      </c>
      <c r="O54" s="20">
        <f>SUM(O40:O52)</f>
        <v>417826214</v>
      </c>
      <c r="P54" s="93">
        <f>SUM(P40:P51)</f>
        <v>23100658</v>
      </c>
    </row>
    <row r="55" spans="5:16">
      <c r="H55" s="12"/>
      <c r="I55" s="12"/>
      <c r="J55" s="12"/>
      <c r="K55" s="12"/>
      <c r="L55" s="12"/>
      <c r="M55" s="12"/>
      <c r="N55" s="12"/>
      <c r="O55" s="12"/>
    </row>
    <row r="56" spans="5:16">
      <c r="H56" s="20" t="s">
        <v>39</v>
      </c>
      <c r="I56" s="20"/>
      <c r="J56" s="20"/>
      <c r="K56" s="20"/>
      <c r="L56" s="20"/>
      <c r="M56" s="20">
        <f>M54+M29</f>
        <v>-24354054</v>
      </c>
      <c r="N56" s="20">
        <f t="shared" ref="N56:O56" si="7">N54+N29</f>
        <v>-16712704</v>
      </c>
      <c r="O56" s="20">
        <f t="shared" si="7"/>
        <v>-41066758</v>
      </c>
      <c r="P56" s="20">
        <f>P54+P36</f>
        <v>330494</v>
      </c>
    </row>
    <row r="57" spans="5:16">
      <c r="H57" s="26"/>
      <c r="I57" s="26"/>
      <c r="J57" s="26"/>
      <c r="K57" s="26"/>
      <c r="L57" s="26"/>
      <c r="M57" s="26"/>
      <c r="N57" s="26"/>
      <c r="O57" s="26"/>
    </row>
    <row r="58" spans="5:16">
      <c r="E58" s="31" t="s">
        <v>67</v>
      </c>
      <c r="F58" s="31"/>
      <c r="G58" s="31"/>
      <c r="H58" s="32"/>
      <c r="I58" s="32"/>
      <c r="J58" s="32"/>
      <c r="K58" s="32"/>
      <c r="L58" s="32"/>
      <c r="M58" s="33">
        <v>638987350</v>
      </c>
      <c r="N58" s="33">
        <v>942239793</v>
      </c>
      <c r="O58" s="33">
        <f>SUM(M58:N58)</f>
        <v>1581227143</v>
      </c>
      <c r="P58" s="95">
        <v>47373642</v>
      </c>
    </row>
    <row r="59" spans="5:16">
      <c r="H59" s="12"/>
      <c r="I59" s="12"/>
      <c r="J59" s="12"/>
      <c r="K59" s="12"/>
      <c r="L59" s="12"/>
      <c r="M59" s="12"/>
      <c r="N59" s="12"/>
      <c r="O59" s="12"/>
    </row>
    <row r="60" spans="5:16">
      <c r="E60" s="34" t="s">
        <v>44</v>
      </c>
      <c r="F60" s="34"/>
      <c r="G60" s="34"/>
      <c r="H60" s="35"/>
      <c r="I60" s="35"/>
      <c r="J60" s="35"/>
      <c r="K60" s="35"/>
      <c r="L60" s="35"/>
      <c r="M60" s="92">
        <f>SUM(M56,M58)</f>
        <v>614633296</v>
      </c>
      <c r="N60" s="92">
        <f>N58+N56</f>
        <v>925527089</v>
      </c>
      <c r="O60" s="92">
        <f>O58+O56</f>
        <v>1540160385</v>
      </c>
      <c r="P60" s="96">
        <f>P58+P56</f>
        <v>47704136</v>
      </c>
    </row>
    <row r="67" spans="11:15">
      <c r="K67" s="9"/>
      <c r="L67" s="9"/>
      <c r="M67" s="9"/>
      <c r="N67" s="9"/>
      <c r="O67" s="9"/>
    </row>
  </sheetData>
  <mergeCells count="5">
    <mergeCell ref="J1:M1"/>
    <mergeCell ref="J2:M2"/>
    <mergeCell ref="M4:P4"/>
    <mergeCell ref="J5:L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57"/>
  <sheetViews>
    <sheetView topLeftCell="A7" workbookViewId="0">
      <selection activeCell="I26" sqref="I26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</cols>
  <sheetData>
    <row r="1" spans="1:15" ht="30" customHeight="1">
      <c r="J1" s="258" t="s">
        <v>241</v>
      </c>
      <c r="K1" s="258"/>
      <c r="L1" s="258"/>
      <c r="M1" s="258"/>
      <c r="N1" s="170"/>
      <c r="O1" s="170"/>
    </row>
    <row r="2" spans="1:15" ht="21.75" customHeight="1">
      <c r="J2" s="259" t="s">
        <v>1</v>
      </c>
      <c r="K2" s="259"/>
      <c r="L2" s="259"/>
      <c r="M2" s="259"/>
      <c r="N2" s="171"/>
      <c r="O2" s="171"/>
    </row>
    <row r="3" spans="1:15" ht="18.75" customHeight="1">
      <c r="E3" s="3"/>
      <c r="F3" s="3"/>
      <c r="G3" s="3"/>
      <c r="H3" s="3"/>
      <c r="I3" s="3"/>
      <c r="J3" s="3"/>
      <c r="K3" s="3"/>
      <c r="L3" s="3"/>
    </row>
    <row r="4" spans="1:15" ht="30.75" customHeight="1">
      <c r="E4" s="2"/>
      <c r="M4" s="260" t="s">
        <v>97</v>
      </c>
      <c r="N4" s="260"/>
      <c r="O4" s="260"/>
    </row>
    <row r="5" spans="1:15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4" t="s">
        <v>5</v>
      </c>
      <c r="N5" s="264"/>
      <c r="O5" s="264"/>
    </row>
    <row r="6" spans="1:15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</row>
    <row r="7" spans="1:15" ht="30.75" customHeight="1">
      <c r="A7" s="8" t="s">
        <v>13</v>
      </c>
      <c r="I7" s="9"/>
      <c r="J7" s="9"/>
      <c r="K7" s="9"/>
      <c r="L7" s="9"/>
    </row>
    <row r="8" spans="1:15">
      <c r="B8" s="10" t="s">
        <v>14</v>
      </c>
      <c r="I8" s="9"/>
      <c r="J8" s="9"/>
      <c r="K8" s="9"/>
      <c r="L8" s="9"/>
      <c r="M8" s="9"/>
      <c r="N8" s="9"/>
      <c r="O8" s="9"/>
    </row>
    <row r="9" spans="1:15">
      <c r="B9" s="10"/>
      <c r="C9" t="s">
        <v>141</v>
      </c>
      <c r="I9" s="9"/>
      <c r="J9" s="9"/>
      <c r="K9" s="9"/>
      <c r="L9" s="9"/>
      <c r="M9" s="9"/>
      <c r="N9" s="9"/>
      <c r="O9" s="9"/>
    </row>
    <row r="10" spans="1:15">
      <c r="D10" t="s">
        <v>99</v>
      </c>
      <c r="H10" s="12"/>
      <c r="I10" s="97">
        <v>-76402</v>
      </c>
      <c r="J10" s="12"/>
      <c r="K10" s="12"/>
      <c r="L10" s="12"/>
      <c r="M10" s="12">
        <f>SUM(I10:L10)</f>
        <v>-76402</v>
      </c>
      <c r="N10" s="12"/>
      <c r="O10" s="12">
        <f>SUM(M10:N10)</f>
        <v>-76402</v>
      </c>
    </row>
    <row r="11" spans="1:15">
      <c r="D11" t="s">
        <v>100</v>
      </c>
      <c r="H11" s="12"/>
      <c r="I11" s="98">
        <v>-568012</v>
      </c>
      <c r="J11" s="12">
        <v>434404</v>
      </c>
      <c r="K11" s="12"/>
      <c r="L11" s="12"/>
      <c r="M11" s="12">
        <f t="shared" ref="M11:M12" si="0">SUM(I11:L11)</f>
        <v>-133608</v>
      </c>
      <c r="N11" s="12"/>
      <c r="O11" s="12">
        <f>SUM(M11:N11)</f>
        <v>-133608</v>
      </c>
    </row>
    <row r="12" spans="1:15">
      <c r="D12" t="s">
        <v>102</v>
      </c>
      <c r="H12" s="12"/>
      <c r="I12" s="101">
        <v>-39899</v>
      </c>
      <c r="J12" s="12"/>
      <c r="K12" s="12"/>
      <c r="L12" s="12"/>
      <c r="M12" s="12">
        <f t="shared" si="0"/>
        <v>-39899</v>
      </c>
      <c r="N12" s="12"/>
      <c r="O12" s="12">
        <f>SUM(M12:N12)</f>
        <v>-39899</v>
      </c>
    </row>
    <row r="13" spans="1:15">
      <c r="D13" t="s">
        <v>143</v>
      </c>
      <c r="H13" s="12"/>
      <c r="I13" s="110">
        <v>-208877</v>
      </c>
      <c r="J13" s="12"/>
      <c r="K13" s="12"/>
      <c r="L13" s="12"/>
      <c r="M13" s="12">
        <f>SUM(I13:L13)</f>
        <v>-208877</v>
      </c>
      <c r="N13" s="12"/>
      <c r="O13" s="12">
        <f>SUM(M13:N13)</f>
        <v>-208877</v>
      </c>
    </row>
    <row r="14" spans="1:15">
      <c r="D14" t="s">
        <v>190</v>
      </c>
      <c r="H14" s="12"/>
      <c r="I14" s="108">
        <v>-578588</v>
      </c>
      <c r="J14" s="12"/>
      <c r="K14" s="12"/>
      <c r="L14" s="12"/>
      <c r="M14" s="12">
        <f>SUM(I14:L14)</f>
        <v>-578588</v>
      </c>
      <c r="N14" s="12"/>
      <c r="O14" s="12">
        <f>SUM(M14:N14)</f>
        <v>-578588</v>
      </c>
    </row>
    <row r="15" spans="1:15">
      <c r="C15" t="s">
        <v>16</v>
      </c>
      <c r="H15" s="12"/>
      <c r="I15" s="13">
        <v>-278827</v>
      </c>
      <c r="J15" s="12"/>
      <c r="K15" s="12">
        <v>105136</v>
      </c>
      <c r="L15" s="12">
        <v>136513</v>
      </c>
      <c r="M15" s="12">
        <f t="shared" ref="M15:M21" si="1">SUM(I15:L15)</f>
        <v>-37178</v>
      </c>
      <c r="N15" s="12"/>
      <c r="O15" s="12">
        <f t="shared" ref="O15:O21" si="2">SUM(M15:N15)</f>
        <v>-37178</v>
      </c>
    </row>
    <row r="16" spans="1:15">
      <c r="C16" t="s">
        <v>17</v>
      </c>
      <c r="H16" s="12"/>
      <c r="I16" s="14">
        <v>-1324952</v>
      </c>
      <c r="J16" s="12">
        <v>106646</v>
      </c>
      <c r="K16" s="12">
        <v>362463</v>
      </c>
      <c r="L16" s="12">
        <v>25500</v>
      </c>
      <c r="M16" s="12">
        <f t="shared" si="1"/>
        <v>-830343</v>
      </c>
      <c r="N16" s="12"/>
      <c r="O16" s="12">
        <f t="shared" si="2"/>
        <v>-830343</v>
      </c>
    </row>
    <row r="17" spans="1:15">
      <c r="C17" t="s">
        <v>19</v>
      </c>
      <c r="H17" s="12"/>
      <c r="I17" s="15">
        <v>-111144</v>
      </c>
      <c r="J17" s="12"/>
      <c r="K17" s="12"/>
      <c r="L17" s="12"/>
      <c r="M17" s="12">
        <f>SUM(I17:L17)</f>
        <v>-111144</v>
      </c>
      <c r="N17" s="12"/>
      <c r="O17" s="12">
        <f t="shared" si="2"/>
        <v>-111144</v>
      </c>
    </row>
    <row r="18" spans="1:15">
      <c r="C18" t="s">
        <v>20</v>
      </c>
      <c r="H18" s="12"/>
      <c r="I18" s="16">
        <v>-333558</v>
      </c>
      <c r="J18" s="12">
        <v>20571</v>
      </c>
      <c r="K18" s="12"/>
      <c r="L18" s="12">
        <v>138391</v>
      </c>
      <c r="M18" s="12">
        <f>SUM(I18:L18)</f>
        <v>-174596</v>
      </c>
      <c r="N18" s="12"/>
      <c r="O18" s="12">
        <f t="shared" si="2"/>
        <v>-174596</v>
      </c>
    </row>
    <row r="19" spans="1:15">
      <c r="C19" t="s">
        <v>18</v>
      </c>
      <c r="H19" s="12"/>
      <c r="I19" s="102">
        <v>-5949</v>
      </c>
      <c r="J19" s="12"/>
      <c r="K19" s="12"/>
      <c r="L19" s="12"/>
      <c r="M19" s="12">
        <f>SUM(I19:L19)</f>
        <v>-5949</v>
      </c>
      <c r="N19" s="12"/>
      <c r="O19" s="12">
        <f t="shared" si="2"/>
        <v>-5949</v>
      </c>
    </row>
    <row r="20" spans="1:15">
      <c r="C20" t="s">
        <v>183</v>
      </c>
      <c r="H20" s="12"/>
      <c r="I20" s="14">
        <v>-27398</v>
      </c>
      <c r="J20" s="12"/>
      <c r="K20" s="12"/>
      <c r="L20" s="12"/>
      <c r="M20" s="12">
        <f>SUM(I20:L20)</f>
        <v>-27398</v>
      </c>
      <c r="N20" s="12"/>
      <c r="O20" s="12">
        <f t="shared" si="2"/>
        <v>-27398</v>
      </c>
    </row>
    <row r="21" spans="1:15">
      <c r="C21" t="s">
        <v>21</v>
      </c>
      <c r="H21" s="12"/>
      <c r="I21" s="98">
        <v>-20928</v>
      </c>
      <c r="J21" s="12"/>
      <c r="K21" s="12"/>
      <c r="L21" s="12"/>
      <c r="M21" s="12">
        <f t="shared" si="1"/>
        <v>-20928</v>
      </c>
      <c r="N21" s="12"/>
      <c r="O21" s="12">
        <f t="shared" si="2"/>
        <v>-20928</v>
      </c>
    </row>
    <row r="22" spans="1:15">
      <c r="H22" s="12"/>
      <c r="I22" s="12"/>
      <c r="J22" s="12"/>
      <c r="K22" s="12"/>
      <c r="L22" s="12"/>
      <c r="M22" s="12"/>
      <c r="N22" s="12"/>
      <c r="O22" s="12"/>
    </row>
    <row r="23" spans="1:15">
      <c r="E23" s="19" t="s">
        <v>22</v>
      </c>
      <c r="F23" s="19"/>
      <c r="G23" s="19"/>
      <c r="H23" s="20"/>
      <c r="I23" s="20">
        <f>SUM(I10:I21)</f>
        <v>-3574534</v>
      </c>
      <c r="J23" s="20">
        <f>SUM(J10:J21)</f>
        <v>561621</v>
      </c>
      <c r="K23" s="20">
        <f>SUM(K10:K21)</f>
        <v>467599</v>
      </c>
      <c r="L23" s="20">
        <f>SUM(L10:L21)</f>
        <v>300404</v>
      </c>
      <c r="M23" s="91">
        <f>SUM(M10:M21)</f>
        <v>-2244910</v>
      </c>
      <c r="N23" s="91"/>
      <c r="O23" s="91">
        <f>SUM(O10:O21)</f>
        <v>-2244910</v>
      </c>
    </row>
    <row r="24" spans="1:15">
      <c r="E24" s="8"/>
      <c r="F24" s="8"/>
      <c r="G24" s="8"/>
      <c r="H24" s="26"/>
      <c r="I24" s="26"/>
      <c r="J24" s="26"/>
      <c r="K24" s="26"/>
      <c r="L24" s="26"/>
      <c r="M24" s="26"/>
      <c r="N24" s="26"/>
      <c r="O24" s="26"/>
    </row>
    <row r="25" spans="1:15">
      <c r="B25" s="10" t="s">
        <v>84</v>
      </c>
      <c r="E25" s="8"/>
      <c r="F25" s="8"/>
      <c r="G25" s="8"/>
      <c r="H25" s="26"/>
      <c r="I25" s="26"/>
      <c r="J25" s="26"/>
      <c r="K25" s="26"/>
      <c r="L25" s="26"/>
      <c r="M25" s="26"/>
      <c r="N25" s="26"/>
      <c r="O25" s="26"/>
    </row>
    <row r="26" spans="1:15">
      <c r="B26" s="10"/>
      <c r="C26" t="s">
        <v>19</v>
      </c>
      <c r="E26" s="8"/>
      <c r="F26" s="8"/>
      <c r="G26" s="8"/>
      <c r="H26" s="26"/>
      <c r="I26" s="248">
        <v>-634697</v>
      </c>
      <c r="J26" s="88">
        <v>212</v>
      </c>
      <c r="K26" s="88">
        <v>581985</v>
      </c>
      <c r="L26" s="88">
        <v>0</v>
      </c>
      <c r="M26" s="88"/>
      <c r="N26" s="88">
        <f>SUM(I26:L26)</f>
        <v>-52500</v>
      </c>
      <c r="O26" s="88">
        <f>SUM(M26:N26)</f>
        <v>-52500</v>
      </c>
    </row>
    <row r="27" spans="1:15">
      <c r="B27" s="10"/>
      <c r="E27" s="8"/>
      <c r="F27" s="8"/>
      <c r="G27" s="8"/>
      <c r="H27" s="26"/>
      <c r="I27" s="26"/>
      <c r="J27" s="26"/>
      <c r="K27" s="26"/>
      <c r="L27" s="26"/>
      <c r="M27" s="26"/>
      <c r="N27" s="26"/>
      <c r="O27" s="26"/>
    </row>
    <row r="28" spans="1:15">
      <c r="E28" s="19" t="s">
        <v>88</v>
      </c>
      <c r="F28" s="19"/>
      <c r="G28" s="19"/>
      <c r="H28" s="20"/>
      <c r="I28" s="20">
        <f t="shared" ref="I28:O28" si="3">SUM(I26:I26)</f>
        <v>-634697</v>
      </c>
      <c r="J28" s="20">
        <f t="shared" si="3"/>
        <v>212</v>
      </c>
      <c r="K28" s="20">
        <f t="shared" si="3"/>
        <v>581985</v>
      </c>
      <c r="L28" s="20">
        <f t="shared" si="3"/>
        <v>0</v>
      </c>
      <c r="M28" s="91">
        <f t="shared" si="3"/>
        <v>0</v>
      </c>
      <c r="N28" s="91">
        <f t="shared" si="3"/>
        <v>-52500</v>
      </c>
      <c r="O28" s="91">
        <f t="shared" si="3"/>
        <v>-52500</v>
      </c>
    </row>
    <row r="29" spans="1:15">
      <c r="E29" s="8"/>
      <c r="F29" s="8"/>
      <c r="G29" s="8"/>
      <c r="H29" s="26"/>
      <c r="I29" s="26"/>
      <c r="J29" s="26"/>
      <c r="K29" s="26"/>
      <c r="L29" s="26"/>
      <c r="M29" s="26"/>
      <c r="N29" s="26"/>
      <c r="O29" s="26"/>
    </row>
    <row r="30" spans="1:15">
      <c r="E30" s="19" t="s">
        <v>146</v>
      </c>
      <c r="F30" s="19"/>
      <c r="G30" s="19"/>
      <c r="H30" s="20"/>
      <c r="I30" s="20">
        <f t="shared" ref="I30:O30" si="4">I28+I23</f>
        <v>-4209231</v>
      </c>
      <c r="J30" s="20">
        <f t="shared" si="4"/>
        <v>561833</v>
      </c>
      <c r="K30" s="20">
        <f t="shared" si="4"/>
        <v>1049584</v>
      </c>
      <c r="L30" s="20">
        <f t="shared" si="4"/>
        <v>300404</v>
      </c>
      <c r="M30" s="91">
        <f t="shared" si="4"/>
        <v>-2244910</v>
      </c>
      <c r="N30" s="91">
        <f t="shared" si="4"/>
        <v>-52500</v>
      </c>
      <c r="O30" s="91">
        <f t="shared" si="4"/>
        <v>-2297410</v>
      </c>
    </row>
    <row r="31" spans="1:15">
      <c r="H31" s="12"/>
      <c r="I31" s="12"/>
      <c r="J31" s="12"/>
      <c r="K31" s="12"/>
      <c r="L31" s="12"/>
      <c r="M31" s="12"/>
      <c r="N31" s="12"/>
      <c r="O31" s="12"/>
    </row>
    <row r="32" spans="1:15">
      <c r="A32" s="8"/>
      <c r="B32" s="8"/>
      <c r="C32" s="8"/>
      <c r="D32" s="8"/>
      <c r="E32" s="8"/>
      <c r="G32" s="8" t="s">
        <v>25</v>
      </c>
      <c r="H32" s="26"/>
      <c r="I32" s="26"/>
      <c r="J32" s="26"/>
      <c r="K32" s="26"/>
      <c r="L32" s="26"/>
      <c r="M32" s="12"/>
      <c r="N32" s="12"/>
      <c r="O32" s="12"/>
    </row>
    <row r="33" spans="1:15">
      <c r="A33" s="8"/>
      <c r="B33" s="8"/>
      <c r="C33" s="8"/>
      <c r="D33" s="8"/>
      <c r="E33" s="8"/>
      <c r="G33" s="8"/>
      <c r="H33" s="88" t="s">
        <v>26</v>
      </c>
      <c r="I33" s="26"/>
      <c r="J33" s="26"/>
      <c r="K33" s="26"/>
      <c r="L33" s="26"/>
      <c r="M33" s="12"/>
      <c r="N33" s="12"/>
      <c r="O33" s="12"/>
    </row>
    <row r="34" spans="1:15">
      <c r="H34" s="12"/>
      <c r="I34" s="12" t="s">
        <v>116</v>
      </c>
      <c r="J34" s="12"/>
      <c r="K34" s="12"/>
      <c r="L34" s="12"/>
      <c r="M34" s="28">
        <v>2038944</v>
      </c>
      <c r="N34" s="12"/>
      <c r="O34" s="12">
        <f t="shared" ref="O34:O42" si="5">SUM(M34:N34)</f>
        <v>2038944</v>
      </c>
    </row>
    <row r="35" spans="1:15">
      <c r="H35" s="12"/>
      <c r="I35" s="12" t="s">
        <v>242</v>
      </c>
      <c r="J35" s="12"/>
      <c r="K35" s="12"/>
      <c r="L35" s="12"/>
      <c r="M35" s="28">
        <v>74110</v>
      </c>
      <c r="N35" s="12"/>
      <c r="O35" s="12">
        <f t="shared" si="5"/>
        <v>74110</v>
      </c>
    </row>
    <row r="36" spans="1:15">
      <c r="H36" s="12"/>
      <c r="I36" s="12" t="s">
        <v>243</v>
      </c>
      <c r="J36" s="12"/>
      <c r="K36" s="12"/>
      <c r="L36" s="12"/>
      <c r="M36" s="14">
        <v>758507</v>
      </c>
      <c r="N36" s="12"/>
      <c r="O36" s="12">
        <f t="shared" si="5"/>
        <v>758507</v>
      </c>
    </row>
    <row r="37" spans="1:15">
      <c r="H37" s="12" t="s">
        <v>75</v>
      </c>
      <c r="I37" s="12"/>
      <c r="J37" s="12"/>
      <c r="K37" s="12"/>
      <c r="L37" s="12"/>
      <c r="M37" s="105">
        <v>48848</v>
      </c>
      <c r="N37" s="12"/>
      <c r="O37" s="12">
        <f t="shared" si="5"/>
        <v>48848</v>
      </c>
    </row>
    <row r="38" spans="1:15">
      <c r="H38" s="12" t="s">
        <v>111</v>
      </c>
      <c r="I38" s="12"/>
      <c r="J38" s="12"/>
      <c r="K38" s="12"/>
      <c r="L38" s="12"/>
      <c r="M38" s="15">
        <v>41050</v>
      </c>
      <c r="N38" s="12"/>
      <c r="O38" s="12">
        <f t="shared" si="5"/>
        <v>41050</v>
      </c>
    </row>
    <row r="39" spans="1:15">
      <c r="H39" s="12" t="s">
        <v>33</v>
      </c>
      <c r="I39" s="12"/>
      <c r="J39" s="12"/>
      <c r="K39" s="12"/>
      <c r="L39" s="12"/>
      <c r="M39" s="11">
        <v>61417</v>
      </c>
      <c r="N39" s="12"/>
      <c r="O39" s="12">
        <f t="shared" si="5"/>
        <v>61417</v>
      </c>
    </row>
    <row r="40" spans="1:15">
      <c r="H40" s="12" t="s">
        <v>137</v>
      </c>
      <c r="I40" s="12"/>
      <c r="J40" s="12"/>
      <c r="K40" s="12"/>
      <c r="L40" s="12"/>
      <c r="M40" s="29">
        <v>100927</v>
      </c>
      <c r="N40" s="12"/>
      <c r="O40" s="12">
        <f t="shared" si="5"/>
        <v>100927</v>
      </c>
    </row>
    <row r="41" spans="1:15">
      <c r="H41" s="12" t="s">
        <v>122</v>
      </c>
      <c r="I41" s="12"/>
      <c r="J41" s="12"/>
      <c r="K41" s="12"/>
      <c r="L41" s="12"/>
      <c r="M41" s="29">
        <v>4698</v>
      </c>
      <c r="N41" s="12"/>
      <c r="O41" s="12">
        <f t="shared" si="5"/>
        <v>4698</v>
      </c>
    </row>
    <row r="42" spans="1:15">
      <c r="H42" s="12" t="s">
        <v>36</v>
      </c>
      <c r="I42" s="12"/>
      <c r="J42" s="12"/>
      <c r="K42" s="12"/>
      <c r="L42" s="12"/>
      <c r="M42" s="29">
        <v>34260</v>
      </c>
      <c r="N42" s="12"/>
      <c r="O42" s="12">
        <f t="shared" si="5"/>
        <v>34260</v>
      </c>
    </row>
    <row r="43" spans="1:15">
      <c r="H43" s="12"/>
      <c r="I43" s="12"/>
      <c r="J43" s="12"/>
      <c r="K43" s="12"/>
      <c r="L43" s="12"/>
      <c r="M43" s="12"/>
      <c r="N43" s="12"/>
      <c r="O43" s="12"/>
    </row>
    <row r="44" spans="1:15">
      <c r="H44" s="20" t="s">
        <v>38</v>
      </c>
      <c r="I44" s="20"/>
      <c r="J44" s="20"/>
      <c r="K44" s="20"/>
      <c r="L44" s="20"/>
      <c r="M44" s="20">
        <f>SUM(M34:M42)</f>
        <v>3162761</v>
      </c>
      <c r="N44" s="20">
        <f>SUM(N34:N42)</f>
        <v>0</v>
      </c>
      <c r="O44" s="20">
        <f>SUM(O34:O42)</f>
        <v>3162761</v>
      </c>
    </row>
    <row r="45" spans="1:15">
      <c r="H45" s="12"/>
      <c r="I45" s="12"/>
      <c r="J45" s="12"/>
      <c r="K45" s="12"/>
      <c r="L45" s="12"/>
      <c r="M45" s="12"/>
      <c r="N45" s="12"/>
      <c r="O45" s="12"/>
    </row>
    <row r="46" spans="1:15">
      <c r="H46" s="20" t="s">
        <v>39</v>
      </c>
      <c r="I46" s="20"/>
      <c r="J46" s="20"/>
      <c r="K46" s="20"/>
      <c r="L46" s="20"/>
      <c r="M46" s="20">
        <f>M44+M30</f>
        <v>917851</v>
      </c>
      <c r="N46" s="20">
        <f t="shared" ref="N46:O46" si="6">N44+N30</f>
        <v>-52500</v>
      </c>
      <c r="O46" s="20">
        <f t="shared" si="6"/>
        <v>865351</v>
      </c>
    </row>
    <row r="47" spans="1:15">
      <c r="H47" s="26"/>
      <c r="I47" s="26"/>
      <c r="J47" s="26"/>
      <c r="K47" s="26"/>
      <c r="L47" s="26"/>
      <c r="M47" s="26"/>
      <c r="N47" s="26"/>
      <c r="O47" s="26"/>
    </row>
    <row r="48" spans="1:15">
      <c r="E48" s="31" t="s">
        <v>67</v>
      </c>
      <c r="F48" s="31"/>
      <c r="G48" s="31"/>
      <c r="H48" s="32"/>
      <c r="I48" s="32"/>
      <c r="J48" s="32"/>
      <c r="K48" s="32"/>
      <c r="L48" s="32"/>
      <c r="M48" s="33">
        <v>9704474</v>
      </c>
      <c r="N48" s="33">
        <v>79839</v>
      </c>
      <c r="O48" s="33">
        <f>SUM(M48:N48)</f>
        <v>9784313</v>
      </c>
    </row>
    <row r="49" spans="5:15">
      <c r="H49" s="12"/>
      <c r="I49" s="12"/>
      <c r="J49" s="12"/>
      <c r="K49" s="12"/>
      <c r="L49" s="12"/>
      <c r="M49" s="12"/>
      <c r="N49" s="12"/>
      <c r="O49" s="12"/>
    </row>
    <row r="50" spans="5:15">
      <c r="E50" s="34" t="s">
        <v>44</v>
      </c>
      <c r="F50" s="34"/>
      <c r="G50" s="34"/>
      <c r="H50" s="35"/>
      <c r="I50" s="35"/>
      <c r="J50" s="35"/>
      <c r="K50" s="35"/>
      <c r="L50" s="35"/>
      <c r="M50" s="92">
        <f>SUM(M46,M48)</f>
        <v>10622325</v>
      </c>
      <c r="N50" s="92">
        <f>N48+N46</f>
        <v>27339</v>
      </c>
      <c r="O50" s="92">
        <f>O48+O46</f>
        <v>10649664</v>
      </c>
    </row>
    <row r="57" spans="5:15">
      <c r="K57" s="9"/>
      <c r="L57" s="9"/>
      <c r="M57" s="9"/>
      <c r="N57" s="9"/>
      <c r="O57" s="9"/>
    </row>
  </sheetData>
  <mergeCells count="5">
    <mergeCell ref="J1:M1"/>
    <mergeCell ref="J2:M2"/>
    <mergeCell ref="M4:O4"/>
    <mergeCell ref="J5:L5"/>
    <mergeCell ref="M5:O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44"/>
  <sheetViews>
    <sheetView workbookViewId="0">
      <selection activeCell="M36" sqref="M36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</cols>
  <sheetData>
    <row r="1" spans="1:13" ht="31.5" customHeight="1">
      <c r="J1" s="258" t="s">
        <v>244</v>
      </c>
      <c r="K1" s="258"/>
      <c r="L1" s="258"/>
      <c r="M1" s="258"/>
    </row>
    <row r="2" spans="1:13" ht="18">
      <c r="J2" s="259" t="s">
        <v>1</v>
      </c>
      <c r="K2" s="259"/>
      <c r="L2" s="259"/>
      <c r="M2" s="259"/>
    </row>
    <row r="3" spans="1:13" ht="15.75">
      <c r="E3" s="3"/>
      <c r="F3" s="3"/>
      <c r="G3" s="3"/>
      <c r="H3" s="3"/>
      <c r="I3" s="3"/>
      <c r="J3" s="3"/>
      <c r="K3" s="3"/>
      <c r="L3" s="3"/>
    </row>
    <row r="4" spans="1:13" ht="18">
      <c r="E4" s="2"/>
      <c r="M4" s="173"/>
    </row>
    <row r="5" spans="1:13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174"/>
    </row>
    <row r="6" spans="1:13" ht="42.7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113" t="s">
        <v>97</v>
      </c>
    </row>
    <row r="7" spans="1:13">
      <c r="A7" s="8" t="s">
        <v>13</v>
      </c>
      <c r="I7" s="9"/>
      <c r="J7" s="9"/>
      <c r="K7" s="9"/>
      <c r="L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C9" t="s">
        <v>15</v>
      </c>
      <c r="H9" s="12"/>
      <c r="I9" s="11">
        <v>-710683.58</v>
      </c>
      <c r="J9" s="12">
        <v>191962.61</v>
      </c>
      <c r="K9" s="12">
        <v>20000</v>
      </c>
      <c r="L9" s="12"/>
      <c r="M9" s="12">
        <f t="shared" ref="M9:M14" si="0">SUM(I9:L9)</f>
        <v>-498720.97</v>
      </c>
    </row>
    <row r="10" spans="1:13">
      <c r="C10" t="s">
        <v>20</v>
      </c>
      <c r="H10" s="12"/>
      <c r="I10" s="16">
        <v>-4219.33</v>
      </c>
      <c r="J10" s="12"/>
      <c r="K10" s="12"/>
      <c r="L10" s="12"/>
      <c r="M10" s="12">
        <f t="shared" si="0"/>
        <v>-4219.33</v>
      </c>
    </row>
    <row r="11" spans="1:13">
      <c r="C11" t="s">
        <v>71</v>
      </c>
      <c r="H11" s="12"/>
      <c r="I11" s="102">
        <v>-9208.32</v>
      </c>
      <c r="J11" s="12"/>
      <c r="K11" s="12">
        <v>7250</v>
      </c>
      <c r="L11" s="12"/>
      <c r="M11" s="12">
        <f t="shared" si="0"/>
        <v>-1958.3199999999997</v>
      </c>
    </row>
    <row r="12" spans="1:13">
      <c r="C12" t="s">
        <v>19</v>
      </c>
      <c r="H12" s="12"/>
      <c r="I12" s="15">
        <v>-462121.51</v>
      </c>
      <c r="J12" s="12"/>
      <c r="K12" s="12">
        <v>5610.08</v>
      </c>
      <c r="L12" s="12"/>
      <c r="M12" s="12">
        <f t="shared" si="0"/>
        <v>-456511.43</v>
      </c>
    </row>
    <row r="13" spans="1:13">
      <c r="C13" t="s">
        <v>16</v>
      </c>
      <c r="H13" s="12"/>
      <c r="I13" s="13">
        <v>-893111.69</v>
      </c>
      <c r="J13" s="12">
        <v>324360.27</v>
      </c>
      <c r="K13" s="12">
        <v>234703.28</v>
      </c>
      <c r="L13" s="12">
        <v>434068.7</v>
      </c>
      <c r="M13" s="12">
        <f t="shared" si="0"/>
        <v>100020.56000000011</v>
      </c>
    </row>
    <row r="14" spans="1:13">
      <c r="C14" t="s">
        <v>17</v>
      </c>
      <c r="H14" s="12"/>
      <c r="I14" s="114">
        <v>-3295451.95</v>
      </c>
      <c r="J14" s="18"/>
      <c r="K14" s="18">
        <v>161713.9</v>
      </c>
      <c r="L14" s="18">
        <v>192415.13</v>
      </c>
      <c r="M14" s="18">
        <f t="shared" si="0"/>
        <v>-2941322.9200000004</v>
      </c>
    </row>
    <row r="15" spans="1:13">
      <c r="H15" s="12"/>
      <c r="I15" s="12"/>
      <c r="J15" s="12"/>
      <c r="K15" s="12"/>
      <c r="L15" s="12"/>
      <c r="M15" s="12"/>
    </row>
    <row r="16" spans="1:13">
      <c r="E16" s="19" t="s">
        <v>22</v>
      </c>
      <c r="F16" s="19"/>
      <c r="G16" s="19"/>
      <c r="H16" s="20"/>
      <c r="I16" s="20">
        <f>SUM(I9:I14)</f>
        <v>-5374796.3799999999</v>
      </c>
      <c r="J16" s="20">
        <f>SUM(J9:J14)</f>
        <v>516322.88</v>
      </c>
      <c r="K16" s="20">
        <f>SUM(K9:K14)</f>
        <v>429277.26</v>
      </c>
      <c r="L16" s="20">
        <f>SUM(L9:L14)</f>
        <v>626483.83000000007</v>
      </c>
      <c r="M16" s="91">
        <f>SUM(M9:M14)</f>
        <v>-3802712.41</v>
      </c>
    </row>
    <row r="17" spans="1:13">
      <c r="H17" s="12"/>
      <c r="I17" s="12"/>
      <c r="J17" s="12"/>
      <c r="K17" s="12"/>
      <c r="L17" s="12"/>
      <c r="M17" s="12"/>
    </row>
    <row r="18" spans="1:13">
      <c r="A18" s="8"/>
      <c r="B18" s="8"/>
      <c r="C18" s="8"/>
      <c r="D18" s="8"/>
      <c r="E18" s="8"/>
      <c r="G18" s="8" t="s">
        <v>25</v>
      </c>
      <c r="H18" s="26"/>
      <c r="I18" s="26"/>
      <c r="J18" s="26"/>
      <c r="K18" s="26"/>
      <c r="L18" s="26"/>
      <c r="M18" s="12"/>
    </row>
    <row r="19" spans="1:13">
      <c r="A19" s="8"/>
      <c r="B19" s="8"/>
      <c r="C19" s="8"/>
      <c r="D19" s="8"/>
      <c r="E19" s="8"/>
      <c r="G19" s="8"/>
      <c r="H19" s="88" t="s">
        <v>245</v>
      </c>
      <c r="I19" s="26"/>
      <c r="J19" s="26"/>
      <c r="K19" s="26"/>
      <c r="L19" s="26"/>
      <c r="M19" s="105">
        <v>356476.28</v>
      </c>
    </row>
    <row r="20" spans="1:13">
      <c r="A20" s="8"/>
      <c r="B20" s="8"/>
      <c r="C20" s="8"/>
      <c r="D20" s="8"/>
      <c r="E20" s="8"/>
      <c r="G20" s="8"/>
      <c r="H20" s="88" t="s">
        <v>26</v>
      </c>
      <c r="I20" s="26"/>
      <c r="J20" s="26"/>
      <c r="K20" s="26"/>
      <c r="L20" s="26"/>
      <c r="M20" s="12"/>
    </row>
    <row r="21" spans="1:13">
      <c r="H21" s="12"/>
      <c r="I21" s="12" t="s">
        <v>73</v>
      </c>
      <c r="J21" s="12"/>
      <c r="K21" s="12"/>
      <c r="L21" s="12"/>
      <c r="M21" s="28">
        <v>694605.02</v>
      </c>
    </row>
    <row r="22" spans="1:13">
      <c r="H22" s="12"/>
      <c r="I22" s="12" t="s">
        <v>29</v>
      </c>
      <c r="J22" s="12"/>
      <c r="K22" s="12"/>
      <c r="L22" s="12"/>
      <c r="M22" s="15">
        <v>613694.88</v>
      </c>
    </row>
    <row r="23" spans="1:13">
      <c r="H23" s="12"/>
      <c r="I23" s="12" t="s">
        <v>28</v>
      </c>
      <c r="J23" s="12"/>
      <c r="K23" s="12"/>
      <c r="L23" s="12"/>
      <c r="M23" s="14">
        <v>3192203.63</v>
      </c>
    </row>
    <row r="24" spans="1:13">
      <c r="H24" s="12" t="s">
        <v>246</v>
      </c>
      <c r="I24" s="12"/>
      <c r="J24" s="12"/>
      <c r="K24" s="12"/>
      <c r="L24" s="12"/>
      <c r="M24" s="29">
        <v>11441.73</v>
      </c>
    </row>
    <row r="25" spans="1:13">
      <c r="H25" s="12" t="s">
        <v>247</v>
      </c>
      <c r="I25" s="12"/>
      <c r="J25" s="12"/>
      <c r="K25" s="12"/>
      <c r="L25" s="12"/>
      <c r="M25" s="29">
        <v>87634.83</v>
      </c>
    </row>
    <row r="26" spans="1:13">
      <c r="H26" s="12" t="s">
        <v>137</v>
      </c>
      <c r="I26" s="12"/>
      <c r="J26" s="12"/>
      <c r="K26" s="12"/>
      <c r="L26" s="12"/>
      <c r="M26" s="29">
        <v>181394.25</v>
      </c>
    </row>
    <row r="27" spans="1:13">
      <c r="H27" s="12" t="s">
        <v>248</v>
      </c>
      <c r="I27" s="12"/>
      <c r="J27" s="12"/>
      <c r="K27" s="12"/>
      <c r="L27" s="12"/>
      <c r="M27" s="169">
        <v>124880.51</v>
      </c>
    </row>
    <row r="28" spans="1:13">
      <c r="H28" s="12" t="s">
        <v>249</v>
      </c>
      <c r="I28" s="12"/>
      <c r="J28" s="12"/>
      <c r="K28" s="12"/>
      <c r="L28" s="12"/>
      <c r="M28" s="29">
        <v>1604.01</v>
      </c>
    </row>
    <row r="29" spans="1:13">
      <c r="H29" s="12" t="s">
        <v>188</v>
      </c>
      <c r="I29" s="12"/>
      <c r="J29" s="12"/>
      <c r="K29" s="12"/>
      <c r="L29" s="12"/>
      <c r="M29" s="29">
        <v>64680.75</v>
      </c>
    </row>
    <row r="30" spans="1:13">
      <c r="H30" s="12"/>
      <c r="I30" s="12"/>
      <c r="J30" s="12"/>
      <c r="K30" s="12"/>
      <c r="L30" s="12"/>
      <c r="M30" s="12"/>
    </row>
    <row r="31" spans="1:13">
      <c r="H31" s="20" t="s">
        <v>38</v>
      </c>
      <c r="I31" s="20"/>
      <c r="J31" s="20"/>
      <c r="K31" s="20"/>
      <c r="L31" s="20"/>
      <c r="M31" s="20">
        <f>SUM(M19:M29)</f>
        <v>5328615.8900000006</v>
      </c>
    </row>
    <row r="32" spans="1:13">
      <c r="H32" s="12"/>
      <c r="I32" s="12"/>
      <c r="J32" s="12"/>
      <c r="K32" s="12"/>
      <c r="L32" s="12"/>
      <c r="M32" s="12"/>
    </row>
    <row r="33" spans="5:13">
      <c r="H33" s="20" t="s">
        <v>39</v>
      </c>
      <c r="I33" s="20"/>
      <c r="J33" s="20"/>
      <c r="K33" s="20"/>
      <c r="L33" s="20"/>
      <c r="M33" s="20">
        <f>SUM(M16,M31)</f>
        <v>1525903.4800000004</v>
      </c>
    </row>
    <row r="34" spans="5:13">
      <c r="H34" s="26"/>
      <c r="I34" s="26"/>
      <c r="J34" s="26"/>
      <c r="K34" s="26"/>
      <c r="L34" s="26"/>
      <c r="M34" s="26"/>
    </row>
    <row r="35" spans="5:13">
      <c r="E35" s="31" t="s">
        <v>67</v>
      </c>
      <c r="F35" s="31"/>
      <c r="G35" s="31"/>
      <c r="H35" s="32"/>
      <c r="I35" s="32"/>
      <c r="J35" s="32"/>
      <c r="K35" s="32"/>
      <c r="L35" s="32"/>
      <c r="M35" s="33">
        <v>13128810.16</v>
      </c>
    </row>
    <row r="36" spans="5:13">
      <c r="H36" s="12"/>
      <c r="I36" s="12"/>
      <c r="J36" s="12"/>
      <c r="K36" s="12"/>
      <c r="L36" s="12"/>
      <c r="M36" s="12"/>
    </row>
    <row r="37" spans="5:13">
      <c r="E37" s="34" t="s">
        <v>44</v>
      </c>
      <c r="F37" s="34"/>
      <c r="G37" s="34"/>
      <c r="H37" s="35"/>
      <c r="I37" s="35"/>
      <c r="J37" s="35"/>
      <c r="K37" s="35"/>
      <c r="L37" s="35"/>
      <c r="M37" s="92">
        <f>SUM(M33,M35)</f>
        <v>14654713.640000001</v>
      </c>
    </row>
    <row r="44" spans="5:13">
      <c r="K44" s="9"/>
      <c r="L44" s="9"/>
      <c r="M44" s="9"/>
    </row>
  </sheetData>
  <mergeCells count="3">
    <mergeCell ref="J1:M1"/>
    <mergeCell ref="J2:M2"/>
    <mergeCell ref="J5:L5"/>
  </mergeCell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58"/>
  <sheetViews>
    <sheetView topLeftCell="A6" workbookViewId="0">
      <selection activeCell="I21" sqref="I21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6" width="16.42578125" customWidth="1"/>
  </cols>
  <sheetData>
    <row r="1" spans="1:16" ht="30" customHeight="1">
      <c r="J1" s="258" t="s">
        <v>250</v>
      </c>
      <c r="K1" s="258"/>
      <c r="L1" s="258"/>
      <c r="M1" s="258"/>
      <c r="N1" s="170"/>
      <c r="O1" s="170"/>
    </row>
    <row r="2" spans="1:16" ht="21.75" customHeight="1">
      <c r="J2" s="259" t="s">
        <v>1</v>
      </c>
      <c r="K2" s="259"/>
      <c r="L2" s="259"/>
      <c r="M2" s="259"/>
      <c r="N2" s="171"/>
      <c r="O2" s="171"/>
    </row>
    <row r="3" spans="1:16" ht="18.75" customHeight="1">
      <c r="E3" s="3"/>
      <c r="F3" s="3"/>
      <c r="G3" s="3"/>
      <c r="H3" s="3"/>
      <c r="I3" s="3"/>
      <c r="J3" s="3"/>
      <c r="K3" s="3"/>
      <c r="L3" s="3"/>
    </row>
    <row r="4" spans="1:16" ht="30.75" customHeight="1">
      <c r="E4" s="2"/>
      <c r="M4" s="260" t="s">
        <v>2</v>
      </c>
      <c r="N4" s="260"/>
      <c r="O4" s="260"/>
      <c r="P4" s="260"/>
    </row>
    <row r="5" spans="1:16" ht="33.7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4" t="s">
        <v>5</v>
      </c>
      <c r="N5" s="264"/>
      <c r="O5" s="264"/>
      <c r="P5" s="115" t="s">
        <v>82</v>
      </c>
    </row>
    <row r="6" spans="1:16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  <c r="P6" s="90" t="s">
        <v>251</v>
      </c>
    </row>
    <row r="7" spans="1:16" ht="30.75" customHeight="1">
      <c r="A7" s="8" t="s">
        <v>13</v>
      </c>
      <c r="I7" s="9"/>
      <c r="J7" s="9"/>
      <c r="K7" s="9"/>
      <c r="L7" s="9"/>
    </row>
    <row r="8" spans="1:16">
      <c r="B8" s="10" t="s">
        <v>14</v>
      </c>
      <c r="I8" s="9"/>
      <c r="J8" s="9"/>
      <c r="K8" s="9"/>
      <c r="L8" s="9"/>
      <c r="M8" s="9"/>
      <c r="N8" s="9"/>
      <c r="O8" s="9"/>
    </row>
    <row r="9" spans="1:16">
      <c r="C9" t="s">
        <v>15</v>
      </c>
      <c r="H9" s="12"/>
      <c r="I9" s="11">
        <v>-2191744</v>
      </c>
      <c r="J9" s="12">
        <v>421870</v>
      </c>
      <c r="K9" s="12"/>
      <c r="L9" s="12"/>
      <c r="M9" s="12">
        <f t="shared" ref="M9:M15" si="0">SUM(I9:L9)</f>
        <v>-1769874</v>
      </c>
      <c r="N9" s="12"/>
      <c r="O9" s="12">
        <f t="shared" ref="O9:O15" si="1">SUM(M9:N9)</f>
        <v>-1769874</v>
      </c>
    </row>
    <row r="10" spans="1:16">
      <c r="C10" t="s">
        <v>16</v>
      </c>
      <c r="H10" s="12"/>
      <c r="I10" s="13">
        <v>-797397</v>
      </c>
      <c r="J10" s="12"/>
      <c r="K10" s="12">
        <v>79627</v>
      </c>
      <c r="L10" s="12"/>
      <c r="M10" s="12">
        <f t="shared" si="0"/>
        <v>-717770</v>
      </c>
      <c r="N10" s="12"/>
      <c r="O10" s="12">
        <f t="shared" si="1"/>
        <v>-717770</v>
      </c>
    </row>
    <row r="11" spans="1:16">
      <c r="C11" t="s">
        <v>17</v>
      </c>
      <c r="H11" s="12"/>
      <c r="I11" s="14">
        <v>-3478839</v>
      </c>
      <c r="J11" s="12">
        <v>61665</v>
      </c>
      <c r="K11" s="12">
        <v>588312</v>
      </c>
      <c r="L11" s="12">
        <v>1699161</v>
      </c>
      <c r="M11" s="12">
        <f t="shared" si="0"/>
        <v>-1129701</v>
      </c>
      <c r="N11" s="12"/>
      <c r="O11" s="12">
        <f t="shared" si="1"/>
        <v>-1129701</v>
      </c>
    </row>
    <row r="12" spans="1:16">
      <c r="C12" t="s">
        <v>19</v>
      </c>
      <c r="H12" s="12"/>
      <c r="I12" s="15">
        <v>-558793</v>
      </c>
      <c r="J12" s="12"/>
      <c r="K12" s="12"/>
      <c r="L12" s="12"/>
      <c r="M12" s="12">
        <f t="shared" si="0"/>
        <v>-558793</v>
      </c>
      <c r="N12" s="12"/>
      <c r="O12" s="12">
        <f t="shared" si="1"/>
        <v>-558793</v>
      </c>
    </row>
    <row r="13" spans="1:16">
      <c r="C13" t="s">
        <v>20</v>
      </c>
      <c r="H13" s="12"/>
      <c r="I13" s="16">
        <v>-1104898</v>
      </c>
      <c r="J13" s="12">
        <v>238759</v>
      </c>
      <c r="K13" s="12">
        <v>26031</v>
      </c>
      <c r="L13" s="12"/>
      <c r="M13" s="12">
        <f t="shared" si="0"/>
        <v>-840108</v>
      </c>
      <c r="N13" s="12"/>
      <c r="O13" s="12">
        <f t="shared" si="1"/>
        <v>-840108</v>
      </c>
    </row>
    <row r="14" spans="1:16">
      <c r="C14" t="s">
        <v>71</v>
      </c>
      <c r="H14" s="12"/>
      <c r="I14" s="102">
        <v>-228270</v>
      </c>
      <c r="J14" s="12"/>
      <c r="K14" s="12"/>
      <c r="L14" s="12"/>
      <c r="M14" s="12">
        <f t="shared" si="0"/>
        <v>-228270</v>
      </c>
      <c r="N14" s="12"/>
      <c r="O14" s="12">
        <f t="shared" si="1"/>
        <v>-228270</v>
      </c>
    </row>
    <row r="15" spans="1:16">
      <c r="C15" t="s">
        <v>21</v>
      </c>
      <c r="H15" s="12"/>
      <c r="I15" s="98">
        <v>-722085</v>
      </c>
      <c r="J15" s="12"/>
      <c r="K15" s="12"/>
      <c r="L15" s="12"/>
      <c r="M15" s="12">
        <f t="shared" si="0"/>
        <v>-722085</v>
      </c>
      <c r="N15" s="12"/>
      <c r="O15" s="12">
        <f t="shared" si="1"/>
        <v>-722085</v>
      </c>
    </row>
    <row r="16" spans="1:16">
      <c r="H16" s="12"/>
      <c r="I16" s="12"/>
      <c r="J16" s="12"/>
      <c r="K16" s="12"/>
      <c r="L16" s="12"/>
      <c r="M16" s="12"/>
      <c r="N16" s="12"/>
      <c r="O16" s="12"/>
    </row>
    <row r="17" spans="1:16">
      <c r="E17" s="19" t="s">
        <v>22</v>
      </c>
      <c r="F17" s="19"/>
      <c r="G17" s="19"/>
      <c r="H17" s="20"/>
      <c r="I17" s="20">
        <f>SUM(I9:I15)</f>
        <v>-9082026</v>
      </c>
      <c r="J17" s="20">
        <f>SUM(J9:J15)</f>
        <v>722294</v>
      </c>
      <c r="K17" s="20">
        <f>SUM(K9:K15)</f>
        <v>693970</v>
      </c>
      <c r="L17" s="20">
        <f>SUM(L9:L15)</f>
        <v>1699161</v>
      </c>
      <c r="M17" s="91">
        <f>SUM(M9:M15)</f>
        <v>-5966601</v>
      </c>
      <c r="N17" s="91"/>
      <c r="O17" s="91">
        <f>SUM(O9:O15)</f>
        <v>-5966601</v>
      </c>
      <c r="P17" s="93">
        <f>SUM(P9:P15)</f>
        <v>0</v>
      </c>
    </row>
    <row r="18" spans="1:16">
      <c r="E18" s="8"/>
      <c r="F18" s="8"/>
      <c r="G18" s="8"/>
      <c r="H18" s="26"/>
      <c r="I18" s="26"/>
      <c r="J18" s="26"/>
      <c r="K18" s="26"/>
      <c r="L18" s="26"/>
      <c r="M18" s="26"/>
      <c r="N18" s="26"/>
      <c r="O18" s="26"/>
    </row>
    <row r="19" spans="1:16">
      <c r="B19" s="10" t="s">
        <v>84</v>
      </c>
      <c r="E19" s="8"/>
      <c r="F19" s="8"/>
      <c r="G19" s="8"/>
      <c r="H19" s="26"/>
      <c r="I19" s="26"/>
      <c r="J19" s="26"/>
      <c r="K19" s="26"/>
      <c r="L19" s="26"/>
      <c r="M19" s="26"/>
      <c r="N19" s="26"/>
      <c r="O19" s="26"/>
    </row>
    <row r="20" spans="1:16">
      <c r="B20" s="10"/>
      <c r="C20" t="s">
        <v>252</v>
      </c>
      <c r="E20" s="8"/>
      <c r="F20" s="8"/>
      <c r="G20" s="8"/>
      <c r="H20" s="26"/>
      <c r="I20" s="249">
        <v>-69311</v>
      </c>
      <c r="J20" s="88">
        <v>38808</v>
      </c>
      <c r="K20" s="88"/>
      <c r="L20" s="88"/>
      <c r="M20" s="88"/>
      <c r="N20" s="88">
        <f>SUM(I20:L20)</f>
        <v>-30503</v>
      </c>
      <c r="O20" s="88">
        <f>N20</f>
        <v>-30503</v>
      </c>
    </row>
    <row r="21" spans="1:16">
      <c r="B21" s="10"/>
      <c r="C21" t="s">
        <v>253</v>
      </c>
      <c r="E21" s="8"/>
      <c r="F21" s="8"/>
      <c r="G21" s="8"/>
      <c r="H21" s="26"/>
      <c r="I21" s="252">
        <v>-521141</v>
      </c>
      <c r="J21" s="88"/>
      <c r="K21" s="88">
        <v>495212</v>
      </c>
      <c r="L21" s="88"/>
      <c r="M21" s="88"/>
      <c r="N21" s="88">
        <f>SUM(I21:L21)</f>
        <v>-25929</v>
      </c>
      <c r="O21" s="88">
        <f>N21</f>
        <v>-25929</v>
      </c>
    </row>
    <row r="22" spans="1:16">
      <c r="B22" s="10"/>
      <c r="E22" s="8"/>
      <c r="F22" s="8"/>
      <c r="G22" s="8"/>
      <c r="H22" s="26"/>
      <c r="I22" s="26"/>
      <c r="J22" s="26"/>
      <c r="K22" s="26"/>
      <c r="L22" s="26"/>
      <c r="M22" s="26"/>
      <c r="N22" s="26"/>
      <c r="O22" s="26"/>
    </row>
    <row r="23" spans="1:16">
      <c r="E23" s="19" t="s">
        <v>88</v>
      </c>
      <c r="F23" s="19"/>
      <c r="G23" s="19"/>
      <c r="H23" s="20"/>
      <c r="I23" s="20">
        <f t="shared" ref="I23:O23" si="2">SUM(I20:I21)</f>
        <v>-590452</v>
      </c>
      <c r="J23" s="20">
        <f t="shared" si="2"/>
        <v>38808</v>
      </c>
      <c r="K23" s="20">
        <f t="shared" si="2"/>
        <v>495212</v>
      </c>
      <c r="L23" s="20">
        <f t="shared" si="2"/>
        <v>0</v>
      </c>
      <c r="M23" s="91">
        <f t="shared" si="2"/>
        <v>0</v>
      </c>
      <c r="N23" s="91">
        <f t="shared" si="2"/>
        <v>-56432</v>
      </c>
      <c r="O23" s="91">
        <f t="shared" si="2"/>
        <v>-56432</v>
      </c>
      <c r="P23" s="87"/>
    </row>
    <row r="24" spans="1:16">
      <c r="E24" s="8"/>
      <c r="F24" s="8"/>
      <c r="G24" s="8"/>
      <c r="H24" s="26"/>
      <c r="I24" s="26"/>
      <c r="J24" s="26"/>
      <c r="K24" s="26"/>
      <c r="L24" s="26"/>
      <c r="M24" s="26"/>
      <c r="N24" s="26"/>
      <c r="O24" s="26"/>
    </row>
    <row r="25" spans="1:16">
      <c r="E25" s="19" t="s">
        <v>89</v>
      </c>
      <c r="F25" s="19"/>
      <c r="G25" s="19"/>
      <c r="H25" s="20"/>
      <c r="I25" s="20">
        <f t="shared" ref="I25:O25" si="3">I23+I17</f>
        <v>-9672478</v>
      </c>
      <c r="J25" s="20">
        <f t="shared" si="3"/>
        <v>761102</v>
      </c>
      <c r="K25" s="20">
        <f t="shared" si="3"/>
        <v>1189182</v>
      </c>
      <c r="L25" s="20">
        <f t="shared" si="3"/>
        <v>1699161</v>
      </c>
      <c r="M25" s="91">
        <f t="shared" si="3"/>
        <v>-5966601</v>
      </c>
      <c r="N25" s="91">
        <f t="shared" si="3"/>
        <v>-56432</v>
      </c>
      <c r="O25" s="91">
        <f t="shared" si="3"/>
        <v>-6023033</v>
      </c>
      <c r="P25" s="87"/>
    </row>
    <row r="26" spans="1:16">
      <c r="H26" s="12"/>
      <c r="I26" s="12"/>
      <c r="J26" s="12"/>
      <c r="K26" s="12"/>
      <c r="L26" s="12"/>
      <c r="M26" s="12"/>
      <c r="N26" s="12"/>
      <c r="O26" s="12"/>
    </row>
    <row r="27" spans="1:16">
      <c r="A27" s="10" t="s">
        <v>23</v>
      </c>
      <c r="H27" s="12"/>
      <c r="I27" s="12"/>
      <c r="J27" s="12"/>
      <c r="K27" s="12"/>
      <c r="L27" s="12"/>
      <c r="M27" s="12"/>
      <c r="N27" s="12"/>
      <c r="O27" s="12"/>
    </row>
    <row r="28" spans="1:16">
      <c r="B28" t="s">
        <v>254</v>
      </c>
      <c r="H28" s="12"/>
      <c r="I28" s="12">
        <v>-499541</v>
      </c>
      <c r="J28" s="12">
        <v>382826</v>
      </c>
      <c r="K28" s="12">
        <v>115627</v>
      </c>
      <c r="L28" s="12"/>
      <c r="M28" s="12"/>
      <c r="N28" s="12"/>
      <c r="O28" s="12"/>
      <c r="P28" s="12">
        <f>SUM(I28:K28)</f>
        <v>-1088</v>
      </c>
    </row>
    <row r="29" spans="1:16">
      <c r="H29" s="12"/>
      <c r="I29" s="12"/>
      <c r="J29" s="12"/>
      <c r="K29" s="12"/>
      <c r="L29" s="12"/>
      <c r="M29" s="12"/>
      <c r="N29" s="12"/>
      <c r="O29" s="12"/>
    </row>
    <row r="30" spans="1:16">
      <c r="E30" s="19" t="s">
        <v>92</v>
      </c>
      <c r="F30" s="19"/>
      <c r="G30" s="19"/>
      <c r="H30" s="20"/>
      <c r="I30" s="20">
        <f t="shared" ref="I30:P30" si="4">SUM(I28:I28)</f>
        <v>-499541</v>
      </c>
      <c r="J30" s="20">
        <f t="shared" si="4"/>
        <v>382826</v>
      </c>
      <c r="K30" s="20">
        <f t="shared" si="4"/>
        <v>115627</v>
      </c>
      <c r="L30" s="20">
        <f t="shared" si="4"/>
        <v>0</v>
      </c>
      <c r="M30" s="91">
        <f t="shared" si="4"/>
        <v>0</v>
      </c>
      <c r="N30" s="91">
        <f t="shared" si="4"/>
        <v>0</v>
      </c>
      <c r="O30" s="91">
        <f t="shared" si="4"/>
        <v>0</v>
      </c>
      <c r="P30" s="94">
        <f t="shared" si="4"/>
        <v>-1088</v>
      </c>
    </row>
    <row r="31" spans="1:16">
      <c r="H31" s="12"/>
      <c r="I31" s="12"/>
      <c r="J31" s="12"/>
      <c r="K31" s="12"/>
      <c r="L31" s="12"/>
      <c r="M31" s="12"/>
      <c r="N31" s="12"/>
      <c r="O31" s="12"/>
    </row>
    <row r="32" spans="1:16">
      <c r="A32" s="8"/>
      <c r="B32" s="8"/>
      <c r="C32" s="8"/>
      <c r="D32" s="8"/>
      <c r="E32" s="8"/>
      <c r="G32" s="8" t="s">
        <v>25</v>
      </c>
      <c r="H32" s="26"/>
      <c r="I32" s="26"/>
      <c r="J32" s="26"/>
      <c r="K32" s="26"/>
      <c r="L32" s="26"/>
      <c r="M32" s="12"/>
      <c r="N32" s="12"/>
      <c r="O32" s="12"/>
    </row>
    <row r="33" spans="1:16">
      <c r="A33" s="8"/>
      <c r="B33" s="8"/>
      <c r="C33" s="8"/>
      <c r="D33" s="8"/>
      <c r="E33" s="8"/>
      <c r="G33" s="8"/>
      <c r="H33" s="88" t="s">
        <v>26</v>
      </c>
      <c r="I33" s="26"/>
      <c r="J33" s="26"/>
      <c r="K33" s="26"/>
      <c r="L33" s="26"/>
      <c r="M33" s="12"/>
      <c r="N33" s="12"/>
      <c r="O33" s="12"/>
    </row>
    <row r="34" spans="1:16">
      <c r="H34" s="12"/>
      <c r="I34" s="12" t="s">
        <v>116</v>
      </c>
      <c r="J34" s="12"/>
      <c r="K34" s="12"/>
      <c r="L34" s="12"/>
      <c r="M34" s="28">
        <v>4911887</v>
      </c>
      <c r="N34" s="12"/>
      <c r="O34" s="12">
        <f>SUM(M34:N34)</f>
        <v>4911887</v>
      </c>
      <c r="P34" s="12"/>
    </row>
    <row r="35" spans="1:16">
      <c r="H35" s="12"/>
      <c r="I35" s="12" t="s">
        <v>117</v>
      </c>
      <c r="J35" s="12"/>
      <c r="K35" s="12"/>
      <c r="L35" s="12"/>
      <c r="M35" s="14">
        <v>3115373</v>
      </c>
      <c r="N35" s="12"/>
      <c r="O35" s="12">
        <f>SUM(M35:N35)</f>
        <v>3115373</v>
      </c>
      <c r="P35" s="12"/>
    </row>
    <row r="36" spans="1:16">
      <c r="H36" s="12" t="s">
        <v>118</v>
      </c>
      <c r="I36" s="12"/>
      <c r="J36" s="12"/>
      <c r="K36" s="12"/>
      <c r="L36" s="12"/>
      <c r="M36" s="12"/>
      <c r="N36" s="12"/>
      <c r="O36" s="12"/>
      <c r="P36" s="12"/>
    </row>
    <row r="37" spans="1:16">
      <c r="H37" s="12"/>
      <c r="I37" s="12" t="s">
        <v>255</v>
      </c>
      <c r="J37" s="12"/>
      <c r="K37" s="12"/>
      <c r="L37" s="12"/>
      <c r="M37" s="11">
        <v>5312</v>
      </c>
      <c r="N37" s="12"/>
      <c r="O37" s="12">
        <f t="shared" ref="O37:O42" si="5">SUM(M37:N37)</f>
        <v>5312</v>
      </c>
      <c r="P37" s="12"/>
    </row>
    <row r="38" spans="1:16">
      <c r="H38" s="12"/>
      <c r="I38" s="12" t="s">
        <v>75</v>
      </c>
      <c r="J38" s="12"/>
      <c r="K38" s="12"/>
      <c r="L38" s="12"/>
      <c r="M38" s="105">
        <v>236314</v>
      </c>
      <c r="N38" s="12"/>
      <c r="O38" s="12">
        <f t="shared" si="5"/>
        <v>236314</v>
      </c>
      <c r="P38" s="12"/>
    </row>
    <row r="39" spans="1:16">
      <c r="H39" s="12"/>
      <c r="I39" s="12" t="s">
        <v>119</v>
      </c>
      <c r="J39" s="12"/>
      <c r="K39" s="12"/>
      <c r="L39" s="12"/>
      <c r="M39" s="11">
        <v>1167550</v>
      </c>
      <c r="N39" s="12"/>
      <c r="O39" s="12">
        <f t="shared" si="5"/>
        <v>1167550</v>
      </c>
      <c r="P39" s="12"/>
    </row>
    <row r="40" spans="1:16">
      <c r="H40" s="12"/>
      <c r="I40" s="12" t="s">
        <v>256</v>
      </c>
      <c r="J40" s="12"/>
      <c r="K40" s="12"/>
      <c r="L40" s="12"/>
      <c r="M40" s="11">
        <v>318858</v>
      </c>
      <c r="N40" s="12"/>
      <c r="O40" s="12">
        <f t="shared" si="5"/>
        <v>318858</v>
      </c>
      <c r="P40" s="12"/>
    </row>
    <row r="41" spans="1:16">
      <c r="H41" s="12" t="s">
        <v>122</v>
      </c>
      <c r="I41" s="12"/>
      <c r="J41" s="12"/>
      <c r="K41" s="12"/>
      <c r="L41" s="12"/>
      <c r="M41" s="29">
        <v>80003</v>
      </c>
      <c r="N41" s="12">
        <v>225</v>
      </c>
      <c r="O41" s="12">
        <f t="shared" si="5"/>
        <v>80228</v>
      </c>
      <c r="P41" s="12">
        <v>251</v>
      </c>
    </row>
    <row r="42" spans="1:16">
      <c r="H42" s="12" t="s">
        <v>36</v>
      </c>
      <c r="I42" s="12"/>
      <c r="J42" s="12"/>
      <c r="K42" s="12"/>
      <c r="L42" s="12"/>
      <c r="M42" s="29">
        <v>547529</v>
      </c>
      <c r="N42" s="12"/>
      <c r="O42" s="12">
        <f t="shared" si="5"/>
        <v>547529</v>
      </c>
      <c r="P42" s="9"/>
    </row>
    <row r="43" spans="1:16">
      <c r="H43" s="12" t="s">
        <v>37</v>
      </c>
      <c r="I43" s="12"/>
      <c r="J43" s="12"/>
      <c r="K43" s="12"/>
      <c r="L43" s="12"/>
      <c r="M43" s="97">
        <v>-6720</v>
      </c>
      <c r="N43" s="12">
        <v>6720</v>
      </c>
      <c r="O43" s="12">
        <f>SUM(M43:N43)</f>
        <v>0</v>
      </c>
      <c r="P43" s="9"/>
    </row>
    <row r="44" spans="1:16">
      <c r="H44" s="12"/>
      <c r="I44" s="12"/>
      <c r="J44" s="12"/>
      <c r="K44" s="12"/>
      <c r="L44" s="12"/>
      <c r="M44" s="12"/>
      <c r="N44" s="12"/>
      <c r="O44" s="12"/>
    </row>
    <row r="45" spans="1:16">
      <c r="H45" s="20" t="s">
        <v>38</v>
      </c>
      <c r="I45" s="20"/>
      <c r="J45" s="20"/>
      <c r="K45" s="20"/>
      <c r="L45" s="20"/>
      <c r="M45" s="20">
        <f>SUM(M34:M43)</f>
        <v>10376106</v>
      </c>
      <c r="N45" s="20">
        <f>SUM(N34:N43)</f>
        <v>6945</v>
      </c>
      <c r="O45" s="20">
        <f>SUM(O34:O43)</f>
        <v>10383051</v>
      </c>
      <c r="P45" s="93">
        <f>SUM(P34:P42)</f>
        <v>251</v>
      </c>
    </row>
    <row r="46" spans="1:16">
      <c r="H46" s="12"/>
      <c r="I46" s="12"/>
      <c r="J46" s="12"/>
      <c r="K46" s="12"/>
      <c r="L46" s="12"/>
      <c r="M46" s="12"/>
      <c r="N46" s="12"/>
      <c r="O46" s="12"/>
    </row>
    <row r="47" spans="1:16">
      <c r="H47" s="20" t="s">
        <v>39</v>
      </c>
      <c r="I47" s="20"/>
      <c r="J47" s="20"/>
      <c r="K47" s="20"/>
      <c r="L47" s="20"/>
      <c r="M47" s="20">
        <f>M45+M25</f>
        <v>4409505</v>
      </c>
      <c r="N47" s="20">
        <f t="shared" ref="N47:O47" si="6">N45+N25</f>
        <v>-49487</v>
      </c>
      <c r="O47" s="20">
        <f t="shared" si="6"/>
        <v>4360018</v>
      </c>
      <c r="P47" s="94">
        <f>P45+P30</f>
        <v>-837</v>
      </c>
    </row>
    <row r="48" spans="1:16">
      <c r="H48" s="26"/>
      <c r="I48" s="26"/>
      <c r="J48" s="26"/>
      <c r="K48" s="26"/>
      <c r="L48" s="26"/>
      <c r="M48" s="26"/>
      <c r="O48" s="26"/>
    </row>
    <row r="49" spans="5:16">
      <c r="E49" s="31" t="s">
        <v>67</v>
      </c>
      <c r="F49" s="31"/>
      <c r="G49" s="31"/>
      <c r="H49" s="32"/>
      <c r="I49" s="32"/>
      <c r="J49" s="32"/>
      <c r="K49" s="32"/>
      <c r="L49" s="32"/>
      <c r="M49" s="33">
        <v>31466364</v>
      </c>
      <c r="N49" s="33">
        <v>400291</v>
      </c>
      <c r="O49" s="33">
        <f>SUM(M49:N49)</f>
        <v>31866655</v>
      </c>
      <c r="P49" s="95">
        <v>-21249</v>
      </c>
    </row>
    <row r="50" spans="5:16">
      <c r="H50" s="12"/>
      <c r="I50" s="12"/>
      <c r="J50" s="12"/>
      <c r="K50" s="12"/>
      <c r="L50" s="12"/>
      <c r="M50" s="12"/>
      <c r="N50" s="12"/>
      <c r="O50" s="12"/>
    </row>
    <row r="51" spans="5:16">
      <c r="E51" s="34" t="s">
        <v>44</v>
      </c>
      <c r="F51" s="34"/>
      <c r="G51" s="34"/>
      <c r="H51" s="35"/>
      <c r="I51" s="35"/>
      <c r="J51" s="35"/>
      <c r="K51" s="35"/>
      <c r="L51" s="35"/>
      <c r="M51" s="92">
        <f>SUM(M47,M49)</f>
        <v>35875869</v>
      </c>
      <c r="N51" s="92">
        <f>N49+N47</f>
        <v>350804</v>
      </c>
      <c r="O51" s="92">
        <f>O49+O47</f>
        <v>36226673</v>
      </c>
      <c r="P51" s="96">
        <f>P49+P47</f>
        <v>-22086</v>
      </c>
    </row>
    <row r="58" spans="5:16">
      <c r="K58" s="9"/>
      <c r="L58" s="9"/>
      <c r="M58" s="9"/>
      <c r="N58" s="9"/>
      <c r="O58" s="9"/>
    </row>
  </sheetData>
  <mergeCells count="5">
    <mergeCell ref="J1:M1"/>
    <mergeCell ref="J2:M2"/>
    <mergeCell ref="M4:P4"/>
    <mergeCell ref="J5:L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43"/>
  <sheetViews>
    <sheetView topLeftCell="A5" workbookViewId="0">
      <selection activeCell="K25" sqref="K25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</cols>
  <sheetData>
    <row r="1" spans="1:13" ht="31.5" customHeight="1">
      <c r="J1" s="258" t="s">
        <v>257</v>
      </c>
      <c r="K1" s="258"/>
      <c r="L1" s="258"/>
      <c r="M1" s="258"/>
    </row>
    <row r="2" spans="1:13" ht="18">
      <c r="J2" s="259" t="s">
        <v>1</v>
      </c>
      <c r="K2" s="259"/>
      <c r="L2" s="259"/>
      <c r="M2" s="259"/>
    </row>
    <row r="3" spans="1:13" ht="15.75">
      <c r="E3" s="3"/>
      <c r="F3" s="3"/>
      <c r="G3" s="3"/>
      <c r="H3" s="3"/>
      <c r="I3" s="3"/>
      <c r="J3" s="3"/>
      <c r="K3" s="3"/>
      <c r="L3" s="3"/>
    </row>
    <row r="4" spans="1:13" ht="18">
      <c r="E4" s="2"/>
      <c r="M4" s="173"/>
    </row>
    <row r="5" spans="1:13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174"/>
    </row>
    <row r="6" spans="1:13" ht="42.7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113" t="s">
        <v>97</v>
      </c>
    </row>
    <row r="7" spans="1:13">
      <c r="A7" s="8" t="s">
        <v>13</v>
      </c>
      <c r="I7" s="9"/>
      <c r="J7" s="9"/>
      <c r="K7" s="9"/>
      <c r="L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C9" t="s">
        <v>15</v>
      </c>
      <c r="H9" s="12"/>
      <c r="I9" s="11">
        <v>-1292911</v>
      </c>
      <c r="J9" s="12">
        <v>138177</v>
      </c>
      <c r="K9" s="12"/>
      <c r="L9" s="12"/>
      <c r="M9" s="12">
        <f t="shared" ref="M9:M14" si="0">SUM(I9:L9)</f>
        <v>-1154734</v>
      </c>
    </row>
    <row r="10" spans="1:13">
      <c r="C10" t="s">
        <v>16</v>
      </c>
      <c r="H10" s="12"/>
      <c r="I10" s="13">
        <v>-552502</v>
      </c>
      <c r="J10" s="12"/>
      <c r="K10" s="12">
        <v>136598</v>
      </c>
      <c r="L10" s="12">
        <v>24761</v>
      </c>
      <c r="M10" s="12">
        <f t="shared" si="0"/>
        <v>-391143</v>
      </c>
    </row>
    <row r="11" spans="1:13">
      <c r="C11" t="s">
        <v>17</v>
      </c>
      <c r="H11" s="12"/>
      <c r="I11" s="14">
        <v>-6730873</v>
      </c>
      <c r="J11" s="12">
        <v>6737</v>
      </c>
      <c r="K11" s="12">
        <v>918999</v>
      </c>
      <c r="L11" s="12">
        <v>1205103</v>
      </c>
      <c r="M11" s="12">
        <f t="shared" si="0"/>
        <v>-4600034</v>
      </c>
    </row>
    <row r="12" spans="1:13">
      <c r="C12" t="s">
        <v>19</v>
      </c>
      <c r="H12" s="12"/>
      <c r="I12" s="15">
        <v>-381552</v>
      </c>
      <c r="J12" s="12">
        <v>1373</v>
      </c>
      <c r="K12" s="12">
        <v>60618</v>
      </c>
      <c r="L12" s="12"/>
      <c r="M12" s="12">
        <f t="shared" si="0"/>
        <v>-319561</v>
      </c>
    </row>
    <row r="13" spans="1:13">
      <c r="C13" t="s">
        <v>20</v>
      </c>
      <c r="H13" s="12"/>
      <c r="I13" s="16">
        <v>-101831</v>
      </c>
      <c r="J13" s="12">
        <v>52926</v>
      </c>
      <c r="K13" s="12"/>
      <c r="L13" s="12"/>
      <c r="M13" s="12">
        <f t="shared" si="0"/>
        <v>-48905</v>
      </c>
    </row>
    <row r="14" spans="1:13">
      <c r="C14" t="s">
        <v>18</v>
      </c>
      <c r="H14" s="12"/>
      <c r="I14" s="103">
        <v>-5241122</v>
      </c>
      <c r="J14" s="18"/>
      <c r="K14" s="18">
        <v>5171732</v>
      </c>
      <c r="L14" s="18">
        <v>203156</v>
      </c>
      <c r="M14" s="18">
        <f t="shared" si="0"/>
        <v>133766</v>
      </c>
    </row>
    <row r="15" spans="1:13">
      <c r="H15" s="12"/>
      <c r="I15" s="12"/>
      <c r="J15" s="12"/>
      <c r="K15" s="12"/>
      <c r="L15" s="12"/>
      <c r="M15" s="12"/>
    </row>
    <row r="16" spans="1:13">
      <c r="E16" s="19" t="s">
        <v>22</v>
      </c>
      <c r="F16" s="19"/>
      <c r="G16" s="19"/>
      <c r="H16" s="20"/>
      <c r="I16" s="20">
        <f>SUM(I9:I14)</f>
        <v>-14300791</v>
      </c>
      <c r="J16" s="20">
        <f>SUM(J9:J14)</f>
        <v>199213</v>
      </c>
      <c r="K16" s="20">
        <f>SUM(K9:K14)</f>
        <v>6287947</v>
      </c>
      <c r="L16" s="20">
        <f>SUM(L9:L14)</f>
        <v>1433020</v>
      </c>
      <c r="M16" s="91">
        <f>SUM(M9:M14)</f>
        <v>-6380611</v>
      </c>
    </row>
    <row r="17" spans="1:13">
      <c r="H17" s="12"/>
      <c r="I17" s="12"/>
      <c r="J17" s="12"/>
      <c r="K17" s="12"/>
      <c r="L17" s="12"/>
      <c r="M17" s="12"/>
    </row>
    <row r="18" spans="1:13">
      <c r="A18" s="8"/>
      <c r="B18" s="8"/>
      <c r="C18" s="8"/>
      <c r="D18" s="8"/>
      <c r="E18" s="8"/>
      <c r="G18" s="8" t="s">
        <v>25</v>
      </c>
      <c r="H18" s="26"/>
      <c r="I18" s="26"/>
      <c r="J18" s="26"/>
      <c r="K18" s="26"/>
      <c r="L18" s="26"/>
      <c r="M18" s="12"/>
    </row>
    <row r="19" spans="1:13">
      <c r="A19" s="8"/>
      <c r="B19" s="8"/>
      <c r="C19" s="8"/>
      <c r="D19" s="8"/>
      <c r="E19" s="8"/>
      <c r="G19" s="8"/>
      <c r="H19" s="88" t="s">
        <v>26</v>
      </c>
      <c r="I19" s="26"/>
      <c r="J19" s="26"/>
      <c r="K19" s="26"/>
      <c r="L19" s="26"/>
      <c r="M19" s="12"/>
    </row>
    <row r="20" spans="1:13">
      <c r="H20" s="12"/>
      <c r="I20" s="12" t="s">
        <v>73</v>
      </c>
      <c r="J20" s="12"/>
      <c r="K20" s="12"/>
      <c r="L20" s="12"/>
      <c r="M20" s="28">
        <v>3579191</v>
      </c>
    </row>
    <row r="21" spans="1:13">
      <c r="H21" s="12"/>
      <c r="I21" s="12" t="s">
        <v>128</v>
      </c>
      <c r="J21" s="12"/>
      <c r="K21" s="12"/>
      <c r="L21" s="12"/>
      <c r="M21" s="14">
        <v>3931218</v>
      </c>
    </row>
    <row r="22" spans="1:13">
      <c r="H22" s="12"/>
      <c r="I22" s="12" t="s">
        <v>75</v>
      </c>
      <c r="J22" s="12"/>
      <c r="K22" s="12"/>
      <c r="L22" s="12"/>
      <c r="M22" s="105">
        <v>174969</v>
      </c>
    </row>
    <row r="23" spans="1:13">
      <c r="H23" s="12"/>
      <c r="I23" s="12" t="s">
        <v>166</v>
      </c>
      <c r="J23" s="12"/>
      <c r="K23" s="12"/>
      <c r="L23" s="12"/>
      <c r="M23" s="15">
        <v>85771</v>
      </c>
    </row>
    <row r="24" spans="1:13">
      <c r="H24" s="12"/>
      <c r="I24" s="12" t="s">
        <v>136</v>
      </c>
      <c r="J24" s="12"/>
      <c r="K24" s="12"/>
      <c r="L24" s="12"/>
      <c r="M24" s="15">
        <v>14253</v>
      </c>
    </row>
    <row r="25" spans="1:13">
      <c r="H25" s="12" t="s">
        <v>33</v>
      </c>
      <c r="I25" s="12"/>
      <c r="J25" s="12"/>
      <c r="K25" s="12"/>
      <c r="L25" s="12"/>
      <c r="M25" s="11">
        <v>76406</v>
      </c>
    </row>
    <row r="26" spans="1:13">
      <c r="H26" s="12" t="s">
        <v>137</v>
      </c>
      <c r="I26" s="12"/>
      <c r="J26" s="12"/>
      <c r="K26" s="12"/>
      <c r="L26" s="12"/>
      <c r="M26" s="29">
        <v>156765</v>
      </c>
    </row>
    <row r="27" spans="1:13">
      <c r="H27" s="12" t="s">
        <v>138</v>
      </c>
      <c r="I27" s="12"/>
      <c r="J27" s="12"/>
      <c r="K27" s="12"/>
      <c r="L27" s="12"/>
      <c r="M27" s="29">
        <v>71714</v>
      </c>
    </row>
    <row r="28" spans="1:13">
      <c r="H28" s="12" t="s">
        <v>258</v>
      </c>
      <c r="I28" s="12"/>
      <c r="J28" s="12"/>
      <c r="K28" s="12"/>
      <c r="L28" s="12"/>
      <c r="M28" s="29">
        <v>-55214</v>
      </c>
    </row>
    <row r="29" spans="1:13">
      <c r="H29" s="12"/>
      <c r="I29" s="12"/>
      <c r="J29" s="12"/>
      <c r="K29" s="12"/>
      <c r="L29" s="12"/>
      <c r="M29" s="12"/>
    </row>
    <row r="30" spans="1:13">
      <c r="H30" s="20" t="s">
        <v>38</v>
      </c>
      <c r="I30" s="20"/>
      <c r="J30" s="20"/>
      <c r="K30" s="20"/>
      <c r="L30" s="20"/>
      <c r="M30" s="20">
        <f>SUM(M20:M28)</f>
        <v>8035073</v>
      </c>
    </row>
    <row r="31" spans="1:13">
      <c r="H31" s="12"/>
      <c r="I31" s="12"/>
      <c r="J31" s="12"/>
      <c r="K31" s="12"/>
      <c r="L31" s="12"/>
      <c r="M31" s="12"/>
    </row>
    <row r="32" spans="1:13">
      <c r="H32" s="20" t="s">
        <v>39</v>
      </c>
      <c r="I32" s="20"/>
      <c r="J32" s="20"/>
      <c r="K32" s="20"/>
      <c r="L32" s="20"/>
      <c r="M32" s="20">
        <f>SUM(M16,M30)</f>
        <v>1654462</v>
      </c>
    </row>
    <row r="33" spans="5:13">
      <c r="H33" s="26"/>
      <c r="I33" s="26"/>
      <c r="J33" s="26"/>
      <c r="K33" s="26"/>
      <c r="L33" s="26"/>
      <c r="M33" s="26"/>
    </row>
    <row r="34" spans="5:13">
      <c r="E34" s="31" t="s">
        <v>67</v>
      </c>
      <c r="F34" s="31"/>
      <c r="G34" s="31"/>
      <c r="H34" s="32"/>
      <c r="I34" s="32"/>
      <c r="J34" s="32"/>
      <c r="K34" s="32"/>
      <c r="L34" s="32"/>
      <c r="M34" s="33">
        <v>25127738</v>
      </c>
    </row>
    <row r="35" spans="5:13">
      <c r="H35" s="12"/>
      <c r="I35" s="12"/>
      <c r="J35" s="12"/>
      <c r="K35" s="12"/>
      <c r="L35" s="12"/>
      <c r="M35" s="12"/>
    </row>
    <row r="36" spans="5:13">
      <c r="E36" s="34" t="s">
        <v>44</v>
      </c>
      <c r="F36" s="34"/>
      <c r="G36" s="34"/>
      <c r="H36" s="35"/>
      <c r="I36" s="35"/>
      <c r="J36" s="35"/>
      <c r="K36" s="35"/>
      <c r="L36" s="35"/>
      <c r="M36" s="92">
        <f>SUM(M32,M34)</f>
        <v>26782200</v>
      </c>
    </row>
    <row r="43" spans="5:13">
      <c r="K43" s="9"/>
      <c r="L43" s="9"/>
      <c r="M43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57"/>
  <sheetViews>
    <sheetView topLeftCell="A7" workbookViewId="0">
      <selection activeCell="I27" sqref="I27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</cols>
  <sheetData>
    <row r="1" spans="1:15" ht="30" customHeight="1">
      <c r="J1" s="258" t="s">
        <v>259</v>
      </c>
      <c r="K1" s="258"/>
      <c r="L1" s="258"/>
      <c r="M1" s="258"/>
      <c r="N1" s="170"/>
      <c r="O1" s="170"/>
    </row>
    <row r="2" spans="1:15" ht="21.75" customHeight="1">
      <c r="J2" s="259" t="s">
        <v>1</v>
      </c>
      <c r="K2" s="259"/>
      <c r="L2" s="259"/>
      <c r="M2" s="259"/>
      <c r="N2" s="171"/>
      <c r="O2" s="171"/>
    </row>
    <row r="3" spans="1:15" ht="18.75" customHeight="1">
      <c r="E3" s="3"/>
      <c r="F3" s="3"/>
      <c r="G3" s="3"/>
      <c r="H3" s="3"/>
      <c r="I3" s="3"/>
      <c r="J3" s="3"/>
      <c r="K3" s="3"/>
      <c r="L3" s="3"/>
    </row>
    <row r="4" spans="1:15" ht="30.75" customHeight="1">
      <c r="E4" s="2"/>
      <c r="M4" s="260" t="s">
        <v>97</v>
      </c>
      <c r="N4" s="260"/>
      <c r="O4" s="260"/>
    </row>
    <row r="5" spans="1:15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4" t="s">
        <v>5</v>
      </c>
      <c r="N5" s="264"/>
      <c r="O5" s="264"/>
    </row>
    <row r="6" spans="1:15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</row>
    <row r="7" spans="1:15" ht="30.75" customHeight="1">
      <c r="A7" s="8" t="s">
        <v>13</v>
      </c>
      <c r="I7" s="9"/>
      <c r="J7" s="9"/>
      <c r="K7" s="9"/>
      <c r="L7" s="9"/>
    </row>
    <row r="8" spans="1:15">
      <c r="B8" s="10" t="s">
        <v>14</v>
      </c>
      <c r="I8" s="9"/>
      <c r="J8" s="9"/>
      <c r="K8" s="9"/>
      <c r="L8" s="9"/>
      <c r="M8" s="9"/>
      <c r="N8" s="9"/>
      <c r="O8" s="9"/>
    </row>
    <row r="9" spans="1:15">
      <c r="B9" s="10"/>
      <c r="C9" t="s">
        <v>141</v>
      </c>
      <c r="I9" s="9"/>
      <c r="J9" s="9"/>
      <c r="K9" s="9"/>
      <c r="L9" s="9"/>
      <c r="M9" s="9"/>
      <c r="N9" s="9"/>
      <c r="O9" s="9"/>
    </row>
    <row r="10" spans="1:15">
      <c r="D10" t="s">
        <v>99</v>
      </c>
      <c r="H10" s="12"/>
      <c r="I10" s="97">
        <v>-211784</v>
      </c>
      <c r="J10" s="12"/>
      <c r="K10" s="12"/>
      <c r="L10" s="12"/>
      <c r="M10" s="12">
        <f>SUM(I10:L10)</f>
        <v>-211784</v>
      </c>
      <c r="N10" s="12"/>
      <c r="O10" s="12">
        <f>SUM(M10:N10)</f>
        <v>-211784</v>
      </c>
    </row>
    <row r="11" spans="1:15">
      <c r="D11" t="s">
        <v>100</v>
      </c>
      <c r="H11" s="12"/>
      <c r="I11" s="98">
        <v>-572080</v>
      </c>
      <c r="J11" s="12">
        <v>218491</v>
      </c>
      <c r="K11" s="12">
        <v>162643</v>
      </c>
      <c r="L11" s="12"/>
      <c r="M11" s="12">
        <f>SUM(I11:L11)</f>
        <v>-190946</v>
      </c>
      <c r="N11" s="12"/>
      <c r="O11" s="12">
        <f>SUM(M11:N11)</f>
        <v>-190946</v>
      </c>
    </row>
    <row r="12" spans="1:15">
      <c r="D12" t="s">
        <v>143</v>
      </c>
      <c r="H12" s="12"/>
      <c r="I12" s="110">
        <v>-276975</v>
      </c>
      <c r="J12" s="12"/>
      <c r="K12" s="12"/>
      <c r="L12" s="12"/>
      <c r="M12" s="12">
        <f>SUM(I12:L12)</f>
        <v>-276975</v>
      </c>
      <c r="N12" s="12"/>
      <c r="O12" s="12">
        <f>SUM(M12:N12)</f>
        <v>-276975</v>
      </c>
    </row>
    <row r="13" spans="1:15">
      <c r="D13" t="s">
        <v>190</v>
      </c>
      <c r="H13" s="12"/>
      <c r="I13" s="108">
        <v>-248931</v>
      </c>
      <c r="J13" s="12"/>
      <c r="K13" s="12"/>
      <c r="L13" s="12">
        <v>37900</v>
      </c>
      <c r="M13" s="12">
        <f>SUM(I13:L13)</f>
        <v>-211031</v>
      </c>
      <c r="N13" s="12"/>
      <c r="O13" s="12">
        <f>SUM(M13:N13)</f>
        <v>-211031</v>
      </c>
    </row>
    <row r="14" spans="1:15">
      <c r="C14" t="s">
        <v>16</v>
      </c>
      <c r="H14" s="12"/>
      <c r="I14" s="13">
        <v>-310029</v>
      </c>
      <c r="J14" s="12"/>
      <c r="K14" s="12">
        <v>55090</v>
      </c>
      <c r="L14" s="12"/>
      <c r="M14" s="12">
        <f t="shared" ref="M14:M22" si="0">SUM(I14:L14)</f>
        <v>-254939</v>
      </c>
      <c r="N14" s="12"/>
      <c r="O14" s="12">
        <f t="shared" ref="O14:O22" si="1">SUM(M14:N14)</f>
        <v>-254939</v>
      </c>
    </row>
    <row r="15" spans="1:15">
      <c r="C15" t="s">
        <v>17</v>
      </c>
      <c r="H15" s="12"/>
      <c r="I15" s="12"/>
      <c r="J15" s="12"/>
      <c r="K15" s="12"/>
      <c r="L15" s="12"/>
      <c r="M15" s="12"/>
      <c r="N15" s="12"/>
      <c r="O15" s="12"/>
    </row>
    <row r="16" spans="1:15">
      <c r="D16" t="s">
        <v>260</v>
      </c>
      <c r="H16" s="12"/>
      <c r="I16" s="14">
        <v>-1467342</v>
      </c>
      <c r="J16" s="12"/>
      <c r="K16" s="12">
        <v>963938</v>
      </c>
      <c r="L16" s="12">
        <v>242316</v>
      </c>
      <c r="M16" s="12">
        <f t="shared" si="0"/>
        <v>-261088</v>
      </c>
      <c r="N16" s="12"/>
      <c r="O16" s="12">
        <f t="shared" si="1"/>
        <v>-261088</v>
      </c>
    </row>
    <row r="17" spans="2:15">
      <c r="D17" t="s">
        <v>261</v>
      </c>
      <c r="H17" s="12"/>
      <c r="I17" s="14">
        <v>-986000</v>
      </c>
      <c r="J17" s="12">
        <v>59575</v>
      </c>
      <c r="K17" s="12"/>
      <c r="L17" s="12"/>
      <c r="M17" s="12">
        <f>SUM(I17:L17)</f>
        <v>-926425</v>
      </c>
      <c r="N17" s="12"/>
      <c r="O17" s="12">
        <f t="shared" si="1"/>
        <v>-926425</v>
      </c>
    </row>
    <row r="18" spans="2:15">
      <c r="D18" t="s">
        <v>262</v>
      </c>
      <c r="H18" s="12"/>
      <c r="I18" s="14">
        <v>-103340</v>
      </c>
      <c r="J18" s="12"/>
      <c r="K18" s="12"/>
      <c r="L18" s="12">
        <v>103340</v>
      </c>
      <c r="M18" s="12">
        <f>SUM(I18:L18)</f>
        <v>0</v>
      </c>
      <c r="N18" s="12"/>
      <c r="O18" s="12">
        <f t="shared" si="1"/>
        <v>0</v>
      </c>
    </row>
    <row r="19" spans="2:15">
      <c r="D19" t="s">
        <v>263</v>
      </c>
      <c r="H19" s="12"/>
      <c r="I19" s="14">
        <v>-123897</v>
      </c>
      <c r="J19" s="12"/>
      <c r="K19" s="12">
        <v>46900</v>
      </c>
      <c r="L19" s="12">
        <v>63871</v>
      </c>
      <c r="M19" s="12">
        <f>SUM(I19:L19)</f>
        <v>-13126</v>
      </c>
      <c r="N19" s="12"/>
      <c r="O19" s="12">
        <f t="shared" si="1"/>
        <v>-13126</v>
      </c>
    </row>
    <row r="20" spans="2:15">
      <c r="C20" t="s">
        <v>71</v>
      </c>
      <c r="H20" s="12"/>
      <c r="I20" s="102">
        <v>-81442</v>
      </c>
      <c r="J20" s="12"/>
      <c r="K20" s="12">
        <v>66000</v>
      </c>
      <c r="L20" s="12"/>
      <c r="M20" s="12">
        <f>SUM(I20:L20)</f>
        <v>-15442</v>
      </c>
      <c r="N20" s="12"/>
      <c r="O20" s="12">
        <f t="shared" si="1"/>
        <v>-15442</v>
      </c>
    </row>
    <row r="21" spans="2:15">
      <c r="C21" t="s">
        <v>19</v>
      </c>
      <c r="H21" s="12"/>
      <c r="I21" s="15">
        <v>-69187</v>
      </c>
      <c r="J21" s="12"/>
      <c r="K21" s="12"/>
      <c r="L21" s="12"/>
      <c r="M21" s="12">
        <f t="shared" si="0"/>
        <v>-69187</v>
      </c>
      <c r="N21" s="12"/>
      <c r="O21" s="12">
        <f t="shared" si="1"/>
        <v>-69187</v>
      </c>
    </row>
    <row r="22" spans="2:15">
      <c r="C22" t="s">
        <v>20</v>
      </c>
      <c r="H22" s="12"/>
      <c r="I22" s="16">
        <v>-15659</v>
      </c>
      <c r="J22" s="12">
        <v>16883</v>
      </c>
      <c r="K22" s="12"/>
      <c r="L22" s="12"/>
      <c r="M22" s="12">
        <f t="shared" si="0"/>
        <v>1224</v>
      </c>
      <c r="N22" s="12"/>
      <c r="O22" s="12">
        <f t="shared" si="1"/>
        <v>1224</v>
      </c>
    </row>
    <row r="23" spans="2:15">
      <c r="H23" s="12"/>
      <c r="I23" s="12"/>
      <c r="J23" s="12"/>
      <c r="K23" s="12"/>
      <c r="L23" s="12"/>
      <c r="M23" s="12"/>
      <c r="N23" s="12"/>
      <c r="O23" s="12"/>
    </row>
    <row r="24" spans="2:15">
      <c r="E24" s="19" t="s">
        <v>22</v>
      </c>
      <c r="F24" s="19"/>
      <c r="G24" s="19"/>
      <c r="H24" s="20"/>
      <c r="I24" s="20">
        <f>SUM(I10:I22)</f>
        <v>-4466666</v>
      </c>
      <c r="J24" s="20">
        <f>SUM(J10:J22)</f>
        <v>294949</v>
      </c>
      <c r="K24" s="20">
        <f>SUM(K10:K22)</f>
        <v>1294571</v>
      </c>
      <c r="L24" s="20">
        <f>SUM(L10:L22)</f>
        <v>447427</v>
      </c>
      <c r="M24" s="91">
        <f>SUM(M10:M22)</f>
        <v>-2429719</v>
      </c>
      <c r="N24" s="91"/>
      <c r="O24" s="91">
        <f>SUM(O10:O22)</f>
        <v>-2429719</v>
      </c>
    </row>
    <row r="25" spans="2:15">
      <c r="E25" s="8"/>
      <c r="F25" s="8"/>
      <c r="G25" s="8"/>
      <c r="H25" s="26"/>
      <c r="I25" s="26"/>
      <c r="J25" s="26"/>
      <c r="K25" s="26"/>
      <c r="L25" s="26"/>
      <c r="M25" s="26"/>
      <c r="N25" s="26"/>
      <c r="O25" s="26"/>
    </row>
    <row r="26" spans="2:15">
      <c r="B26" s="10" t="s">
        <v>84</v>
      </c>
      <c r="E26" s="8"/>
      <c r="F26" s="8"/>
      <c r="G26" s="8"/>
      <c r="H26" s="26"/>
      <c r="I26" s="26"/>
      <c r="J26" s="26"/>
      <c r="K26" s="26"/>
      <c r="L26" s="26"/>
      <c r="M26" s="26"/>
      <c r="N26" s="26"/>
      <c r="O26" s="26"/>
    </row>
    <row r="27" spans="2:15">
      <c r="B27" s="10"/>
      <c r="C27" t="s">
        <v>264</v>
      </c>
      <c r="E27" s="8"/>
      <c r="F27" s="8"/>
      <c r="G27" s="8"/>
      <c r="H27" s="26"/>
      <c r="I27" s="249">
        <v>-515141</v>
      </c>
      <c r="J27" s="88">
        <v>554973</v>
      </c>
      <c r="K27" s="88"/>
      <c r="L27" s="88"/>
      <c r="M27" s="88"/>
      <c r="N27" s="88">
        <f>SUM(I27:L27)</f>
        <v>39832</v>
      </c>
      <c r="O27" s="88">
        <f>SUM(M27:N27)</f>
        <v>39832</v>
      </c>
    </row>
    <row r="28" spans="2:15">
      <c r="B28" s="10"/>
      <c r="E28" s="8"/>
      <c r="F28" s="8"/>
      <c r="G28" s="8"/>
      <c r="H28" s="26"/>
      <c r="I28" s="26"/>
      <c r="J28" s="26"/>
      <c r="K28" s="26"/>
      <c r="L28" s="26"/>
      <c r="M28" s="26"/>
      <c r="N28" s="26"/>
      <c r="O28" s="26"/>
    </row>
    <row r="29" spans="2:15">
      <c r="E29" s="19" t="s">
        <v>88</v>
      </c>
      <c r="F29" s="19"/>
      <c r="G29" s="19"/>
      <c r="H29" s="20"/>
      <c r="I29" s="20">
        <f t="shared" ref="I29:O29" si="2">SUM(I27:I27)</f>
        <v>-515141</v>
      </c>
      <c r="J29" s="20">
        <f t="shared" si="2"/>
        <v>554973</v>
      </c>
      <c r="K29" s="20">
        <f t="shared" si="2"/>
        <v>0</v>
      </c>
      <c r="L29" s="20">
        <f t="shared" si="2"/>
        <v>0</v>
      </c>
      <c r="M29" s="91">
        <f t="shared" si="2"/>
        <v>0</v>
      </c>
      <c r="N29" s="91">
        <f t="shared" si="2"/>
        <v>39832</v>
      </c>
      <c r="O29" s="91">
        <f t="shared" si="2"/>
        <v>39832</v>
      </c>
    </row>
    <row r="30" spans="2:15">
      <c r="E30" s="8"/>
      <c r="F30" s="8"/>
      <c r="G30" s="8"/>
      <c r="H30" s="26"/>
      <c r="I30" s="26"/>
      <c r="J30" s="26"/>
      <c r="K30" s="26"/>
      <c r="L30" s="26"/>
      <c r="M30" s="26"/>
      <c r="N30" s="26"/>
      <c r="O30" s="26"/>
    </row>
    <row r="31" spans="2:15">
      <c r="E31" s="19" t="s">
        <v>146</v>
      </c>
      <c r="F31" s="19"/>
      <c r="G31" s="19"/>
      <c r="H31" s="20"/>
      <c r="I31" s="20">
        <f t="shared" ref="I31:O31" si="3">I29+I24</f>
        <v>-4981807</v>
      </c>
      <c r="J31" s="20">
        <f t="shared" si="3"/>
        <v>849922</v>
      </c>
      <c r="K31" s="20">
        <f t="shared" si="3"/>
        <v>1294571</v>
      </c>
      <c r="L31" s="20">
        <f t="shared" si="3"/>
        <v>447427</v>
      </c>
      <c r="M31" s="91">
        <f t="shared" si="3"/>
        <v>-2429719</v>
      </c>
      <c r="N31" s="91">
        <f t="shared" si="3"/>
        <v>39832</v>
      </c>
      <c r="O31" s="91">
        <f t="shared" si="3"/>
        <v>-2389887</v>
      </c>
    </row>
    <row r="32" spans="2:15">
      <c r="H32" s="12"/>
      <c r="I32" s="12"/>
      <c r="J32" s="12"/>
      <c r="K32" s="12"/>
      <c r="L32" s="12"/>
      <c r="M32" s="12"/>
      <c r="N32" s="12"/>
      <c r="O32" s="12"/>
    </row>
    <row r="33" spans="1:15">
      <c r="A33" s="8"/>
      <c r="B33" s="8"/>
      <c r="C33" s="8"/>
      <c r="D33" s="8"/>
      <c r="E33" s="8"/>
      <c r="G33" s="8" t="s">
        <v>25</v>
      </c>
      <c r="H33" s="26"/>
      <c r="I33" s="26"/>
      <c r="J33" s="26"/>
      <c r="K33" s="26"/>
      <c r="L33" s="26"/>
      <c r="M33" s="12"/>
      <c r="N33" s="12"/>
      <c r="O33" s="12"/>
    </row>
    <row r="34" spans="1:15">
      <c r="A34" s="8"/>
      <c r="B34" s="8"/>
      <c r="C34" s="8"/>
      <c r="D34" s="8"/>
      <c r="E34" s="8"/>
      <c r="G34" s="8"/>
      <c r="H34" s="88" t="s">
        <v>26</v>
      </c>
      <c r="I34" s="26"/>
      <c r="J34" s="26"/>
      <c r="K34" s="26"/>
      <c r="L34" s="26"/>
      <c r="M34" s="12"/>
      <c r="N34" s="12"/>
      <c r="O34" s="12"/>
    </row>
    <row r="35" spans="1:15">
      <c r="H35" s="12"/>
      <c r="I35" s="12" t="s">
        <v>73</v>
      </c>
      <c r="J35" s="12"/>
      <c r="K35" s="12"/>
      <c r="L35" s="12"/>
      <c r="M35" s="28">
        <v>821547</v>
      </c>
      <c r="N35" s="12"/>
      <c r="O35" s="12">
        <f t="shared" ref="O35:O42" si="4">SUM(M35:N35)</f>
        <v>821547</v>
      </c>
    </row>
    <row r="36" spans="1:15">
      <c r="H36" s="12"/>
      <c r="I36" s="12" t="s">
        <v>28</v>
      </c>
      <c r="J36" s="12"/>
      <c r="K36" s="12"/>
      <c r="L36" s="12"/>
      <c r="M36" s="14">
        <v>1048580</v>
      </c>
      <c r="N36" s="12"/>
      <c r="O36" s="12">
        <f t="shared" si="4"/>
        <v>1048580</v>
      </c>
    </row>
    <row r="37" spans="1:15">
      <c r="H37" s="12"/>
      <c r="I37" s="12" t="s">
        <v>29</v>
      </c>
      <c r="J37" s="12"/>
      <c r="K37" s="12"/>
      <c r="L37" s="12"/>
      <c r="M37" s="15">
        <v>624428</v>
      </c>
      <c r="N37" s="12"/>
      <c r="O37" s="12">
        <f t="shared" si="4"/>
        <v>624428</v>
      </c>
    </row>
    <row r="38" spans="1:15">
      <c r="H38" s="12"/>
      <c r="I38" s="12" t="s">
        <v>32</v>
      </c>
      <c r="J38" s="12"/>
      <c r="K38" s="12"/>
      <c r="L38" s="12"/>
      <c r="M38" s="15">
        <v>156451</v>
      </c>
      <c r="N38" s="12"/>
      <c r="O38" s="12">
        <f t="shared" si="4"/>
        <v>156451</v>
      </c>
    </row>
    <row r="39" spans="1:15">
      <c r="H39" s="12" t="s">
        <v>265</v>
      </c>
      <c r="I39" s="12"/>
      <c r="J39" s="12"/>
      <c r="K39" s="12"/>
      <c r="L39" s="12"/>
      <c r="M39" s="105">
        <v>80082</v>
      </c>
      <c r="N39" s="12"/>
      <c r="O39" s="12">
        <f t="shared" si="4"/>
        <v>80082</v>
      </c>
    </row>
    <row r="40" spans="1:15">
      <c r="H40" s="12" t="s">
        <v>95</v>
      </c>
      <c r="I40" s="12"/>
      <c r="J40" s="12"/>
      <c r="K40" s="12"/>
      <c r="L40" s="12"/>
      <c r="M40" s="29">
        <v>32998</v>
      </c>
      <c r="N40" s="12"/>
      <c r="O40" s="12">
        <f t="shared" si="4"/>
        <v>32998</v>
      </c>
    </row>
    <row r="41" spans="1:15">
      <c r="H41" s="12" t="s">
        <v>32</v>
      </c>
      <c r="I41" s="12"/>
      <c r="J41" s="12"/>
      <c r="K41" s="12"/>
      <c r="L41" s="12"/>
      <c r="M41" s="29">
        <v>186442</v>
      </c>
      <c r="N41" s="12">
        <v>3609</v>
      </c>
      <c r="O41" s="12">
        <f t="shared" si="4"/>
        <v>190051</v>
      </c>
    </row>
    <row r="42" spans="1:15">
      <c r="H42" s="12" t="s">
        <v>37</v>
      </c>
      <c r="I42" s="12"/>
      <c r="J42" s="12"/>
      <c r="K42" s="12"/>
      <c r="L42" s="12"/>
      <c r="M42" s="97">
        <v>71146</v>
      </c>
      <c r="N42" s="12">
        <v>-71146</v>
      </c>
      <c r="O42" s="12">
        <f t="shared" si="4"/>
        <v>0</v>
      </c>
    </row>
    <row r="43" spans="1:15">
      <c r="H43" s="12"/>
      <c r="I43" s="12"/>
      <c r="J43" s="12"/>
      <c r="K43" s="12"/>
      <c r="L43" s="12"/>
      <c r="M43" s="12"/>
      <c r="N43" s="12"/>
      <c r="O43" s="12"/>
    </row>
    <row r="44" spans="1:15">
      <c r="H44" s="20" t="s">
        <v>38</v>
      </c>
      <c r="I44" s="20"/>
      <c r="J44" s="20"/>
      <c r="K44" s="20"/>
      <c r="L44" s="20"/>
      <c r="M44" s="20">
        <f>SUM(M35:M42)</f>
        <v>3021674</v>
      </c>
      <c r="N44" s="20">
        <f>SUM(N35:N42)</f>
        <v>-67537</v>
      </c>
      <c r="O44" s="20">
        <f>SUM(O35:O42)</f>
        <v>2954137</v>
      </c>
    </row>
    <row r="45" spans="1:15">
      <c r="H45" s="12"/>
      <c r="I45" s="12"/>
      <c r="J45" s="12"/>
      <c r="K45" s="12"/>
      <c r="L45" s="12"/>
      <c r="M45" s="12"/>
      <c r="N45" s="12"/>
      <c r="O45" s="12"/>
    </row>
    <row r="46" spans="1:15">
      <c r="H46" s="20" t="s">
        <v>39</v>
      </c>
      <c r="I46" s="20"/>
      <c r="J46" s="20"/>
      <c r="K46" s="20"/>
      <c r="L46" s="20"/>
      <c r="M46" s="20">
        <f>M44+M31</f>
        <v>591955</v>
      </c>
      <c r="N46" s="20">
        <f>N44+N31</f>
        <v>-27705</v>
      </c>
      <c r="O46" s="20">
        <f>SUM(M46:N46)</f>
        <v>564250</v>
      </c>
    </row>
    <row r="47" spans="1:15">
      <c r="H47" s="26"/>
      <c r="I47" s="26"/>
      <c r="J47" s="26"/>
      <c r="K47" s="26"/>
      <c r="L47" s="26"/>
      <c r="M47" s="26"/>
      <c r="N47" s="26"/>
      <c r="O47" s="26"/>
    </row>
    <row r="48" spans="1:15">
      <c r="E48" s="31" t="s">
        <v>67</v>
      </c>
      <c r="F48" s="31"/>
      <c r="G48" s="31"/>
      <c r="H48" s="32"/>
      <c r="I48" s="32"/>
      <c r="J48" s="32"/>
      <c r="K48" s="32"/>
      <c r="L48" s="32"/>
      <c r="M48" s="33">
        <v>7803044</v>
      </c>
      <c r="N48" s="33">
        <v>735755</v>
      </c>
      <c r="O48" s="33">
        <f>SUM(M48:N48)</f>
        <v>8538799</v>
      </c>
    </row>
    <row r="49" spans="5:15">
      <c r="H49" s="12"/>
      <c r="I49" s="12"/>
      <c r="J49" s="12"/>
      <c r="K49" s="12"/>
      <c r="L49" s="12"/>
      <c r="M49" s="12"/>
      <c r="N49" s="12"/>
      <c r="O49" s="12"/>
    </row>
    <row r="50" spans="5:15">
      <c r="E50" s="34" t="s">
        <v>44</v>
      </c>
      <c r="F50" s="34"/>
      <c r="G50" s="34"/>
      <c r="H50" s="35"/>
      <c r="I50" s="35"/>
      <c r="J50" s="35"/>
      <c r="K50" s="35"/>
      <c r="L50" s="35"/>
      <c r="M50" s="92">
        <f>SUM(M46,M48)</f>
        <v>8394999</v>
      </c>
      <c r="N50" s="92">
        <f>N48+N46</f>
        <v>708050</v>
      </c>
      <c r="O50" s="92">
        <f>O48+O46</f>
        <v>9103049</v>
      </c>
    </row>
    <row r="57" spans="5:15">
      <c r="K57" s="9"/>
      <c r="L57" s="9"/>
      <c r="M57" s="9"/>
      <c r="N57" s="9"/>
      <c r="O57" s="9"/>
    </row>
  </sheetData>
  <mergeCells count="5">
    <mergeCell ref="J1:M1"/>
    <mergeCell ref="J2:M2"/>
    <mergeCell ref="M4:O4"/>
    <mergeCell ref="J5:L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51"/>
  <sheetViews>
    <sheetView topLeftCell="A4" workbookViewId="0">
      <selection activeCell="M43" sqref="M43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4.42578125" customWidth="1"/>
  </cols>
  <sheetData>
    <row r="1" spans="1:14" ht="30" customHeight="1">
      <c r="J1" s="258" t="s">
        <v>266</v>
      </c>
      <c r="K1" s="258"/>
      <c r="L1" s="258"/>
      <c r="M1" s="258"/>
    </row>
    <row r="2" spans="1:14" ht="21.75" customHeight="1">
      <c r="J2" s="259" t="s">
        <v>1</v>
      </c>
      <c r="K2" s="259"/>
      <c r="L2" s="259"/>
      <c r="M2" s="259"/>
    </row>
    <row r="3" spans="1:14" ht="18.75" customHeight="1">
      <c r="E3" s="3"/>
      <c r="F3" s="3"/>
      <c r="G3" s="3"/>
      <c r="H3" s="3"/>
      <c r="I3" s="3"/>
      <c r="J3" s="3"/>
      <c r="K3" s="3"/>
      <c r="L3" s="3"/>
    </row>
    <row r="4" spans="1:14" ht="30.75" customHeight="1">
      <c r="E4" s="2"/>
      <c r="M4" s="260" t="s">
        <v>2</v>
      </c>
      <c r="N4" s="260"/>
    </row>
    <row r="5" spans="1:14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174" t="s">
        <v>5</v>
      </c>
      <c r="N5" s="112"/>
    </row>
    <row r="6" spans="1:14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90" t="s">
        <v>12</v>
      </c>
    </row>
    <row r="7" spans="1:14" ht="30.75" customHeight="1">
      <c r="A7" s="8" t="s">
        <v>13</v>
      </c>
      <c r="I7" s="9"/>
      <c r="J7" s="9"/>
      <c r="K7" s="9"/>
      <c r="L7" s="9"/>
    </row>
    <row r="8" spans="1:14">
      <c r="B8" s="10" t="s">
        <v>14</v>
      </c>
      <c r="I8" s="9"/>
      <c r="J8" s="9"/>
      <c r="K8" s="9"/>
      <c r="L8" s="9"/>
      <c r="M8" s="9"/>
    </row>
    <row r="9" spans="1:14">
      <c r="C9" t="s">
        <v>15</v>
      </c>
      <c r="H9" s="12"/>
      <c r="I9" s="11">
        <v>-5083575</v>
      </c>
      <c r="J9" s="12">
        <v>977521</v>
      </c>
      <c r="K9" s="12">
        <v>76661</v>
      </c>
      <c r="L9" s="12"/>
      <c r="M9" s="12">
        <f t="shared" ref="M9:M17" si="0">SUM(I9:L9)</f>
        <v>-4029393</v>
      </c>
    </row>
    <row r="10" spans="1:14">
      <c r="C10" t="s">
        <v>16</v>
      </c>
      <c r="H10" s="12"/>
      <c r="I10" s="13">
        <v>-3557164</v>
      </c>
      <c r="J10" s="12">
        <v>604424</v>
      </c>
      <c r="K10" s="12">
        <v>135852</v>
      </c>
      <c r="L10" s="12">
        <v>119066</v>
      </c>
      <c r="M10" s="12">
        <f t="shared" si="0"/>
        <v>-2697822</v>
      </c>
    </row>
    <row r="11" spans="1:14">
      <c r="C11" t="s">
        <v>17</v>
      </c>
      <c r="H11" s="12"/>
      <c r="I11" s="14">
        <v>-9902167</v>
      </c>
      <c r="J11" s="12">
        <v>5930</v>
      </c>
      <c r="K11" s="12">
        <v>2082642</v>
      </c>
      <c r="L11" s="12">
        <v>5462020</v>
      </c>
      <c r="M11" s="12">
        <f t="shared" si="0"/>
        <v>-2351575</v>
      </c>
    </row>
    <row r="12" spans="1:14">
      <c r="C12" t="s">
        <v>267</v>
      </c>
      <c r="H12" s="12"/>
      <c r="I12" s="15">
        <v>-7626497</v>
      </c>
      <c r="J12" s="12">
        <v>136587</v>
      </c>
      <c r="K12" s="12">
        <v>7559439</v>
      </c>
      <c r="L12" s="12"/>
      <c r="M12" s="12">
        <f>SUM(I12:L12)</f>
        <v>69529</v>
      </c>
    </row>
    <row r="13" spans="1:14">
      <c r="C13" t="s">
        <v>20</v>
      </c>
      <c r="H13" s="12"/>
      <c r="I13" s="16">
        <v>-2213777</v>
      </c>
      <c r="J13" s="12"/>
      <c r="K13" s="12"/>
      <c r="L13" s="12"/>
      <c r="M13" s="12">
        <f t="shared" si="0"/>
        <v>-2213777</v>
      </c>
    </row>
    <row r="14" spans="1:14">
      <c r="C14" t="s">
        <v>268</v>
      </c>
      <c r="H14" s="12"/>
      <c r="I14" s="107">
        <v>-850522</v>
      </c>
      <c r="J14" s="12"/>
      <c r="K14" s="12">
        <v>747612</v>
      </c>
      <c r="L14" s="12"/>
      <c r="M14" s="12">
        <f t="shared" si="0"/>
        <v>-102910</v>
      </c>
    </row>
    <row r="15" spans="1:14">
      <c r="C15" t="s">
        <v>18</v>
      </c>
      <c r="H15" s="12"/>
      <c r="I15" s="102">
        <v>-547525</v>
      </c>
      <c r="J15" s="12"/>
      <c r="K15" s="12">
        <v>134695</v>
      </c>
      <c r="L15" s="12"/>
      <c r="M15" s="12">
        <f>SUM(I15:L15)</f>
        <v>-412830</v>
      </c>
    </row>
    <row r="16" spans="1:14">
      <c r="C16" t="s">
        <v>269</v>
      </c>
      <c r="H16" s="12"/>
      <c r="I16" s="107">
        <v>-3301072</v>
      </c>
      <c r="J16" s="12"/>
      <c r="K16" s="12"/>
      <c r="L16" s="12"/>
      <c r="M16" s="12">
        <f>SUM(I16:L16)</f>
        <v>-3301072</v>
      </c>
    </row>
    <row r="17" spans="1:14">
      <c r="C17" t="s">
        <v>21</v>
      </c>
      <c r="H17" s="12"/>
      <c r="I17" s="98">
        <v>-442496</v>
      </c>
      <c r="J17" s="12"/>
      <c r="K17" s="12"/>
      <c r="L17" s="12"/>
      <c r="M17" s="12">
        <f t="shared" si="0"/>
        <v>-442496</v>
      </c>
    </row>
    <row r="18" spans="1:14">
      <c r="H18" s="12"/>
      <c r="I18" s="12"/>
      <c r="J18" s="12"/>
      <c r="K18" s="12"/>
      <c r="L18" s="12"/>
      <c r="M18" s="12"/>
    </row>
    <row r="19" spans="1:14">
      <c r="E19" s="19" t="s">
        <v>22</v>
      </c>
      <c r="F19" s="19"/>
      <c r="G19" s="19"/>
      <c r="H19" s="20"/>
      <c r="I19" s="20">
        <f t="shared" ref="I19:N19" si="1">SUM(I9:I17)</f>
        <v>-33524795</v>
      </c>
      <c r="J19" s="20">
        <f t="shared" si="1"/>
        <v>1724462</v>
      </c>
      <c r="K19" s="20">
        <f t="shared" si="1"/>
        <v>10736901</v>
      </c>
      <c r="L19" s="20">
        <f t="shared" si="1"/>
        <v>5581086</v>
      </c>
      <c r="M19" s="91">
        <f t="shared" si="1"/>
        <v>-15482346</v>
      </c>
      <c r="N19" s="93">
        <f t="shared" si="1"/>
        <v>0</v>
      </c>
    </row>
    <row r="20" spans="1:14">
      <c r="E20" s="8"/>
      <c r="F20" s="8"/>
      <c r="G20" s="8"/>
      <c r="H20" s="26"/>
      <c r="I20" s="26"/>
      <c r="J20" s="26"/>
      <c r="K20" s="26"/>
      <c r="L20" s="26"/>
      <c r="M20" s="26"/>
    </row>
    <row r="21" spans="1:14">
      <c r="B21" t="s">
        <v>270</v>
      </c>
      <c r="H21" s="12"/>
      <c r="I21" s="12">
        <v>-81769923</v>
      </c>
      <c r="J21" s="12">
        <v>65130111</v>
      </c>
      <c r="K21" s="12">
        <v>5095023</v>
      </c>
      <c r="L21" s="12">
        <v>1365892</v>
      </c>
      <c r="M21" s="12"/>
      <c r="N21" s="12">
        <f>SUM(I21:L21)</f>
        <v>-10178897</v>
      </c>
    </row>
    <row r="22" spans="1:14">
      <c r="H22" s="12"/>
      <c r="I22" s="12"/>
      <c r="J22" s="12"/>
      <c r="K22" s="12"/>
      <c r="L22" s="12"/>
      <c r="M22" s="12"/>
    </row>
    <row r="23" spans="1:14">
      <c r="E23" s="8"/>
      <c r="F23" s="8"/>
      <c r="G23" s="8"/>
      <c r="H23" s="26"/>
      <c r="I23" s="20">
        <f t="shared" ref="I23:N23" si="2">SUM(I21:I21)</f>
        <v>-81769923</v>
      </c>
      <c r="J23" s="20">
        <f t="shared" si="2"/>
        <v>65130111</v>
      </c>
      <c r="K23" s="20">
        <f t="shared" si="2"/>
        <v>5095023</v>
      </c>
      <c r="L23" s="20">
        <f t="shared" si="2"/>
        <v>1365892</v>
      </c>
      <c r="M23" s="91">
        <f t="shared" si="2"/>
        <v>0</v>
      </c>
      <c r="N23" s="94">
        <f t="shared" si="2"/>
        <v>-10178897</v>
      </c>
    </row>
    <row r="24" spans="1:14">
      <c r="H24" s="12"/>
      <c r="I24" s="12"/>
      <c r="J24" s="12"/>
      <c r="K24" s="12"/>
      <c r="L24" s="12"/>
      <c r="M24" s="12"/>
    </row>
    <row r="25" spans="1:14">
      <c r="A25" s="8"/>
      <c r="B25" s="8"/>
      <c r="C25" s="8"/>
      <c r="D25" s="8"/>
      <c r="E25" s="8"/>
      <c r="G25" s="8" t="s">
        <v>25</v>
      </c>
      <c r="H25" s="26"/>
      <c r="I25" s="26"/>
      <c r="J25" s="26"/>
      <c r="K25" s="26"/>
      <c r="L25" s="26"/>
      <c r="M25" s="12"/>
    </row>
    <row r="26" spans="1:14">
      <c r="A26" s="8"/>
      <c r="B26" s="8"/>
      <c r="C26" s="8"/>
      <c r="D26" s="8"/>
      <c r="E26" s="8"/>
      <c r="G26" s="8"/>
      <c r="H26" s="88" t="s">
        <v>26</v>
      </c>
      <c r="I26" s="26"/>
      <c r="J26" s="26"/>
      <c r="K26" s="26"/>
      <c r="L26" s="26"/>
      <c r="M26" s="12"/>
    </row>
    <row r="27" spans="1:14">
      <c r="H27" s="12"/>
      <c r="I27" s="12" t="s">
        <v>201</v>
      </c>
      <c r="J27" s="12"/>
      <c r="K27" s="12"/>
      <c r="L27" s="12"/>
      <c r="M27" s="28">
        <v>9712666</v>
      </c>
      <c r="N27" s="12">
        <v>2627573</v>
      </c>
    </row>
    <row r="28" spans="1:14">
      <c r="H28" s="12"/>
      <c r="I28" s="12" t="s">
        <v>110</v>
      </c>
      <c r="J28" s="12"/>
      <c r="K28" s="12"/>
      <c r="L28" s="12"/>
      <c r="M28" s="14">
        <v>6674549</v>
      </c>
      <c r="N28" s="12">
        <v>4219548</v>
      </c>
    </row>
    <row r="29" spans="1:14">
      <c r="H29" s="12"/>
      <c r="I29" s="12" t="s">
        <v>271</v>
      </c>
      <c r="J29" s="12"/>
      <c r="K29" s="12"/>
      <c r="L29" s="12"/>
      <c r="M29" s="14">
        <v>254462</v>
      </c>
      <c r="N29" s="12">
        <v>254081</v>
      </c>
    </row>
    <row r="30" spans="1:14">
      <c r="H30" s="12"/>
      <c r="I30" s="12" t="s">
        <v>127</v>
      </c>
      <c r="J30" s="12"/>
      <c r="K30" s="12"/>
      <c r="L30" s="12"/>
      <c r="M30" s="15">
        <v>971421</v>
      </c>
      <c r="N30" s="12"/>
    </row>
    <row r="31" spans="1:14">
      <c r="H31" s="12"/>
      <c r="I31" s="12" t="s">
        <v>166</v>
      </c>
      <c r="J31" s="12"/>
      <c r="K31" s="12"/>
      <c r="L31" s="12"/>
      <c r="M31" s="12"/>
      <c r="N31" s="12">
        <v>140901</v>
      </c>
    </row>
    <row r="32" spans="1:14">
      <c r="H32" s="12"/>
      <c r="I32" s="12" t="s">
        <v>272</v>
      </c>
      <c r="J32" s="12"/>
      <c r="K32" s="12"/>
      <c r="L32" s="12"/>
      <c r="M32" s="15">
        <v>913117</v>
      </c>
    </row>
    <row r="33" spans="5:14">
      <c r="H33" s="12" t="s">
        <v>118</v>
      </c>
      <c r="I33" s="12"/>
      <c r="J33" s="12"/>
      <c r="K33" s="12"/>
      <c r="L33" s="12"/>
      <c r="M33" s="12"/>
    </row>
    <row r="34" spans="5:14">
      <c r="H34" s="12"/>
      <c r="I34" s="12" t="s">
        <v>75</v>
      </c>
      <c r="J34" s="12"/>
      <c r="K34" s="12"/>
      <c r="L34" s="12"/>
      <c r="M34" s="105">
        <v>445398</v>
      </c>
      <c r="N34">
        <v>434267</v>
      </c>
    </row>
    <row r="35" spans="5:14">
      <c r="H35" s="12" t="s">
        <v>122</v>
      </c>
      <c r="I35" s="12"/>
      <c r="J35" s="12"/>
      <c r="K35" s="12"/>
      <c r="L35" s="12"/>
      <c r="M35" s="29">
        <v>330619</v>
      </c>
      <c r="N35" s="9">
        <v>273269</v>
      </c>
    </row>
    <row r="36" spans="5:14">
      <c r="H36" s="12" t="s">
        <v>36</v>
      </c>
      <c r="I36" s="12"/>
      <c r="J36" s="12"/>
      <c r="K36" s="12"/>
      <c r="L36" s="12"/>
      <c r="M36" s="29">
        <v>418618</v>
      </c>
      <c r="N36" s="9">
        <v>1573993</v>
      </c>
    </row>
    <row r="37" spans="5:14">
      <c r="H37" s="12"/>
      <c r="I37" s="12"/>
      <c r="J37" s="12"/>
      <c r="K37" s="12"/>
      <c r="L37" s="12"/>
      <c r="M37" s="12"/>
    </row>
    <row r="38" spans="5:14">
      <c r="H38" s="20" t="s">
        <v>38</v>
      </c>
      <c r="I38" s="20"/>
      <c r="J38" s="20"/>
      <c r="K38" s="20"/>
      <c r="L38" s="20"/>
      <c r="M38" s="20">
        <f>SUM(M27:M36)</f>
        <v>19720850</v>
      </c>
      <c r="N38" s="94">
        <f>SUM(N27:N36)</f>
        <v>9523632</v>
      </c>
    </row>
    <row r="39" spans="5:14">
      <c r="H39" s="12"/>
      <c r="I39" s="12"/>
      <c r="J39" s="12"/>
      <c r="K39" s="12"/>
      <c r="L39" s="12"/>
      <c r="M39" s="12"/>
    </row>
    <row r="40" spans="5:14">
      <c r="H40" s="20" t="s">
        <v>39</v>
      </c>
      <c r="I40" s="20"/>
      <c r="J40" s="20"/>
      <c r="K40" s="20"/>
      <c r="L40" s="20"/>
      <c r="M40" s="20">
        <f>M38+M19</f>
        <v>4238504</v>
      </c>
      <c r="N40" s="94">
        <f>N38+N23</f>
        <v>-655265</v>
      </c>
    </row>
    <row r="41" spans="5:14">
      <c r="H41" s="26"/>
      <c r="I41" s="26"/>
      <c r="J41" s="26"/>
      <c r="K41" s="26"/>
      <c r="L41" s="26"/>
      <c r="M41" s="26"/>
    </row>
    <row r="42" spans="5:14">
      <c r="E42" s="31" t="s">
        <v>273</v>
      </c>
      <c r="F42" s="31"/>
      <c r="G42" s="31"/>
      <c r="H42" s="32"/>
      <c r="I42" s="32"/>
      <c r="J42" s="32"/>
      <c r="K42" s="32"/>
      <c r="L42" s="32"/>
      <c r="M42" s="33">
        <v>129193605</v>
      </c>
      <c r="N42" s="95">
        <v>82354376</v>
      </c>
    </row>
    <row r="43" spans="5:14">
      <c r="H43" s="12"/>
      <c r="I43" s="12"/>
      <c r="J43" s="12"/>
      <c r="K43" s="12"/>
      <c r="L43" s="12"/>
      <c r="M43" s="12"/>
    </row>
    <row r="44" spans="5:14">
      <c r="E44" s="34" t="s">
        <v>44</v>
      </c>
      <c r="F44" s="34"/>
      <c r="G44" s="34"/>
      <c r="H44" s="35"/>
      <c r="I44" s="35"/>
      <c r="J44" s="35"/>
      <c r="K44" s="35"/>
      <c r="L44" s="35"/>
      <c r="M44" s="92">
        <f>SUM(M40,M42)</f>
        <v>133432109</v>
      </c>
      <c r="N44" s="96">
        <f>N42+N40</f>
        <v>81699111</v>
      </c>
    </row>
    <row r="51" spans="11:13">
      <c r="K51" s="9"/>
      <c r="L51" s="9"/>
      <c r="M51" s="9"/>
    </row>
  </sheetData>
  <mergeCells count="4">
    <mergeCell ref="J1:M1"/>
    <mergeCell ref="J2:M2"/>
    <mergeCell ref="M4:N4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57"/>
  <sheetViews>
    <sheetView topLeftCell="A4" workbookViewId="0">
      <selection activeCell="I20" sqref="I20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  <col min="16" max="16" width="14.42578125" customWidth="1"/>
    <col min="17" max="17" width="17.28515625" customWidth="1"/>
  </cols>
  <sheetData>
    <row r="1" spans="1:17" ht="30" customHeight="1">
      <c r="J1" s="258" t="s">
        <v>274</v>
      </c>
      <c r="K1" s="258"/>
      <c r="L1" s="258"/>
      <c r="M1" s="258"/>
      <c r="N1" s="170"/>
      <c r="O1" s="170"/>
    </row>
    <row r="2" spans="1:17" ht="21.75" customHeight="1">
      <c r="J2" s="259" t="s">
        <v>1</v>
      </c>
      <c r="K2" s="259"/>
      <c r="L2" s="259"/>
      <c r="M2" s="259"/>
      <c r="N2" s="171"/>
      <c r="O2" s="171"/>
    </row>
    <row r="3" spans="1:17" ht="18.75" customHeight="1">
      <c r="E3" s="3"/>
      <c r="F3" s="3"/>
      <c r="G3" s="3"/>
      <c r="H3" s="3"/>
      <c r="I3" s="3"/>
      <c r="J3" s="3"/>
      <c r="K3" s="3"/>
      <c r="L3" s="3"/>
    </row>
    <row r="4" spans="1:17" ht="30.75" customHeight="1">
      <c r="E4" s="2"/>
      <c r="M4" s="260" t="s">
        <v>2</v>
      </c>
      <c r="N4" s="260"/>
      <c r="O4" s="260"/>
      <c r="P4" s="260"/>
      <c r="Q4" s="260"/>
    </row>
    <row r="5" spans="1:17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4" t="s">
        <v>5</v>
      </c>
      <c r="N5" s="264"/>
      <c r="O5" s="264"/>
      <c r="P5" s="265" t="s">
        <v>82</v>
      </c>
      <c r="Q5" s="265"/>
    </row>
    <row r="6" spans="1:17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  <c r="P6" s="90" t="s">
        <v>48</v>
      </c>
      <c r="Q6" s="99" t="s">
        <v>49</v>
      </c>
    </row>
    <row r="7" spans="1:17" ht="30.75" customHeight="1">
      <c r="A7" s="8" t="s">
        <v>13</v>
      </c>
      <c r="I7" s="9"/>
      <c r="J7" s="9"/>
      <c r="K7" s="9"/>
      <c r="L7" s="9"/>
    </row>
    <row r="8" spans="1:17">
      <c r="B8" s="10" t="s">
        <v>14</v>
      </c>
      <c r="I8" s="9"/>
      <c r="J8" s="9"/>
      <c r="K8" s="9"/>
      <c r="L8" s="9"/>
      <c r="M8" s="9"/>
      <c r="N8" s="9"/>
      <c r="O8" s="9"/>
    </row>
    <row r="9" spans="1:17">
      <c r="C9" t="s">
        <v>15</v>
      </c>
      <c r="H9" s="12"/>
      <c r="I9" s="11">
        <v>-10347217</v>
      </c>
      <c r="J9" s="12">
        <v>708429</v>
      </c>
      <c r="K9" s="12">
        <v>195502</v>
      </c>
      <c r="L9" s="12">
        <v>14157</v>
      </c>
      <c r="M9" s="12">
        <f t="shared" ref="M9:M15" si="0">SUM(I9:L9)</f>
        <v>-9429129</v>
      </c>
      <c r="N9" s="12"/>
      <c r="O9" s="12">
        <f t="shared" ref="O9:O15" si="1">SUM(M9:N9)</f>
        <v>-9429129</v>
      </c>
    </row>
    <row r="10" spans="1:17">
      <c r="C10" t="s">
        <v>16</v>
      </c>
      <c r="H10" s="12"/>
      <c r="I10" s="13">
        <v>-4179132</v>
      </c>
      <c r="J10" s="12">
        <v>518905</v>
      </c>
      <c r="K10" s="12">
        <v>307028</v>
      </c>
      <c r="L10" s="12"/>
      <c r="M10" s="12">
        <f t="shared" si="0"/>
        <v>-3353199</v>
      </c>
      <c r="N10" s="12"/>
      <c r="O10" s="12">
        <f t="shared" si="1"/>
        <v>-3353199</v>
      </c>
    </row>
    <row r="11" spans="1:17">
      <c r="C11" t="s">
        <v>17</v>
      </c>
      <c r="H11" s="12"/>
      <c r="I11" s="14">
        <v>-11273247</v>
      </c>
      <c r="J11" s="12">
        <v>5884</v>
      </c>
      <c r="K11" s="12">
        <v>923631</v>
      </c>
      <c r="L11" s="12">
        <v>7485895</v>
      </c>
      <c r="M11" s="12">
        <f t="shared" si="0"/>
        <v>-2857837</v>
      </c>
      <c r="N11" s="12"/>
      <c r="O11" s="12">
        <f t="shared" si="1"/>
        <v>-2857837</v>
      </c>
    </row>
    <row r="12" spans="1:17">
      <c r="C12" t="s">
        <v>275</v>
      </c>
      <c r="H12" s="12"/>
      <c r="I12" s="15">
        <v>-2670552</v>
      </c>
      <c r="J12" s="12">
        <v>99768</v>
      </c>
      <c r="K12" s="12">
        <v>654070</v>
      </c>
      <c r="L12" s="12"/>
      <c r="M12" s="12">
        <f>SUM(I12:L12)</f>
        <v>-1916714</v>
      </c>
      <c r="N12" s="12"/>
      <c r="O12" s="12">
        <f>SUM(M12:N12)</f>
        <v>-1916714</v>
      </c>
    </row>
    <row r="13" spans="1:17">
      <c r="C13" t="s">
        <v>71</v>
      </c>
      <c r="H13" s="12"/>
      <c r="I13" s="102">
        <v>-242675</v>
      </c>
      <c r="J13" s="12"/>
      <c r="K13" s="12"/>
      <c r="L13" s="12"/>
      <c r="M13" s="12">
        <f t="shared" si="0"/>
        <v>-242675</v>
      </c>
      <c r="N13" s="12"/>
      <c r="O13" s="12">
        <f t="shared" si="1"/>
        <v>-242675</v>
      </c>
    </row>
    <row r="14" spans="1:17">
      <c r="C14" t="s">
        <v>20</v>
      </c>
      <c r="H14" s="12"/>
      <c r="I14" s="16">
        <v>-794222</v>
      </c>
      <c r="J14" s="12">
        <v>9774</v>
      </c>
      <c r="K14" s="12">
        <v>118052</v>
      </c>
      <c r="L14" s="12"/>
      <c r="M14" s="12">
        <f t="shared" si="0"/>
        <v>-666396</v>
      </c>
      <c r="N14" s="12"/>
      <c r="O14" s="12">
        <f t="shared" si="1"/>
        <v>-666396</v>
      </c>
    </row>
    <row r="15" spans="1:17">
      <c r="C15" t="s">
        <v>21</v>
      </c>
      <c r="H15" s="12"/>
      <c r="I15" s="98">
        <v>-733654</v>
      </c>
      <c r="J15" s="12"/>
      <c r="K15" s="12"/>
      <c r="L15" s="12"/>
      <c r="M15" s="12">
        <f t="shared" si="0"/>
        <v>-733654</v>
      </c>
      <c r="N15" s="12"/>
      <c r="O15" s="12">
        <f t="shared" si="1"/>
        <v>-733654</v>
      </c>
    </row>
    <row r="16" spans="1:17">
      <c r="H16" s="12"/>
      <c r="I16" s="12"/>
      <c r="J16" s="12"/>
      <c r="K16" s="12"/>
      <c r="L16" s="12"/>
      <c r="M16" s="12"/>
      <c r="N16" s="12"/>
      <c r="O16" s="12"/>
    </row>
    <row r="17" spans="1:17">
      <c r="E17" s="19" t="s">
        <v>22</v>
      </c>
      <c r="F17" s="19"/>
      <c r="G17" s="19"/>
      <c r="H17" s="20"/>
      <c r="I17" s="20">
        <f>SUM(I9:I15)</f>
        <v>-30240699</v>
      </c>
      <c r="J17" s="20">
        <f>SUM(J9:J15)</f>
        <v>1342760</v>
      </c>
      <c r="K17" s="20">
        <f>SUM(K9:K15)</f>
        <v>2198283</v>
      </c>
      <c r="L17" s="20">
        <f>SUM(L9:L15)</f>
        <v>7500052</v>
      </c>
      <c r="M17" s="91">
        <f>SUM(M9:M15)</f>
        <v>-19199604</v>
      </c>
      <c r="N17" s="91"/>
      <c r="O17" s="91">
        <f>SUM(O9:O15)</f>
        <v>-19199604</v>
      </c>
      <c r="P17" s="93">
        <f>SUM(P9:P15)</f>
        <v>0</v>
      </c>
      <c r="Q17" s="93">
        <f>SUM(Q9:Q15)</f>
        <v>0</v>
      </c>
    </row>
    <row r="18" spans="1:17">
      <c r="E18" s="8"/>
      <c r="F18" s="8"/>
      <c r="G18" s="8"/>
      <c r="H18" s="26"/>
      <c r="I18" s="26"/>
      <c r="J18" s="26"/>
      <c r="K18" s="26"/>
      <c r="L18" s="26"/>
      <c r="M18" s="26"/>
      <c r="N18" s="26"/>
      <c r="O18" s="26"/>
    </row>
    <row r="19" spans="1:17">
      <c r="B19" s="10" t="s">
        <v>84</v>
      </c>
      <c r="E19" s="8"/>
      <c r="F19" s="8"/>
      <c r="G19" s="8"/>
      <c r="H19" s="26"/>
      <c r="I19" s="26"/>
      <c r="J19" s="26"/>
      <c r="K19" s="26"/>
      <c r="L19" s="26"/>
      <c r="M19" s="26"/>
      <c r="N19" s="26"/>
      <c r="O19" s="26"/>
    </row>
    <row r="20" spans="1:17">
      <c r="B20" s="10"/>
      <c r="C20" t="s">
        <v>276</v>
      </c>
      <c r="E20" s="8"/>
      <c r="F20" s="8"/>
      <c r="G20" s="8"/>
      <c r="H20" s="26"/>
      <c r="I20" s="249">
        <v>-4567386</v>
      </c>
      <c r="J20" s="88">
        <v>4737041</v>
      </c>
      <c r="K20" s="88"/>
      <c r="L20" s="88"/>
      <c r="M20" s="88"/>
      <c r="N20" s="88">
        <f>SUM(I20:L20)</f>
        <v>169655</v>
      </c>
      <c r="O20" s="88">
        <f>N20</f>
        <v>169655</v>
      </c>
    </row>
    <row r="21" spans="1:17">
      <c r="B21" s="10"/>
      <c r="E21" s="8"/>
      <c r="F21" s="8"/>
      <c r="G21" s="8"/>
      <c r="H21" s="26"/>
      <c r="I21" s="26"/>
      <c r="J21" s="26"/>
      <c r="K21" s="26"/>
      <c r="L21" s="26"/>
      <c r="M21" s="26"/>
      <c r="N21" s="26"/>
      <c r="O21" s="26"/>
    </row>
    <row r="22" spans="1:17">
      <c r="E22" s="19" t="s">
        <v>88</v>
      </c>
      <c r="F22" s="19"/>
      <c r="G22" s="19"/>
      <c r="H22" s="20"/>
      <c r="I22" s="20">
        <f t="shared" ref="I22:O22" si="2">SUM(I20:I20)</f>
        <v>-4567386</v>
      </c>
      <c r="J22" s="20">
        <f t="shared" si="2"/>
        <v>4737041</v>
      </c>
      <c r="K22" s="20">
        <f t="shared" si="2"/>
        <v>0</v>
      </c>
      <c r="L22" s="20">
        <f t="shared" si="2"/>
        <v>0</v>
      </c>
      <c r="M22" s="91">
        <f t="shared" si="2"/>
        <v>0</v>
      </c>
      <c r="N22" s="91">
        <f t="shared" si="2"/>
        <v>169655</v>
      </c>
      <c r="O22" s="91">
        <f t="shared" si="2"/>
        <v>169655</v>
      </c>
      <c r="P22" s="87"/>
      <c r="Q22" s="87"/>
    </row>
    <row r="23" spans="1:17">
      <c r="E23" s="8"/>
      <c r="F23" s="8"/>
      <c r="G23" s="8"/>
      <c r="H23" s="26"/>
      <c r="I23" s="26"/>
      <c r="J23" s="26"/>
      <c r="K23" s="26"/>
      <c r="L23" s="26"/>
      <c r="M23" s="26"/>
      <c r="N23" s="26"/>
      <c r="O23" s="26"/>
    </row>
    <row r="24" spans="1:17">
      <c r="E24" s="19" t="s">
        <v>89</v>
      </c>
      <c r="F24" s="19"/>
      <c r="G24" s="19"/>
      <c r="H24" s="20"/>
      <c r="I24" s="20">
        <f>I22+I17</f>
        <v>-34808085</v>
      </c>
      <c r="J24" s="20">
        <f>J22+J17</f>
        <v>6079801</v>
      </c>
      <c r="K24" s="20">
        <f>K22+K17</f>
        <v>2198283</v>
      </c>
      <c r="L24" s="20">
        <f>L17+L22</f>
        <v>7500052</v>
      </c>
      <c r="M24" s="91">
        <f>M17</f>
        <v>-19199604</v>
      </c>
      <c r="N24" s="91">
        <f>N22</f>
        <v>169655</v>
      </c>
      <c r="O24" s="91">
        <f>O22+O17</f>
        <v>-19029949</v>
      </c>
      <c r="P24" s="87"/>
      <c r="Q24" s="87"/>
    </row>
    <row r="25" spans="1:17">
      <c r="H25" s="12"/>
      <c r="I25" s="12"/>
      <c r="J25" s="12"/>
      <c r="K25" s="12"/>
      <c r="L25" s="12"/>
      <c r="M25" s="12"/>
      <c r="N25" s="12"/>
      <c r="O25" s="12"/>
    </row>
    <row r="26" spans="1:17">
      <c r="A26" s="10" t="s">
        <v>23</v>
      </c>
      <c r="H26" s="12"/>
      <c r="I26" s="12"/>
      <c r="J26" s="12"/>
      <c r="K26" s="12"/>
      <c r="L26" s="12"/>
      <c r="M26" s="12"/>
      <c r="N26" s="12"/>
      <c r="O26" s="12"/>
    </row>
    <row r="27" spans="1:17">
      <c r="B27" t="s">
        <v>90</v>
      </c>
      <c r="H27" s="12"/>
      <c r="I27" s="12">
        <v>-3169581</v>
      </c>
      <c r="J27" s="12">
        <v>136759</v>
      </c>
      <c r="K27" s="12">
        <v>69336</v>
      </c>
      <c r="L27" s="12"/>
      <c r="M27" s="12"/>
      <c r="N27" s="12"/>
      <c r="O27" s="12"/>
      <c r="P27" s="12">
        <f>SUM(I27:L27)</f>
        <v>-2963486</v>
      </c>
    </row>
    <row r="28" spans="1:17">
      <c r="B28" t="s">
        <v>91</v>
      </c>
      <c r="H28" s="12"/>
      <c r="I28" s="12">
        <v>-1468049</v>
      </c>
      <c r="J28" s="12">
        <v>1375295</v>
      </c>
      <c r="K28" s="12">
        <v>45426</v>
      </c>
      <c r="L28" s="12"/>
      <c r="M28" s="12"/>
      <c r="N28" s="12"/>
      <c r="O28" s="12"/>
      <c r="Q28" s="12">
        <f>SUM(I28:L28)</f>
        <v>-47328</v>
      </c>
    </row>
    <row r="29" spans="1:17">
      <c r="H29" s="12"/>
      <c r="I29" s="12"/>
      <c r="J29" s="12"/>
      <c r="K29" s="12"/>
      <c r="L29" s="12"/>
      <c r="M29" s="12"/>
      <c r="N29" s="12"/>
      <c r="O29" s="12"/>
    </row>
    <row r="30" spans="1:17">
      <c r="E30" s="19" t="s">
        <v>92</v>
      </c>
      <c r="F30" s="19"/>
      <c r="G30" s="19"/>
      <c r="H30" s="20"/>
      <c r="I30" s="20">
        <f t="shared" ref="I30:Q30" si="3">SUM(I27:I28)</f>
        <v>-4637630</v>
      </c>
      <c r="J30" s="20">
        <f t="shared" si="3"/>
        <v>1512054</v>
      </c>
      <c r="K30" s="20">
        <f t="shared" si="3"/>
        <v>114762</v>
      </c>
      <c r="L30" s="20">
        <f t="shared" si="3"/>
        <v>0</v>
      </c>
      <c r="M30" s="91">
        <f t="shared" si="3"/>
        <v>0</v>
      </c>
      <c r="N30" s="91">
        <f t="shared" si="3"/>
        <v>0</v>
      </c>
      <c r="O30" s="91">
        <f t="shared" si="3"/>
        <v>0</v>
      </c>
      <c r="P30" s="94">
        <f t="shared" si="3"/>
        <v>-2963486</v>
      </c>
      <c r="Q30" s="93">
        <f t="shared" si="3"/>
        <v>-47328</v>
      </c>
    </row>
    <row r="31" spans="1:17">
      <c r="H31" s="12"/>
      <c r="I31" s="12"/>
      <c r="J31" s="12"/>
      <c r="K31" s="12"/>
      <c r="L31" s="12"/>
      <c r="M31" s="12"/>
      <c r="N31" s="12"/>
      <c r="O31" s="12"/>
    </row>
    <row r="32" spans="1:17">
      <c r="A32" s="8"/>
      <c r="B32" s="8"/>
      <c r="C32" s="8"/>
      <c r="D32" s="8"/>
      <c r="E32" s="8"/>
      <c r="G32" s="8" t="s">
        <v>25</v>
      </c>
      <c r="H32" s="26"/>
      <c r="I32" s="26"/>
      <c r="J32" s="26"/>
      <c r="K32" s="26"/>
      <c r="L32" s="26"/>
      <c r="M32" s="12"/>
      <c r="N32" s="12"/>
      <c r="O32" s="12"/>
    </row>
    <row r="33" spans="1:17">
      <c r="A33" s="8"/>
      <c r="B33" s="8"/>
      <c r="C33" s="8"/>
      <c r="D33" s="8"/>
      <c r="E33" s="8"/>
      <c r="G33" s="8"/>
      <c r="H33" s="88" t="s">
        <v>201</v>
      </c>
      <c r="I33" s="26"/>
      <c r="J33" s="26"/>
      <c r="K33" s="26"/>
      <c r="L33" s="26"/>
      <c r="M33" s="28">
        <v>5293941</v>
      </c>
      <c r="N33" s="12"/>
      <c r="O33" s="12">
        <f t="shared" ref="O33:O40" si="4">SUM(M33:N33)</f>
        <v>5293941</v>
      </c>
      <c r="P33">
        <v>3383581</v>
      </c>
    </row>
    <row r="34" spans="1:17">
      <c r="H34" s="12" t="s">
        <v>128</v>
      </c>
      <c r="I34" s="12"/>
      <c r="J34" s="12"/>
      <c r="K34" s="12"/>
      <c r="L34" s="12"/>
      <c r="M34" s="14">
        <v>19895959</v>
      </c>
      <c r="N34" s="12"/>
      <c r="O34" s="12">
        <f t="shared" si="4"/>
        <v>19895959</v>
      </c>
      <c r="P34" s="12"/>
      <c r="Q34" s="9"/>
    </row>
    <row r="35" spans="1:17">
      <c r="H35" s="12" t="s">
        <v>148</v>
      </c>
      <c r="I35" s="12"/>
      <c r="J35" s="12"/>
      <c r="K35" s="12"/>
      <c r="L35" s="12"/>
      <c r="M35" s="14">
        <v>106462</v>
      </c>
      <c r="N35" s="12"/>
      <c r="O35" s="12">
        <f t="shared" si="4"/>
        <v>106462</v>
      </c>
      <c r="P35" s="12"/>
      <c r="Q35" s="12"/>
    </row>
    <row r="36" spans="1:17">
      <c r="H36" s="12" t="s">
        <v>277</v>
      </c>
      <c r="I36" s="12"/>
      <c r="J36" s="12"/>
      <c r="K36" s="12"/>
      <c r="L36" s="12"/>
      <c r="M36" s="15">
        <v>15231</v>
      </c>
      <c r="N36" s="12"/>
      <c r="O36" s="12">
        <f t="shared" si="4"/>
        <v>15231</v>
      </c>
      <c r="P36" s="12"/>
    </row>
    <row r="37" spans="1:17">
      <c r="H37" s="12" t="s">
        <v>278</v>
      </c>
      <c r="I37" s="12"/>
      <c r="J37" s="12"/>
      <c r="K37" s="12"/>
      <c r="L37" s="12"/>
      <c r="M37" s="14">
        <v>134802</v>
      </c>
      <c r="N37" s="12"/>
      <c r="O37" s="12">
        <f t="shared" si="4"/>
        <v>134802</v>
      </c>
      <c r="P37" s="12"/>
    </row>
    <row r="38" spans="1:17">
      <c r="H38" s="12" t="s">
        <v>279</v>
      </c>
      <c r="I38" s="12"/>
      <c r="J38" s="12"/>
      <c r="K38" s="12"/>
      <c r="L38" s="12"/>
      <c r="M38" s="11">
        <v>1079885</v>
      </c>
      <c r="N38" s="12"/>
      <c r="O38" s="12">
        <f t="shared" si="4"/>
        <v>1079885</v>
      </c>
      <c r="P38" s="12"/>
      <c r="Q38" s="12"/>
    </row>
    <row r="39" spans="1:17">
      <c r="H39" s="12" t="s">
        <v>138</v>
      </c>
      <c r="I39" s="12"/>
      <c r="J39" s="12"/>
      <c r="K39" s="12"/>
      <c r="L39" s="12"/>
      <c r="M39" s="29">
        <v>24141</v>
      </c>
      <c r="N39" s="12">
        <v>2169</v>
      </c>
      <c r="O39" s="12">
        <f t="shared" si="4"/>
        <v>26310</v>
      </c>
      <c r="P39" s="12">
        <v>2670</v>
      </c>
      <c r="Q39" s="12">
        <v>1416</v>
      </c>
    </row>
    <row r="40" spans="1:17">
      <c r="H40" s="12" t="s">
        <v>280</v>
      </c>
      <c r="I40" s="12"/>
      <c r="J40" s="12"/>
      <c r="K40" s="12"/>
      <c r="L40" s="12"/>
      <c r="M40" s="29">
        <v>4706654</v>
      </c>
      <c r="N40" s="12">
        <v>175225</v>
      </c>
      <c r="O40" s="12">
        <f t="shared" si="4"/>
        <v>4881879</v>
      </c>
      <c r="P40">
        <v>20210</v>
      </c>
      <c r="Q40" s="12">
        <v>356904</v>
      </c>
    </row>
    <row r="41" spans="1:17">
      <c r="H41" s="12" t="s">
        <v>95</v>
      </c>
      <c r="I41" s="12"/>
      <c r="J41" s="12"/>
      <c r="K41" s="12"/>
      <c r="L41" s="12"/>
      <c r="M41" s="12"/>
      <c r="N41" s="12"/>
      <c r="O41" s="12"/>
      <c r="P41" s="9"/>
      <c r="Q41" s="12"/>
    </row>
    <row r="42" spans="1:17">
      <c r="H42" s="12" t="s">
        <v>281</v>
      </c>
      <c r="I42" s="12"/>
      <c r="J42" s="12"/>
      <c r="K42" s="12"/>
      <c r="L42" s="12"/>
      <c r="M42" s="12"/>
      <c r="N42" s="12"/>
      <c r="O42" s="12"/>
      <c r="P42" s="9"/>
    </row>
    <row r="43" spans="1:17">
      <c r="H43" s="12"/>
      <c r="I43" s="12"/>
      <c r="J43" s="12"/>
      <c r="K43" s="12"/>
      <c r="L43" s="12"/>
      <c r="M43" s="12"/>
      <c r="N43" s="12"/>
      <c r="O43" s="12"/>
    </row>
    <row r="44" spans="1:17">
      <c r="H44" s="20" t="s">
        <v>282</v>
      </c>
      <c r="I44" s="20"/>
      <c r="J44" s="20"/>
      <c r="K44" s="20"/>
      <c r="L44" s="20"/>
      <c r="M44" s="20">
        <f>SUM(M33:M42)</f>
        <v>31257075</v>
      </c>
      <c r="N44" s="20">
        <f>SUM(N33:N42)</f>
        <v>177394</v>
      </c>
      <c r="O44" s="20">
        <f>SUM(O33:O42)</f>
        <v>31434469</v>
      </c>
      <c r="P44" s="93">
        <f>SUM(P33:P41)</f>
        <v>3406461</v>
      </c>
      <c r="Q44" s="100">
        <f>SUM(Q34:Q42)</f>
        <v>358320</v>
      </c>
    </row>
    <row r="45" spans="1:17">
      <c r="H45" s="12"/>
      <c r="I45" s="12"/>
      <c r="J45" s="12"/>
      <c r="K45" s="12"/>
      <c r="L45" s="12"/>
      <c r="M45" s="12"/>
      <c r="N45" s="12"/>
      <c r="O45" s="12"/>
    </row>
    <row r="46" spans="1:17">
      <c r="H46" s="20" t="s">
        <v>39</v>
      </c>
      <c r="I46" s="20"/>
      <c r="J46" s="20"/>
      <c r="K46" s="20"/>
      <c r="L46" s="20"/>
      <c r="M46" s="20">
        <f>M44+M24</f>
        <v>12057471</v>
      </c>
      <c r="N46" s="20">
        <f t="shared" ref="N46:O46" si="5">N44+N24</f>
        <v>347049</v>
      </c>
      <c r="O46" s="20">
        <f t="shared" si="5"/>
        <v>12404520</v>
      </c>
      <c r="P46" s="94">
        <f>P44+P30</f>
        <v>442975</v>
      </c>
      <c r="Q46" s="100">
        <f>Q44+Q30</f>
        <v>310992</v>
      </c>
    </row>
    <row r="47" spans="1:17">
      <c r="H47" s="26"/>
      <c r="I47" s="26"/>
      <c r="J47" s="26"/>
      <c r="K47" s="26"/>
      <c r="L47" s="26"/>
      <c r="M47" s="26"/>
      <c r="N47" s="26"/>
      <c r="O47" s="26"/>
    </row>
    <row r="48" spans="1:17">
      <c r="E48" s="31" t="s">
        <v>67</v>
      </c>
      <c r="F48" s="31"/>
      <c r="G48" s="31"/>
      <c r="H48" s="32"/>
      <c r="I48" s="32"/>
      <c r="J48" s="32"/>
      <c r="K48" s="32"/>
      <c r="L48" s="32"/>
      <c r="M48" s="33">
        <v>92910140</v>
      </c>
      <c r="N48" s="33">
        <v>12983802</v>
      </c>
      <c r="O48" s="33">
        <f>SUM(M48:N48)</f>
        <v>105893942</v>
      </c>
      <c r="P48" s="95">
        <v>5812594</v>
      </c>
      <c r="Q48" s="95">
        <v>4478668</v>
      </c>
    </row>
    <row r="49" spans="5:17">
      <c r="H49" s="12"/>
      <c r="I49" s="12"/>
      <c r="J49" s="12"/>
      <c r="K49" s="12"/>
      <c r="L49" s="12"/>
      <c r="M49" s="12"/>
      <c r="N49" s="12"/>
      <c r="O49" s="12"/>
    </row>
    <row r="50" spans="5:17">
      <c r="E50" s="34" t="s">
        <v>44</v>
      </c>
      <c r="F50" s="34"/>
      <c r="G50" s="34"/>
      <c r="H50" s="35"/>
      <c r="I50" s="35"/>
      <c r="J50" s="35"/>
      <c r="K50" s="35"/>
      <c r="L50" s="35"/>
      <c r="M50" s="92">
        <f>SUM(M46,M48)</f>
        <v>104967611</v>
      </c>
      <c r="N50" s="92">
        <f t="shared" ref="N50:Q50" si="6">SUM(N46,N48)</f>
        <v>13330851</v>
      </c>
      <c r="O50" s="92">
        <f t="shared" si="6"/>
        <v>118298462</v>
      </c>
      <c r="P50" s="92">
        <f t="shared" si="6"/>
        <v>6255569</v>
      </c>
      <c r="Q50" s="92">
        <f t="shared" si="6"/>
        <v>4789660</v>
      </c>
    </row>
    <row r="57" spans="5:17">
      <c r="K57" s="9"/>
      <c r="L57" s="9"/>
      <c r="M57" s="9"/>
      <c r="N57" s="9"/>
      <c r="O57" s="9"/>
    </row>
  </sheetData>
  <mergeCells count="6">
    <mergeCell ref="J1:M1"/>
    <mergeCell ref="J2:M2"/>
    <mergeCell ref="M4:Q4"/>
    <mergeCell ref="J5:L5"/>
    <mergeCell ref="M5:O5"/>
    <mergeCell ref="P5:Q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46"/>
  <sheetViews>
    <sheetView topLeftCell="A7" workbookViewId="0">
      <selection activeCell="M38" sqref="M38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3" customWidth="1"/>
  </cols>
  <sheetData>
    <row r="1" spans="1:13" ht="30" customHeight="1">
      <c r="J1" s="258" t="s">
        <v>283</v>
      </c>
      <c r="K1" s="258"/>
      <c r="L1" s="258"/>
      <c r="M1" s="258"/>
    </row>
    <row r="2" spans="1:13" ht="21.75" customHeight="1">
      <c r="J2" s="259" t="s">
        <v>1</v>
      </c>
      <c r="K2" s="259"/>
      <c r="L2" s="259"/>
      <c r="M2" s="259"/>
    </row>
    <row r="3" spans="1:13" ht="18.75" customHeight="1">
      <c r="E3" s="3"/>
      <c r="F3" s="3"/>
      <c r="G3" s="3"/>
      <c r="H3" s="3"/>
      <c r="I3" s="3"/>
      <c r="J3" s="3"/>
      <c r="K3" s="3"/>
      <c r="L3" s="3"/>
    </row>
    <row r="4" spans="1:13" ht="70.5" customHeight="1">
      <c r="E4" s="2"/>
      <c r="M4" s="172" t="s">
        <v>97</v>
      </c>
    </row>
    <row r="5" spans="1:13" ht="26.2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176" t="s">
        <v>5</v>
      </c>
    </row>
    <row r="6" spans="1:13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</row>
    <row r="7" spans="1:13" ht="30.75" customHeight="1">
      <c r="A7" s="8" t="s">
        <v>13</v>
      </c>
      <c r="I7" s="9"/>
      <c r="J7" s="9"/>
      <c r="K7" s="9"/>
      <c r="L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B9" s="10"/>
      <c r="C9" t="s">
        <v>141</v>
      </c>
      <c r="I9" s="9"/>
      <c r="J9" s="9"/>
      <c r="K9" s="9"/>
      <c r="L9" s="9"/>
      <c r="M9" s="9"/>
    </row>
    <row r="10" spans="1:13">
      <c r="D10" t="s">
        <v>99</v>
      </c>
      <c r="H10" s="12"/>
      <c r="I10" s="97">
        <v>-130792</v>
      </c>
      <c r="J10" s="12"/>
      <c r="K10" s="12"/>
      <c r="L10" s="12"/>
      <c r="M10" s="12">
        <f>SUM(I10:L10)</f>
        <v>-130792</v>
      </c>
    </row>
    <row r="11" spans="1:13">
      <c r="D11" t="s">
        <v>100</v>
      </c>
      <c r="H11" s="12"/>
      <c r="I11" s="98">
        <v>-292978</v>
      </c>
      <c r="J11" s="12">
        <v>23811</v>
      </c>
      <c r="K11" s="12"/>
      <c r="L11" s="12"/>
      <c r="M11" s="12">
        <f>SUM(I11:L11)</f>
        <v>-269167</v>
      </c>
    </row>
    <row r="12" spans="1:13">
      <c r="D12" t="s">
        <v>102</v>
      </c>
      <c r="H12" s="12"/>
      <c r="I12" s="101">
        <v>-24730</v>
      </c>
      <c r="J12" s="12"/>
      <c r="K12" s="12"/>
      <c r="L12" s="12"/>
      <c r="M12" s="12">
        <f>SUM(I12:L12)</f>
        <v>-24730</v>
      </c>
    </row>
    <row r="13" spans="1:13">
      <c r="D13" t="s">
        <v>143</v>
      </c>
      <c r="H13" s="12"/>
      <c r="I13" s="110">
        <v>-280311</v>
      </c>
      <c r="J13" s="12"/>
      <c r="K13" s="12"/>
      <c r="L13" s="12"/>
      <c r="M13" s="12">
        <f>SUM(I13:L13)</f>
        <v>-280311</v>
      </c>
    </row>
    <row r="14" spans="1:13">
      <c r="D14" t="s">
        <v>190</v>
      </c>
      <c r="H14" s="12"/>
      <c r="I14" s="108">
        <v>-535105</v>
      </c>
      <c r="J14" s="12">
        <v>15295</v>
      </c>
      <c r="K14" s="12">
        <v>77861</v>
      </c>
      <c r="L14" s="12"/>
      <c r="M14" s="12">
        <f>SUM(I14:L14)</f>
        <v>-441949</v>
      </c>
    </row>
    <row r="15" spans="1:13">
      <c r="C15" t="s">
        <v>16</v>
      </c>
      <c r="H15" s="12"/>
      <c r="I15" s="13">
        <v>-789090</v>
      </c>
      <c r="J15" s="12"/>
      <c r="K15" s="12">
        <v>66058</v>
      </c>
      <c r="L15" s="12"/>
      <c r="M15" s="12">
        <f t="shared" ref="M15:M18" si="0">SUM(I15:L15)</f>
        <v>-723032</v>
      </c>
    </row>
    <row r="16" spans="1:13">
      <c r="C16" t="s">
        <v>17</v>
      </c>
      <c r="H16" s="12"/>
      <c r="I16" s="14">
        <v>-5242558</v>
      </c>
      <c r="J16" s="12">
        <v>144347</v>
      </c>
      <c r="K16" s="12">
        <v>311332</v>
      </c>
      <c r="L16" s="12">
        <v>396699</v>
      </c>
      <c r="M16" s="12">
        <f t="shared" si="0"/>
        <v>-4390180</v>
      </c>
    </row>
    <row r="17" spans="1:13">
      <c r="C17" t="s">
        <v>19</v>
      </c>
      <c r="H17" s="12"/>
      <c r="I17" s="15">
        <v>-243700</v>
      </c>
      <c r="J17" s="12"/>
      <c r="K17" s="12"/>
      <c r="L17" s="12"/>
      <c r="M17" s="12">
        <f>SUM(I17:L17)</f>
        <v>-243700</v>
      </c>
    </row>
    <row r="18" spans="1:13">
      <c r="C18" t="s">
        <v>20</v>
      </c>
      <c r="H18" s="12"/>
      <c r="I18" s="16">
        <v>-1179043</v>
      </c>
      <c r="J18" s="12">
        <v>27163</v>
      </c>
      <c r="K18" s="12"/>
      <c r="L18" s="12"/>
      <c r="M18" s="12">
        <f t="shared" si="0"/>
        <v>-1151880</v>
      </c>
    </row>
    <row r="19" spans="1:13">
      <c r="H19" s="12"/>
      <c r="I19" s="12"/>
      <c r="J19" s="12"/>
      <c r="K19" s="12"/>
      <c r="L19" s="12"/>
      <c r="M19" s="12"/>
    </row>
    <row r="20" spans="1:13">
      <c r="E20" s="19" t="s">
        <v>22</v>
      </c>
      <c r="F20" s="19"/>
      <c r="G20" s="19"/>
      <c r="H20" s="20"/>
      <c r="I20" s="20">
        <f>SUM(I10:I18)</f>
        <v>-8718307</v>
      </c>
      <c r="J20" s="20">
        <f>SUM(J10:J18)</f>
        <v>210616</v>
      </c>
      <c r="K20" s="20">
        <f>SUM(K10:K18)</f>
        <v>455251</v>
      </c>
      <c r="L20" s="20">
        <f>SUM(L10:L18)</f>
        <v>396699</v>
      </c>
      <c r="M20" s="91">
        <f>SUM(M10:M18)</f>
        <v>-7655741</v>
      </c>
    </row>
    <row r="21" spans="1:13">
      <c r="E21" s="8"/>
      <c r="F21" s="8"/>
      <c r="G21" s="8"/>
      <c r="H21" s="26"/>
      <c r="I21" s="26"/>
      <c r="J21" s="26"/>
      <c r="K21" s="26"/>
      <c r="L21" s="26"/>
      <c r="M21" s="26"/>
    </row>
    <row r="22" spans="1:13">
      <c r="A22" s="8"/>
      <c r="B22" s="8"/>
      <c r="C22" s="8"/>
      <c r="D22" s="8"/>
      <c r="E22" s="8"/>
      <c r="G22" s="8" t="s">
        <v>25</v>
      </c>
      <c r="H22" s="26"/>
      <c r="I22" s="26"/>
      <c r="J22" s="26"/>
      <c r="K22" s="26"/>
      <c r="L22" s="26"/>
      <c r="M22" s="12"/>
    </row>
    <row r="23" spans="1:13">
      <c r="A23" s="8"/>
      <c r="B23" s="8"/>
      <c r="C23" s="8"/>
      <c r="D23" s="8"/>
      <c r="E23" s="8"/>
      <c r="G23" s="8"/>
      <c r="H23" s="88" t="s">
        <v>26</v>
      </c>
      <c r="I23" s="26"/>
      <c r="J23" s="26"/>
      <c r="K23" s="26"/>
      <c r="L23" s="26"/>
      <c r="M23" s="12"/>
    </row>
    <row r="24" spans="1:13">
      <c r="H24" s="12"/>
      <c r="I24" s="12" t="s">
        <v>116</v>
      </c>
      <c r="J24" s="12"/>
      <c r="K24" s="12"/>
      <c r="L24" s="12"/>
      <c r="M24" s="28">
        <v>4478159</v>
      </c>
    </row>
    <row r="25" spans="1:13">
      <c r="H25" s="12"/>
      <c r="I25" s="12" t="s">
        <v>243</v>
      </c>
      <c r="J25" s="12"/>
      <c r="K25" s="12"/>
      <c r="L25" s="12"/>
      <c r="M25" s="14">
        <v>2059337</v>
      </c>
    </row>
    <row r="26" spans="1:13">
      <c r="H26" s="12"/>
      <c r="I26" s="12" t="s">
        <v>75</v>
      </c>
      <c r="J26" s="12"/>
      <c r="K26" s="12"/>
      <c r="L26" s="12"/>
      <c r="M26" s="105">
        <v>83486</v>
      </c>
    </row>
    <row r="27" spans="1:13">
      <c r="H27" s="12"/>
      <c r="I27" s="12" t="s">
        <v>284</v>
      </c>
      <c r="J27" s="12"/>
      <c r="K27" s="12"/>
      <c r="L27" s="12"/>
      <c r="M27" s="15">
        <v>847116</v>
      </c>
    </row>
    <row r="28" spans="1:13">
      <c r="H28" s="12"/>
      <c r="I28" s="12" t="s">
        <v>285</v>
      </c>
      <c r="J28" s="12"/>
      <c r="K28" s="12"/>
      <c r="L28" s="12"/>
      <c r="M28" s="15">
        <v>152965</v>
      </c>
    </row>
    <row r="29" spans="1:13">
      <c r="H29" s="12" t="s">
        <v>137</v>
      </c>
      <c r="I29" s="12"/>
      <c r="J29" s="12"/>
      <c r="K29" s="12"/>
      <c r="L29" s="12"/>
      <c r="M29" s="29">
        <v>39004</v>
      </c>
    </row>
    <row r="30" spans="1:13">
      <c r="H30" s="12" t="s">
        <v>122</v>
      </c>
      <c r="I30" s="12"/>
      <c r="J30" s="12"/>
      <c r="K30" s="12"/>
      <c r="L30" s="12"/>
      <c r="M30" s="29">
        <v>92810</v>
      </c>
    </row>
    <row r="31" spans="1:13">
      <c r="H31" s="12" t="s">
        <v>36</v>
      </c>
      <c r="I31" s="12"/>
      <c r="J31" s="12"/>
      <c r="K31" s="12"/>
      <c r="L31" s="12"/>
      <c r="M31" s="29">
        <v>136598</v>
      </c>
    </row>
    <row r="32" spans="1:13">
      <c r="H32" s="12"/>
      <c r="I32" s="12"/>
      <c r="J32" s="12"/>
      <c r="K32" s="12"/>
      <c r="L32" s="12"/>
      <c r="M32" s="12"/>
    </row>
    <row r="33" spans="5:13">
      <c r="H33" s="20" t="s">
        <v>38</v>
      </c>
      <c r="I33" s="20"/>
      <c r="J33" s="20"/>
      <c r="K33" s="20"/>
      <c r="L33" s="20"/>
      <c r="M33" s="20">
        <f>SUM(M24:M31)</f>
        <v>7889475</v>
      </c>
    </row>
    <row r="34" spans="5:13">
      <c r="H34" s="12"/>
      <c r="I34" s="12"/>
      <c r="J34" s="12"/>
      <c r="K34" s="12"/>
      <c r="L34" s="12"/>
      <c r="M34" s="12"/>
    </row>
    <row r="35" spans="5:13">
      <c r="H35" s="20" t="s">
        <v>39</v>
      </c>
      <c r="I35" s="20"/>
      <c r="J35" s="20"/>
      <c r="K35" s="20"/>
      <c r="L35" s="20"/>
      <c r="M35" s="20">
        <f>M33+M20</f>
        <v>233734</v>
      </c>
    </row>
    <row r="36" spans="5:13">
      <c r="H36" s="26"/>
      <c r="I36" s="26"/>
      <c r="J36" s="26"/>
      <c r="K36" s="26"/>
      <c r="L36" s="26"/>
      <c r="M36" s="26"/>
    </row>
    <row r="37" spans="5:13">
      <c r="E37" s="31" t="s">
        <v>67</v>
      </c>
      <c r="F37" s="31"/>
      <c r="G37" s="31"/>
      <c r="H37" s="32"/>
      <c r="I37" s="32"/>
      <c r="J37" s="32"/>
      <c r="K37" s="32"/>
      <c r="L37" s="32"/>
      <c r="M37" s="33">
        <v>29658228</v>
      </c>
    </row>
    <row r="38" spans="5:13">
      <c r="H38" s="12"/>
      <c r="I38" s="12"/>
      <c r="J38" s="12"/>
      <c r="K38" s="12"/>
      <c r="L38" s="12"/>
      <c r="M38" s="12"/>
    </row>
    <row r="39" spans="5:13">
      <c r="E39" s="34" t="s">
        <v>44</v>
      </c>
      <c r="F39" s="34"/>
      <c r="G39" s="34"/>
      <c r="H39" s="35"/>
      <c r="I39" s="35"/>
      <c r="J39" s="35"/>
      <c r="K39" s="35"/>
      <c r="L39" s="35"/>
      <c r="M39" s="92">
        <f>SUM(M35,M37)</f>
        <v>29891962</v>
      </c>
    </row>
    <row r="46" spans="5:13">
      <c r="K46" s="9"/>
      <c r="L46" s="9"/>
      <c r="M46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68"/>
  <sheetViews>
    <sheetView topLeftCell="B5" workbookViewId="0">
      <selection activeCell="I23" sqref="I23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  <col min="16" max="16" width="14.42578125" customWidth="1"/>
  </cols>
  <sheetData>
    <row r="1" spans="1:16" ht="30" customHeight="1">
      <c r="J1" s="258" t="s">
        <v>286</v>
      </c>
      <c r="K1" s="258"/>
      <c r="L1" s="258"/>
      <c r="M1" s="258"/>
      <c r="N1" s="170"/>
      <c r="O1" s="170"/>
    </row>
    <row r="2" spans="1:16" ht="21.75" customHeight="1">
      <c r="J2" s="259" t="s">
        <v>287</v>
      </c>
      <c r="K2" s="259"/>
      <c r="L2" s="259"/>
      <c r="M2" s="259"/>
      <c r="N2" s="171"/>
      <c r="O2" s="171"/>
    </row>
    <row r="3" spans="1:16" ht="21.75" customHeight="1">
      <c r="J3" s="171"/>
      <c r="K3" s="116" t="s">
        <v>288</v>
      </c>
      <c r="L3" s="171"/>
      <c r="M3" s="171"/>
      <c r="N3" s="171"/>
      <c r="O3" s="171"/>
    </row>
    <row r="4" spans="1:16" ht="18.75" customHeight="1">
      <c r="E4" s="3"/>
      <c r="F4" s="3"/>
      <c r="G4" s="3"/>
      <c r="H4" s="3"/>
      <c r="I4" s="3"/>
      <c r="J4" s="3"/>
      <c r="K4" s="3"/>
      <c r="L4" s="3"/>
    </row>
    <row r="5" spans="1:16" ht="30.75" customHeight="1">
      <c r="E5" s="2"/>
      <c r="M5" s="260" t="s">
        <v>2</v>
      </c>
      <c r="N5" s="260"/>
      <c r="O5" s="260"/>
      <c r="P5" s="260"/>
    </row>
    <row r="6" spans="1:16" ht="15" customHeight="1">
      <c r="A6" t="s">
        <v>3</v>
      </c>
      <c r="C6" s="4"/>
      <c r="D6" s="4"/>
      <c r="E6" s="4"/>
      <c r="F6" s="4"/>
      <c r="G6" s="4"/>
      <c r="H6" s="4"/>
      <c r="I6" s="4"/>
      <c r="J6" s="260" t="s">
        <v>4</v>
      </c>
      <c r="K6" s="260"/>
      <c r="L6" s="260"/>
      <c r="M6" s="262" t="s">
        <v>5</v>
      </c>
      <c r="N6" s="262"/>
      <c r="O6" s="262"/>
      <c r="P6" s="112"/>
    </row>
    <row r="7" spans="1:16" ht="44.25" customHeight="1">
      <c r="A7" s="5" t="s">
        <v>6</v>
      </c>
      <c r="I7" s="6" t="s">
        <v>7</v>
      </c>
      <c r="J7" s="6" t="s">
        <v>8</v>
      </c>
      <c r="K7" s="6" t="s">
        <v>9</v>
      </c>
      <c r="L7" s="6" t="s">
        <v>10</v>
      </c>
      <c r="M7" s="6" t="s">
        <v>48</v>
      </c>
      <c r="N7" s="6" t="s">
        <v>49</v>
      </c>
      <c r="O7" s="6" t="s">
        <v>50</v>
      </c>
      <c r="P7" s="90" t="s">
        <v>12</v>
      </c>
    </row>
    <row r="8" spans="1:16" ht="30.75" customHeight="1">
      <c r="A8" s="8" t="s">
        <v>13</v>
      </c>
      <c r="I8" s="9"/>
      <c r="J8" s="9"/>
      <c r="K8" s="9"/>
      <c r="L8" s="9"/>
    </row>
    <row r="9" spans="1:16">
      <c r="B9" s="10" t="s">
        <v>14</v>
      </c>
      <c r="I9" s="9"/>
      <c r="J9" s="9"/>
      <c r="K9" s="9"/>
      <c r="L9" s="9"/>
      <c r="M9" s="9"/>
      <c r="N9" s="9"/>
      <c r="O9" s="9"/>
    </row>
    <row r="10" spans="1:16">
      <c r="C10" t="s">
        <v>15</v>
      </c>
      <c r="H10" s="12"/>
      <c r="I10" s="11">
        <v>-70963000</v>
      </c>
      <c r="J10" s="12">
        <v>13529000</v>
      </c>
      <c r="K10" s="12">
        <v>1234000</v>
      </c>
      <c r="L10" s="12"/>
      <c r="M10" s="12">
        <f t="shared" ref="M10:M18" si="0">SUM(I10:L10)</f>
        <v>-56200000</v>
      </c>
      <c r="N10" s="12"/>
      <c r="O10" s="12">
        <f t="shared" ref="O10:O18" si="1">SUM(M10:N10)</f>
        <v>-56200000</v>
      </c>
    </row>
    <row r="11" spans="1:16">
      <c r="C11" t="s">
        <v>16</v>
      </c>
      <c r="H11" s="12"/>
      <c r="I11" s="13">
        <v>-97982000</v>
      </c>
      <c r="J11" s="12">
        <v>15744000</v>
      </c>
      <c r="K11" s="12">
        <v>7348000</v>
      </c>
      <c r="L11" s="12"/>
      <c r="M11" s="12">
        <f t="shared" si="0"/>
        <v>-74890000</v>
      </c>
      <c r="N11" s="12"/>
      <c r="O11" s="12">
        <f t="shared" si="1"/>
        <v>-74890000</v>
      </c>
    </row>
    <row r="12" spans="1:16">
      <c r="C12" t="s">
        <v>17</v>
      </c>
      <c r="H12" s="12"/>
      <c r="I12" s="14">
        <v>-140983000</v>
      </c>
      <c r="J12" s="12">
        <v>20415000</v>
      </c>
      <c r="K12" s="12">
        <v>4977000</v>
      </c>
      <c r="L12" s="12">
        <v>34515000</v>
      </c>
      <c r="M12" s="12">
        <f t="shared" si="0"/>
        <v>-81076000</v>
      </c>
      <c r="N12" s="12"/>
      <c r="O12" s="12">
        <f t="shared" si="1"/>
        <v>-81076000</v>
      </c>
    </row>
    <row r="13" spans="1:16">
      <c r="C13" t="s">
        <v>289</v>
      </c>
      <c r="H13" s="12"/>
      <c r="I13" s="14">
        <v>-17938000</v>
      </c>
      <c r="J13" s="12">
        <v>3666000</v>
      </c>
      <c r="K13" s="12">
        <v>426000</v>
      </c>
      <c r="L13" s="12">
        <v>4234000</v>
      </c>
      <c r="M13" s="12">
        <f>SUM(I13:L13)</f>
        <v>-9612000</v>
      </c>
      <c r="N13" s="12"/>
      <c r="O13" s="12">
        <f>SUM(M13:N13)</f>
        <v>-9612000</v>
      </c>
    </row>
    <row r="14" spans="1:16">
      <c r="C14" t="s">
        <v>19</v>
      </c>
      <c r="H14" s="12"/>
      <c r="I14" s="15">
        <v>-53854000</v>
      </c>
      <c r="J14" s="12">
        <v>4218000</v>
      </c>
      <c r="K14" s="12">
        <v>39556000</v>
      </c>
      <c r="L14" s="12">
        <v>2714000</v>
      </c>
      <c r="M14" s="12">
        <f>SUM(I14:L14)</f>
        <v>-7366000</v>
      </c>
      <c r="N14" s="12"/>
      <c r="O14" s="12">
        <f t="shared" si="1"/>
        <v>-7366000</v>
      </c>
    </row>
    <row r="15" spans="1:16">
      <c r="C15" t="s">
        <v>20</v>
      </c>
      <c r="H15" s="12"/>
      <c r="I15" s="16">
        <v>-47510000</v>
      </c>
      <c r="J15" s="12">
        <v>4657000</v>
      </c>
      <c r="K15" s="12">
        <v>2147000</v>
      </c>
      <c r="L15" s="12">
        <v>7817000</v>
      </c>
      <c r="M15" s="12">
        <f t="shared" si="0"/>
        <v>-32889000</v>
      </c>
      <c r="N15" s="12"/>
      <c r="O15" s="12">
        <f t="shared" si="1"/>
        <v>-32889000</v>
      </c>
    </row>
    <row r="16" spans="1:16">
      <c r="C16" t="s">
        <v>71</v>
      </c>
      <c r="H16" s="12"/>
      <c r="I16" s="12"/>
      <c r="J16" s="12"/>
      <c r="K16" s="12">
        <v>60000</v>
      </c>
      <c r="L16" s="12"/>
      <c r="M16" s="12">
        <f t="shared" si="0"/>
        <v>60000</v>
      </c>
      <c r="N16" s="12"/>
      <c r="O16" s="12">
        <f t="shared" si="1"/>
        <v>60000</v>
      </c>
    </row>
    <row r="17" spans="1:16">
      <c r="C17" t="s">
        <v>268</v>
      </c>
      <c r="H17" s="12"/>
      <c r="I17" s="107">
        <v>-5580000</v>
      </c>
      <c r="J17" s="12"/>
      <c r="K17" s="12">
        <v>2643000</v>
      </c>
      <c r="L17" s="12"/>
      <c r="M17" s="12">
        <f>SUM(I17:L17)</f>
        <v>-2937000</v>
      </c>
      <c r="N17" s="12"/>
      <c r="O17" s="12">
        <f t="shared" si="1"/>
        <v>-2937000</v>
      </c>
    </row>
    <row r="18" spans="1:16">
      <c r="C18" t="s">
        <v>21</v>
      </c>
      <c r="H18" s="12"/>
      <c r="I18" s="98">
        <v>-25759000</v>
      </c>
      <c r="J18" s="12"/>
      <c r="K18" s="12"/>
      <c r="L18" s="12"/>
      <c r="M18" s="12">
        <f t="shared" si="0"/>
        <v>-25759000</v>
      </c>
      <c r="N18" s="12"/>
      <c r="O18" s="12">
        <f t="shared" si="1"/>
        <v>-25759000</v>
      </c>
    </row>
    <row r="19" spans="1:16">
      <c r="H19" s="12"/>
      <c r="I19" s="12"/>
      <c r="J19" s="12"/>
      <c r="K19" s="12"/>
      <c r="L19" s="12"/>
      <c r="M19" s="12"/>
      <c r="N19" s="12"/>
      <c r="O19" s="12"/>
    </row>
    <row r="20" spans="1:16">
      <c r="E20" s="19" t="s">
        <v>22</v>
      </c>
      <c r="F20" s="19"/>
      <c r="G20" s="19"/>
      <c r="H20" s="20"/>
      <c r="I20" s="20">
        <f>SUM(I10:I18)</f>
        <v>-460569000</v>
      </c>
      <c r="J20" s="20">
        <f>SUM(J10:J18)</f>
        <v>62229000</v>
      </c>
      <c r="K20" s="20">
        <f>SUM(K10:K18)</f>
        <v>58391000</v>
      </c>
      <c r="L20" s="20">
        <f>SUM(L10:L18)</f>
        <v>49280000</v>
      </c>
      <c r="M20" s="91">
        <f>SUM(M10:M18)</f>
        <v>-290669000</v>
      </c>
      <c r="N20" s="91"/>
      <c r="O20" s="91">
        <f>SUM(O10:O18)</f>
        <v>-290669000</v>
      </c>
      <c r="P20" s="93">
        <f>SUM(P10:P18)</f>
        <v>0</v>
      </c>
    </row>
    <row r="21" spans="1:16">
      <c r="E21" s="8"/>
      <c r="F21" s="8"/>
      <c r="G21" s="8"/>
      <c r="H21" s="26"/>
      <c r="I21" s="26"/>
      <c r="J21" s="26"/>
      <c r="K21" s="26"/>
      <c r="L21" s="26"/>
      <c r="M21" s="26"/>
      <c r="N21" s="26"/>
      <c r="O21" s="26"/>
    </row>
    <row r="22" spans="1:16">
      <c r="B22" s="10" t="s">
        <v>84</v>
      </c>
      <c r="E22" s="8"/>
      <c r="F22" s="8"/>
      <c r="G22" s="8"/>
      <c r="H22" s="26"/>
      <c r="I22" s="26"/>
      <c r="J22" s="26"/>
      <c r="K22" s="26"/>
      <c r="L22" s="26"/>
      <c r="M22" s="26"/>
      <c r="N22" s="26"/>
      <c r="O22" s="26"/>
    </row>
    <row r="23" spans="1:16">
      <c r="C23" t="s">
        <v>290</v>
      </c>
      <c r="E23" s="8"/>
      <c r="F23" s="8"/>
      <c r="G23" s="8"/>
      <c r="H23" s="26"/>
      <c r="I23" s="249">
        <v>-39186000</v>
      </c>
      <c r="J23" s="88">
        <v>32944000</v>
      </c>
      <c r="K23" s="88"/>
      <c r="L23" s="88">
        <v>822000</v>
      </c>
      <c r="M23" s="88"/>
      <c r="N23" s="88">
        <f>SUM(I23:L23)</f>
        <v>-5420000</v>
      </c>
      <c r="O23" s="88">
        <f>SUM(M23:N23)</f>
        <v>-5420000</v>
      </c>
    </row>
    <row r="24" spans="1:16">
      <c r="C24" t="s">
        <v>291</v>
      </c>
      <c r="E24" s="8"/>
      <c r="F24" s="8"/>
      <c r="G24" s="8"/>
      <c r="H24" s="26"/>
      <c r="I24" s="249">
        <v>-50426000</v>
      </c>
      <c r="J24" s="88">
        <v>24078000</v>
      </c>
      <c r="K24" s="88"/>
      <c r="L24" s="88">
        <v>5839000</v>
      </c>
      <c r="M24" s="88"/>
      <c r="N24" s="88">
        <f>SUM(I24:L24)</f>
        <v>-20509000</v>
      </c>
      <c r="O24" s="88">
        <f>SUM(M24:N24)</f>
        <v>-20509000</v>
      </c>
    </row>
    <row r="25" spans="1:16">
      <c r="E25" s="8"/>
      <c r="F25" s="8"/>
      <c r="G25" s="8"/>
      <c r="H25" s="26"/>
      <c r="I25" s="26"/>
      <c r="J25" s="26"/>
      <c r="K25" s="26"/>
      <c r="L25" s="26"/>
      <c r="M25" s="26"/>
      <c r="N25" s="26"/>
      <c r="O25" s="26"/>
    </row>
    <row r="26" spans="1:16">
      <c r="E26" s="19" t="s">
        <v>173</v>
      </c>
      <c r="F26" s="19"/>
      <c r="G26" s="19"/>
      <c r="H26" s="20"/>
      <c r="I26" s="20">
        <f t="shared" ref="I26:O26" si="2">SUM(I23:I24)</f>
        <v>-89612000</v>
      </c>
      <c r="J26" s="20">
        <f t="shared" si="2"/>
        <v>57022000</v>
      </c>
      <c r="K26" s="20">
        <f t="shared" si="2"/>
        <v>0</v>
      </c>
      <c r="L26" s="20">
        <f t="shared" si="2"/>
        <v>6661000</v>
      </c>
      <c r="M26" s="91">
        <f t="shared" si="2"/>
        <v>0</v>
      </c>
      <c r="N26" s="91">
        <f t="shared" si="2"/>
        <v>-25929000</v>
      </c>
      <c r="O26" s="91">
        <f t="shared" si="2"/>
        <v>-25929000</v>
      </c>
      <c r="P26" s="93">
        <f>SUM(P16:P24)</f>
        <v>0</v>
      </c>
    </row>
    <row r="27" spans="1:16">
      <c r="E27" s="8"/>
      <c r="F27" s="8"/>
      <c r="G27" s="8"/>
      <c r="H27" s="26"/>
      <c r="I27" s="26"/>
      <c r="J27" s="26"/>
      <c r="K27" s="26"/>
      <c r="L27" s="26"/>
      <c r="M27" s="26"/>
      <c r="N27" s="26"/>
      <c r="O27" s="26"/>
    </row>
    <row r="28" spans="1:16">
      <c r="E28" s="19" t="s">
        <v>89</v>
      </c>
      <c r="F28" s="19"/>
      <c r="G28" s="19"/>
      <c r="H28" s="20"/>
      <c r="I28" s="20">
        <f>I26+I20</f>
        <v>-550181000</v>
      </c>
      <c r="J28" s="20">
        <f>J26+J20</f>
        <v>119251000</v>
      </c>
      <c r="K28" s="20">
        <f>SUM(K20+K26)</f>
        <v>58391000</v>
      </c>
      <c r="L28" s="20">
        <f>SUM(L20+L26)</f>
        <v>55941000</v>
      </c>
      <c r="M28" s="91">
        <f>M26+M20</f>
        <v>-290669000</v>
      </c>
      <c r="N28" s="91">
        <f>N26+N20</f>
        <v>-25929000</v>
      </c>
      <c r="O28" s="91">
        <f>O26+O20</f>
        <v>-316598000</v>
      </c>
      <c r="P28" s="93">
        <f>SUM(P19:P26)</f>
        <v>0</v>
      </c>
    </row>
    <row r="29" spans="1:16">
      <c r="E29" s="8"/>
      <c r="F29" s="8"/>
      <c r="G29" s="8"/>
      <c r="H29" s="26"/>
      <c r="I29" s="26"/>
      <c r="J29" s="26"/>
      <c r="K29" s="26"/>
      <c r="L29" s="26"/>
      <c r="M29" s="26"/>
      <c r="N29" s="26"/>
      <c r="O29" s="26"/>
    </row>
    <row r="30" spans="1:16">
      <c r="A30" s="10" t="s">
        <v>23</v>
      </c>
      <c r="H30" s="12"/>
      <c r="I30" s="12"/>
      <c r="J30" s="12"/>
      <c r="K30" s="12"/>
      <c r="L30" s="12"/>
      <c r="M30" s="12"/>
      <c r="N30" s="12"/>
      <c r="O30" s="12"/>
    </row>
    <row r="31" spans="1:16">
      <c r="B31" t="s">
        <v>292</v>
      </c>
      <c r="H31" s="12"/>
      <c r="I31" s="12">
        <v>-3123000</v>
      </c>
      <c r="J31" s="12">
        <v>295000</v>
      </c>
      <c r="K31" s="12">
        <v>2929000</v>
      </c>
      <c r="L31" s="12">
        <v>3990000</v>
      </c>
      <c r="M31" s="12"/>
      <c r="N31" s="12"/>
      <c r="O31" s="12"/>
      <c r="P31" s="12">
        <f>SUM(I31:M31)</f>
        <v>4091000</v>
      </c>
    </row>
    <row r="32" spans="1:16">
      <c r="B32" t="s">
        <v>293</v>
      </c>
      <c r="H32" s="12"/>
      <c r="I32" s="12">
        <v>-548000</v>
      </c>
      <c r="J32" s="12">
        <v>394000</v>
      </c>
      <c r="K32" s="12"/>
      <c r="L32" s="12"/>
      <c r="M32" s="12"/>
      <c r="N32" s="12"/>
      <c r="O32" s="12"/>
      <c r="P32" s="12">
        <f>SUM(I32:L32)</f>
        <v>-154000</v>
      </c>
    </row>
    <row r="33" spans="1:16">
      <c r="B33" t="s">
        <v>294</v>
      </c>
      <c r="H33" s="12"/>
      <c r="I33" s="12">
        <v>-248000</v>
      </c>
      <c r="J33" s="12"/>
      <c r="K33" s="12"/>
      <c r="L33" s="12"/>
      <c r="M33" s="12"/>
      <c r="N33" s="12"/>
      <c r="O33" s="12"/>
      <c r="P33" s="12">
        <f>SUM(I33:L33)</f>
        <v>-248000</v>
      </c>
    </row>
    <row r="34" spans="1:16">
      <c r="B34" t="s">
        <v>295</v>
      </c>
      <c r="H34" s="12"/>
      <c r="I34" s="12">
        <v>-5006000</v>
      </c>
      <c r="J34" s="12"/>
      <c r="K34" s="12"/>
      <c r="L34" s="12"/>
      <c r="M34" s="12"/>
      <c r="N34" s="12"/>
      <c r="O34" s="12"/>
      <c r="P34" s="12">
        <f>SUM(I34:L34)</f>
        <v>-5006000</v>
      </c>
    </row>
    <row r="35" spans="1:16">
      <c r="B35" t="s">
        <v>296</v>
      </c>
      <c r="H35" s="12"/>
      <c r="I35" s="12">
        <v>-265312000</v>
      </c>
      <c r="J35" s="12">
        <v>240510000</v>
      </c>
      <c r="K35" s="12"/>
      <c r="L35" s="12"/>
      <c r="M35" s="12"/>
      <c r="N35" s="12"/>
      <c r="O35" s="12"/>
      <c r="P35" s="12">
        <f>SUM(I35:L35)</f>
        <v>-24802000</v>
      </c>
    </row>
    <row r="36" spans="1:16">
      <c r="B36" t="s">
        <v>297</v>
      </c>
      <c r="H36" s="12"/>
      <c r="I36" s="12">
        <v>-385241000</v>
      </c>
      <c r="J36" s="12">
        <v>346248000</v>
      </c>
      <c r="K36" s="12"/>
      <c r="L36" s="12"/>
      <c r="M36" s="12"/>
      <c r="N36" s="12"/>
      <c r="O36" s="12"/>
      <c r="P36" s="12">
        <f>SUM(I36:L36)</f>
        <v>-38993000</v>
      </c>
    </row>
    <row r="37" spans="1:16">
      <c r="H37" s="12"/>
      <c r="I37" s="12"/>
      <c r="J37" s="12"/>
      <c r="K37" s="12"/>
      <c r="L37" s="12"/>
      <c r="M37" s="12"/>
      <c r="N37" s="12"/>
      <c r="O37" s="12"/>
    </row>
    <row r="38" spans="1:16">
      <c r="E38" s="19" t="s">
        <v>92</v>
      </c>
      <c r="F38" s="19"/>
      <c r="G38" s="19"/>
      <c r="H38" s="20"/>
      <c r="I38" s="20">
        <f t="shared" ref="I38:P38" si="3">SUM(I31:I36)</f>
        <v>-659478000</v>
      </c>
      <c r="J38" s="20">
        <f t="shared" si="3"/>
        <v>587447000</v>
      </c>
      <c r="K38" s="20">
        <f t="shared" si="3"/>
        <v>2929000</v>
      </c>
      <c r="L38" s="20">
        <f t="shared" si="3"/>
        <v>3990000</v>
      </c>
      <c r="M38" s="91">
        <f t="shared" si="3"/>
        <v>0</v>
      </c>
      <c r="N38" s="91">
        <f t="shared" si="3"/>
        <v>0</v>
      </c>
      <c r="O38" s="91">
        <f t="shared" si="3"/>
        <v>0</v>
      </c>
      <c r="P38" s="94">
        <f t="shared" si="3"/>
        <v>-65112000</v>
      </c>
    </row>
    <row r="39" spans="1:16">
      <c r="H39" s="12"/>
      <c r="I39" s="12"/>
      <c r="J39" s="12"/>
      <c r="K39" s="12"/>
      <c r="L39" s="12"/>
      <c r="M39" s="12"/>
      <c r="N39" s="12"/>
      <c r="O39" s="12"/>
    </row>
    <row r="40" spans="1:16">
      <c r="A40" s="8"/>
      <c r="B40" s="8"/>
      <c r="C40" s="8"/>
      <c r="D40" s="8"/>
      <c r="E40" s="8"/>
      <c r="G40" s="8" t="s">
        <v>25</v>
      </c>
      <c r="H40" s="26"/>
      <c r="I40" s="26"/>
      <c r="J40" s="26"/>
      <c r="K40" s="26"/>
      <c r="L40" s="26"/>
      <c r="M40" s="12"/>
      <c r="N40" s="12"/>
      <c r="O40" s="12"/>
    </row>
    <row r="41" spans="1:16">
      <c r="A41" s="8"/>
      <c r="B41" s="8"/>
      <c r="C41" s="8"/>
      <c r="D41" s="8"/>
      <c r="E41" s="8"/>
      <c r="G41" s="8"/>
      <c r="H41" s="88" t="s">
        <v>26</v>
      </c>
      <c r="I41" s="26"/>
      <c r="J41" s="26"/>
      <c r="K41" s="26"/>
      <c r="L41" s="26"/>
      <c r="M41" s="12"/>
      <c r="N41" s="12"/>
      <c r="O41" s="12"/>
    </row>
    <row r="42" spans="1:16">
      <c r="H42" s="12"/>
      <c r="I42" s="12" t="s">
        <v>73</v>
      </c>
      <c r="J42" s="12"/>
      <c r="K42" s="12"/>
      <c r="L42" s="12"/>
      <c r="M42" s="28">
        <v>187717000</v>
      </c>
      <c r="N42" s="12">
        <v>19456000</v>
      </c>
      <c r="O42" s="12">
        <f t="shared" ref="O42:O53" si="4">SUM(M42:N42)</f>
        <v>207173000</v>
      </c>
      <c r="P42" s="12"/>
    </row>
    <row r="43" spans="1:16">
      <c r="H43" s="12"/>
      <c r="I43" s="12" t="s">
        <v>298</v>
      </c>
      <c r="J43" s="12"/>
      <c r="K43" s="12"/>
      <c r="L43" s="12"/>
      <c r="M43" s="15">
        <v>269000</v>
      </c>
      <c r="N43" s="12"/>
      <c r="O43" s="12">
        <f t="shared" si="4"/>
        <v>269000</v>
      </c>
      <c r="P43" s="12"/>
    </row>
    <row r="44" spans="1:16">
      <c r="H44" s="12"/>
      <c r="I44" s="12" t="s">
        <v>299</v>
      </c>
      <c r="J44" s="12"/>
      <c r="K44" s="12"/>
      <c r="L44" s="12"/>
      <c r="M44" s="15">
        <v>272000</v>
      </c>
      <c r="N44" s="12"/>
      <c r="O44" s="12">
        <f t="shared" si="4"/>
        <v>272000</v>
      </c>
      <c r="P44" s="12"/>
    </row>
    <row r="45" spans="1:16">
      <c r="H45" s="12"/>
      <c r="I45" s="12" t="s">
        <v>246</v>
      </c>
      <c r="J45" s="12"/>
      <c r="K45" s="12"/>
      <c r="L45" s="12"/>
      <c r="M45" s="14">
        <v>5141000</v>
      </c>
      <c r="N45" s="12"/>
      <c r="O45" s="12">
        <f t="shared" si="4"/>
        <v>5141000</v>
      </c>
      <c r="P45" s="12"/>
    </row>
    <row r="46" spans="1:16">
      <c r="H46" s="12"/>
      <c r="I46" s="12" t="s">
        <v>28</v>
      </c>
      <c r="J46" s="12"/>
      <c r="K46" s="12"/>
      <c r="L46" s="12"/>
      <c r="M46" s="14">
        <v>146059000</v>
      </c>
      <c r="N46" s="12"/>
      <c r="O46" s="12">
        <f t="shared" si="4"/>
        <v>146059000</v>
      </c>
      <c r="P46" s="12"/>
    </row>
    <row r="47" spans="1:16">
      <c r="H47" s="12"/>
      <c r="I47" s="12" t="s">
        <v>300</v>
      </c>
      <c r="J47" s="12"/>
      <c r="K47" s="12"/>
      <c r="L47" s="12"/>
      <c r="M47" s="14">
        <v>3515000</v>
      </c>
      <c r="N47" s="12"/>
      <c r="O47" s="12">
        <f t="shared" si="4"/>
        <v>3515000</v>
      </c>
    </row>
    <row r="48" spans="1:16">
      <c r="H48" s="12"/>
      <c r="I48" s="12" t="s">
        <v>301</v>
      </c>
      <c r="J48" s="12"/>
      <c r="K48" s="12"/>
      <c r="L48" s="12"/>
      <c r="M48" s="12"/>
      <c r="N48" s="12"/>
      <c r="O48" s="12">
        <f t="shared" si="4"/>
        <v>0</v>
      </c>
    </row>
    <row r="49" spans="5:16">
      <c r="H49" s="12"/>
      <c r="I49" s="12" t="s">
        <v>29</v>
      </c>
      <c r="J49" s="12"/>
      <c r="K49" s="12"/>
      <c r="L49" s="12"/>
      <c r="M49" s="15">
        <v>971000</v>
      </c>
      <c r="N49" s="12"/>
      <c r="O49" s="12">
        <f t="shared" si="4"/>
        <v>971000</v>
      </c>
    </row>
    <row r="50" spans="5:16">
      <c r="H50" s="12" t="s">
        <v>138</v>
      </c>
      <c r="I50" s="12"/>
      <c r="J50" s="12"/>
      <c r="K50" s="12"/>
      <c r="L50" s="12"/>
      <c r="M50" s="29">
        <v>3955000</v>
      </c>
      <c r="N50" s="12">
        <v>278000</v>
      </c>
      <c r="O50" s="12">
        <f t="shared" si="4"/>
        <v>4233000</v>
      </c>
      <c r="P50" s="9">
        <v>2749000</v>
      </c>
    </row>
    <row r="51" spans="5:16">
      <c r="H51" s="12" t="s">
        <v>36</v>
      </c>
      <c r="I51" s="12"/>
      <c r="J51" s="12"/>
      <c r="K51" s="12"/>
      <c r="L51" s="12"/>
      <c r="M51" s="29">
        <v>27278000</v>
      </c>
      <c r="N51" s="12">
        <v>889000</v>
      </c>
      <c r="O51" s="12">
        <f>SUM(M51:N51)</f>
        <v>28167000</v>
      </c>
      <c r="P51" s="9">
        <v>40126000</v>
      </c>
    </row>
    <row r="52" spans="5:16">
      <c r="H52" s="12" t="s">
        <v>302</v>
      </c>
      <c r="I52" s="12"/>
      <c r="J52" s="12"/>
      <c r="K52" s="12"/>
      <c r="L52" s="12"/>
      <c r="M52" s="29">
        <v>50241000</v>
      </c>
      <c r="N52" s="12">
        <v>4569000</v>
      </c>
      <c r="O52" s="12">
        <f>SUM(M52:N52)</f>
        <v>54810000</v>
      </c>
      <c r="P52" s="9"/>
    </row>
    <row r="53" spans="5:16">
      <c r="H53" s="12" t="s">
        <v>37</v>
      </c>
      <c r="I53" s="12"/>
      <c r="J53" s="12"/>
      <c r="K53" s="12"/>
      <c r="L53" s="12"/>
      <c r="M53" s="97">
        <v>-6832000</v>
      </c>
      <c r="N53" s="12">
        <v>6832000</v>
      </c>
      <c r="O53" s="12">
        <f t="shared" si="4"/>
        <v>0</v>
      </c>
      <c r="P53" s="9"/>
    </row>
    <row r="54" spans="5:16">
      <c r="H54" s="12"/>
      <c r="I54" s="12"/>
      <c r="J54" s="12"/>
      <c r="K54" s="12"/>
      <c r="L54" s="12"/>
      <c r="M54" s="12"/>
      <c r="N54" s="12"/>
      <c r="O54" s="12"/>
    </row>
    <row r="55" spans="5:16">
      <c r="H55" s="20" t="s">
        <v>38</v>
      </c>
      <c r="I55" s="20"/>
      <c r="J55" s="20"/>
      <c r="K55" s="20"/>
      <c r="L55" s="20"/>
      <c r="M55" s="20">
        <f>SUM(M42:M53)</f>
        <v>418586000</v>
      </c>
      <c r="N55" s="20">
        <f>SUM(N42:N53)</f>
        <v>32024000</v>
      </c>
      <c r="O55" s="20">
        <f>SUM(O42:O53)</f>
        <v>450610000</v>
      </c>
      <c r="P55" s="93">
        <f>SUM(P42:P51)</f>
        <v>42875000</v>
      </c>
    </row>
    <row r="56" spans="5:16">
      <c r="H56" s="12"/>
      <c r="I56" s="12"/>
      <c r="J56" s="12"/>
      <c r="K56" s="12"/>
      <c r="L56" s="12"/>
      <c r="M56" s="12"/>
      <c r="N56" s="12"/>
      <c r="O56" s="12"/>
    </row>
    <row r="57" spans="5:16">
      <c r="H57" s="20" t="s">
        <v>39</v>
      </c>
      <c r="I57" s="20"/>
      <c r="J57" s="20"/>
      <c r="K57" s="20"/>
      <c r="L57" s="20"/>
      <c r="M57" s="20">
        <f>M55+M28</f>
        <v>127917000</v>
      </c>
      <c r="N57" s="20">
        <f t="shared" ref="N57:O57" si="5">N55+N28</f>
        <v>6095000</v>
      </c>
      <c r="O57" s="20">
        <f t="shared" si="5"/>
        <v>134012000</v>
      </c>
      <c r="P57" s="94">
        <f>P55+P38</f>
        <v>-22237000</v>
      </c>
    </row>
    <row r="58" spans="5:16">
      <c r="H58" s="26"/>
      <c r="I58" s="26"/>
      <c r="J58" s="26"/>
      <c r="K58" s="26"/>
      <c r="L58" s="26"/>
      <c r="M58" s="26"/>
      <c r="N58" s="26"/>
      <c r="O58" s="26"/>
    </row>
    <row r="59" spans="5:16">
      <c r="E59" s="31" t="s">
        <v>67</v>
      </c>
      <c r="F59" s="31"/>
      <c r="G59" s="31"/>
      <c r="H59" s="32"/>
      <c r="I59" s="32"/>
      <c r="J59" s="32"/>
      <c r="K59" s="32"/>
      <c r="L59" s="32"/>
      <c r="M59" s="33">
        <v>1146493000</v>
      </c>
      <c r="N59" s="33">
        <v>622113000</v>
      </c>
      <c r="O59" s="33">
        <f>SUM(M59:N59)</f>
        <v>1768606000</v>
      </c>
      <c r="P59" s="95">
        <v>499636000</v>
      </c>
    </row>
    <row r="60" spans="5:16">
      <c r="H60" s="12"/>
      <c r="I60" s="12"/>
      <c r="J60" s="12"/>
      <c r="K60" s="12"/>
      <c r="L60" s="12"/>
      <c r="M60" s="12"/>
      <c r="N60" s="12"/>
      <c r="O60" s="12"/>
    </row>
    <row r="61" spans="5:16">
      <c r="E61" s="34" t="s">
        <v>44</v>
      </c>
      <c r="F61" s="34"/>
      <c r="G61" s="34"/>
      <c r="H61" s="35"/>
      <c r="I61" s="35"/>
      <c r="J61" s="35"/>
      <c r="K61" s="35"/>
      <c r="L61" s="35"/>
      <c r="M61" s="92">
        <f>SUM(M57,M59)</f>
        <v>1274410000</v>
      </c>
      <c r="N61" s="92">
        <f>N59+N57</f>
        <v>628208000</v>
      </c>
      <c r="O61" s="92">
        <f>O59+O57</f>
        <v>1902618000</v>
      </c>
      <c r="P61" s="96">
        <f>P59+P57</f>
        <v>477399000</v>
      </c>
    </row>
    <row r="68" spans="11:15">
      <c r="K68" s="9"/>
      <c r="L68" s="9"/>
      <c r="M68" s="9"/>
      <c r="N68" s="9"/>
      <c r="O68" s="9"/>
    </row>
  </sheetData>
  <mergeCells count="5">
    <mergeCell ref="J1:M1"/>
    <mergeCell ref="J2:M2"/>
    <mergeCell ref="M5:P5"/>
    <mergeCell ref="J6:L6"/>
    <mergeCell ref="M6:O6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44"/>
  <sheetViews>
    <sheetView topLeftCell="A5" workbookViewId="0">
      <selection activeCell="M36" sqref="M36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</cols>
  <sheetData>
    <row r="1" spans="1:13" ht="31.5" customHeight="1">
      <c r="J1" s="258" t="s">
        <v>303</v>
      </c>
      <c r="K1" s="258"/>
      <c r="L1" s="258"/>
      <c r="M1" s="258"/>
    </row>
    <row r="2" spans="1:13" ht="18">
      <c r="J2" s="259" t="s">
        <v>1</v>
      </c>
      <c r="K2" s="259"/>
      <c r="L2" s="259"/>
      <c r="M2" s="259"/>
    </row>
    <row r="3" spans="1:13" ht="15.75">
      <c r="E3" s="3"/>
      <c r="F3" s="3"/>
      <c r="G3" s="3"/>
      <c r="H3" s="3"/>
      <c r="I3" s="3"/>
      <c r="J3" s="3"/>
      <c r="K3" s="3"/>
      <c r="L3" s="3"/>
    </row>
    <row r="4" spans="1:13" ht="18">
      <c r="E4" s="2"/>
      <c r="M4" s="173"/>
    </row>
    <row r="5" spans="1:13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174"/>
    </row>
    <row r="6" spans="1:13" ht="42.7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113" t="s">
        <v>97</v>
      </c>
    </row>
    <row r="7" spans="1:13">
      <c r="A7" s="8" t="s">
        <v>13</v>
      </c>
      <c r="I7" s="9"/>
      <c r="J7" s="9"/>
      <c r="K7" s="9"/>
      <c r="L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C9" t="s">
        <v>15</v>
      </c>
      <c r="H9" s="12"/>
      <c r="I9" s="11">
        <v>-4320395</v>
      </c>
      <c r="J9" s="12">
        <v>2395868</v>
      </c>
      <c r="K9" s="12">
        <v>18539</v>
      </c>
      <c r="L9" s="12"/>
      <c r="M9" s="12">
        <f t="shared" ref="M9:M14" si="0">SUM(I9:L9)</f>
        <v>-1905988</v>
      </c>
    </row>
    <row r="10" spans="1:13">
      <c r="C10" t="s">
        <v>16</v>
      </c>
      <c r="H10" s="12"/>
      <c r="I10" s="13">
        <v>-1736283</v>
      </c>
      <c r="J10" s="12">
        <v>415294</v>
      </c>
      <c r="K10" s="12">
        <v>224071</v>
      </c>
      <c r="L10" s="12">
        <v>24422</v>
      </c>
      <c r="M10" s="12">
        <f t="shared" si="0"/>
        <v>-1072496</v>
      </c>
    </row>
    <row r="11" spans="1:13">
      <c r="C11" t="s">
        <v>17</v>
      </c>
      <c r="H11" s="12"/>
      <c r="I11" s="14">
        <v>-3493885</v>
      </c>
      <c r="J11" s="12"/>
      <c r="K11" s="12">
        <v>531103</v>
      </c>
      <c r="L11" s="12">
        <v>1297152</v>
      </c>
      <c r="M11" s="12">
        <f t="shared" si="0"/>
        <v>-1665630</v>
      </c>
    </row>
    <row r="12" spans="1:13">
      <c r="C12" t="s">
        <v>20</v>
      </c>
      <c r="H12" s="12"/>
      <c r="I12" s="16">
        <v>-72901</v>
      </c>
      <c r="J12" s="12">
        <v>23021</v>
      </c>
      <c r="K12" s="12"/>
      <c r="L12" s="12"/>
      <c r="M12" s="12">
        <f t="shared" si="0"/>
        <v>-49880</v>
      </c>
    </row>
    <row r="13" spans="1:13">
      <c r="C13" t="s">
        <v>19</v>
      </c>
      <c r="H13" s="12"/>
      <c r="I13" s="15">
        <v>-1152258</v>
      </c>
      <c r="J13" s="12">
        <v>25116</v>
      </c>
      <c r="K13" s="12">
        <v>954107</v>
      </c>
      <c r="L13" s="12"/>
      <c r="M13" s="12">
        <f t="shared" si="0"/>
        <v>-173035</v>
      </c>
    </row>
    <row r="14" spans="1:13">
      <c r="C14" t="s">
        <v>71</v>
      </c>
      <c r="H14" s="12"/>
      <c r="I14" s="102">
        <v>-149084</v>
      </c>
      <c r="J14" s="12"/>
      <c r="K14" s="12">
        <v>10000</v>
      </c>
      <c r="L14" s="12">
        <v>139074</v>
      </c>
      <c r="M14" s="12">
        <f t="shared" si="0"/>
        <v>-10</v>
      </c>
    </row>
    <row r="15" spans="1:13">
      <c r="C15" t="s">
        <v>21</v>
      </c>
      <c r="H15" s="12"/>
      <c r="I15" s="17">
        <v>-738405</v>
      </c>
      <c r="J15" s="18"/>
      <c r="K15" s="18"/>
      <c r="L15" s="18"/>
      <c r="M15" s="18">
        <f>SUM(I15:L15)</f>
        <v>-738405</v>
      </c>
    </row>
    <row r="16" spans="1:13">
      <c r="H16" s="12"/>
      <c r="I16" s="12"/>
      <c r="J16" s="12"/>
      <c r="K16" s="12"/>
      <c r="L16" s="12"/>
      <c r="M16" s="12"/>
    </row>
    <row r="17" spans="1:13">
      <c r="E17" s="19" t="s">
        <v>22</v>
      </c>
      <c r="F17" s="19"/>
      <c r="G17" s="19"/>
      <c r="H17" s="20"/>
      <c r="I17" s="20">
        <f>SUM(I9:I15)</f>
        <v>-11663211</v>
      </c>
      <c r="J17" s="20">
        <f>SUM(J9:J14)</f>
        <v>2859299</v>
      </c>
      <c r="K17" s="20">
        <f>SUM(K9:K14)</f>
        <v>1737820</v>
      </c>
      <c r="L17" s="20">
        <f>SUM(L9:L14)</f>
        <v>1460648</v>
      </c>
      <c r="M17" s="91">
        <f>SUM(M9:M15)</f>
        <v>-5605444</v>
      </c>
    </row>
    <row r="18" spans="1:13">
      <c r="H18" s="12"/>
      <c r="I18" s="12"/>
      <c r="J18" s="12"/>
      <c r="K18" s="12"/>
      <c r="L18" s="12"/>
      <c r="M18" s="12"/>
    </row>
    <row r="19" spans="1:13">
      <c r="A19" s="8"/>
      <c r="B19" s="8"/>
      <c r="C19" s="8"/>
      <c r="D19" s="8"/>
      <c r="E19" s="8"/>
      <c r="G19" s="8" t="s">
        <v>25</v>
      </c>
      <c r="H19" s="26"/>
      <c r="I19" s="26"/>
      <c r="J19" s="26"/>
      <c r="K19" s="26"/>
      <c r="L19" s="26"/>
      <c r="M19" s="12"/>
    </row>
    <row r="20" spans="1:13">
      <c r="H20" s="12" t="s">
        <v>201</v>
      </c>
      <c r="I20" s="12"/>
      <c r="J20" s="12"/>
      <c r="K20" s="12"/>
      <c r="L20" s="12"/>
      <c r="M20" s="28">
        <v>4063707</v>
      </c>
    </row>
    <row r="21" spans="1:13">
      <c r="H21" s="12" t="s">
        <v>304</v>
      </c>
      <c r="I21" s="12"/>
      <c r="J21" s="12"/>
      <c r="K21" s="12"/>
      <c r="L21" s="12"/>
      <c r="M21" s="14">
        <v>2598488</v>
      </c>
    </row>
    <row r="22" spans="1:13">
      <c r="H22" s="12" t="s">
        <v>127</v>
      </c>
      <c r="I22" s="12"/>
      <c r="J22" s="12"/>
      <c r="K22" s="12"/>
      <c r="L22" s="12"/>
      <c r="M22" s="15">
        <v>996726</v>
      </c>
    </row>
    <row r="23" spans="1:13">
      <c r="H23" s="12" t="s">
        <v>75</v>
      </c>
      <c r="I23" s="12"/>
      <c r="J23" s="12"/>
      <c r="K23" s="12"/>
      <c r="L23" s="12"/>
      <c r="M23" s="105">
        <v>137277</v>
      </c>
    </row>
    <row r="24" spans="1:13">
      <c r="H24" s="12" t="s">
        <v>305</v>
      </c>
      <c r="I24" s="12"/>
      <c r="J24" s="12"/>
      <c r="K24" s="12"/>
      <c r="L24" s="12"/>
      <c r="M24" s="29">
        <v>318659</v>
      </c>
    </row>
    <row r="25" spans="1:13">
      <c r="H25" s="12" t="s">
        <v>33</v>
      </c>
      <c r="I25" s="12"/>
      <c r="J25" s="12"/>
      <c r="K25" s="12"/>
      <c r="L25" s="12"/>
      <c r="M25" s="11">
        <v>338271</v>
      </c>
    </row>
    <row r="26" spans="1:13">
      <c r="H26" s="12" t="s">
        <v>77</v>
      </c>
      <c r="I26" s="12"/>
      <c r="J26" s="12"/>
      <c r="K26" s="12"/>
      <c r="L26" s="12"/>
      <c r="M26" s="29">
        <v>22950</v>
      </c>
    </row>
    <row r="27" spans="1:13">
      <c r="H27" s="12" t="s">
        <v>306</v>
      </c>
      <c r="I27" s="12"/>
      <c r="J27" s="12"/>
      <c r="K27" s="12"/>
      <c r="L27" s="12"/>
      <c r="M27" s="29">
        <v>654163</v>
      </c>
    </row>
    <row r="28" spans="1:13">
      <c r="H28" s="12" t="s">
        <v>78</v>
      </c>
      <c r="I28" s="12"/>
      <c r="J28" s="12"/>
      <c r="K28" s="12"/>
      <c r="L28" s="12"/>
      <c r="M28" s="12"/>
    </row>
    <row r="29" spans="1:13">
      <c r="H29" s="12"/>
      <c r="I29" s="12" t="s">
        <v>95</v>
      </c>
      <c r="J29" s="12"/>
      <c r="K29" s="12"/>
      <c r="L29" s="12"/>
      <c r="M29" s="29">
        <v>44263</v>
      </c>
    </row>
    <row r="30" spans="1:13">
      <c r="H30" s="12"/>
      <c r="I30" s="12"/>
      <c r="J30" s="12"/>
      <c r="K30" s="12"/>
      <c r="L30" s="12"/>
      <c r="M30" s="12"/>
    </row>
    <row r="31" spans="1:13">
      <c r="H31" s="20" t="s">
        <v>38</v>
      </c>
      <c r="I31" s="20"/>
      <c r="J31" s="20"/>
      <c r="K31" s="20"/>
      <c r="L31" s="20"/>
      <c r="M31" s="20">
        <f>SUM(M20:M29)</f>
        <v>9174504</v>
      </c>
    </row>
    <row r="32" spans="1:13">
      <c r="H32" s="12"/>
      <c r="I32" s="12"/>
      <c r="J32" s="12"/>
      <c r="K32" s="12"/>
      <c r="L32" s="12"/>
      <c r="M32" s="12"/>
    </row>
    <row r="33" spans="5:13">
      <c r="H33" s="20" t="s">
        <v>39</v>
      </c>
      <c r="I33" s="20"/>
      <c r="J33" s="20"/>
      <c r="K33" s="20"/>
      <c r="L33" s="20"/>
      <c r="M33" s="20">
        <f>SUM(M17,M31)</f>
        <v>3569060</v>
      </c>
    </row>
    <row r="34" spans="5:13">
      <c r="H34" s="26"/>
      <c r="I34" s="26"/>
      <c r="J34" s="26"/>
      <c r="K34" s="26"/>
      <c r="L34" s="26"/>
      <c r="M34" s="26"/>
    </row>
    <row r="35" spans="5:13">
      <c r="E35" s="31" t="s">
        <v>67</v>
      </c>
      <c r="F35" s="31"/>
      <c r="G35" s="31"/>
      <c r="H35" s="32"/>
      <c r="I35" s="32"/>
      <c r="J35" s="32"/>
      <c r="K35" s="32"/>
      <c r="L35" s="32"/>
      <c r="M35" s="33">
        <v>32713787</v>
      </c>
    </row>
    <row r="36" spans="5:13">
      <c r="H36" s="12"/>
      <c r="I36" s="12"/>
      <c r="J36" s="12"/>
      <c r="K36" s="12"/>
      <c r="L36" s="12"/>
      <c r="M36" s="12"/>
    </row>
    <row r="37" spans="5:13">
      <c r="E37" s="34" t="s">
        <v>44</v>
      </c>
      <c r="F37" s="34"/>
      <c r="G37" s="34"/>
      <c r="H37" s="35"/>
      <c r="I37" s="35"/>
      <c r="J37" s="35"/>
      <c r="K37" s="35"/>
      <c r="L37" s="35"/>
      <c r="M37" s="92">
        <f>SUM(M33,M35)</f>
        <v>36282847</v>
      </c>
    </row>
    <row r="44" spans="5:13">
      <c r="K44" s="9"/>
      <c r="L44" s="9"/>
      <c r="M44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67"/>
  <sheetViews>
    <sheetView topLeftCell="A5" workbookViewId="0">
      <selection activeCell="H27" sqref="H27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  <col min="16" max="16" width="14.42578125" customWidth="1"/>
  </cols>
  <sheetData>
    <row r="1" spans="1:16" ht="30" customHeight="1">
      <c r="J1" s="258" t="s">
        <v>307</v>
      </c>
      <c r="K1" s="258"/>
      <c r="L1" s="258"/>
      <c r="M1" s="258"/>
      <c r="N1" s="170"/>
      <c r="O1" s="170"/>
    </row>
    <row r="2" spans="1:16" ht="21.75" customHeight="1">
      <c r="J2" s="259" t="s">
        <v>1</v>
      </c>
      <c r="K2" s="259"/>
      <c r="L2" s="259"/>
      <c r="M2" s="259"/>
      <c r="N2" s="171"/>
      <c r="O2" s="171"/>
    </row>
    <row r="3" spans="1:16" ht="18.75" customHeight="1">
      <c r="E3" s="3"/>
      <c r="F3" s="3"/>
      <c r="G3" s="3"/>
      <c r="H3" s="3"/>
      <c r="I3" s="3"/>
      <c r="J3" s="3"/>
      <c r="K3" s="3"/>
      <c r="L3" s="3"/>
    </row>
    <row r="4" spans="1:16" ht="30.75" customHeight="1">
      <c r="E4" s="2"/>
      <c r="M4" s="260" t="s">
        <v>2</v>
      </c>
      <c r="N4" s="260"/>
      <c r="O4" s="260"/>
      <c r="P4" s="260"/>
    </row>
    <row r="5" spans="1:16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2" t="s">
        <v>5</v>
      </c>
      <c r="N5" s="262"/>
      <c r="O5" s="262"/>
      <c r="P5" s="112"/>
    </row>
    <row r="6" spans="1:16" ht="44.25" customHeight="1">
      <c r="A6" s="5" t="s">
        <v>6</v>
      </c>
      <c r="I6" s="6" t="s">
        <v>7</v>
      </c>
      <c r="J6" s="6" t="s">
        <v>308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  <c r="P6" s="90" t="s">
        <v>12</v>
      </c>
    </row>
    <row r="7" spans="1:16" ht="30.75" customHeight="1">
      <c r="A7" s="8" t="s">
        <v>13</v>
      </c>
      <c r="I7" s="9"/>
      <c r="J7" s="9"/>
      <c r="K7" s="9"/>
      <c r="L7" s="9"/>
    </row>
    <row r="8" spans="1:16">
      <c r="B8" s="10" t="s">
        <v>14</v>
      </c>
      <c r="I8" s="9"/>
      <c r="J8" s="9"/>
      <c r="K8" s="9"/>
      <c r="L8" s="9"/>
      <c r="M8" s="9"/>
      <c r="N8" s="9"/>
      <c r="O8" s="9"/>
    </row>
    <row r="9" spans="1:16">
      <c r="C9" t="s">
        <v>15</v>
      </c>
      <c r="H9" s="12"/>
      <c r="I9" s="11">
        <v>-37184500</v>
      </c>
      <c r="J9" s="12">
        <v>9151990</v>
      </c>
      <c r="K9" s="12">
        <v>1059787</v>
      </c>
      <c r="L9" s="12"/>
      <c r="M9" s="12">
        <f t="shared" ref="M9:M19" si="0">SUM(I9:L9)</f>
        <v>-26972723</v>
      </c>
      <c r="N9" s="12"/>
      <c r="O9" s="12">
        <f t="shared" ref="O9:O19" si="1">SUM(M9:N9)</f>
        <v>-26972723</v>
      </c>
    </row>
    <row r="10" spans="1:16">
      <c r="C10" t="s">
        <v>16</v>
      </c>
      <c r="H10" s="12"/>
      <c r="I10" s="13">
        <v>-65643989</v>
      </c>
      <c r="J10" s="12">
        <v>2950921</v>
      </c>
      <c r="K10" s="12">
        <v>5015322</v>
      </c>
      <c r="L10" s="12">
        <v>711209</v>
      </c>
      <c r="M10" s="12">
        <f t="shared" si="0"/>
        <v>-56966537</v>
      </c>
      <c r="N10" s="12"/>
      <c r="O10" s="12">
        <f t="shared" si="1"/>
        <v>-56966537</v>
      </c>
    </row>
    <row r="11" spans="1:16">
      <c r="C11" t="s">
        <v>309</v>
      </c>
      <c r="H11" s="12"/>
      <c r="I11" s="14">
        <v>-13480841</v>
      </c>
      <c r="J11" s="12">
        <v>3610538</v>
      </c>
      <c r="K11" s="12">
        <v>2503378</v>
      </c>
      <c r="L11" s="12">
        <v>3007073</v>
      </c>
      <c r="M11" s="12">
        <f t="shared" si="0"/>
        <v>-4359852</v>
      </c>
      <c r="N11" s="12"/>
      <c r="O11" s="12">
        <f t="shared" si="1"/>
        <v>-4359852</v>
      </c>
    </row>
    <row r="12" spans="1:16">
      <c r="C12" t="s">
        <v>310</v>
      </c>
      <c r="H12" s="12"/>
      <c r="I12" s="14">
        <v>-21493669</v>
      </c>
      <c r="J12" s="12"/>
      <c r="K12" s="12">
        <v>1487408</v>
      </c>
      <c r="L12" s="12">
        <v>1489675</v>
      </c>
      <c r="M12" s="12">
        <f>SUM(I12:L12)</f>
        <v>-18516586</v>
      </c>
      <c r="N12" s="12"/>
      <c r="O12" s="12">
        <f>SUM(M12:N12)</f>
        <v>-18516586</v>
      </c>
    </row>
    <row r="13" spans="1:16">
      <c r="C13" t="s">
        <v>268</v>
      </c>
      <c r="H13" s="12"/>
      <c r="I13" s="107">
        <v>-5386889</v>
      </c>
      <c r="J13" s="12"/>
      <c r="K13" s="12">
        <v>1518591</v>
      </c>
      <c r="L13" s="12">
        <v>215680</v>
      </c>
      <c r="M13" s="12">
        <f>SUM(I13:L13)</f>
        <v>-3652618</v>
      </c>
      <c r="N13" s="12"/>
      <c r="O13" s="12">
        <f>SUM(M13:N13)</f>
        <v>-3652618</v>
      </c>
    </row>
    <row r="14" spans="1:16">
      <c r="C14" t="s">
        <v>20</v>
      </c>
      <c r="H14" s="12"/>
      <c r="I14" s="16">
        <v>-24380013</v>
      </c>
      <c r="J14" s="12">
        <v>6357185</v>
      </c>
      <c r="K14" s="12"/>
      <c r="L14" s="12">
        <v>479963</v>
      </c>
      <c r="M14" s="12">
        <f>SUM(I14:L14)</f>
        <v>-17542865</v>
      </c>
      <c r="N14" s="12"/>
      <c r="O14" s="12">
        <f>SUM(M14:N14)</f>
        <v>-17542865</v>
      </c>
    </row>
    <row r="15" spans="1:16">
      <c r="C15" t="s">
        <v>19</v>
      </c>
      <c r="H15" s="12"/>
      <c r="I15" s="15">
        <v>-1055317</v>
      </c>
      <c r="J15" s="12"/>
      <c r="K15" s="12"/>
      <c r="L15" s="12"/>
      <c r="M15" s="12">
        <f>SUM(I15:L15)</f>
        <v>-1055317</v>
      </c>
      <c r="N15" s="12"/>
      <c r="O15" s="12">
        <f t="shared" si="1"/>
        <v>-1055317</v>
      </c>
    </row>
    <row r="16" spans="1:16">
      <c r="C16" t="s">
        <v>311</v>
      </c>
      <c r="H16" s="12"/>
      <c r="I16" s="102">
        <v>-317939</v>
      </c>
      <c r="J16" s="12"/>
      <c r="K16" s="12">
        <v>275030</v>
      </c>
      <c r="L16" s="12"/>
      <c r="M16" s="12">
        <f t="shared" si="0"/>
        <v>-42909</v>
      </c>
      <c r="N16" s="12"/>
      <c r="O16" s="12">
        <f t="shared" si="1"/>
        <v>-42909</v>
      </c>
    </row>
    <row r="17" spans="2:16">
      <c r="C17" t="s">
        <v>18</v>
      </c>
      <c r="H17" s="12"/>
      <c r="I17" s="102">
        <v>-2011600</v>
      </c>
      <c r="J17" s="12"/>
      <c r="K17" s="12">
        <v>1489808</v>
      </c>
      <c r="L17" s="12"/>
      <c r="M17" s="12">
        <f t="shared" si="0"/>
        <v>-521792</v>
      </c>
      <c r="N17" s="12"/>
      <c r="O17" s="12">
        <f t="shared" si="1"/>
        <v>-521792</v>
      </c>
    </row>
    <row r="18" spans="2:16">
      <c r="C18" t="s">
        <v>269</v>
      </c>
      <c r="H18" s="12"/>
      <c r="I18" s="107">
        <v>-17004422</v>
      </c>
      <c r="J18" s="12"/>
      <c r="K18" s="12"/>
      <c r="L18" s="12"/>
      <c r="M18" s="12">
        <f>SUM(I18:L18)</f>
        <v>-17004422</v>
      </c>
      <c r="N18" s="12"/>
      <c r="O18" s="12">
        <f t="shared" si="1"/>
        <v>-17004422</v>
      </c>
    </row>
    <row r="19" spans="2:16">
      <c r="C19" t="s">
        <v>21</v>
      </c>
      <c r="H19" s="12"/>
      <c r="I19" s="98">
        <v>-19316705</v>
      </c>
      <c r="J19" s="12"/>
      <c r="K19" s="12">
        <v>1260326</v>
      </c>
      <c r="L19" s="12"/>
      <c r="M19" s="12">
        <f t="shared" si="0"/>
        <v>-18056379</v>
      </c>
      <c r="N19" s="12"/>
      <c r="O19" s="12">
        <f t="shared" si="1"/>
        <v>-18056379</v>
      </c>
    </row>
    <row r="20" spans="2:16">
      <c r="H20" s="12"/>
      <c r="I20" s="12"/>
      <c r="J20" s="12"/>
      <c r="K20" s="12"/>
      <c r="L20" s="12"/>
      <c r="M20" s="12"/>
      <c r="N20" s="12"/>
      <c r="O20" s="12"/>
    </row>
    <row r="21" spans="2:16">
      <c r="E21" s="19" t="s">
        <v>22</v>
      </c>
      <c r="F21" s="19"/>
      <c r="G21" s="19"/>
      <c r="H21" s="20"/>
      <c r="I21" s="20">
        <f>SUM(I9:I19)</f>
        <v>-207275884</v>
      </c>
      <c r="J21" s="20">
        <f>SUM(J9:J19)</f>
        <v>22070634</v>
      </c>
      <c r="K21" s="20">
        <f>SUM(K9:K19)</f>
        <v>14609650</v>
      </c>
      <c r="L21" s="20">
        <f>SUM(L9:L19)</f>
        <v>5903600</v>
      </c>
      <c r="M21" s="91">
        <f>SUM(M9:M19)</f>
        <v>-164692000</v>
      </c>
      <c r="N21" s="91"/>
      <c r="O21" s="91">
        <f>SUM(O9:O19)</f>
        <v>-164692000</v>
      </c>
      <c r="P21" s="93">
        <f>SUM(P9:P19)</f>
        <v>0</v>
      </c>
    </row>
    <row r="22" spans="2:16">
      <c r="E22" s="8"/>
      <c r="F22" s="8"/>
      <c r="G22" s="8"/>
      <c r="H22" s="26"/>
      <c r="I22" s="26"/>
      <c r="J22" s="26"/>
      <c r="K22" s="26"/>
      <c r="L22" s="26"/>
      <c r="M22" s="26"/>
      <c r="N22" s="26"/>
      <c r="O22" s="26"/>
    </row>
    <row r="23" spans="2:16">
      <c r="B23" s="10" t="s">
        <v>84</v>
      </c>
      <c r="E23" s="8"/>
      <c r="F23" s="8"/>
      <c r="G23" s="8"/>
      <c r="H23" s="26"/>
      <c r="I23" s="26"/>
      <c r="J23" s="26"/>
      <c r="K23" s="26"/>
      <c r="L23" s="26"/>
      <c r="M23" s="26"/>
      <c r="N23" s="26"/>
      <c r="O23" s="26"/>
    </row>
    <row r="24" spans="2:16">
      <c r="C24" t="s">
        <v>312</v>
      </c>
      <c r="E24" s="8"/>
      <c r="F24" s="8"/>
      <c r="G24" s="8"/>
      <c r="H24" s="26"/>
      <c r="I24" s="249">
        <v>-159498894</v>
      </c>
      <c r="J24" s="88">
        <v>187153313</v>
      </c>
      <c r="K24" s="88"/>
      <c r="L24" s="88">
        <v>2737769</v>
      </c>
      <c r="M24" s="88"/>
      <c r="N24" s="88">
        <f t="shared" ref="N24:N31" si="2">SUM(I24:L24)</f>
        <v>30392188</v>
      </c>
      <c r="O24" s="88">
        <f t="shared" ref="O24:O31" si="3">SUM(M24:N24)</f>
        <v>30392188</v>
      </c>
    </row>
    <row r="25" spans="2:16">
      <c r="C25" t="s">
        <v>171</v>
      </c>
      <c r="E25" s="8"/>
      <c r="F25" s="8"/>
      <c r="G25" s="8"/>
      <c r="H25" s="26"/>
      <c r="I25" s="249">
        <v>-16809413</v>
      </c>
      <c r="J25" s="88">
        <v>17499221</v>
      </c>
      <c r="K25" s="88"/>
      <c r="L25" s="88"/>
      <c r="M25" s="88"/>
      <c r="N25" s="88">
        <f t="shared" si="2"/>
        <v>689808</v>
      </c>
      <c r="O25" s="88">
        <f t="shared" si="3"/>
        <v>689808</v>
      </c>
    </row>
    <row r="26" spans="2:16">
      <c r="C26" t="s">
        <v>172</v>
      </c>
      <c r="E26" s="8"/>
      <c r="F26" s="8"/>
      <c r="G26" s="8"/>
      <c r="H26" s="26"/>
      <c r="I26" s="249">
        <v>-22224144</v>
      </c>
      <c r="J26" s="88">
        <v>28617206</v>
      </c>
      <c r="K26" s="88"/>
      <c r="L26" s="88"/>
      <c r="M26" s="88"/>
      <c r="N26" s="88">
        <f t="shared" si="2"/>
        <v>6393062</v>
      </c>
      <c r="O26" s="88">
        <f t="shared" si="3"/>
        <v>6393062</v>
      </c>
    </row>
    <row r="27" spans="2:16">
      <c r="C27" t="s">
        <v>313</v>
      </c>
      <c r="E27" s="8"/>
      <c r="F27" s="8"/>
      <c r="G27" s="8"/>
      <c r="H27" s="26"/>
      <c r="I27" s="252">
        <v>-37206383</v>
      </c>
      <c r="J27" s="88">
        <v>27424453</v>
      </c>
      <c r="K27" s="88"/>
      <c r="L27" s="88"/>
      <c r="M27" s="88"/>
      <c r="N27" s="88">
        <v>-9781930</v>
      </c>
      <c r="O27" s="88">
        <f t="shared" si="3"/>
        <v>-9781930</v>
      </c>
    </row>
    <row r="28" spans="2:16">
      <c r="C28" t="s">
        <v>314</v>
      </c>
      <c r="E28" s="8"/>
      <c r="F28" s="8"/>
      <c r="G28" s="8"/>
      <c r="H28" s="26"/>
      <c r="I28" s="252">
        <v>-59053699</v>
      </c>
      <c r="J28" s="88">
        <v>60403535</v>
      </c>
      <c r="K28" s="88"/>
      <c r="L28" s="88"/>
      <c r="M28" s="88"/>
      <c r="N28" s="88">
        <f t="shared" si="2"/>
        <v>1349836</v>
      </c>
      <c r="O28" s="88">
        <f t="shared" si="3"/>
        <v>1349836</v>
      </c>
    </row>
    <row r="29" spans="2:16">
      <c r="C29" t="s">
        <v>315</v>
      </c>
      <c r="E29" s="8"/>
      <c r="F29" s="8"/>
      <c r="G29" s="8"/>
      <c r="H29" s="26"/>
      <c r="I29" s="248">
        <v>-13410942</v>
      </c>
      <c r="J29" s="88">
        <v>13376335</v>
      </c>
      <c r="K29" s="88"/>
      <c r="L29" s="88">
        <v>1946</v>
      </c>
      <c r="M29" s="88"/>
      <c r="N29" s="88">
        <f t="shared" si="2"/>
        <v>-32661</v>
      </c>
      <c r="O29" s="88">
        <f t="shared" si="3"/>
        <v>-32661</v>
      </c>
    </row>
    <row r="30" spans="2:16">
      <c r="C30" t="s">
        <v>316</v>
      </c>
      <c r="E30" s="8"/>
      <c r="F30" s="8"/>
      <c r="G30" s="8"/>
      <c r="H30" s="26"/>
      <c r="I30" s="252">
        <v>-1453449</v>
      </c>
      <c r="J30" s="88">
        <v>409783</v>
      </c>
      <c r="K30" s="88"/>
      <c r="L30" s="88">
        <v>28123</v>
      </c>
      <c r="M30" s="88"/>
      <c r="N30" s="88">
        <f t="shared" si="2"/>
        <v>-1015543</v>
      </c>
      <c r="O30" s="88">
        <f t="shared" si="3"/>
        <v>-1015543</v>
      </c>
    </row>
    <row r="31" spans="2:16">
      <c r="C31" t="s">
        <v>317</v>
      </c>
      <c r="E31" s="8"/>
      <c r="F31" s="8"/>
      <c r="G31" s="8"/>
      <c r="H31" s="26"/>
      <c r="I31" s="252">
        <v>-101442</v>
      </c>
      <c r="J31" s="88">
        <v>160355</v>
      </c>
      <c r="K31" s="88"/>
      <c r="L31" s="88"/>
      <c r="M31" s="88"/>
      <c r="N31" s="88">
        <f t="shared" si="2"/>
        <v>58913</v>
      </c>
      <c r="O31" s="88">
        <f t="shared" si="3"/>
        <v>58913</v>
      </c>
    </row>
    <row r="32" spans="2:16">
      <c r="E32" s="8"/>
      <c r="F32" s="8"/>
      <c r="G32" s="8"/>
      <c r="H32" s="26"/>
      <c r="I32" s="26"/>
      <c r="J32" s="26"/>
      <c r="K32" s="26"/>
      <c r="L32" s="26"/>
      <c r="M32" s="26"/>
      <c r="N32" s="26"/>
      <c r="O32" s="26"/>
    </row>
    <row r="33" spans="1:16">
      <c r="E33" s="19" t="s">
        <v>173</v>
      </c>
      <c r="F33" s="19"/>
      <c r="G33" s="19"/>
      <c r="H33" s="20"/>
      <c r="I33" s="20">
        <f t="shared" ref="I33:O33" si="4">SUM(I24:I31)</f>
        <v>-309758366</v>
      </c>
      <c r="J33" s="20">
        <f t="shared" si="4"/>
        <v>335044201</v>
      </c>
      <c r="K33" s="20">
        <f t="shared" si="4"/>
        <v>0</v>
      </c>
      <c r="L33" s="20">
        <f t="shared" si="4"/>
        <v>2767838</v>
      </c>
      <c r="M33" s="91">
        <f t="shared" si="4"/>
        <v>0</v>
      </c>
      <c r="N33" s="91">
        <f t="shared" si="4"/>
        <v>28053673</v>
      </c>
      <c r="O33" s="91">
        <f t="shared" si="4"/>
        <v>28053673</v>
      </c>
      <c r="P33" s="93">
        <f>SUM(P17:P31)</f>
        <v>0</v>
      </c>
    </row>
    <row r="34" spans="1:16">
      <c r="E34" s="8"/>
      <c r="F34" s="8"/>
      <c r="G34" s="8"/>
      <c r="H34" s="26"/>
      <c r="I34" s="26"/>
      <c r="J34" s="26"/>
      <c r="K34" s="26"/>
      <c r="L34" s="26"/>
      <c r="M34" s="26"/>
      <c r="N34" s="26"/>
      <c r="O34" s="26"/>
    </row>
    <row r="35" spans="1:16">
      <c r="E35" s="19" t="s">
        <v>89</v>
      </c>
      <c r="F35" s="19"/>
      <c r="G35" s="19"/>
      <c r="H35" s="20"/>
      <c r="I35" s="20">
        <f>I33+I21</f>
        <v>-517034250</v>
      </c>
      <c r="J35" s="20">
        <f>J33+J21</f>
        <v>357114835</v>
      </c>
      <c r="K35" s="20">
        <f>SUM(K21+K33)</f>
        <v>14609650</v>
      </c>
      <c r="L35" s="20">
        <f>SUM(L21+L33)</f>
        <v>8671438</v>
      </c>
      <c r="M35" s="91">
        <f>M33+M21</f>
        <v>-164692000</v>
      </c>
      <c r="N35" s="91">
        <f>N33+N21</f>
        <v>28053673</v>
      </c>
      <c r="O35" s="91">
        <f>O33+O21</f>
        <v>-136638327</v>
      </c>
      <c r="P35" s="93">
        <f>SUM(P20:P33)</f>
        <v>0</v>
      </c>
    </row>
    <row r="36" spans="1:16">
      <c r="E36" s="8"/>
      <c r="F36" s="8"/>
      <c r="G36" s="8"/>
      <c r="H36" s="26"/>
      <c r="I36" s="26"/>
      <c r="J36" s="26"/>
      <c r="K36" s="26"/>
      <c r="L36" s="26"/>
      <c r="M36" s="26"/>
      <c r="N36" s="26"/>
      <c r="O36" s="26"/>
    </row>
    <row r="37" spans="1:16">
      <c r="D37" t="s">
        <v>270</v>
      </c>
      <c r="E37" s="8"/>
      <c r="F37" s="8"/>
      <c r="G37" s="19"/>
      <c r="H37" s="20"/>
      <c r="I37" s="20">
        <v>-49821373</v>
      </c>
      <c r="J37" s="20">
        <v>31663351</v>
      </c>
      <c r="K37" s="20">
        <v>8424515</v>
      </c>
      <c r="L37" s="20">
        <v>10444708</v>
      </c>
      <c r="M37" s="91">
        <v>0</v>
      </c>
      <c r="N37" s="91">
        <v>0</v>
      </c>
      <c r="O37" s="91">
        <v>0</v>
      </c>
      <c r="P37" s="94">
        <f>SUM(I37:L37)</f>
        <v>711201</v>
      </c>
    </row>
    <row r="38" spans="1:16">
      <c r="H38" s="12"/>
      <c r="I38" s="12"/>
      <c r="J38" s="12"/>
      <c r="K38" s="12"/>
      <c r="L38" s="12"/>
      <c r="M38" s="12"/>
      <c r="N38" s="12"/>
      <c r="O38" s="12"/>
    </row>
    <row r="39" spans="1:16">
      <c r="A39" s="8"/>
      <c r="B39" s="8"/>
      <c r="C39" s="8"/>
      <c r="D39" s="8"/>
      <c r="E39" s="8"/>
      <c r="G39" s="8" t="s">
        <v>25</v>
      </c>
      <c r="H39" s="26"/>
      <c r="I39" s="26"/>
      <c r="J39" s="26"/>
      <c r="K39" s="26"/>
      <c r="L39" s="26"/>
      <c r="M39" s="12"/>
      <c r="N39" s="12"/>
      <c r="O39" s="12"/>
    </row>
    <row r="40" spans="1:16">
      <c r="A40" s="8"/>
      <c r="B40" s="8"/>
      <c r="C40" s="8"/>
      <c r="D40" s="8"/>
      <c r="E40" s="8"/>
      <c r="G40" s="8"/>
      <c r="H40" s="88" t="s">
        <v>26</v>
      </c>
      <c r="I40" s="26"/>
      <c r="J40" s="26"/>
      <c r="K40" s="26"/>
      <c r="L40" s="26"/>
      <c r="M40" s="12"/>
      <c r="N40" s="12"/>
      <c r="O40" s="12"/>
    </row>
    <row r="41" spans="1:16">
      <c r="H41" s="12"/>
      <c r="I41" s="12" t="s">
        <v>27</v>
      </c>
      <c r="J41" s="12"/>
      <c r="K41" s="12"/>
      <c r="L41" s="12"/>
      <c r="M41" s="28">
        <v>70555638</v>
      </c>
      <c r="N41" s="12"/>
      <c r="O41" s="12">
        <f t="shared" ref="O41:O52" si="5">SUM(M41:N41)</f>
        <v>70555638</v>
      </c>
      <c r="P41" s="12">
        <v>4664041</v>
      </c>
    </row>
    <row r="42" spans="1:16">
      <c r="H42" s="12"/>
      <c r="I42" s="12" t="s">
        <v>28</v>
      </c>
      <c r="J42" s="12"/>
      <c r="K42" s="12"/>
      <c r="L42" s="12"/>
      <c r="M42" s="14">
        <v>86055088</v>
      </c>
      <c r="N42" s="12"/>
      <c r="O42" s="12">
        <f t="shared" si="5"/>
        <v>86055088</v>
      </c>
      <c r="P42" s="12"/>
    </row>
    <row r="43" spans="1:16">
      <c r="H43" s="12"/>
      <c r="I43" s="12" t="s">
        <v>272</v>
      </c>
      <c r="J43" s="12"/>
      <c r="K43" s="12"/>
      <c r="L43" s="12"/>
      <c r="M43" s="15">
        <v>2930195</v>
      </c>
      <c r="N43" s="12"/>
      <c r="O43" s="12">
        <f t="shared" si="5"/>
        <v>2930195</v>
      </c>
      <c r="P43" s="12"/>
    </row>
    <row r="44" spans="1:16">
      <c r="H44" s="12"/>
      <c r="I44" s="12" t="s">
        <v>237</v>
      </c>
      <c r="J44" s="12"/>
      <c r="K44" s="12"/>
      <c r="L44" s="12"/>
      <c r="M44" s="15">
        <v>895028</v>
      </c>
      <c r="N44" s="12"/>
      <c r="O44" s="12">
        <f t="shared" si="5"/>
        <v>895028</v>
      </c>
      <c r="P44" s="12"/>
    </row>
    <row r="45" spans="1:16">
      <c r="H45" s="12"/>
      <c r="I45" s="12" t="s">
        <v>246</v>
      </c>
      <c r="J45" s="12"/>
      <c r="K45" s="12"/>
      <c r="L45" s="12"/>
      <c r="M45" s="14">
        <v>2497994</v>
      </c>
      <c r="N45" s="12"/>
      <c r="O45" s="12">
        <f t="shared" si="5"/>
        <v>2497994</v>
      </c>
      <c r="P45" s="12"/>
    </row>
    <row r="46" spans="1:16">
      <c r="H46" s="12"/>
      <c r="I46" s="12" t="s">
        <v>239</v>
      </c>
      <c r="J46" s="12"/>
      <c r="K46" s="12"/>
      <c r="L46" s="12"/>
      <c r="M46" s="15">
        <v>135168</v>
      </c>
      <c r="N46" s="12"/>
      <c r="O46" s="12">
        <f t="shared" si="5"/>
        <v>135168</v>
      </c>
    </row>
    <row r="47" spans="1:16">
      <c r="H47" s="12"/>
      <c r="I47" s="12" t="s">
        <v>32</v>
      </c>
      <c r="J47" s="12"/>
      <c r="K47" s="12"/>
      <c r="L47" s="12"/>
      <c r="M47" s="15">
        <v>70407</v>
      </c>
      <c r="N47" s="12"/>
      <c r="O47" s="12">
        <f t="shared" si="5"/>
        <v>70407</v>
      </c>
      <c r="P47">
        <v>2718203</v>
      </c>
    </row>
    <row r="48" spans="1:16">
      <c r="H48" s="12" t="s">
        <v>33</v>
      </c>
      <c r="I48" s="12"/>
      <c r="J48" s="12"/>
      <c r="K48" s="12"/>
      <c r="L48" s="12"/>
      <c r="M48" s="11">
        <v>2319804</v>
      </c>
      <c r="N48" s="12"/>
      <c r="O48" s="12">
        <f t="shared" si="5"/>
        <v>2319804</v>
      </c>
      <c r="P48">
        <v>47123</v>
      </c>
    </row>
    <row r="49" spans="5:16">
      <c r="H49" s="12" t="s">
        <v>77</v>
      </c>
      <c r="I49" s="12"/>
      <c r="J49" s="12"/>
      <c r="K49" s="12"/>
      <c r="L49" s="12"/>
      <c r="M49" s="29">
        <v>598252</v>
      </c>
      <c r="N49" s="12">
        <v>2001821</v>
      </c>
      <c r="O49" s="12">
        <f t="shared" si="5"/>
        <v>2600073</v>
      </c>
      <c r="P49" s="9">
        <v>2302669</v>
      </c>
    </row>
    <row r="50" spans="5:16">
      <c r="H50" s="12" t="s">
        <v>318</v>
      </c>
      <c r="I50" s="12"/>
      <c r="J50" s="12"/>
      <c r="K50" s="12"/>
      <c r="L50" s="12"/>
      <c r="M50" s="29">
        <v>-358699</v>
      </c>
      <c r="N50" s="12">
        <v>-321589</v>
      </c>
      <c r="O50" s="12">
        <f>SUM(M50:N50)</f>
        <v>-680288</v>
      </c>
      <c r="P50" s="9">
        <v>-3285</v>
      </c>
    </row>
    <row r="51" spans="5:16">
      <c r="H51" s="12" t="s">
        <v>36</v>
      </c>
      <c r="I51" s="12"/>
      <c r="J51" s="12"/>
      <c r="K51" s="12"/>
      <c r="L51" s="12"/>
      <c r="M51" s="29">
        <v>2534118</v>
      </c>
      <c r="N51" s="12">
        <v>233994</v>
      </c>
      <c r="O51" s="12">
        <f>SUM(M51:N51)</f>
        <v>2768112</v>
      </c>
      <c r="P51" s="9">
        <v>1511714</v>
      </c>
    </row>
    <row r="52" spans="5:16">
      <c r="H52" s="12" t="s">
        <v>37</v>
      </c>
      <c r="I52" s="12"/>
      <c r="J52" s="12"/>
      <c r="K52" s="12"/>
      <c r="L52" s="12"/>
      <c r="M52" s="97">
        <v>20970394</v>
      </c>
      <c r="N52" s="12">
        <v>-20970394</v>
      </c>
      <c r="O52" s="12">
        <f t="shared" si="5"/>
        <v>0</v>
      </c>
      <c r="P52" s="9"/>
    </row>
    <row r="53" spans="5:16">
      <c r="H53" s="12"/>
      <c r="I53" s="12"/>
      <c r="J53" s="12"/>
      <c r="K53" s="12"/>
      <c r="L53" s="12"/>
      <c r="M53" s="12"/>
      <c r="N53" s="12"/>
      <c r="O53" s="12"/>
    </row>
    <row r="54" spans="5:16">
      <c r="H54" s="20" t="s">
        <v>38</v>
      </c>
      <c r="I54" s="20"/>
      <c r="J54" s="20"/>
      <c r="K54" s="20"/>
      <c r="L54" s="20"/>
      <c r="M54" s="20">
        <f>SUM(M41:M52)</f>
        <v>189203387</v>
      </c>
      <c r="N54" s="20">
        <f>SUM(N41:N52)</f>
        <v>-19056168</v>
      </c>
      <c r="O54" s="20">
        <f>SUM(O41:O52)</f>
        <v>170147219</v>
      </c>
      <c r="P54" s="93">
        <f>SUM(P41:P51)</f>
        <v>11240465</v>
      </c>
    </row>
    <row r="55" spans="5:16">
      <c r="H55" s="12"/>
      <c r="I55" s="12"/>
      <c r="J55" s="12"/>
      <c r="K55" s="12"/>
      <c r="L55" s="12"/>
      <c r="M55" s="12"/>
      <c r="N55" s="12"/>
      <c r="O55" s="12"/>
    </row>
    <row r="56" spans="5:16">
      <c r="H56" s="20" t="s">
        <v>39</v>
      </c>
      <c r="I56" s="20"/>
      <c r="J56" s="20"/>
      <c r="K56" s="20"/>
      <c r="L56" s="20"/>
      <c r="M56" s="20">
        <f>M54+M21</f>
        <v>24511387</v>
      </c>
      <c r="N56" s="20">
        <f>N54+N33</f>
        <v>8997505</v>
      </c>
      <c r="O56" s="20">
        <f>O54+O35</f>
        <v>33508892</v>
      </c>
      <c r="P56" s="94">
        <f>P54+P37</f>
        <v>11951666</v>
      </c>
    </row>
    <row r="57" spans="5:16">
      <c r="H57" s="26"/>
      <c r="I57" s="26"/>
      <c r="J57" s="26"/>
      <c r="K57" s="26"/>
      <c r="L57" s="26"/>
      <c r="M57" s="26"/>
      <c r="N57" s="26"/>
      <c r="O57" s="26"/>
    </row>
    <row r="58" spans="5:16">
      <c r="E58" s="31" t="s">
        <v>67</v>
      </c>
      <c r="F58" s="31"/>
      <c r="G58" s="31"/>
      <c r="H58" s="32"/>
      <c r="I58" s="32"/>
      <c r="J58" s="32"/>
      <c r="K58" s="32"/>
      <c r="L58" s="32"/>
      <c r="M58" s="33">
        <v>422310244</v>
      </c>
      <c r="N58" s="33">
        <v>496533033</v>
      </c>
      <c r="O58" s="33">
        <f>SUM(M58:N58)</f>
        <v>918843277</v>
      </c>
      <c r="P58" s="95">
        <v>179666695</v>
      </c>
    </row>
    <row r="59" spans="5:16">
      <c r="H59" s="12"/>
      <c r="I59" s="12"/>
      <c r="J59" s="12"/>
      <c r="K59" s="12"/>
      <c r="L59" s="12"/>
      <c r="M59" s="12"/>
      <c r="N59" s="12"/>
      <c r="O59" s="12"/>
    </row>
    <row r="60" spans="5:16">
      <c r="E60" s="34" t="s">
        <v>44</v>
      </c>
      <c r="F60" s="34"/>
      <c r="G60" s="34"/>
      <c r="H60" s="35"/>
      <c r="I60" s="35"/>
      <c r="J60" s="35"/>
      <c r="K60" s="35"/>
      <c r="L60" s="35"/>
      <c r="M60" s="92">
        <f>SUM(M56,M58)</f>
        <v>446821631</v>
      </c>
      <c r="N60" s="92">
        <f>N58+N56</f>
        <v>505530538</v>
      </c>
      <c r="O60" s="92">
        <f>O58+O56</f>
        <v>952352169</v>
      </c>
      <c r="P60" s="96">
        <f>P58+P56</f>
        <v>191618361</v>
      </c>
    </row>
    <row r="67" spans="11:15">
      <c r="K67" s="9"/>
      <c r="L67" s="9"/>
      <c r="M67" s="9"/>
      <c r="N67" s="9"/>
      <c r="O67" s="9"/>
    </row>
  </sheetData>
  <mergeCells count="5">
    <mergeCell ref="J1:M1"/>
    <mergeCell ref="J2:M2"/>
    <mergeCell ref="M4:P4"/>
    <mergeCell ref="J5:L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47"/>
  <sheetViews>
    <sheetView topLeftCell="A3" workbookViewId="0">
      <selection activeCell="I19" sqref="I19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  <col min="16" max="16" width="14.42578125" customWidth="1"/>
  </cols>
  <sheetData>
    <row r="1" spans="1:16" ht="30" customHeight="1">
      <c r="J1" s="258" t="s">
        <v>319</v>
      </c>
      <c r="K1" s="258"/>
      <c r="L1" s="258"/>
      <c r="M1" s="258"/>
      <c r="N1" s="170"/>
      <c r="O1" s="170"/>
    </row>
    <row r="2" spans="1:16" ht="21.75" customHeight="1">
      <c r="J2" s="259" t="s">
        <v>1</v>
      </c>
      <c r="K2" s="259"/>
      <c r="L2" s="259"/>
      <c r="M2" s="259"/>
      <c r="N2" s="171"/>
      <c r="O2" s="171"/>
    </row>
    <row r="3" spans="1:16" ht="18.75" customHeight="1">
      <c r="E3" s="3"/>
      <c r="F3" s="3"/>
      <c r="G3" s="3"/>
      <c r="H3" s="3"/>
      <c r="I3" s="3"/>
      <c r="J3" s="3"/>
      <c r="K3" s="3"/>
      <c r="L3" s="3"/>
    </row>
    <row r="4" spans="1:16" ht="30.75" customHeight="1">
      <c r="E4" s="2"/>
      <c r="M4" s="260" t="s">
        <v>2</v>
      </c>
      <c r="N4" s="260"/>
      <c r="O4" s="260"/>
      <c r="P4" s="260"/>
    </row>
    <row r="5" spans="1:16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2" t="s">
        <v>5</v>
      </c>
      <c r="N5" s="262"/>
      <c r="O5" s="262"/>
      <c r="P5" s="112"/>
    </row>
    <row r="6" spans="1:16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  <c r="P6" s="90" t="s">
        <v>12</v>
      </c>
    </row>
    <row r="7" spans="1:16" ht="30.75" customHeight="1">
      <c r="A7" s="8" t="s">
        <v>13</v>
      </c>
      <c r="I7" s="9"/>
      <c r="J7" s="9"/>
      <c r="K7" s="9"/>
      <c r="L7" s="9"/>
    </row>
    <row r="8" spans="1:16">
      <c r="B8" s="10" t="s">
        <v>14</v>
      </c>
      <c r="I8" s="9"/>
      <c r="J8" s="9"/>
      <c r="K8" s="9"/>
      <c r="L8" s="9"/>
      <c r="M8" s="9"/>
      <c r="N8" s="9"/>
      <c r="O8" s="9"/>
    </row>
    <row r="9" spans="1:16">
      <c r="C9" t="s">
        <v>15</v>
      </c>
      <c r="H9" s="12"/>
      <c r="I9" s="11">
        <v>-9682819</v>
      </c>
      <c r="J9" s="12">
        <v>3619120</v>
      </c>
      <c r="K9" s="12">
        <v>3050257</v>
      </c>
      <c r="L9" s="12">
        <v>8407592</v>
      </c>
      <c r="M9" s="12">
        <f t="shared" ref="M9:M14" si="0">SUM(I9:L9)</f>
        <v>5394150</v>
      </c>
      <c r="N9" s="12"/>
      <c r="O9" s="12">
        <f t="shared" ref="O9:O14" si="1">SUM(M9:N9)</f>
        <v>5394150</v>
      </c>
    </row>
    <row r="10" spans="1:16">
      <c r="C10" t="s">
        <v>16</v>
      </c>
      <c r="H10" s="12"/>
      <c r="I10" s="13">
        <v>-10238978</v>
      </c>
      <c r="J10" s="12">
        <v>92271</v>
      </c>
      <c r="K10" s="12"/>
      <c r="L10" s="12"/>
      <c r="M10" s="12">
        <f t="shared" si="0"/>
        <v>-10146707</v>
      </c>
      <c r="N10" s="12"/>
      <c r="O10" s="12">
        <f t="shared" si="1"/>
        <v>-10146707</v>
      </c>
    </row>
    <row r="11" spans="1:16">
      <c r="C11" t="s">
        <v>17</v>
      </c>
      <c r="H11" s="12"/>
      <c r="I11" s="14">
        <v>-24463108</v>
      </c>
      <c r="J11" s="12">
        <v>54500</v>
      </c>
      <c r="K11" s="12">
        <v>6805083</v>
      </c>
      <c r="L11" s="12">
        <v>1146858</v>
      </c>
      <c r="M11" s="12">
        <f t="shared" si="0"/>
        <v>-16456667</v>
      </c>
      <c r="N11" s="12"/>
      <c r="O11" s="12">
        <f t="shared" si="1"/>
        <v>-16456667</v>
      </c>
    </row>
    <row r="12" spans="1:16">
      <c r="C12" t="s">
        <v>320</v>
      </c>
      <c r="H12" s="12"/>
      <c r="I12" s="15">
        <v>-8598011</v>
      </c>
      <c r="J12" s="12">
        <v>50584</v>
      </c>
      <c r="K12" s="12">
        <v>4530419</v>
      </c>
      <c r="L12" s="12"/>
      <c r="M12" s="12">
        <f>SUM(I12:L12)</f>
        <v>-4017008</v>
      </c>
      <c r="N12" s="12"/>
      <c r="O12" s="12">
        <f t="shared" si="1"/>
        <v>-4017008</v>
      </c>
    </row>
    <row r="13" spans="1:16">
      <c r="C13" t="s">
        <v>20</v>
      </c>
      <c r="H13" s="12"/>
      <c r="I13" s="16">
        <v>-8153571</v>
      </c>
      <c r="J13" s="12">
        <v>1225</v>
      </c>
      <c r="K13" s="12">
        <v>457381</v>
      </c>
      <c r="L13" s="12"/>
      <c r="M13" s="12">
        <f t="shared" si="0"/>
        <v>-7694965</v>
      </c>
      <c r="N13" s="12"/>
      <c r="O13" s="12">
        <f t="shared" si="1"/>
        <v>-7694965</v>
      </c>
    </row>
    <row r="14" spans="1:16">
      <c r="C14" t="s">
        <v>321</v>
      </c>
      <c r="H14" s="12"/>
      <c r="I14" s="98">
        <v>-1899510</v>
      </c>
      <c r="J14" s="12"/>
      <c r="K14" s="12"/>
      <c r="L14" s="12"/>
      <c r="M14" s="12">
        <f t="shared" si="0"/>
        <v>-1899510</v>
      </c>
      <c r="N14" s="12"/>
      <c r="O14" s="12">
        <f t="shared" si="1"/>
        <v>-1899510</v>
      </c>
    </row>
    <row r="15" spans="1:16">
      <c r="H15" s="12"/>
      <c r="I15" s="12"/>
      <c r="J15" s="12"/>
      <c r="K15" s="12"/>
      <c r="L15" s="12"/>
      <c r="M15" s="12"/>
      <c r="N15" s="12"/>
      <c r="O15" s="12"/>
    </row>
    <row r="16" spans="1:16">
      <c r="E16" s="19" t="s">
        <v>22</v>
      </c>
      <c r="F16" s="19"/>
      <c r="G16" s="19"/>
      <c r="H16" s="20"/>
      <c r="I16" s="20">
        <f>SUM(I9:I14)</f>
        <v>-63035997</v>
      </c>
      <c r="J16" s="20">
        <f>SUM(J9:J14)</f>
        <v>3817700</v>
      </c>
      <c r="K16" s="20">
        <f>SUM(K9:K14)</f>
        <v>14843140</v>
      </c>
      <c r="L16" s="20">
        <f>SUM(L9:L14)</f>
        <v>9554450</v>
      </c>
      <c r="M16" s="91">
        <f>SUM(M9:M14)</f>
        <v>-34820707</v>
      </c>
      <c r="N16" s="91"/>
      <c r="O16" s="91">
        <f>SUM(O9:O14)</f>
        <v>-34820707</v>
      </c>
      <c r="P16" s="93">
        <f>SUM(P9:P14)</f>
        <v>0</v>
      </c>
    </row>
    <row r="17" spans="1:16">
      <c r="E17" s="8"/>
      <c r="F17" s="8"/>
      <c r="G17" s="8"/>
      <c r="H17" s="26"/>
      <c r="I17" s="26"/>
      <c r="J17" s="26"/>
      <c r="K17" s="26"/>
      <c r="L17" s="26"/>
      <c r="M17" s="26"/>
      <c r="N17" s="26"/>
      <c r="O17" s="26"/>
    </row>
    <row r="18" spans="1:16">
      <c r="B18" s="10" t="s">
        <v>84</v>
      </c>
      <c r="E18" s="8"/>
      <c r="F18" s="8"/>
      <c r="G18" s="8"/>
      <c r="H18" s="26"/>
      <c r="I18" s="26"/>
      <c r="J18" s="26"/>
      <c r="K18" s="26"/>
      <c r="L18" s="26"/>
      <c r="M18" s="26"/>
      <c r="N18" s="26"/>
      <c r="O18" s="26"/>
    </row>
    <row r="19" spans="1:16">
      <c r="C19" t="s">
        <v>172</v>
      </c>
      <c r="E19" s="8"/>
      <c r="F19" s="8"/>
      <c r="G19" s="8"/>
      <c r="H19" s="26"/>
      <c r="I19" s="253">
        <v>-516960</v>
      </c>
      <c r="J19" s="117">
        <v>208479</v>
      </c>
      <c r="K19" s="117"/>
      <c r="L19" s="117">
        <v>63850</v>
      </c>
      <c r="M19" s="117"/>
      <c r="N19" s="117">
        <f>SUM(I19:L19)</f>
        <v>-244631</v>
      </c>
      <c r="O19" s="117">
        <f>SUM(M19:N19)</f>
        <v>-244631</v>
      </c>
    </row>
    <row r="20" spans="1:16">
      <c r="E20" s="8"/>
      <c r="F20" s="8"/>
      <c r="G20" s="8"/>
      <c r="H20" s="26"/>
      <c r="I20" s="26"/>
      <c r="J20" s="26"/>
      <c r="K20" s="26"/>
      <c r="L20" s="26"/>
      <c r="M20" s="26"/>
      <c r="N20" s="26"/>
      <c r="O20" s="26"/>
    </row>
    <row r="21" spans="1:16">
      <c r="E21" s="19" t="s">
        <v>89</v>
      </c>
      <c r="F21" s="19"/>
      <c r="G21" s="19"/>
      <c r="H21" s="20"/>
      <c r="I21" s="20">
        <f>I19+I16</f>
        <v>-63552957</v>
      </c>
      <c r="J21" s="20">
        <f t="shared" ref="J21:L21" si="2">J19+J16</f>
        <v>4026179</v>
      </c>
      <c r="K21" s="20">
        <f t="shared" si="2"/>
        <v>14843140</v>
      </c>
      <c r="L21" s="20">
        <f t="shared" si="2"/>
        <v>9618300</v>
      </c>
      <c r="M21" s="91">
        <f>M19+M16</f>
        <v>-34820707</v>
      </c>
      <c r="N21" s="91">
        <f>N19+N16</f>
        <v>-244631</v>
      </c>
      <c r="O21" s="91">
        <f>O19+O16</f>
        <v>-35065338</v>
      </c>
      <c r="P21" s="93">
        <f>SUM(P15:P19)</f>
        <v>0</v>
      </c>
    </row>
    <row r="22" spans="1:16">
      <c r="E22" s="8"/>
      <c r="F22" s="8"/>
      <c r="G22" s="8"/>
      <c r="H22" s="26"/>
      <c r="I22" s="26"/>
      <c r="J22" s="26"/>
      <c r="K22" s="26"/>
      <c r="L22" s="26"/>
      <c r="M22" s="26"/>
      <c r="N22" s="26"/>
      <c r="O22" s="26"/>
    </row>
    <row r="23" spans="1:16">
      <c r="E23" s="19" t="s">
        <v>270</v>
      </c>
      <c r="F23" s="19"/>
      <c r="G23" s="19"/>
      <c r="H23" s="20"/>
      <c r="I23" s="20">
        <v>-200886888</v>
      </c>
      <c r="J23" s="20">
        <v>196864241</v>
      </c>
      <c r="K23" s="20">
        <v>64516</v>
      </c>
      <c r="L23" s="20">
        <v>3581214</v>
      </c>
      <c r="M23" s="91">
        <v>0</v>
      </c>
      <c r="N23" s="91">
        <v>0</v>
      </c>
      <c r="O23" s="91">
        <v>0</v>
      </c>
      <c r="P23" s="94">
        <f>SUM(I23:L23)</f>
        <v>-376917</v>
      </c>
    </row>
    <row r="24" spans="1:16">
      <c r="H24" s="12"/>
      <c r="I24" s="12"/>
      <c r="J24" s="12"/>
      <c r="K24" s="12"/>
      <c r="L24" s="12"/>
      <c r="M24" s="12"/>
      <c r="N24" s="12"/>
      <c r="O24" s="12"/>
    </row>
    <row r="25" spans="1:16">
      <c r="A25" s="8"/>
      <c r="B25" s="8"/>
      <c r="C25" s="8"/>
      <c r="D25" s="8"/>
      <c r="E25" s="8"/>
      <c r="G25" s="8" t="s">
        <v>25</v>
      </c>
      <c r="H25" s="26"/>
      <c r="I25" s="26"/>
      <c r="J25" s="26"/>
      <c r="K25" s="26"/>
      <c r="L25" s="26"/>
      <c r="M25" s="12"/>
      <c r="N25" s="12"/>
      <c r="O25" s="12"/>
    </row>
    <row r="26" spans="1:16">
      <c r="A26" s="8"/>
      <c r="B26" s="8"/>
      <c r="C26" s="8"/>
      <c r="D26" s="8"/>
      <c r="E26" s="8"/>
      <c r="G26" s="8"/>
      <c r="H26" s="88" t="s">
        <v>26</v>
      </c>
      <c r="I26" s="26"/>
      <c r="J26" s="26"/>
      <c r="K26" s="26"/>
      <c r="L26" s="26"/>
      <c r="M26" s="12"/>
      <c r="N26" s="12"/>
      <c r="O26" s="12"/>
    </row>
    <row r="27" spans="1:16">
      <c r="H27" s="12"/>
      <c r="I27" s="12" t="s">
        <v>73</v>
      </c>
      <c r="J27" s="12"/>
      <c r="K27" s="12"/>
      <c r="L27" s="12"/>
      <c r="M27" s="28">
        <v>24018997</v>
      </c>
      <c r="N27" s="12"/>
      <c r="O27" s="12">
        <f t="shared" ref="O27:O32" si="3">SUM(M27:N27)</f>
        <v>24018997</v>
      </c>
      <c r="P27" s="12">
        <v>14586000</v>
      </c>
    </row>
    <row r="28" spans="1:16">
      <c r="H28" s="12"/>
      <c r="I28" s="12" t="s">
        <v>28</v>
      </c>
      <c r="J28" s="12"/>
      <c r="K28" s="12"/>
      <c r="L28" s="12"/>
      <c r="M28" s="14">
        <v>16480326</v>
      </c>
      <c r="N28" s="12"/>
      <c r="O28" s="12">
        <f t="shared" si="3"/>
        <v>16480326</v>
      </c>
      <c r="P28" s="12">
        <v>617754</v>
      </c>
    </row>
    <row r="29" spans="1:16">
      <c r="H29" s="12"/>
      <c r="I29" s="12" t="s">
        <v>32</v>
      </c>
      <c r="J29" s="12"/>
      <c r="K29" s="12"/>
      <c r="L29" s="12"/>
      <c r="M29" s="15">
        <v>3246168</v>
      </c>
      <c r="N29" s="12"/>
      <c r="O29" s="12">
        <f t="shared" si="3"/>
        <v>3246168</v>
      </c>
    </row>
    <row r="30" spans="1:16">
      <c r="H30" s="12" t="s">
        <v>122</v>
      </c>
      <c r="I30" s="12"/>
      <c r="J30" s="12"/>
      <c r="K30" s="12"/>
      <c r="L30" s="12"/>
      <c r="M30" s="29">
        <v>31276</v>
      </c>
      <c r="N30" s="12"/>
      <c r="O30" s="12">
        <f t="shared" si="3"/>
        <v>31276</v>
      </c>
      <c r="P30">
        <v>403074</v>
      </c>
    </row>
    <row r="31" spans="1:16">
      <c r="H31" s="12" t="s">
        <v>322</v>
      </c>
      <c r="I31" s="12"/>
      <c r="J31" s="12"/>
      <c r="K31" s="12"/>
      <c r="L31" s="12"/>
      <c r="M31" s="11">
        <v>4910918</v>
      </c>
      <c r="N31" s="12"/>
      <c r="O31" s="12">
        <f t="shared" si="3"/>
        <v>4910918</v>
      </c>
      <c r="P31">
        <v>2929792</v>
      </c>
    </row>
    <row r="32" spans="1:16">
      <c r="H32" s="12" t="s">
        <v>32</v>
      </c>
      <c r="I32" s="12"/>
      <c r="J32" s="12"/>
      <c r="K32" s="12"/>
      <c r="L32" s="12"/>
      <c r="M32" s="29">
        <v>625306</v>
      </c>
      <c r="N32" s="12"/>
      <c r="O32" s="12">
        <f t="shared" si="3"/>
        <v>625306</v>
      </c>
      <c r="P32" s="9">
        <v>507727</v>
      </c>
    </row>
    <row r="33" spans="5:16">
      <c r="H33" s="12"/>
      <c r="I33" s="12"/>
      <c r="J33" s="12"/>
      <c r="K33" s="12"/>
      <c r="L33" s="12"/>
      <c r="M33" s="12"/>
      <c r="N33" s="12"/>
      <c r="O33" s="12"/>
    </row>
    <row r="34" spans="5:16">
      <c r="H34" s="20" t="s">
        <v>38</v>
      </c>
      <c r="I34" s="20"/>
      <c r="J34" s="20"/>
      <c r="K34" s="20"/>
      <c r="L34" s="20"/>
      <c r="M34" s="20">
        <f>SUM(M27:M32)</f>
        <v>49312991</v>
      </c>
      <c r="N34" s="20">
        <f>SUM(N27:N32)</f>
        <v>0</v>
      </c>
      <c r="O34" s="20">
        <f>SUM(O27:O32)</f>
        <v>49312991</v>
      </c>
      <c r="P34" s="93">
        <f>SUM(P27:P32)</f>
        <v>19044347</v>
      </c>
    </row>
    <row r="35" spans="5:16">
      <c r="H35" s="12"/>
      <c r="I35" s="12"/>
      <c r="J35" s="12"/>
      <c r="K35" s="12"/>
      <c r="L35" s="12"/>
      <c r="M35" s="12"/>
      <c r="N35" s="12"/>
      <c r="O35" s="12"/>
    </row>
    <row r="36" spans="5:16">
      <c r="H36" s="20" t="s">
        <v>39</v>
      </c>
      <c r="I36" s="20"/>
      <c r="J36" s="20"/>
      <c r="K36" s="20"/>
      <c r="L36" s="20"/>
      <c r="M36" s="20">
        <f>M34+M16</f>
        <v>14492284</v>
      </c>
      <c r="N36" s="20">
        <f>N34+N19</f>
        <v>-244631</v>
      </c>
      <c r="O36" s="20">
        <f>O34+O21</f>
        <v>14247653</v>
      </c>
      <c r="P36" s="94">
        <f>P34+P23</f>
        <v>18667430</v>
      </c>
    </row>
    <row r="37" spans="5:16">
      <c r="H37" s="26"/>
      <c r="I37" s="26"/>
      <c r="J37" s="26"/>
      <c r="K37" s="26"/>
      <c r="L37" s="26"/>
      <c r="M37" s="26"/>
      <c r="N37" s="26"/>
      <c r="O37" s="26"/>
    </row>
    <row r="38" spans="5:16">
      <c r="E38" s="31" t="s">
        <v>67</v>
      </c>
      <c r="F38" s="31"/>
      <c r="G38" s="31"/>
      <c r="H38" s="32"/>
      <c r="I38" s="32"/>
      <c r="J38" s="32"/>
      <c r="K38" s="32"/>
      <c r="L38" s="32"/>
      <c r="M38" s="33">
        <v>90155178</v>
      </c>
      <c r="N38" s="33">
        <v>3108991</v>
      </c>
      <c r="O38" s="33">
        <f>SUM(M38:N38)</f>
        <v>93264169</v>
      </c>
      <c r="P38" s="95">
        <v>435818102</v>
      </c>
    </row>
    <row r="39" spans="5:16">
      <c r="E39" s="8"/>
      <c r="F39" s="8"/>
      <c r="G39" s="8"/>
      <c r="H39" s="26"/>
      <c r="I39" s="26"/>
      <c r="J39" s="26"/>
      <c r="K39" s="26"/>
      <c r="L39" s="26"/>
      <c r="M39" s="118"/>
      <c r="N39" s="118"/>
      <c r="O39" s="118"/>
      <c r="P39" s="119"/>
    </row>
    <row r="40" spans="5:16">
      <c r="E40" s="34" t="s">
        <v>44</v>
      </c>
      <c r="F40" s="34"/>
      <c r="G40" s="34"/>
      <c r="H40" s="35"/>
      <c r="I40" s="35"/>
      <c r="J40" s="35"/>
      <c r="K40" s="35"/>
      <c r="L40" s="35"/>
      <c r="M40" s="92">
        <f>M38+M36</f>
        <v>104647462</v>
      </c>
      <c r="N40" s="92">
        <f t="shared" ref="N40:P40" si="4">N38+N36</f>
        <v>2864360</v>
      </c>
      <c r="O40" s="92">
        <f t="shared" si="4"/>
        <v>107511822</v>
      </c>
      <c r="P40" s="92">
        <f t="shared" si="4"/>
        <v>454485532</v>
      </c>
    </row>
    <row r="47" spans="5:16">
      <c r="K47" s="9"/>
      <c r="L47" s="9"/>
      <c r="M47" s="9"/>
      <c r="N47" s="9"/>
      <c r="O47" s="9"/>
    </row>
  </sheetData>
  <mergeCells count="5">
    <mergeCell ref="J1:M1"/>
    <mergeCell ref="J2:M2"/>
    <mergeCell ref="M4:P4"/>
    <mergeCell ref="J5:L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43"/>
  <sheetViews>
    <sheetView topLeftCell="A2" workbookViewId="0">
      <selection activeCell="M35" sqref="M35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</cols>
  <sheetData>
    <row r="1" spans="1:13" ht="31.5" customHeight="1">
      <c r="J1" s="258" t="s">
        <v>323</v>
      </c>
      <c r="K1" s="258"/>
      <c r="L1" s="258"/>
      <c r="M1" s="258"/>
    </row>
    <row r="2" spans="1:13" ht="18">
      <c r="J2" s="259" t="s">
        <v>1</v>
      </c>
      <c r="K2" s="259"/>
      <c r="L2" s="259"/>
      <c r="M2" s="259"/>
    </row>
    <row r="3" spans="1:13" ht="15.75">
      <c r="E3" s="3"/>
      <c r="F3" s="3"/>
      <c r="G3" s="3"/>
      <c r="H3" s="3"/>
      <c r="I3" s="3"/>
      <c r="J3" s="3"/>
      <c r="K3" s="3"/>
      <c r="L3" s="3"/>
    </row>
    <row r="4" spans="1:13" ht="18">
      <c r="E4" s="2"/>
      <c r="M4" s="173"/>
    </row>
    <row r="5" spans="1:13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174"/>
    </row>
    <row r="6" spans="1:13" ht="42.7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113" t="s">
        <v>97</v>
      </c>
    </row>
    <row r="7" spans="1:13">
      <c r="A7" s="8" t="s">
        <v>13</v>
      </c>
      <c r="I7" s="9"/>
      <c r="J7" s="9"/>
      <c r="K7" s="9"/>
      <c r="L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C9" t="s">
        <v>15</v>
      </c>
      <c r="H9" s="12"/>
      <c r="I9" s="11">
        <v>-1710310</v>
      </c>
      <c r="J9" s="12">
        <v>144781</v>
      </c>
      <c r="K9" s="12">
        <v>290950</v>
      </c>
      <c r="L9" s="12"/>
      <c r="M9" s="12">
        <f t="shared" ref="M9:M14" si="0">SUM(I9:L9)</f>
        <v>-1274579</v>
      </c>
    </row>
    <row r="10" spans="1:13">
      <c r="C10" t="s">
        <v>16</v>
      </c>
      <c r="H10" s="12"/>
      <c r="I10" s="13">
        <v>-657416</v>
      </c>
      <c r="J10" s="12"/>
      <c r="K10" s="12"/>
      <c r="L10" s="12"/>
      <c r="M10" s="12">
        <f t="shared" si="0"/>
        <v>-657416</v>
      </c>
    </row>
    <row r="11" spans="1:13">
      <c r="C11" t="s">
        <v>17</v>
      </c>
      <c r="H11" s="12"/>
      <c r="I11" s="14">
        <v>-2586245</v>
      </c>
      <c r="J11" s="12"/>
      <c r="K11" s="12">
        <v>373172</v>
      </c>
      <c r="L11" s="12"/>
      <c r="M11" s="12">
        <f t="shared" si="0"/>
        <v>-2213073</v>
      </c>
    </row>
    <row r="12" spans="1:13">
      <c r="C12" t="s">
        <v>19</v>
      </c>
      <c r="H12" s="12"/>
      <c r="I12" s="15">
        <v>-115859</v>
      </c>
      <c r="J12" s="12"/>
      <c r="K12" s="12"/>
      <c r="L12" s="12"/>
      <c r="M12" s="12">
        <f t="shared" si="0"/>
        <v>-115859</v>
      </c>
    </row>
    <row r="13" spans="1:13">
      <c r="C13" t="s">
        <v>20</v>
      </c>
      <c r="H13" s="12"/>
      <c r="I13" s="16">
        <v>-510825</v>
      </c>
      <c r="J13" s="12">
        <v>2314</v>
      </c>
      <c r="K13" s="12"/>
      <c r="L13" s="12"/>
      <c r="M13" s="12">
        <f t="shared" si="0"/>
        <v>-508511</v>
      </c>
    </row>
    <row r="14" spans="1:13">
      <c r="C14" t="s">
        <v>18</v>
      </c>
      <c r="H14" s="12"/>
      <c r="I14" s="102">
        <v>-807761</v>
      </c>
      <c r="J14" s="12"/>
      <c r="K14" s="12">
        <v>776383</v>
      </c>
      <c r="L14" s="12"/>
      <c r="M14" s="12">
        <f t="shared" si="0"/>
        <v>-31378</v>
      </c>
    </row>
    <row r="15" spans="1:13">
      <c r="C15" t="s">
        <v>324</v>
      </c>
      <c r="H15" s="12"/>
      <c r="I15" s="120">
        <v>-64523</v>
      </c>
      <c r="J15" s="18"/>
      <c r="K15" s="18"/>
      <c r="L15" s="18"/>
      <c r="M15" s="18">
        <f>SUM(I15:L15)</f>
        <v>-64523</v>
      </c>
    </row>
    <row r="16" spans="1:13">
      <c r="H16" s="12"/>
      <c r="I16" s="12"/>
      <c r="J16" s="12"/>
      <c r="K16" s="12"/>
      <c r="L16" s="12"/>
      <c r="M16" s="12"/>
    </row>
    <row r="17" spans="1:13">
      <c r="E17" s="19" t="s">
        <v>22</v>
      </c>
      <c r="F17" s="19"/>
      <c r="G17" s="19"/>
      <c r="H17" s="20"/>
      <c r="I17" s="20">
        <f>SUM(I9:I15)</f>
        <v>-6452939</v>
      </c>
      <c r="J17" s="20">
        <f>SUM(J9:J14)</f>
        <v>147095</v>
      </c>
      <c r="K17" s="20">
        <f>SUM(K9:K14)</f>
        <v>1440505</v>
      </c>
      <c r="L17" s="20">
        <f>SUM(L9:L14)</f>
        <v>0</v>
      </c>
      <c r="M17" s="91">
        <f>SUM(M9:M15)</f>
        <v>-4865339</v>
      </c>
    </row>
    <row r="18" spans="1:13">
      <c r="H18" s="12"/>
      <c r="I18" s="12"/>
      <c r="J18" s="12"/>
      <c r="K18" s="12"/>
      <c r="L18" s="12"/>
      <c r="M18" s="12"/>
    </row>
    <row r="19" spans="1:13">
      <c r="A19" s="8"/>
      <c r="B19" s="8"/>
      <c r="C19" s="8"/>
      <c r="D19" s="8"/>
      <c r="E19" s="8"/>
      <c r="G19" s="8" t="s">
        <v>25</v>
      </c>
      <c r="H19" s="26"/>
      <c r="I19" s="26"/>
      <c r="J19" s="26"/>
      <c r="K19" s="26"/>
      <c r="L19" s="26"/>
      <c r="M19" s="12"/>
    </row>
    <row r="20" spans="1:13">
      <c r="A20" s="8"/>
      <c r="B20" s="8"/>
      <c r="C20" s="8"/>
      <c r="D20" s="8"/>
      <c r="E20" s="8"/>
      <c r="G20" s="8"/>
      <c r="H20" s="88" t="s">
        <v>26</v>
      </c>
      <c r="I20" s="26"/>
      <c r="J20" s="26"/>
      <c r="K20" s="26"/>
      <c r="L20" s="26"/>
      <c r="M20" s="12"/>
    </row>
    <row r="21" spans="1:13">
      <c r="H21" s="12"/>
      <c r="I21" s="12" t="s">
        <v>126</v>
      </c>
      <c r="J21" s="12"/>
      <c r="K21" s="12"/>
      <c r="L21" s="12"/>
      <c r="M21" s="28">
        <v>3570296</v>
      </c>
    </row>
    <row r="22" spans="1:13">
      <c r="H22" s="12"/>
      <c r="I22" s="12" t="s">
        <v>75</v>
      </c>
      <c r="J22" s="12"/>
      <c r="K22" s="12"/>
      <c r="L22" s="12"/>
      <c r="M22" s="105">
        <v>61254</v>
      </c>
    </row>
    <row r="23" spans="1:13">
      <c r="H23" s="12"/>
      <c r="I23" s="12" t="s">
        <v>136</v>
      </c>
      <c r="J23" s="12"/>
      <c r="K23" s="12"/>
      <c r="L23" s="12"/>
      <c r="M23" s="15">
        <v>5216</v>
      </c>
    </row>
    <row r="24" spans="1:13">
      <c r="H24" s="12" t="s">
        <v>33</v>
      </c>
      <c r="I24" s="12"/>
      <c r="J24" s="12"/>
      <c r="K24" s="12"/>
      <c r="L24" s="12"/>
      <c r="M24" s="11">
        <v>1295754</v>
      </c>
    </row>
    <row r="25" spans="1:13">
      <c r="H25" s="12" t="s">
        <v>137</v>
      </c>
      <c r="I25" s="12"/>
      <c r="J25" s="12"/>
      <c r="K25" s="12"/>
      <c r="L25" s="12"/>
      <c r="M25" s="29">
        <v>69339</v>
      </c>
    </row>
    <row r="26" spans="1:13">
      <c r="H26" s="12" t="s">
        <v>138</v>
      </c>
      <c r="I26" s="12"/>
      <c r="J26" s="12"/>
      <c r="K26" s="12"/>
      <c r="L26" s="12"/>
      <c r="M26" s="29">
        <v>57770</v>
      </c>
    </row>
    <row r="27" spans="1:13">
      <c r="H27" s="12" t="s">
        <v>32</v>
      </c>
      <c r="I27" s="12"/>
      <c r="J27" s="12"/>
      <c r="K27" s="12"/>
      <c r="L27" s="12"/>
      <c r="M27" s="29">
        <v>785</v>
      </c>
    </row>
    <row r="28" spans="1:13">
      <c r="H28" s="12" t="s">
        <v>325</v>
      </c>
      <c r="I28" s="12"/>
      <c r="J28" s="12"/>
      <c r="K28" s="12"/>
      <c r="L28" s="12"/>
      <c r="M28" s="29">
        <v>4239</v>
      </c>
    </row>
    <row r="29" spans="1:13">
      <c r="H29" s="12"/>
      <c r="I29" s="12"/>
      <c r="J29" s="12"/>
      <c r="K29" s="12"/>
      <c r="L29" s="12"/>
      <c r="M29" s="12"/>
    </row>
    <row r="30" spans="1:13">
      <c r="H30" s="20" t="s">
        <v>38</v>
      </c>
      <c r="I30" s="20"/>
      <c r="J30" s="20"/>
      <c r="K30" s="20"/>
      <c r="L30" s="20"/>
      <c r="M30" s="20">
        <f>SUM(M21:M28)</f>
        <v>5064653</v>
      </c>
    </row>
    <row r="31" spans="1:13">
      <c r="H31" s="12"/>
      <c r="I31" s="12"/>
      <c r="J31" s="12"/>
      <c r="K31" s="12"/>
      <c r="L31" s="12"/>
      <c r="M31" s="12"/>
    </row>
    <row r="32" spans="1:13">
      <c r="H32" s="20" t="s">
        <v>39</v>
      </c>
      <c r="I32" s="20"/>
      <c r="J32" s="20"/>
      <c r="K32" s="20"/>
      <c r="L32" s="20"/>
      <c r="M32" s="20">
        <f>SUM(M17,M30)</f>
        <v>199314</v>
      </c>
    </row>
    <row r="33" spans="5:13">
      <c r="H33" s="26"/>
      <c r="I33" s="26"/>
      <c r="J33" s="26"/>
      <c r="K33" s="26"/>
      <c r="L33" s="26"/>
      <c r="M33" s="26"/>
    </row>
    <row r="34" spans="5:13">
      <c r="E34" s="31" t="s">
        <v>67</v>
      </c>
      <c r="F34" s="31"/>
      <c r="G34" s="31"/>
      <c r="H34" s="32"/>
      <c r="I34" s="32"/>
      <c r="J34" s="32"/>
      <c r="K34" s="32"/>
      <c r="L34" s="32"/>
      <c r="M34" s="33">
        <v>10580211</v>
      </c>
    </row>
    <row r="35" spans="5:13">
      <c r="H35" s="12"/>
      <c r="I35" s="12"/>
      <c r="J35" s="12"/>
      <c r="K35" s="12"/>
      <c r="L35" s="12"/>
      <c r="M35" s="12"/>
    </row>
    <row r="36" spans="5:13">
      <c r="E36" s="34" t="s">
        <v>44</v>
      </c>
      <c r="F36" s="34"/>
      <c r="G36" s="34"/>
      <c r="H36" s="35"/>
      <c r="I36" s="35"/>
      <c r="J36" s="35"/>
      <c r="K36" s="35"/>
      <c r="L36" s="35"/>
      <c r="M36" s="92">
        <f>SUM(M32,M34)</f>
        <v>10779525</v>
      </c>
    </row>
    <row r="43" spans="5:13">
      <c r="K43" s="9"/>
      <c r="L43" s="9"/>
      <c r="M43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45"/>
  <sheetViews>
    <sheetView topLeftCell="A5" workbookViewId="0">
      <selection activeCell="M38" sqref="M38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</cols>
  <sheetData>
    <row r="1" spans="1:13" ht="31.5" customHeight="1">
      <c r="J1" s="258" t="s">
        <v>326</v>
      </c>
      <c r="K1" s="258"/>
      <c r="L1" s="258"/>
      <c r="M1" s="258"/>
    </row>
    <row r="2" spans="1:13" ht="18">
      <c r="J2" s="259" t="s">
        <v>1</v>
      </c>
      <c r="K2" s="259"/>
      <c r="L2" s="259"/>
      <c r="M2" s="259"/>
    </row>
    <row r="3" spans="1:13" ht="15.75">
      <c r="E3" s="3"/>
      <c r="F3" s="3"/>
      <c r="G3" s="3"/>
      <c r="H3" s="3"/>
      <c r="I3" s="3"/>
      <c r="J3" s="3"/>
      <c r="K3" s="3"/>
      <c r="L3" s="3"/>
    </row>
    <row r="4" spans="1:13" ht="18">
      <c r="E4" s="2"/>
      <c r="M4" s="173"/>
    </row>
    <row r="5" spans="1:13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174"/>
    </row>
    <row r="6" spans="1:13" ht="42.7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113" t="s">
        <v>97</v>
      </c>
    </row>
    <row r="7" spans="1:13">
      <c r="A7" s="8" t="s">
        <v>13</v>
      </c>
      <c r="I7" s="9"/>
      <c r="J7" s="9"/>
      <c r="K7" s="9"/>
      <c r="L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C9" t="s">
        <v>15</v>
      </c>
      <c r="H9" s="12"/>
      <c r="I9" s="11">
        <v>-2848793</v>
      </c>
      <c r="J9" s="12">
        <v>20945</v>
      </c>
      <c r="K9" s="12"/>
      <c r="L9" s="12"/>
      <c r="M9" s="12">
        <f t="shared" ref="M9:M14" si="0">SUM(I9:L9)</f>
        <v>-2827848</v>
      </c>
    </row>
    <row r="10" spans="1:13">
      <c r="C10" t="s">
        <v>16</v>
      </c>
      <c r="H10" s="12"/>
      <c r="I10" s="13">
        <v>-406799</v>
      </c>
      <c r="J10" s="12">
        <v>292831</v>
      </c>
      <c r="K10" s="12">
        <v>37236</v>
      </c>
      <c r="L10" s="12">
        <v>74592</v>
      </c>
      <c r="M10" s="12">
        <f t="shared" si="0"/>
        <v>-2140</v>
      </c>
    </row>
    <row r="11" spans="1:13">
      <c r="C11" t="s">
        <v>17</v>
      </c>
      <c r="H11" s="12"/>
      <c r="I11" s="14">
        <v>-7787925</v>
      </c>
      <c r="J11" s="12">
        <v>325144</v>
      </c>
      <c r="K11" s="12">
        <v>613873</v>
      </c>
      <c r="L11" s="12"/>
      <c r="M11" s="12">
        <f t="shared" si="0"/>
        <v>-6848908</v>
      </c>
    </row>
    <row r="12" spans="1:13">
      <c r="C12" t="s">
        <v>19</v>
      </c>
      <c r="H12" s="12"/>
      <c r="I12" s="15">
        <v>-549578</v>
      </c>
      <c r="J12" s="12"/>
      <c r="K12" s="12">
        <v>487166</v>
      </c>
      <c r="L12" s="12"/>
      <c r="M12" s="12">
        <f t="shared" si="0"/>
        <v>-62412</v>
      </c>
    </row>
    <row r="13" spans="1:13">
      <c r="C13" t="s">
        <v>327</v>
      </c>
      <c r="H13" s="12"/>
      <c r="I13" s="16">
        <v>-2785125</v>
      </c>
      <c r="J13" s="12">
        <v>374727</v>
      </c>
      <c r="K13" s="12"/>
      <c r="L13" s="12"/>
      <c r="M13" s="12">
        <f t="shared" si="0"/>
        <v>-2410398</v>
      </c>
    </row>
    <row r="14" spans="1:13">
      <c r="C14" t="s">
        <v>71</v>
      </c>
      <c r="H14" s="12"/>
      <c r="I14" s="102">
        <v>-24376</v>
      </c>
      <c r="J14" s="12"/>
      <c r="K14" s="12"/>
      <c r="L14" s="12"/>
      <c r="M14" s="12">
        <f t="shared" si="0"/>
        <v>-24376</v>
      </c>
    </row>
    <row r="15" spans="1:13">
      <c r="C15" t="s">
        <v>21</v>
      </c>
      <c r="H15" s="12"/>
      <c r="I15" s="17">
        <v>-143171</v>
      </c>
      <c r="J15" s="18"/>
      <c r="K15" s="18"/>
      <c r="L15" s="18"/>
      <c r="M15" s="18">
        <f>SUM(I15:L15)</f>
        <v>-143171</v>
      </c>
    </row>
    <row r="16" spans="1:13">
      <c r="H16" s="12"/>
      <c r="I16" s="12"/>
      <c r="J16" s="12"/>
      <c r="K16" s="12"/>
      <c r="L16" s="12"/>
      <c r="M16" s="12"/>
    </row>
    <row r="17" spans="1:13">
      <c r="E17" s="19" t="s">
        <v>22</v>
      </c>
      <c r="F17" s="19"/>
      <c r="G17" s="19"/>
      <c r="H17" s="20"/>
      <c r="I17" s="20">
        <f>SUM(I9:I15)</f>
        <v>-14545767</v>
      </c>
      <c r="J17" s="20">
        <f>SUM(J9:J14)</f>
        <v>1013647</v>
      </c>
      <c r="K17" s="20">
        <f>SUM(K9:K14)</f>
        <v>1138275</v>
      </c>
      <c r="L17" s="20">
        <f>SUM(L9:L14)</f>
        <v>74592</v>
      </c>
      <c r="M17" s="91">
        <f>SUM(M9:M15)</f>
        <v>-12319253</v>
      </c>
    </row>
    <row r="18" spans="1:13">
      <c r="H18" s="12"/>
      <c r="I18" s="12"/>
      <c r="J18" s="12"/>
      <c r="K18" s="12"/>
      <c r="L18" s="12"/>
      <c r="M18" s="12"/>
    </row>
    <row r="19" spans="1:13">
      <c r="A19" s="8"/>
      <c r="B19" s="8"/>
      <c r="C19" s="8"/>
      <c r="D19" s="8"/>
      <c r="E19" s="8"/>
      <c r="G19" s="8" t="s">
        <v>25</v>
      </c>
      <c r="H19" s="26"/>
      <c r="I19" s="26"/>
      <c r="J19" s="26"/>
      <c r="K19" s="26"/>
      <c r="L19" s="26"/>
      <c r="M19" s="12"/>
    </row>
    <row r="20" spans="1:13">
      <c r="A20" s="8"/>
      <c r="B20" s="8"/>
      <c r="C20" s="8"/>
      <c r="D20" s="8"/>
      <c r="E20" s="8"/>
      <c r="G20" s="27" t="s">
        <v>26</v>
      </c>
      <c r="H20" s="26"/>
      <c r="I20" s="26"/>
      <c r="J20" s="26"/>
      <c r="K20" s="26"/>
      <c r="L20" s="26"/>
      <c r="M20" s="12"/>
    </row>
    <row r="21" spans="1:13">
      <c r="H21" s="12" t="s">
        <v>201</v>
      </c>
      <c r="I21" s="12"/>
      <c r="J21" s="12"/>
      <c r="K21" s="12"/>
      <c r="L21" s="12"/>
      <c r="M21" s="28">
        <v>6586959</v>
      </c>
    </row>
    <row r="22" spans="1:13">
      <c r="H22" s="12" t="s">
        <v>128</v>
      </c>
      <c r="I22" s="12"/>
      <c r="J22" s="12"/>
      <c r="K22" s="12"/>
      <c r="L22" s="12"/>
      <c r="M22" s="14">
        <v>3926512</v>
      </c>
    </row>
    <row r="23" spans="1:13">
      <c r="H23" s="12" t="s">
        <v>111</v>
      </c>
      <c r="I23" s="12"/>
      <c r="J23" s="12"/>
      <c r="K23" s="12"/>
      <c r="L23" s="12"/>
      <c r="M23" s="15">
        <v>225811</v>
      </c>
    </row>
    <row r="24" spans="1:13">
      <c r="H24" s="12" t="s">
        <v>127</v>
      </c>
      <c r="I24" s="12"/>
      <c r="J24" s="12"/>
      <c r="K24" s="12"/>
      <c r="L24" s="12"/>
      <c r="M24" s="15">
        <v>1138669</v>
      </c>
    </row>
    <row r="25" spans="1:13">
      <c r="G25" t="s">
        <v>245</v>
      </c>
      <c r="H25" s="12"/>
      <c r="I25" s="12"/>
      <c r="J25" s="12"/>
      <c r="K25" s="12"/>
      <c r="L25" s="12"/>
      <c r="M25" s="105">
        <v>285232</v>
      </c>
    </row>
    <row r="26" spans="1:13">
      <c r="G26" t="s">
        <v>166</v>
      </c>
      <c r="H26" s="12"/>
      <c r="I26" s="12"/>
      <c r="J26" s="12"/>
      <c r="K26" s="12"/>
      <c r="L26" s="12"/>
      <c r="M26" s="29">
        <v>186657</v>
      </c>
    </row>
    <row r="27" spans="1:13">
      <c r="G27" t="s">
        <v>188</v>
      </c>
      <c r="H27" s="12"/>
      <c r="I27" s="12"/>
      <c r="J27" s="12"/>
      <c r="K27" s="12"/>
      <c r="L27" s="12"/>
      <c r="M27" s="29">
        <v>18448</v>
      </c>
    </row>
    <row r="28" spans="1:13">
      <c r="G28" t="s">
        <v>328</v>
      </c>
      <c r="H28" s="12"/>
      <c r="I28" s="12"/>
      <c r="J28" s="12"/>
      <c r="K28" s="12"/>
      <c r="L28" s="12"/>
      <c r="M28" s="29">
        <v>210404</v>
      </c>
    </row>
    <row r="29" spans="1:13">
      <c r="G29" t="s">
        <v>329</v>
      </c>
      <c r="H29" s="12"/>
      <c r="I29" s="12"/>
      <c r="J29" s="12"/>
      <c r="K29" s="12"/>
      <c r="L29" s="12"/>
      <c r="M29" s="97">
        <v>-554732</v>
      </c>
    </row>
    <row r="30" spans="1:13">
      <c r="G30" t="s">
        <v>249</v>
      </c>
      <c r="H30" s="12"/>
      <c r="I30" s="12"/>
      <c r="J30" s="12"/>
      <c r="K30" s="12"/>
      <c r="L30" s="12"/>
      <c r="M30" s="29">
        <v>380878</v>
      </c>
    </row>
    <row r="31" spans="1:13">
      <c r="H31" s="12"/>
      <c r="I31" s="12"/>
      <c r="J31" s="12"/>
      <c r="K31" s="12"/>
      <c r="L31" s="12"/>
      <c r="M31" s="12"/>
    </row>
    <row r="32" spans="1:13">
      <c r="H32" s="20" t="s">
        <v>38</v>
      </c>
      <c r="I32" s="20"/>
      <c r="J32" s="20"/>
      <c r="K32" s="20"/>
      <c r="L32" s="20"/>
      <c r="M32" s="20">
        <f>SUM(M21:M30)</f>
        <v>12404838</v>
      </c>
    </row>
    <row r="33" spans="5:13">
      <c r="H33" s="12"/>
      <c r="I33" s="12"/>
      <c r="J33" s="12"/>
      <c r="K33" s="12"/>
      <c r="L33" s="12"/>
      <c r="M33" s="12"/>
    </row>
    <row r="34" spans="5:13">
      <c r="H34" s="20" t="s">
        <v>39</v>
      </c>
      <c r="I34" s="20"/>
      <c r="J34" s="20"/>
      <c r="K34" s="20"/>
      <c r="L34" s="20"/>
      <c r="M34" s="20">
        <f>SUM(M17,M32)</f>
        <v>85585</v>
      </c>
    </row>
    <row r="35" spans="5:13">
      <c r="H35" s="26"/>
      <c r="I35" s="26"/>
      <c r="J35" s="26"/>
      <c r="K35" s="26"/>
      <c r="L35" s="26"/>
      <c r="M35" s="26"/>
    </row>
    <row r="36" spans="5:13">
      <c r="E36" s="31" t="s">
        <v>67</v>
      </c>
      <c r="F36" s="31"/>
      <c r="G36" s="31"/>
      <c r="H36" s="32"/>
      <c r="I36" s="32"/>
      <c r="J36" s="32"/>
      <c r="K36" s="32"/>
      <c r="L36" s="32"/>
      <c r="M36" s="33">
        <v>55077552</v>
      </c>
    </row>
    <row r="37" spans="5:13">
      <c r="H37" s="12"/>
      <c r="I37" s="12"/>
      <c r="J37" s="12"/>
      <c r="K37" s="12"/>
      <c r="L37" s="12"/>
      <c r="M37" s="12"/>
    </row>
    <row r="38" spans="5:13">
      <c r="E38" s="34" t="s">
        <v>44</v>
      </c>
      <c r="F38" s="34"/>
      <c r="G38" s="34"/>
      <c r="H38" s="35"/>
      <c r="I38" s="35"/>
      <c r="J38" s="35"/>
      <c r="K38" s="35"/>
      <c r="L38" s="35"/>
      <c r="M38" s="92">
        <f>SUM(M34,M36)</f>
        <v>55163137</v>
      </c>
    </row>
    <row r="45" spans="5:13">
      <c r="K45" s="9"/>
      <c r="L45" s="9"/>
      <c r="M45" s="9"/>
    </row>
  </sheetData>
  <mergeCells count="3">
    <mergeCell ref="J1:M1"/>
    <mergeCell ref="J2:M2"/>
    <mergeCell ref="J5:L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50"/>
  <sheetViews>
    <sheetView topLeftCell="A3" workbookViewId="0">
      <selection activeCell="I20" sqref="I20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</cols>
  <sheetData>
    <row r="1" spans="1:15" ht="30" customHeight="1">
      <c r="J1" s="258" t="s">
        <v>330</v>
      </c>
      <c r="K1" s="258"/>
      <c r="L1" s="258"/>
      <c r="M1" s="258"/>
      <c r="N1" s="170"/>
      <c r="O1" s="170"/>
    </row>
    <row r="2" spans="1:15" ht="21.75" customHeight="1">
      <c r="J2" s="259" t="s">
        <v>1</v>
      </c>
      <c r="K2" s="259"/>
      <c r="L2" s="259"/>
      <c r="M2" s="259"/>
      <c r="N2" s="171"/>
      <c r="O2" s="171"/>
    </row>
    <row r="3" spans="1:15" ht="18.75" customHeight="1">
      <c r="E3" s="3"/>
      <c r="F3" s="3"/>
      <c r="G3" s="3"/>
      <c r="H3" s="3"/>
      <c r="I3" s="3"/>
      <c r="J3" s="3"/>
      <c r="K3" s="3"/>
      <c r="L3" s="3"/>
    </row>
    <row r="4" spans="1:15" ht="30.75" customHeight="1">
      <c r="E4" s="2"/>
      <c r="M4" s="260" t="s">
        <v>2</v>
      </c>
      <c r="N4" s="260"/>
      <c r="O4" s="260"/>
    </row>
    <row r="5" spans="1:15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2" t="s">
        <v>5</v>
      </c>
      <c r="N5" s="262"/>
      <c r="O5" s="262"/>
    </row>
    <row r="6" spans="1:15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</row>
    <row r="7" spans="1:15" ht="30.75" customHeight="1">
      <c r="A7" s="8" t="s">
        <v>13</v>
      </c>
      <c r="I7" s="9"/>
      <c r="J7" s="9"/>
      <c r="K7" s="9"/>
      <c r="L7" s="9"/>
    </row>
    <row r="8" spans="1:15">
      <c r="B8" s="10" t="s">
        <v>14</v>
      </c>
      <c r="I8" s="9"/>
      <c r="J8" s="9"/>
      <c r="K8" s="9"/>
      <c r="L8" s="9"/>
      <c r="M8" s="9"/>
      <c r="N8" s="9"/>
      <c r="O8" s="9"/>
    </row>
    <row r="9" spans="1:15">
      <c r="C9" t="s">
        <v>15</v>
      </c>
      <c r="H9" s="12"/>
      <c r="I9" s="11">
        <v>-5799361</v>
      </c>
      <c r="J9" s="12">
        <v>1407121</v>
      </c>
      <c r="K9" s="12">
        <v>497574</v>
      </c>
      <c r="L9" s="12">
        <v>1394022</v>
      </c>
      <c r="M9" s="12">
        <f t="shared" ref="M9:M15" si="0">SUM(I9:L9)</f>
        <v>-2500644</v>
      </c>
      <c r="N9" s="12"/>
      <c r="O9" s="12">
        <f t="shared" ref="O9:O15" si="1">SUM(M9:N9)</f>
        <v>-2500644</v>
      </c>
    </row>
    <row r="10" spans="1:15">
      <c r="C10" t="s">
        <v>16</v>
      </c>
      <c r="H10" s="12"/>
      <c r="I10" s="13">
        <v>-6135712</v>
      </c>
      <c r="J10" s="12">
        <v>1378147</v>
      </c>
      <c r="K10" s="12">
        <v>902763</v>
      </c>
      <c r="L10" s="12">
        <v>32710</v>
      </c>
      <c r="M10" s="12">
        <f t="shared" si="0"/>
        <v>-3822092</v>
      </c>
      <c r="N10" s="12"/>
      <c r="O10" s="12">
        <f t="shared" si="1"/>
        <v>-3822092</v>
      </c>
    </row>
    <row r="11" spans="1:15">
      <c r="C11" t="s">
        <v>17</v>
      </c>
      <c r="H11" s="12"/>
      <c r="I11" s="14">
        <v>-15781121</v>
      </c>
      <c r="J11" s="12">
        <v>154023</v>
      </c>
      <c r="K11" s="12">
        <v>1547697</v>
      </c>
      <c r="L11" s="12">
        <v>3101467</v>
      </c>
      <c r="M11" s="12">
        <f t="shared" si="0"/>
        <v>-10977934</v>
      </c>
      <c r="N11" s="12"/>
      <c r="O11" s="12">
        <f t="shared" si="1"/>
        <v>-10977934</v>
      </c>
    </row>
    <row r="12" spans="1:15">
      <c r="C12" t="s">
        <v>19</v>
      </c>
      <c r="H12" s="12"/>
      <c r="I12" s="15">
        <v>-1603310</v>
      </c>
      <c r="J12" s="12">
        <v>35730</v>
      </c>
      <c r="K12" s="12">
        <v>312705</v>
      </c>
      <c r="L12" s="12"/>
      <c r="M12" s="12">
        <f>SUM(I12:L12)</f>
        <v>-1254875</v>
      </c>
      <c r="N12" s="12"/>
      <c r="O12" s="12">
        <f t="shared" si="1"/>
        <v>-1254875</v>
      </c>
    </row>
    <row r="13" spans="1:15">
      <c r="C13" t="s">
        <v>20</v>
      </c>
      <c r="H13" s="12"/>
      <c r="I13" s="16">
        <v>-647904</v>
      </c>
      <c r="J13" s="12"/>
      <c r="K13" s="12"/>
      <c r="L13" s="12"/>
      <c r="M13" s="12">
        <f t="shared" si="0"/>
        <v>-647904</v>
      </c>
      <c r="N13" s="12"/>
      <c r="O13" s="12">
        <f t="shared" si="1"/>
        <v>-647904</v>
      </c>
    </row>
    <row r="14" spans="1:15">
      <c r="C14" t="s">
        <v>71</v>
      </c>
      <c r="H14" s="12"/>
      <c r="I14" s="102">
        <v>-77776</v>
      </c>
      <c r="J14" s="12"/>
      <c r="K14" s="12"/>
      <c r="L14" s="12"/>
      <c r="M14" s="12">
        <f t="shared" si="0"/>
        <v>-77776</v>
      </c>
      <c r="N14" s="12"/>
      <c r="O14" s="12">
        <f t="shared" si="1"/>
        <v>-77776</v>
      </c>
    </row>
    <row r="15" spans="1:15">
      <c r="C15" t="s">
        <v>331</v>
      </c>
      <c r="H15" s="12"/>
      <c r="I15" s="98">
        <v>-4064515</v>
      </c>
      <c r="J15" s="12"/>
      <c r="K15" s="12">
        <v>1142441</v>
      </c>
      <c r="L15" s="12"/>
      <c r="M15" s="12">
        <f t="shared" si="0"/>
        <v>-2922074</v>
      </c>
      <c r="N15" s="12"/>
      <c r="O15" s="12">
        <f t="shared" si="1"/>
        <v>-2922074</v>
      </c>
    </row>
    <row r="16" spans="1:15">
      <c r="H16" s="12"/>
      <c r="I16" s="12"/>
      <c r="J16" s="12"/>
      <c r="K16" s="12"/>
      <c r="L16" s="12"/>
      <c r="M16" s="12"/>
      <c r="N16" s="12"/>
      <c r="O16" s="12"/>
    </row>
    <row r="17" spans="1:15">
      <c r="E17" s="19" t="s">
        <v>22</v>
      </c>
      <c r="F17" s="19"/>
      <c r="G17" s="19"/>
      <c r="H17" s="20"/>
      <c r="I17" s="20">
        <f>SUM(I9:I15)</f>
        <v>-34109699</v>
      </c>
      <c r="J17" s="20">
        <f>SUM(J9:J15)</f>
        <v>2975021</v>
      </c>
      <c r="K17" s="20">
        <f>SUM(K9:K15)</f>
        <v>4403180</v>
      </c>
      <c r="L17" s="20">
        <f>SUM(L9:L15)</f>
        <v>4528199</v>
      </c>
      <c r="M17" s="91">
        <f>SUM(M9:M15)</f>
        <v>-22203299</v>
      </c>
      <c r="N17" s="91"/>
      <c r="O17" s="91">
        <f>SUM(O9:O15)</f>
        <v>-22203299</v>
      </c>
    </row>
    <row r="18" spans="1:15">
      <c r="E18" s="8"/>
      <c r="F18" s="8"/>
      <c r="G18" s="8"/>
      <c r="H18" s="26"/>
      <c r="I18" s="26"/>
      <c r="J18" s="26"/>
      <c r="K18" s="26"/>
      <c r="L18" s="26"/>
      <c r="M18" s="26"/>
      <c r="N18" s="26"/>
      <c r="O18" s="26"/>
    </row>
    <row r="19" spans="1:15">
      <c r="B19" s="10" t="s">
        <v>84</v>
      </c>
      <c r="E19" s="8"/>
      <c r="F19" s="8"/>
      <c r="G19" s="8"/>
      <c r="H19" s="26"/>
      <c r="I19" s="26"/>
      <c r="J19" s="26"/>
      <c r="K19" s="26"/>
      <c r="L19" s="26"/>
      <c r="M19" s="26"/>
      <c r="N19" s="26"/>
      <c r="O19" s="26"/>
    </row>
    <row r="20" spans="1:15">
      <c r="C20" t="s">
        <v>332</v>
      </c>
      <c r="E20" s="8"/>
      <c r="F20" s="8"/>
      <c r="G20" s="8"/>
      <c r="H20" s="26"/>
      <c r="I20" s="249">
        <v>-745007</v>
      </c>
      <c r="J20" s="88">
        <v>199863</v>
      </c>
      <c r="K20" s="88"/>
      <c r="L20" s="88">
        <v>561148</v>
      </c>
      <c r="M20" s="88"/>
      <c r="N20" s="88">
        <f t="shared" ref="N20" si="2">SUM(I20:L20)</f>
        <v>16004</v>
      </c>
      <c r="O20" s="88">
        <f t="shared" ref="O20" si="3">SUM(M20:N20)</f>
        <v>16004</v>
      </c>
    </row>
    <row r="21" spans="1:15">
      <c r="E21" s="8"/>
      <c r="F21" s="8"/>
      <c r="G21" s="8"/>
      <c r="H21" s="26"/>
      <c r="I21" s="26"/>
      <c r="J21" s="26"/>
      <c r="K21" s="26"/>
      <c r="L21" s="26"/>
      <c r="M21" s="26"/>
      <c r="N21" s="26"/>
      <c r="O21" s="26"/>
    </row>
    <row r="22" spans="1:15">
      <c r="E22" s="19" t="s">
        <v>173</v>
      </c>
      <c r="F22" s="19"/>
      <c r="G22" s="19"/>
      <c r="H22" s="20"/>
      <c r="I22" s="20">
        <f t="shared" ref="I22:O22" si="4">SUM(I20:I20)</f>
        <v>-745007</v>
      </c>
      <c r="J22" s="20">
        <f t="shared" si="4"/>
        <v>199863</v>
      </c>
      <c r="K22" s="20">
        <f t="shared" si="4"/>
        <v>0</v>
      </c>
      <c r="L22" s="20">
        <f t="shared" si="4"/>
        <v>561148</v>
      </c>
      <c r="M22" s="91">
        <f t="shared" si="4"/>
        <v>0</v>
      </c>
      <c r="N22" s="91">
        <f t="shared" si="4"/>
        <v>16004</v>
      </c>
      <c r="O22" s="91">
        <f t="shared" si="4"/>
        <v>16004</v>
      </c>
    </row>
    <row r="23" spans="1:15">
      <c r="E23" s="8"/>
      <c r="F23" s="8"/>
      <c r="G23" s="8"/>
      <c r="H23" s="26"/>
      <c r="I23" s="26"/>
      <c r="J23" s="26"/>
      <c r="K23" s="26"/>
      <c r="L23" s="26"/>
      <c r="M23" s="26"/>
      <c r="N23" s="26"/>
      <c r="O23" s="26"/>
    </row>
    <row r="24" spans="1:15">
      <c r="E24" s="19" t="s">
        <v>89</v>
      </c>
      <c r="F24" s="19"/>
      <c r="G24" s="19"/>
      <c r="H24" s="20"/>
      <c r="I24" s="20">
        <f>I22+I17</f>
        <v>-34854706</v>
      </c>
      <c r="J24" s="20">
        <f>J22+J17</f>
        <v>3174884</v>
      </c>
      <c r="K24" s="20">
        <f>SUM(K17+K22)</f>
        <v>4403180</v>
      </c>
      <c r="L24" s="20">
        <f>SUM(L17+L22)</f>
        <v>5089347</v>
      </c>
      <c r="M24" s="91">
        <f>M22+M17</f>
        <v>-22203299</v>
      </c>
      <c r="N24" s="91">
        <f>N22+N17</f>
        <v>16004</v>
      </c>
      <c r="O24" s="91">
        <f>O22+O17</f>
        <v>-22187295</v>
      </c>
    </row>
    <row r="25" spans="1:15">
      <c r="E25" s="8"/>
      <c r="F25" s="8"/>
      <c r="G25" s="8"/>
      <c r="H25" s="26"/>
      <c r="I25" s="26"/>
      <c r="J25" s="26"/>
      <c r="K25" s="26"/>
      <c r="L25" s="26"/>
      <c r="M25" s="26"/>
      <c r="N25" s="26"/>
      <c r="O25" s="26"/>
    </row>
    <row r="26" spans="1:15">
      <c r="A26" s="8"/>
      <c r="B26" s="8"/>
      <c r="C26" s="8"/>
      <c r="D26" s="8"/>
      <c r="E26" s="8"/>
      <c r="G26" s="8" t="s">
        <v>25</v>
      </c>
      <c r="H26" s="26"/>
      <c r="I26" s="26"/>
      <c r="J26" s="26"/>
      <c r="K26" s="26"/>
      <c r="L26" s="26"/>
      <c r="M26" s="12"/>
      <c r="N26" s="12"/>
      <c r="O26" s="12"/>
    </row>
    <row r="27" spans="1:15">
      <c r="A27" s="8"/>
      <c r="B27" s="8"/>
      <c r="C27" s="8"/>
      <c r="D27" s="8"/>
      <c r="E27" s="8"/>
      <c r="G27" s="8"/>
      <c r="H27" s="88" t="s">
        <v>26</v>
      </c>
      <c r="I27" s="26"/>
      <c r="J27" s="26"/>
      <c r="K27" s="26"/>
      <c r="L27" s="26"/>
      <c r="M27" s="12"/>
      <c r="N27" s="12"/>
      <c r="O27" s="12"/>
    </row>
    <row r="28" spans="1:15">
      <c r="H28" s="12"/>
      <c r="I28" s="12" t="s">
        <v>126</v>
      </c>
      <c r="J28" s="12"/>
      <c r="K28" s="12"/>
      <c r="L28" s="12"/>
      <c r="M28" s="28">
        <v>5772883</v>
      </c>
      <c r="N28" s="12"/>
      <c r="O28" s="12">
        <f t="shared" ref="O28:O35" si="5">SUM(M28:N28)</f>
        <v>5772883</v>
      </c>
    </row>
    <row r="29" spans="1:15">
      <c r="H29" s="12"/>
      <c r="I29" s="12" t="s">
        <v>128</v>
      </c>
      <c r="J29" s="12"/>
      <c r="K29" s="12"/>
      <c r="L29" s="12"/>
      <c r="M29" s="14">
        <v>14326519</v>
      </c>
      <c r="N29" s="12"/>
      <c r="O29" s="12">
        <f t="shared" si="5"/>
        <v>14326519</v>
      </c>
    </row>
    <row r="30" spans="1:15">
      <c r="H30" s="12"/>
      <c r="I30" s="12" t="s">
        <v>148</v>
      </c>
      <c r="J30" s="12"/>
      <c r="K30" s="12"/>
      <c r="L30" s="12"/>
      <c r="M30" s="14">
        <v>1297516</v>
      </c>
      <c r="N30" s="12"/>
      <c r="O30" s="12">
        <f t="shared" si="5"/>
        <v>1297516</v>
      </c>
    </row>
    <row r="31" spans="1:15">
      <c r="H31" s="12"/>
      <c r="I31" s="12" t="s">
        <v>236</v>
      </c>
      <c r="J31" s="12"/>
      <c r="K31" s="12"/>
      <c r="L31" s="12"/>
      <c r="M31" s="15">
        <v>981353</v>
      </c>
      <c r="N31" s="12"/>
      <c r="O31" s="12">
        <f t="shared" si="5"/>
        <v>981353</v>
      </c>
    </row>
    <row r="32" spans="1:15">
      <c r="H32" s="12" t="s">
        <v>333</v>
      </c>
      <c r="I32" s="12"/>
      <c r="J32" s="12"/>
      <c r="K32" s="12"/>
      <c r="L32" s="12"/>
      <c r="M32" s="29">
        <v>1728189</v>
      </c>
      <c r="N32" s="12"/>
      <c r="O32" s="12">
        <f t="shared" si="5"/>
        <v>1728189</v>
      </c>
    </row>
    <row r="33" spans="5:15">
      <c r="H33" s="12" t="s">
        <v>36</v>
      </c>
      <c r="I33" s="12"/>
      <c r="J33" s="12"/>
      <c r="K33" s="12"/>
      <c r="L33" s="12"/>
      <c r="M33" s="29">
        <v>340105</v>
      </c>
      <c r="N33" s="12"/>
      <c r="O33" s="12">
        <f>SUM(M33:N33)</f>
        <v>340105</v>
      </c>
    </row>
    <row r="34" spans="5:15">
      <c r="H34" s="12" t="s">
        <v>334</v>
      </c>
      <c r="I34" s="12"/>
      <c r="J34" s="12"/>
      <c r="K34" s="12"/>
      <c r="L34" s="12"/>
      <c r="M34" s="29">
        <v>39649</v>
      </c>
      <c r="N34" s="12">
        <v>118</v>
      </c>
      <c r="O34" s="12">
        <f>SUM(M34:N34)</f>
        <v>39767</v>
      </c>
    </row>
    <row r="35" spans="5:15">
      <c r="H35" s="12" t="s">
        <v>37</v>
      </c>
      <c r="I35" s="12"/>
      <c r="J35" s="12"/>
      <c r="K35" s="12"/>
      <c r="L35" s="12"/>
      <c r="M35" s="97">
        <v>-550000</v>
      </c>
      <c r="N35" s="12">
        <v>550000</v>
      </c>
      <c r="O35" s="12">
        <f t="shared" si="5"/>
        <v>0</v>
      </c>
    </row>
    <row r="36" spans="5:15">
      <c r="H36" s="12"/>
      <c r="I36" s="12"/>
      <c r="J36" s="12"/>
      <c r="K36" s="12"/>
      <c r="L36" s="12"/>
      <c r="M36" s="12"/>
      <c r="N36" s="12"/>
      <c r="O36" s="12"/>
    </row>
    <row r="37" spans="5:15">
      <c r="H37" s="20" t="s">
        <v>38</v>
      </c>
      <c r="I37" s="20"/>
      <c r="J37" s="20"/>
      <c r="K37" s="20"/>
      <c r="L37" s="20"/>
      <c r="M37" s="20">
        <f>SUM(M28:M35)</f>
        <v>23936214</v>
      </c>
      <c r="N37" s="20">
        <f>SUM(N28:N35)</f>
        <v>550118</v>
      </c>
      <c r="O37" s="20">
        <f>SUM(O28:O35)</f>
        <v>24486332</v>
      </c>
    </row>
    <row r="38" spans="5:15">
      <c r="H38" s="12"/>
      <c r="I38" s="12"/>
      <c r="J38" s="12"/>
      <c r="K38" s="12"/>
      <c r="L38" s="12"/>
      <c r="M38" s="12"/>
      <c r="N38" s="12"/>
      <c r="O38" s="12"/>
    </row>
    <row r="39" spans="5:15">
      <c r="H39" s="20" t="s">
        <v>39</v>
      </c>
      <c r="I39" s="20"/>
      <c r="J39" s="20"/>
      <c r="K39" s="20"/>
      <c r="L39" s="20"/>
      <c r="M39" s="20">
        <f>M37+M17</f>
        <v>1732915</v>
      </c>
      <c r="N39" s="20">
        <f>N37+N22</f>
        <v>566122</v>
      </c>
      <c r="O39" s="20">
        <f>O37+O24</f>
        <v>2299037</v>
      </c>
    </row>
    <row r="40" spans="5:15">
      <c r="H40" s="26"/>
      <c r="I40" s="26"/>
      <c r="J40" s="26"/>
      <c r="K40" s="26"/>
      <c r="L40" s="26"/>
      <c r="M40" s="26"/>
      <c r="N40" s="26"/>
      <c r="O40" s="26"/>
    </row>
    <row r="41" spans="5:15">
      <c r="E41" s="31" t="s">
        <v>67</v>
      </c>
      <c r="F41" s="31"/>
      <c r="G41" s="31"/>
      <c r="H41" s="32"/>
      <c r="I41" s="32"/>
      <c r="J41" s="32"/>
      <c r="K41" s="32"/>
      <c r="L41" s="32"/>
      <c r="M41" s="33">
        <v>86455602</v>
      </c>
      <c r="N41" s="33">
        <v>5309089</v>
      </c>
      <c r="O41" s="33">
        <f>SUM(M41:N41)</f>
        <v>91764691</v>
      </c>
    </row>
    <row r="42" spans="5:15">
      <c r="H42" s="12"/>
      <c r="I42" s="12"/>
      <c r="J42" s="12"/>
      <c r="K42" s="12"/>
      <c r="L42" s="12"/>
      <c r="M42" s="12"/>
      <c r="N42" s="12"/>
      <c r="O42" s="12"/>
    </row>
    <row r="43" spans="5:15">
      <c r="E43" s="34" t="s">
        <v>44</v>
      </c>
      <c r="F43" s="34"/>
      <c r="G43" s="34"/>
      <c r="H43" s="35"/>
      <c r="I43" s="35"/>
      <c r="J43" s="35"/>
      <c r="K43" s="35"/>
      <c r="L43" s="35"/>
      <c r="M43" s="92">
        <f>SUM(M39,M41)</f>
        <v>88188517</v>
      </c>
      <c r="N43" s="92">
        <f>N41+N39</f>
        <v>5875211</v>
      </c>
      <c r="O43" s="92">
        <f>O41+O39</f>
        <v>94063728</v>
      </c>
    </row>
    <row r="50" spans="11:15">
      <c r="K50" s="9"/>
      <c r="L50" s="9"/>
      <c r="M50" s="9"/>
      <c r="N50" s="9"/>
      <c r="O50" s="9"/>
    </row>
  </sheetData>
  <mergeCells count="5">
    <mergeCell ref="J1:M1"/>
    <mergeCell ref="J2:M2"/>
    <mergeCell ref="M4:O4"/>
    <mergeCell ref="J5:L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49"/>
  <sheetViews>
    <sheetView topLeftCell="A5" workbookViewId="0">
      <selection activeCell="M41" sqref="M41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</cols>
  <sheetData>
    <row r="1" spans="1:13" ht="31.5" customHeight="1">
      <c r="J1" s="258" t="s">
        <v>335</v>
      </c>
      <c r="K1" s="258"/>
      <c r="L1" s="258"/>
      <c r="M1" s="258"/>
    </row>
    <row r="2" spans="1:13" ht="18">
      <c r="J2" s="259" t="s">
        <v>1</v>
      </c>
      <c r="K2" s="259"/>
      <c r="L2" s="259"/>
      <c r="M2" s="259"/>
    </row>
    <row r="3" spans="1:13" ht="15.75">
      <c r="E3" s="3"/>
      <c r="F3" s="3"/>
      <c r="G3" s="3"/>
      <c r="H3" s="3"/>
      <c r="I3" s="3"/>
      <c r="J3" s="3"/>
      <c r="K3" s="3"/>
      <c r="L3" s="3"/>
    </row>
    <row r="4" spans="1:13" ht="18">
      <c r="E4" s="2"/>
      <c r="M4" s="173"/>
    </row>
    <row r="5" spans="1:13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174"/>
    </row>
    <row r="6" spans="1:13" ht="42.7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113" t="s">
        <v>97</v>
      </c>
    </row>
    <row r="7" spans="1:13">
      <c r="A7" s="8" t="s">
        <v>90</v>
      </c>
      <c r="I7" s="9"/>
      <c r="J7" s="9"/>
      <c r="K7" s="9"/>
      <c r="L7" s="9"/>
    </row>
    <row r="8" spans="1:13">
      <c r="C8" t="s">
        <v>15</v>
      </c>
      <c r="H8" s="12"/>
      <c r="I8" s="12"/>
      <c r="J8" s="12"/>
      <c r="K8" s="12"/>
      <c r="L8" s="12"/>
      <c r="M8" s="12"/>
    </row>
    <row r="9" spans="1:13">
      <c r="D9" t="s">
        <v>99</v>
      </c>
      <c r="I9" s="97">
        <v>-161075</v>
      </c>
      <c r="J9" s="12"/>
      <c r="K9" s="12"/>
      <c r="L9" s="12"/>
      <c r="M9" s="12">
        <f t="shared" ref="M9:M20" si="0">SUM(I9:L9)</f>
        <v>-161075</v>
      </c>
    </row>
    <row r="10" spans="1:13">
      <c r="D10" t="s">
        <v>100</v>
      </c>
      <c r="I10" s="98">
        <v>-918022</v>
      </c>
      <c r="J10" s="12">
        <v>437928</v>
      </c>
      <c r="K10" s="12"/>
      <c r="L10" s="12"/>
      <c r="M10" s="12">
        <f t="shared" si="0"/>
        <v>-480094</v>
      </c>
    </row>
    <row r="11" spans="1:13">
      <c r="D11" t="s">
        <v>102</v>
      </c>
      <c r="I11" s="101">
        <v>-31967</v>
      </c>
      <c r="J11" s="12"/>
      <c r="K11" s="12"/>
      <c r="L11" s="12"/>
      <c r="M11" s="12">
        <f t="shared" si="0"/>
        <v>-31967</v>
      </c>
    </row>
    <row r="12" spans="1:13">
      <c r="D12" t="s">
        <v>143</v>
      </c>
      <c r="I12" s="110">
        <v>-407349</v>
      </c>
      <c r="J12" s="12"/>
      <c r="K12" s="12">
        <v>5219</v>
      </c>
      <c r="L12" s="12"/>
      <c r="M12" s="12">
        <f t="shared" si="0"/>
        <v>-402130</v>
      </c>
    </row>
    <row r="13" spans="1:13">
      <c r="D13" t="s">
        <v>336</v>
      </c>
      <c r="I13" s="108">
        <v>-33661</v>
      </c>
      <c r="J13" s="12">
        <v>2522</v>
      </c>
      <c r="K13" s="12"/>
      <c r="L13" s="12">
        <v>158471</v>
      </c>
      <c r="M13" s="12">
        <f t="shared" si="0"/>
        <v>127332</v>
      </c>
    </row>
    <row r="14" spans="1:13">
      <c r="C14" t="s">
        <v>16</v>
      </c>
      <c r="H14" s="12"/>
      <c r="I14" s="13">
        <v>-1032028</v>
      </c>
      <c r="J14" s="12">
        <v>61858</v>
      </c>
      <c r="K14" s="12">
        <v>97405</v>
      </c>
      <c r="L14" s="12">
        <v>44009</v>
      </c>
      <c r="M14" s="12">
        <f t="shared" si="0"/>
        <v>-828756</v>
      </c>
    </row>
    <row r="15" spans="1:13">
      <c r="C15" t="s">
        <v>17</v>
      </c>
      <c r="H15" s="12"/>
      <c r="I15" s="14">
        <v>-3199586</v>
      </c>
      <c r="J15" s="12">
        <v>629273</v>
      </c>
      <c r="K15" s="12">
        <v>435315</v>
      </c>
      <c r="L15" s="12">
        <v>56000</v>
      </c>
      <c r="M15" s="12">
        <f t="shared" si="0"/>
        <v>-2078998</v>
      </c>
    </row>
    <row r="16" spans="1:13">
      <c r="C16" t="s">
        <v>19</v>
      </c>
      <c r="H16" s="12"/>
      <c r="I16" s="15">
        <v>-235258</v>
      </c>
      <c r="J16" s="12"/>
      <c r="K16" s="12">
        <v>3575</v>
      </c>
      <c r="L16" s="12">
        <v>654943</v>
      </c>
      <c r="M16" s="12">
        <f t="shared" si="0"/>
        <v>423260</v>
      </c>
    </row>
    <row r="17" spans="1:13">
      <c r="C17" t="s">
        <v>20</v>
      </c>
      <c r="H17" s="12"/>
      <c r="I17" s="16">
        <v>-477506</v>
      </c>
      <c r="J17" s="12">
        <v>413</v>
      </c>
      <c r="K17" s="12">
        <v>7273</v>
      </c>
      <c r="L17" s="12"/>
      <c r="M17" s="12">
        <f t="shared" si="0"/>
        <v>-469820</v>
      </c>
    </row>
    <row r="18" spans="1:13">
      <c r="C18" t="s">
        <v>18</v>
      </c>
      <c r="H18" s="12"/>
      <c r="I18" s="102">
        <v>-48588</v>
      </c>
      <c r="J18" s="12"/>
      <c r="K18" s="12"/>
      <c r="L18" s="12"/>
      <c r="M18" s="12">
        <f t="shared" si="0"/>
        <v>-48588</v>
      </c>
    </row>
    <row r="19" spans="1:13">
      <c r="C19" t="s">
        <v>183</v>
      </c>
      <c r="H19" s="12"/>
      <c r="I19" s="14">
        <v>-173759</v>
      </c>
      <c r="J19" s="12"/>
      <c r="K19" s="12">
        <v>12932</v>
      </c>
      <c r="L19" s="12"/>
      <c r="M19" s="12">
        <f t="shared" si="0"/>
        <v>-160827</v>
      </c>
    </row>
    <row r="20" spans="1:13">
      <c r="C20" t="s">
        <v>36</v>
      </c>
      <c r="H20" s="12"/>
      <c r="I20" s="107">
        <v>-26670</v>
      </c>
      <c r="J20" s="12"/>
      <c r="K20" s="12"/>
      <c r="L20" s="12"/>
      <c r="M20" s="12">
        <f t="shared" si="0"/>
        <v>-26670</v>
      </c>
    </row>
    <row r="21" spans="1:13">
      <c r="C21" t="s">
        <v>21</v>
      </c>
      <c r="H21" s="12"/>
      <c r="I21" s="17">
        <v>-6160</v>
      </c>
      <c r="J21" s="18"/>
      <c r="K21" s="18"/>
      <c r="L21" s="18"/>
      <c r="M21" s="18">
        <f>SUM(I21:L21)</f>
        <v>-6160</v>
      </c>
    </row>
    <row r="22" spans="1:13">
      <c r="H22" s="12"/>
      <c r="I22" s="12"/>
      <c r="J22" s="12"/>
      <c r="K22" s="12"/>
      <c r="L22" s="12"/>
      <c r="M22" s="12"/>
    </row>
    <row r="23" spans="1:13">
      <c r="E23" s="19" t="s">
        <v>22</v>
      </c>
      <c r="F23" s="19"/>
      <c r="G23" s="19"/>
      <c r="H23" s="20"/>
      <c r="I23" s="20">
        <f>SUM(I8:I21)</f>
        <v>-6751629</v>
      </c>
      <c r="J23" s="91">
        <f>SUM(J8:J18)</f>
        <v>1131994</v>
      </c>
      <c r="K23" s="20">
        <f>SUM(K9:K19)</f>
        <v>561719</v>
      </c>
      <c r="L23" s="20">
        <f>SUM(L8:L19)</f>
        <v>913423</v>
      </c>
      <c r="M23" s="91">
        <f>SUM(M8:M21)</f>
        <v>-4144493</v>
      </c>
    </row>
    <row r="24" spans="1:13">
      <c r="H24" s="12"/>
      <c r="I24" s="12"/>
      <c r="J24" s="12"/>
      <c r="K24" s="12"/>
      <c r="L24" s="12"/>
      <c r="M24" s="12"/>
    </row>
    <row r="25" spans="1:13">
      <c r="A25" s="8"/>
      <c r="B25" s="8"/>
      <c r="C25" s="8"/>
      <c r="D25" s="8"/>
      <c r="E25" s="8"/>
      <c r="G25" s="8" t="s">
        <v>25</v>
      </c>
      <c r="H25" s="26"/>
      <c r="I25" s="26"/>
      <c r="J25" s="26"/>
      <c r="K25" s="26"/>
      <c r="L25" s="26"/>
      <c r="M25" s="12"/>
    </row>
    <row r="26" spans="1:13">
      <c r="A26" s="8"/>
      <c r="B26" s="8"/>
      <c r="C26" s="8"/>
      <c r="D26" s="8"/>
      <c r="E26" s="8"/>
      <c r="G26" s="8"/>
      <c r="H26" s="88" t="s">
        <v>26</v>
      </c>
      <c r="I26" s="26"/>
      <c r="J26" s="26"/>
      <c r="K26" s="26"/>
      <c r="L26" s="26"/>
      <c r="M26" s="12"/>
    </row>
    <row r="27" spans="1:13">
      <c r="H27" s="12"/>
      <c r="I27" s="12" t="s">
        <v>116</v>
      </c>
      <c r="J27" s="12"/>
      <c r="K27" s="12"/>
      <c r="L27" s="12"/>
      <c r="M27" s="28">
        <v>5258030</v>
      </c>
    </row>
    <row r="28" spans="1:13">
      <c r="H28" s="12"/>
      <c r="I28" s="12" t="s">
        <v>337</v>
      </c>
      <c r="J28" s="12"/>
      <c r="K28" s="12"/>
      <c r="L28" s="12"/>
      <c r="M28" s="15">
        <v>174944</v>
      </c>
    </row>
    <row r="29" spans="1:13">
      <c r="H29" s="12"/>
      <c r="I29" s="12" t="s">
        <v>75</v>
      </c>
      <c r="J29" s="12"/>
      <c r="K29" s="12"/>
      <c r="L29" s="12"/>
      <c r="M29" s="105">
        <v>96933</v>
      </c>
    </row>
    <row r="30" spans="1:13">
      <c r="H30" s="12"/>
      <c r="I30" s="12" t="s">
        <v>284</v>
      </c>
      <c r="J30" s="12"/>
      <c r="K30" s="12"/>
      <c r="L30" s="12"/>
      <c r="M30" s="15">
        <v>64846</v>
      </c>
    </row>
    <row r="31" spans="1:13">
      <c r="H31" s="12"/>
      <c r="I31" s="12" t="s">
        <v>218</v>
      </c>
      <c r="J31" s="12"/>
      <c r="K31" s="12"/>
      <c r="L31" s="12"/>
      <c r="M31" s="14">
        <v>290870</v>
      </c>
    </row>
    <row r="32" spans="1:13">
      <c r="H32" s="12" t="s">
        <v>137</v>
      </c>
      <c r="I32" s="12"/>
      <c r="J32" s="12"/>
      <c r="K32" s="12"/>
      <c r="L32" s="12"/>
      <c r="M32" s="29">
        <v>212941</v>
      </c>
    </row>
    <row r="33" spans="5:13">
      <c r="H33" s="12" t="s">
        <v>122</v>
      </c>
      <c r="I33" s="12"/>
      <c r="J33" s="12"/>
      <c r="K33" s="12"/>
      <c r="L33" s="12"/>
      <c r="M33" s="29">
        <v>18076</v>
      </c>
    </row>
    <row r="34" spans="5:13">
      <c r="H34" s="12" t="s">
        <v>36</v>
      </c>
      <c r="I34" s="12"/>
      <c r="J34" s="12"/>
      <c r="K34" s="12"/>
      <c r="L34" s="12"/>
      <c r="M34" s="29">
        <v>222214</v>
      </c>
    </row>
    <row r="35" spans="5:13">
      <c r="H35" s="12"/>
      <c r="I35" s="12"/>
      <c r="J35" s="12"/>
      <c r="K35" s="12"/>
      <c r="L35" s="12"/>
      <c r="M35" s="12"/>
    </row>
    <row r="36" spans="5:13">
      <c r="H36" s="20" t="s">
        <v>338</v>
      </c>
      <c r="I36" s="20"/>
      <c r="J36" s="20"/>
      <c r="K36" s="20"/>
      <c r="L36" s="20"/>
      <c r="M36" s="20">
        <f>SUM(M27:M34)</f>
        <v>6338854</v>
      </c>
    </row>
    <row r="37" spans="5:13">
      <c r="H37" s="12"/>
      <c r="I37" s="12"/>
      <c r="J37" s="12"/>
      <c r="K37" s="12"/>
      <c r="L37" s="12"/>
      <c r="M37" s="12"/>
    </row>
    <row r="38" spans="5:13">
      <c r="H38" s="20" t="s">
        <v>339</v>
      </c>
      <c r="I38" s="20"/>
      <c r="J38" s="20"/>
      <c r="K38" s="20"/>
      <c r="L38" s="20"/>
      <c r="M38" s="20">
        <f>M23+M36</f>
        <v>2194361</v>
      </c>
    </row>
    <row r="39" spans="5:13">
      <c r="H39" s="26"/>
      <c r="I39" s="26"/>
      <c r="J39" s="26"/>
      <c r="K39" s="26"/>
      <c r="L39" s="26"/>
      <c r="M39" s="26"/>
    </row>
    <row r="40" spans="5:13">
      <c r="E40" s="31" t="s">
        <v>340</v>
      </c>
      <c r="F40" s="31"/>
      <c r="G40" s="31"/>
      <c r="H40" s="32"/>
      <c r="I40" s="32"/>
      <c r="J40" s="32"/>
      <c r="K40" s="32"/>
      <c r="L40" s="32"/>
      <c r="M40" s="33">
        <v>18281655</v>
      </c>
    </row>
    <row r="41" spans="5:13">
      <c r="H41" s="12"/>
      <c r="I41" s="12"/>
      <c r="J41" s="12"/>
      <c r="K41" s="12"/>
      <c r="L41" s="12"/>
      <c r="M41" s="12"/>
    </row>
    <row r="42" spans="5:13">
      <c r="E42" s="34" t="s">
        <v>341</v>
      </c>
      <c r="F42" s="34"/>
      <c r="G42" s="34"/>
      <c r="H42" s="35"/>
      <c r="I42" s="35"/>
      <c r="J42" s="35"/>
      <c r="K42" s="35"/>
      <c r="L42" s="92"/>
      <c r="M42" s="92">
        <f>M40+M38</f>
        <v>20476016</v>
      </c>
    </row>
    <row r="49" spans="11:13">
      <c r="K49" s="9"/>
      <c r="L49" s="9"/>
      <c r="M49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45"/>
  <sheetViews>
    <sheetView topLeftCell="A5" workbookViewId="0">
      <selection activeCell="M39" sqref="M39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</cols>
  <sheetData>
    <row r="1" spans="1:13" ht="27.75" customHeight="1">
      <c r="J1" s="258" t="s">
        <v>342</v>
      </c>
      <c r="K1" s="258"/>
      <c r="L1" s="258"/>
      <c r="M1" s="258"/>
    </row>
    <row r="2" spans="1:13" ht="18">
      <c r="J2" s="259" t="s">
        <v>1</v>
      </c>
      <c r="K2" s="259"/>
      <c r="L2" s="259"/>
      <c r="M2" s="259"/>
    </row>
    <row r="3" spans="1:13" ht="15.75">
      <c r="E3" s="3"/>
      <c r="F3" s="3"/>
      <c r="G3" s="3"/>
      <c r="H3" s="3"/>
      <c r="I3" s="3"/>
      <c r="J3" s="3"/>
      <c r="K3" s="3"/>
      <c r="L3" s="3"/>
    </row>
    <row r="4" spans="1:13" ht="18">
      <c r="E4" s="2"/>
      <c r="M4" s="173"/>
    </row>
    <row r="5" spans="1:13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174"/>
    </row>
    <row r="6" spans="1:13" ht="42.75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113" t="s">
        <v>97</v>
      </c>
    </row>
    <row r="7" spans="1:13">
      <c r="A7" s="8" t="s">
        <v>90</v>
      </c>
      <c r="I7" s="9"/>
      <c r="J7" s="9"/>
      <c r="K7" s="9"/>
      <c r="L7" s="9"/>
    </row>
    <row r="8" spans="1:13">
      <c r="C8" t="s">
        <v>15</v>
      </c>
      <c r="H8" s="12"/>
      <c r="I8" s="12"/>
      <c r="J8" s="12"/>
      <c r="K8" s="12"/>
      <c r="L8" s="12"/>
      <c r="M8" s="12"/>
    </row>
    <row r="9" spans="1:13">
      <c r="D9" t="s">
        <v>99</v>
      </c>
      <c r="I9" s="97">
        <v>-103929</v>
      </c>
      <c r="J9" s="12"/>
      <c r="K9" s="12"/>
      <c r="L9" s="12"/>
      <c r="M9" s="12">
        <f t="shared" ref="M9:M18" si="0">SUM(I9:L9)</f>
        <v>-103929</v>
      </c>
    </row>
    <row r="10" spans="1:13">
      <c r="D10" t="s">
        <v>100</v>
      </c>
      <c r="I10" s="98">
        <v>-752798</v>
      </c>
      <c r="J10" s="12">
        <v>216189</v>
      </c>
      <c r="K10" s="12">
        <v>215983</v>
      </c>
      <c r="L10" s="12"/>
      <c r="M10" s="12">
        <f t="shared" si="0"/>
        <v>-320626</v>
      </c>
    </row>
    <row r="11" spans="1:13">
      <c r="D11" t="s">
        <v>102</v>
      </c>
      <c r="I11" s="101">
        <v>-48140</v>
      </c>
      <c r="J11" s="12"/>
      <c r="K11" s="12"/>
      <c r="L11" s="12"/>
      <c r="M11" s="12">
        <f t="shared" si="0"/>
        <v>-48140</v>
      </c>
    </row>
    <row r="12" spans="1:13">
      <c r="D12" t="s">
        <v>143</v>
      </c>
      <c r="I12" s="110">
        <v>-315744</v>
      </c>
      <c r="J12" s="12">
        <v>212428</v>
      </c>
      <c r="K12" s="12"/>
      <c r="L12" s="12"/>
      <c r="M12" s="12">
        <f t="shared" si="0"/>
        <v>-103316</v>
      </c>
    </row>
    <row r="13" spans="1:13">
      <c r="D13" t="s">
        <v>32</v>
      </c>
      <c r="I13" s="108">
        <v>-65276</v>
      </c>
      <c r="J13" s="12"/>
      <c r="K13" s="12"/>
      <c r="L13" s="12"/>
      <c r="M13" s="12">
        <f t="shared" si="0"/>
        <v>-65276</v>
      </c>
    </row>
    <row r="14" spans="1:13">
      <c r="C14" t="s">
        <v>16</v>
      </c>
      <c r="H14" s="12"/>
      <c r="I14" s="13">
        <v>-637387</v>
      </c>
      <c r="J14" s="12"/>
      <c r="K14" s="12"/>
      <c r="L14" s="12"/>
      <c r="M14" s="12">
        <f t="shared" si="0"/>
        <v>-637387</v>
      </c>
    </row>
    <row r="15" spans="1:13">
      <c r="C15" t="s">
        <v>17</v>
      </c>
      <c r="H15" s="12"/>
      <c r="I15" s="14">
        <v>-2992594</v>
      </c>
      <c r="J15" s="12">
        <v>107136</v>
      </c>
      <c r="K15" s="12">
        <v>11000</v>
      </c>
      <c r="L15" s="12"/>
      <c r="M15" s="12">
        <f t="shared" si="0"/>
        <v>-2874458</v>
      </c>
    </row>
    <row r="16" spans="1:13">
      <c r="C16" t="s">
        <v>343</v>
      </c>
      <c r="H16" s="12"/>
      <c r="I16" s="107">
        <v>-332293</v>
      </c>
      <c r="J16" s="12">
        <v>6535</v>
      </c>
      <c r="K16" s="12"/>
      <c r="L16" s="12"/>
      <c r="M16" s="12">
        <f t="shared" si="0"/>
        <v>-325758</v>
      </c>
    </row>
    <row r="17" spans="1:13">
      <c r="C17" t="s">
        <v>19</v>
      </c>
      <c r="H17" s="12"/>
      <c r="I17" s="15">
        <v>-306302</v>
      </c>
      <c r="J17" s="12"/>
      <c r="K17" s="12"/>
      <c r="L17" s="12"/>
      <c r="M17" s="12">
        <f t="shared" si="0"/>
        <v>-306302</v>
      </c>
    </row>
    <row r="18" spans="1:13">
      <c r="C18" t="s">
        <v>18</v>
      </c>
      <c r="H18" s="12"/>
      <c r="I18" s="102">
        <v>-555888</v>
      </c>
      <c r="J18" s="12"/>
      <c r="K18" s="12"/>
      <c r="L18" s="12"/>
      <c r="M18" s="12">
        <f t="shared" si="0"/>
        <v>-555888</v>
      </c>
    </row>
    <row r="19" spans="1:13">
      <c r="C19" t="s">
        <v>344</v>
      </c>
      <c r="H19" s="12"/>
      <c r="I19" s="17">
        <v>-16994</v>
      </c>
      <c r="J19" s="18"/>
      <c r="K19" s="18"/>
      <c r="L19" s="18"/>
      <c r="M19" s="18">
        <f>SUM(I19:L19)</f>
        <v>-16994</v>
      </c>
    </row>
    <row r="20" spans="1:13">
      <c r="H20" s="12"/>
      <c r="I20" s="12"/>
      <c r="J20" s="12"/>
      <c r="K20" s="12"/>
      <c r="L20" s="12"/>
      <c r="M20" s="12"/>
    </row>
    <row r="21" spans="1:13">
      <c r="E21" s="19" t="s">
        <v>22</v>
      </c>
      <c r="F21" s="19"/>
      <c r="G21" s="19"/>
      <c r="H21" s="20"/>
      <c r="I21" s="20">
        <f>SUM(I9:I19)</f>
        <v>-6127345</v>
      </c>
      <c r="J21" s="91">
        <f>SUM(J9:J19)</f>
        <v>542288</v>
      </c>
      <c r="K21" s="20">
        <f>SUM(K9:K19)</f>
        <v>226983</v>
      </c>
      <c r="L21" s="20">
        <f>SUM(L8:L18)</f>
        <v>0</v>
      </c>
      <c r="M21" s="91">
        <f>SUM(M8:M19)</f>
        <v>-5358074</v>
      </c>
    </row>
    <row r="22" spans="1:13">
      <c r="H22" s="12"/>
      <c r="I22" s="12"/>
      <c r="J22" s="12"/>
      <c r="K22" s="12"/>
      <c r="L22" s="12"/>
      <c r="M22" s="12"/>
    </row>
    <row r="23" spans="1:13">
      <c r="A23" s="8"/>
      <c r="B23" s="8"/>
      <c r="C23" s="8"/>
      <c r="D23" s="8"/>
      <c r="E23" s="8"/>
      <c r="G23" s="8" t="s">
        <v>25</v>
      </c>
      <c r="H23" s="26"/>
      <c r="I23" s="26"/>
      <c r="J23" s="26"/>
      <c r="K23" s="26"/>
      <c r="L23" s="26"/>
      <c r="M23" s="12"/>
    </row>
    <row r="24" spans="1:13">
      <c r="H24" s="12" t="s">
        <v>345</v>
      </c>
      <c r="I24" s="12"/>
      <c r="J24" s="12"/>
      <c r="K24" s="12"/>
      <c r="L24" s="12"/>
      <c r="M24" s="28">
        <v>3953909</v>
      </c>
    </row>
    <row r="25" spans="1:13">
      <c r="H25" s="12" t="s">
        <v>324</v>
      </c>
      <c r="I25" s="12"/>
      <c r="J25" s="12"/>
      <c r="K25" s="12"/>
      <c r="L25" s="12"/>
      <c r="M25" s="105">
        <v>1461135</v>
      </c>
    </row>
    <row r="26" spans="1:13">
      <c r="H26" s="12" t="s">
        <v>346</v>
      </c>
      <c r="I26" s="12"/>
      <c r="J26" s="12"/>
      <c r="K26" s="12"/>
      <c r="L26" s="12"/>
      <c r="M26" s="29">
        <v>97135</v>
      </c>
    </row>
    <row r="27" spans="1:13">
      <c r="H27" s="12" t="s">
        <v>347</v>
      </c>
      <c r="I27" s="12"/>
      <c r="J27" s="12"/>
      <c r="K27" s="12"/>
      <c r="L27" s="12"/>
      <c r="M27" s="12"/>
    </row>
    <row r="28" spans="1:13">
      <c r="H28" s="12"/>
      <c r="I28" s="12" t="s">
        <v>202</v>
      </c>
      <c r="J28" s="12"/>
      <c r="K28" s="12"/>
      <c r="L28" s="12"/>
      <c r="M28" s="29">
        <v>-2750</v>
      </c>
    </row>
    <row r="29" spans="1:13">
      <c r="H29" s="12"/>
      <c r="I29" s="12"/>
      <c r="J29" s="12"/>
      <c r="K29" s="12"/>
      <c r="L29" s="12"/>
      <c r="M29" s="12"/>
    </row>
    <row r="30" spans="1:13">
      <c r="H30" s="20" t="s">
        <v>338</v>
      </c>
      <c r="I30" s="20"/>
      <c r="J30" s="20"/>
      <c r="K30" s="20"/>
      <c r="L30" s="20"/>
      <c r="M30" s="20">
        <f>SUM(M24:M28)</f>
        <v>5509429</v>
      </c>
    </row>
    <row r="31" spans="1:13">
      <c r="H31" s="12"/>
      <c r="I31" s="12"/>
      <c r="J31" s="12"/>
      <c r="K31" s="12"/>
      <c r="L31" s="12"/>
      <c r="M31" s="12"/>
    </row>
    <row r="32" spans="1:13">
      <c r="H32" s="20" t="s">
        <v>339</v>
      </c>
      <c r="I32" s="20"/>
      <c r="J32" s="20"/>
      <c r="K32" s="20"/>
      <c r="L32" s="20"/>
      <c r="M32" s="20">
        <f>M21+M30</f>
        <v>151355</v>
      </c>
    </row>
    <row r="33" spans="5:13">
      <c r="H33" s="26"/>
      <c r="I33" s="26"/>
      <c r="J33" s="26"/>
      <c r="K33" s="26"/>
      <c r="L33" s="26"/>
      <c r="M33" s="26"/>
    </row>
    <row r="34" spans="5:13">
      <c r="E34" s="31" t="s">
        <v>340</v>
      </c>
      <c r="F34" s="31"/>
      <c r="G34" s="31"/>
      <c r="H34" s="32"/>
      <c r="I34" s="32"/>
      <c r="J34" s="32"/>
      <c r="K34" s="32"/>
      <c r="L34" s="32"/>
      <c r="M34" s="33">
        <v>15684370</v>
      </c>
    </row>
    <row r="35" spans="5:13">
      <c r="H35" s="12"/>
      <c r="I35" s="12"/>
      <c r="J35" s="12"/>
      <c r="K35" s="12"/>
      <c r="L35" s="12"/>
      <c r="M35" s="12"/>
    </row>
    <row r="36" spans="5:13">
      <c r="H36" s="94" t="s">
        <v>42</v>
      </c>
      <c r="I36" s="94"/>
      <c r="J36" s="94"/>
      <c r="K36" s="94"/>
      <c r="L36" s="94"/>
      <c r="M36" s="94">
        <v>35287</v>
      </c>
    </row>
    <row r="37" spans="5:13">
      <c r="H37" s="12"/>
      <c r="I37" s="12"/>
      <c r="J37" s="12"/>
      <c r="K37" s="12"/>
      <c r="L37" s="12"/>
      <c r="M37" s="12"/>
    </row>
    <row r="38" spans="5:13">
      <c r="E38" s="34" t="s">
        <v>341</v>
      </c>
      <c r="F38" s="34"/>
      <c r="G38" s="34"/>
      <c r="H38" s="35"/>
      <c r="I38" s="35"/>
      <c r="J38" s="35"/>
      <c r="K38" s="35"/>
      <c r="L38" s="92"/>
      <c r="M38" s="92">
        <f>SUM(M32:M36)</f>
        <v>15871012</v>
      </c>
    </row>
    <row r="45" spans="5:13">
      <c r="K45" s="9"/>
      <c r="L45" s="9"/>
      <c r="M45" s="9"/>
    </row>
  </sheetData>
  <mergeCells count="3">
    <mergeCell ref="J1:M1"/>
    <mergeCell ref="J2:M2"/>
    <mergeCell ref="J5:L5"/>
  </mergeCell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39"/>
  <sheetViews>
    <sheetView workbookViewId="0">
      <selection activeCell="M31" sqref="M31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</cols>
  <sheetData>
    <row r="1" spans="1:13" ht="31.5" customHeight="1">
      <c r="J1" s="258" t="s">
        <v>348</v>
      </c>
      <c r="K1" s="258"/>
      <c r="L1" s="258"/>
      <c r="M1" s="258"/>
    </row>
    <row r="2" spans="1:13" ht="18">
      <c r="J2" s="259" t="s">
        <v>1</v>
      </c>
      <c r="K2" s="259"/>
      <c r="L2" s="259"/>
      <c r="M2" s="259"/>
    </row>
    <row r="3" spans="1:13" ht="15.75">
      <c r="E3" s="3"/>
      <c r="F3" s="3"/>
      <c r="G3" s="3"/>
      <c r="H3" s="3"/>
      <c r="I3" s="3"/>
      <c r="J3" s="3"/>
      <c r="K3" s="3"/>
      <c r="L3" s="3"/>
    </row>
    <row r="4" spans="1:13" ht="18">
      <c r="E4" s="2"/>
      <c r="M4" s="173"/>
    </row>
    <row r="5" spans="1:13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174"/>
    </row>
    <row r="6" spans="1:13" ht="42.7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113" t="s">
        <v>97</v>
      </c>
    </row>
    <row r="7" spans="1:13">
      <c r="A7" s="8" t="s">
        <v>13</v>
      </c>
      <c r="I7" s="9"/>
      <c r="J7" s="9"/>
      <c r="K7" s="9"/>
      <c r="L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C9" t="s">
        <v>15</v>
      </c>
      <c r="H9" s="12"/>
      <c r="I9" s="11">
        <v>-1498566</v>
      </c>
      <c r="J9" s="12"/>
      <c r="K9" s="12">
        <v>818386</v>
      </c>
      <c r="L9" s="12"/>
      <c r="M9" s="12">
        <f>SUM(I9:L9)</f>
        <v>-680180</v>
      </c>
    </row>
    <row r="10" spans="1:13">
      <c r="C10" t="s">
        <v>16</v>
      </c>
      <c r="H10" s="12"/>
      <c r="I10" s="13">
        <v>-1903709</v>
      </c>
      <c r="J10" s="12">
        <v>111972</v>
      </c>
      <c r="K10" s="12">
        <v>429027</v>
      </c>
      <c r="L10" s="12"/>
      <c r="M10" s="12">
        <f t="shared" ref="M10:M14" si="0">SUM(I10:L10)</f>
        <v>-1362710</v>
      </c>
    </row>
    <row r="11" spans="1:13">
      <c r="C11" t="s">
        <v>17</v>
      </c>
      <c r="H11" s="12"/>
      <c r="I11" s="14">
        <v>-4637270</v>
      </c>
      <c r="J11" s="12">
        <v>33280</v>
      </c>
      <c r="K11" s="12">
        <v>2596474</v>
      </c>
      <c r="L11" s="12">
        <v>1209234</v>
      </c>
      <c r="M11" s="12">
        <f t="shared" si="0"/>
        <v>-798282</v>
      </c>
    </row>
    <row r="12" spans="1:13">
      <c r="C12" t="s">
        <v>19</v>
      </c>
      <c r="H12" s="12"/>
      <c r="I12" s="15">
        <v>-4159270</v>
      </c>
      <c r="J12" s="12"/>
      <c r="K12" s="12">
        <v>3418136</v>
      </c>
      <c r="L12" s="12"/>
      <c r="M12" s="12">
        <f t="shared" si="0"/>
        <v>-741134</v>
      </c>
    </row>
    <row r="13" spans="1:13">
      <c r="C13" t="s">
        <v>349</v>
      </c>
      <c r="H13" s="12"/>
      <c r="I13" s="16">
        <v>-1787106</v>
      </c>
      <c r="J13" s="12">
        <v>20482</v>
      </c>
      <c r="K13" s="12">
        <v>1507</v>
      </c>
      <c r="L13" s="12"/>
      <c r="M13" s="12">
        <f t="shared" si="0"/>
        <v>-1765117</v>
      </c>
    </row>
    <row r="14" spans="1:13">
      <c r="C14" t="s">
        <v>71</v>
      </c>
      <c r="H14" s="12"/>
      <c r="I14" s="103">
        <v>-167767</v>
      </c>
      <c r="J14" s="18"/>
      <c r="K14" s="18"/>
      <c r="L14" s="18"/>
      <c r="M14" s="18">
        <f t="shared" si="0"/>
        <v>-167767</v>
      </c>
    </row>
    <row r="15" spans="1:13">
      <c r="H15" s="12"/>
      <c r="I15" s="12"/>
      <c r="J15" s="12"/>
      <c r="K15" s="12"/>
      <c r="L15" s="12"/>
      <c r="M15" s="12"/>
    </row>
    <row r="16" spans="1:13">
      <c r="E16" s="19" t="s">
        <v>22</v>
      </c>
      <c r="F16" s="19"/>
      <c r="G16" s="19"/>
      <c r="H16" s="20"/>
      <c r="I16" s="20">
        <f>SUM(I9:I14)</f>
        <v>-14153688</v>
      </c>
      <c r="J16" s="20">
        <f>SUM(J9:J14)</f>
        <v>165734</v>
      </c>
      <c r="K16" s="20">
        <f>SUM(K9:K14)</f>
        <v>7263530</v>
      </c>
      <c r="L16" s="20">
        <f>SUM(L9:L14)</f>
        <v>1209234</v>
      </c>
      <c r="M16" s="91">
        <f>SUM(M9:M14)</f>
        <v>-5515190</v>
      </c>
    </row>
    <row r="17" spans="1:13">
      <c r="H17" s="12"/>
      <c r="I17" s="12"/>
      <c r="J17" s="12"/>
      <c r="K17" s="12"/>
      <c r="L17" s="12"/>
      <c r="M17" s="12"/>
    </row>
    <row r="18" spans="1:13">
      <c r="A18" s="8"/>
      <c r="B18" s="8"/>
      <c r="C18" s="8"/>
      <c r="D18" s="8"/>
      <c r="E18" s="8"/>
      <c r="G18" s="8" t="s">
        <v>25</v>
      </c>
      <c r="H18" s="26"/>
      <c r="I18" s="26"/>
      <c r="J18" s="26"/>
      <c r="K18" s="26"/>
      <c r="L18" s="26"/>
      <c r="M18" s="12"/>
    </row>
    <row r="19" spans="1:13">
      <c r="A19" s="8"/>
      <c r="B19" s="8"/>
      <c r="C19" s="8"/>
      <c r="D19" s="8"/>
      <c r="E19" s="8"/>
      <c r="G19" s="8"/>
      <c r="H19" s="88" t="s">
        <v>26</v>
      </c>
      <c r="I19" s="26"/>
      <c r="J19" s="26"/>
      <c r="K19" s="26"/>
      <c r="L19" s="26"/>
      <c r="M19" s="12"/>
    </row>
    <row r="20" spans="1:13">
      <c r="H20" s="12"/>
      <c r="I20" s="12" t="s">
        <v>73</v>
      </c>
      <c r="J20" s="12"/>
      <c r="K20" s="12"/>
      <c r="L20" s="12"/>
      <c r="M20" s="28">
        <v>6099757</v>
      </c>
    </row>
    <row r="21" spans="1:13">
      <c r="H21" s="12"/>
      <c r="I21" s="12" t="s">
        <v>74</v>
      </c>
      <c r="J21" s="12"/>
      <c r="K21" s="12"/>
      <c r="L21" s="12"/>
      <c r="M21" s="14">
        <v>2242971</v>
      </c>
    </row>
    <row r="22" spans="1:13">
      <c r="H22" s="12" t="s">
        <v>137</v>
      </c>
      <c r="I22" s="12"/>
      <c r="J22" s="12"/>
      <c r="K22" s="12"/>
      <c r="L22" s="12"/>
      <c r="M22" s="29">
        <v>416868</v>
      </c>
    </row>
    <row r="23" spans="1:13">
      <c r="H23" s="12" t="s">
        <v>350</v>
      </c>
      <c r="I23" s="12"/>
      <c r="J23" s="12"/>
      <c r="K23" s="12"/>
      <c r="L23" s="12"/>
      <c r="M23" s="29">
        <v>9491</v>
      </c>
    </row>
    <row r="24" spans="1:13">
      <c r="H24" s="12" t="s">
        <v>36</v>
      </c>
      <c r="I24" s="12"/>
      <c r="J24" s="12"/>
      <c r="K24" s="12"/>
      <c r="L24" s="12"/>
      <c r="M24" s="29">
        <v>120933</v>
      </c>
    </row>
    <row r="25" spans="1:13">
      <c r="H25" s="12"/>
      <c r="I25" s="12"/>
      <c r="J25" s="12"/>
      <c r="K25" s="12"/>
      <c r="L25" s="12"/>
      <c r="M25" s="12"/>
    </row>
    <row r="26" spans="1:13">
      <c r="H26" s="20" t="s">
        <v>38</v>
      </c>
      <c r="I26" s="20"/>
      <c r="J26" s="20"/>
      <c r="K26" s="20"/>
      <c r="L26" s="20"/>
      <c r="M26" s="20">
        <f>SUM(M20:M24)</f>
        <v>8890020</v>
      </c>
    </row>
    <row r="27" spans="1:13">
      <c r="H27" s="12"/>
      <c r="I27" s="12"/>
      <c r="J27" s="12"/>
      <c r="K27" s="12"/>
      <c r="L27" s="12"/>
      <c r="M27" s="12"/>
    </row>
    <row r="28" spans="1:13">
      <c r="H28" s="20" t="s">
        <v>39</v>
      </c>
      <c r="I28" s="20"/>
      <c r="J28" s="20"/>
      <c r="K28" s="20"/>
      <c r="L28" s="20"/>
      <c r="M28" s="20">
        <f>SUM(M16,M26)</f>
        <v>3374830</v>
      </c>
    </row>
    <row r="29" spans="1:13">
      <c r="H29" s="26"/>
      <c r="I29" s="26"/>
      <c r="J29" s="26"/>
      <c r="K29" s="26"/>
      <c r="L29" s="26"/>
      <c r="M29" s="26"/>
    </row>
    <row r="30" spans="1:13">
      <c r="E30" s="31" t="s">
        <v>67</v>
      </c>
      <c r="F30" s="31"/>
      <c r="G30" s="31"/>
      <c r="H30" s="32"/>
      <c r="I30" s="32"/>
      <c r="J30" s="32"/>
      <c r="K30" s="32"/>
      <c r="L30" s="32"/>
      <c r="M30" s="33">
        <v>18514828</v>
      </c>
    </row>
    <row r="31" spans="1:13">
      <c r="H31" s="12"/>
      <c r="I31" s="12"/>
      <c r="J31" s="12"/>
      <c r="K31" s="12"/>
      <c r="L31" s="12"/>
      <c r="M31" s="12"/>
    </row>
    <row r="32" spans="1:13">
      <c r="E32" s="34" t="s">
        <v>44</v>
      </c>
      <c r="F32" s="34"/>
      <c r="G32" s="34"/>
      <c r="H32" s="35"/>
      <c r="I32" s="35"/>
      <c r="J32" s="35"/>
      <c r="K32" s="35"/>
      <c r="L32" s="35"/>
      <c r="M32" s="92">
        <f>SUM(M28,M30)</f>
        <v>21889658</v>
      </c>
    </row>
    <row r="39" spans="11:13">
      <c r="K39" s="9"/>
      <c r="L39" s="9"/>
      <c r="M39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60"/>
  <sheetViews>
    <sheetView topLeftCell="A5" workbookViewId="0">
      <selection activeCell="J3" sqref="J3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4.42578125" customWidth="1"/>
  </cols>
  <sheetData>
    <row r="1" spans="1:14" ht="30" customHeight="1">
      <c r="J1" s="258" t="s">
        <v>351</v>
      </c>
      <c r="K1" s="258"/>
      <c r="L1" s="258"/>
      <c r="M1" s="258"/>
    </row>
    <row r="2" spans="1:14" ht="21.75" customHeight="1">
      <c r="J2" s="259" t="s">
        <v>1</v>
      </c>
      <c r="K2" s="259"/>
      <c r="L2" s="259"/>
      <c r="M2" s="259"/>
    </row>
    <row r="3" spans="1:14" ht="21.75" customHeight="1">
      <c r="J3" s="171"/>
      <c r="K3" s="116" t="s">
        <v>288</v>
      </c>
      <c r="L3" s="171"/>
      <c r="M3" s="171"/>
    </row>
    <row r="4" spans="1:14" ht="18.75" customHeight="1">
      <c r="E4" s="3"/>
      <c r="F4" s="3"/>
      <c r="G4" s="3"/>
      <c r="H4" s="3"/>
      <c r="I4" s="3"/>
      <c r="J4" s="3"/>
      <c r="K4" s="3"/>
      <c r="L4" s="3"/>
    </row>
    <row r="5" spans="1:14" ht="30.75" customHeight="1">
      <c r="E5" s="2"/>
      <c r="M5" s="260" t="s">
        <v>2</v>
      </c>
      <c r="N5" s="260"/>
    </row>
    <row r="6" spans="1:14" ht="15" customHeight="1">
      <c r="A6" t="s">
        <v>3</v>
      </c>
      <c r="C6" s="4"/>
      <c r="D6" s="4"/>
      <c r="E6" s="4"/>
      <c r="F6" s="4"/>
      <c r="G6" s="4"/>
      <c r="H6" s="4"/>
      <c r="I6" s="4"/>
      <c r="J6" s="260" t="s">
        <v>4</v>
      </c>
      <c r="K6" s="260"/>
      <c r="L6" s="260"/>
      <c r="M6" s="174" t="s">
        <v>5</v>
      </c>
      <c r="N6" s="112"/>
    </row>
    <row r="7" spans="1:14" ht="44.25" customHeight="1">
      <c r="A7" s="5" t="s">
        <v>6</v>
      </c>
      <c r="I7" s="6" t="s">
        <v>7</v>
      </c>
      <c r="J7" s="6" t="s">
        <v>8</v>
      </c>
      <c r="K7" s="6" t="s">
        <v>9</v>
      </c>
      <c r="L7" s="6" t="s">
        <v>10</v>
      </c>
      <c r="M7" s="6" t="s">
        <v>48</v>
      </c>
      <c r="N7" s="90" t="s">
        <v>12</v>
      </c>
    </row>
    <row r="8" spans="1:14" ht="30.75" customHeight="1">
      <c r="A8" s="8" t="s">
        <v>13</v>
      </c>
      <c r="I8" s="9"/>
      <c r="J8" s="9"/>
      <c r="K8" s="9"/>
      <c r="L8" s="9"/>
    </row>
    <row r="9" spans="1:14">
      <c r="B9" s="10" t="s">
        <v>14</v>
      </c>
      <c r="I9" s="9"/>
      <c r="J9" s="9"/>
      <c r="K9" s="9"/>
      <c r="L9" s="9"/>
      <c r="M9" s="9"/>
    </row>
    <row r="10" spans="1:14">
      <c r="C10" t="s">
        <v>15</v>
      </c>
      <c r="H10" s="12"/>
      <c r="I10" s="11">
        <v>-247292000</v>
      </c>
      <c r="J10" s="12">
        <v>70692000</v>
      </c>
      <c r="K10" s="12">
        <v>71383000</v>
      </c>
      <c r="L10" s="12">
        <v>31659000</v>
      </c>
      <c r="M10" s="12">
        <f t="shared" ref="M10:M17" si="0">SUM(I10:L10)</f>
        <v>-73558000</v>
      </c>
    </row>
    <row r="11" spans="1:14">
      <c r="C11" t="s">
        <v>16</v>
      </c>
      <c r="H11" s="12"/>
      <c r="I11" s="13">
        <v>-230231000</v>
      </c>
      <c r="J11" s="12">
        <v>22331000</v>
      </c>
      <c r="K11" s="12">
        <v>15605000</v>
      </c>
      <c r="L11" s="12">
        <v>5137000</v>
      </c>
      <c r="M11" s="12">
        <f t="shared" si="0"/>
        <v>-187158000</v>
      </c>
    </row>
    <row r="12" spans="1:14">
      <c r="C12" t="s">
        <v>17</v>
      </c>
      <c r="H12" s="12"/>
      <c r="I12" s="14">
        <v>-124449000</v>
      </c>
      <c r="J12" s="12">
        <v>37015000</v>
      </c>
      <c r="K12" s="12">
        <v>3331000</v>
      </c>
      <c r="L12" s="12">
        <v>84113000</v>
      </c>
      <c r="M12" s="12">
        <f t="shared" si="0"/>
        <v>10000</v>
      </c>
    </row>
    <row r="13" spans="1:14">
      <c r="C13" t="s">
        <v>267</v>
      </c>
      <c r="H13" s="12"/>
      <c r="I13" s="15">
        <v>-27981000</v>
      </c>
      <c r="J13" s="12">
        <v>8003000</v>
      </c>
      <c r="K13" s="12">
        <v>15510000</v>
      </c>
      <c r="L13" s="12">
        <v>12412000</v>
      </c>
      <c r="M13" s="12">
        <f>SUM(I13:L13)</f>
        <v>7944000</v>
      </c>
    </row>
    <row r="14" spans="1:14">
      <c r="C14" t="s">
        <v>20</v>
      </c>
      <c r="H14" s="12"/>
      <c r="I14" s="16">
        <v>-23403000</v>
      </c>
      <c r="J14" s="12">
        <v>814000</v>
      </c>
      <c r="K14" s="12">
        <v>4127000</v>
      </c>
      <c r="L14" s="12">
        <v>8329000</v>
      </c>
      <c r="M14" s="12">
        <f>SUM(I14:L14)</f>
        <v>-10133000</v>
      </c>
    </row>
    <row r="15" spans="1:14">
      <c r="C15" t="s">
        <v>352</v>
      </c>
      <c r="H15" s="12"/>
      <c r="I15" s="107">
        <v>-23891000</v>
      </c>
      <c r="J15" s="12">
        <v>1735000</v>
      </c>
      <c r="K15" s="12">
        <v>24179000</v>
      </c>
      <c r="L15" s="12"/>
      <c r="M15" s="12">
        <f t="shared" si="0"/>
        <v>2023000</v>
      </c>
    </row>
    <row r="16" spans="1:14">
      <c r="C16" t="s">
        <v>71</v>
      </c>
      <c r="H16" s="12"/>
      <c r="I16" s="102">
        <v>-12731000</v>
      </c>
      <c r="J16" s="12"/>
      <c r="K16" s="12">
        <v>5442000</v>
      </c>
      <c r="L16" s="12"/>
      <c r="M16" s="12">
        <f>SUM(I16:L16)</f>
        <v>-7289000</v>
      </c>
    </row>
    <row r="17" spans="1:14">
      <c r="C17" t="s">
        <v>321</v>
      </c>
      <c r="H17" s="12"/>
      <c r="I17" s="98">
        <v>-59487000</v>
      </c>
      <c r="J17" s="12"/>
      <c r="K17" s="12"/>
      <c r="L17" s="12"/>
      <c r="M17" s="12">
        <f t="shared" si="0"/>
        <v>-59487000</v>
      </c>
    </row>
    <row r="18" spans="1:14">
      <c r="H18" s="12"/>
      <c r="I18" s="12"/>
      <c r="J18" s="12"/>
      <c r="K18" s="12"/>
      <c r="L18" s="12"/>
      <c r="M18" s="12"/>
    </row>
    <row r="19" spans="1:14">
      <c r="E19" s="19" t="s">
        <v>22</v>
      </c>
      <c r="F19" s="19"/>
      <c r="G19" s="19"/>
      <c r="H19" s="20"/>
      <c r="I19" s="20">
        <f t="shared" ref="I19:N19" si="1">SUM(I10:I17)</f>
        <v>-749465000</v>
      </c>
      <c r="J19" s="20">
        <f t="shared" si="1"/>
        <v>140590000</v>
      </c>
      <c r="K19" s="20">
        <f t="shared" si="1"/>
        <v>139577000</v>
      </c>
      <c r="L19" s="20">
        <f t="shared" si="1"/>
        <v>141650000</v>
      </c>
      <c r="M19" s="91">
        <f t="shared" si="1"/>
        <v>-327648000</v>
      </c>
      <c r="N19" s="93">
        <f t="shared" si="1"/>
        <v>0</v>
      </c>
    </row>
    <row r="20" spans="1:14">
      <c r="E20" s="8"/>
      <c r="F20" s="8"/>
      <c r="G20" s="8"/>
      <c r="H20" s="26"/>
      <c r="I20" s="26"/>
      <c r="J20" s="26"/>
      <c r="K20" s="26"/>
      <c r="L20" s="26"/>
      <c r="M20" s="26"/>
    </row>
    <row r="21" spans="1:14">
      <c r="A21" s="10" t="s">
        <v>23</v>
      </c>
      <c r="H21" s="12"/>
      <c r="I21" s="12"/>
      <c r="J21" s="12"/>
      <c r="K21" s="12"/>
      <c r="L21" s="12"/>
      <c r="M21" s="12"/>
    </row>
    <row r="22" spans="1:14">
      <c r="B22" t="s">
        <v>353</v>
      </c>
      <c r="H22" s="12"/>
      <c r="I22" s="12">
        <v>-59061000</v>
      </c>
      <c r="J22" s="12">
        <v>38829000</v>
      </c>
      <c r="K22" s="12"/>
      <c r="L22" s="12">
        <v>11273000</v>
      </c>
      <c r="M22" s="12"/>
      <c r="N22" s="12">
        <f>SUM(I22:M22)</f>
        <v>-8959000</v>
      </c>
    </row>
    <row r="23" spans="1:14">
      <c r="B23" t="s">
        <v>354</v>
      </c>
      <c r="H23" s="12"/>
      <c r="I23" s="12">
        <v>-107820000</v>
      </c>
      <c r="J23" s="12">
        <v>73485000</v>
      </c>
      <c r="K23" s="12"/>
      <c r="L23" s="12">
        <v>9187000</v>
      </c>
      <c r="M23" s="12"/>
      <c r="N23" s="12">
        <f>SUM(I23:L23)</f>
        <v>-25148000</v>
      </c>
    </row>
    <row r="24" spans="1:14">
      <c r="B24" t="s">
        <v>355</v>
      </c>
      <c r="H24" s="12"/>
      <c r="I24" s="12">
        <v>-188712000</v>
      </c>
      <c r="J24" s="12">
        <v>143577000</v>
      </c>
      <c r="K24" s="12">
        <v>2054000</v>
      </c>
      <c r="L24" s="12">
        <v>114318000</v>
      </c>
      <c r="M24" s="12"/>
      <c r="N24" s="12">
        <f>SUM(I24:L24)</f>
        <v>71237000</v>
      </c>
    </row>
    <row r="25" spans="1:14">
      <c r="B25" t="s">
        <v>356</v>
      </c>
      <c r="H25" s="12"/>
      <c r="I25" s="12">
        <v>-55926000</v>
      </c>
      <c r="J25" s="12">
        <v>35339000</v>
      </c>
      <c r="K25" s="12">
        <v>5259000</v>
      </c>
      <c r="L25" s="12">
        <v>10672000</v>
      </c>
      <c r="M25" s="12"/>
      <c r="N25" s="12">
        <f>SUM(I25:L25)</f>
        <v>-4656000</v>
      </c>
    </row>
    <row r="26" spans="1:14">
      <c r="H26" s="12"/>
      <c r="I26" s="12"/>
      <c r="J26" s="12"/>
      <c r="K26" s="12"/>
      <c r="L26" s="12"/>
      <c r="M26" s="12"/>
    </row>
    <row r="27" spans="1:14">
      <c r="E27" s="19" t="s">
        <v>92</v>
      </c>
      <c r="F27" s="19"/>
      <c r="G27" s="19"/>
      <c r="H27" s="20"/>
      <c r="I27" s="20">
        <f t="shared" ref="I27:N27" si="2">SUM(I22:I25)</f>
        <v>-411519000</v>
      </c>
      <c r="J27" s="20">
        <f t="shared" si="2"/>
        <v>291230000</v>
      </c>
      <c r="K27" s="20">
        <f t="shared" si="2"/>
        <v>7313000</v>
      </c>
      <c r="L27" s="20">
        <f t="shared" si="2"/>
        <v>145450000</v>
      </c>
      <c r="M27" s="91">
        <f t="shared" si="2"/>
        <v>0</v>
      </c>
      <c r="N27" s="94">
        <f t="shared" si="2"/>
        <v>32474000</v>
      </c>
    </row>
    <row r="28" spans="1:14">
      <c r="H28" s="12"/>
      <c r="I28" s="12"/>
      <c r="J28" s="12"/>
      <c r="K28" s="12"/>
      <c r="L28" s="12"/>
      <c r="M28" s="12"/>
    </row>
    <row r="29" spans="1:14">
      <c r="A29" s="8"/>
      <c r="B29" s="8"/>
      <c r="C29" s="8"/>
      <c r="D29" s="8"/>
      <c r="E29" s="8"/>
      <c r="G29" s="8" t="s">
        <v>25</v>
      </c>
      <c r="H29" s="26"/>
      <c r="I29" s="26"/>
      <c r="J29" s="26"/>
      <c r="K29" s="26"/>
      <c r="L29" s="26"/>
      <c r="M29" s="12"/>
    </row>
    <row r="30" spans="1:14">
      <c r="A30" s="8"/>
      <c r="B30" s="8"/>
      <c r="C30" s="8"/>
      <c r="D30" s="8"/>
      <c r="E30" s="8"/>
      <c r="G30" s="8"/>
      <c r="H30" s="88" t="s">
        <v>26</v>
      </c>
      <c r="I30" s="26"/>
      <c r="J30" s="26"/>
      <c r="K30" s="26"/>
      <c r="L30" s="26"/>
      <c r="M30" s="12"/>
    </row>
    <row r="31" spans="1:14">
      <c r="H31" s="12"/>
      <c r="I31" s="12" t="s">
        <v>201</v>
      </c>
      <c r="J31" s="12"/>
      <c r="K31" s="12"/>
      <c r="L31" s="12"/>
      <c r="M31" s="28">
        <v>204335000</v>
      </c>
      <c r="N31" s="12">
        <v>67017000</v>
      </c>
    </row>
    <row r="32" spans="1:14">
      <c r="H32" s="12"/>
      <c r="I32" s="12" t="s">
        <v>128</v>
      </c>
      <c r="J32" s="12"/>
      <c r="K32" s="12"/>
      <c r="L32" s="12"/>
      <c r="M32" s="14">
        <v>176465000</v>
      </c>
      <c r="N32" s="12"/>
    </row>
    <row r="33" spans="8:14">
      <c r="H33" s="12"/>
      <c r="I33" s="12" t="s">
        <v>357</v>
      </c>
      <c r="J33" s="12"/>
      <c r="K33" s="12"/>
      <c r="L33" s="12"/>
      <c r="M33" s="15">
        <v>10337000</v>
      </c>
      <c r="N33" s="12"/>
    </row>
    <row r="34" spans="8:14">
      <c r="H34" s="12"/>
      <c r="I34" s="12" t="s">
        <v>358</v>
      </c>
      <c r="J34" s="12"/>
      <c r="K34" s="12"/>
      <c r="L34" s="12"/>
      <c r="M34" s="15">
        <v>1781000</v>
      </c>
      <c r="N34" s="12"/>
    </row>
    <row r="35" spans="8:14">
      <c r="H35" s="12"/>
      <c r="I35" s="12" t="s">
        <v>359</v>
      </c>
      <c r="J35" s="12"/>
      <c r="K35" s="12"/>
      <c r="L35" s="12"/>
      <c r="M35" s="15">
        <v>3940000</v>
      </c>
      <c r="N35" s="12"/>
    </row>
    <row r="36" spans="8:14">
      <c r="H36" s="12"/>
      <c r="I36" s="12" t="s">
        <v>246</v>
      </c>
      <c r="J36" s="12"/>
      <c r="K36" s="12"/>
      <c r="L36" s="12"/>
      <c r="M36" s="14">
        <v>35239000</v>
      </c>
    </row>
    <row r="37" spans="8:14">
      <c r="H37" s="12"/>
      <c r="I37" s="12" t="s">
        <v>360</v>
      </c>
      <c r="J37" s="12"/>
      <c r="K37" s="12"/>
      <c r="L37" s="12"/>
      <c r="M37" s="15">
        <v>5837000</v>
      </c>
    </row>
    <row r="38" spans="8:14">
      <c r="H38" s="12" t="s">
        <v>361</v>
      </c>
      <c r="I38" s="12"/>
      <c r="J38" s="12"/>
      <c r="K38" s="12"/>
      <c r="L38" s="12"/>
      <c r="M38" s="11">
        <v>15231000</v>
      </c>
      <c r="N38">
        <v>777000</v>
      </c>
    </row>
    <row r="39" spans="8:14">
      <c r="H39" s="12" t="s">
        <v>362</v>
      </c>
      <c r="I39" s="12"/>
      <c r="J39" s="12"/>
      <c r="K39" s="12"/>
      <c r="L39" s="12"/>
      <c r="M39" s="12"/>
      <c r="N39" s="9">
        <v>30152000</v>
      </c>
    </row>
    <row r="40" spans="8:14">
      <c r="H40" s="12" t="s">
        <v>363</v>
      </c>
      <c r="I40" s="12"/>
      <c r="J40" s="12"/>
      <c r="K40" s="12"/>
      <c r="L40" s="12"/>
      <c r="M40" s="29">
        <v>1027000</v>
      </c>
      <c r="N40" s="9">
        <v>30061000</v>
      </c>
    </row>
    <row r="41" spans="8:14">
      <c r="H41" s="12" t="s">
        <v>36</v>
      </c>
      <c r="I41" s="12"/>
      <c r="J41" s="12"/>
      <c r="K41" s="12"/>
      <c r="L41" s="12"/>
      <c r="M41" s="29">
        <v>29189000</v>
      </c>
      <c r="N41" s="9">
        <v>17776000</v>
      </c>
    </row>
    <row r="42" spans="8:14">
      <c r="H42" s="12"/>
      <c r="I42" s="12"/>
      <c r="J42" s="12"/>
      <c r="K42" s="12"/>
      <c r="L42" s="12"/>
      <c r="M42" s="12"/>
    </row>
    <row r="43" spans="8:14">
      <c r="H43" s="20" t="s">
        <v>38</v>
      </c>
      <c r="I43" s="20"/>
      <c r="J43" s="20"/>
      <c r="K43" s="20"/>
      <c r="L43" s="20"/>
      <c r="M43" s="20">
        <f>SUM(M31:M41)</f>
        <v>483381000</v>
      </c>
      <c r="N43" s="94">
        <f>SUM(N31:N41)</f>
        <v>145783000</v>
      </c>
    </row>
    <row r="44" spans="8:14">
      <c r="H44" s="12"/>
      <c r="I44" s="12"/>
      <c r="J44" s="12"/>
      <c r="K44" s="12"/>
      <c r="L44" s="12"/>
      <c r="M44" s="12"/>
    </row>
    <row r="45" spans="8:14">
      <c r="H45" s="20" t="s">
        <v>39</v>
      </c>
      <c r="I45" s="20"/>
      <c r="J45" s="20"/>
      <c r="K45" s="20"/>
      <c r="L45" s="20"/>
      <c r="M45" s="20">
        <f>M43+M19</f>
        <v>155733000</v>
      </c>
      <c r="N45" s="94">
        <f>N43+N27</f>
        <v>178257000</v>
      </c>
    </row>
    <row r="46" spans="8:14">
      <c r="H46" s="26"/>
      <c r="I46" s="26"/>
      <c r="J46" s="26"/>
      <c r="K46" s="26"/>
      <c r="L46" s="26"/>
      <c r="M46" s="26"/>
    </row>
    <row r="47" spans="8:14">
      <c r="H47" s="91" t="s">
        <v>364</v>
      </c>
      <c r="I47" s="91"/>
      <c r="J47" s="91"/>
      <c r="K47" s="91"/>
      <c r="L47" s="91"/>
      <c r="M47" s="91">
        <v>38619000</v>
      </c>
      <c r="N47" s="93">
        <v>2211665000</v>
      </c>
    </row>
    <row r="48" spans="8:14">
      <c r="H48" s="26"/>
      <c r="I48" s="26"/>
      <c r="J48" s="26"/>
      <c r="K48" s="26"/>
      <c r="L48" s="26"/>
      <c r="M48" s="26"/>
    </row>
    <row r="49" spans="5:14">
      <c r="H49" s="91" t="s">
        <v>365</v>
      </c>
      <c r="I49" s="91"/>
      <c r="J49" s="91"/>
      <c r="K49" s="91"/>
      <c r="L49" s="91"/>
      <c r="M49" s="91">
        <v>-9550000</v>
      </c>
      <c r="N49" s="93">
        <v>54819000</v>
      </c>
    </row>
    <row r="50" spans="5:14">
      <c r="H50" s="26"/>
      <c r="I50" s="26"/>
      <c r="J50" s="26"/>
      <c r="K50" s="26"/>
      <c r="L50" s="26"/>
      <c r="M50" s="26"/>
    </row>
    <row r="51" spans="5:14">
      <c r="E51" s="31" t="s">
        <v>273</v>
      </c>
      <c r="F51" s="31"/>
      <c r="G51" s="31"/>
      <c r="H51" s="32"/>
      <c r="I51" s="32"/>
      <c r="J51" s="32"/>
      <c r="K51" s="32"/>
      <c r="L51" s="32"/>
      <c r="M51" s="33">
        <v>29069000</v>
      </c>
      <c r="N51" s="95">
        <v>2266484000</v>
      </c>
    </row>
    <row r="52" spans="5:14">
      <c r="H52" s="12"/>
      <c r="I52" s="12"/>
      <c r="J52" s="12"/>
      <c r="K52" s="12"/>
      <c r="L52" s="12"/>
      <c r="M52" s="12"/>
    </row>
    <row r="53" spans="5:14">
      <c r="E53" s="34" t="s">
        <v>44</v>
      </c>
      <c r="F53" s="34"/>
      <c r="G53" s="34"/>
      <c r="H53" s="35"/>
      <c r="I53" s="35"/>
      <c r="J53" s="35"/>
      <c r="K53" s="35"/>
      <c r="L53" s="35"/>
      <c r="M53" s="92">
        <f>SUM(M45,M51)</f>
        <v>184802000</v>
      </c>
      <c r="N53" s="96">
        <f>N51+N45</f>
        <v>2444741000</v>
      </c>
    </row>
    <row r="60" spans="5:14">
      <c r="K60" s="9"/>
      <c r="L60" s="9"/>
      <c r="M60" s="9"/>
    </row>
  </sheetData>
  <mergeCells count="4">
    <mergeCell ref="J1:M1"/>
    <mergeCell ref="J2:M2"/>
    <mergeCell ref="M5:N5"/>
    <mergeCell ref="J6:L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61"/>
  <sheetViews>
    <sheetView topLeftCell="A6" workbookViewId="0">
      <selection activeCell="I24" sqref="I24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7.140625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</cols>
  <sheetData>
    <row r="1" spans="1:15" ht="30" customHeight="1">
      <c r="J1" s="258" t="s">
        <v>366</v>
      </c>
      <c r="K1" s="258"/>
      <c r="L1" s="258"/>
      <c r="M1" s="258"/>
      <c r="N1" s="170"/>
      <c r="O1" s="170"/>
    </row>
    <row r="2" spans="1:15" ht="21.75" customHeight="1">
      <c r="J2" s="259" t="s">
        <v>1</v>
      </c>
      <c r="K2" s="259"/>
      <c r="L2" s="259"/>
      <c r="M2" s="259"/>
      <c r="N2" s="171"/>
      <c r="O2" s="171"/>
    </row>
    <row r="3" spans="1:15" ht="18.75" customHeight="1">
      <c r="E3" s="3"/>
      <c r="F3" s="3"/>
      <c r="G3" s="3"/>
      <c r="H3" s="3"/>
      <c r="I3" s="3"/>
      <c r="J3" s="3"/>
      <c r="K3" s="3"/>
      <c r="L3" s="3"/>
    </row>
    <row r="4" spans="1:15" ht="30.75" customHeight="1">
      <c r="E4" s="2"/>
      <c r="M4" s="260" t="s">
        <v>97</v>
      </c>
      <c r="N4" s="260"/>
      <c r="O4" s="260"/>
    </row>
    <row r="5" spans="1:15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4" t="s">
        <v>5</v>
      </c>
      <c r="N5" s="264"/>
      <c r="O5" s="264"/>
    </row>
    <row r="6" spans="1:15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</row>
    <row r="7" spans="1:15" ht="30.75" customHeight="1">
      <c r="A7" s="8" t="s">
        <v>13</v>
      </c>
      <c r="I7" s="9"/>
      <c r="J7" s="9"/>
      <c r="K7" s="9"/>
      <c r="L7" s="9"/>
    </row>
    <row r="8" spans="1:15">
      <c r="B8" s="10" t="s">
        <v>14</v>
      </c>
      <c r="I8" s="9"/>
      <c r="J8" s="9"/>
      <c r="K8" s="9"/>
      <c r="L8" s="9"/>
      <c r="M8" s="9"/>
      <c r="N8" s="9"/>
      <c r="O8" s="9"/>
    </row>
    <row r="9" spans="1:15">
      <c r="B9" s="10"/>
      <c r="C9" t="s">
        <v>141</v>
      </c>
      <c r="I9" s="9"/>
      <c r="J9" s="9"/>
      <c r="K9" s="9"/>
      <c r="L9" s="9"/>
      <c r="M9" s="9"/>
      <c r="N9" s="9"/>
      <c r="O9" s="9"/>
    </row>
    <row r="10" spans="1:15">
      <c r="D10" t="s">
        <v>99</v>
      </c>
      <c r="H10" s="12"/>
      <c r="I10" s="97">
        <v>-218386</v>
      </c>
      <c r="J10" s="12"/>
      <c r="K10" s="12"/>
      <c r="L10" s="12"/>
      <c r="M10" s="12">
        <f>SUM(I10:L10)</f>
        <v>-218386</v>
      </c>
      <c r="N10" s="12"/>
      <c r="O10" s="12">
        <f>SUM(M10:N10)</f>
        <v>-218386</v>
      </c>
    </row>
    <row r="11" spans="1:15">
      <c r="D11" t="s">
        <v>100</v>
      </c>
      <c r="H11" s="12"/>
      <c r="I11" s="98">
        <v>-8218534</v>
      </c>
      <c r="J11" s="12">
        <v>209978</v>
      </c>
      <c r="K11" s="12">
        <v>1828470</v>
      </c>
      <c r="L11" s="12"/>
      <c r="M11" s="12">
        <f>SUM(I11:L11)</f>
        <v>-6180086</v>
      </c>
      <c r="N11" s="12"/>
      <c r="O11" s="12">
        <f>SUM(M11:N11)</f>
        <v>-6180086</v>
      </c>
    </row>
    <row r="12" spans="1:15">
      <c r="D12" t="s">
        <v>102</v>
      </c>
      <c r="H12" s="12"/>
      <c r="I12" s="101">
        <v>-228700</v>
      </c>
      <c r="J12" s="12"/>
      <c r="K12" s="12"/>
      <c r="L12" s="12"/>
      <c r="M12" s="12">
        <f>SUM(I12:L12)</f>
        <v>-228700</v>
      </c>
      <c r="N12" s="12"/>
      <c r="O12" s="12">
        <f>SUM(M12:N12)</f>
        <v>-228700</v>
      </c>
    </row>
    <row r="13" spans="1:15">
      <c r="D13" t="s">
        <v>213</v>
      </c>
      <c r="H13" s="12"/>
      <c r="I13" s="110">
        <v>-2321667</v>
      </c>
      <c r="J13" s="12">
        <v>1696245</v>
      </c>
      <c r="K13" s="12"/>
      <c r="L13" s="12"/>
      <c r="M13" s="12">
        <f>SUM(I13:L13)</f>
        <v>-625422</v>
      </c>
      <c r="N13" s="12"/>
      <c r="O13" s="12">
        <f>SUM(M13:N13)</f>
        <v>-625422</v>
      </c>
    </row>
    <row r="14" spans="1:15">
      <c r="D14" t="s">
        <v>190</v>
      </c>
      <c r="H14" s="12"/>
      <c r="I14" s="108">
        <v>-7501400</v>
      </c>
      <c r="J14" s="12"/>
      <c r="K14" s="12"/>
      <c r="L14" s="12"/>
      <c r="M14" s="12">
        <f>SUM(I14:L14)</f>
        <v>-7501400</v>
      </c>
      <c r="N14" s="12"/>
      <c r="O14" s="12">
        <f>SUM(M14:N14)</f>
        <v>-7501400</v>
      </c>
    </row>
    <row r="15" spans="1:15">
      <c r="C15" t="s">
        <v>16</v>
      </c>
      <c r="H15" s="12"/>
      <c r="I15" s="13">
        <v>-32003955</v>
      </c>
      <c r="J15" s="12">
        <v>4419912</v>
      </c>
      <c r="K15" s="12">
        <v>928939</v>
      </c>
      <c r="L15" s="12">
        <v>30823</v>
      </c>
      <c r="M15" s="12">
        <f t="shared" ref="M15:M19" si="0">SUM(I15:L15)</f>
        <v>-26624281</v>
      </c>
      <c r="N15" s="12"/>
      <c r="O15" s="12">
        <f t="shared" ref="O15:O19" si="1">SUM(M15:N15)</f>
        <v>-26624281</v>
      </c>
    </row>
    <row r="16" spans="1:15">
      <c r="C16" t="s">
        <v>17</v>
      </c>
      <c r="H16" s="12"/>
      <c r="I16" s="14">
        <v>-8667310</v>
      </c>
      <c r="J16" s="12">
        <v>127977</v>
      </c>
      <c r="K16" s="12">
        <v>654927</v>
      </c>
      <c r="L16" s="12">
        <v>5508597</v>
      </c>
      <c r="M16" s="12">
        <f t="shared" si="0"/>
        <v>-2375809</v>
      </c>
      <c r="N16" s="12"/>
      <c r="O16" s="12">
        <f t="shared" si="1"/>
        <v>-2375809</v>
      </c>
    </row>
    <row r="17" spans="1:15">
      <c r="C17" t="s">
        <v>19</v>
      </c>
      <c r="H17" s="12"/>
      <c r="I17" s="15">
        <v>-3881585</v>
      </c>
      <c r="J17" s="12">
        <v>77819</v>
      </c>
      <c r="K17" s="12">
        <v>135756</v>
      </c>
      <c r="L17" s="12">
        <v>108675</v>
      </c>
      <c r="M17" s="12">
        <f>SUM(I17:L17)</f>
        <v>-3559335</v>
      </c>
      <c r="N17" s="12"/>
      <c r="O17" s="12">
        <f t="shared" si="1"/>
        <v>-3559335</v>
      </c>
    </row>
    <row r="18" spans="1:15">
      <c r="C18" t="s">
        <v>20</v>
      </c>
      <c r="H18" s="12"/>
      <c r="I18" s="16">
        <v>-7295422</v>
      </c>
      <c r="J18" s="12">
        <v>138425</v>
      </c>
      <c r="K18" s="12">
        <v>2397</v>
      </c>
      <c r="L18" s="12"/>
      <c r="M18" s="12">
        <f t="shared" si="0"/>
        <v>-7154600</v>
      </c>
      <c r="N18" s="12"/>
      <c r="O18" s="12">
        <f t="shared" si="1"/>
        <v>-7154600</v>
      </c>
    </row>
    <row r="19" spans="1:15">
      <c r="C19" t="s">
        <v>367</v>
      </c>
      <c r="H19" s="12"/>
      <c r="I19" s="102">
        <v>-4635615</v>
      </c>
      <c r="J19" s="12">
        <v>503283</v>
      </c>
      <c r="K19" s="12">
        <v>3844401</v>
      </c>
      <c r="L19" s="12">
        <v>13394</v>
      </c>
      <c r="M19" s="12">
        <f t="shared" si="0"/>
        <v>-274537</v>
      </c>
      <c r="N19" s="12"/>
      <c r="O19" s="12">
        <f t="shared" si="1"/>
        <v>-274537</v>
      </c>
    </row>
    <row r="20" spans="1:15">
      <c r="H20" s="12"/>
      <c r="I20" s="12"/>
      <c r="J20" s="12"/>
      <c r="K20" s="12"/>
      <c r="L20" s="12"/>
      <c r="M20" s="12"/>
      <c r="N20" s="12"/>
      <c r="O20" s="12"/>
    </row>
    <row r="21" spans="1:15">
      <c r="E21" s="19" t="s">
        <v>22</v>
      </c>
      <c r="F21" s="19"/>
      <c r="G21" s="19"/>
      <c r="H21" s="20"/>
      <c r="I21" s="20">
        <f>SUM(I10:I19)</f>
        <v>-74972574</v>
      </c>
      <c r="J21" s="20">
        <f>SUM(J10:J19)</f>
        <v>7173639</v>
      </c>
      <c r="K21" s="20">
        <f>SUM(K10:K19)</f>
        <v>7394890</v>
      </c>
      <c r="L21" s="20">
        <f>SUM(L10:L19)</f>
        <v>5661489</v>
      </c>
      <c r="M21" s="91">
        <f>SUM(M10:M19)</f>
        <v>-54742556</v>
      </c>
      <c r="N21" s="91"/>
      <c r="O21" s="91">
        <f>SUM(O10:O19)</f>
        <v>-54742556</v>
      </c>
    </row>
    <row r="22" spans="1:15">
      <c r="E22" s="8"/>
      <c r="F22" s="8"/>
      <c r="G22" s="8"/>
      <c r="H22" s="26"/>
      <c r="I22" s="26"/>
      <c r="J22" s="26"/>
      <c r="K22" s="26"/>
      <c r="L22" s="26"/>
      <c r="M22" s="26"/>
      <c r="N22" s="26"/>
      <c r="O22" s="26"/>
    </row>
    <row r="23" spans="1:15">
      <c r="B23" s="10" t="s">
        <v>84</v>
      </c>
      <c r="E23" s="8"/>
      <c r="F23" s="8"/>
      <c r="G23" s="8"/>
      <c r="H23" s="26"/>
      <c r="I23" s="26"/>
      <c r="J23" s="26"/>
      <c r="K23" s="26"/>
      <c r="L23" s="26"/>
      <c r="M23" s="26"/>
      <c r="N23" s="26"/>
      <c r="O23" s="26"/>
    </row>
    <row r="24" spans="1:15">
      <c r="B24" s="10"/>
      <c r="C24" t="s">
        <v>172</v>
      </c>
      <c r="E24" s="8"/>
      <c r="F24" s="8"/>
      <c r="G24" s="8"/>
      <c r="H24" s="26"/>
      <c r="I24" s="249">
        <v>-469146</v>
      </c>
      <c r="J24" s="88">
        <v>307075</v>
      </c>
      <c r="K24" s="88"/>
      <c r="L24" s="88"/>
      <c r="M24" s="88"/>
      <c r="N24" s="88">
        <f>SUM(I24:L24)</f>
        <v>-162071</v>
      </c>
      <c r="O24" s="88">
        <f>SUM(M24:N24)</f>
        <v>-162071</v>
      </c>
    </row>
    <row r="25" spans="1:15">
      <c r="B25" s="10"/>
      <c r="E25" s="8"/>
      <c r="F25" s="8"/>
      <c r="G25" s="8"/>
      <c r="H25" s="26"/>
      <c r="I25" s="26"/>
      <c r="J25" s="26"/>
      <c r="K25" s="26"/>
      <c r="L25" s="26"/>
      <c r="M25" s="26"/>
      <c r="N25" s="26"/>
      <c r="O25" s="26"/>
    </row>
    <row r="26" spans="1:15">
      <c r="E26" s="19" t="s">
        <v>88</v>
      </c>
      <c r="F26" s="19"/>
      <c r="G26" s="19"/>
      <c r="H26" s="20"/>
      <c r="I26" s="20">
        <f t="shared" ref="I26:O26" si="2">SUM(I24:I24)</f>
        <v>-469146</v>
      </c>
      <c r="J26" s="20">
        <f t="shared" si="2"/>
        <v>307075</v>
      </c>
      <c r="K26" s="20">
        <f t="shared" si="2"/>
        <v>0</v>
      </c>
      <c r="L26" s="20">
        <f t="shared" si="2"/>
        <v>0</v>
      </c>
      <c r="M26" s="91">
        <f t="shared" si="2"/>
        <v>0</v>
      </c>
      <c r="N26" s="91">
        <f t="shared" si="2"/>
        <v>-162071</v>
      </c>
      <c r="O26" s="91">
        <f t="shared" si="2"/>
        <v>-162071</v>
      </c>
    </row>
    <row r="27" spans="1:15">
      <c r="E27" s="8"/>
      <c r="F27" s="8"/>
      <c r="G27" s="8"/>
      <c r="H27" s="26"/>
      <c r="I27" s="26"/>
      <c r="J27" s="26"/>
      <c r="K27" s="26"/>
      <c r="L27" s="26"/>
      <c r="M27" s="26"/>
      <c r="N27" s="26"/>
      <c r="O27" s="26"/>
    </row>
    <row r="28" spans="1:15">
      <c r="E28" s="19" t="s">
        <v>89</v>
      </c>
      <c r="F28" s="19"/>
      <c r="G28" s="19"/>
      <c r="H28" s="20"/>
      <c r="I28" s="20">
        <f t="shared" ref="I28:O28" si="3">I26+I21</f>
        <v>-75441720</v>
      </c>
      <c r="J28" s="20">
        <f t="shared" si="3"/>
        <v>7480714</v>
      </c>
      <c r="K28" s="20">
        <f t="shared" si="3"/>
        <v>7394890</v>
      </c>
      <c r="L28" s="20">
        <f t="shared" si="3"/>
        <v>5661489</v>
      </c>
      <c r="M28" s="91">
        <f t="shared" si="3"/>
        <v>-54742556</v>
      </c>
      <c r="N28" s="91">
        <f t="shared" si="3"/>
        <v>-162071</v>
      </c>
      <c r="O28" s="91">
        <f t="shared" si="3"/>
        <v>-54904627</v>
      </c>
    </row>
    <row r="29" spans="1:15">
      <c r="H29" s="12"/>
      <c r="I29" s="12"/>
      <c r="J29" s="12"/>
      <c r="K29" s="12"/>
      <c r="L29" s="12"/>
      <c r="M29" s="12"/>
      <c r="N29" s="12"/>
      <c r="O29" s="12"/>
    </row>
    <row r="30" spans="1:15">
      <c r="A30" s="8"/>
      <c r="B30" s="8"/>
      <c r="C30" s="8"/>
      <c r="D30" s="8"/>
      <c r="E30" s="8"/>
      <c r="G30" s="8" t="s">
        <v>25</v>
      </c>
      <c r="H30" s="26"/>
      <c r="I30" s="26"/>
      <c r="J30" s="26"/>
      <c r="K30" s="26"/>
      <c r="L30" s="26"/>
      <c r="M30" s="12"/>
      <c r="N30" s="12"/>
      <c r="O30" s="12"/>
    </row>
    <row r="31" spans="1:15">
      <c r="A31" s="8"/>
      <c r="B31" s="8"/>
      <c r="C31" s="8"/>
      <c r="D31" s="8"/>
      <c r="E31" s="8"/>
      <c r="G31" s="27" t="s">
        <v>345</v>
      </c>
      <c r="H31" s="88"/>
      <c r="I31" s="26"/>
      <c r="J31" s="26"/>
      <c r="K31" s="26"/>
      <c r="L31" s="26"/>
      <c r="M31" s="12"/>
      <c r="N31" s="12"/>
      <c r="O31" s="12"/>
    </row>
    <row r="32" spans="1:15">
      <c r="A32" s="8"/>
      <c r="B32" s="8"/>
      <c r="C32" s="8"/>
      <c r="D32" s="8"/>
      <c r="E32" s="8"/>
      <c r="G32" s="8"/>
      <c r="H32" s="88" t="s">
        <v>368</v>
      </c>
      <c r="I32" s="88"/>
      <c r="J32" s="26"/>
      <c r="K32" s="26"/>
      <c r="L32" s="26"/>
      <c r="M32" s="12"/>
      <c r="N32" s="12"/>
      <c r="O32" s="12"/>
    </row>
    <row r="33" spans="8:15">
      <c r="H33" s="12"/>
      <c r="I33" s="12" t="s">
        <v>185</v>
      </c>
      <c r="J33" s="12"/>
      <c r="K33" s="12"/>
      <c r="L33" s="12"/>
      <c r="M33" s="28">
        <v>3065712</v>
      </c>
      <c r="N33" s="12"/>
      <c r="O33" s="12">
        <f t="shared" ref="O33:O46" si="4">SUM(M33:N33)</f>
        <v>3065712</v>
      </c>
    </row>
    <row r="34" spans="8:15">
      <c r="H34" s="12"/>
      <c r="I34" s="12" t="s">
        <v>369</v>
      </c>
      <c r="J34" s="12"/>
      <c r="K34" s="12"/>
      <c r="L34" s="12"/>
      <c r="M34" s="28">
        <v>30375702</v>
      </c>
      <c r="N34" s="12"/>
      <c r="O34" s="12">
        <f t="shared" si="4"/>
        <v>30375702</v>
      </c>
    </row>
    <row r="35" spans="8:15">
      <c r="H35" s="12" t="s">
        <v>370</v>
      </c>
      <c r="I35" s="12"/>
      <c r="J35" s="12"/>
      <c r="K35" s="12"/>
      <c r="L35" s="12"/>
      <c r="M35" s="12"/>
      <c r="N35" s="12"/>
      <c r="O35" s="12"/>
    </row>
    <row r="36" spans="8:15">
      <c r="H36" s="12"/>
      <c r="I36" s="12" t="s">
        <v>369</v>
      </c>
      <c r="J36" s="12"/>
      <c r="K36" s="12"/>
      <c r="L36" s="12"/>
      <c r="M36" s="14">
        <v>14836428</v>
      </c>
      <c r="N36" s="12"/>
      <c r="O36" s="12">
        <f t="shared" si="4"/>
        <v>14836428</v>
      </c>
    </row>
    <row r="37" spans="8:15">
      <c r="H37" s="12" t="s">
        <v>111</v>
      </c>
      <c r="I37" s="12"/>
      <c r="J37" s="12"/>
      <c r="K37" s="12"/>
      <c r="L37" s="12"/>
      <c r="M37" s="15">
        <v>3492490</v>
      </c>
      <c r="N37" s="12"/>
      <c r="O37" s="12">
        <f t="shared" si="4"/>
        <v>3492490</v>
      </c>
    </row>
    <row r="38" spans="8:15">
      <c r="H38" s="12" t="s">
        <v>33</v>
      </c>
      <c r="I38" s="12"/>
      <c r="J38" s="12"/>
      <c r="K38" s="12"/>
      <c r="L38" s="12"/>
      <c r="M38" s="11">
        <v>926893</v>
      </c>
      <c r="N38" s="12"/>
      <c r="O38" s="12">
        <f t="shared" si="4"/>
        <v>926893</v>
      </c>
    </row>
    <row r="39" spans="8:15">
      <c r="H39" s="12" t="s">
        <v>137</v>
      </c>
      <c r="I39" s="12"/>
      <c r="J39" s="12"/>
      <c r="K39" s="12"/>
      <c r="L39" s="12"/>
      <c r="M39" s="29">
        <v>1101874</v>
      </c>
      <c r="N39" s="12"/>
      <c r="O39" s="12">
        <f t="shared" si="4"/>
        <v>1101874</v>
      </c>
    </row>
    <row r="40" spans="8:15">
      <c r="H40" s="12" t="s">
        <v>371</v>
      </c>
      <c r="I40" s="12"/>
      <c r="J40" s="12"/>
      <c r="K40" s="12"/>
      <c r="L40" s="12"/>
      <c r="M40" s="29">
        <v>133336</v>
      </c>
      <c r="N40" s="12"/>
      <c r="O40" s="12">
        <f t="shared" si="4"/>
        <v>133336</v>
      </c>
    </row>
    <row r="41" spans="8:15">
      <c r="H41" s="12" t="s">
        <v>248</v>
      </c>
      <c r="I41" s="12"/>
      <c r="J41" s="12"/>
      <c r="K41" s="12"/>
      <c r="L41" s="12"/>
      <c r="M41" s="29">
        <v>3317081</v>
      </c>
      <c r="N41" s="12"/>
      <c r="O41" s="12">
        <f t="shared" si="4"/>
        <v>3317081</v>
      </c>
    </row>
    <row r="42" spans="8:15">
      <c r="H42" s="12" t="s">
        <v>372</v>
      </c>
      <c r="I42" s="12"/>
      <c r="J42" s="12"/>
      <c r="K42" s="12"/>
      <c r="L42" s="12"/>
      <c r="M42" s="29">
        <v>1424320</v>
      </c>
      <c r="N42" s="12"/>
      <c r="O42" s="12">
        <f t="shared" si="4"/>
        <v>1424320</v>
      </c>
    </row>
    <row r="43" spans="8:15">
      <c r="H43" s="12" t="s">
        <v>122</v>
      </c>
      <c r="I43" s="12"/>
      <c r="J43" s="12"/>
      <c r="K43" s="12"/>
      <c r="L43" s="12"/>
      <c r="M43" s="29">
        <v>129125</v>
      </c>
      <c r="N43" s="12">
        <v>98</v>
      </c>
      <c r="O43" s="12">
        <f t="shared" si="4"/>
        <v>129223</v>
      </c>
    </row>
    <row r="44" spans="8:15">
      <c r="H44" s="12" t="s">
        <v>328</v>
      </c>
      <c r="I44" s="12"/>
      <c r="J44" s="12"/>
      <c r="K44" s="12"/>
      <c r="L44" s="12"/>
      <c r="M44" s="29">
        <v>182354</v>
      </c>
      <c r="N44" s="12"/>
      <c r="O44" s="12">
        <f t="shared" si="4"/>
        <v>182354</v>
      </c>
    </row>
    <row r="45" spans="8:15">
      <c r="H45" s="12" t="s">
        <v>373</v>
      </c>
      <c r="I45" s="12"/>
      <c r="J45" s="12"/>
      <c r="K45" s="12"/>
      <c r="L45" s="12"/>
      <c r="M45" s="29">
        <v>44775</v>
      </c>
      <c r="N45" s="12"/>
      <c r="O45" s="12">
        <f t="shared" si="4"/>
        <v>44775</v>
      </c>
    </row>
    <row r="46" spans="8:15">
      <c r="H46" s="12" t="s">
        <v>36</v>
      </c>
      <c r="I46" s="12"/>
      <c r="J46" s="12"/>
      <c r="K46" s="12"/>
      <c r="L46" s="12"/>
      <c r="M46" s="29">
        <v>1330430</v>
      </c>
      <c r="N46" s="12"/>
      <c r="O46" s="12">
        <f t="shared" si="4"/>
        <v>1330430</v>
      </c>
    </row>
    <row r="47" spans="8:15">
      <c r="H47" s="12"/>
      <c r="I47" s="12"/>
      <c r="J47" s="12"/>
      <c r="K47" s="12"/>
      <c r="L47" s="12"/>
      <c r="M47" s="12"/>
      <c r="N47" s="12"/>
      <c r="O47" s="12"/>
    </row>
    <row r="48" spans="8:15">
      <c r="H48" s="20" t="s">
        <v>38</v>
      </c>
      <c r="I48" s="20"/>
      <c r="J48" s="20"/>
      <c r="K48" s="20"/>
      <c r="L48" s="20"/>
      <c r="M48" s="20">
        <f>SUM(M33:M46)</f>
        <v>60360520</v>
      </c>
      <c r="N48" s="20">
        <f>SUM(N33:N46)</f>
        <v>98</v>
      </c>
      <c r="O48" s="20">
        <f>SUM(O33:O46)</f>
        <v>60360618</v>
      </c>
    </row>
    <row r="49" spans="5:15">
      <c r="H49" s="12"/>
      <c r="I49" s="12"/>
      <c r="J49" s="12"/>
      <c r="K49" s="12"/>
      <c r="L49" s="12"/>
      <c r="M49" s="12"/>
      <c r="N49" s="12"/>
      <c r="O49" s="12"/>
    </row>
    <row r="50" spans="5:15">
      <c r="H50" s="20" t="s">
        <v>39</v>
      </c>
      <c r="I50" s="20"/>
      <c r="J50" s="20"/>
      <c r="K50" s="20"/>
      <c r="L50" s="20"/>
      <c r="M50" s="20">
        <f>M48+M28</f>
        <v>5617964</v>
      </c>
      <c r="N50" s="20">
        <f>N48+N28</f>
        <v>-161973</v>
      </c>
      <c r="O50" s="20">
        <f>SUM(M50:N50)</f>
        <v>5455991</v>
      </c>
    </row>
    <row r="51" spans="5:15">
      <c r="H51" s="26"/>
      <c r="I51" s="26"/>
      <c r="J51" s="26"/>
      <c r="K51" s="26"/>
      <c r="L51" s="26"/>
      <c r="M51" s="26"/>
      <c r="N51" s="26"/>
      <c r="O51" s="26"/>
    </row>
    <row r="52" spans="5:15">
      <c r="E52" s="31" t="s">
        <v>67</v>
      </c>
      <c r="F52" s="31"/>
      <c r="G52" s="31"/>
      <c r="H52" s="32"/>
      <c r="I52" s="32"/>
      <c r="J52" s="32"/>
      <c r="K52" s="32"/>
      <c r="L52" s="32"/>
      <c r="M52" s="33">
        <v>256417818</v>
      </c>
      <c r="N52" s="33">
        <v>2355780</v>
      </c>
      <c r="O52" s="33">
        <f>SUM(M52:N52)</f>
        <v>258773598</v>
      </c>
    </row>
    <row r="53" spans="5:15">
      <c r="H53" s="12"/>
      <c r="I53" s="12"/>
      <c r="J53" s="12"/>
      <c r="K53" s="12"/>
      <c r="L53" s="12"/>
      <c r="M53" s="12"/>
      <c r="N53" s="12"/>
      <c r="O53" s="12"/>
    </row>
    <row r="54" spans="5:15">
      <c r="E54" s="34" t="s">
        <v>44</v>
      </c>
      <c r="F54" s="34"/>
      <c r="G54" s="34"/>
      <c r="H54" s="35"/>
      <c r="I54" s="35"/>
      <c r="J54" s="35"/>
      <c r="K54" s="35"/>
      <c r="L54" s="35"/>
      <c r="M54" s="92">
        <f>SUM(M50,M52)</f>
        <v>262035782</v>
      </c>
      <c r="N54" s="92">
        <f>N52+N50</f>
        <v>2193807</v>
      </c>
      <c r="O54" s="92">
        <f>O52+O50</f>
        <v>264229589</v>
      </c>
    </row>
    <row r="61" spans="5:15">
      <c r="K61" s="9"/>
      <c r="L61" s="9"/>
      <c r="M61" s="9"/>
      <c r="N61" s="9"/>
      <c r="O61" s="9"/>
    </row>
  </sheetData>
  <mergeCells count="5">
    <mergeCell ref="J1:M1"/>
    <mergeCell ref="J2:M2"/>
    <mergeCell ref="M4:O4"/>
    <mergeCell ref="J5:L5"/>
    <mergeCell ref="M5:O5"/>
  </mergeCell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67"/>
  <sheetViews>
    <sheetView topLeftCell="A4" workbookViewId="0">
      <selection activeCell="I27" sqref="I27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4" width="19.28515625" customWidth="1"/>
    <col min="15" max="15" width="22.7109375" customWidth="1"/>
  </cols>
  <sheetData>
    <row r="1" spans="1:15" ht="28.5" customHeight="1">
      <c r="J1" s="258" t="s">
        <v>374</v>
      </c>
      <c r="K1" s="258"/>
      <c r="L1" s="258"/>
      <c r="M1" s="258"/>
      <c r="N1" s="258"/>
      <c r="O1" s="258"/>
    </row>
    <row r="2" spans="1:15" ht="18">
      <c r="J2" s="259" t="s">
        <v>1</v>
      </c>
      <c r="K2" s="259"/>
      <c r="L2" s="259"/>
      <c r="M2" s="259"/>
      <c r="N2" s="259"/>
      <c r="O2" s="259"/>
    </row>
    <row r="3" spans="1:15" ht="15.75">
      <c r="E3" s="3"/>
      <c r="F3" s="3"/>
      <c r="G3" s="3"/>
      <c r="H3" s="3"/>
      <c r="I3" s="3"/>
      <c r="J3" s="3"/>
      <c r="K3" s="3"/>
      <c r="L3" s="3"/>
      <c r="M3" s="3"/>
      <c r="N3" s="3"/>
    </row>
    <row r="4" spans="1:15" ht="18">
      <c r="E4" s="2"/>
      <c r="O4" s="173"/>
    </row>
    <row r="5" spans="1:15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0" t="s">
        <v>97</v>
      </c>
      <c r="N5" s="260"/>
      <c r="O5" s="260"/>
    </row>
    <row r="6" spans="1:15" ht="28.5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124" t="s">
        <v>48</v>
      </c>
      <c r="N6" s="124" t="s">
        <v>375</v>
      </c>
      <c r="O6" s="125" t="s">
        <v>50</v>
      </c>
    </row>
    <row r="7" spans="1:15">
      <c r="A7" s="8" t="s">
        <v>376</v>
      </c>
      <c r="I7" s="9"/>
      <c r="J7" s="9"/>
      <c r="K7" s="9"/>
      <c r="L7" s="9"/>
      <c r="M7" s="9"/>
      <c r="N7" s="9"/>
    </row>
    <row r="8" spans="1:15">
      <c r="C8" t="s">
        <v>15</v>
      </c>
      <c r="H8" s="12"/>
      <c r="I8" s="12"/>
      <c r="J8" s="12"/>
      <c r="K8" s="12"/>
      <c r="L8" s="12"/>
      <c r="M8" s="12"/>
      <c r="N8" s="12"/>
      <c r="O8" s="12"/>
    </row>
    <row r="9" spans="1:15">
      <c r="D9" t="s">
        <v>99</v>
      </c>
      <c r="I9" s="97">
        <v>-1737004</v>
      </c>
      <c r="J9" s="12"/>
      <c r="K9" s="12"/>
      <c r="L9" s="12"/>
      <c r="M9" s="12">
        <f t="shared" ref="M9:M19" si="0">SUM(I9:L9)</f>
        <v>-1737004</v>
      </c>
      <c r="N9" s="12"/>
      <c r="O9" s="12">
        <f>SUM(M9:N9)</f>
        <v>-1737004</v>
      </c>
    </row>
    <row r="10" spans="1:15">
      <c r="D10" t="s">
        <v>100</v>
      </c>
      <c r="I10" s="98">
        <v>-5634694</v>
      </c>
      <c r="J10" s="12">
        <v>630809</v>
      </c>
      <c r="K10" s="12">
        <v>208212</v>
      </c>
      <c r="L10" s="12"/>
      <c r="M10" s="12">
        <f t="shared" si="0"/>
        <v>-4795673</v>
      </c>
      <c r="N10" s="12"/>
      <c r="O10" s="12">
        <f t="shared" ref="O10:O21" si="1">SUM(M10:N10)</f>
        <v>-4795673</v>
      </c>
    </row>
    <row r="11" spans="1:15">
      <c r="D11" t="s">
        <v>101</v>
      </c>
      <c r="I11" s="107">
        <v>-3922053</v>
      </c>
      <c r="J11" s="12"/>
      <c r="K11" s="12"/>
      <c r="L11" s="12"/>
      <c r="M11" s="12">
        <f t="shared" si="0"/>
        <v>-3922053</v>
      </c>
      <c r="N11" s="12"/>
      <c r="O11" s="12">
        <f t="shared" si="1"/>
        <v>-3922053</v>
      </c>
    </row>
    <row r="12" spans="1:15">
      <c r="D12" t="s">
        <v>102</v>
      </c>
      <c r="I12" s="101">
        <v>-151663</v>
      </c>
      <c r="J12" s="12"/>
      <c r="K12" s="12"/>
      <c r="L12" s="12"/>
      <c r="M12" s="12">
        <f t="shared" si="0"/>
        <v>-151663</v>
      </c>
      <c r="N12" s="12"/>
      <c r="O12" s="12">
        <f t="shared" si="1"/>
        <v>-151663</v>
      </c>
    </row>
    <row r="13" spans="1:15">
      <c r="D13" t="s">
        <v>143</v>
      </c>
      <c r="I13" s="110">
        <v>-7255051</v>
      </c>
      <c r="J13" s="12">
        <v>393000</v>
      </c>
      <c r="K13" s="12">
        <v>288573</v>
      </c>
      <c r="L13" s="12"/>
      <c r="M13" s="12">
        <f t="shared" si="0"/>
        <v>-6573478</v>
      </c>
      <c r="N13" s="12"/>
      <c r="O13" s="12">
        <f t="shared" si="1"/>
        <v>-6573478</v>
      </c>
    </row>
    <row r="14" spans="1:15">
      <c r="D14" t="s">
        <v>32</v>
      </c>
      <c r="I14" s="108">
        <v>-10252824</v>
      </c>
      <c r="J14" s="12">
        <v>607258</v>
      </c>
      <c r="K14" s="12"/>
      <c r="L14" s="12"/>
      <c r="M14" s="12">
        <f t="shared" si="0"/>
        <v>-9645566</v>
      </c>
      <c r="N14" s="12"/>
      <c r="O14" s="12">
        <f t="shared" si="1"/>
        <v>-9645566</v>
      </c>
    </row>
    <row r="15" spans="1:15">
      <c r="C15" t="s">
        <v>16</v>
      </c>
      <c r="H15" s="12"/>
      <c r="I15" s="13">
        <v>-8176533</v>
      </c>
      <c r="J15" s="12">
        <v>269580</v>
      </c>
      <c r="K15" s="12">
        <v>984186</v>
      </c>
      <c r="L15" s="12"/>
      <c r="M15" s="12">
        <f t="shared" si="0"/>
        <v>-6922767</v>
      </c>
      <c r="N15" s="12"/>
      <c r="O15" s="12">
        <f t="shared" si="1"/>
        <v>-6922767</v>
      </c>
    </row>
    <row r="16" spans="1:15">
      <c r="C16" t="s">
        <v>17</v>
      </c>
      <c r="H16" s="12"/>
      <c r="I16" s="14">
        <v>-27674743</v>
      </c>
      <c r="J16" s="12">
        <v>842046</v>
      </c>
      <c r="K16" s="12">
        <v>24204845</v>
      </c>
      <c r="L16" s="12">
        <v>23334880</v>
      </c>
      <c r="M16" s="12">
        <f t="shared" si="0"/>
        <v>20707028</v>
      </c>
      <c r="N16" s="12"/>
      <c r="O16" s="12">
        <f t="shared" si="1"/>
        <v>20707028</v>
      </c>
    </row>
    <row r="17" spans="1:15">
      <c r="C17" t="s">
        <v>19</v>
      </c>
      <c r="H17" s="12"/>
      <c r="I17" s="15">
        <v>-5939409</v>
      </c>
      <c r="J17" s="12">
        <v>220061</v>
      </c>
      <c r="K17" s="12">
        <v>469270</v>
      </c>
      <c r="L17" s="12"/>
      <c r="M17" s="12">
        <f t="shared" si="0"/>
        <v>-5250078</v>
      </c>
      <c r="N17" s="12"/>
      <c r="O17" s="12">
        <f t="shared" si="1"/>
        <v>-5250078</v>
      </c>
    </row>
    <row r="18" spans="1:15">
      <c r="C18" t="s">
        <v>20</v>
      </c>
      <c r="H18" s="12"/>
      <c r="I18" s="16">
        <v>-3752039</v>
      </c>
      <c r="J18" s="12">
        <v>63402</v>
      </c>
      <c r="K18" s="12">
        <v>15606</v>
      </c>
      <c r="L18" s="12"/>
      <c r="M18" s="12">
        <f t="shared" si="0"/>
        <v>-3673031</v>
      </c>
      <c r="N18" s="12"/>
      <c r="O18" s="12">
        <f t="shared" si="1"/>
        <v>-3673031</v>
      </c>
    </row>
    <row r="19" spans="1:15">
      <c r="C19" t="s">
        <v>18</v>
      </c>
      <c r="H19" s="12"/>
      <c r="I19" s="102">
        <v>-882081</v>
      </c>
      <c r="J19" s="12"/>
      <c r="K19" s="12"/>
      <c r="L19" s="12"/>
      <c r="M19" s="12">
        <f t="shared" si="0"/>
        <v>-882081</v>
      </c>
      <c r="N19" s="12"/>
      <c r="O19" s="12">
        <f t="shared" si="1"/>
        <v>-882081</v>
      </c>
    </row>
    <row r="20" spans="1:15">
      <c r="C20" t="s">
        <v>183</v>
      </c>
      <c r="H20" s="12"/>
      <c r="I20" s="14">
        <v>-4962360</v>
      </c>
      <c r="J20" s="12">
        <v>127213</v>
      </c>
      <c r="K20" s="12"/>
      <c r="L20" s="12"/>
      <c r="M20" s="12">
        <f t="shared" ref="M20:M21" si="2">SUM(I20:L20)</f>
        <v>-4835147</v>
      </c>
      <c r="N20" s="12"/>
      <c r="O20" s="12">
        <f t="shared" si="1"/>
        <v>-4835147</v>
      </c>
    </row>
    <row r="21" spans="1:15">
      <c r="C21" t="s">
        <v>21</v>
      </c>
      <c r="H21" s="12"/>
      <c r="I21" s="98">
        <v>-5354736</v>
      </c>
      <c r="J21" s="12"/>
      <c r="K21" s="12"/>
      <c r="L21" s="12"/>
      <c r="M21" s="12">
        <f t="shared" si="2"/>
        <v>-5354736</v>
      </c>
      <c r="N21" s="12"/>
      <c r="O21" s="12">
        <f t="shared" si="1"/>
        <v>-5354736</v>
      </c>
    </row>
    <row r="22" spans="1:15">
      <c r="H22" s="12"/>
      <c r="I22" s="12"/>
      <c r="J22" s="12"/>
      <c r="K22" s="12"/>
      <c r="L22" s="12"/>
      <c r="M22" s="12"/>
      <c r="N22" s="12"/>
      <c r="O22" s="12"/>
    </row>
    <row r="23" spans="1:15">
      <c r="E23" s="19" t="s">
        <v>22</v>
      </c>
      <c r="F23" s="19"/>
      <c r="G23" s="19"/>
      <c r="H23" s="20"/>
      <c r="I23" s="20">
        <f>SUM(I9:I21)</f>
        <v>-85695190</v>
      </c>
      <c r="J23" s="20">
        <f t="shared" ref="J23:O23" si="3">SUM(J9:J21)</f>
        <v>3153369</v>
      </c>
      <c r="K23" s="20">
        <f t="shared" si="3"/>
        <v>26170692</v>
      </c>
      <c r="L23" s="20">
        <f t="shared" si="3"/>
        <v>23334880</v>
      </c>
      <c r="M23" s="20">
        <f t="shared" si="3"/>
        <v>-33036249</v>
      </c>
      <c r="N23" s="20">
        <f t="shared" si="3"/>
        <v>0</v>
      </c>
      <c r="O23" s="20">
        <f t="shared" si="3"/>
        <v>-33036249</v>
      </c>
    </row>
    <row r="24" spans="1:15">
      <c r="H24" s="12"/>
      <c r="I24" s="12"/>
      <c r="J24" s="12"/>
      <c r="K24" s="12"/>
      <c r="L24" s="12"/>
      <c r="M24" s="12"/>
      <c r="N24" s="12"/>
      <c r="O24" s="12"/>
    </row>
    <row r="25" spans="1:15">
      <c r="A25" s="10" t="s">
        <v>377</v>
      </c>
      <c r="H25" s="12"/>
      <c r="I25" s="12"/>
      <c r="J25" s="12"/>
      <c r="K25" s="12"/>
      <c r="L25" s="12"/>
      <c r="M25" s="12"/>
      <c r="N25" s="12"/>
      <c r="O25" s="12"/>
    </row>
    <row r="26" spans="1:15">
      <c r="C26" t="s">
        <v>378</v>
      </c>
      <c r="H26" s="12"/>
      <c r="I26" s="254">
        <v>-33641034</v>
      </c>
      <c r="J26" s="12">
        <v>3448994</v>
      </c>
      <c r="K26" s="12"/>
      <c r="L26" s="12">
        <v>18672791</v>
      </c>
      <c r="M26" s="12"/>
      <c r="N26" s="12">
        <f>SUM(I26:L26)</f>
        <v>-11519249</v>
      </c>
      <c r="O26" s="12">
        <f>N26</f>
        <v>-11519249</v>
      </c>
    </row>
    <row r="27" spans="1:15">
      <c r="C27" t="s">
        <v>379</v>
      </c>
      <c r="H27" s="12"/>
      <c r="I27" s="107">
        <v>-12583658</v>
      </c>
      <c r="J27" s="12">
        <v>330568</v>
      </c>
      <c r="K27" s="12"/>
      <c r="L27" s="12">
        <v>4793676</v>
      </c>
      <c r="M27" s="12"/>
      <c r="N27" s="12">
        <f t="shared" ref="N27" si="4">SUM(I27:L27)</f>
        <v>-7459414</v>
      </c>
      <c r="O27" s="12">
        <f t="shared" ref="O27" si="5">N27</f>
        <v>-7459414</v>
      </c>
    </row>
    <row r="28" spans="1:15">
      <c r="H28" s="12"/>
      <c r="I28" s="12"/>
      <c r="J28" s="12"/>
      <c r="K28" s="12"/>
      <c r="L28" s="12"/>
      <c r="M28" s="12"/>
      <c r="N28" s="12"/>
      <c r="O28" s="12"/>
    </row>
    <row r="29" spans="1:15">
      <c r="E29" s="93" t="s">
        <v>380</v>
      </c>
      <c r="F29" s="93"/>
      <c r="G29" s="93"/>
      <c r="H29" s="94"/>
      <c r="I29" s="94">
        <f t="shared" ref="I29:O29" si="6">SUM(I26:I27)</f>
        <v>-46224692</v>
      </c>
      <c r="J29" s="94">
        <f t="shared" si="6"/>
        <v>3779562</v>
      </c>
      <c r="K29" s="94">
        <f t="shared" si="6"/>
        <v>0</v>
      </c>
      <c r="L29" s="94">
        <f t="shared" si="6"/>
        <v>23466467</v>
      </c>
      <c r="M29" s="94">
        <f t="shared" si="6"/>
        <v>0</v>
      </c>
      <c r="N29" s="94">
        <f t="shared" si="6"/>
        <v>-18978663</v>
      </c>
      <c r="O29" s="94">
        <f t="shared" si="6"/>
        <v>-18978663</v>
      </c>
    </row>
    <row r="30" spans="1:15">
      <c r="H30" s="12"/>
      <c r="I30" s="12"/>
      <c r="J30" s="12"/>
      <c r="K30" s="12"/>
      <c r="L30" s="12"/>
      <c r="M30" s="12"/>
      <c r="N30" s="12"/>
      <c r="O30" s="12"/>
    </row>
    <row r="31" spans="1:15">
      <c r="E31" s="93" t="s">
        <v>89</v>
      </c>
      <c r="F31" s="93"/>
      <c r="G31" s="93"/>
      <c r="H31" s="94"/>
      <c r="I31" s="94">
        <f t="shared" ref="I31:O31" si="7">I29+I23</f>
        <v>-131919882</v>
      </c>
      <c r="J31" s="94">
        <f t="shared" si="7"/>
        <v>6932931</v>
      </c>
      <c r="K31" s="94">
        <f t="shared" si="7"/>
        <v>26170692</v>
      </c>
      <c r="L31" s="94">
        <f t="shared" si="7"/>
        <v>46801347</v>
      </c>
      <c r="M31" s="94">
        <f t="shared" si="7"/>
        <v>-33036249</v>
      </c>
      <c r="N31" s="94">
        <f t="shared" si="7"/>
        <v>-18978663</v>
      </c>
      <c r="O31" s="94">
        <f t="shared" si="7"/>
        <v>-52014912</v>
      </c>
    </row>
    <row r="32" spans="1:15">
      <c r="H32" s="12"/>
      <c r="I32" s="12"/>
      <c r="J32" s="12"/>
      <c r="K32" s="12"/>
      <c r="L32" s="12"/>
      <c r="M32" s="12"/>
      <c r="N32" s="12"/>
      <c r="O32" s="12"/>
    </row>
    <row r="33" spans="1:15">
      <c r="A33" s="8"/>
      <c r="B33" s="8"/>
      <c r="C33" s="8"/>
      <c r="D33" s="8"/>
      <c r="E33" s="8"/>
      <c r="G33" s="8" t="s">
        <v>25</v>
      </c>
      <c r="H33" s="26"/>
      <c r="I33" s="26"/>
      <c r="J33" s="26"/>
      <c r="K33" s="26"/>
      <c r="L33" s="26"/>
      <c r="M33" s="26"/>
      <c r="N33" s="26"/>
      <c r="O33" s="12"/>
    </row>
    <row r="34" spans="1:15">
      <c r="A34" s="8"/>
      <c r="B34" s="8"/>
      <c r="C34" s="8"/>
      <c r="D34" s="8"/>
      <c r="E34" s="8"/>
      <c r="G34" s="27" t="s">
        <v>26</v>
      </c>
      <c r="H34" s="88"/>
      <c r="I34" s="26"/>
      <c r="J34" s="26"/>
      <c r="K34" s="26"/>
      <c r="L34" s="26"/>
      <c r="M34" s="26"/>
      <c r="N34" s="26"/>
      <c r="O34" s="12"/>
    </row>
    <row r="35" spans="1:15">
      <c r="H35" s="12" t="s">
        <v>201</v>
      </c>
      <c r="I35" s="12"/>
      <c r="J35" s="12"/>
      <c r="K35" s="12"/>
      <c r="L35" s="12"/>
      <c r="M35" s="28">
        <v>12083791</v>
      </c>
      <c r="N35" s="12">
        <v>4334902</v>
      </c>
      <c r="O35" s="12">
        <f>SUM(M35:N35)</f>
        <v>16418693</v>
      </c>
    </row>
    <row r="36" spans="1:15">
      <c r="H36" s="12" t="s">
        <v>110</v>
      </c>
      <c r="I36" s="12"/>
      <c r="J36" s="12"/>
      <c r="K36" s="12"/>
      <c r="L36" s="12"/>
      <c r="M36" s="14">
        <v>22652227</v>
      </c>
      <c r="N36" s="12"/>
      <c r="O36" s="12">
        <f>SUM(M36:N36)</f>
        <v>22652227</v>
      </c>
    </row>
    <row r="37" spans="1:15">
      <c r="G37" t="s">
        <v>381</v>
      </c>
      <c r="H37" s="12"/>
      <c r="I37" s="12"/>
      <c r="J37" s="12"/>
      <c r="K37" s="12"/>
      <c r="L37" s="12"/>
      <c r="M37" s="12"/>
      <c r="N37" s="12"/>
      <c r="O37" s="12"/>
    </row>
    <row r="38" spans="1:15">
      <c r="H38" s="12" t="s">
        <v>382</v>
      </c>
      <c r="I38" s="12"/>
      <c r="J38" s="12"/>
      <c r="K38" s="12"/>
      <c r="L38" s="12"/>
      <c r="M38" s="107">
        <v>29139</v>
      </c>
      <c r="N38" s="12">
        <v>1575</v>
      </c>
      <c r="O38" s="12">
        <f t="shared" ref="O38:O52" si="8">SUM(M38:N38)</f>
        <v>30714</v>
      </c>
    </row>
    <row r="39" spans="1:15">
      <c r="H39" s="12" t="s">
        <v>194</v>
      </c>
      <c r="I39" s="12"/>
      <c r="J39" s="12"/>
      <c r="K39" s="12"/>
      <c r="L39" s="12"/>
      <c r="M39" s="106">
        <v>19566418</v>
      </c>
      <c r="N39" s="12">
        <v>26000</v>
      </c>
      <c r="O39" s="12">
        <f t="shared" si="8"/>
        <v>19592418</v>
      </c>
    </row>
    <row r="40" spans="1:15">
      <c r="G40" t="s">
        <v>383</v>
      </c>
      <c r="H40" s="12"/>
      <c r="I40" s="12"/>
      <c r="J40" s="12"/>
      <c r="K40" s="12"/>
      <c r="L40" s="12"/>
      <c r="M40" s="12"/>
      <c r="N40" s="12"/>
      <c r="O40" s="12"/>
    </row>
    <row r="41" spans="1:15">
      <c r="H41" s="12" t="s">
        <v>272</v>
      </c>
      <c r="I41" s="12"/>
      <c r="J41" s="12"/>
      <c r="K41" s="12"/>
      <c r="L41" s="12"/>
      <c r="M41" s="29">
        <v>824930</v>
      </c>
      <c r="N41" s="12"/>
      <c r="O41" s="12">
        <f t="shared" si="8"/>
        <v>824930</v>
      </c>
    </row>
    <row r="42" spans="1:15">
      <c r="H42" s="12" t="s">
        <v>384</v>
      </c>
      <c r="I42" s="12"/>
      <c r="J42" s="12"/>
      <c r="K42" s="12"/>
      <c r="L42" s="12"/>
      <c r="M42" s="29">
        <v>23175502</v>
      </c>
      <c r="N42" s="12"/>
      <c r="O42" s="12">
        <f t="shared" si="8"/>
        <v>23175502</v>
      </c>
    </row>
    <row r="43" spans="1:15">
      <c r="H43" s="12" t="s">
        <v>385</v>
      </c>
      <c r="I43" s="12"/>
      <c r="J43" s="12"/>
      <c r="K43" s="12"/>
      <c r="L43" s="12"/>
      <c r="M43" s="29">
        <v>1148282</v>
      </c>
      <c r="N43" s="12"/>
      <c r="O43" s="12">
        <f t="shared" si="8"/>
        <v>1148282</v>
      </c>
    </row>
    <row r="44" spans="1:15">
      <c r="H44" s="12" t="s">
        <v>386</v>
      </c>
      <c r="I44" s="12"/>
      <c r="J44" s="12"/>
      <c r="K44" s="12"/>
      <c r="L44" s="12"/>
      <c r="M44" s="29">
        <v>420898</v>
      </c>
      <c r="N44" s="12"/>
      <c r="O44" s="12">
        <f t="shared" si="8"/>
        <v>420898</v>
      </c>
    </row>
    <row r="45" spans="1:15">
      <c r="H45" s="12" t="s">
        <v>387</v>
      </c>
      <c r="I45" s="12"/>
      <c r="J45" s="12"/>
      <c r="K45" s="12"/>
      <c r="L45" s="12"/>
      <c r="M45" s="29">
        <v>87517</v>
      </c>
      <c r="N45" s="12">
        <v>94765</v>
      </c>
      <c r="O45" s="12">
        <f t="shared" si="8"/>
        <v>182282</v>
      </c>
    </row>
    <row r="46" spans="1:15">
      <c r="H46" s="12" t="s">
        <v>211</v>
      </c>
      <c r="I46" s="12"/>
      <c r="J46" s="12"/>
      <c r="K46" s="12"/>
      <c r="L46" s="12"/>
      <c r="M46" s="29">
        <v>75268</v>
      </c>
      <c r="N46" s="12">
        <v>2008</v>
      </c>
      <c r="O46" s="12">
        <f t="shared" si="8"/>
        <v>77276</v>
      </c>
    </row>
    <row r="47" spans="1:15">
      <c r="H47" s="12" t="s">
        <v>388</v>
      </c>
      <c r="I47" s="12"/>
      <c r="J47" s="12"/>
      <c r="K47" s="12"/>
      <c r="L47" s="12"/>
      <c r="M47" s="29">
        <v>126502</v>
      </c>
      <c r="N47" s="12"/>
      <c r="O47" s="12">
        <f t="shared" si="8"/>
        <v>126502</v>
      </c>
    </row>
    <row r="48" spans="1:15">
      <c r="H48" s="12" t="s">
        <v>389</v>
      </c>
      <c r="I48" s="12"/>
      <c r="J48" s="12"/>
      <c r="K48" s="12"/>
      <c r="L48" s="12"/>
      <c r="M48" s="29">
        <v>861753</v>
      </c>
      <c r="N48" s="12">
        <v>350</v>
      </c>
      <c r="O48" s="12">
        <f t="shared" si="8"/>
        <v>862103</v>
      </c>
    </row>
    <row r="49" spans="5:15">
      <c r="H49" s="12" t="s">
        <v>390</v>
      </c>
      <c r="I49" s="12"/>
      <c r="J49" s="12"/>
      <c r="K49" s="12"/>
      <c r="L49" s="12"/>
      <c r="M49" s="29">
        <v>445165</v>
      </c>
      <c r="N49" s="12"/>
      <c r="O49" s="12">
        <f t="shared" si="8"/>
        <v>445165</v>
      </c>
    </row>
    <row r="50" spans="5:15">
      <c r="H50" s="12" t="s">
        <v>36</v>
      </c>
      <c r="I50" s="12"/>
      <c r="J50" s="12"/>
      <c r="K50" s="12"/>
      <c r="L50" s="12"/>
      <c r="M50" s="29">
        <v>170708</v>
      </c>
      <c r="N50" s="12">
        <v>112165</v>
      </c>
      <c r="O50" s="12">
        <f t="shared" si="8"/>
        <v>282873</v>
      </c>
    </row>
    <row r="51" spans="5:15">
      <c r="H51" s="12" t="s">
        <v>391</v>
      </c>
      <c r="I51" s="12"/>
      <c r="J51" s="12"/>
      <c r="K51" s="12"/>
      <c r="L51" s="12"/>
      <c r="M51" s="12"/>
      <c r="N51" s="12">
        <v>54946</v>
      </c>
      <c r="O51" s="12">
        <f t="shared" si="8"/>
        <v>54946</v>
      </c>
    </row>
    <row r="52" spans="5:15">
      <c r="H52" s="12" t="s">
        <v>37</v>
      </c>
      <c r="I52" s="12"/>
      <c r="J52" s="12"/>
      <c r="K52" s="12"/>
      <c r="L52" s="12"/>
      <c r="M52" s="97">
        <v>-3213465</v>
      </c>
      <c r="N52" s="12">
        <v>3213465</v>
      </c>
      <c r="O52" s="12">
        <f t="shared" si="8"/>
        <v>0</v>
      </c>
    </row>
    <row r="53" spans="5:15">
      <c r="H53" s="12"/>
      <c r="I53" s="12"/>
      <c r="J53" s="12"/>
      <c r="K53" s="12"/>
      <c r="L53" s="12"/>
      <c r="M53" s="12"/>
      <c r="N53" s="12"/>
      <c r="O53" s="12"/>
    </row>
    <row r="54" spans="5:15">
      <c r="H54" s="20" t="s">
        <v>338</v>
      </c>
      <c r="I54" s="20"/>
      <c r="J54" s="20"/>
      <c r="K54" s="20"/>
      <c r="L54" s="20"/>
      <c r="M54" s="20">
        <f>SUM(M35:M52)</f>
        <v>78454635</v>
      </c>
      <c r="N54" s="20">
        <f>SUM(N35:N52)</f>
        <v>7840176</v>
      </c>
      <c r="O54" s="20">
        <f>SUM(O35:O51)</f>
        <v>86294811</v>
      </c>
    </row>
    <row r="55" spans="5:15">
      <c r="H55" s="12"/>
      <c r="I55" s="12"/>
      <c r="J55" s="12"/>
      <c r="K55" s="12"/>
      <c r="L55" s="12"/>
      <c r="M55" s="12"/>
      <c r="N55" s="12"/>
      <c r="O55" s="12"/>
    </row>
    <row r="56" spans="5:15">
      <c r="H56" s="20" t="s">
        <v>339</v>
      </c>
      <c r="I56" s="20"/>
      <c r="J56" s="20"/>
      <c r="K56" s="20"/>
      <c r="L56" s="20"/>
      <c r="M56" s="20">
        <f>M54+M31</f>
        <v>45418386</v>
      </c>
      <c r="N56" s="20">
        <f>N54+N31</f>
        <v>-11138487</v>
      </c>
      <c r="O56" s="20">
        <f>O54+O31</f>
        <v>34279899</v>
      </c>
    </row>
    <row r="57" spans="5:15">
      <c r="H57" s="26"/>
      <c r="I57" s="26"/>
      <c r="J57" s="26"/>
      <c r="K57" s="26"/>
      <c r="L57" s="26"/>
      <c r="M57" s="26"/>
      <c r="N57" s="26"/>
      <c r="O57" s="26"/>
    </row>
    <row r="58" spans="5:15">
      <c r="E58" s="31" t="s">
        <v>340</v>
      </c>
      <c r="F58" s="31"/>
      <c r="G58" s="31"/>
      <c r="H58" s="32"/>
      <c r="I58" s="32"/>
      <c r="J58" s="32"/>
      <c r="K58" s="32"/>
      <c r="L58" s="32"/>
      <c r="M58" s="32">
        <v>435090298</v>
      </c>
      <c r="N58" s="32">
        <v>98841733</v>
      </c>
      <c r="O58" s="33">
        <f>SUM(M58:N58)</f>
        <v>533932031</v>
      </c>
    </row>
    <row r="59" spans="5:15">
      <c r="H59" s="12"/>
      <c r="I59" s="12"/>
      <c r="J59" s="12"/>
      <c r="K59" s="12"/>
      <c r="L59" s="12"/>
      <c r="M59" s="12"/>
      <c r="N59" s="12"/>
      <c r="O59" s="12"/>
    </row>
    <row r="60" spans="5:15">
      <c r="E60" s="34" t="s">
        <v>341</v>
      </c>
      <c r="F60" s="34"/>
      <c r="G60" s="34"/>
      <c r="H60" s="35"/>
      <c r="I60" s="35"/>
      <c r="J60" s="35"/>
      <c r="K60" s="35"/>
      <c r="L60" s="92"/>
      <c r="M60" s="92">
        <f>M58+M56</f>
        <v>480508684</v>
      </c>
      <c r="N60" s="92">
        <f t="shared" ref="N60:O60" si="9">N58+N56</f>
        <v>87703246</v>
      </c>
      <c r="O60" s="92">
        <f t="shared" si="9"/>
        <v>568211930</v>
      </c>
    </row>
    <row r="67" spans="11:15">
      <c r="K67" s="9"/>
      <c r="L67" s="9"/>
      <c r="M67" s="9"/>
      <c r="N67" s="9"/>
      <c r="O67" s="9"/>
    </row>
  </sheetData>
  <mergeCells count="4">
    <mergeCell ref="J1:O1"/>
    <mergeCell ref="J2:O2"/>
    <mergeCell ref="J5:L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Q61"/>
  <sheetViews>
    <sheetView topLeftCell="A7" workbookViewId="0">
      <selection activeCell="I22" sqref="I22:I23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  <col min="16" max="16" width="14.42578125" customWidth="1"/>
    <col min="17" max="17" width="15.7109375" customWidth="1"/>
  </cols>
  <sheetData>
    <row r="1" spans="1:17" ht="30" customHeight="1">
      <c r="J1" s="258" t="s">
        <v>392</v>
      </c>
      <c r="K1" s="258"/>
      <c r="L1" s="258"/>
      <c r="M1" s="258"/>
      <c r="N1" s="170"/>
      <c r="O1" s="170"/>
    </row>
    <row r="2" spans="1:17" ht="21.75" customHeight="1">
      <c r="J2" s="259" t="s">
        <v>1</v>
      </c>
      <c r="K2" s="259"/>
      <c r="L2" s="259"/>
      <c r="M2" s="259"/>
      <c r="N2" s="171"/>
      <c r="O2" s="171"/>
    </row>
    <row r="3" spans="1:17" ht="21.75" customHeight="1">
      <c r="J3" s="171"/>
      <c r="K3" s="116"/>
      <c r="L3" s="171"/>
      <c r="M3" s="171"/>
      <c r="N3" s="171"/>
      <c r="O3" s="171"/>
    </row>
    <row r="4" spans="1:17" ht="18.75" customHeight="1">
      <c r="E4" s="3"/>
      <c r="F4" s="3"/>
      <c r="G4" s="3"/>
      <c r="H4" s="3"/>
      <c r="I4" s="3"/>
      <c r="J4" s="3"/>
      <c r="K4" s="3"/>
      <c r="L4" s="3"/>
    </row>
    <row r="5" spans="1:17" ht="30.75" customHeight="1">
      <c r="E5" s="2"/>
      <c r="M5" s="260" t="s">
        <v>2</v>
      </c>
      <c r="N5" s="260"/>
      <c r="O5" s="260"/>
      <c r="P5" s="260"/>
    </row>
    <row r="6" spans="1:17" ht="15" customHeight="1">
      <c r="A6" t="s">
        <v>3</v>
      </c>
      <c r="C6" s="4"/>
      <c r="D6" s="4"/>
      <c r="E6" s="4"/>
      <c r="F6" s="4"/>
      <c r="G6" s="4"/>
      <c r="H6" s="4"/>
      <c r="I6" s="4"/>
      <c r="J6" s="260" t="s">
        <v>4</v>
      </c>
      <c r="K6" s="260"/>
      <c r="L6" s="260"/>
      <c r="M6" s="262" t="s">
        <v>5</v>
      </c>
      <c r="N6" s="262"/>
      <c r="O6" s="262"/>
      <c r="P6" s="273" t="s">
        <v>12</v>
      </c>
      <c r="Q6" s="273"/>
    </row>
    <row r="7" spans="1:17" ht="44.25" customHeight="1">
      <c r="A7" s="5" t="s">
        <v>6</v>
      </c>
      <c r="I7" s="6" t="s">
        <v>7</v>
      </c>
      <c r="J7" s="6" t="s">
        <v>8</v>
      </c>
      <c r="K7" s="6" t="s">
        <v>9</v>
      </c>
      <c r="L7" s="6" t="s">
        <v>10</v>
      </c>
      <c r="M7" s="6" t="s">
        <v>48</v>
      </c>
      <c r="N7" s="6" t="s">
        <v>49</v>
      </c>
      <c r="O7" s="6" t="s">
        <v>50</v>
      </c>
      <c r="P7" s="90" t="s">
        <v>48</v>
      </c>
      <c r="Q7" s="126" t="s">
        <v>49</v>
      </c>
    </row>
    <row r="8" spans="1:17" ht="30.75" customHeight="1">
      <c r="A8" s="8" t="s">
        <v>13</v>
      </c>
      <c r="I8" s="9"/>
      <c r="J8" s="9"/>
      <c r="K8" s="9"/>
      <c r="L8" s="9"/>
    </row>
    <row r="9" spans="1:17">
      <c r="B9" s="10" t="s">
        <v>14</v>
      </c>
      <c r="I9" s="9"/>
      <c r="J9" s="9"/>
      <c r="K9" s="9"/>
      <c r="L9" s="9"/>
      <c r="M9" s="9"/>
      <c r="N9" s="9"/>
      <c r="O9" s="9"/>
    </row>
    <row r="10" spans="1:17">
      <c r="C10" t="s">
        <v>15</v>
      </c>
      <c r="H10" s="12"/>
      <c r="I10" s="11">
        <v>-2657151</v>
      </c>
      <c r="J10" s="12">
        <v>1560064</v>
      </c>
      <c r="K10" s="12">
        <v>452080</v>
      </c>
      <c r="L10" s="12"/>
      <c r="M10" s="12">
        <f t="shared" ref="M10:M17" si="0">SUM(I10:L10)</f>
        <v>-645007</v>
      </c>
      <c r="N10" s="12"/>
      <c r="O10" s="12">
        <f t="shared" ref="O10:O17" si="1">SUM(M10:N10)</f>
        <v>-645007</v>
      </c>
    </row>
    <row r="11" spans="1:17">
      <c r="C11" t="s">
        <v>16</v>
      </c>
      <c r="H11" s="12"/>
      <c r="I11" s="13">
        <v>-1205124</v>
      </c>
      <c r="J11" s="12">
        <v>181727</v>
      </c>
      <c r="K11" s="12">
        <v>103603</v>
      </c>
      <c r="L11" s="12">
        <v>2884063</v>
      </c>
      <c r="M11" s="12">
        <f t="shared" si="0"/>
        <v>1964269</v>
      </c>
      <c r="N11" s="12"/>
      <c r="O11" s="12">
        <f t="shared" si="1"/>
        <v>1964269</v>
      </c>
    </row>
    <row r="12" spans="1:17">
      <c r="C12" t="s">
        <v>83</v>
      </c>
      <c r="H12" s="12"/>
      <c r="I12" s="14">
        <v>-1249402</v>
      </c>
      <c r="J12" s="12">
        <v>26509</v>
      </c>
      <c r="K12" s="12"/>
      <c r="L12" s="12"/>
      <c r="M12" s="12">
        <f t="shared" si="0"/>
        <v>-1222893</v>
      </c>
      <c r="N12" s="12"/>
      <c r="O12" s="12">
        <f t="shared" si="1"/>
        <v>-1222893</v>
      </c>
    </row>
    <row r="13" spans="1:17">
      <c r="C13" t="s">
        <v>19</v>
      </c>
      <c r="H13" s="12"/>
      <c r="I13" s="15">
        <v>-3057780</v>
      </c>
      <c r="J13" s="12">
        <v>10603</v>
      </c>
      <c r="K13" s="12">
        <v>249679</v>
      </c>
      <c r="L13" s="12"/>
      <c r="M13" s="12">
        <f>SUM(I13:L13)</f>
        <v>-2797498</v>
      </c>
      <c r="N13" s="12"/>
      <c r="O13" s="12">
        <f t="shared" si="1"/>
        <v>-2797498</v>
      </c>
    </row>
    <row r="14" spans="1:17">
      <c r="C14" t="s">
        <v>20</v>
      </c>
      <c r="H14" s="12"/>
      <c r="I14" s="16">
        <v>-2128071</v>
      </c>
      <c r="J14" s="12">
        <v>49928</v>
      </c>
      <c r="K14" s="12">
        <v>1291543</v>
      </c>
      <c r="L14" s="12"/>
      <c r="M14" s="12">
        <f t="shared" si="0"/>
        <v>-786600</v>
      </c>
      <c r="N14" s="12"/>
      <c r="O14" s="12">
        <f t="shared" si="1"/>
        <v>-786600</v>
      </c>
    </row>
    <row r="15" spans="1:17">
      <c r="C15" t="s">
        <v>393</v>
      </c>
      <c r="H15" s="12"/>
      <c r="I15" s="107">
        <v>-1425494</v>
      </c>
      <c r="J15" s="12">
        <v>182692</v>
      </c>
      <c r="K15" s="12">
        <v>282496</v>
      </c>
      <c r="L15" s="12">
        <v>72473</v>
      </c>
      <c r="M15" s="12">
        <f t="shared" si="0"/>
        <v>-887833</v>
      </c>
      <c r="N15" s="12"/>
      <c r="O15" s="12">
        <f t="shared" si="1"/>
        <v>-887833</v>
      </c>
    </row>
    <row r="16" spans="1:17">
      <c r="C16" t="s">
        <v>71</v>
      </c>
      <c r="H16" s="12"/>
      <c r="I16" s="102">
        <v>-145546</v>
      </c>
      <c r="J16" s="12"/>
      <c r="K16" s="12"/>
      <c r="L16" s="12"/>
      <c r="M16" s="12">
        <f>SUM(I16:L16)</f>
        <v>-145546</v>
      </c>
      <c r="N16" s="12"/>
      <c r="O16" s="12">
        <f t="shared" si="1"/>
        <v>-145546</v>
      </c>
    </row>
    <row r="17" spans="1:17">
      <c r="C17" t="s">
        <v>21</v>
      </c>
      <c r="H17" s="12"/>
      <c r="I17" s="98">
        <v>-261827</v>
      </c>
      <c r="J17" s="12"/>
      <c r="K17" s="12"/>
      <c r="L17" s="12"/>
      <c r="M17" s="12">
        <f t="shared" si="0"/>
        <v>-261827</v>
      </c>
      <c r="N17" s="12"/>
      <c r="O17" s="12">
        <f t="shared" si="1"/>
        <v>-261827</v>
      </c>
    </row>
    <row r="18" spans="1:17">
      <c r="H18" s="12"/>
      <c r="I18" s="12"/>
      <c r="J18" s="12"/>
      <c r="K18" s="12"/>
      <c r="L18" s="12"/>
      <c r="M18" s="12"/>
      <c r="N18" s="12"/>
      <c r="O18" s="12"/>
    </row>
    <row r="19" spans="1:17">
      <c r="E19" s="19" t="s">
        <v>22</v>
      </c>
      <c r="F19" s="19"/>
      <c r="G19" s="19"/>
      <c r="H19" s="20"/>
      <c r="I19" s="20">
        <f>SUM(I10:I17)</f>
        <v>-12130395</v>
      </c>
      <c r="J19" s="20">
        <f>SUM(J10:J17)</f>
        <v>2011523</v>
      </c>
      <c r="K19" s="20">
        <f>SUM(K10:K17)</f>
        <v>2379401</v>
      </c>
      <c r="L19" s="20">
        <f>SUM(L10:L17)</f>
        <v>2956536</v>
      </c>
      <c r="M19" s="91">
        <f>SUM(M10:M17)</f>
        <v>-4782935</v>
      </c>
      <c r="N19" s="91"/>
      <c r="O19" s="91">
        <f>SUM(O10:O17)</f>
        <v>-4782935</v>
      </c>
      <c r="P19" s="93">
        <f>SUM(P10:P17)</f>
        <v>0</v>
      </c>
      <c r="Q19" s="93">
        <f>SUM(Q10:Q17)</f>
        <v>0</v>
      </c>
    </row>
    <row r="20" spans="1:17">
      <c r="E20" s="8"/>
      <c r="F20" s="8"/>
      <c r="G20" s="8"/>
      <c r="H20" s="26"/>
      <c r="I20" s="26"/>
      <c r="J20" s="26"/>
      <c r="K20" s="26"/>
      <c r="L20" s="26"/>
      <c r="M20" s="26"/>
      <c r="N20" s="26"/>
      <c r="O20" s="26"/>
    </row>
    <row r="21" spans="1:17">
      <c r="B21" s="10" t="s">
        <v>84</v>
      </c>
      <c r="E21" s="8"/>
      <c r="F21" s="8"/>
      <c r="G21" s="8"/>
      <c r="H21" s="26"/>
      <c r="I21" s="26"/>
      <c r="J21" s="26"/>
      <c r="K21" s="26"/>
      <c r="L21" s="26"/>
      <c r="M21" s="26"/>
      <c r="N21" s="26"/>
      <c r="O21" s="26"/>
    </row>
    <row r="22" spans="1:17">
      <c r="C22" t="s">
        <v>394</v>
      </c>
      <c r="E22" s="8"/>
      <c r="F22" s="8"/>
      <c r="G22" s="8"/>
      <c r="H22" s="26"/>
      <c r="I22" s="249">
        <v>-1834512</v>
      </c>
      <c r="J22" s="88">
        <v>2057186</v>
      </c>
      <c r="K22" s="88"/>
      <c r="L22" s="88"/>
      <c r="M22" s="88"/>
      <c r="N22" s="88">
        <f>SUM(I22:L22)</f>
        <v>222674</v>
      </c>
      <c r="O22" s="88">
        <f>SUM(M22:N22)</f>
        <v>222674</v>
      </c>
    </row>
    <row r="23" spans="1:17">
      <c r="C23" t="s">
        <v>171</v>
      </c>
      <c r="E23" s="8"/>
      <c r="F23" s="8"/>
      <c r="G23" s="8"/>
      <c r="H23" s="26"/>
      <c r="I23" s="249">
        <v>-68290</v>
      </c>
      <c r="J23" s="88">
        <v>75989</v>
      </c>
      <c r="K23" s="88"/>
      <c r="L23" s="88"/>
      <c r="M23" s="88"/>
      <c r="N23" s="88">
        <f t="shared" ref="N23:N24" si="2">SUM(I23:L23)</f>
        <v>7699</v>
      </c>
      <c r="O23" s="88">
        <f t="shared" ref="O23:O24" si="3">SUM(M23:N23)</f>
        <v>7699</v>
      </c>
    </row>
    <row r="24" spans="1:17">
      <c r="C24" t="s">
        <v>395</v>
      </c>
      <c r="E24" s="8"/>
      <c r="F24" s="8"/>
      <c r="G24" s="8"/>
      <c r="H24" s="26"/>
      <c r="I24" s="248">
        <v>-2409014</v>
      </c>
      <c r="J24" s="88">
        <v>2080615</v>
      </c>
      <c r="K24" s="88"/>
      <c r="L24" s="88"/>
      <c r="M24" s="88"/>
      <c r="N24" s="88">
        <f t="shared" si="2"/>
        <v>-328399</v>
      </c>
      <c r="O24" s="88">
        <f t="shared" si="3"/>
        <v>-328399</v>
      </c>
    </row>
    <row r="25" spans="1:17">
      <c r="C25" t="s">
        <v>396</v>
      </c>
      <c r="E25" s="8"/>
      <c r="F25" s="8"/>
      <c r="G25" s="8"/>
      <c r="H25" s="26"/>
      <c r="I25" s="247">
        <v>-181604</v>
      </c>
      <c r="J25" s="88">
        <v>17792</v>
      </c>
      <c r="K25" s="88">
        <v>135250</v>
      </c>
      <c r="L25" s="88"/>
      <c r="M25" s="88"/>
      <c r="N25" s="88">
        <f>SUM(I25:L25)</f>
        <v>-28562</v>
      </c>
      <c r="O25" s="88">
        <f>SUM(M25:N25)</f>
        <v>-28562</v>
      </c>
    </row>
    <row r="26" spans="1:17">
      <c r="E26" s="8"/>
      <c r="F26" s="8"/>
      <c r="G26" s="8"/>
      <c r="H26" s="26"/>
      <c r="I26" s="26"/>
      <c r="J26" s="26"/>
      <c r="K26" s="26"/>
      <c r="L26" s="26"/>
      <c r="M26" s="26"/>
      <c r="N26" s="26"/>
      <c r="O26" s="26"/>
    </row>
    <row r="27" spans="1:17">
      <c r="E27" s="19" t="s">
        <v>173</v>
      </c>
      <c r="F27" s="19"/>
      <c r="G27" s="19"/>
      <c r="H27" s="20"/>
      <c r="I27" s="20">
        <f t="shared" ref="I27:O27" si="4">SUM(I22:I25)</f>
        <v>-4493420</v>
      </c>
      <c r="J27" s="20">
        <f t="shared" si="4"/>
        <v>4231582</v>
      </c>
      <c r="K27" s="20">
        <f t="shared" si="4"/>
        <v>135250</v>
      </c>
      <c r="L27" s="20">
        <f t="shared" si="4"/>
        <v>0</v>
      </c>
      <c r="M27" s="91">
        <f t="shared" si="4"/>
        <v>0</v>
      </c>
      <c r="N27" s="91">
        <f t="shared" si="4"/>
        <v>-126588</v>
      </c>
      <c r="O27" s="91">
        <f t="shared" si="4"/>
        <v>-126588</v>
      </c>
      <c r="P27" s="93">
        <f>SUM(P15:P25)</f>
        <v>0</v>
      </c>
      <c r="Q27" s="93">
        <f>SUM(Q15:Q25)</f>
        <v>0</v>
      </c>
    </row>
    <row r="28" spans="1:17">
      <c r="E28" s="8"/>
      <c r="F28" s="8"/>
      <c r="G28" s="8"/>
      <c r="H28" s="26"/>
      <c r="I28" s="26"/>
      <c r="J28" s="26"/>
      <c r="K28" s="26"/>
      <c r="L28" s="26"/>
      <c r="M28" s="26"/>
      <c r="N28" s="26"/>
      <c r="O28" s="26"/>
    </row>
    <row r="29" spans="1:17">
      <c r="E29" s="19" t="s">
        <v>89</v>
      </c>
      <c r="F29" s="19"/>
      <c r="G29" s="19"/>
      <c r="H29" s="20"/>
      <c r="I29" s="20">
        <f>I27+I19</f>
        <v>-16623815</v>
      </c>
      <c r="J29" s="20">
        <f>J27+J19</f>
        <v>6243105</v>
      </c>
      <c r="K29" s="20">
        <f>SUM(K19+K27)</f>
        <v>2514651</v>
      </c>
      <c r="L29" s="20">
        <f>SUM(L19+L27)</f>
        <v>2956536</v>
      </c>
      <c r="M29" s="91">
        <f>M27+M19</f>
        <v>-4782935</v>
      </c>
      <c r="N29" s="91">
        <f>N27+N19</f>
        <v>-126588</v>
      </c>
      <c r="O29" s="91">
        <f>O27+O19</f>
        <v>-4909523</v>
      </c>
      <c r="P29" s="93">
        <f>SUM(P18:P27)</f>
        <v>0</v>
      </c>
      <c r="Q29" s="93">
        <f>SUM(Q18:Q27)</f>
        <v>0</v>
      </c>
    </row>
    <row r="30" spans="1:17">
      <c r="E30" s="8"/>
      <c r="F30" s="8"/>
      <c r="G30" s="8"/>
      <c r="H30" s="26"/>
      <c r="I30" s="26"/>
      <c r="J30" s="26"/>
      <c r="K30" s="26"/>
      <c r="L30" s="26"/>
      <c r="M30" s="26"/>
      <c r="N30" s="26"/>
      <c r="O30" s="26"/>
    </row>
    <row r="31" spans="1:17">
      <c r="A31" s="10" t="s">
        <v>23</v>
      </c>
      <c r="H31" s="12"/>
      <c r="I31" s="12"/>
      <c r="J31" s="12"/>
      <c r="K31" s="12"/>
      <c r="L31" s="12"/>
      <c r="M31" s="12"/>
      <c r="N31" s="12"/>
      <c r="O31" s="12"/>
    </row>
    <row r="32" spans="1:17">
      <c r="B32" t="s">
        <v>90</v>
      </c>
      <c r="H32" s="12"/>
      <c r="I32" s="12">
        <v>-13573016</v>
      </c>
      <c r="J32" s="12">
        <v>2934473</v>
      </c>
      <c r="K32" s="12">
        <v>491997</v>
      </c>
      <c r="L32" s="12">
        <v>461833</v>
      </c>
      <c r="M32" s="12"/>
      <c r="N32" s="12"/>
      <c r="O32" s="12"/>
      <c r="P32" s="12">
        <f>SUM(I32:L32)</f>
        <v>-9684713</v>
      </c>
    </row>
    <row r="33" spans="1:17">
      <c r="B33" t="s">
        <v>91</v>
      </c>
      <c r="H33" s="12"/>
      <c r="I33" s="12">
        <v>-24380811</v>
      </c>
      <c r="J33" s="12">
        <v>21286639</v>
      </c>
      <c r="K33" s="12">
        <v>1071083</v>
      </c>
      <c r="L33" s="12">
        <v>739238</v>
      </c>
      <c r="M33" s="12"/>
      <c r="N33" s="12"/>
      <c r="O33" s="12"/>
      <c r="Q33" s="12">
        <f>SUM(I33:L33)</f>
        <v>-1283851</v>
      </c>
    </row>
    <row r="34" spans="1:17">
      <c r="H34" s="12"/>
      <c r="I34" s="12"/>
      <c r="J34" s="12"/>
      <c r="K34" s="12"/>
      <c r="L34" s="12"/>
      <c r="M34" s="12"/>
      <c r="N34" s="12"/>
      <c r="O34" s="12"/>
    </row>
    <row r="35" spans="1:17">
      <c r="E35" s="19" t="s">
        <v>92</v>
      </c>
      <c r="F35" s="19"/>
      <c r="G35" s="19"/>
      <c r="H35" s="20"/>
      <c r="I35" s="20">
        <f t="shared" ref="I35:Q35" si="5">SUM(I32:I33)</f>
        <v>-37953827</v>
      </c>
      <c r="J35" s="20">
        <f t="shared" si="5"/>
        <v>24221112</v>
      </c>
      <c r="K35" s="20">
        <f t="shared" si="5"/>
        <v>1563080</v>
      </c>
      <c r="L35" s="20">
        <f t="shared" si="5"/>
        <v>1201071</v>
      </c>
      <c r="M35" s="91">
        <f t="shared" si="5"/>
        <v>0</v>
      </c>
      <c r="N35" s="91">
        <f t="shared" si="5"/>
        <v>0</v>
      </c>
      <c r="O35" s="91">
        <f t="shared" si="5"/>
        <v>0</v>
      </c>
      <c r="P35" s="94">
        <f t="shared" si="5"/>
        <v>-9684713</v>
      </c>
      <c r="Q35" s="94">
        <f t="shared" si="5"/>
        <v>-1283851</v>
      </c>
    </row>
    <row r="36" spans="1:17">
      <c r="H36" s="12"/>
      <c r="I36" s="12"/>
      <c r="J36" s="12"/>
      <c r="K36" s="12"/>
      <c r="L36" s="12"/>
      <c r="M36" s="12"/>
      <c r="N36" s="12"/>
      <c r="O36" s="12"/>
    </row>
    <row r="37" spans="1:17">
      <c r="A37" s="8"/>
      <c r="B37" s="8"/>
      <c r="C37" s="8"/>
      <c r="D37" s="8"/>
      <c r="E37" s="8"/>
      <c r="G37" s="8" t="s">
        <v>25</v>
      </c>
      <c r="H37" s="26"/>
      <c r="I37" s="26"/>
      <c r="J37" s="26"/>
      <c r="K37" s="26"/>
      <c r="L37" s="26"/>
      <c r="M37" s="12"/>
      <c r="N37" s="12"/>
      <c r="O37" s="12"/>
    </row>
    <row r="38" spans="1:17">
      <c r="A38" s="8"/>
      <c r="B38" s="8"/>
      <c r="C38" s="8"/>
      <c r="D38" s="8"/>
      <c r="E38" s="8"/>
      <c r="G38" s="8"/>
      <c r="H38" s="88" t="s">
        <v>26</v>
      </c>
      <c r="I38" s="26"/>
      <c r="J38" s="26"/>
      <c r="K38" s="26"/>
      <c r="L38" s="26"/>
      <c r="M38" s="12"/>
      <c r="N38" s="12"/>
      <c r="O38" s="12"/>
    </row>
    <row r="39" spans="1:17">
      <c r="H39" s="12"/>
      <c r="I39" s="12" t="s">
        <v>27</v>
      </c>
      <c r="J39" s="12"/>
      <c r="K39" s="12"/>
      <c r="L39" s="12"/>
      <c r="M39" s="28">
        <v>2823306</v>
      </c>
      <c r="N39" s="12"/>
      <c r="O39" s="12">
        <f t="shared" ref="O39:O46" si="6">SUM(M39:N39)</f>
        <v>2823306</v>
      </c>
      <c r="P39" s="12">
        <v>8819331</v>
      </c>
      <c r="Q39">
        <v>222029</v>
      </c>
    </row>
    <row r="40" spans="1:17">
      <c r="H40" s="12"/>
      <c r="I40" s="12" t="s">
        <v>28</v>
      </c>
      <c r="J40" s="12"/>
      <c r="K40" s="12"/>
      <c r="L40" s="12"/>
      <c r="M40" s="14">
        <v>3130788</v>
      </c>
      <c r="N40" s="12">
        <v>659113</v>
      </c>
      <c r="O40" s="12">
        <f t="shared" si="6"/>
        <v>3789901</v>
      </c>
      <c r="P40" s="12">
        <v>997764</v>
      </c>
      <c r="Q40" s="12">
        <v>1939211</v>
      </c>
    </row>
    <row r="41" spans="1:17">
      <c r="H41" s="12"/>
      <c r="I41" s="12" t="s">
        <v>180</v>
      </c>
      <c r="J41" s="12"/>
      <c r="K41" s="12"/>
      <c r="L41" s="12"/>
      <c r="M41" s="14">
        <v>40786</v>
      </c>
      <c r="N41" s="12"/>
      <c r="O41" s="12">
        <f t="shared" si="6"/>
        <v>40786</v>
      </c>
      <c r="P41" s="12"/>
      <c r="Q41">
        <v>4</v>
      </c>
    </row>
    <row r="42" spans="1:17">
      <c r="H42" s="12"/>
      <c r="I42" s="12" t="s">
        <v>32</v>
      </c>
      <c r="J42" s="12"/>
      <c r="K42" s="12"/>
      <c r="L42" s="12"/>
      <c r="M42" s="15">
        <v>151169</v>
      </c>
      <c r="N42" s="12"/>
      <c r="O42" s="12">
        <f t="shared" si="6"/>
        <v>151169</v>
      </c>
      <c r="P42" s="12">
        <v>144707</v>
      </c>
      <c r="Q42">
        <v>2198</v>
      </c>
    </row>
    <row r="43" spans="1:17">
      <c r="H43" s="12" t="s">
        <v>33</v>
      </c>
      <c r="I43" s="12"/>
      <c r="J43" s="12"/>
      <c r="K43" s="12"/>
      <c r="L43" s="12"/>
      <c r="M43" s="11">
        <v>39909</v>
      </c>
      <c r="N43" s="12"/>
      <c r="O43" s="12">
        <f t="shared" si="6"/>
        <v>39909</v>
      </c>
      <c r="P43" s="12">
        <v>590985</v>
      </c>
      <c r="Q43">
        <v>649634</v>
      </c>
    </row>
    <row r="44" spans="1:17">
      <c r="H44" s="12" t="s">
        <v>77</v>
      </c>
      <c r="I44" s="12"/>
      <c r="J44" s="12"/>
      <c r="K44" s="12"/>
      <c r="L44" s="12"/>
      <c r="M44" s="29">
        <v>15856</v>
      </c>
      <c r="N44" s="12">
        <v>18</v>
      </c>
      <c r="O44" s="12">
        <f>SUM(M44:N44)</f>
        <v>15874</v>
      </c>
      <c r="P44" s="12">
        <v>22143</v>
      </c>
      <c r="Q44" s="12">
        <v>244469</v>
      </c>
    </row>
    <row r="45" spans="1:17">
      <c r="H45" s="12" t="s">
        <v>397</v>
      </c>
      <c r="I45" s="12"/>
      <c r="J45" s="12"/>
      <c r="K45" s="12"/>
      <c r="L45" s="12"/>
      <c r="M45" s="29">
        <v>31626</v>
      </c>
      <c r="N45" s="12">
        <v>2678</v>
      </c>
      <c r="O45" s="12">
        <f t="shared" si="6"/>
        <v>34304</v>
      </c>
      <c r="P45" s="12">
        <v>19700</v>
      </c>
      <c r="Q45">
        <v>-3517</v>
      </c>
    </row>
    <row r="46" spans="1:17">
      <c r="H46" s="12" t="s">
        <v>240</v>
      </c>
      <c r="I46" s="12"/>
      <c r="J46" s="12"/>
      <c r="K46" s="12"/>
      <c r="L46" s="12"/>
      <c r="M46" s="97">
        <v>352750</v>
      </c>
      <c r="N46" s="12">
        <v>-352750</v>
      </c>
      <c r="O46" s="12">
        <f t="shared" si="6"/>
        <v>0</v>
      </c>
      <c r="P46" s="9"/>
    </row>
    <row r="47" spans="1:17">
      <c r="H47" s="12"/>
      <c r="I47" s="12"/>
      <c r="J47" s="12"/>
      <c r="K47" s="12"/>
      <c r="L47" s="12"/>
      <c r="M47" s="12"/>
      <c r="N47" s="12"/>
      <c r="O47" s="12"/>
    </row>
    <row r="48" spans="1:17">
      <c r="H48" s="20" t="s">
        <v>38</v>
      </c>
      <c r="I48" s="20"/>
      <c r="J48" s="20"/>
      <c r="K48" s="20"/>
      <c r="L48" s="20"/>
      <c r="M48" s="20">
        <f>SUM(M39:M46)</f>
        <v>6586190</v>
      </c>
      <c r="N48" s="20">
        <f>SUM(N39:N46)</f>
        <v>309059</v>
      </c>
      <c r="O48" s="20">
        <f>SUM(O39:O46)</f>
        <v>6895249</v>
      </c>
      <c r="P48" s="94">
        <f>SUM(P39:P46)</f>
        <v>10594630</v>
      </c>
      <c r="Q48" s="93">
        <f>SUM(Q39:Q46)</f>
        <v>3054028</v>
      </c>
    </row>
    <row r="49" spans="5:17">
      <c r="H49" s="12"/>
      <c r="I49" s="12"/>
      <c r="J49" s="12"/>
      <c r="K49" s="12"/>
      <c r="L49" s="12"/>
      <c r="M49" s="12"/>
      <c r="N49" s="12"/>
      <c r="O49" s="12"/>
    </row>
    <row r="50" spans="5:17">
      <c r="H50" s="20" t="s">
        <v>39</v>
      </c>
      <c r="I50" s="20"/>
      <c r="J50" s="20"/>
      <c r="K50" s="20"/>
      <c r="L50" s="20"/>
      <c r="M50" s="20">
        <f>M48+M19</f>
        <v>1803255</v>
      </c>
      <c r="N50" s="20">
        <f>N48+N29</f>
        <v>182471</v>
      </c>
      <c r="O50" s="20">
        <f t="shared" ref="O50" si="7">O48+O29</f>
        <v>1985726</v>
      </c>
      <c r="P50" s="20">
        <f>P48+P35</f>
        <v>909917</v>
      </c>
      <c r="Q50" s="20">
        <f>Q48+Q35</f>
        <v>1770177</v>
      </c>
    </row>
    <row r="51" spans="5:17">
      <c r="H51" s="26"/>
      <c r="I51" s="26"/>
      <c r="J51" s="26"/>
      <c r="K51" s="26"/>
      <c r="L51" s="26"/>
      <c r="M51" s="26"/>
      <c r="N51" s="26"/>
      <c r="O51" s="26"/>
    </row>
    <row r="52" spans="5:17">
      <c r="E52" s="31" t="s">
        <v>273</v>
      </c>
      <c r="F52" s="31"/>
      <c r="G52" s="31"/>
      <c r="H52" s="32"/>
      <c r="I52" s="32"/>
      <c r="J52" s="32"/>
      <c r="K52" s="32"/>
      <c r="L52" s="32"/>
      <c r="M52" s="33">
        <v>11697743</v>
      </c>
      <c r="N52" s="33">
        <v>1838160</v>
      </c>
      <c r="O52" s="33">
        <f>SUM(M52:N52)</f>
        <v>13535903</v>
      </c>
      <c r="P52" s="95">
        <v>26240813</v>
      </c>
      <c r="Q52" s="95">
        <v>40526584</v>
      </c>
    </row>
    <row r="53" spans="5:17">
      <c r="H53" s="12"/>
      <c r="I53" s="12"/>
      <c r="J53" s="12"/>
      <c r="K53" s="12"/>
      <c r="L53" s="12"/>
      <c r="M53" s="12"/>
      <c r="N53" s="12"/>
      <c r="O53" s="12"/>
    </row>
    <row r="54" spans="5:17">
      <c r="E54" s="34" t="s">
        <v>44</v>
      </c>
      <c r="F54" s="34"/>
      <c r="G54" s="34"/>
      <c r="H54" s="35"/>
      <c r="I54" s="35"/>
      <c r="J54" s="35"/>
      <c r="K54" s="35"/>
      <c r="L54" s="35"/>
      <c r="M54" s="92">
        <f>SUM(M50,M52)</f>
        <v>13500998</v>
      </c>
      <c r="N54" s="92">
        <f>N52+N50</f>
        <v>2020631</v>
      </c>
      <c r="O54" s="92">
        <f>O52+O50</f>
        <v>15521629</v>
      </c>
      <c r="P54" s="96">
        <f>P52+P50</f>
        <v>27150730</v>
      </c>
      <c r="Q54" s="96">
        <f>Q52+Q50</f>
        <v>42296761</v>
      </c>
    </row>
    <row r="61" spans="5:17">
      <c r="K61" s="9"/>
      <c r="L61" s="9"/>
      <c r="M61" s="9"/>
      <c r="N61" s="9"/>
      <c r="O61" s="9"/>
    </row>
  </sheetData>
  <mergeCells count="6">
    <mergeCell ref="J1:M1"/>
    <mergeCell ref="J2:M2"/>
    <mergeCell ref="M5:P5"/>
    <mergeCell ref="J6:L6"/>
    <mergeCell ref="M6:O6"/>
    <mergeCell ref="P6:Q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48"/>
  <sheetViews>
    <sheetView topLeftCell="A6" workbookViewId="0">
      <selection activeCell="H31" sqref="H31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4" width="19.28515625" customWidth="1"/>
  </cols>
  <sheetData>
    <row r="1" spans="1:14" ht="27.75" customHeight="1">
      <c r="J1" s="258" t="s">
        <v>398</v>
      </c>
      <c r="K1" s="258"/>
      <c r="L1" s="258"/>
      <c r="M1" s="258"/>
      <c r="N1" s="258"/>
    </row>
    <row r="2" spans="1:14" ht="18">
      <c r="J2" s="259" t="s">
        <v>1</v>
      </c>
      <c r="K2" s="259"/>
      <c r="L2" s="259"/>
      <c r="M2" s="259"/>
      <c r="N2" s="259"/>
    </row>
    <row r="3" spans="1:14" ht="15.75"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customHeight="1">
      <c r="E4" s="2"/>
    </row>
    <row r="5" spans="1:14" ht="35.2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0" t="s">
        <v>97</v>
      </c>
      <c r="N5" s="260"/>
    </row>
    <row r="6" spans="1:14" ht="30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124">
        <v>2013</v>
      </c>
      <c r="N6" s="124">
        <v>2012</v>
      </c>
    </row>
    <row r="7" spans="1:14">
      <c r="A7" s="8" t="s">
        <v>376</v>
      </c>
      <c r="I7" s="9"/>
      <c r="J7" s="9"/>
      <c r="K7" s="9"/>
      <c r="L7" s="9"/>
      <c r="M7" s="9"/>
      <c r="N7" s="9"/>
    </row>
    <row r="8" spans="1:14">
      <c r="C8" t="s">
        <v>15</v>
      </c>
      <c r="H8" s="12"/>
      <c r="I8" s="12"/>
      <c r="J8" s="12"/>
      <c r="K8" s="12"/>
      <c r="L8" s="12"/>
      <c r="M8" s="12"/>
      <c r="N8" s="12"/>
    </row>
    <row r="9" spans="1:14">
      <c r="D9" t="s">
        <v>99</v>
      </c>
      <c r="I9" s="97">
        <v>-435329</v>
      </c>
      <c r="J9" s="12"/>
      <c r="K9" s="12"/>
      <c r="L9" s="12"/>
      <c r="M9" s="12">
        <f t="shared" ref="M9:M19" si="0">SUM(I9:L9)</f>
        <v>-435329</v>
      </c>
      <c r="N9" s="12">
        <v>-541648</v>
      </c>
    </row>
    <row r="10" spans="1:14">
      <c r="D10" t="s">
        <v>100</v>
      </c>
      <c r="I10" s="98">
        <v>-4988816</v>
      </c>
      <c r="J10" s="12">
        <v>2744332</v>
      </c>
      <c r="K10" s="12">
        <v>205424</v>
      </c>
      <c r="L10" s="12"/>
      <c r="M10" s="12">
        <f t="shared" si="0"/>
        <v>-2039060</v>
      </c>
      <c r="N10" s="12">
        <v>-2248970</v>
      </c>
    </row>
    <row r="11" spans="1:14">
      <c r="D11" t="s">
        <v>102</v>
      </c>
      <c r="I11" s="101">
        <v>-330382</v>
      </c>
      <c r="J11" s="12"/>
      <c r="K11" s="12"/>
      <c r="L11" s="12"/>
      <c r="M11" s="12">
        <f t="shared" si="0"/>
        <v>-330382</v>
      </c>
      <c r="N11" s="12">
        <v>-372224</v>
      </c>
    </row>
    <row r="12" spans="1:14">
      <c r="D12" t="s">
        <v>143</v>
      </c>
      <c r="I12" s="110">
        <v>-4897793</v>
      </c>
      <c r="J12" s="12">
        <v>1562808</v>
      </c>
      <c r="K12" s="12"/>
      <c r="L12" s="12"/>
      <c r="M12" s="12">
        <f t="shared" si="0"/>
        <v>-3334985</v>
      </c>
      <c r="N12" s="12">
        <v>-5342496</v>
      </c>
    </row>
    <row r="13" spans="1:14">
      <c r="D13" t="s">
        <v>32</v>
      </c>
      <c r="I13" s="108">
        <v>-2090050</v>
      </c>
      <c r="J13" s="12">
        <v>36486</v>
      </c>
      <c r="K13" s="12"/>
      <c r="L13" s="12"/>
      <c r="M13" s="12">
        <f t="shared" si="0"/>
        <v>-2053564</v>
      </c>
      <c r="N13" s="12">
        <v>-271301</v>
      </c>
    </row>
    <row r="14" spans="1:14">
      <c r="C14" t="s">
        <v>16</v>
      </c>
      <c r="H14" s="12"/>
      <c r="I14" s="13">
        <v>-11991080</v>
      </c>
      <c r="J14" s="12">
        <v>2232852</v>
      </c>
      <c r="K14" s="12"/>
      <c r="L14" s="12"/>
      <c r="M14" s="12">
        <f t="shared" si="0"/>
        <v>-9758228</v>
      </c>
      <c r="N14" s="12">
        <v>-8483108</v>
      </c>
    </row>
    <row r="15" spans="1:14">
      <c r="C15" t="s">
        <v>17</v>
      </c>
      <c r="H15" s="12"/>
      <c r="I15" s="14">
        <v>-13645028</v>
      </c>
      <c r="J15" s="12"/>
      <c r="K15" s="12">
        <v>3720448</v>
      </c>
      <c r="L15" s="12"/>
      <c r="M15" s="12">
        <f t="shared" si="0"/>
        <v>-9924580</v>
      </c>
      <c r="N15" s="12">
        <v>-4545810</v>
      </c>
    </row>
    <row r="16" spans="1:14">
      <c r="C16" t="s">
        <v>19</v>
      </c>
      <c r="H16" s="12"/>
      <c r="I16" s="15">
        <v>-1372309</v>
      </c>
      <c r="J16" s="12"/>
      <c r="K16" s="12">
        <v>810148</v>
      </c>
      <c r="L16" s="12"/>
      <c r="M16" s="12">
        <f t="shared" si="0"/>
        <v>-562161</v>
      </c>
      <c r="N16" s="12">
        <v>-835297</v>
      </c>
    </row>
    <row r="17" spans="1:14">
      <c r="C17" t="s">
        <v>20</v>
      </c>
      <c r="H17" s="12"/>
      <c r="I17" s="16">
        <v>-1782374</v>
      </c>
      <c r="J17" s="12">
        <v>97290</v>
      </c>
      <c r="K17" s="12">
        <v>58659</v>
      </c>
      <c r="L17" s="12"/>
      <c r="M17" s="12">
        <f t="shared" si="0"/>
        <v>-1626425</v>
      </c>
      <c r="N17" s="12">
        <v>-767146</v>
      </c>
    </row>
    <row r="18" spans="1:14">
      <c r="C18" t="s">
        <v>18</v>
      </c>
      <c r="H18" s="12"/>
      <c r="I18" s="102">
        <v>-4759645</v>
      </c>
      <c r="J18" s="12"/>
      <c r="K18" s="12">
        <v>3052723</v>
      </c>
      <c r="L18" s="12"/>
      <c r="M18" s="12">
        <f t="shared" si="0"/>
        <v>-1706922</v>
      </c>
      <c r="N18" s="12">
        <v>-944513</v>
      </c>
    </row>
    <row r="19" spans="1:14">
      <c r="C19" t="s">
        <v>105</v>
      </c>
      <c r="H19" s="12"/>
      <c r="I19" s="98">
        <v>-1097914</v>
      </c>
      <c r="J19" s="12"/>
      <c r="K19" s="12"/>
      <c r="L19" s="12"/>
      <c r="M19" s="12">
        <f t="shared" si="0"/>
        <v>-1097914</v>
      </c>
      <c r="N19" s="12">
        <v>-72528</v>
      </c>
    </row>
    <row r="20" spans="1:14">
      <c r="H20" s="12"/>
      <c r="I20" s="12"/>
      <c r="J20" s="12"/>
      <c r="K20" s="12"/>
      <c r="L20" s="12"/>
      <c r="M20" s="12"/>
      <c r="N20" s="12"/>
    </row>
    <row r="21" spans="1:14">
      <c r="E21" s="19" t="s">
        <v>22</v>
      </c>
      <c r="F21" s="19"/>
      <c r="G21" s="19"/>
      <c r="H21" s="20"/>
      <c r="I21" s="20">
        <f>SUM(I9:I19)</f>
        <v>-47390720</v>
      </c>
      <c r="J21" s="20">
        <f t="shared" ref="J21:M21" si="1">SUM(J9:J19)</f>
        <v>6673768</v>
      </c>
      <c r="K21" s="20">
        <f>SUM(K9:K19)</f>
        <v>7847402</v>
      </c>
      <c r="L21" s="20">
        <f t="shared" si="1"/>
        <v>0</v>
      </c>
      <c r="M21" s="20">
        <f t="shared" si="1"/>
        <v>-32869550</v>
      </c>
      <c r="N21" s="20">
        <f>SUM(N9:N19)</f>
        <v>-24425041</v>
      </c>
    </row>
    <row r="22" spans="1:14">
      <c r="H22" s="12"/>
      <c r="I22" s="12"/>
      <c r="J22" s="12"/>
      <c r="K22" s="12"/>
      <c r="L22" s="12"/>
      <c r="M22" s="12"/>
      <c r="N22" s="12"/>
    </row>
    <row r="23" spans="1:14">
      <c r="A23" s="8"/>
      <c r="B23" s="8"/>
      <c r="C23" s="8"/>
      <c r="D23" s="8"/>
      <c r="E23" s="8"/>
      <c r="G23" s="8" t="s">
        <v>25</v>
      </c>
      <c r="H23" s="26"/>
      <c r="I23" s="26"/>
      <c r="J23" s="26"/>
      <c r="K23" s="26"/>
      <c r="L23" s="26"/>
      <c r="M23" s="26"/>
      <c r="N23" s="26"/>
    </row>
    <row r="24" spans="1:14">
      <c r="A24" s="8"/>
      <c r="B24" s="8"/>
      <c r="C24" s="8"/>
      <c r="D24" s="8"/>
      <c r="E24" s="8"/>
      <c r="G24" s="27"/>
      <c r="H24" s="88" t="s">
        <v>26</v>
      </c>
      <c r="I24" s="26"/>
      <c r="J24" s="26"/>
      <c r="K24" s="26"/>
      <c r="L24" s="26"/>
      <c r="M24" s="26"/>
      <c r="N24" s="26"/>
    </row>
    <row r="25" spans="1:14">
      <c r="H25" s="12"/>
      <c r="I25" s="12" t="s">
        <v>132</v>
      </c>
      <c r="J25" s="12"/>
      <c r="K25" s="12"/>
      <c r="L25" s="12"/>
      <c r="M25" s="28">
        <v>20306057</v>
      </c>
      <c r="N25" s="12">
        <v>17386075</v>
      </c>
    </row>
    <row r="26" spans="1:14">
      <c r="H26" s="12"/>
      <c r="I26" s="12" t="s">
        <v>117</v>
      </c>
      <c r="J26" s="12"/>
      <c r="K26" s="12"/>
      <c r="L26" s="12"/>
      <c r="M26" s="14">
        <v>2149681</v>
      </c>
      <c r="N26" s="12">
        <v>2133222</v>
      </c>
    </row>
    <row r="27" spans="1:14">
      <c r="H27" s="12"/>
      <c r="I27" s="12" t="s">
        <v>399</v>
      </c>
      <c r="J27" s="12"/>
      <c r="K27" s="12"/>
      <c r="L27" s="12"/>
      <c r="M27" s="14">
        <v>2523515</v>
      </c>
      <c r="N27" s="12">
        <v>2468107</v>
      </c>
    </row>
    <row r="28" spans="1:14">
      <c r="H28" s="12"/>
      <c r="I28" s="12" t="s">
        <v>400</v>
      </c>
      <c r="J28" s="12"/>
      <c r="K28" s="12"/>
      <c r="L28" s="12"/>
      <c r="M28" s="15">
        <v>584773</v>
      </c>
      <c r="N28" s="12">
        <v>577847</v>
      </c>
    </row>
    <row r="29" spans="1:14">
      <c r="H29" s="12" t="s">
        <v>137</v>
      </c>
      <c r="I29" s="12"/>
      <c r="J29" s="12"/>
      <c r="K29" s="12"/>
      <c r="L29" s="12"/>
      <c r="M29" s="29">
        <v>602475</v>
      </c>
      <c r="N29" s="12">
        <v>1090952</v>
      </c>
    </row>
    <row r="30" spans="1:14">
      <c r="H30" s="12" t="s">
        <v>401</v>
      </c>
      <c r="I30" s="12"/>
      <c r="J30" s="12"/>
      <c r="K30" s="12"/>
      <c r="L30" s="12"/>
      <c r="M30" s="107">
        <v>994749</v>
      </c>
      <c r="N30" s="12">
        <v>401310</v>
      </c>
    </row>
    <row r="31" spans="1:14">
      <c r="H31" s="12" t="s">
        <v>402</v>
      </c>
      <c r="I31" s="12"/>
      <c r="J31" s="12"/>
      <c r="K31" s="12"/>
      <c r="L31" s="12"/>
      <c r="M31" s="106">
        <v>872711</v>
      </c>
      <c r="N31" s="12">
        <v>1396407</v>
      </c>
    </row>
    <row r="32" spans="1:14">
      <c r="H32" s="12" t="s">
        <v>122</v>
      </c>
      <c r="I32" s="12"/>
      <c r="J32" s="12"/>
      <c r="K32" s="12"/>
      <c r="L32" s="12"/>
      <c r="M32" s="29">
        <v>197709</v>
      </c>
      <c r="N32" s="12">
        <v>274274</v>
      </c>
    </row>
    <row r="33" spans="5:14">
      <c r="H33" s="12" t="s">
        <v>36</v>
      </c>
      <c r="I33" s="12"/>
      <c r="J33" s="12"/>
      <c r="K33" s="12"/>
      <c r="L33" s="12"/>
      <c r="M33" s="29">
        <v>415614</v>
      </c>
      <c r="N33" s="12">
        <v>915432</v>
      </c>
    </row>
    <row r="34" spans="5:14">
      <c r="H34" s="12"/>
      <c r="I34" s="12"/>
      <c r="J34" s="12"/>
      <c r="K34" s="12"/>
      <c r="L34" s="12"/>
      <c r="M34" s="12"/>
      <c r="N34" s="12"/>
    </row>
    <row r="35" spans="5:14">
      <c r="H35" s="20" t="s">
        <v>338</v>
      </c>
      <c r="I35" s="20"/>
      <c r="J35" s="20"/>
      <c r="K35" s="20"/>
      <c r="L35" s="20"/>
      <c r="M35" s="20">
        <f>SUM(M25:M33)</f>
        <v>28647284</v>
      </c>
      <c r="N35" s="20">
        <f>SUM(N25:N33)</f>
        <v>26643626</v>
      </c>
    </row>
    <row r="36" spans="5:14">
      <c r="H36" s="12"/>
      <c r="I36" s="12"/>
      <c r="J36" s="12"/>
      <c r="K36" s="12"/>
      <c r="L36" s="12"/>
      <c r="M36" s="12"/>
      <c r="N36" s="12"/>
    </row>
    <row r="37" spans="5:14">
      <c r="H37" s="20" t="s">
        <v>339</v>
      </c>
      <c r="I37" s="20"/>
      <c r="J37" s="20"/>
      <c r="K37" s="20"/>
      <c r="L37" s="20"/>
      <c r="M37" s="20">
        <f>M35+M21</f>
        <v>-4222266</v>
      </c>
      <c r="N37" s="20">
        <f>N35+N21</f>
        <v>2218585</v>
      </c>
    </row>
    <row r="38" spans="5:14">
      <c r="H38" s="26"/>
      <c r="I38" s="26"/>
      <c r="J38" s="26"/>
      <c r="K38" s="26"/>
      <c r="L38" s="26"/>
      <c r="M38" s="26"/>
      <c r="N38" s="26"/>
    </row>
    <row r="39" spans="5:14">
      <c r="E39" s="31" t="s">
        <v>340</v>
      </c>
      <c r="F39" s="31"/>
      <c r="G39" s="31"/>
      <c r="H39" s="32"/>
      <c r="I39" s="32"/>
      <c r="J39" s="32"/>
      <c r="K39" s="32"/>
      <c r="L39" s="32"/>
      <c r="M39" s="32">
        <v>73456911</v>
      </c>
      <c r="N39" s="32">
        <v>71238327</v>
      </c>
    </row>
    <row r="40" spans="5:14">
      <c r="H40" s="12"/>
      <c r="I40" s="12"/>
      <c r="J40" s="12"/>
      <c r="K40" s="12"/>
      <c r="L40" s="12"/>
      <c r="M40" s="12"/>
      <c r="N40" s="12"/>
    </row>
    <row r="41" spans="5:14">
      <c r="E41" s="34" t="s">
        <v>341</v>
      </c>
      <c r="F41" s="34"/>
      <c r="G41" s="34"/>
      <c r="H41" s="35"/>
      <c r="I41" s="35"/>
      <c r="J41" s="35"/>
      <c r="K41" s="35"/>
      <c r="L41" s="92"/>
      <c r="M41" s="92">
        <f>M39+M37</f>
        <v>69234645</v>
      </c>
      <c r="N41" s="92">
        <f t="shared" ref="N41" si="2">N39+N37</f>
        <v>73456912</v>
      </c>
    </row>
    <row r="48" spans="5:14">
      <c r="K48" s="9"/>
      <c r="L48" s="9"/>
      <c r="M48" s="9"/>
      <c r="N48" s="9"/>
    </row>
  </sheetData>
  <mergeCells count="4">
    <mergeCell ref="J1:N1"/>
    <mergeCell ref="J2:N2"/>
    <mergeCell ref="J5:L5"/>
    <mergeCell ref="M5:N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50"/>
  <sheetViews>
    <sheetView topLeftCell="A2" workbookViewId="0">
      <selection activeCell="I18" sqref="I18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1" width="22.140625" customWidth="1"/>
    <col min="12" max="12" width="22" customWidth="1"/>
    <col min="13" max="13" width="18.42578125" customWidth="1"/>
    <col min="14" max="14" width="16.42578125" customWidth="1"/>
  </cols>
  <sheetData>
    <row r="1" spans="1:14" ht="30" customHeight="1">
      <c r="J1" s="258" t="s">
        <v>403</v>
      </c>
      <c r="K1" s="258"/>
      <c r="L1" s="258"/>
      <c r="M1" s="170"/>
      <c r="N1" s="170"/>
    </row>
    <row r="2" spans="1:14" ht="21.75" customHeight="1">
      <c r="J2" s="259" t="s">
        <v>1</v>
      </c>
      <c r="K2" s="259"/>
      <c r="L2" s="259"/>
      <c r="M2" s="171"/>
      <c r="N2" s="171"/>
    </row>
    <row r="3" spans="1:14" ht="18.75" customHeight="1">
      <c r="E3" s="3"/>
      <c r="F3" s="3"/>
      <c r="G3" s="3"/>
      <c r="H3" s="3"/>
      <c r="I3" s="3"/>
      <c r="J3" s="3"/>
      <c r="K3" s="3"/>
    </row>
    <row r="4" spans="1:14" ht="30.75" customHeight="1">
      <c r="E4" s="2"/>
      <c r="L4" s="260" t="s">
        <v>2</v>
      </c>
      <c r="M4" s="260"/>
      <c r="N4" s="260"/>
    </row>
    <row r="5" spans="1:14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2" t="s">
        <v>5</v>
      </c>
      <c r="M5" s="262"/>
      <c r="N5" s="262"/>
    </row>
    <row r="6" spans="1:14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48</v>
      </c>
      <c r="M6" s="6" t="s">
        <v>49</v>
      </c>
      <c r="N6" s="6" t="s">
        <v>50</v>
      </c>
    </row>
    <row r="7" spans="1:14" ht="30.75" customHeight="1">
      <c r="A7" s="8" t="s">
        <v>13</v>
      </c>
      <c r="I7" s="9"/>
      <c r="J7" s="9"/>
      <c r="K7" s="9"/>
    </row>
    <row r="8" spans="1:14">
      <c r="B8" s="10" t="s">
        <v>14</v>
      </c>
      <c r="I8" s="9"/>
      <c r="J8" s="9"/>
      <c r="K8" s="9"/>
      <c r="L8" s="9"/>
      <c r="M8" s="9"/>
      <c r="N8" s="9"/>
    </row>
    <row r="9" spans="1:14">
      <c r="C9" t="s">
        <v>15</v>
      </c>
      <c r="H9" s="12"/>
      <c r="I9" s="11">
        <v>-1306120</v>
      </c>
      <c r="J9" s="12">
        <v>198181</v>
      </c>
      <c r="K9" s="12">
        <v>208772</v>
      </c>
      <c r="L9" s="12">
        <f>SUM(I9:K9)</f>
        <v>-899167</v>
      </c>
      <c r="M9" s="12"/>
      <c r="N9" s="12">
        <f t="shared" ref="N9:N13" si="0">SUM(L9:M9)</f>
        <v>-899167</v>
      </c>
    </row>
    <row r="10" spans="1:14">
      <c r="C10" t="s">
        <v>16</v>
      </c>
      <c r="H10" s="12"/>
      <c r="I10" s="13">
        <v>-1601309</v>
      </c>
      <c r="J10" s="12">
        <v>396531</v>
      </c>
      <c r="K10" s="12">
        <v>80836</v>
      </c>
      <c r="L10" s="12">
        <f>SUM(I10:K10)</f>
        <v>-1123942</v>
      </c>
      <c r="M10" s="12"/>
      <c r="N10" s="12">
        <f t="shared" si="0"/>
        <v>-1123942</v>
      </c>
    </row>
    <row r="11" spans="1:14">
      <c r="C11" t="s">
        <v>17</v>
      </c>
      <c r="H11" s="12"/>
      <c r="I11" s="14">
        <v>-3571534</v>
      </c>
      <c r="J11" s="12">
        <v>185581</v>
      </c>
      <c r="K11" s="12">
        <v>316478</v>
      </c>
      <c r="L11" s="12">
        <f>SUM(I11:K11)</f>
        <v>-3069475</v>
      </c>
      <c r="M11" s="12"/>
      <c r="N11" s="12">
        <f t="shared" si="0"/>
        <v>-3069475</v>
      </c>
    </row>
    <row r="12" spans="1:14">
      <c r="C12" t="s">
        <v>19</v>
      </c>
      <c r="H12" s="12"/>
      <c r="I12" s="15">
        <v>-452977</v>
      </c>
      <c r="J12" s="12"/>
      <c r="K12" s="12">
        <v>181609</v>
      </c>
      <c r="L12" s="12">
        <f>SUM(I12:K12)</f>
        <v>-271368</v>
      </c>
      <c r="M12" s="12"/>
      <c r="N12" s="12">
        <f t="shared" si="0"/>
        <v>-271368</v>
      </c>
    </row>
    <row r="13" spans="1:14">
      <c r="C13" t="s">
        <v>349</v>
      </c>
      <c r="H13" s="12"/>
      <c r="I13" s="16">
        <v>-303039</v>
      </c>
      <c r="J13" s="12">
        <v>2006</v>
      </c>
      <c r="K13" s="12"/>
      <c r="L13" s="12">
        <f>SUM(I13:K13)</f>
        <v>-301033</v>
      </c>
      <c r="M13" s="12"/>
      <c r="N13" s="12">
        <f t="shared" si="0"/>
        <v>-301033</v>
      </c>
    </row>
    <row r="14" spans="1:14">
      <c r="H14" s="12"/>
      <c r="I14" s="12"/>
      <c r="J14" s="12"/>
      <c r="K14" s="12"/>
      <c r="L14" s="12"/>
      <c r="M14" s="12"/>
      <c r="N14" s="12"/>
    </row>
    <row r="15" spans="1:14">
      <c r="E15" s="19" t="s">
        <v>22</v>
      </c>
      <c r="F15" s="19"/>
      <c r="G15" s="19"/>
      <c r="H15" s="20"/>
      <c r="I15" s="20">
        <f>SUM(I9:I13)</f>
        <v>-7234979</v>
      </c>
      <c r="J15" s="20">
        <f>SUM(J9:J13)</f>
        <v>782299</v>
      </c>
      <c r="K15" s="20">
        <f>SUM(K9:K13)</f>
        <v>787695</v>
      </c>
      <c r="L15" s="91">
        <f>SUM(L9:L13)</f>
        <v>-5664985</v>
      </c>
      <c r="M15" s="91"/>
      <c r="N15" s="91">
        <f>SUM(N9:N13)</f>
        <v>-5664985</v>
      </c>
    </row>
    <row r="16" spans="1:14">
      <c r="E16" s="8"/>
      <c r="F16" s="8"/>
      <c r="G16" s="8"/>
      <c r="H16" s="26"/>
      <c r="I16" s="26"/>
      <c r="J16" s="26"/>
      <c r="K16" s="26"/>
      <c r="L16" s="26"/>
      <c r="M16" s="26"/>
      <c r="N16" s="26"/>
    </row>
    <row r="17" spans="1:14">
      <c r="B17" s="10" t="s">
        <v>84</v>
      </c>
      <c r="E17" s="8"/>
      <c r="F17" s="8"/>
      <c r="G17" s="8"/>
      <c r="H17" s="26"/>
      <c r="I17" s="26"/>
      <c r="J17" s="26"/>
      <c r="K17" s="26"/>
      <c r="L17" s="26"/>
      <c r="M17" s="26"/>
      <c r="N17" s="26"/>
    </row>
    <row r="18" spans="1:14">
      <c r="C18" t="s">
        <v>172</v>
      </c>
      <c r="E18" s="8"/>
      <c r="F18" s="8"/>
      <c r="G18" s="8"/>
      <c r="H18" s="26"/>
      <c r="I18" s="249">
        <v>-124415</v>
      </c>
      <c r="J18" s="88">
        <v>24982</v>
      </c>
      <c r="K18" s="88"/>
      <c r="L18" s="88"/>
      <c r="M18" s="88">
        <f>SUM(I18:K18)</f>
        <v>-99433</v>
      </c>
      <c r="N18" s="88">
        <f t="shared" ref="N18" si="1">SUM(L18:M18)</f>
        <v>-99433</v>
      </c>
    </row>
    <row r="19" spans="1:14">
      <c r="E19" s="8"/>
      <c r="F19" s="8"/>
      <c r="G19" s="8"/>
      <c r="H19" s="26"/>
      <c r="I19" s="26"/>
      <c r="J19" s="26"/>
      <c r="K19" s="26"/>
      <c r="L19" s="26"/>
      <c r="M19" s="26"/>
      <c r="N19" s="26"/>
    </row>
    <row r="20" spans="1:14">
      <c r="E20" s="19" t="s">
        <v>173</v>
      </c>
      <c r="F20" s="19"/>
      <c r="G20" s="19"/>
      <c r="H20" s="20"/>
      <c r="I20" s="20">
        <f t="shared" ref="I20:N20" si="2">SUM(I18:I18)</f>
        <v>-124415</v>
      </c>
      <c r="J20" s="20">
        <f t="shared" si="2"/>
        <v>24982</v>
      </c>
      <c r="K20" s="20">
        <f t="shared" si="2"/>
        <v>0</v>
      </c>
      <c r="L20" s="91">
        <f t="shared" si="2"/>
        <v>0</v>
      </c>
      <c r="M20" s="91">
        <f t="shared" si="2"/>
        <v>-99433</v>
      </c>
      <c r="N20" s="91">
        <f t="shared" si="2"/>
        <v>-99433</v>
      </c>
    </row>
    <row r="21" spans="1:14">
      <c r="E21" s="8"/>
      <c r="F21" s="8"/>
      <c r="G21" s="8"/>
      <c r="H21" s="26"/>
      <c r="I21" s="26"/>
      <c r="J21" s="26"/>
      <c r="K21" s="26"/>
      <c r="L21" s="26"/>
      <c r="M21" s="26"/>
      <c r="N21" s="26"/>
    </row>
    <row r="22" spans="1:14">
      <c r="E22" s="19" t="s">
        <v>89</v>
      </c>
      <c r="F22" s="19"/>
      <c r="G22" s="19"/>
      <c r="H22" s="20"/>
      <c r="I22" s="20">
        <f>I20+I15</f>
        <v>-7359394</v>
      </c>
      <c r="J22" s="20">
        <f>J20+J15</f>
        <v>807281</v>
      </c>
      <c r="K22" s="20">
        <f>SUM(K15+K20)</f>
        <v>787695</v>
      </c>
      <c r="L22" s="91">
        <f>L20+L15</f>
        <v>-5664985</v>
      </c>
      <c r="M22" s="91">
        <f>M20+M15</f>
        <v>-99433</v>
      </c>
      <c r="N22" s="91">
        <f>N20+N15</f>
        <v>-5764418</v>
      </c>
    </row>
    <row r="23" spans="1:14">
      <c r="E23" s="8"/>
      <c r="F23" s="8"/>
      <c r="G23" s="8"/>
      <c r="H23" s="26"/>
      <c r="I23" s="26"/>
      <c r="J23" s="26"/>
      <c r="K23" s="26"/>
      <c r="L23" s="26"/>
      <c r="M23" s="26"/>
      <c r="N23" s="26"/>
    </row>
    <row r="24" spans="1:14">
      <c r="A24" s="8"/>
      <c r="B24" s="8"/>
      <c r="C24" s="8"/>
      <c r="D24" s="8"/>
      <c r="E24" s="8"/>
      <c r="G24" s="8" t="s">
        <v>25</v>
      </c>
      <c r="H24" s="26"/>
      <c r="I24" s="26"/>
      <c r="J24" s="26"/>
      <c r="K24" s="26"/>
      <c r="L24" s="12"/>
      <c r="M24" s="12"/>
      <c r="N24" s="12"/>
    </row>
    <row r="25" spans="1:14">
      <c r="A25" s="8"/>
      <c r="B25" s="8"/>
      <c r="C25" s="8"/>
      <c r="D25" s="8"/>
      <c r="E25" s="8"/>
      <c r="G25" s="8"/>
      <c r="H25" s="88" t="s">
        <v>26</v>
      </c>
      <c r="I25" s="26"/>
      <c r="J25" s="26"/>
      <c r="K25" s="26"/>
      <c r="L25" s="12"/>
      <c r="M25" s="12"/>
      <c r="N25" s="12"/>
    </row>
    <row r="26" spans="1:14">
      <c r="H26" s="12"/>
      <c r="I26" s="12" t="s">
        <v>73</v>
      </c>
      <c r="J26" s="12"/>
      <c r="K26" s="12"/>
      <c r="L26" s="28">
        <v>3607111</v>
      </c>
      <c r="M26" s="12"/>
      <c r="N26" s="12">
        <f t="shared" ref="N26:N35" si="3">SUM(L26:M26)</f>
        <v>3607111</v>
      </c>
    </row>
    <row r="27" spans="1:14">
      <c r="H27" s="12"/>
      <c r="I27" s="12" t="s">
        <v>110</v>
      </c>
      <c r="J27" s="12"/>
      <c r="K27" s="12"/>
      <c r="L27" s="14">
        <v>2830032</v>
      </c>
      <c r="M27" s="12"/>
      <c r="N27" s="12">
        <f t="shared" si="3"/>
        <v>2830032</v>
      </c>
    </row>
    <row r="28" spans="1:14">
      <c r="H28" s="12"/>
      <c r="I28" s="12" t="s">
        <v>127</v>
      </c>
      <c r="J28" s="12"/>
      <c r="K28" s="12"/>
      <c r="L28" s="15">
        <v>169922</v>
      </c>
      <c r="M28" s="12"/>
      <c r="N28" s="12">
        <f t="shared" si="3"/>
        <v>169922</v>
      </c>
    </row>
    <row r="29" spans="1:14">
      <c r="H29" s="12"/>
      <c r="I29" s="12" t="s">
        <v>32</v>
      </c>
      <c r="J29" s="12"/>
      <c r="K29" s="12"/>
      <c r="L29" s="15">
        <v>424304</v>
      </c>
      <c r="M29" s="12"/>
      <c r="N29" s="12">
        <f t="shared" si="3"/>
        <v>424304</v>
      </c>
    </row>
    <row r="30" spans="1:14">
      <c r="H30" s="12" t="s">
        <v>404</v>
      </c>
      <c r="I30" s="12"/>
      <c r="J30" s="12"/>
      <c r="K30" s="12"/>
      <c r="L30" s="29">
        <v>67664</v>
      </c>
      <c r="M30" s="12"/>
      <c r="N30" s="12">
        <f t="shared" si="3"/>
        <v>67664</v>
      </c>
    </row>
    <row r="31" spans="1:14">
      <c r="H31" s="12" t="s">
        <v>181</v>
      </c>
      <c r="I31" s="12"/>
      <c r="J31" s="12"/>
      <c r="K31" s="12"/>
      <c r="L31" s="29">
        <v>8492</v>
      </c>
      <c r="M31" s="12"/>
      <c r="N31" s="12">
        <f t="shared" si="3"/>
        <v>8492</v>
      </c>
    </row>
    <row r="32" spans="1:14">
      <c r="H32" s="12" t="s">
        <v>75</v>
      </c>
      <c r="I32" s="12"/>
      <c r="J32" s="12"/>
      <c r="K32" s="12"/>
      <c r="L32" s="105">
        <v>54562</v>
      </c>
      <c r="M32" s="12"/>
      <c r="N32" s="12">
        <f t="shared" si="3"/>
        <v>54562</v>
      </c>
    </row>
    <row r="33" spans="5:14">
      <c r="H33" s="12" t="s">
        <v>405</v>
      </c>
      <c r="I33" s="12"/>
      <c r="J33" s="12"/>
      <c r="K33" s="12"/>
      <c r="L33" s="29">
        <v>-349431</v>
      </c>
      <c r="M33" s="12"/>
      <c r="N33" s="12">
        <f>SUM(L33:M33)</f>
        <v>-349431</v>
      </c>
    </row>
    <row r="34" spans="5:14">
      <c r="H34" s="12" t="s">
        <v>36</v>
      </c>
      <c r="I34" s="12"/>
      <c r="J34" s="12"/>
      <c r="K34" s="12"/>
      <c r="L34" s="29">
        <v>56289</v>
      </c>
      <c r="M34" s="12"/>
      <c r="N34" s="12">
        <f>SUM(L34:M34)</f>
        <v>56289</v>
      </c>
    </row>
    <row r="35" spans="5:14">
      <c r="H35" s="12" t="s">
        <v>240</v>
      </c>
      <c r="I35" s="12"/>
      <c r="J35" s="12"/>
      <c r="K35" s="12"/>
      <c r="L35" s="97">
        <v>-30000</v>
      </c>
      <c r="M35" s="12">
        <v>30000</v>
      </c>
      <c r="N35" s="12">
        <f t="shared" si="3"/>
        <v>0</v>
      </c>
    </row>
    <row r="36" spans="5:14">
      <c r="H36" s="12"/>
      <c r="I36" s="12"/>
      <c r="J36" s="12"/>
      <c r="K36" s="12"/>
      <c r="L36" s="12"/>
      <c r="M36" s="12"/>
      <c r="N36" s="12"/>
    </row>
    <row r="37" spans="5:14">
      <c r="H37" s="20" t="s">
        <v>282</v>
      </c>
      <c r="I37" s="20"/>
      <c r="J37" s="20"/>
      <c r="K37" s="20"/>
      <c r="L37" s="20">
        <f>SUM(L26:L35)</f>
        <v>6838945</v>
      </c>
      <c r="M37" s="20">
        <f>SUM(M26:M35)</f>
        <v>30000</v>
      </c>
      <c r="N37" s="20">
        <f>SUM(N26:N35)</f>
        <v>6868945</v>
      </c>
    </row>
    <row r="38" spans="5:14">
      <c r="H38" s="12"/>
      <c r="I38" s="12"/>
      <c r="J38" s="12"/>
      <c r="K38" s="12"/>
      <c r="L38" s="12"/>
      <c r="M38" s="12"/>
      <c r="N38" s="12"/>
    </row>
    <row r="39" spans="5:14">
      <c r="H39" s="20" t="s">
        <v>39</v>
      </c>
      <c r="I39" s="20"/>
      <c r="J39" s="20"/>
      <c r="K39" s="20"/>
      <c r="L39" s="20">
        <f>L37+L15</f>
        <v>1173960</v>
      </c>
      <c r="M39" s="20">
        <f>M37+M20</f>
        <v>-69433</v>
      </c>
      <c r="N39" s="20">
        <f>N37+N22</f>
        <v>1104527</v>
      </c>
    </row>
    <row r="40" spans="5:14">
      <c r="H40" s="26"/>
      <c r="I40" s="26"/>
      <c r="J40" s="26"/>
      <c r="K40" s="26"/>
      <c r="L40" s="26"/>
      <c r="M40" s="26"/>
      <c r="N40" s="26"/>
    </row>
    <row r="41" spans="5:14">
      <c r="E41" s="31" t="s">
        <v>406</v>
      </c>
      <c r="F41" s="31"/>
      <c r="G41" s="31"/>
      <c r="H41" s="32"/>
      <c r="I41" s="32"/>
      <c r="J41" s="32"/>
      <c r="K41" s="32"/>
      <c r="L41" s="33">
        <v>46634829</v>
      </c>
      <c r="M41" s="33">
        <v>450052</v>
      </c>
      <c r="N41" s="33">
        <f>SUM(L41:M41)</f>
        <v>47084881</v>
      </c>
    </row>
    <row r="42" spans="5:14">
      <c r="H42" s="12"/>
      <c r="I42" s="12"/>
      <c r="J42" s="12"/>
      <c r="K42" s="12"/>
      <c r="L42" s="12"/>
      <c r="M42" s="12"/>
      <c r="N42" s="12"/>
    </row>
    <row r="43" spans="5:14">
      <c r="E43" s="34" t="s">
        <v>44</v>
      </c>
      <c r="F43" s="34"/>
      <c r="G43" s="34"/>
      <c r="H43" s="35"/>
      <c r="I43" s="35"/>
      <c r="J43" s="35"/>
      <c r="K43" s="35"/>
      <c r="L43" s="92">
        <f>SUM(L39,L41)</f>
        <v>47808789</v>
      </c>
      <c r="M43" s="92">
        <f>M41+M39</f>
        <v>380619</v>
      </c>
      <c r="N43" s="92">
        <f>N41+N39</f>
        <v>48189408</v>
      </c>
    </row>
    <row r="50" spans="11:14">
      <c r="K50" s="9"/>
      <c r="L50" s="9"/>
      <c r="M50" s="9"/>
      <c r="N50" s="9"/>
    </row>
  </sheetData>
  <mergeCells count="5">
    <mergeCell ref="J1:L1"/>
    <mergeCell ref="J2:L2"/>
    <mergeCell ref="L4:N4"/>
    <mergeCell ref="J5:K5"/>
    <mergeCell ref="L5:N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44"/>
  <sheetViews>
    <sheetView topLeftCell="A7" workbookViewId="0">
      <selection activeCell="M36" sqref="M36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3" width="19.28515625" customWidth="1"/>
  </cols>
  <sheetData>
    <row r="1" spans="1:13" ht="27.75" customHeight="1">
      <c r="J1" s="258" t="s">
        <v>407</v>
      </c>
      <c r="K1" s="258"/>
      <c r="L1" s="258"/>
      <c r="M1" s="258"/>
    </row>
    <row r="2" spans="1:13" ht="18">
      <c r="J2" s="259" t="s">
        <v>1</v>
      </c>
      <c r="K2" s="259"/>
      <c r="L2" s="259"/>
      <c r="M2" s="259"/>
    </row>
    <row r="3" spans="1:13" ht="15.75"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>
      <c r="E4" s="2"/>
    </row>
    <row r="5" spans="1:13" ht="63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172" t="s">
        <v>97</v>
      </c>
    </row>
    <row r="6" spans="1:13" ht="30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124">
        <v>2013</v>
      </c>
    </row>
    <row r="7" spans="1:13">
      <c r="A7" s="8" t="s">
        <v>376</v>
      </c>
      <c r="I7" s="9"/>
      <c r="J7" s="9"/>
      <c r="K7" s="9"/>
      <c r="L7" s="9"/>
      <c r="M7" s="9"/>
    </row>
    <row r="8" spans="1:13">
      <c r="C8" t="s">
        <v>15</v>
      </c>
      <c r="H8" s="12"/>
      <c r="I8" s="12"/>
      <c r="J8" s="12"/>
      <c r="K8" s="12"/>
      <c r="L8" s="12"/>
      <c r="M8" s="12"/>
    </row>
    <row r="9" spans="1:13">
      <c r="D9" t="s">
        <v>99</v>
      </c>
      <c r="I9" s="97">
        <v>-273649</v>
      </c>
      <c r="J9" s="12"/>
      <c r="K9" s="12"/>
      <c r="L9" s="12"/>
      <c r="M9" s="12">
        <f t="shared" ref="M9:M20" si="0">SUM(I9:L9)</f>
        <v>-273649</v>
      </c>
    </row>
    <row r="10" spans="1:13">
      <c r="D10" t="s">
        <v>100</v>
      </c>
      <c r="I10" s="98">
        <v>-112369</v>
      </c>
      <c r="J10" s="12">
        <v>7871</v>
      </c>
      <c r="K10" s="12">
        <v>15126</v>
      </c>
      <c r="L10" s="12"/>
      <c r="M10" s="12">
        <f t="shared" si="0"/>
        <v>-89372</v>
      </c>
    </row>
    <row r="11" spans="1:13">
      <c r="D11" t="s">
        <v>102</v>
      </c>
      <c r="I11" s="101">
        <v>-38823</v>
      </c>
      <c r="J11" s="12"/>
      <c r="K11" s="12"/>
      <c r="L11" s="12"/>
      <c r="M11" s="12">
        <f t="shared" si="0"/>
        <v>-38823</v>
      </c>
    </row>
    <row r="12" spans="1:13">
      <c r="D12" t="s">
        <v>143</v>
      </c>
      <c r="I12" s="110">
        <v>-346145</v>
      </c>
      <c r="J12" s="12">
        <v>159952</v>
      </c>
      <c r="K12" s="12"/>
      <c r="L12" s="12"/>
      <c r="M12" s="12">
        <f t="shared" si="0"/>
        <v>-186193</v>
      </c>
    </row>
    <row r="13" spans="1:13">
      <c r="D13" t="s">
        <v>32</v>
      </c>
      <c r="I13" s="108">
        <v>-121106</v>
      </c>
      <c r="J13" s="12">
        <v>41578</v>
      </c>
      <c r="K13" s="12"/>
      <c r="L13" s="12"/>
      <c r="M13" s="12">
        <f t="shared" si="0"/>
        <v>-79528</v>
      </c>
    </row>
    <row r="14" spans="1:13">
      <c r="C14" t="s">
        <v>16</v>
      </c>
      <c r="H14" s="12"/>
      <c r="I14" s="13">
        <v>-560062</v>
      </c>
      <c r="J14" s="12">
        <v>42218</v>
      </c>
      <c r="K14" s="12">
        <v>151785</v>
      </c>
      <c r="L14" s="12"/>
      <c r="M14" s="12">
        <f t="shared" si="0"/>
        <v>-366059</v>
      </c>
    </row>
    <row r="15" spans="1:13">
      <c r="C15" t="s">
        <v>17</v>
      </c>
      <c r="H15" s="12"/>
      <c r="I15" s="14">
        <v>-4957389</v>
      </c>
      <c r="J15" s="12">
        <v>120135</v>
      </c>
      <c r="K15" s="12">
        <v>527782</v>
      </c>
      <c r="L15" s="12"/>
      <c r="M15" s="12">
        <f t="shared" si="0"/>
        <v>-4309472</v>
      </c>
    </row>
    <row r="16" spans="1:13">
      <c r="C16" t="s">
        <v>19</v>
      </c>
      <c r="H16" s="12"/>
      <c r="I16" s="15">
        <v>-269329</v>
      </c>
      <c r="J16" s="12"/>
      <c r="K16" s="12"/>
      <c r="L16" s="12"/>
      <c r="M16" s="12">
        <f t="shared" si="0"/>
        <v>-269329</v>
      </c>
    </row>
    <row r="17" spans="1:13">
      <c r="C17" t="s">
        <v>20</v>
      </c>
      <c r="H17" s="12"/>
      <c r="I17" s="16">
        <v>-740850</v>
      </c>
      <c r="J17" s="12">
        <v>15197</v>
      </c>
      <c r="K17" s="12"/>
      <c r="L17" s="12"/>
      <c r="M17" s="12">
        <f t="shared" si="0"/>
        <v>-725653</v>
      </c>
    </row>
    <row r="18" spans="1:13">
      <c r="C18" t="s">
        <v>18</v>
      </c>
      <c r="H18" s="12"/>
      <c r="I18" s="102">
        <v>-129347</v>
      </c>
      <c r="J18" s="12"/>
      <c r="K18" s="12"/>
      <c r="L18" s="12"/>
      <c r="M18" s="12">
        <f t="shared" si="0"/>
        <v>-129347</v>
      </c>
    </row>
    <row r="19" spans="1:13">
      <c r="C19" t="s">
        <v>408</v>
      </c>
      <c r="H19" s="12"/>
      <c r="I19" s="12"/>
      <c r="J19" s="12"/>
      <c r="K19" s="12"/>
      <c r="L19" s="12"/>
      <c r="M19" s="12"/>
    </row>
    <row r="20" spans="1:13">
      <c r="D20" t="s">
        <v>350</v>
      </c>
      <c r="H20" s="12"/>
      <c r="I20" s="98">
        <v>-1995</v>
      </c>
      <c r="J20" s="12"/>
      <c r="K20" s="12"/>
      <c r="L20" s="12"/>
      <c r="M20" s="12">
        <f t="shared" si="0"/>
        <v>-1995</v>
      </c>
    </row>
    <row r="21" spans="1:13">
      <c r="H21" s="12"/>
      <c r="I21" s="12"/>
      <c r="J21" s="12"/>
      <c r="K21" s="12"/>
      <c r="L21" s="12"/>
      <c r="M21" s="12"/>
    </row>
    <row r="22" spans="1:13">
      <c r="E22" s="19" t="s">
        <v>22</v>
      </c>
      <c r="F22" s="19"/>
      <c r="G22" s="19"/>
      <c r="H22" s="20"/>
      <c r="I22" s="20">
        <f>SUM(I9:I20)</f>
        <v>-7551064</v>
      </c>
      <c r="J22" s="20">
        <f t="shared" ref="J22:M22" si="1">SUM(J9:J20)</f>
        <v>386951</v>
      </c>
      <c r="K22" s="20">
        <f>SUM(K9:K20)</f>
        <v>694693</v>
      </c>
      <c r="L22" s="20">
        <f t="shared" si="1"/>
        <v>0</v>
      </c>
      <c r="M22" s="20">
        <f t="shared" si="1"/>
        <v>-6469420</v>
      </c>
    </row>
    <row r="23" spans="1:13">
      <c r="H23" s="12"/>
      <c r="I23" s="12"/>
      <c r="J23" s="12"/>
      <c r="K23" s="12"/>
      <c r="L23" s="12"/>
      <c r="M23" s="12"/>
    </row>
    <row r="24" spans="1:13">
      <c r="A24" s="8"/>
      <c r="B24" s="8"/>
      <c r="C24" s="8"/>
      <c r="D24" s="8"/>
      <c r="E24" s="8"/>
      <c r="G24" s="8" t="s">
        <v>25</v>
      </c>
      <c r="H24" s="26"/>
      <c r="I24" s="26"/>
      <c r="J24" s="26"/>
      <c r="K24" s="26"/>
      <c r="L24" s="26"/>
      <c r="M24" s="26"/>
    </row>
    <row r="25" spans="1:13">
      <c r="H25" s="12" t="s">
        <v>345</v>
      </c>
      <c r="I25" s="12"/>
      <c r="J25" s="12"/>
      <c r="K25" s="12"/>
      <c r="L25" s="12"/>
      <c r="M25" s="28">
        <v>7465263</v>
      </c>
    </row>
    <row r="26" spans="1:13">
      <c r="H26" s="12" t="s">
        <v>324</v>
      </c>
      <c r="I26" s="12"/>
      <c r="J26" s="12"/>
      <c r="K26" s="12"/>
      <c r="L26" s="12"/>
      <c r="M26" s="105">
        <v>258034</v>
      </c>
    </row>
    <row r="27" spans="1:13">
      <c r="H27" s="12" t="s">
        <v>346</v>
      </c>
      <c r="I27" s="12"/>
      <c r="J27" s="12"/>
      <c r="K27" s="12"/>
      <c r="L27" s="12"/>
      <c r="M27" s="29">
        <v>42240</v>
      </c>
    </row>
    <row r="28" spans="1:13">
      <c r="H28" s="12" t="s">
        <v>347</v>
      </c>
      <c r="I28" s="12"/>
      <c r="J28" s="12"/>
      <c r="K28" s="12"/>
      <c r="L28" s="12"/>
      <c r="M28" s="12"/>
    </row>
    <row r="29" spans="1:13">
      <c r="H29" s="12"/>
      <c r="I29" s="12" t="s">
        <v>95</v>
      </c>
      <c r="J29" s="12"/>
      <c r="K29" s="12"/>
      <c r="L29" s="12"/>
      <c r="M29" s="29">
        <v>6450</v>
      </c>
    </row>
    <row r="30" spans="1:13">
      <c r="H30" s="12"/>
      <c r="I30" s="12"/>
      <c r="J30" s="12"/>
      <c r="K30" s="12"/>
      <c r="L30" s="12"/>
      <c r="M30" s="12"/>
    </row>
    <row r="31" spans="1:13">
      <c r="H31" s="20" t="s">
        <v>338</v>
      </c>
      <c r="I31" s="20"/>
      <c r="J31" s="20"/>
      <c r="K31" s="20"/>
      <c r="L31" s="20"/>
      <c r="M31" s="20">
        <f>SUM(M25:M29)</f>
        <v>7771987</v>
      </c>
    </row>
    <row r="32" spans="1:13">
      <c r="H32" s="12"/>
      <c r="I32" s="12"/>
      <c r="J32" s="12"/>
      <c r="K32" s="12"/>
      <c r="L32" s="12"/>
      <c r="M32" s="12"/>
    </row>
    <row r="33" spans="5:13">
      <c r="H33" s="20" t="s">
        <v>339</v>
      </c>
      <c r="I33" s="20"/>
      <c r="J33" s="20"/>
      <c r="K33" s="20"/>
      <c r="L33" s="20"/>
      <c r="M33" s="20">
        <f>M31+M22</f>
        <v>1302567</v>
      </c>
    </row>
    <row r="34" spans="5:13">
      <c r="H34" s="26"/>
      <c r="I34" s="26"/>
      <c r="J34" s="26"/>
      <c r="K34" s="26"/>
      <c r="L34" s="26"/>
      <c r="M34" s="26"/>
    </row>
    <row r="35" spans="5:13">
      <c r="E35" s="31" t="s">
        <v>340</v>
      </c>
      <c r="F35" s="31"/>
      <c r="G35" s="31"/>
      <c r="H35" s="32"/>
      <c r="I35" s="32"/>
      <c r="J35" s="32"/>
      <c r="K35" s="32"/>
      <c r="L35" s="32"/>
      <c r="M35" s="32">
        <v>8821225</v>
      </c>
    </row>
    <row r="36" spans="5:13">
      <c r="H36" s="12"/>
      <c r="I36" s="12"/>
      <c r="J36" s="12"/>
      <c r="K36" s="12"/>
      <c r="L36" s="12"/>
      <c r="M36" s="12"/>
    </row>
    <row r="37" spans="5:13">
      <c r="E37" s="34" t="s">
        <v>341</v>
      </c>
      <c r="F37" s="34"/>
      <c r="G37" s="34"/>
      <c r="H37" s="35"/>
      <c r="I37" s="35"/>
      <c r="J37" s="35"/>
      <c r="K37" s="35"/>
      <c r="L37" s="92"/>
      <c r="M37" s="92">
        <f>M35+M33</f>
        <v>10123792</v>
      </c>
    </row>
    <row r="44" spans="5:13">
      <c r="K44" s="9"/>
      <c r="L44" s="9"/>
      <c r="M44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44"/>
  <sheetViews>
    <sheetView topLeftCell="A5" workbookViewId="0">
      <selection activeCell="M36" sqref="M36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4" width="19.28515625" customWidth="1"/>
  </cols>
  <sheetData>
    <row r="1" spans="1:14" ht="27.75" customHeight="1">
      <c r="J1" s="258" t="s">
        <v>409</v>
      </c>
      <c r="K1" s="258"/>
      <c r="L1" s="258"/>
      <c r="M1" s="258"/>
      <c r="N1" s="258"/>
    </row>
    <row r="2" spans="1:14" ht="18">
      <c r="J2" s="259" t="s">
        <v>1</v>
      </c>
      <c r="K2" s="259"/>
      <c r="L2" s="259"/>
      <c r="M2" s="259"/>
      <c r="N2" s="259"/>
    </row>
    <row r="3" spans="1:14" ht="15.75"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customHeight="1">
      <c r="E4" s="2"/>
    </row>
    <row r="5" spans="1:14" ht="35.2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0" t="s">
        <v>97</v>
      </c>
      <c r="N5" s="260"/>
    </row>
    <row r="6" spans="1:14" ht="30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7">
        <v>2013</v>
      </c>
      <c r="N6" s="7">
        <v>2012</v>
      </c>
    </row>
    <row r="7" spans="1:14">
      <c r="A7" s="8" t="s">
        <v>376</v>
      </c>
      <c r="I7" s="9"/>
      <c r="J7" s="9"/>
      <c r="K7" s="9"/>
      <c r="L7" s="9"/>
      <c r="M7" s="9"/>
      <c r="N7" s="9"/>
    </row>
    <row r="8" spans="1:14">
      <c r="C8" t="s">
        <v>15</v>
      </c>
      <c r="H8" s="12"/>
      <c r="I8" s="12"/>
      <c r="J8" s="12"/>
      <c r="K8" s="12"/>
      <c r="L8" s="12"/>
      <c r="M8" s="12"/>
      <c r="N8" s="12"/>
    </row>
    <row r="9" spans="1:14">
      <c r="D9" t="s">
        <v>99</v>
      </c>
      <c r="I9" s="97">
        <v>-127028</v>
      </c>
      <c r="J9" s="12"/>
      <c r="K9" s="12"/>
      <c r="L9" s="12"/>
      <c r="M9" s="12">
        <f t="shared" ref="M9:M19" si="0">SUM(I9:L9)</f>
        <v>-127028</v>
      </c>
      <c r="N9" s="12">
        <v>-130158</v>
      </c>
    </row>
    <row r="10" spans="1:14">
      <c r="D10" t="s">
        <v>100</v>
      </c>
      <c r="I10" s="98">
        <v>-577875</v>
      </c>
      <c r="J10" s="12">
        <v>253163</v>
      </c>
      <c r="K10" s="12"/>
      <c r="L10" s="12"/>
      <c r="M10" s="12">
        <f t="shared" si="0"/>
        <v>-324712</v>
      </c>
      <c r="N10" s="12">
        <v>-225112</v>
      </c>
    </row>
    <row r="11" spans="1:14">
      <c r="D11" t="s">
        <v>102</v>
      </c>
      <c r="I11" s="101">
        <v>-68164</v>
      </c>
      <c r="J11" s="12"/>
      <c r="K11" s="12"/>
      <c r="L11" s="12"/>
      <c r="M11" s="12">
        <f t="shared" si="0"/>
        <v>-68164</v>
      </c>
      <c r="N11" s="12">
        <v>-25646</v>
      </c>
    </row>
    <row r="12" spans="1:14">
      <c r="D12" t="s">
        <v>143</v>
      </c>
      <c r="I12" s="110">
        <v>-382749</v>
      </c>
      <c r="J12" s="12"/>
      <c r="K12" s="12"/>
      <c r="L12" s="12"/>
      <c r="M12" s="12">
        <f t="shared" si="0"/>
        <v>-382749</v>
      </c>
      <c r="N12" s="12">
        <v>-383542</v>
      </c>
    </row>
    <row r="13" spans="1:14">
      <c r="D13" t="s">
        <v>32</v>
      </c>
      <c r="I13" s="108">
        <v>-662550</v>
      </c>
      <c r="J13" s="12"/>
      <c r="K13" s="12"/>
      <c r="L13" s="12"/>
      <c r="M13" s="12">
        <f t="shared" si="0"/>
        <v>-662550</v>
      </c>
      <c r="N13" s="12">
        <v>-457174</v>
      </c>
    </row>
    <row r="14" spans="1:14">
      <c r="C14" t="s">
        <v>16</v>
      </c>
      <c r="H14" s="12"/>
      <c r="I14" s="13">
        <v>-953770</v>
      </c>
      <c r="J14" s="12"/>
      <c r="K14" s="12">
        <v>809974</v>
      </c>
      <c r="L14" s="12"/>
      <c r="M14" s="12">
        <f t="shared" si="0"/>
        <v>-143796</v>
      </c>
      <c r="N14" s="12">
        <v>-148093</v>
      </c>
    </row>
    <row r="15" spans="1:14">
      <c r="C15" t="s">
        <v>17</v>
      </c>
      <c r="H15" s="12"/>
      <c r="I15" s="14">
        <v>-8414454</v>
      </c>
      <c r="J15" s="12">
        <v>107825</v>
      </c>
      <c r="K15" s="12">
        <v>405227</v>
      </c>
      <c r="L15" s="12"/>
      <c r="M15" s="12">
        <f t="shared" si="0"/>
        <v>-7901402</v>
      </c>
      <c r="N15" s="12">
        <v>-9155725</v>
      </c>
    </row>
    <row r="16" spans="1:14">
      <c r="C16" t="s">
        <v>19</v>
      </c>
      <c r="H16" s="12"/>
      <c r="I16" s="15">
        <v>-155557</v>
      </c>
      <c r="J16" s="12"/>
      <c r="K16" s="12"/>
      <c r="L16" s="12"/>
      <c r="M16" s="12">
        <f t="shared" si="0"/>
        <v>-155557</v>
      </c>
      <c r="N16" s="12">
        <v>-248501</v>
      </c>
    </row>
    <row r="17" spans="1:14">
      <c r="C17" t="s">
        <v>20</v>
      </c>
      <c r="H17" s="12"/>
      <c r="I17" s="12"/>
      <c r="J17" s="12"/>
      <c r="K17" s="12"/>
      <c r="L17" s="12"/>
      <c r="M17" s="12">
        <f t="shared" si="0"/>
        <v>0</v>
      </c>
      <c r="N17" s="12">
        <v>-11639</v>
      </c>
    </row>
    <row r="18" spans="1:14">
      <c r="C18" t="s">
        <v>18</v>
      </c>
      <c r="H18" s="12"/>
      <c r="I18" s="102">
        <v>-30591</v>
      </c>
      <c r="J18" s="12"/>
      <c r="K18" s="12"/>
      <c r="L18" s="12"/>
      <c r="M18" s="12">
        <f t="shared" si="0"/>
        <v>-30591</v>
      </c>
      <c r="N18" s="12">
        <v>-311925</v>
      </c>
    </row>
    <row r="19" spans="1:14">
      <c r="C19" t="s">
        <v>105</v>
      </c>
      <c r="H19" s="12"/>
      <c r="I19" s="98">
        <v>-12512</v>
      </c>
      <c r="J19" s="12"/>
      <c r="K19" s="12"/>
      <c r="L19" s="12"/>
      <c r="M19" s="12">
        <f t="shared" si="0"/>
        <v>-12512</v>
      </c>
      <c r="N19" s="12">
        <v>-14942</v>
      </c>
    </row>
    <row r="20" spans="1:14">
      <c r="H20" s="12"/>
      <c r="I20" s="12"/>
      <c r="J20" s="12"/>
      <c r="K20" s="12"/>
      <c r="L20" s="12"/>
      <c r="M20" s="12"/>
      <c r="N20" s="12"/>
    </row>
    <row r="21" spans="1:14">
      <c r="E21" s="19" t="s">
        <v>22</v>
      </c>
      <c r="F21" s="19"/>
      <c r="G21" s="19"/>
      <c r="H21" s="20"/>
      <c r="I21" s="20">
        <f>SUM(I9:I19)</f>
        <v>-11385250</v>
      </c>
      <c r="J21" s="20">
        <f t="shared" ref="J21:M21" si="1">SUM(J9:J19)</f>
        <v>360988</v>
      </c>
      <c r="K21" s="20">
        <f>SUM(K9:K19)</f>
        <v>1215201</v>
      </c>
      <c r="L21" s="20">
        <f t="shared" si="1"/>
        <v>0</v>
      </c>
      <c r="M21" s="20">
        <f t="shared" si="1"/>
        <v>-9809061</v>
      </c>
      <c r="N21" s="20">
        <f>SUM(N9:N19)</f>
        <v>-11112457</v>
      </c>
    </row>
    <row r="22" spans="1:14">
      <c r="H22" s="12"/>
      <c r="I22" s="12"/>
      <c r="J22" s="12"/>
      <c r="K22" s="12"/>
      <c r="L22" s="12"/>
      <c r="M22" s="12"/>
      <c r="N22" s="12"/>
    </row>
    <row r="23" spans="1:14">
      <c r="A23" s="8"/>
      <c r="B23" s="8"/>
      <c r="C23" s="8"/>
      <c r="D23" s="8"/>
      <c r="E23" s="8"/>
      <c r="G23" s="8" t="s">
        <v>25</v>
      </c>
      <c r="H23" s="26"/>
      <c r="I23" s="26"/>
      <c r="J23" s="26"/>
      <c r="K23" s="26"/>
      <c r="L23" s="26"/>
      <c r="M23" s="26"/>
      <c r="N23" s="26"/>
    </row>
    <row r="24" spans="1:14">
      <c r="A24" s="8"/>
      <c r="B24" s="8"/>
      <c r="C24" s="8"/>
      <c r="D24" s="8"/>
      <c r="E24" s="8"/>
      <c r="G24" s="27"/>
      <c r="H24" s="88" t="s">
        <v>26</v>
      </c>
      <c r="I24" s="26"/>
      <c r="J24" s="26"/>
      <c r="K24" s="26"/>
      <c r="L24" s="26"/>
      <c r="M24" s="26"/>
      <c r="N24" s="26"/>
    </row>
    <row r="25" spans="1:14">
      <c r="H25" s="12"/>
      <c r="I25" s="12" t="s">
        <v>116</v>
      </c>
      <c r="J25" s="12"/>
      <c r="K25" s="12"/>
      <c r="L25" s="12"/>
      <c r="M25" s="28">
        <v>3214227</v>
      </c>
      <c r="N25" s="12">
        <v>2857024</v>
      </c>
    </row>
    <row r="26" spans="1:14">
      <c r="H26" s="12"/>
      <c r="I26" s="12" t="s">
        <v>117</v>
      </c>
      <c r="J26" s="12"/>
      <c r="K26" s="12"/>
      <c r="L26" s="12"/>
      <c r="M26" s="14">
        <v>3587239</v>
      </c>
      <c r="N26" s="12">
        <v>5173147</v>
      </c>
    </row>
    <row r="27" spans="1:14">
      <c r="H27" s="12" t="s">
        <v>410</v>
      </c>
      <c r="I27" s="12"/>
      <c r="J27" s="12"/>
      <c r="K27" s="12"/>
      <c r="L27" s="12"/>
      <c r="M27" s="106">
        <v>1525642</v>
      </c>
      <c r="N27" s="12">
        <v>896123</v>
      </c>
    </row>
    <row r="28" spans="1:14">
      <c r="H28" s="12" t="s">
        <v>122</v>
      </c>
      <c r="I28" s="12"/>
      <c r="J28" s="12"/>
      <c r="K28" s="12"/>
      <c r="L28" s="12"/>
      <c r="M28" s="29">
        <v>185917</v>
      </c>
      <c r="N28" s="12">
        <v>102655</v>
      </c>
    </row>
    <row r="29" spans="1:14">
      <c r="H29" s="12" t="s">
        <v>36</v>
      </c>
      <c r="I29" s="12"/>
      <c r="J29" s="12"/>
      <c r="K29" s="12"/>
      <c r="L29" s="12"/>
      <c r="M29" s="29">
        <v>157299</v>
      </c>
      <c r="N29" s="12">
        <v>302140</v>
      </c>
    </row>
    <row r="30" spans="1:14">
      <c r="H30" s="12"/>
      <c r="I30" s="12"/>
      <c r="J30" s="12"/>
      <c r="K30" s="12"/>
      <c r="L30" s="12"/>
      <c r="M30" s="12"/>
      <c r="N30" s="12"/>
    </row>
    <row r="31" spans="1:14">
      <c r="H31" s="20" t="s">
        <v>338</v>
      </c>
      <c r="I31" s="20"/>
      <c r="J31" s="20"/>
      <c r="K31" s="20"/>
      <c r="L31" s="20"/>
      <c r="M31" s="20">
        <f>SUM(M25:M29)</f>
        <v>8670324</v>
      </c>
      <c r="N31" s="20">
        <f>SUM(N25:N29)</f>
        <v>9331089</v>
      </c>
    </row>
    <row r="32" spans="1:14">
      <c r="H32" s="12"/>
      <c r="I32" s="12"/>
      <c r="J32" s="12"/>
      <c r="K32" s="12"/>
      <c r="L32" s="12"/>
      <c r="M32" s="12"/>
      <c r="N32" s="12"/>
    </row>
    <row r="33" spans="5:14">
      <c r="H33" s="20" t="s">
        <v>339</v>
      </c>
      <c r="I33" s="20"/>
      <c r="J33" s="20"/>
      <c r="K33" s="20"/>
      <c r="L33" s="20"/>
      <c r="M33" s="20">
        <f>M31+M21</f>
        <v>-1138737</v>
      </c>
      <c r="N33" s="20">
        <f>N31+N21</f>
        <v>-1781368</v>
      </c>
    </row>
    <row r="34" spans="5:14">
      <c r="H34" s="26"/>
      <c r="I34" s="26"/>
      <c r="J34" s="26"/>
      <c r="K34" s="26"/>
      <c r="L34" s="26"/>
      <c r="M34" s="26"/>
      <c r="N34" s="26"/>
    </row>
    <row r="35" spans="5:14">
      <c r="E35" s="31" t="s">
        <v>340</v>
      </c>
      <c r="F35" s="31"/>
      <c r="G35" s="31"/>
      <c r="H35" s="32"/>
      <c r="I35" s="32"/>
      <c r="J35" s="32"/>
      <c r="K35" s="32"/>
      <c r="L35" s="32"/>
      <c r="M35" s="32">
        <v>24534161</v>
      </c>
      <c r="N35" s="32">
        <v>26315526</v>
      </c>
    </row>
    <row r="36" spans="5:14">
      <c r="H36" s="12"/>
      <c r="I36" s="12"/>
      <c r="J36" s="12"/>
      <c r="K36" s="12"/>
      <c r="L36" s="12"/>
      <c r="M36" s="12"/>
      <c r="N36" s="12"/>
    </row>
    <row r="37" spans="5:14">
      <c r="E37" s="34" t="s">
        <v>341</v>
      </c>
      <c r="F37" s="34"/>
      <c r="G37" s="34"/>
      <c r="H37" s="35"/>
      <c r="I37" s="35"/>
      <c r="J37" s="35"/>
      <c r="K37" s="35"/>
      <c r="L37" s="92"/>
      <c r="M37" s="92">
        <f>M35+M33</f>
        <v>23395424</v>
      </c>
      <c r="N37" s="92">
        <f t="shared" ref="N37" si="2">N35+N33</f>
        <v>24534158</v>
      </c>
    </row>
    <row r="44" spans="5:14">
      <c r="K44" s="9"/>
      <c r="L44" s="9"/>
      <c r="M44" s="9"/>
      <c r="N44" s="9"/>
    </row>
  </sheetData>
  <mergeCells count="4">
    <mergeCell ref="J1:N1"/>
    <mergeCell ref="J2:N2"/>
    <mergeCell ref="J5:L5"/>
    <mergeCell ref="M5:N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55"/>
  <sheetViews>
    <sheetView topLeftCell="A4" workbookViewId="0">
      <selection activeCell="I22" sqref="I22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</cols>
  <sheetData>
    <row r="1" spans="1:15" ht="20.25" customHeight="1">
      <c r="J1" s="258" t="s">
        <v>411</v>
      </c>
      <c r="K1" s="258"/>
      <c r="L1" s="258"/>
      <c r="M1" s="258"/>
      <c r="N1" s="170"/>
      <c r="O1" s="170"/>
    </row>
    <row r="2" spans="1:15" ht="18">
      <c r="J2" s="259" t="s">
        <v>1</v>
      </c>
      <c r="K2" s="259"/>
      <c r="L2" s="259"/>
      <c r="M2" s="259"/>
      <c r="N2" s="171"/>
      <c r="O2" s="171"/>
    </row>
    <row r="3" spans="1:15" ht="15.75">
      <c r="E3" s="3"/>
      <c r="F3" s="3"/>
      <c r="G3" s="3"/>
      <c r="H3" s="3"/>
      <c r="I3" s="3"/>
      <c r="J3" s="3"/>
      <c r="K3" s="3"/>
      <c r="L3" s="3"/>
    </row>
    <row r="4" spans="1:15" ht="18">
      <c r="E4" s="2"/>
      <c r="M4" s="260" t="s">
        <v>2</v>
      </c>
      <c r="N4" s="260"/>
      <c r="O4" s="260"/>
    </row>
    <row r="5" spans="1:15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2" t="s">
        <v>5</v>
      </c>
      <c r="N5" s="262"/>
      <c r="O5" s="262"/>
    </row>
    <row r="6" spans="1:15" ht="67.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</row>
    <row r="7" spans="1:15">
      <c r="A7" s="8" t="s">
        <v>13</v>
      </c>
      <c r="I7" s="9"/>
      <c r="J7" s="9"/>
      <c r="K7" s="9"/>
      <c r="L7" s="9"/>
    </row>
    <row r="8" spans="1:15">
      <c r="B8" s="10" t="s">
        <v>14</v>
      </c>
      <c r="I8" s="9"/>
      <c r="J8" s="9"/>
      <c r="K8" s="9"/>
      <c r="L8" s="9"/>
      <c r="M8" s="9"/>
      <c r="N8" s="9"/>
      <c r="O8" s="9"/>
    </row>
    <row r="9" spans="1:15">
      <c r="B9" s="10"/>
      <c r="C9" t="s">
        <v>141</v>
      </c>
      <c r="I9" s="9"/>
      <c r="J9" s="9"/>
      <c r="K9" s="9"/>
      <c r="L9" s="9"/>
      <c r="M9" s="9"/>
      <c r="N9" s="9"/>
      <c r="O9" s="9"/>
    </row>
    <row r="10" spans="1:15">
      <c r="D10" t="s">
        <v>100</v>
      </c>
      <c r="H10" s="12"/>
      <c r="I10" s="98">
        <v>-607122</v>
      </c>
      <c r="J10" s="12">
        <v>49271</v>
      </c>
      <c r="K10" s="12"/>
      <c r="L10" s="12"/>
      <c r="M10" s="12">
        <f t="shared" ref="M10:M16" si="0">SUM(I10:L10)</f>
        <v>-557851</v>
      </c>
      <c r="N10" s="12"/>
      <c r="O10" s="12">
        <f t="shared" ref="O10:O16" si="1">SUM(M10:N10)</f>
        <v>-557851</v>
      </c>
    </row>
    <row r="11" spans="1:15">
      <c r="D11" t="s">
        <v>190</v>
      </c>
      <c r="H11" s="12"/>
      <c r="I11" s="108">
        <v>-29878021</v>
      </c>
      <c r="J11" s="12">
        <v>2492129</v>
      </c>
      <c r="K11" s="12">
        <v>15443154</v>
      </c>
      <c r="L11" s="12">
        <v>54182911</v>
      </c>
      <c r="M11" s="12">
        <f t="shared" si="0"/>
        <v>42240173</v>
      </c>
      <c r="N11" s="12"/>
      <c r="O11" s="12">
        <f t="shared" si="1"/>
        <v>42240173</v>
      </c>
    </row>
    <row r="12" spans="1:15">
      <c r="C12" t="s">
        <v>16</v>
      </c>
      <c r="H12" s="12"/>
      <c r="I12" s="13">
        <v>-10548513</v>
      </c>
      <c r="J12" s="12">
        <v>13430</v>
      </c>
      <c r="K12" s="12">
        <v>1935549</v>
      </c>
      <c r="L12" s="12"/>
      <c r="M12" s="12">
        <f t="shared" si="0"/>
        <v>-8599534</v>
      </c>
      <c r="N12" s="12"/>
      <c r="O12" s="12">
        <f t="shared" si="1"/>
        <v>-8599534</v>
      </c>
    </row>
    <row r="13" spans="1:15">
      <c r="C13" t="s">
        <v>17</v>
      </c>
      <c r="H13" s="12"/>
      <c r="I13" s="14">
        <v>-19434223</v>
      </c>
      <c r="J13" s="12">
        <v>88115</v>
      </c>
      <c r="K13" s="12">
        <v>624751</v>
      </c>
      <c r="L13" s="12">
        <v>1147916</v>
      </c>
      <c r="M13" s="12">
        <f t="shared" si="0"/>
        <v>-17573441</v>
      </c>
      <c r="N13" s="12"/>
      <c r="O13" s="12">
        <f t="shared" si="1"/>
        <v>-17573441</v>
      </c>
    </row>
    <row r="14" spans="1:15">
      <c r="C14" t="s">
        <v>20</v>
      </c>
      <c r="H14" s="12"/>
      <c r="I14" s="16">
        <v>-2889701</v>
      </c>
      <c r="J14" s="12">
        <v>2156309</v>
      </c>
      <c r="K14" s="12">
        <v>252892</v>
      </c>
      <c r="L14" s="12"/>
      <c r="M14" s="12">
        <f t="shared" si="0"/>
        <v>-480500</v>
      </c>
      <c r="N14" s="12"/>
      <c r="O14" s="12">
        <f t="shared" si="1"/>
        <v>-480500</v>
      </c>
    </row>
    <row r="15" spans="1:15">
      <c r="C15" t="s">
        <v>19</v>
      </c>
      <c r="H15" s="12"/>
      <c r="I15" s="15">
        <v>-6692893</v>
      </c>
      <c r="J15" s="12"/>
      <c r="K15" s="12">
        <v>5649464</v>
      </c>
      <c r="L15" s="12"/>
      <c r="M15" s="12">
        <f t="shared" si="0"/>
        <v>-1043429</v>
      </c>
      <c r="N15" s="12"/>
      <c r="O15" s="12">
        <f t="shared" si="1"/>
        <v>-1043429</v>
      </c>
    </row>
    <row r="16" spans="1:15">
      <c r="C16" t="s">
        <v>21</v>
      </c>
      <c r="H16" s="12"/>
      <c r="I16" s="98">
        <v>-1860282</v>
      </c>
      <c r="J16" s="12"/>
      <c r="K16" s="12"/>
      <c r="L16" s="12"/>
      <c r="M16" s="12">
        <f t="shared" si="0"/>
        <v>-1860282</v>
      </c>
      <c r="N16" s="12"/>
      <c r="O16" s="12">
        <f t="shared" si="1"/>
        <v>-1860282</v>
      </c>
    </row>
    <row r="17" spans="1:15">
      <c r="H17" s="12"/>
      <c r="I17" s="12"/>
      <c r="J17" s="12"/>
      <c r="K17" s="12"/>
      <c r="L17" s="12"/>
      <c r="M17" s="12"/>
      <c r="N17" s="12"/>
      <c r="O17" s="12"/>
    </row>
    <row r="18" spans="1:15">
      <c r="E18" s="19" t="s">
        <v>22</v>
      </c>
      <c r="F18" s="19"/>
      <c r="G18" s="19"/>
      <c r="H18" s="20"/>
      <c r="I18" s="20">
        <f>SUM(I10:I16)</f>
        <v>-71910755</v>
      </c>
      <c r="J18" s="20">
        <f>SUM(J10:J16)</f>
        <v>4799254</v>
      </c>
      <c r="K18" s="20">
        <f>SUM(K10:K16)</f>
        <v>23905810</v>
      </c>
      <c r="L18" s="20">
        <f>SUM(L10:L16)</f>
        <v>55330827</v>
      </c>
      <c r="M18" s="91">
        <f>SUM(M10:M16)</f>
        <v>12125136</v>
      </c>
      <c r="N18" s="91"/>
      <c r="O18" s="91">
        <f>SUM(O10:O16)</f>
        <v>12125136</v>
      </c>
    </row>
    <row r="19" spans="1:15">
      <c r="E19" s="8"/>
      <c r="F19" s="8"/>
      <c r="G19" s="8"/>
      <c r="H19" s="26"/>
      <c r="I19" s="26"/>
      <c r="J19" s="26"/>
      <c r="K19" s="26"/>
      <c r="L19" s="26"/>
      <c r="M19" s="26"/>
      <c r="N19" s="26"/>
      <c r="O19" s="26"/>
    </row>
    <row r="20" spans="1:15">
      <c r="B20" s="10" t="s">
        <v>84</v>
      </c>
      <c r="E20" s="8"/>
      <c r="F20" s="8"/>
      <c r="G20" s="8"/>
      <c r="H20" s="26"/>
      <c r="I20" s="26"/>
      <c r="J20" s="26"/>
      <c r="K20" s="26"/>
      <c r="L20" s="26"/>
      <c r="M20" s="26"/>
      <c r="N20" s="26"/>
      <c r="O20" s="26"/>
    </row>
    <row r="21" spans="1:15">
      <c r="C21" t="s">
        <v>378</v>
      </c>
      <c r="E21" s="8"/>
      <c r="F21" s="8"/>
      <c r="G21" s="8"/>
      <c r="H21" s="26"/>
      <c r="I21" s="249">
        <v>-10153902</v>
      </c>
      <c r="J21" s="88">
        <v>5748284</v>
      </c>
      <c r="K21" s="88">
        <v>12550</v>
      </c>
      <c r="L21" s="88">
        <v>5690363</v>
      </c>
      <c r="M21" s="88"/>
      <c r="N21" s="88">
        <f t="shared" ref="N21:N22" si="2">SUM(I21:L21)</f>
        <v>1297295</v>
      </c>
      <c r="O21" s="88">
        <f t="shared" ref="O21:O22" si="3">SUM(M21:N21)</f>
        <v>1297295</v>
      </c>
    </row>
    <row r="22" spans="1:15">
      <c r="C22" t="s">
        <v>21</v>
      </c>
      <c r="E22" s="8"/>
      <c r="F22" s="8"/>
      <c r="G22" s="8"/>
      <c r="H22" s="26"/>
      <c r="I22" s="255">
        <v>-494988</v>
      </c>
      <c r="J22" s="88"/>
      <c r="K22" s="88"/>
      <c r="L22" s="88"/>
      <c r="M22" s="88"/>
      <c r="N22" s="88">
        <f t="shared" si="2"/>
        <v>-494988</v>
      </c>
      <c r="O22" s="88">
        <f t="shared" si="3"/>
        <v>-494988</v>
      </c>
    </row>
    <row r="23" spans="1:15">
      <c r="E23" s="8"/>
      <c r="F23" s="8"/>
      <c r="G23" s="8"/>
      <c r="H23" s="26"/>
      <c r="I23" s="26"/>
      <c r="J23" s="26"/>
      <c r="K23" s="26"/>
      <c r="L23" s="26"/>
      <c r="M23" s="26"/>
      <c r="N23" s="26"/>
      <c r="O23" s="26"/>
    </row>
    <row r="24" spans="1:15">
      <c r="E24" s="19" t="s">
        <v>173</v>
      </c>
      <c r="F24" s="19"/>
      <c r="G24" s="19"/>
      <c r="H24" s="20"/>
      <c r="I24" s="20">
        <f t="shared" ref="I24:O24" si="4">SUM(I21:I22)</f>
        <v>-10648890</v>
      </c>
      <c r="J24" s="20">
        <f t="shared" si="4"/>
        <v>5748284</v>
      </c>
      <c r="K24" s="20">
        <f t="shared" si="4"/>
        <v>12550</v>
      </c>
      <c r="L24" s="20">
        <f t="shared" si="4"/>
        <v>5690363</v>
      </c>
      <c r="M24" s="91">
        <f t="shared" si="4"/>
        <v>0</v>
      </c>
      <c r="N24" s="91">
        <f t="shared" si="4"/>
        <v>802307</v>
      </c>
      <c r="O24" s="91">
        <f t="shared" si="4"/>
        <v>802307</v>
      </c>
    </row>
    <row r="25" spans="1:15">
      <c r="E25" s="8"/>
      <c r="F25" s="8"/>
      <c r="G25" s="8"/>
      <c r="H25" s="26"/>
      <c r="I25" s="26"/>
      <c r="J25" s="26"/>
      <c r="K25" s="26"/>
      <c r="L25" s="26"/>
      <c r="M25" s="26"/>
      <c r="N25" s="26"/>
      <c r="O25" s="26"/>
    </row>
    <row r="26" spans="1:15">
      <c r="E26" s="19" t="s">
        <v>89</v>
      </c>
      <c r="F26" s="19"/>
      <c r="G26" s="19"/>
      <c r="H26" s="20"/>
      <c r="I26" s="20">
        <f>I24+I18</f>
        <v>-82559645</v>
      </c>
      <c r="J26" s="20">
        <f>J24+J18</f>
        <v>10547538</v>
      </c>
      <c r="K26" s="20">
        <f>SUM(K18+K24)</f>
        <v>23918360</v>
      </c>
      <c r="L26" s="20">
        <f>SUM(L18+L24)</f>
        <v>61021190</v>
      </c>
      <c r="M26" s="91">
        <f>M24+M18</f>
        <v>12125136</v>
      </c>
      <c r="N26" s="91">
        <f>N24+N18</f>
        <v>802307</v>
      </c>
      <c r="O26" s="91">
        <f>O24+O18</f>
        <v>12927443</v>
      </c>
    </row>
    <row r="27" spans="1:15">
      <c r="E27" s="8"/>
      <c r="F27" s="8"/>
      <c r="G27" s="8"/>
      <c r="H27" s="26"/>
      <c r="I27" s="26"/>
      <c r="J27" s="26"/>
      <c r="K27" s="26"/>
      <c r="L27" s="26"/>
      <c r="M27" s="26"/>
      <c r="N27" s="26"/>
      <c r="O27" s="26"/>
    </row>
    <row r="28" spans="1:15">
      <c r="A28" s="8"/>
      <c r="B28" s="8"/>
      <c r="C28" s="8"/>
      <c r="D28" s="8"/>
      <c r="E28" s="8"/>
      <c r="G28" s="8" t="s">
        <v>25</v>
      </c>
      <c r="H28" s="26"/>
      <c r="I28" s="26"/>
      <c r="J28" s="26"/>
      <c r="K28" s="26"/>
      <c r="L28" s="26"/>
      <c r="M28" s="12"/>
      <c r="N28" s="12"/>
      <c r="O28" s="12"/>
    </row>
    <row r="29" spans="1:15">
      <c r="A29" s="8"/>
      <c r="B29" s="8"/>
      <c r="C29" s="8"/>
      <c r="D29" s="8"/>
      <c r="E29" s="8"/>
      <c r="G29" s="8"/>
      <c r="H29" s="88" t="s">
        <v>26</v>
      </c>
      <c r="I29" s="26"/>
      <c r="J29" s="26"/>
      <c r="K29" s="26"/>
      <c r="L29" s="26"/>
      <c r="M29" s="12"/>
      <c r="N29" s="12"/>
      <c r="O29" s="12"/>
    </row>
    <row r="30" spans="1:15">
      <c r="H30" s="12"/>
      <c r="I30" s="12" t="s">
        <v>412</v>
      </c>
      <c r="J30" s="12"/>
      <c r="K30" s="12"/>
      <c r="L30" s="12"/>
      <c r="M30" s="28">
        <v>12941340</v>
      </c>
      <c r="N30" s="12"/>
      <c r="O30" s="12">
        <f t="shared" ref="O30:O38" si="5">SUM(M30:N30)</f>
        <v>12941340</v>
      </c>
    </row>
    <row r="31" spans="1:15">
      <c r="H31" s="12"/>
      <c r="I31" s="12" t="s">
        <v>110</v>
      </c>
      <c r="J31" s="12"/>
      <c r="K31" s="12"/>
      <c r="L31" s="12"/>
      <c r="M31" s="14">
        <v>15844744</v>
      </c>
      <c r="N31" s="12">
        <v>3961184</v>
      </c>
      <c r="O31" s="12">
        <f t="shared" si="5"/>
        <v>19805928</v>
      </c>
    </row>
    <row r="32" spans="1:15">
      <c r="H32" s="12"/>
      <c r="I32" s="12" t="s">
        <v>29</v>
      </c>
      <c r="J32" s="12"/>
      <c r="K32" s="12"/>
      <c r="L32" s="12"/>
      <c r="M32" s="15">
        <v>971328</v>
      </c>
      <c r="N32" s="12"/>
      <c r="O32" s="12">
        <f t="shared" si="5"/>
        <v>971328</v>
      </c>
    </row>
    <row r="33" spans="5:15">
      <c r="H33" s="12"/>
      <c r="I33" s="12" t="s">
        <v>413</v>
      </c>
      <c r="J33" s="12"/>
      <c r="K33" s="12"/>
      <c r="L33" s="12"/>
      <c r="M33" s="15">
        <v>378840</v>
      </c>
      <c r="N33" s="12"/>
      <c r="O33" s="12">
        <f t="shared" si="5"/>
        <v>378840</v>
      </c>
    </row>
    <row r="34" spans="5:15">
      <c r="H34" s="12"/>
      <c r="I34" s="12" t="s">
        <v>32</v>
      </c>
      <c r="J34" s="12"/>
      <c r="K34" s="12"/>
      <c r="L34" s="12"/>
      <c r="M34" s="15">
        <v>111949</v>
      </c>
      <c r="N34" s="12"/>
      <c r="O34" s="12">
        <f t="shared" si="5"/>
        <v>111949</v>
      </c>
    </row>
    <row r="35" spans="5:15">
      <c r="H35" s="12" t="s">
        <v>122</v>
      </c>
      <c r="I35" s="12"/>
      <c r="J35" s="12"/>
      <c r="K35" s="12"/>
      <c r="L35" s="12"/>
      <c r="M35" s="29">
        <v>195208</v>
      </c>
      <c r="N35" s="12">
        <v>37106</v>
      </c>
      <c r="O35" s="12">
        <f t="shared" si="5"/>
        <v>232314</v>
      </c>
    </row>
    <row r="36" spans="5:15">
      <c r="H36" s="12" t="s">
        <v>414</v>
      </c>
      <c r="I36" s="12"/>
      <c r="J36" s="12"/>
      <c r="K36" s="12"/>
      <c r="L36" s="12"/>
      <c r="M36" s="29">
        <v>1168627</v>
      </c>
      <c r="N36" s="12">
        <v>330835</v>
      </c>
      <c r="O36" s="12">
        <f t="shared" si="5"/>
        <v>1499462</v>
      </c>
    </row>
    <row r="37" spans="5:15">
      <c r="H37" s="12" t="s">
        <v>35</v>
      </c>
      <c r="I37" s="12"/>
      <c r="J37" s="12"/>
      <c r="K37" s="12"/>
      <c r="L37" s="12"/>
      <c r="M37" s="29">
        <v>-149742</v>
      </c>
      <c r="N37" s="12"/>
      <c r="O37" s="12">
        <f t="shared" si="5"/>
        <v>-149742</v>
      </c>
    </row>
    <row r="38" spans="5:15">
      <c r="H38" s="12" t="s">
        <v>415</v>
      </c>
      <c r="I38" s="12"/>
      <c r="J38" s="12"/>
      <c r="K38" s="12"/>
      <c r="L38" s="12"/>
      <c r="M38" s="29">
        <v>5403510</v>
      </c>
      <c r="N38" s="12"/>
      <c r="O38" s="12">
        <f t="shared" si="5"/>
        <v>5403510</v>
      </c>
    </row>
    <row r="39" spans="5:15">
      <c r="H39" s="12"/>
      <c r="I39" s="12"/>
      <c r="J39" s="12"/>
      <c r="K39" s="12"/>
      <c r="L39" s="12"/>
      <c r="M39" s="12"/>
      <c r="N39" s="12"/>
      <c r="O39" s="12"/>
    </row>
    <row r="40" spans="5:15">
      <c r="H40" s="20" t="s">
        <v>416</v>
      </c>
      <c r="I40" s="20"/>
      <c r="J40" s="20"/>
      <c r="K40" s="20"/>
      <c r="L40" s="20"/>
      <c r="M40" s="20">
        <f>SUM(M30:M38)</f>
        <v>36865804</v>
      </c>
      <c r="N40" s="20">
        <f>SUM(N30:N38)</f>
        <v>4329125</v>
      </c>
      <c r="O40" s="20">
        <f>SUM(O30:O38)</f>
        <v>41194929</v>
      </c>
    </row>
    <row r="41" spans="5:15">
      <c r="H41" s="12"/>
      <c r="I41" s="12"/>
      <c r="J41" s="12"/>
      <c r="K41" s="12"/>
      <c r="L41" s="12"/>
      <c r="M41" s="12"/>
      <c r="N41" s="12"/>
      <c r="O41" s="12"/>
    </row>
    <row r="42" spans="5:15">
      <c r="H42" s="94" t="s">
        <v>417</v>
      </c>
      <c r="I42" s="94"/>
      <c r="J42" s="94"/>
      <c r="K42" s="94"/>
      <c r="L42" s="94"/>
      <c r="M42" s="94">
        <v>-14209856</v>
      </c>
      <c r="N42" s="94">
        <v>14209856</v>
      </c>
      <c r="O42" s="94">
        <f>SUM(M42:N42)</f>
        <v>0</v>
      </c>
    </row>
    <row r="43" spans="5:15">
      <c r="H43" s="12"/>
      <c r="I43" s="12"/>
      <c r="J43" s="12"/>
      <c r="K43" s="12"/>
      <c r="L43" s="12"/>
      <c r="M43" s="12"/>
      <c r="N43" s="12"/>
      <c r="O43" s="12"/>
    </row>
    <row r="44" spans="5:15">
      <c r="H44" s="20" t="s">
        <v>39</v>
      </c>
      <c r="I44" s="20"/>
      <c r="J44" s="20"/>
      <c r="K44" s="20"/>
      <c r="L44" s="20"/>
      <c r="M44" s="20">
        <v>34781084</v>
      </c>
      <c r="N44" s="20">
        <v>19341288</v>
      </c>
      <c r="O44" s="20">
        <f>SUM(M44:N44)</f>
        <v>54122372</v>
      </c>
    </row>
    <row r="45" spans="5:15">
      <c r="H45" s="26"/>
      <c r="I45" s="26"/>
      <c r="J45" s="26"/>
      <c r="K45" s="26"/>
      <c r="L45" s="26"/>
      <c r="M45" s="26"/>
      <c r="N45" s="26"/>
      <c r="O45" s="26"/>
    </row>
    <row r="46" spans="5:15">
      <c r="E46" s="31" t="s">
        <v>67</v>
      </c>
      <c r="F46" s="31"/>
      <c r="G46" s="31"/>
      <c r="H46" s="32"/>
      <c r="I46" s="32"/>
      <c r="J46" s="32"/>
      <c r="K46" s="32"/>
      <c r="L46" s="32"/>
      <c r="M46" s="33">
        <v>343618811</v>
      </c>
      <c r="N46" s="33">
        <v>197676022</v>
      </c>
      <c r="O46" s="33">
        <f>SUM(M46:N46)</f>
        <v>541294833</v>
      </c>
    </row>
    <row r="47" spans="5:15">
      <c r="H47" s="12"/>
      <c r="I47" s="12"/>
      <c r="J47" s="12"/>
      <c r="K47" s="12"/>
      <c r="L47" s="12"/>
      <c r="M47" s="12"/>
      <c r="N47" s="12"/>
      <c r="O47" s="12"/>
    </row>
    <row r="48" spans="5:15">
      <c r="E48" s="34" t="s">
        <v>44</v>
      </c>
      <c r="F48" s="34"/>
      <c r="G48" s="34"/>
      <c r="H48" s="35"/>
      <c r="I48" s="35"/>
      <c r="J48" s="35"/>
      <c r="K48" s="35"/>
      <c r="L48" s="35"/>
      <c r="M48" s="92">
        <f>SUM(M44,M46)</f>
        <v>378399895</v>
      </c>
      <c r="N48" s="92">
        <f>N46+N44</f>
        <v>217017310</v>
      </c>
      <c r="O48" s="92">
        <f>O46+O44</f>
        <v>595417205</v>
      </c>
    </row>
    <row r="55" spans="11:15">
      <c r="K55" s="9"/>
      <c r="L55" s="9"/>
      <c r="M55" s="9"/>
      <c r="N55" s="9"/>
      <c r="O55" s="9"/>
    </row>
  </sheetData>
  <mergeCells count="5">
    <mergeCell ref="J1:M1"/>
    <mergeCell ref="J2:M2"/>
    <mergeCell ref="M4:O4"/>
    <mergeCell ref="J5:L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62"/>
  <sheetViews>
    <sheetView topLeftCell="A5" workbookViewId="0">
      <selection activeCell="H21" sqref="H21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  <col min="16" max="16" width="14.42578125" customWidth="1"/>
  </cols>
  <sheetData>
    <row r="1" spans="1:16" ht="30" customHeight="1">
      <c r="J1" s="258" t="s">
        <v>418</v>
      </c>
      <c r="K1" s="258"/>
      <c r="L1" s="258"/>
      <c r="M1" s="258"/>
      <c r="N1" s="170"/>
      <c r="O1" s="170"/>
    </row>
    <row r="2" spans="1:16" ht="21.75" customHeight="1">
      <c r="J2" s="259" t="s">
        <v>1</v>
      </c>
      <c r="K2" s="259"/>
      <c r="L2" s="259"/>
      <c r="M2" s="259"/>
      <c r="N2" s="171"/>
      <c r="O2" s="171"/>
    </row>
    <row r="3" spans="1:16" ht="18.75" customHeight="1">
      <c r="E3" s="3"/>
      <c r="F3" s="3"/>
      <c r="G3" s="3"/>
      <c r="H3" s="3"/>
      <c r="I3" s="3"/>
      <c r="J3" s="3"/>
      <c r="K3" s="3"/>
      <c r="L3" s="3"/>
    </row>
    <row r="4" spans="1:16" ht="30.75" customHeight="1">
      <c r="E4" s="2"/>
      <c r="M4" s="260" t="s">
        <v>2</v>
      </c>
      <c r="N4" s="260"/>
      <c r="O4" s="260"/>
      <c r="P4" s="260"/>
    </row>
    <row r="5" spans="1:16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2" t="s">
        <v>5</v>
      </c>
      <c r="N5" s="262"/>
      <c r="O5" s="262"/>
      <c r="P5" s="125"/>
    </row>
    <row r="6" spans="1:16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  <c r="P6" s="90" t="s">
        <v>12</v>
      </c>
    </row>
    <row r="7" spans="1:16" ht="30.75" customHeight="1">
      <c r="A7" s="8" t="s">
        <v>13</v>
      </c>
      <c r="I7" s="9"/>
      <c r="J7" s="9"/>
      <c r="K7" s="9"/>
      <c r="L7" s="9"/>
    </row>
    <row r="8" spans="1:16">
      <c r="B8" s="10" t="s">
        <v>14</v>
      </c>
      <c r="I8" s="9"/>
      <c r="J8" s="9"/>
      <c r="K8" s="9"/>
      <c r="L8" s="9"/>
      <c r="M8" s="9"/>
      <c r="N8" s="9"/>
      <c r="O8" s="9"/>
    </row>
    <row r="9" spans="1:16">
      <c r="C9" t="s">
        <v>15</v>
      </c>
      <c r="H9" s="12"/>
      <c r="I9" s="11">
        <v>-18234171</v>
      </c>
      <c r="J9" s="12">
        <v>3163440</v>
      </c>
      <c r="K9" s="12">
        <v>8867030</v>
      </c>
      <c r="L9" s="12">
        <v>3835295</v>
      </c>
      <c r="M9" s="12">
        <f t="shared" ref="M9:M16" si="0">SUM(I9:L9)</f>
        <v>-2368406</v>
      </c>
      <c r="N9" s="12"/>
      <c r="O9" s="12">
        <f t="shared" ref="O9:O15" si="1">SUM(M9:N9)</f>
        <v>-2368406</v>
      </c>
    </row>
    <row r="10" spans="1:16">
      <c r="C10" t="s">
        <v>16</v>
      </c>
      <c r="H10" s="12"/>
      <c r="I10" s="13">
        <v>-8311542</v>
      </c>
      <c r="J10" s="12"/>
      <c r="K10" s="12">
        <v>214114</v>
      </c>
      <c r="L10" s="12"/>
      <c r="M10" s="12">
        <f t="shared" si="0"/>
        <v>-8097428</v>
      </c>
      <c r="N10" s="12"/>
      <c r="O10" s="12">
        <f t="shared" si="1"/>
        <v>-8097428</v>
      </c>
    </row>
    <row r="11" spans="1:16">
      <c r="C11" t="s">
        <v>17</v>
      </c>
      <c r="H11" s="12"/>
      <c r="I11" s="14">
        <v>-25161360</v>
      </c>
      <c r="J11" s="12">
        <v>96187</v>
      </c>
      <c r="K11" s="12">
        <v>1061166</v>
      </c>
      <c r="L11" s="12">
        <v>1236452</v>
      </c>
      <c r="M11" s="12">
        <f t="shared" si="0"/>
        <v>-22767555</v>
      </c>
      <c r="N11" s="12"/>
      <c r="O11" s="12">
        <f t="shared" si="1"/>
        <v>-22767555</v>
      </c>
    </row>
    <row r="12" spans="1:16">
      <c r="C12" t="s">
        <v>19</v>
      </c>
      <c r="H12" s="12"/>
      <c r="I12" s="15">
        <v>-5799325</v>
      </c>
      <c r="J12" s="12"/>
      <c r="K12" s="12">
        <v>94882</v>
      </c>
      <c r="L12" s="12"/>
      <c r="M12" s="12">
        <f>SUM(I12:L12)</f>
        <v>-5704443</v>
      </c>
      <c r="N12" s="12"/>
      <c r="O12" s="12">
        <f t="shared" si="1"/>
        <v>-5704443</v>
      </c>
    </row>
    <row r="13" spans="1:16">
      <c r="C13" t="s">
        <v>20</v>
      </c>
      <c r="H13" s="12"/>
      <c r="I13" s="16">
        <v>-4574464</v>
      </c>
      <c r="J13" s="12">
        <v>197403</v>
      </c>
      <c r="K13" s="12"/>
      <c r="L13" s="12">
        <v>138700</v>
      </c>
      <c r="M13" s="12">
        <f t="shared" si="0"/>
        <v>-4238361</v>
      </c>
      <c r="N13" s="12"/>
      <c r="O13" s="12">
        <f t="shared" si="1"/>
        <v>-4238361</v>
      </c>
    </row>
    <row r="14" spans="1:16">
      <c r="C14" t="s">
        <v>18</v>
      </c>
      <c r="H14" s="12"/>
      <c r="I14" s="102">
        <v>-2397090</v>
      </c>
      <c r="J14" s="12"/>
      <c r="K14" s="12">
        <v>1421170</v>
      </c>
      <c r="L14" s="12"/>
      <c r="M14" s="12">
        <f>SUM(I14:L14)</f>
        <v>-975920</v>
      </c>
      <c r="N14" s="12"/>
      <c r="O14" s="12">
        <f t="shared" si="1"/>
        <v>-975920</v>
      </c>
    </row>
    <row r="15" spans="1:16">
      <c r="C15" t="s">
        <v>419</v>
      </c>
      <c r="H15" s="12"/>
      <c r="I15" s="98">
        <v>-532285</v>
      </c>
      <c r="J15" s="12"/>
      <c r="K15" s="12"/>
      <c r="L15" s="12"/>
      <c r="M15" s="12">
        <f t="shared" si="0"/>
        <v>-532285</v>
      </c>
      <c r="N15" s="12"/>
      <c r="O15" s="12">
        <f t="shared" si="1"/>
        <v>-532285</v>
      </c>
    </row>
    <row r="16" spans="1:16">
      <c r="C16" t="s">
        <v>420</v>
      </c>
      <c r="H16" s="12"/>
      <c r="I16" s="12"/>
      <c r="J16" s="12"/>
      <c r="K16" s="12"/>
      <c r="L16" s="12">
        <v>631661</v>
      </c>
      <c r="M16" s="12">
        <f t="shared" si="0"/>
        <v>631661</v>
      </c>
      <c r="N16" s="12"/>
      <c r="O16" s="12">
        <f>SUM(M16:N16)</f>
        <v>631661</v>
      </c>
    </row>
    <row r="17" spans="1:16">
      <c r="H17" s="12"/>
      <c r="I17" s="12"/>
      <c r="J17" s="12"/>
      <c r="K17" s="12"/>
      <c r="L17" s="12"/>
      <c r="M17" s="12"/>
      <c r="N17" s="12"/>
      <c r="O17" s="12"/>
    </row>
    <row r="18" spans="1:16">
      <c r="E18" s="19" t="s">
        <v>22</v>
      </c>
      <c r="F18" s="19"/>
      <c r="G18" s="19"/>
      <c r="H18" s="20"/>
      <c r="I18" s="20">
        <f t="shared" ref="I18:K18" si="2">SUM(I9:I16)</f>
        <v>-65010237</v>
      </c>
      <c r="J18" s="20">
        <f t="shared" si="2"/>
        <v>3457030</v>
      </c>
      <c r="K18" s="20">
        <f t="shared" si="2"/>
        <v>11658362</v>
      </c>
      <c r="L18" s="20">
        <f>SUM(L9:L16)</f>
        <v>5842108</v>
      </c>
      <c r="M18" s="91">
        <f>SUM(M9:M16)</f>
        <v>-44052737</v>
      </c>
      <c r="N18" s="91"/>
      <c r="O18" s="91">
        <f>SUM(O9:O16)</f>
        <v>-44052737</v>
      </c>
      <c r="P18" s="93">
        <f>SUM(P9:P15)</f>
        <v>0</v>
      </c>
    </row>
    <row r="19" spans="1:16">
      <c r="E19" s="8"/>
      <c r="F19" s="8"/>
      <c r="G19" s="8"/>
      <c r="H19" s="26"/>
      <c r="I19" s="26"/>
      <c r="J19" s="26"/>
      <c r="K19" s="26"/>
      <c r="L19" s="26"/>
      <c r="M19" s="26"/>
      <c r="N19" s="26"/>
      <c r="O19" s="26"/>
    </row>
    <row r="20" spans="1:16">
      <c r="B20" s="10" t="s">
        <v>84</v>
      </c>
      <c r="E20" s="8"/>
      <c r="F20" s="8"/>
      <c r="G20" s="8"/>
      <c r="H20" s="26"/>
      <c r="I20" s="26"/>
      <c r="J20" s="26"/>
      <c r="K20" s="26"/>
      <c r="L20" s="26"/>
      <c r="M20" s="26"/>
      <c r="N20" s="26"/>
      <c r="O20" s="26"/>
    </row>
    <row r="21" spans="1:16">
      <c r="C21" t="s">
        <v>421</v>
      </c>
      <c r="E21" s="8"/>
      <c r="F21" s="8"/>
      <c r="G21" s="8"/>
      <c r="H21" s="26"/>
      <c r="I21" s="249">
        <v>-11300078</v>
      </c>
      <c r="J21" s="88">
        <v>10427732</v>
      </c>
      <c r="K21" s="88">
        <v>348468</v>
      </c>
      <c r="L21" s="88">
        <v>48464</v>
      </c>
      <c r="M21" s="88"/>
      <c r="N21" s="88">
        <f t="shared" ref="N21:N22" si="3">SUM(I21:L21)</f>
        <v>-475414</v>
      </c>
      <c r="O21" s="88">
        <f t="shared" ref="O21:O22" si="4">SUM(M21:N21)</f>
        <v>-475414</v>
      </c>
    </row>
    <row r="22" spans="1:16">
      <c r="C22" t="s">
        <v>422</v>
      </c>
      <c r="E22" s="8"/>
      <c r="F22" s="8"/>
      <c r="G22" s="8"/>
      <c r="H22" s="26"/>
      <c r="I22" s="249">
        <v>-11557921</v>
      </c>
      <c r="J22" s="88">
        <v>7990415</v>
      </c>
      <c r="K22" s="88"/>
      <c r="L22" s="88"/>
      <c r="M22" s="88"/>
      <c r="N22" s="88">
        <f t="shared" si="3"/>
        <v>-3567506</v>
      </c>
      <c r="O22" s="88">
        <f t="shared" si="4"/>
        <v>-3567506</v>
      </c>
    </row>
    <row r="23" spans="1:16">
      <c r="C23" t="s">
        <v>228</v>
      </c>
      <c r="E23" s="8"/>
      <c r="F23" s="8"/>
      <c r="G23" s="8"/>
      <c r="H23" s="26"/>
      <c r="I23" s="248">
        <v>-3436409</v>
      </c>
      <c r="J23" s="88">
        <v>3457347</v>
      </c>
      <c r="K23" s="88"/>
      <c r="L23" s="88"/>
      <c r="M23" s="88"/>
      <c r="N23" s="88">
        <f>SUM(I23:L23)</f>
        <v>20938</v>
      </c>
      <c r="O23" s="88">
        <f>SUM(M23:N23)</f>
        <v>20938</v>
      </c>
    </row>
    <row r="24" spans="1:16">
      <c r="E24" s="8"/>
      <c r="F24" s="8"/>
      <c r="G24" s="8"/>
      <c r="H24" s="26"/>
      <c r="I24" s="26"/>
      <c r="J24" s="26"/>
      <c r="K24" s="26"/>
      <c r="L24" s="26"/>
      <c r="M24" s="26"/>
      <c r="N24" s="26"/>
      <c r="O24" s="26"/>
    </row>
    <row r="25" spans="1:16">
      <c r="E25" s="19" t="s">
        <v>173</v>
      </c>
      <c r="F25" s="19"/>
      <c r="G25" s="19"/>
      <c r="H25" s="20"/>
      <c r="I25" s="20">
        <f t="shared" ref="I25:O25" si="5">SUM(I21:I23)</f>
        <v>-26294408</v>
      </c>
      <c r="J25" s="20">
        <f t="shared" si="5"/>
        <v>21875494</v>
      </c>
      <c r="K25" s="20">
        <f t="shared" si="5"/>
        <v>348468</v>
      </c>
      <c r="L25" s="20">
        <f t="shared" si="5"/>
        <v>48464</v>
      </c>
      <c r="M25" s="91">
        <f t="shared" si="5"/>
        <v>0</v>
      </c>
      <c r="N25" s="91">
        <f t="shared" si="5"/>
        <v>-4021982</v>
      </c>
      <c r="O25" s="91">
        <f t="shared" si="5"/>
        <v>-4021982</v>
      </c>
      <c r="P25" s="93">
        <f>SUM(P14:P23)</f>
        <v>0</v>
      </c>
    </row>
    <row r="26" spans="1:16">
      <c r="E26" s="8"/>
      <c r="F26" s="8"/>
      <c r="G26" s="8"/>
      <c r="H26" s="26"/>
      <c r="I26" s="26"/>
      <c r="J26" s="26"/>
      <c r="K26" s="26"/>
      <c r="L26" s="26"/>
      <c r="M26" s="26"/>
      <c r="N26" s="26"/>
      <c r="O26" s="26"/>
    </row>
    <row r="27" spans="1:16">
      <c r="E27" s="19" t="s">
        <v>89</v>
      </c>
      <c r="F27" s="19"/>
      <c r="G27" s="19"/>
      <c r="H27" s="20"/>
      <c r="I27" s="20">
        <f>I25+I18</f>
        <v>-91304645</v>
      </c>
      <c r="J27" s="20">
        <f>J25+J18</f>
        <v>25332524</v>
      </c>
      <c r="K27" s="20">
        <f>SUM(K18+K25)</f>
        <v>12006830</v>
      </c>
      <c r="L27" s="20">
        <f>SUM(L18+L25)</f>
        <v>5890572</v>
      </c>
      <c r="M27" s="91">
        <f>M25+M18</f>
        <v>-44052737</v>
      </c>
      <c r="N27" s="91">
        <f>N25+N18</f>
        <v>-4021982</v>
      </c>
      <c r="O27" s="91">
        <f>O25+O18</f>
        <v>-48074719</v>
      </c>
      <c r="P27" s="93">
        <f>SUM(P17:P25)</f>
        <v>0</v>
      </c>
    </row>
    <row r="28" spans="1:16">
      <c r="E28" s="8"/>
      <c r="F28" s="8"/>
      <c r="G28" s="8"/>
      <c r="H28" s="26"/>
      <c r="I28" s="26"/>
      <c r="J28" s="26"/>
      <c r="K28" s="26"/>
      <c r="L28" s="26"/>
      <c r="M28" s="26"/>
      <c r="N28" s="26"/>
      <c r="O28" s="26"/>
    </row>
    <row r="29" spans="1:16">
      <c r="A29" s="10" t="s">
        <v>23</v>
      </c>
      <c r="H29" s="12"/>
      <c r="I29" s="12"/>
      <c r="J29" s="12"/>
      <c r="K29" s="12"/>
      <c r="L29" s="12"/>
      <c r="M29" s="12"/>
      <c r="N29" s="12"/>
      <c r="O29" s="12"/>
    </row>
    <row r="30" spans="1:16">
      <c r="B30" t="s">
        <v>423</v>
      </c>
      <c r="H30" s="12"/>
      <c r="I30" s="12">
        <v>-1501391</v>
      </c>
      <c r="J30" s="12">
        <v>662632</v>
      </c>
      <c r="K30" s="12">
        <v>1097480</v>
      </c>
      <c r="L30" s="12"/>
      <c r="M30" s="12"/>
      <c r="N30" s="12"/>
      <c r="O30" s="12"/>
      <c r="P30" s="12">
        <f>SUM(I30:L30)</f>
        <v>258721</v>
      </c>
    </row>
    <row r="31" spans="1:16">
      <c r="B31" t="s">
        <v>424</v>
      </c>
      <c r="H31" s="12"/>
      <c r="I31" s="12">
        <v>-4918378</v>
      </c>
      <c r="J31" s="12">
        <v>34424</v>
      </c>
      <c r="K31" s="12">
        <v>73386</v>
      </c>
      <c r="L31" s="12">
        <v>-154756</v>
      </c>
      <c r="M31" s="12"/>
      <c r="N31" s="12"/>
      <c r="O31" s="12"/>
      <c r="P31" s="12">
        <f t="shared" ref="P31:P33" si="6">SUM(I31:L31)</f>
        <v>-4965324</v>
      </c>
    </row>
    <row r="32" spans="1:16">
      <c r="B32" t="s">
        <v>425</v>
      </c>
      <c r="H32" s="12"/>
      <c r="I32" s="12">
        <v>-173390</v>
      </c>
      <c r="J32" s="12"/>
      <c r="K32" s="12"/>
      <c r="L32" s="12">
        <v>-476905</v>
      </c>
      <c r="M32" s="12"/>
      <c r="N32" s="12"/>
      <c r="O32" s="12"/>
      <c r="P32" s="12">
        <f t="shared" si="6"/>
        <v>-650295</v>
      </c>
    </row>
    <row r="33" spans="1:16">
      <c r="B33" t="s">
        <v>426</v>
      </c>
      <c r="H33" s="12"/>
      <c r="I33" s="12">
        <v>-43629136</v>
      </c>
      <c r="J33" s="12">
        <v>22328763</v>
      </c>
      <c r="K33" s="12">
        <v>7173520</v>
      </c>
      <c r="L33" s="12"/>
      <c r="M33" s="12"/>
      <c r="N33" s="12"/>
      <c r="O33" s="12"/>
      <c r="P33" s="12">
        <f t="shared" si="6"/>
        <v>-14126853</v>
      </c>
    </row>
    <row r="34" spans="1:16">
      <c r="H34" s="12"/>
      <c r="I34" s="12"/>
      <c r="J34" s="12"/>
      <c r="K34" s="12"/>
      <c r="L34" s="12"/>
      <c r="M34" s="12"/>
      <c r="N34" s="12"/>
      <c r="O34" s="12"/>
    </row>
    <row r="35" spans="1:16">
      <c r="E35" s="19" t="s">
        <v>92</v>
      </c>
      <c r="F35" s="19"/>
      <c r="G35" s="19"/>
      <c r="H35" s="20"/>
      <c r="I35" s="20">
        <f t="shared" ref="I35:P35" si="7">SUM(I30:I33)</f>
        <v>-50222295</v>
      </c>
      <c r="J35" s="20">
        <f t="shared" si="7"/>
        <v>23025819</v>
      </c>
      <c r="K35" s="20">
        <f t="shared" si="7"/>
        <v>8344386</v>
      </c>
      <c r="L35" s="20">
        <f t="shared" si="7"/>
        <v>-631661</v>
      </c>
      <c r="M35" s="91">
        <f t="shared" si="7"/>
        <v>0</v>
      </c>
      <c r="N35" s="91">
        <f t="shared" si="7"/>
        <v>0</v>
      </c>
      <c r="O35" s="91">
        <f t="shared" si="7"/>
        <v>0</v>
      </c>
      <c r="P35" s="94">
        <f t="shared" si="7"/>
        <v>-19483751</v>
      </c>
    </row>
    <row r="36" spans="1:16">
      <c r="H36" s="12"/>
      <c r="I36" s="12"/>
      <c r="J36" s="12"/>
      <c r="K36" s="12"/>
      <c r="L36" s="12"/>
      <c r="M36" s="12"/>
      <c r="N36" s="12"/>
      <c r="O36" s="12"/>
    </row>
    <row r="37" spans="1:16">
      <c r="A37" s="8"/>
      <c r="B37" s="8"/>
      <c r="C37" s="8"/>
      <c r="D37" s="8"/>
      <c r="E37" s="8"/>
      <c r="G37" s="8" t="s">
        <v>25</v>
      </c>
      <c r="H37" s="26"/>
      <c r="I37" s="26"/>
      <c r="J37" s="26"/>
      <c r="K37" s="26"/>
      <c r="L37" s="26"/>
      <c r="M37" s="12"/>
      <c r="N37" s="12"/>
      <c r="O37" s="12"/>
    </row>
    <row r="38" spans="1:16">
      <c r="A38" s="8"/>
      <c r="B38" s="8"/>
      <c r="C38" s="8"/>
      <c r="D38" s="8"/>
      <c r="E38" s="8"/>
      <c r="G38" s="8"/>
      <c r="H38" s="88" t="s">
        <v>26</v>
      </c>
      <c r="I38" s="26"/>
      <c r="J38" s="26"/>
      <c r="K38" s="26"/>
      <c r="L38" s="26"/>
      <c r="M38" s="12"/>
      <c r="N38" s="12"/>
      <c r="O38" s="12"/>
    </row>
    <row r="39" spans="1:16">
      <c r="H39" s="12"/>
      <c r="I39" s="12" t="s">
        <v>126</v>
      </c>
      <c r="J39" s="12"/>
      <c r="K39" s="12"/>
      <c r="L39" s="12"/>
      <c r="M39" s="28">
        <v>24732161</v>
      </c>
      <c r="N39" s="12"/>
      <c r="O39" s="12">
        <f t="shared" ref="O39:O47" si="8">SUM(M39:N39)</f>
        <v>24732161</v>
      </c>
      <c r="P39" s="12">
        <v>8606913</v>
      </c>
    </row>
    <row r="40" spans="1:16">
      <c r="H40" s="12"/>
      <c r="I40" s="12" t="s">
        <v>128</v>
      </c>
      <c r="J40" s="12"/>
      <c r="K40" s="12"/>
      <c r="L40" s="12"/>
      <c r="M40" s="14">
        <v>35144273</v>
      </c>
      <c r="N40" s="12"/>
      <c r="O40" s="12">
        <f t="shared" si="8"/>
        <v>35144273</v>
      </c>
      <c r="P40" s="12"/>
    </row>
    <row r="41" spans="1:16">
      <c r="H41" s="12"/>
      <c r="I41" s="12" t="s">
        <v>427</v>
      </c>
      <c r="J41" s="12"/>
      <c r="K41" s="12"/>
      <c r="L41" s="12"/>
      <c r="M41" s="12"/>
      <c r="N41" s="12"/>
      <c r="O41" s="12">
        <f t="shared" si="8"/>
        <v>0</v>
      </c>
      <c r="P41" s="12">
        <v>2773097</v>
      </c>
    </row>
    <row r="42" spans="1:16">
      <c r="H42" s="12"/>
      <c r="I42" s="12" t="s">
        <v>428</v>
      </c>
      <c r="J42" s="12"/>
      <c r="K42" s="12"/>
      <c r="L42" s="12"/>
      <c r="M42" s="15">
        <v>48168</v>
      </c>
      <c r="N42" s="12"/>
      <c r="O42" s="12">
        <f t="shared" si="8"/>
        <v>48168</v>
      </c>
      <c r="P42" s="12"/>
    </row>
    <row r="43" spans="1:16">
      <c r="H43" s="12"/>
      <c r="I43" s="12" t="s">
        <v>429</v>
      </c>
      <c r="J43" s="12"/>
      <c r="K43" s="12"/>
      <c r="L43" s="12"/>
      <c r="M43" s="15">
        <v>296893</v>
      </c>
      <c r="N43" s="12"/>
      <c r="O43" s="12">
        <f t="shared" si="8"/>
        <v>296893</v>
      </c>
      <c r="P43" s="12"/>
    </row>
    <row r="44" spans="1:16">
      <c r="H44" s="12"/>
      <c r="I44" s="12" t="s">
        <v>430</v>
      </c>
      <c r="J44" s="12"/>
      <c r="K44" s="12"/>
      <c r="L44" s="12"/>
      <c r="M44" s="15">
        <v>767343</v>
      </c>
      <c r="N44" s="12"/>
      <c r="O44" s="12">
        <f t="shared" si="8"/>
        <v>767343</v>
      </c>
      <c r="P44" s="12"/>
    </row>
    <row r="45" spans="1:16">
      <c r="H45" s="12" t="s">
        <v>77</v>
      </c>
      <c r="I45" s="12"/>
      <c r="J45" s="12"/>
      <c r="K45" s="12"/>
      <c r="L45" s="12"/>
      <c r="M45" s="29">
        <v>253115</v>
      </c>
      <c r="N45" s="12">
        <v>27318</v>
      </c>
      <c r="O45" s="12">
        <f>SUM(M45:N45)</f>
        <v>280433</v>
      </c>
      <c r="P45" s="12">
        <v>30914</v>
      </c>
    </row>
    <row r="46" spans="1:16">
      <c r="H46" s="12" t="s">
        <v>36</v>
      </c>
      <c r="I46" s="12"/>
      <c r="J46" s="12"/>
      <c r="K46" s="12"/>
      <c r="L46" s="12"/>
      <c r="M46" s="29">
        <v>1153292</v>
      </c>
      <c r="N46" s="12">
        <v>-21019</v>
      </c>
      <c r="O46" s="12">
        <f t="shared" si="8"/>
        <v>1132273</v>
      </c>
      <c r="P46" s="12">
        <v>19901</v>
      </c>
    </row>
    <row r="47" spans="1:16">
      <c r="H47" s="12" t="s">
        <v>240</v>
      </c>
      <c r="I47" s="12"/>
      <c r="J47" s="12"/>
      <c r="K47" s="12"/>
      <c r="L47" s="12"/>
      <c r="M47" s="97">
        <v>-812124</v>
      </c>
      <c r="N47" s="12">
        <v>812124</v>
      </c>
      <c r="O47" s="12">
        <f t="shared" si="8"/>
        <v>0</v>
      </c>
      <c r="P47" s="9"/>
    </row>
    <row r="48" spans="1:16">
      <c r="H48" s="12"/>
      <c r="I48" s="12"/>
      <c r="J48" s="12"/>
      <c r="K48" s="12"/>
      <c r="L48" s="12"/>
      <c r="M48" s="12"/>
      <c r="N48" s="12"/>
      <c r="O48" s="12"/>
    </row>
    <row r="49" spans="5:16">
      <c r="H49" s="20" t="s">
        <v>66</v>
      </c>
      <c r="I49" s="20"/>
      <c r="J49" s="20"/>
      <c r="K49" s="20"/>
      <c r="L49" s="20"/>
      <c r="M49" s="20">
        <f>SUM(M39:M47)</f>
        <v>61583121</v>
      </c>
      <c r="N49" s="20">
        <f>SUM(N39:N47)</f>
        <v>818423</v>
      </c>
      <c r="O49" s="20">
        <f>SUM(O39:O47)</f>
        <v>62401544</v>
      </c>
      <c r="P49" s="94">
        <f>SUM(P39:P47)</f>
        <v>11430825</v>
      </c>
    </row>
    <row r="50" spans="5:16">
      <c r="H50" s="12"/>
      <c r="I50" s="12"/>
      <c r="J50" s="12"/>
      <c r="K50" s="12"/>
      <c r="L50" s="12"/>
      <c r="M50" s="12"/>
      <c r="N50" s="12"/>
      <c r="O50" s="12"/>
    </row>
    <row r="51" spans="5:16">
      <c r="H51" s="20" t="s">
        <v>39</v>
      </c>
      <c r="I51" s="20"/>
      <c r="J51" s="20"/>
      <c r="K51" s="20"/>
      <c r="L51" s="20"/>
      <c r="M51" s="20">
        <f>M49+M18</f>
        <v>17530384</v>
      </c>
      <c r="N51" s="20">
        <f>N49+N27</f>
        <v>-3203559</v>
      </c>
      <c r="O51" s="20">
        <f>O49+O27</f>
        <v>14326825</v>
      </c>
      <c r="P51" s="20">
        <f>P49+P35</f>
        <v>-8052926</v>
      </c>
    </row>
    <row r="52" spans="5:16">
      <c r="H52" s="26"/>
      <c r="I52" s="26"/>
      <c r="J52" s="26"/>
      <c r="K52" s="26"/>
      <c r="L52" s="26"/>
      <c r="M52" s="26"/>
      <c r="N52" s="26"/>
      <c r="O52" s="26"/>
    </row>
    <row r="53" spans="5:16">
      <c r="E53" s="31" t="s">
        <v>67</v>
      </c>
      <c r="F53" s="31"/>
      <c r="G53" s="31"/>
      <c r="H53" s="32"/>
      <c r="I53" s="32"/>
      <c r="J53" s="32"/>
      <c r="K53" s="32"/>
      <c r="L53" s="32"/>
      <c r="M53" s="33">
        <v>233899646</v>
      </c>
      <c r="N53" s="33">
        <v>116812375</v>
      </c>
      <c r="O53" s="33">
        <f>SUM(M53:N53)</f>
        <v>350712021</v>
      </c>
      <c r="P53" s="95">
        <v>5854133</v>
      </c>
    </row>
    <row r="54" spans="5:16">
      <c r="H54" s="12"/>
      <c r="I54" s="12"/>
      <c r="J54" s="12"/>
      <c r="K54" s="12"/>
      <c r="L54" s="12"/>
      <c r="M54" s="12"/>
      <c r="N54" s="12"/>
      <c r="O54" s="12"/>
    </row>
    <row r="55" spans="5:16">
      <c r="E55" s="34" t="s">
        <v>44</v>
      </c>
      <c r="F55" s="34"/>
      <c r="G55" s="34"/>
      <c r="H55" s="35"/>
      <c r="I55" s="35"/>
      <c r="J55" s="35"/>
      <c r="K55" s="35"/>
      <c r="L55" s="35"/>
      <c r="M55" s="92">
        <f>SUM(M51,M53)</f>
        <v>251430030</v>
      </c>
      <c r="N55" s="92">
        <f>N53+N51</f>
        <v>113608816</v>
      </c>
      <c r="O55" s="92">
        <f>O53+O51</f>
        <v>365038846</v>
      </c>
      <c r="P55" s="96">
        <f>P53+P51</f>
        <v>-2198793</v>
      </c>
    </row>
    <row r="62" spans="5:16">
      <c r="K62" s="9"/>
      <c r="L62" s="9"/>
      <c r="M62" s="9"/>
      <c r="N62" s="9"/>
      <c r="O62" s="9"/>
    </row>
  </sheetData>
  <mergeCells count="5">
    <mergeCell ref="J1:M1"/>
    <mergeCell ref="J2:M2"/>
    <mergeCell ref="M4:P4"/>
    <mergeCell ref="J5:L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R60"/>
  <sheetViews>
    <sheetView topLeftCell="A4" zoomScale="90" zoomScaleNormal="90" zoomScalePageLayoutView="90" workbookViewId="0">
      <selection activeCell="M51" sqref="M51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6" width="14.42578125" customWidth="1"/>
    <col min="17" max="17" width="15.42578125" customWidth="1"/>
  </cols>
  <sheetData>
    <row r="1" spans="1:18" ht="30" customHeight="1">
      <c r="J1" s="258" t="s">
        <v>431</v>
      </c>
      <c r="K1" s="258"/>
      <c r="L1" s="258"/>
      <c r="M1" s="258"/>
    </row>
    <row r="2" spans="1:18" ht="21.75" customHeight="1">
      <c r="J2" s="259" t="s">
        <v>1</v>
      </c>
      <c r="K2" s="259"/>
      <c r="L2" s="259"/>
      <c r="M2" s="259"/>
    </row>
    <row r="3" spans="1:18" ht="21.75" customHeight="1">
      <c r="J3" s="171"/>
      <c r="K3" s="116"/>
      <c r="L3" s="171"/>
      <c r="M3" s="171"/>
    </row>
    <row r="4" spans="1:18" ht="18.75" customHeight="1">
      <c r="E4" s="3"/>
      <c r="F4" s="3"/>
      <c r="G4" s="3"/>
      <c r="H4" s="3"/>
      <c r="I4" s="3"/>
      <c r="J4" s="3"/>
      <c r="K4" s="3"/>
      <c r="L4" s="3"/>
    </row>
    <row r="5" spans="1:18" ht="30.75" customHeight="1">
      <c r="E5" s="2"/>
      <c r="M5" s="260" t="s">
        <v>2</v>
      </c>
      <c r="N5" s="260"/>
      <c r="O5" s="260"/>
      <c r="P5" s="260"/>
      <c r="Q5" s="260"/>
      <c r="R5" s="260"/>
    </row>
    <row r="6" spans="1:18" ht="15" customHeight="1">
      <c r="A6" t="s">
        <v>3</v>
      </c>
      <c r="C6" s="4"/>
      <c r="D6" s="4"/>
      <c r="E6" s="4"/>
      <c r="F6" s="4"/>
      <c r="G6" s="4"/>
      <c r="H6" s="4"/>
      <c r="I6" s="4"/>
      <c r="J6" s="260" t="s">
        <v>4</v>
      </c>
      <c r="K6" s="260"/>
      <c r="L6" s="260"/>
      <c r="M6" s="174"/>
      <c r="N6" s="274" t="s">
        <v>432</v>
      </c>
      <c r="O6" s="274"/>
      <c r="P6" s="274"/>
      <c r="Q6" s="274"/>
    </row>
    <row r="7" spans="1:18" ht="44.25" customHeight="1">
      <c r="A7" s="5" t="s">
        <v>6</v>
      </c>
      <c r="I7" s="6" t="s">
        <v>7</v>
      </c>
      <c r="J7" s="6" t="s">
        <v>8</v>
      </c>
      <c r="K7" s="6" t="s">
        <v>9</v>
      </c>
      <c r="L7" s="6" t="s">
        <v>10</v>
      </c>
      <c r="M7" s="6" t="s">
        <v>48</v>
      </c>
      <c r="N7" s="90" t="s">
        <v>433</v>
      </c>
      <c r="O7" s="90" t="s">
        <v>434</v>
      </c>
      <c r="P7" s="90" t="s">
        <v>435</v>
      </c>
      <c r="Q7" s="90" t="s">
        <v>436</v>
      </c>
    </row>
    <row r="8" spans="1:18" ht="30.75" customHeight="1">
      <c r="A8" s="8" t="s">
        <v>13</v>
      </c>
      <c r="I8" s="9"/>
      <c r="J8" s="9"/>
      <c r="K8" s="9"/>
      <c r="L8" s="9"/>
    </row>
    <row r="9" spans="1:18">
      <c r="B9" s="10" t="s">
        <v>14</v>
      </c>
      <c r="I9" s="9"/>
      <c r="J9" s="9"/>
      <c r="K9" s="9"/>
      <c r="L9" s="9"/>
      <c r="M9" s="9"/>
    </row>
    <row r="10" spans="1:18">
      <c r="C10" t="s">
        <v>15</v>
      </c>
      <c r="H10" s="12"/>
      <c r="I10" s="11">
        <v>-1671772</v>
      </c>
      <c r="J10" s="12">
        <v>235019</v>
      </c>
      <c r="K10" s="12">
        <v>14400</v>
      </c>
      <c r="L10" s="12">
        <v>8466</v>
      </c>
      <c r="M10" s="12">
        <f t="shared" ref="M10:M16" si="0">SUM(I10:L10)</f>
        <v>-1413887</v>
      </c>
      <c r="Q10" s="12">
        <f>SUM(N10:P10)</f>
        <v>0</v>
      </c>
    </row>
    <row r="11" spans="1:18">
      <c r="C11" t="s">
        <v>16</v>
      </c>
      <c r="H11" s="12"/>
      <c r="I11" s="13">
        <v>-1168293</v>
      </c>
      <c r="J11" s="12">
        <v>111490</v>
      </c>
      <c r="K11" s="12">
        <v>56820</v>
      </c>
      <c r="L11" s="12">
        <v>59399</v>
      </c>
      <c r="M11" s="12">
        <f t="shared" si="0"/>
        <v>-940584</v>
      </c>
      <c r="Q11" s="12">
        <f t="shared" ref="Q11:Q16" si="1">SUM(N11:P11)</f>
        <v>0</v>
      </c>
    </row>
    <row r="12" spans="1:18">
      <c r="C12" t="s">
        <v>17</v>
      </c>
      <c r="H12" s="12"/>
      <c r="I12" s="14">
        <v>-2607340</v>
      </c>
      <c r="J12" s="12">
        <v>6400</v>
      </c>
      <c r="K12" s="12">
        <v>237191</v>
      </c>
      <c r="L12" s="12">
        <v>422626</v>
      </c>
      <c r="M12" s="12">
        <f t="shared" si="0"/>
        <v>-1941123</v>
      </c>
      <c r="Q12" s="12">
        <f t="shared" si="1"/>
        <v>0</v>
      </c>
    </row>
    <row r="13" spans="1:18">
      <c r="C13" t="s">
        <v>19</v>
      </c>
      <c r="H13" s="12"/>
      <c r="I13" s="15">
        <v>-338845</v>
      </c>
      <c r="J13" s="12">
        <v>2993</v>
      </c>
      <c r="K13" s="12">
        <v>139490</v>
      </c>
      <c r="L13" s="12">
        <v>11792</v>
      </c>
      <c r="M13" s="12">
        <f>SUM(I13:L13)</f>
        <v>-184570</v>
      </c>
      <c r="Q13" s="12">
        <f t="shared" si="1"/>
        <v>0</v>
      </c>
    </row>
    <row r="14" spans="1:18">
      <c r="C14" t="s">
        <v>437</v>
      </c>
      <c r="H14" s="12"/>
      <c r="I14" s="16">
        <v>-21760</v>
      </c>
      <c r="J14" s="12"/>
      <c r="K14" s="12"/>
      <c r="L14" s="12">
        <v>476426</v>
      </c>
      <c r="M14" s="12">
        <f t="shared" ref="M14:M15" si="2">SUM(I14:L14)</f>
        <v>454666</v>
      </c>
      <c r="Q14" s="12">
        <f t="shared" si="1"/>
        <v>0</v>
      </c>
    </row>
    <row r="15" spans="1:18">
      <c r="C15" t="s">
        <v>71</v>
      </c>
      <c r="H15" s="12"/>
      <c r="I15" s="102">
        <v>-163375</v>
      </c>
      <c r="J15" s="12"/>
      <c r="K15" s="12">
        <v>71914</v>
      </c>
      <c r="L15" s="12"/>
      <c r="M15" s="12">
        <f t="shared" si="2"/>
        <v>-91461</v>
      </c>
      <c r="Q15" s="12">
        <f t="shared" si="1"/>
        <v>0</v>
      </c>
    </row>
    <row r="16" spans="1:18">
      <c r="C16" t="s">
        <v>438</v>
      </c>
      <c r="H16" s="12"/>
      <c r="I16" s="98">
        <v>-60913</v>
      </c>
      <c r="J16" s="12"/>
      <c r="K16" s="12"/>
      <c r="L16" s="12"/>
      <c r="M16" s="12">
        <f t="shared" si="0"/>
        <v>-60913</v>
      </c>
      <c r="Q16" s="12">
        <f t="shared" si="1"/>
        <v>0</v>
      </c>
    </row>
    <row r="17" spans="1:17">
      <c r="H17" s="12"/>
      <c r="I17" s="12"/>
      <c r="J17" s="12"/>
      <c r="K17" s="12"/>
      <c r="L17" s="12"/>
      <c r="M17" s="12"/>
    </row>
    <row r="18" spans="1:17">
      <c r="E18" s="19" t="s">
        <v>22</v>
      </c>
      <c r="F18" s="19"/>
      <c r="G18" s="19"/>
      <c r="H18" s="20"/>
      <c r="I18" s="20">
        <f t="shared" ref="I18:Q18" si="3">SUM(I10:I16)</f>
        <v>-6032298</v>
      </c>
      <c r="J18" s="20">
        <f t="shared" si="3"/>
        <v>355902</v>
      </c>
      <c r="K18" s="20">
        <f t="shared" si="3"/>
        <v>519815</v>
      </c>
      <c r="L18" s="20">
        <f t="shared" si="3"/>
        <v>978709</v>
      </c>
      <c r="M18" s="91">
        <f t="shared" si="3"/>
        <v>-4177872</v>
      </c>
      <c r="N18" s="93">
        <f t="shared" si="3"/>
        <v>0</v>
      </c>
      <c r="O18" s="93"/>
      <c r="P18" s="93"/>
      <c r="Q18" s="93">
        <f t="shared" si="3"/>
        <v>0</v>
      </c>
    </row>
    <row r="19" spans="1:17">
      <c r="E19" s="8"/>
      <c r="F19" s="8"/>
      <c r="G19" s="8"/>
      <c r="H19" s="26"/>
      <c r="I19" s="26"/>
      <c r="J19" s="26"/>
      <c r="K19" s="26"/>
      <c r="L19" s="26"/>
      <c r="M19" s="26"/>
    </row>
    <row r="20" spans="1:17">
      <c r="A20" s="10" t="s">
        <v>432</v>
      </c>
      <c r="H20" s="12"/>
      <c r="I20" s="12"/>
      <c r="J20" s="12"/>
      <c r="K20" s="12"/>
      <c r="L20" s="12"/>
      <c r="M20" s="12"/>
    </row>
    <row r="21" spans="1:17">
      <c r="B21" t="s">
        <v>439</v>
      </c>
      <c r="H21" s="12"/>
      <c r="I21" s="12">
        <v>-13465977</v>
      </c>
      <c r="J21" s="12">
        <v>16698936</v>
      </c>
      <c r="K21" s="12"/>
      <c r="L21" s="12"/>
      <c r="M21" s="12"/>
      <c r="N21" s="12">
        <f>SUM(I21:L21)</f>
        <v>3232959</v>
      </c>
      <c r="O21" s="12"/>
      <c r="P21" s="12"/>
      <c r="Q21" s="12">
        <f>N21</f>
        <v>3232959</v>
      </c>
    </row>
    <row r="22" spans="1:17">
      <c r="B22" t="s">
        <v>440</v>
      </c>
      <c r="H22" s="12"/>
      <c r="I22" s="12">
        <v>-855472</v>
      </c>
      <c r="J22" s="12">
        <v>930431</v>
      </c>
      <c r="K22" s="12"/>
      <c r="L22" s="12">
        <v>23750</v>
      </c>
      <c r="M22" s="12"/>
      <c r="N22" s="12"/>
      <c r="O22" s="12">
        <f>SUM(I22:L22)</f>
        <v>98709</v>
      </c>
      <c r="P22" s="12"/>
      <c r="Q22" s="12">
        <f>O22</f>
        <v>98709</v>
      </c>
    </row>
    <row r="23" spans="1:17">
      <c r="B23" t="s">
        <v>179</v>
      </c>
      <c r="H23" s="12"/>
      <c r="I23" s="12">
        <v>-327397</v>
      </c>
      <c r="J23" s="12">
        <v>30000</v>
      </c>
      <c r="K23" s="12">
        <v>2446</v>
      </c>
      <c r="L23" s="12">
        <v>17510</v>
      </c>
      <c r="M23" s="12"/>
      <c r="O23" s="12"/>
      <c r="P23" s="12">
        <f>SUM(I23:L23)</f>
        <v>-277441</v>
      </c>
      <c r="Q23" s="12">
        <f>P23</f>
        <v>-277441</v>
      </c>
    </row>
    <row r="24" spans="1:17">
      <c r="H24" s="12"/>
      <c r="I24" s="12"/>
      <c r="J24" s="12"/>
      <c r="K24" s="12"/>
      <c r="L24" s="12"/>
      <c r="M24" s="12"/>
    </row>
    <row r="25" spans="1:17">
      <c r="E25" s="19" t="s">
        <v>92</v>
      </c>
      <c r="F25" s="19"/>
      <c r="G25" s="19"/>
      <c r="H25" s="20"/>
      <c r="I25" s="20">
        <f t="shared" ref="I25:N25" si="4">SUM(I21:I23)</f>
        <v>-14648846</v>
      </c>
      <c r="J25" s="20">
        <f t="shared" si="4"/>
        <v>17659367</v>
      </c>
      <c r="K25" s="20">
        <f t="shared" si="4"/>
        <v>2446</v>
      </c>
      <c r="L25" s="20">
        <f t="shared" si="4"/>
        <v>41260</v>
      </c>
      <c r="M25" s="91">
        <f t="shared" si="4"/>
        <v>0</v>
      </c>
      <c r="N25" s="94">
        <f t="shared" si="4"/>
        <v>3232959</v>
      </c>
      <c r="O25" s="94">
        <f t="shared" ref="O25:P25" si="5">SUM(O21:O23)</f>
        <v>98709</v>
      </c>
      <c r="P25" s="94">
        <f t="shared" si="5"/>
        <v>-277441</v>
      </c>
      <c r="Q25" s="94">
        <f>SUM(Q21:Q23)</f>
        <v>3054227</v>
      </c>
    </row>
    <row r="26" spans="1:17">
      <c r="H26" s="12"/>
      <c r="I26" s="12"/>
      <c r="J26" s="12"/>
      <c r="K26" s="12"/>
      <c r="L26" s="12"/>
      <c r="M26" s="12"/>
    </row>
    <row r="27" spans="1:17">
      <c r="A27" s="8"/>
      <c r="B27" s="8"/>
      <c r="C27" s="8"/>
      <c r="D27" s="8"/>
      <c r="E27" s="8"/>
      <c r="G27" s="8" t="s">
        <v>25</v>
      </c>
      <c r="H27" s="26"/>
      <c r="I27" s="26"/>
      <c r="J27" s="26"/>
      <c r="K27" s="26"/>
      <c r="L27" s="26"/>
      <c r="M27" s="12"/>
    </row>
    <row r="28" spans="1:17">
      <c r="A28" s="8"/>
      <c r="B28" s="8"/>
      <c r="C28" s="8"/>
      <c r="D28" s="8"/>
      <c r="E28" s="8"/>
      <c r="G28" s="8"/>
      <c r="H28" s="88" t="s">
        <v>26</v>
      </c>
      <c r="I28" s="26"/>
      <c r="J28" s="26"/>
      <c r="K28" s="26"/>
      <c r="L28" s="26"/>
      <c r="M28" s="12"/>
    </row>
    <row r="29" spans="1:17">
      <c r="H29" s="12"/>
      <c r="I29" s="12" t="s">
        <v>201</v>
      </c>
      <c r="J29" s="12"/>
      <c r="K29" s="12"/>
      <c r="L29" s="12"/>
      <c r="M29" s="28">
        <v>1784933</v>
      </c>
      <c r="N29" s="12"/>
      <c r="O29" s="12"/>
      <c r="P29" s="12">
        <v>348720</v>
      </c>
      <c r="Q29" s="12">
        <f>SUM(N29:P29)</f>
        <v>348720</v>
      </c>
    </row>
    <row r="30" spans="1:17">
      <c r="H30" s="12"/>
      <c r="I30" s="12" t="s">
        <v>128</v>
      </c>
      <c r="J30" s="12"/>
      <c r="K30" s="12"/>
      <c r="L30" s="12"/>
      <c r="M30" s="14">
        <v>2164307</v>
      </c>
      <c r="N30" s="12"/>
      <c r="O30" s="12"/>
      <c r="P30" s="12">
        <v>1329</v>
      </c>
      <c r="Q30" s="12">
        <f t="shared" ref="Q30:Q40" si="6">SUM(N30:P30)</f>
        <v>1329</v>
      </c>
    </row>
    <row r="31" spans="1:17">
      <c r="H31" s="12"/>
      <c r="I31" s="12" t="s">
        <v>111</v>
      </c>
      <c r="J31" s="12"/>
      <c r="K31" s="12"/>
      <c r="L31" s="12"/>
      <c r="M31" s="15">
        <v>8854</v>
      </c>
      <c r="N31" s="12"/>
      <c r="O31" s="12"/>
      <c r="P31" s="12"/>
      <c r="Q31" s="12">
        <f t="shared" si="6"/>
        <v>0</v>
      </c>
    </row>
    <row r="32" spans="1:17">
      <c r="H32" s="12" t="s">
        <v>441</v>
      </c>
      <c r="I32" s="12"/>
      <c r="J32" s="12"/>
      <c r="K32" s="12"/>
      <c r="L32" s="12"/>
      <c r="M32" s="15">
        <v>31076</v>
      </c>
      <c r="N32" s="12"/>
      <c r="O32" s="12"/>
      <c r="P32" s="12">
        <v>7055</v>
      </c>
      <c r="Q32" s="12">
        <f t="shared" si="6"/>
        <v>7055</v>
      </c>
    </row>
    <row r="33" spans="8:17">
      <c r="H33" s="12" t="s">
        <v>193</v>
      </c>
      <c r="I33" s="12"/>
      <c r="J33" s="12"/>
      <c r="K33" s="12"/>
      <c r="L33" s="12"/>
      <c r="M33" s="12"/>
      <c r="N33" s="12"/>
      <c r="O33" s="12"/>
      <c r="P33" s="12"/>
      <c r="Q33" s="12">
        <f t="shared" si="6"/>
        <v>0</v>
      </c>
    </row>
    <row r="34" spans="8:17">
      <c r="H34" s="12"/>
      <c r="I34" s="12" t="s">
        <v>163</v>
      </c>
      <c r="J34" s="12"/>
      <c r="K34" s="12"/>
      <c r="L34" s="12"/>
      <c r="M34" s="14">
        <v>918051</v>
      </c>
      <c r="N34" s="12"/>
      <c r="O34" s="12"/>
      <c r="P34" s="12"/>
      <c r="Q34" s="12">
        <f t="shared" si="6"/>
        <v>0</v>
      </c>
    </row>
    <row r="35" spans="8:17">
      <c r="H35" s="12"/>
      <c r="I35" s="12" t="s">
        <v>442</v>
      </c>
      <c r="J35" s="12"/>
      <c r="K35" s="12"/>
      <c r="L35" s="12"/>
      <c r="M35" s="15">
        <v>900080</v>
      </c>
      <c r="N35" s="12"/>
      <c r="O35" s="12"/>
      <c r="P35" s="12"/>
      <c r="Q35" s="12">
        <f t="shared" si="6"/>
        <v>0</v>
      </c>
    </row>
    <row r="36" spans="8:17">
      <c r="H36" s="12"/>
      <c r="I36" s="12" t="s">
        <v>75</v>
      </c>
      <c r="J36" s="12"/>
      <c r="K36" s="12"/>
      <c r="L36" s="12"/>
      <c r="M36" s="105">
        <v>86586</v>
      </c>
      <c r="N36" s="12"/>
      <c r="O36" s="12"/>
      <c r="P36" s="12"/>
      <c r="Q36" s="12">
        <f t="shared" si="6"/>
        <v>0</v>
      </c>
    </row>
    <row r="37" spans="8:17">
      <c r="H37" s="12" t="s">
        <v>77</v>
      </c>
      <c r="I37" s="12"/>
      <c r="J37" s="12"/>
      <c r="K37" s="12"/>
      <c r="L37" s="12"/>
      <c r="M37" s="29">
        <v>25720</v>
      </c>
      <c r="N37" s="12">
        <v>2761</v>
      </c>
      <c r="O37" s="12">
        <v>2988</v>
      </c>
      <c r="P37" s="12">
        <v>739</v>
      </c>
      <c r="Q37" s="12">
        <f t="shared" si="6"/>
        <v>6488</v>
      </c>
    </row>
    <row r="38" spans="8:17">
      <c r="H38" s="12" t="s">
        <v>443</v>
      </c>
      <c r="I38" s="12"/>
      <c r="J38" s="12"/>
      <c r="K38" s="12"/>
      <c r="L38" s="12"/>
      <c r="M38" s="12"/>
      <c r="O38">
        <v>2545</v>
      </c>
      <c r="Q38" s="12">
        <f t="shared" si="6"/>
        <v>2545</v>
      </c>
    </row>
    <row r="39" spans="8:17">
      <c r="H39" s="12" t="s">
        <v>36</v>
      </c>
      <c r="I39" s="12"/>
      <c r="J39" s="12"/>
      <c r="K39" s="12"/>
      <c r="L39" s="12"/>
      <c r="M39" s="29">
        <v>50299</v>
      </c>
      <c r="O39">
        <v>6088</v>
      </c>
      <c r="P39">
        <v>5414</v>
      </c>
      <c r="Q39" s="12">
        <f t="shared" si="6"/>
        <v>11502</v>
      </c>
    </row>
    <row r="40" spans="8:17">
      <c r="H40" s="12" t="s">
        <v>444</v>
      </c>
      <c r="I40" s="12"/>
      <c r="J40" s="12"/>
      <c r="K40" s="12"/>
      <c r="L40" s="12"/>
      <c r="M40" s="29">
        <v>-143193</v>
      </c>
      <c r="P40">
        <v>20753</v>
      </c>
      <c r="Q40" s="12">
        <f t="shared" si="6"/>
        <v>20753</v>
      </c>
    </row>
    <row r="41" spans="8:17">
      <c r="H41" s="12" t="s">
        <v>445</v>
      </c>
      <c r="I41" s="12"/>
      <c r="J41" s="12"/>
      <c r="K41" s="12"/>
      <c r="L41" s="12"/>
      <c r="M41" s="29">
        <v>31016</v>
      </c>
      <c r="O41">
        <v>4222</v>
      </c>
      <c r="Q41" s="12">
        <f>SUM(N41:P41)</f>
        <v>4222</v>
      </c>
    </row>
    <row r="42" spans="8:17">
      <c r="H42" s="12"/>
      <c r="I42" s="12"/>
      <c r="J42" s="12"/>
      <c r="K42" s="12"/>
      <c r="L42" s="12"/>
      <c r="M42" s="12"/>
    </row>
    <row r="43" spans="8:17">
      <c r="H43" s="20" t="s">
        <v>282</v>
      </c>
      <c r="I43" s="20"/>
      <c r="J43" s="20"/>
      <c r="K43" s="20"/>
      <c r="L43" s="20"/>
      <c r="M43" s="20">
        <f>SUM(M29:M41)</f>
        <v>5857729</v>
      </c>
      <c r="N43" s="20">
        <f>SUM(N29:N41)</f>
        <v>2761</v>
      </c>
      <c r="O43" s="20">
        <f>SUM(O29:O41)</f>
        <v>15843</v>
      </c>
      <c r="P43" s="20">
        <f>SUM(P29:P41)</f>
        <v>384010</v>
      </c>
      <c r="Q43" s="94">
        <f>SUM(Q29:Q41)</f>
        <v>402614</v>
      </c>
    </row>
    <row r="44" spans="8:17">
      <c r="H44" s="12"/>
      <c r="I44" s="12"/>
      <c r="J44" s="12"/>
      <c r="K44" s="12"/>
      <c r="L44" s="12"/>
      <c r="M44" s="12"/>
    </row>
    <row r="45" spans="8:17">
      <c r="H45" s="20" t="s">
        <v>39</v>
      </c>
      <c r="I45" s="20"/>
      <c r="J45" s="20"/>
      <c r="K45" s="20"/>
      <c r="L45" s="20"/>
      <c r="M45" s="20">
        <f>M43+M18</f>
        <v>1679857</v>
      </c>
      <c r="N45" s="94">
        <f>N43+N25</f>
        <v>3235720</v>
      </c>
      <c r="O45" s="94">
        <f t="shared" ref="O45:P45" si="7">O43+O25</f>
        <v>114552</v>
      </c>
      <c r="P45" s="94">
        <f t="shared" si="7"/>
        <v>106569</v>
      </c>
      <c r="Q45" s="94">
        <f>Q43+Q25+Q18</f>
        <v>3456841</v>
      </c>
    </row>
    <row r="46" spans="8:17">
      <c r="H46" s="26"/>
      <c r="I46" s="26"/>
      <c r="J46" s="26"/>
      <c r="K46" s="26"/>
      <c r="L46" s="26"/>
      <c r="M46" s="26"/>
    </row>
    <row r="47" spans="8:17">
      <c r="H47" s="91" t="s">
        <v>446</v>
      </c>
      <c r="I47" s="91"/>
      <c r="J47" s="91"/>
      <c r="K47" s="91"/>
      <c r="L47" s="91"/>
      <c r="M47" s="91">
        <v>17716886</v>
      </c>
      <c r="N47" s="93">
        <v>2034604</v>
      </c>
      <c r="O47" s="93">
        <v>3828155</v>
      </c>
      <c r="P47" s="93">
        <v>1065353</v>
      </c>
      <c r="Q47" s="94">
        <f>SUM(N47:P47)</f>
        <v>6928112</v>
      </c>
    </row>
    <row r="48" spans="8:17">
      <c r="H48" s="26"/>
      <c r="I48" s="26"/>
      <c r="J48" s="26"/>
      <c r="K48" s="26"/>
      <c r="L48" s="26"/>
      <c r="M48" s="26"/>
    </row>
    <row r="49" spans="5:17">
      <c r="H49" s="91" t="s">
        <v>365</v>
      </c>
      <c r="I49" s="91"/>
      <c r="J49" s="91"/>
      <c r="K49" s="91"/>
      <c r="L49" s="91"/>
      <c r="M49" s="91"/>
      <c r="N49" s="93"/>
      <c r="O49" s="93">
        <v>-3166</v>
      </c>
      <c r="P49" s="93"/>
      <c r="Q49" s="93">
        <f>SUM(N49:P49)</f>
        <v>-3166</v>
      </c>
    </row>
    <row r="50" spans="5:17">
      <c r="H50" s="26"/>
      <c r="I50" s="26"/>
      <c r="J50" s="26"/>
      <c r="K50" s="26"/>
      <c r="L50" s="26"/>
      <c r="M50" s="26"/>
    </row>
    <row r="51" spans="5:17">
      <c r="E51" s="31" t="s">
        <v>406</v>
      </c>
      <c r="F51" s="31"/>
      <c r="G51" s="31"/>
      <c r="H51" s="32"/>
      <c r="I51" s="32"/>
      <c r="J51" s="32"/>
      <c r="K51" s="32"/>
      <c r="L51" s="32"/>
      <c r="M51" s="33">
        <f>M47+M49</f>
        <v>17716886</v>
      </c>
      <c r="N51" s="33">
        <f t="shared" ref="N51:Q51" si="8">N47+N49</f>
        <v>2034604</v>
      </c>
      <c r="O51" s="33">
        <f t="shared" si="8"/>
        <v>3824989</v>
      </c>
      <c r="P51" s="33">
        <f t="shared" si="8"/>
        <v>1065353</v>
      </c>
      <c r="Q51" s="33">
        <f t="shared" si="8"/>
        <v>6924946</v>
      </c>
    </row>
    <row r="52" spans="5:17">
      <c r="H52" s="12"/>
      <c r="I52" s="12"/>
      <c r="J52" s="12"/>
      <c r="K52" s="12"/>
      <c r="L52" s="12"/>
      <c r="M52" s="12"/>
    </row>
    <row r="53" spans="5:17">
      <c r="E53" s="34" t="s">
        <v>44</v>
      </c>
      <c r="F53" s="34"/>
      <c r="G53" s="34"/>
      <c r="H53" s="35"/>
      <c r="I53" s="35"/>
      <c r="J53" s="35"/>
      <c r="K53" s="35"/>
      <c r="L53" s="35"/>
      <c r="M53" s="92">
        <f>M51+M45</f>
        <v>19396743</v>
      </c>
      <c r="N53" s="92">
        <f t="shared" ref="N53:Q53" si="9">N51+N45</f>
        <v>5270324</v>
      </c>
      <c r="O53" s="92">
        <f t="shared" si="9"/>
        <v>3939541</v>
      </c>
      <c r="P53" s="92">
        <f t="shared" si="9"/>
        <v>1171922</v>
      </c>
      <c r="Q53" s="92">
        <f t="shared" si="9"/>
        <v>10381787</v>
      </c>
    </row>
    <row r="60" spans="5:17">
      <c r="K60" s="9"/>
      <c r="L60" s="9"/>
      <c r="M60" s="9"/>
    </row>
  </sheetData>
  <mergeCells count="5">
    <mergeCell ref="J1:M1"/>
    <mergeCell ref="J2:M2"/>
    <mergeCell ref="M5:R5"/>
    <mergeCell ref="J6:L6"/>
    <mergeCell ref="N6:Q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P74"/>
  <sheetViews>
    <sheetView topLeftCell="A3" workbookViewId="0">
      <selection activeCell="I24" sqref="I24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  <col min="16" max="16" width="13.42578125" customWidth="1"/>
  </cols>
  <sheetData>
    <row r="1" spans="1:16" ht="20.25" customHeight="1">
      <c r="J1" s="258" t="s">
        <v>447</v>
      </c>
      <c r="K1" s="258"/>
      <c r="L1" s="258"/>
      <c r="M1" s="258"/>
      <c r="N1" s="170"/>
      <c r="O1" s="170"/>
    </row>
    <row r="2" spans="1:16" ht="18">
      <c r="J2" s="259" t="s">
        <v>1</v>
      </c>
      <c r="K2" s="259"/>
      <c r="L2" s="259"/>
      <c r="M2" s="259"/>
      <c r="N2" s="171"/>
      <c r="O2" s="171"/>
    </row>
    <row r="3" spans="1:16" ht="15.75">
      <c r="E3" s="3"/>
      <c r="F3" s="3"/>
      <c r="G3" s="3"/>
      <c r="H3" s="3"/>
      <c r="I3" s="3"/>
      <c r="J3" s="3"/>
      <c r="K3" s="3"/>
      <c r="L3" s="3"/>
    </row>
    <row r="4" spans="1:16" ht="18">
      <c r="E4" s="2"/>
      <c r="M4" s="260" t="s">
        <v>2</v>
      </c>
      <c r="N4" s="260"/>
      <c r="O4" s="260"/>
    </row>
    <row r="5" spans="1:16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2" t="s">
        <v>5</v>
      </c>
      <c r="N5" s="262"/>
      <c r="O5" s="262"/>
      <c r="P5" s="125"/>
    </row>
    <row r="6" spans="1:16" ht="28.5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  <c r="P6" s="90" t="s">
        <v>49</v>
      </c>
    </row>
    <row r="7" spans="1:16">
      <c r="A7" s="8" t="s">
        <v>13</v>
      </c>
      <c r="I7" s="9"/>
      <c r="J7" s="9"/>
      <c r="K7" s="9"/>
      <c r="L7" s="9"/>
    </row>
    <row r="8" spans="1:16">
      <c r="B8" s="10" t="s">
        <v>14</v>
      </c>
      <c r="I8" s="9"/>
      <c r="J8" s="9"/>
      <c r="K8" s="9"/>
      <c r="L8" s="9"/>
      <c r="M8" s="9"/>
      <c r="N8" s="9"/>
      <c r="O8" s="9"/>
    </row>
    <row r="9" spans="1:16">
      <c r="C9" t="s">
        <v>15</v>
      </c>
      <c r="H9" s="12"/>
      <c r="I9" s="11">
        <v>-8236128</v>
      </c>
      <c r="J9" s="12">
        <v>618451</v>
      </c>
      <c r="K9" s="12">
        <v>1100449</v>
      </c>
      <c r="L9" s="12"/>
      <c r="M9" s="12">
        <f t="shared" ref="M9:M18" si="0">SUM(I9:L9)</f>
        <v>-6517228</v>
      </c>
      <c r="N9" s="12"/>
      <c r="O9" s="12">
        <f t="shared" ref="O9:O18" si="1">SUM(M9:N9)</f>
        <v>-6517228</v>
      </c>
    </row>
    <row r="10" spans="1:16">
      <c r="C10" t="s">
        <v>16</v>
      </c>
      <c r="H10" s="12"/>
      <c r="I10" s="13">
        <v>-4267863</v>
      </c>
      <c r="J10" s="12">
        <v>246649</v>
      </c>
      <c r="K10" s="12">
        <v>11343</v>
      </c>
      <c r="L10" s="12">
        <v>4298189</v>
      </c>
      <c r="M10" s="12">
        <f t="shared" si="0"/>
        <v>288318</v>
      </c>
      <c r="N10" s="12"/>
      <c r="O10" s="12">
        <f t="shared" si="1"/>
        <v>288318</v>
      </c>
    </row>
    <row r="11" spans="1:16">
      <c r="C11" t="s">
        <v>448</v>
      </c>
      <c r="H11" s="12"/>
      <c r="I11" s="14">
        <v>-4986297</v>
      </c>
      <c r="J11" s="12"/>
      <c r="K11" s="12">
        <v>385456</v>
      </c>
      <c r="L11" s="12">
        <v>17879</v>
      </c>
      <c r="M11" s="12">
        <f t="shared" si="0"/>
        <v>-4582962</v>
      </c>
      <c r="N11" s="12"/>
      <c r="O11" s="12">
        <f t="shared" si="1"/>
        <v>-4582962</v>
      </c>
    </row>
    <row r="12" spans="1:16">
      <c r="C12" t="s">
        <v>52</v>
      </c>
      <c r="H12" s="12"/>
      <c r="I12" s="107">
        <v>-2114685</v>
      </c>
      <c r="J12" s="12">
        <v>943799</v>
      </c>
      <c r="K12" s="12">
        <v>38281</v>
      </c>
      <c r="L12" s="12"/>
      <c r="M12" s="12">
        <f t="shared" si="0"/>
        <v>-1132605</v>
      </c>
      <c r="N12" s="12"/>
      <c r="O12" s="12">
        <f t="shared" si="1"/>
        <v>-1132605</v>
      </c>
    </row>
    <row r="13" spans="1:16">
      <c r="C13" t="s">
        <v>449</v>
      </c>
      <c r="H13" s="12"/>
      <c r="I13" s="14">
        <v>-1520</v>
      </c>
      <c r="J13" s="12"/>
      <c r="K13" s="12"/>
      <c r="L13" s="12"/>
      <c r="M13" s="12">
        <f t="shared" si="0"/>
        <v>-1520</v>
      </c>
      <c r="N13" s="12"/>
      <c r="O13" s="12">
        <f t="shared" si="1"/>
        <v>-1520</v>
      </c>
    </row>
    <row r="14" spans="1:16">
      <c r="C14" t="s">
        <v>450</v>
      </c>
      <c r="H14" s="12"/>
      <c r="I14" s="14">
        <v>-1109617</v>
      </c>
      <c r="J14" s="12">
        <v>80648</v>
      </c>
      <c r="K14" s="12">
        <v>781583</v>
      </c>
      <c r="L14" s="12"/>
      <c r="M14" s="12">
        <f t="shared" si="0"/>
        <v>-247386</v>
      </c>
      <c r="N14" s="12"/>
      <c r="O14" s="12">
        <f t="shared" si="1"/>
        <v>-247386</v>
      </c>
    </row>
    <row r="15" spans="1:16">
      <c r="C15" t="s">
        <v>19</v>
      </c>
      <c r="H15" s="12"/>
      <c r="I15" s="15">
        <v>-4267848</v>
      </c>
      <c r="J15" s="12"/>
      <c r="K15" s="12">
        <v>925781</v>
      </c>
      <c r="L15" s="12"/>
      <c r="M15" s="12">
        <f>SUM(I15:L15)</f>
        <v>-3342067</v>
      </c>
      <c r="N15" s="12"/>
      <c r="O15" s="12">
        <f t="shared" si="1"/>
        <v>-3342067</v>
      </c>
    </row>
    <row r="16" spans="1:16">
      <c r="C16" t="s">
        <v>20</v>
      </c>
      <c r="H16" s="12"/>
      <c r="I16" s="16">
        <v>-2651854</v>
      </c>
      <c r="J16" s="12">
        <v>34852</v>
      </c>
      <c r="K16" s="12">
        <v>26234</v>
      </c>
      <c r="L16" s="12"/>
      <c r="M16" s="12">
        <f t="shared" si="0"/>
        <v>-2590768</v>
      </c>
      <c r="N16" s="12"/>
      <c r="O16" s="12">
        <f t="shared" si="1"/>
        <v>-2590768</v>
      </c>
    </row>
    <row r="17" spans="1:16">
      <c r="C17" t="s">
        <v>18</v>
      </c>
      <c r="H17" s="12"/>
      <c r="I17" s="102">
        <v>-2531181</v>
      </c>
      <c r="J17" s="12"/>
      <c r="K17" s="12">
        <v>1445071</v>
      </c>
      <c r="L17" s="12"/>
      <c r="M17" s="12">
        <f>SUM(I17:L17)</f>
        <v>-1086110</v>
      </c>
      <c r="N17" s="12"/>
      <c r="O17" s="12">
        <f t="shared" si="1"/>
        <v>-1086110</v>
      </c>
    </row>
    <row r="18" spans="1:16">
      <c r="C18" t="s">
        <v>21</v>
      </c>
      <c r="H18" s="12"/>
      <c r="I18" s="98">
        <v>-303918</v>
      </c>
      <c r="J18" s="12"/>
      <c r="K18" s="12"/>
      <c r="L18" s="12"/>
      <c r="M18" s="12">
        <f t="shared" si="0"/>
        <v>-303918</v>
      </c>
      <c r="N18" s="12"/>
      <c r="O18" s="12">
        <f t="shared" si="1"/>
        <v>-303918</v>
      </c>
    </row>
    <row r="19" spans="1:16">
      <c r="H19" s="12"/>
      <c r="I19" s="12"/>
      <c r="J19" s="12"/>
      <c r="K19" s="12"/>
      <c r="L19" s="12"/>
      <c r="M19" s="12"/>
      <c r="N19" s="12"/>
      <c r="O19" s="12"/>
    </row>
    <row r="20" spans="1:16">
      <c r="E20" s="19" t="s">
        <v>22</v>
      </c>
      <c r="F20" s="19"/>
      <c r="G20" s="19"/>
      <c r="H20" s="20"/>
      <c r="I20" s="20">
        <f>SUM(I9:I18)</f>
        <v>-30470911</v>
      </c>
      <c r="J20" s="20">
        <f>SUM(J9:J18)</f>
        <v>1924399</v>
      </c>
      <c r="K20" s="20">
        <f>SUM(K9:K18)</f>
        <v>4714198</v>
      </c>
      <c r="L20" s="20">
        <f>SUM(L9:L18)</f>
        <v>4316068</v>
      </c>
      <c r="M20" s="91">
        <f>SUM(M9:M18)</f>
        <v>-19516246</v>
      </c>
      <c r="N20" s="91"/>
      <c r="O20" s="91">
        <f>SUM(O9:O18)</f>
        <v>-19516246</v>
      </c>
      <c r="P20" s="93">
        <f>SUM(P9:P18)</f>
        <v>0</v>
      </c>
    </row>
    <row r="21" spans="1:16">
      <c r="E21" s="8"/>
      <c r="F21" s="8"/>
      <c r="G21" s="8"/>
      <c r="H21" s="26"/>
      <c r="I21" s="26"/>
      <c r="J21" s="26"/>
      <c r="K21" s="26"/>
      <c r="L21" s="26"/>
      <c r="M21" s="26"/>
      <c r="N21" s="26"/>
      <c r="O21" s="26"/>
    </row>
    <row r="22" spans="1:16">
      <c r="B22" s="10" t="s">
        <v>84</v>
      </c>
      <c r="E22" s="8"/>
      <c r="F22" s="8"/>
      <c r="G22" s="8"/>
      <c r="H22" s="26"/>
      <c r="I22" s="26"/>
      <c r="J22" s="26"/>
      <c r="K22" s="26"/>
      <c r="L22" s="26"/>
      <c r="M22" s="26"/>
      <c r="N22" s="26"/>
      <c r="O22" s="26"/>
    </row>
    <row r="23" spans="1:16">
      <c r="C23" t="s">
        <v>451</v>
      </c>
      <c r="E23" s="8"/>
      <c r="F23" s="8"/>
      <c r="G23" s="8"/>
      <c r="H23" s="26"/>
      <c r="I23" s="249">
        <v>-4651137</v>
      </c>
      <c r="J23" s="88">
        <v>5371779</v>
      </c>
      <c r="K23" s="88">
        <v>104990</v>
      </c>
      <c r="L23" s="88">
        <v>9116</v>
      </c>
      <c r="M23" s="88"/>
      <c r="N23" s="88">
        <f t="shared" ref="N23" si="2">SUM(I23:L23)</f>
        <v>834748</v>
      </c>
      <c r="O23" s="88">
        <f t="shared" ref="O23" si="3">SUM(M23:N23)</f>
        <v>834748</v>
      </c>
    </row>
    <row r="24" spans="1:16">
      <c r="C24" t="s">
        <v>452</v>
      </c>
      <c r="E24" s="8"/>
      <c r="F24" s="8"/>
      <c r="G24" s="8"/>
      <c r="H24" s="26"/>
      <c r="I24" s="252">
        <v>-1162960</v>
      </c>
      <c r="J24" s="88">
        <v>588071</v>
      </c>
      <c r="K24" s="88">
        <v>14903</v>
      </c>
      <c r="L24" s="88"/>
      <c r="M24" s="88"/>
      <c r="N24" s="88">
        <f>SUM(I24:L24)</f>
        <v>-559986</v>
      </c>
      <c r="O24" s="88">
        <f>SUM(M24:N24)</f>
        <v>-559986</v>
      </c>
    </row>
    <row r="25" spans="1:16">
      <c r="E25" s="8"/>
      <c r="F25" s="8"/>
      <c r="G25" s="8"/>
      <c r="H25" s="26"/>
      <c r="I25" s="26"/>
      <c r="J25" s="26"/>
      <c r="K25" s="26"/>
      <c r="L25" s="26"/>
      <c r="M25" s="26"/>
      <c r="N25" s="26"/>
      <c r="O25" s="26"/>
    </row>
    <row r="26" spans="1:16">
      <c r="E26" s="19" t="s">
        <v>173</v>
      </c>
      <c r="F26" s="19"/>
      <c r="G26" s="19"/>
      <c r="H26" s="20"/>
      <c r="I26" s="20">
        <f t="shared" ref="I26:O26" si="4">SUM(I23:I24)</f>
        <v>-5814097</v>
      </c>
      <c r="J26" s="20">
        <f t="shared" si="4"/>
        <v>5959850</v>
      </c>
      <c r="K26" s="20">
        <f t="shared" si="4"/>
        <v>119893</v>
      </c>
      <c r="L26" s="20">
        <f t="shared" si="4"/>
        <v>9116</v>
      </c>
      <c r="M26" s="91">
        <f t="shared" si="4"/>
        <v>0</v>
      </c>
      <c r="N26" s="91">
        <f t="shared" si="4"/>
        <v>274762</v>
      </c>
      <c r="O26" s="91">
        <f t="shared" si="4"/>
        <v>274762</v>
      </c>
      <c r="P26" s="93">
        <f>SUM(P17:P24)</f>
        <v>0</v>
      </c>
    </row>
    <row r="27" spans="1:16">
      <c r="E27" s="8"/>
      <c r="F27" s="8"/>
      <c r="G27" s="8"/>
      <c r="H27" s="26"/>
      <c r="I27" s="26"/>
      <c r="J27" s="26"/>
      <c r="K27" s="26"/>
      <c r="L27" s="26"/>
      <c r="M27" s="26"/>
      <c r="N27" s="26"/>
      <c r="O27" s="26"/>
    </row>
    <row r="28" spans="1:16">
      <c r="E28" s="19" t="s">
        <v>89</v>
      </c>
      <c r="F28" s="19"/>
      <c r="G28" s="19"/>
      <c r="H28" s="20"/>
      <c r="I28" s="20">
        <f>I26+I20</f>
        <v>-36285008</v>
      </c>
      <c r="J28" s="20">
        <f>J26+J20</f>
        <v>7884249</v>
      </c>
      <c r="K28" s="20">
        <f>SUM(K20+K26)</f>
        <v>4834091</v>
      </c>
      <c r="L28" s="20">
        <f>SUM(L20+L26)</f>
        <v>4325184</v>
      </c>
      <c r="M28" s="91">
        <f>M26+M20</f>
        <v>-19516246</v>
      </c>
      <c r="N28" s="91">
        <f>N26+N20</f>
        <v>274762</v>
      </c>
      <c r="O28" s="91">
        <f>O26+O20</f>
        <v>-19241484</v>
      </c>
      <c r="P28" s="93">
        <f>SUM(P19:P26)</f>
        <v>0</v>
      </c>
    </row>
    <row r="29" spans="1:16">
      <c r="E29" s="8"/>
      <c r="F29" s="8"/>
      <c r="G29" s="8"/>
      <c r="H29" s="26"/>
      <c r="I29" s="26"/>
      <c r="J29" s="26"/>
      <c r="K29" s="26"/>
      <c r="L29" s="26"/>
      <c r="M29" s="26"/>
      <c r="N29" s="26"/>
      <c r="O29" s="26"/>
    </row>
    <row r="30" spans="1:16">
      <c r="A30" s="10" t="s">
        <v>23</v>
      </c>
      <c r="H30" s="12"/>
      <c r="I30" s="12"/>
      <c r="J30" s="12"/>
      <c r="K30" s="12"/>
      <c r="L30" s="12"/>
      <c r="M30" s="12"/>
      <c r="N30" s="12"/>
      <c r="O30" s="12"/>
    </row>
    <row r="31" spans="1:16">
      <c r="B31" t="s">
        <v>453</v>
      </c>
      <c r="H31" s="12"/>
      <c r="I31" s="12">
        <v>-20763895</v>
      </c>
      <c r="J31" s="12">
        <v>21287518</v>
      </c>
      <c r="K31" s="12"/>
      <c r="L31" s="12">
        <v>92155</v>
      </c>
      <c r="M31" s="12"/>
      <c r="N31" s="12"/>
      <c r="O31" s="12"/>
      <c r="P31" s="12">
        <f>SUM(I31:L31)</f>
        <v>615778</v>
      </c>
    </row>
    <row r="32" spans="1:16">
      <c r="H32" s="12"/>
      <c r="I32" s="12"/>
      <c r="J32" s="12"/>
      <c r="K32" s="12"/>
      <c r="L32" s="12"/>
      <c r="M32" s="12"/>
      <c r="N32" s="12"/>
      <c r="O32" s="12"/>
    </row>
    <row r="33" spans="1:16">
      <c r="E33" s="19" t="s">
        <v>92</v>
      </c>
      <c r="F33" s="19"/>
      <c r="G33" s="19"/>
      <c r="H33" s="20"/>
      <c r="I33" s="20">
        <f t="shared" ref="I33:P33" si="5">SUM(I31:I31)</f>
        <v>-20763895</v>
      </c>
      <c r="J33" s="20">
        <f t="shared" si="5"/>
        <v>21287518</v>
      </c>
      <c r="K33" s="20">
        <f t="shared" si="5"/>
        <v>0</v>
      </c>
      <c r="L33" s="20">
        <f t="shared" si="5"/>
        <v>92155</v>
      </c>
      <c r="M33" s="91">
        <f t="shared" si="5"/>
        <v>0</v>
      </c>
      <c r="N33" s="91">
        <f t="shared" si="5"/>
        <v>0</v>
      </c>
      <c r="O33" s="91">
        <f t="shared" si="5"/>
        <v>0</v>
      </c>
      <c r="P33" s="94">
        <f t="shared" si="5"/>
        <v>615778</v>
      </c>
    </row>
    <row r="34" spans="1:16">
      <c r="H34" s="12"/>
      <c r="I34" s="12"/>
      <c r="J34" s="12"/>
      <c r="K34" s="12"/>
      <c r="L34" s="12"/>
      <c r="M34" s="12"/>
      <c r="N34" s="12"/>
      <c r="O34" s="12"/>
    </row>
    <row r="35" spans="1:16">
      <c r="A35" s="8"/>
      <c r="B35" s="8"/>
      <c r="C35" s="8"/>
      <c r="D35" s="8"/>
      <c r="E35" s="8"/>
      <c r="G35" s="8" t="s">
        <v>25</v>
      </c>
      <c r="H35" s="26"/>
      <c r="I35" s="26"/>
      <c r="J35" s="26"/>
      <c r="K35" s="26"/>
      <c r="L35" s="26"/>
      <c r="M35" s="12"/>
      <c r="N35" s="12"/>
      <c r="O35" s="12"/>
    </row>
    <row r="36" spans="1:16">
      <c r="A36" s="8"/>
      <c r="B36" s="8"/>
      <c r="C36" s="8"/>
      <c r="D36" s="8"/>
      <c r="E36" s="8"/>
      <c r="G36" s="8"/>
      <c r="H36" s="88" t="s">
        <v>26</v>
      </c>
      <c r="I36" s="26"/>
      <c r="J36" s="26"/>
      <c r="K36" s="26"/>
      <c r="L36" s="26"/>
      <c r="M36" s="12"/>
      <c r="N36" s="12"/>
      <c r="O36" s="12"/>
    </row>
    <row r="37" spans="1:16">
      <c r="H37" s="12"/>
      <c r="I37" s="12" t="s">
        <v>201</v>
      </c>
      <c r="J37" s="12"/>
      <c r="K37" s="12"/>
      <c r="L37" s="12"/>
      <c r="M37" s="28">
        <v>16742024</v>
      </c>
      <c r="N37" s="12">
        <v>535074</v>
      </c>
      <c r="O37" s="12">
        <f t="shared" ref="O37:O49" si="6">SUM(M37:N37)</f>
        <v>17277098</v>
      </c>
      <c r="P37">
        <v>2280766</v>
      </c>
    </row>
    <row r="38" spans="1:16">
      <c r="H38" s="12"/>
      <c r="I38" s="12" t="s">
        <v>454</v>
      </c>
      <c r="J38" s="12"/>
      <c r="K38" s="12"/>
      <c r="L38" s="12"/>
      <c r="M38" s="15">
        <v>90507</v>
      </c>
      <c r="N38" s="12"/>
      <c r="O38" s="12">
        <f t="shared" si="6"/>
        <v>90507</v>
      </c>
    </row>
    <row r="39" spans="1:16">
      <c r="H39" s="12"/>
      <c r="I39" s="12" t="s">
        <v>110</v>
      </c>
      <c r="J39" s="12"/>
      <c r="K39" s="12"/>
      <c r="L39" s="12"/>
      <c r="M39" s="14">
        <v>6930580</v>
      </c>
      <c r="N39" s="12"/>
      <c r="O39" s="12">
        <f t="shared" si="6"/>
        <v>6930580</v>
      </c>
    </row>
    <row r="40" spans="1:16">
      <c r="H40" s="12"/>
      <c r="I40" s="12" t="s">
        <v>455</v>
      </c>
      <c r="J40" s="12"/>
      <c r="K40" s="12"/>
      <c r="L40" s="12"/>
      <c r="M40" s="15">
        <v>21255</v>
      </c>
      <c r="N40" s="12"/>
      <c r="O40" s="12">
        <f t="shared" si="6"/>
        <v>21255</v>
      </c>
    </row>
    <row r="41" spans="1:16">
      <c r="H41" s="12"/>
      <c r="I41" s="12" t="s">
        <v>246</v>
      </c>
      <c r="J41" s="12"/>
      <c r="K41" s="12"/>
      <c r="L41" s="12"/>
      <c r="M41" s="14">
        <v>103044</v>
      </c>
      <c r="N41" s="12"/>
      <c r="O41" s="12">
        <f t="shared" si="6"/>
        <v>103044</v>
      </c>
    </row>
    <row r="42" spans="1:16">
      <c r="H42" s="12"/>
      <c r="I42" s="12" t="s">
        <v>32</v>
      </c>
      <c r="J42" s="12"/>
      <c r="K42" s="12"/>
      <c r="L42" s="12"/>
      <c r="M42" s="15">
        <v>488466</v>
      </c>
      <c r="N42" s="12"/>
      <c r="O42" s="12">
        <f t="shared" si="6"/>
        <v>488466</v>
      </c>
    </row>
    <row r="43" spans="1:16">
      <c r="H43" s="12" t="s">
        <v>456</v>
      </c>
      <c r="I43" s="12"/>
      <c r="J43" s="12"/>
      <c r="K43" s="12"/>
      <c r="L43" s="12"/>
      <c r="M43" s="29">
        <v>179042</v>
      </c>
      <c r="N43" s="12">
        <v>550</v>
      </c>
      <c r="O43" s="12">
        <f t="shared" si="6"/>
        <v>179592</v>
      </c>
    </row>
    <row r="44" spans="1:16">
      <c r="H44" s="12" t="s">
        <v>279</v>
      </c>
      <c r="I44" s="12"/>
      <c r="J44" s="12"/>
      <c r="K44" s="12"/>
      <c r="L44" s="12"/>
      <c r="M44" s="11">
        <v>449066</v>
      </c>
      <c r="N44" s="12"/>
      <c r="O44" s="12">
        <f>SUM(M44:N44)</f>
        <v>449066</v>
      </c>
    </row>
    <row r="45" spans="1:16">
      <c r="H45" s="12" t="s">
        <v>457</v>
      </c>
      <c r="I45" s="12"/>
      <c r="J45" s="12"/>
      <c r="K45" s="12"/>
      <c r="L45" s="12"/>
      <c r="M45" s="29">
        <v>16005</v>
      </c>
      <c r="N45" s="12">
        <v>3841</v>
      </c>
      <c r="O45" s="12">
        <f t="shared" si="6"/>
        <v>19846</v>
      </c>
      <c r="P45" s="12">
        <v>80985</v>
      </c>
    </row>
    <row r="46" spans="1:16">
      <c r="H46" s="12" t="s">
        <v>32</v>
      </c>
      <c r="I46" s="12"/>
      <c r="J46" s="12"/>
      <c r="K46" s="12"/>
      <c r="L46" s="12"/>
      <c r="M46" s="29">
        <v>2126963</v>
      </c>
      <c r="N46" s="12"/>
      <c r="O46" s="12">
        <f t="shared" si="6"/>
        <v>2126963</v>
      </c>
      <c r="P46">
        <v>396639</v>
      </c>
    </row>
    <row r="47" spans="1:16">
      <c r="H47" s="12" t="s">
        <v>458</v>
      </c>
      <c r="I47" s="12"/>
      <c r="J47" s="12"/>
      <c r="K47" s="12"/>
      <c r="L47" s="12"/>
      <c r="M47" s="12"/>
      <c r="N47" s="12">
        <v>990000</v>
      </c>
      <c r="O47" s="12">
        <f t="shared" si="6"/>
        <v>990000</v>
      </c>
    </row>
    <row r="48" spans="1:16">
      <c r="H48" s="12" t="s">
        <v>459</v>
      </c>
      <c r="I48" s="12"/>
      <c r="J48" s="12"/>
      <c r="K48" s="12"/>
      <c r="L48" s="12"/>
      <c r="M48" s="29">
        <v>-91862</v>
      </c>
      <c r="N48" s="12"/>
      <c r="O48" s="12">
        <f t="shared" si="6"/>
        <v>-91862</v>
      </c>
    </row>
    <row r="49" spans="8:16">
      <c r="H49" s="12" t="s">
        <v>37</v>
      </c>
      <c r="I49" s="12"/>
      <c r="J49" s="12"/>
      <c r="K49" s="12"/>
      <c r="L49" s="12"/>
      <c r="M49" s="97">
        <v>-3772</v>
      </c>
      <c r="N49" s="12">
        <v>90007</v>
      </c>
      <c r="O49" s="12">
        <f t="shared" si="6"/>
        <v>86235</v>
      </c>
    </row>
    <row r="50" spans="8:16">
      <c r="H50" s="12"/>
      <c r="I50" s="12"/>
      <c r="J50" s="12"/>
      <c r="K50" s="12"/>
      <c r="L50" s="12"/>
      <c r="M50" s="12"/>
      <c r="N50" s="12"/>
      <c r="O50" s="12"/>
    </row>
    <row r="51" spans="8:16">
      <c r="H51" s="20" t="s">
        <v>66</v>
      </c>
      <c r="I51" s="20"/>
      <c r="J51" s="20"/>
      <c r="K51" s="20"/>
      <c r="L51" s="20"/>
      <c r="M51" s="20">
        <f>SUM(M37:M49)</f>
        <v>27051318</v>
      </c>
      <c r="N51" s="20">
        <f>SUM(N37:N49)</f>
        <v>1619472</v>
      </c>
      <c r="O51" s="20">
        <f>SUM(O37:O49)</f>
        <v>28670790</v>
      </c>
      <c r="P51" s="94">
        <f>SUM(P37:P49)</f>
        <v>2758390</v>
      </c>
    </row>
    <row r="52" spans="8:16">
      <c r="H52" s="12"/>
      <c r="I52" s="12"/>
      <c r="J52" s="12"/>
      <c r="K52" s="12"/>
      <c r="L52" s="12"/>
      <c r="M52" s="12"/>
      <c r="N52" s="12"/>
      <c r="O52" s="12"/>
    </row>
    <row r="53" spans="8:16">
      <c r="H53" s="20" t="s">
        <v>460</v>
      </c>
      <c r="I53" s="20"/>
      <c r="J53" s="20"/>
      <c r="K53" s="20"/>
      <c r="L53" s="20"/>
      <c r="M53" s="20">
        <f>M51+M20</f>
        <v>7535072</v>
      </c>
      <c r="N53" s="20">
        <f>N51+N28</f>
        <v>1894234</v>
      </c>
      <c r="O53" s="20">
        <f>O51+O28</f>
        <v>9429306</v>
      </c>
      <c r="P53" s="20">
        <f>P51+P33</f>
        <v>3374168</v>
      </c>
    </row>
    <row r="54" spans="8:16">
      <c r="H54" s="26"/>
      <c r="I54" s="26"/>
      <c r="J54" s="26"/>
      <c r="K54" s="26"/>
      <c r="L54" s="26"/>
      <c r="M54" s="26"/>
      <c r="N54" s="26"/>
      <c r="O54" s="26"/>
    </row>
    <row r="55" spans="8:16">
      <c r="H55" s="91" t="s">
        <v>461</v>
      </c>
      <c r="I55" s="91"/>
      <c r="J55" s="91"/>
      <c r="K55" s="91"/>
      <c r="L55" s="91"/>
      <c r="M55" s="91"/>
      <c r="N55" s="91">
        <v>-1839861</v>
      </c>
      <c r="O55" s="91">
        <f>SUM(M55:N55)</f>
        <v>-1839861</v>
      </c>
      <c r="P55" s="93"/>
    </row>
    <row r="56" spans="8:16">
      <c r="H56" s="26"/>
      <c r="I56" s="26"/>
      <c r="J56" s="26"/>
      <c r="K56" s="26"/>
      <c r="L56" s="26"/>
      <c r="M56" s="26"/>
      <c r="N56" s="26"/>
      <c r="O56" s="26"/>
    </row>
    <row r="57" spans="8:16">
      <c r="H57" s="91" t="s">
        <v>462</v>
      </c>
      <c r="I57" s="91"/>
      <c r="J57" s="91"/>
      <c r="K57" s="91"/>
      <c r="L57" s="91"/>
      <c r="M57" s="91">
        <f>M53+M55</f>
        <v>7535072</v>
      </c>
      <c r="N57" s="91">
        <f t="shared" ref="N57:P57" si="7">N53+N55</f>
        <v>54373</v>
      </c>
      <c r="O57" s="91">
        <f t="shared" si="7"/>
        <v>7589445</v>
      </c>
      <c r="P57" s="91">
        <f t="shared" si="7"/>
        <v>3374168</v>
      </c>
    </row>
    <row r="58" spans="8:16">
      <c r="H58" s="26"/>
      <c r="I58" s="26"/>
      <c r="J58" s="26"/>
      <c r="K58" s="26"/>
      <c r="L58" s="26"/>
      <c r="M58" s="26"/>
      <c r="N58" s="26"/>
      <c r="O58" s="26"/>
    </row>
    <row r="59" spans="8:16">
      <c r="H59" s="91" t="s">
        <v>463</v>
      </c>
      <c r="I59" s="91"/>
      <c r="J59" s="91"/>
      <c r="K59" s="91"/>
      <c r="L59" s="91"/>
      <c r="M59" s="91">
        <v>88699508</v>
      </c>
      <c r="N59" s="91">
        <v>22345181</v>
      </c>
      <c r="O59" s="91">
        <f>SUM(M59:N59)</f>
        <v>111044689</v>
      </c>
      <c r="P59" s="93">
        <v>21857085</v>
      </c>
    </row>
    <row r="60" spans="8:16">
      <c r="H60" s="26"/>
      <c r="I60" s="26"/>
      <c r="J60" s="26"/>
      <c r="K60" s="26"/>
      <c r="L60" s="26"/>
      <c r="M60" s="26"/>
      <c r="N60" s="26"/>
      <c r="O60" s="26"/>
    </row>
    <row r="61" spans="8:16">
      <c r="H61" s="91" t="s">
        <v>464</v>
      </c>
      <c r="I61" s="91"/>
      <c r="J61" s="91"/>
      <c r="K61" s="91"/>
      <c r="L61" s="91"/>
      <c r="M61" s="91">
        <v>-418267</v>
      </c>
      <c r="N61" s="91"/>
      <c r="O61" s="91">
        <f>SUM(M61:N61)</f>
        <v>-418267</v>
      </c>
      <c r="P61" s="93"/>
    </row>
    <row r="62" spans="8:16">
      <c r="H62" s="26"/>
      <c r="I62" s="26"/>
      <c r="J62" s="26"/>
      <c r="K62" s="26"/>
      <c r="L62" s="26"/>
      <c r="M62" s="26"/>
      <c r="N62" s="26"/>
      <c r="O62" s="26"/>
    </row>
    <row r="63" spans="8:16">
      <c r="H63" s="91" t="s">
        <v>465</v>
      </c>
      <c r="I63" s="91"/>
      <c r="J63" s="91"/>
      <c r="K63" s="91"/>
      <c r="L63" s="91"/>
      <c r="M63" s="91">
        <v>-115899</v>
      </c>
      <c r="N63" s="91"/>
      <c r="O63" s="91">
        <f>SUM(M63:N63)</f>
        <v>-115899</v>
      </c>
      <c r="P63" s="93"/>
    </row>
    <row r="64" spans="8:16">
      <c r="H64" s="26"/>
      <c r="I64" s="26"/>
      <c r="J64" s="26"/>
      <c r="K64" s="26"/>
      <c r="L64" s="26"/>
      <c r="M64" s="26"/>
      <c r="N64" s="26"/>
      <c r="O64" s="26"/>
    </row>
    <row r="65" spans="5:16">
      <c r="E65" s="31" t="s">
        <v>466</v>
      </c>
      <c r="F65" s="31"/>
      <c r="G65" s="31"/>
      <c r="H65" s="32"/>
      <c r="I65" s="32"/>
      <c r="J65" s="32"/>
      <c r="K65" s="32"/>
      <c r="L65" s="32"/>
      <c r="M65" s="33">
        <v>88165342</v>
      </c>
      <c r="N65" s="33">
        <v>22345181</v>
      </c>
      <c r="O65" s="33">
        <f>SUM(M65:N65)</f>
        <v>110510523</v>
      </c>
      <c r="P65" s="95">
        <v>21857085</v>
      </c>
    </row>
    <row r="66" spans="5:16">
      <c r="H66" s="12"/>
      <c r="I66" s="12"/>
      <c r="J66" s="12"/>
      <c r="K66" s="12"/>
      <c r="L66" s="12"/>
      <c r="M66" s="12"/>
      <c r="N66" s="12"/>
      <c r="O66" s="12"/>
    </row>
    <row r="67" spans="5:16">
      <c r="E67" s="34" t="s">
        <v>44</v>
      </c>
      <c r="F67" s="34"/>
      <c r="G67" s="34"/>
      <c r="H67" s="35"/>
      <c r="I67" s="35"/>
      <c r="J67" s="35"/>
      <c r="K67" s="35"/>
      <c r="L67" s="35"/>
      <c r="M67" s="92">
        <f>M65+M57</f>
        <v>95700414</v>
      </c>
      <c r="N67" s="92">
        <f t="shared" ref="N67:P67" si="8">N65+N57</f>
        <v>22399554</v>
      </c>
      <c r="O67" s="92">
        <f t="shared" si="8"/>
        <v>118099968</v>
      </c>
      <c r="P67" s="92">
        <f t="shared" si="8"/>
        <v>25231253</v>
      </c>
    </row>
    <row r="74" spans="5:16">
      <c r="K74" s="9"/>
      <c r="L74" s="9"/>
      <c r="M74" s="9"/>
      <c r="N74" s="9"/>
      <c r="O74" s="9"/>
    </row>
  </sheetData>
  <mergeCells count="5">
    <mergeCell ref="J1:M1"/>
    <mergeCell ref="J2:M2"/>
    <mergeCell ref="M4:O4"/>
    <mergeCell ref="J5:L5"/>
    <mergeCell ref="M5:O5"/>
  </mergeCell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65"/>
  <sheetViews>
    <sheetView workbookViewId="0">
      <selection activeCell="I22" sqref="I22:I23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20.28515625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  <col min="16" max="16" width="14.42578125" customWidth="1"/>
  </cols>
  <sheetData>
    <row r="1" spans="1:16" ht="20.25" customHeight="1">
      <c r="J1" s="258" t="s">
        <v>467</v>
      </c>
      <c r="K1" s="258"/>
      <c r="L1" s="258"/>
      <c r="M1" s="258"/>
      <c r="N1" s="170"/>
      <c r="O1" s="170"/>
    </row>
    <row r="2" spans="1:16" ht="18">
      <c r="J2" s="259" t="s">
        <v>1</v>
      </c>
      <c r="K2" s="259"/>
      <c r="L2" s="259"/>
      <c r="M2" s="259"/>
      <c r="N2" s="171"/>
      <c r="O2" s="171"/>
    </row>
    <row r="3" spans="1:16" ht="15.75">
      <c r="E3" s="3"/>
      <c r="F3" s="3"/>
      <c r="G3" s="3"/>
      <c r="H3" s="3"/>
      <c r="I3" s="3"/>
      <c r="J3" s="3"/>
      <c r="K3" s="3"/>
      <c r="L3" s="3"/>
    </row>
    <row r="4" spans="1:16" ht="18">
      <c r="E4" s="2"/>
      <c r="M4" s="260" t="s">
        <v>2</v>
      </c>
      <c r="N4" s="260"/>
      <c r="O4" s="260"/>
      <c r="P4" s="260"/>
    </row>
    <row r="5" spans="1:16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2" t="s">
        <v>5</v>
      </c>
      <c r="N5" s="262"/>
      <c r="O5" s="262"/>
      <c r="P5" s="125" t="s">
        <v>12</v>
      </c>
    </row>
    <row r="6" spans="1:16" ht="28.5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  <c r="P6" s="90" t="s">
        <v>468</v>
      </c>
    </row>
    <row r="7" spans="1:16">
      <c r="A7" s="8" t="s">
        <v>13</v>
      </c>
      <c r="I7" s="9"/>
      <c r="J7" s="9"/>
      <c r="K7" s="9"/>
      <c r="L7" s="9"/>
    </row>
    <row r="8" spans="1:16">
      <c r="B8" s="10" t="s">
        <v>14</v>
      </c>
      <c r="I8" s="9"/>
      <c r="J8" s="9"/>
      <c r="K8" s="9"/>
      <c r="L8" s="9"/>
      <c r="M8" s="9"/>
      <c r="N8" s="9"/>
      <c r="O8" s="9"/>
    </row>
    <row r="9" spans="1:16">
      <c r="C9" t="s">
        <v>15</v>
      </c>
      <c r="H9" s="12"/>
      <c r="I9" s="11">
        <v>-11787695</v>
      </c>
      <c r="J9" s="12">
        <v>114470</v>
      </c>
      <c r="K9" s="12">
        <v>631537</v>
      </c>
      <c r="L9" s="12"/>
      <c r="M9" s="12">
        <f t="shared" ref="M9:M15" si="0">SUM(I9:L9)</f>
        <v>-11041688</v>
      </c>
      <c r="N9" s="12"/>
      <c r="O9" s="12">
        <f t="shared" ref="O9:O15" si="1">SUM(M9:N9)</f>
        <v>-11041688</v>
      </c>
    </row>
    <row r="10" spans="1:16">
      <c r="C10" t="s">
        <v>16</v>
      </c>
      <c r="H10" s="12"/>
      <c r="I10" s="13">
        <v>-7732696</v>
      </c>
      <c r="J10" s="12">
        <v>1750157</v>
      </c>
      <c r="K10" s="12">
        <v>200374</v>
      </c>
      <c r="L10" s="12"/>
      <c r="M10" s="12">
        <f t="shared" si="0"/>
        <v>-5782165</v>
      </c>
      <c r="N10" s="12"/>
      <c r="O10" s="12">
        <f t="shared" si="1"/>
        <v>-5782165</v>
      </c>
    </row>
    <row r="11" spans="1:16">
      <c r="C11" t="s">
        <v>469</v>
      </c>
      <c r="H11" s="12"/>
      <c r="I11" s="14">
        <v>-13105441</v>
      </c>
      <c r="J11" s="12">
        <v>312206</v>
      </c>
      <c r="K11" s="12">
        <v>1580125</v>
      </c>
      <c r="L11" s="12"/>
      <c r="M11" s="12">
        <f t="shared" si="0"/>
        <v>-11213110</v>
      </c>
      <c r="N11" s="12"/>
      <c r="O11" s="12">
        <f t="shared" si="1"/>
        <v>-11213110</v>
      </c>
    </row>
    <row r="12" spans="1:16">
      <c r="C12" t="s">
        <v>19</v>
      </c>
      <c r="H12" s="12"/>
      <c r="I12" s="15">
        <v>-1761793</v>
      </c>
      <c r="J12" s="12">
        <v>482003</v>
      </c>
      <c r="K12" s="12">
        <v>566548</v>
      </c>
      <c r="L12" s="12"/>
      <c r="M12" s="12">
        <f>SUM(I12:L12)</f>
        <v>-713242</v>
      </c>
      <c r="N12" s="12"/>
      <c r="O12" s="12">
        <f t="shared" si="1"/>
        <v>-713242</v>
      </c>
    </row>
    <row r="13" spans="1:16">
      <c r="C13" t="s">
        <v>71</v>
      </c>
      <c r="H13" s="12"/>
      <c r="I13" s="102">
        <v>-1268936</v>
      </c>
      <c r="J13" s="12"/>
      <c r="K13" s="12">
        <v>1395669</v>
      </c>
      <c r="L13" s="12"/>
      <c r="M13" s="12">
        <f t="shared" si="0"/>
        <v>126733</v>
      </c>
      <c r="N13" s="12"/>
      <c r="O13" s="12">
        <f t="shared" si="1"/>
        <v>126733</v>
      </c>
    </row>
    <row r="14" spans="1:16">
      <c r="C14" t="s">
        <v>20</v>
      </c>
      <c r="H14" s="12"/>
      <c r="I14" s="16">
        <v>-1850395</v>
      </c>
      <c r="J14" s="12">
        <v>141601</v>
      </c>
      <c r="K14" s="12">
        <v>57379</v>
      </c>
      <c r="L14" s="12"/>
      <c r="M14" s="12">
        <f>SUM(I14:L14)</f>
        <v>-1651415</v>
      </c>
      <c r="N14" s="12"/>
      <c r="O14" s="12">
        <f t="shared" si="1"/>
        <v>-1651415</v>
      </c>
    </row>
    <row r="15" spans="1:16">
      <c r="C15" t="s">
        <v>419</v>
      </c>
      <c r="H15" s="12"/>
      <c r="I15" s="98">
        <v>-2902003</v>
      </c>
      <c r="J15" s="12"/>
      <c r="K15" s="12"/>
      <c r="L15" s="12"/>
      <c r="M15" s="12">
        <f t="shared" si="0"/>
        <v>-2902003</v>
      </c>
      <c r="N15" s="12"/>
      <c r="O15" s="12">
        <f t="shared" si="1"/>
        <v>-2902003</v>
      </c>
    </row>
    <row r="16" spans="1:16">
      <c r="H16" s="12"/>
      <c r="I16" s="12"/>
      <c r="J16" s="12"/>
      <c r="K16" s="12"/>
      <c r="L16" s="12"/>
      <c r="M16" s="12"/>
      <c r="N16" s="12"/>
      <c r="O16" s="12"/>
    </row>
    <row r="17" spans="1:16">
      <c r="E17" s="19" t="s">
        <v>22</v>
      </c>
      <c r="F17" s="19"/>
      <c r="G17" s="19"/>
      <c r="H17" s="20"/>
      <c r="I17" s="20">
        <f>SUM(I9:I15)</f>
        <v>-40408959</v>
      </c>
      <c r="J17" s="20">
        <f>SUM(J9:J15)</f>
        <v>2800437</v>
      </c>
      <c r="K17" s="20">
        <f>SUM(K9:K15)</f>
        <v>4431632</v>
      </c>
      <c r="L17" s="20">
        <f>SUM(L9:L15)</f>
        <v>0</v>
      </c>
      <c r="M17" s="91">
        <f>SUM(M9:M15)</f>
        <v>-33176890</v>
      </c>
      <c r="N17" s="91"/>
      <c r="O17" s="91">
        <f>SUM(O9:O15)</f>
        <v>-33176890</v>
      </c>
      <c r="P17" s="93">
        <f>SUM(P9:P15)</f>
        <v>0</v>
      </c>
    </row>
    <row r="18" spans="1:16">
      <c r="E18" s="8"/>
      <c r="F18" s="8"/>
      <c r="G18" s="8"/>
      <c r="H18" s="26"/>
      <c r="I18" s="26"/>
      <c r="J18" s="26"/>
      <c r="K18" s="26"/>
      <c r="L18" s="26"/>
      <c r="M18" s="26"/>
      <c r="N18" s="26"/>
      <c r="O18" s="26"/>
    </row>
    <row r="19" spans="1:16">
      <c r="B19" s="10" t="s">
        <v>84</v>
      </c>
      <c r="E19" s="8"/>
      <c r="F19" s="8"/>
      <c r="G19" s="8"/>
      <c r="H19" s="26"/>
      <c r="I19" s="26"/>
      <c r="J19" s="26"/>
      <c r="K19" s="26"/>
      <c r="L19" s="26"/>
      <c r="M19" s="26"/>
      <c r="N19" s="26"/>
      <c r="O19" s="26"/>
    </row>
    <row r="20" spans="1:16">
      <c r="C20" t="s">
        <v>395</v>
      </c>
      <c r="E20" s="8"/>
      <c r="F20" s="8"/>
      <c r="G20" s="8"/>
      <c r="H20" s="26"/>
      <c r="I20" s="248">
        <v>-3489574</v>
      </c>
      <c r="J20" s="88">
        <v>3817651</v>
      </c>
      <c r="K20" s="88"/>
      <c r="L20" s="88"/>
      <c r="M20" s="88"/>
      <c r="N20" s="88">
        <f t="shared" ref="N20:N22" si="2">SUM(I20:L20)</f>
        <v>328077</v>
      </c>
      <c r="O20" s="88">
        <f t="shared" ref="O20:O22" si="3">SUM(M20:N20)</f>
        <v>328077</v>
      </c>
    </row>
    <row r="21" spans="1:16">
      <c r="C21" t="s">
        <v>470</v>
      </c>
      <c r="E21" s="8"/>
      <c r="F21" s="8"/>
      <c r="G21" s="8"/>
      <c r="H21" s="26"/>
      <c r="I21" s="252">
        <v>-763696</v>
      </c>
      <c r="J21" s="88">
        <v>530937</v>
      </c>
      <c r="K21" s="88"/>
      <c r="L21" s="88"/>
      <c r="M21" s="88"/>
      <c r="N21" s="88">
        <f t="shared" si="2"/>
        <v>-232759</v>
      </c>
      <c r="O21" s="88">
        <f t="shared" si="3"/>
        <v>-232759</v>
      </c>
    </row>
    <row r="22" spans="1:16">
      <c r="C22" t="s">
        <v>471</v>
      </c>
      <c r="E22" s="8"/>
      <c r="F22" s="8"/>
      <c r="G22" s="8"/>
      <c r="H22" s="26"/>
      <c r="I22" s="249">
        <v>-8929638</v>
      </c>
      <c r="J22" s="88">
        <v>6606629</v>
      </c>
      <c r="K22" s="88"/>
      <c r="L22" s="88">
        <v>1205171</v>
      </c>
      <c r="M22" s="88"/>
      <c r="N22" s="88">
        <f t="shared" si="2"/>
        <v>-1117838</v>
      </c>
      <c r="O22" s="88">
        <f t="shared" si="3"/>
        <v>-1117838</v>
      </c>
    </row>
    <row r="23" spans="1:16">
      <c r="C23" t="s">
        <v>172</v>
      </c>
      <c r="E23" s="8"/>
      <c r="F23" s="8"/>
      <c r="G23" s="8"/>
      <c r="H23" s="26"/>
      <c r="I23" s="249">
        <v>-10459148</v>
      </c>
      <c r="J23" s="88">
        <v>5453223</v>
      </c>
      <c r="K23" s="88"/>
      <c r="L23" s="88"/>
      <c r="M23" s="88"/>
      <c r="N23" s="88">
        <f>SUM(I23:L23)</f>
        <v>-5005925</v>
      </c>
      <c r="O23" s="88">
        <f>SUM(M23:N23)</f>
        <v>-5005925</v>
      </c>
    </row>
    <row r="24" spans="1:16">
      <c r="E24" s="8"/>
      <c r="F24" s="8"/>
      <c r="G24" s="8"/>
      <c r="H24" s="26"/>
      <c r="I24" s="26"/>
      <c r="J24" s="26"/>
      <c r="K24" s="26"/>
      <c r="L24" s="26"/>
      <c r="M24" s="26"/>
      <c r="N24" s="26"/>
      <c r="O24" s="26"/>
    </row>
    <row r="25" spans="1:16">
      <c r="E25" s="19" t="s">
        <v>173</v>
      </c>
      <c r="F25" s="19"/>
      <c r="G25" s="19"/>
      <c r="H25" s="20"/>
      <c r="I25" s="20">
        <f t="shared" ref="I25:O25" si="4">SUM(I20:I23)</f>
        <v>-23642056</v>
      </c>
      <c r="J25" s="20">
        <f t="shared" si="4"/>
        <v>16408440</v>
      </c>
      <c r="K25" s="20">
        <f t="shared" si="4"/>
        <v>0</v>
      </c>
      <c r="L25" s="20">
        <f t="shared" si="4"/>
        <v>1205171</v>
      </c>
      <c r="M25" s="91">
        <f t="shared" si="4"/>
        <v>0</v>
      </c>
      <c r="N25" s="91">
        <f t="shared" si="4"/>
        <v>-6028445</v>
      </c>
      <c r="O25" s="91">
        <f t="shared" si="4"/>
        <v>-6028445</v>
      </c>
      <c r="P25" s="93">
        <f>SUM(P14:P23)</f>
        <v>0</v>
      </c>
    </row>
    <row r="26" spans="1:16">
      <c r="E26" s="8"/>
      <c r="F26" s="8"/>
      <c r="G26" s="8"/>
      <c r="H26" s="26"/>
      <c r="I26" s="26"/>
      <c r="J26" s="26"/>
      <c r="K26" s="26"/>
      <c r="L26" s="26"/>
      <c r="M26" s="26"/>
      <c r="N26" s="26"/>
      <c r="O26" s="26"/>
    </row>
    <row r="27" spans="1:16">
      <c r="E27" s="19" t="s">
        <v>89</v>
      </c>
      <c r="F27" s="19"/>
      <c r="G27" s="19"/>
      <c r="H27" s="20"/>
      <c r="I27" s="20">
        <f>I25+I17</f>
        <v>-64051015</v>
      </c>
      <c r="J27" s="20">
        <f>J25+J17</f>
        <v>19208877</v>
      </c>
      <c r="K27" s="20">
        <f>SUM(K17+K25)</f>
        <v>4431632</v>
      </c>
      <c r="L27" s="20">
        <f>SUM(L17+L25)</f>
        <v>1205171</v>
      </c>
      <c r="M27" s="91">
        <f>M25+M17</f>
        <v>-33176890</v>
      </c>
      <c r="N27" s="91">
        <f>N25+N17</f>
        <v>-6028445</v>
      </c>
      <c r="O27" s="91">
        <f>O25+O17</f>
        <v>-39205335</v>
      </c>
      <c r="P27" s="93">
        <f>SUM(P16:P25)</f>
        <v>0</v>
      </c>
    </row>
    <row r="28" spans="1:16">
      <c r="E28" s="8"/>
      <c r="F28" s="8"/>
      <c r="G28" s="8"/>
      <c r="H28" s="26"/>
      <c r="I28" s="26"/>
      <c r="J28" s="26"/>
      <c r="K28" s="26"/>
      <c r="L28" s="26"/>
      <c r="M28" s="26"/>
      <c r="N28" s="26"/>
      <c r="O28" s="26"/>
    </row>
    <row r="29" spans="1:16">
      <c r="A29" s="10" t="s">
        <v>23</v>
      </c>
      <c r="H29" s="12"/>
      <c r="I29" s="12"/>
      <c r="J29" s="12"/>
      <c r="K29" s="12"/>
      <c r="L29" s="12"/>
      <c r="M29" s="12"/>
      <c r="N29" s="12"/>
      <c r="O29" s="12"/>
    </row>
    <row r="30" spans="1:16">
      <c r="B30" t="s">
        <v>468</v>
      </c>
      <c r="H30" s="12"/>
      <c r="I30" s="12">
        <v>-3582288</v>
      </c>
      <c r="J30" s="12">
        <v>50974</v>
      </c>
      <c r="K30" s="12">
        <v>62009</v>
      </c>
      <c r="L30" s="12"/>
      <c r="M30" s="12"/>
      <c r="N30" s="12"/>
      <c r="O30" s="12"/>
      <c r="P30" s="12">
        <f>SUM(I30:L30)</f>
        <v>-3469305</v>
      </c>
    </row>
    <row r="31" spans="1:16">
      <c r="H31" s="12"/>
      <c r="I31" s="12"/>
      <c r="J31" s="12"/>
      <c r="K31" s="12"/>
      <c r="L31" s="12"/>
      <c r="M31" s="12"/>
      <c r="N31" s="12"/>
      <c r="O31" s="12"/>
    </row>
    <row r="32" spans="1:16">
      <c r="E32" s="19" t="s">
        <v>92</v>
      </c>
      <c r="F32" s="19"/>
      <c r="G32" s="19"/>
      <c r="H32" s="20"/>
      <c r="I32" s="20">
        <f t="shared" ref="I32:P32" si="5">SUM(I30:I30)</f>
        <v>-3582288</v>
      </c>
      <c r="J32" s="20">
        <f t="shared" si="5"/>
        <v>50974</v>
      </c>
      <c r="K32" s="20">
        <f t="shared" si="5"/>
        <v>62009</v>
      </c>
      <c r="L32" s="20">
        <f t="shared" si="5"/>
        <v>0</v>
      </c>
      <c r="M32" s="91">
        <f t="shared" si="5"/>
        <v>0</v>
      </c>
      <c r="N32" s="91">
        <f t="shared" si="5"/>
        <v>0</v>
      </c>
      <c r="O32" s="91">
        <f t="shared" si="5"/>
        <v>0</v>
      </c>
      <c r="P32" s="94">
        <f t="shared" si="5"/>
        <v>-3469305</v>
      </c>
    </row>
    <row r="33" spans="1:16">
      <c r="H33" s="12"/>
      <c r="I33" s="12"/>
      <c r="J33" s="12"/>
      <c r="K33" s="12"/>
      <c r="L33" s="12"/>
      <c r="M33" s="12"/>
      <c r="N33" s="12"/>
      <c r="O33" s="12"/>
    </row>
    <row r="34" spans="1:16">
      <c r="A34" s="8"/>
      <c r="B34" s="8"/>
      <c r="C34" s="8"/>
      <c r="D34" s="8"/>
      <c r="E34" s="8"/>
      <c r="G34" s="8" t="s">
        <v>25</v>
      </c>
      <c r="H34" s="26"/>
      <c r="I34" s="26"/>
      <c r="J34" s="26"/>
      <c r="K34" s="26"/>
      <c r="L34" s="26"/>
      <c r="M34" s="12"/>
      <c r="N34" s="12"/>
      <c r="O34" s="12"/>
    </row>
    <row r="35" spans="1:16">
      <c r="H35" s="12" t="s">
        <v>73</v>
      </c>
      <c r="I35" s="12"/>
      <c r="J35" s="12"/>
      <c r="K35" s="12"/>
      <c r="L35" s="12"/>
      <c r="M35" s="28">
        <v>12559687</v>
      </c>
      <c r="N35" s="12">
        <v>211838</v>
      </c>
      <c r="O35" s="12">
        <f t="shared" ref="O35:O46" si="6">SUM(M35:N35)</f>
        <v>12771525</v>
      </c>
      <c r="P35" s="12">
        <v>4539543</v>
      </c>
    </row>
    <row r="36" spans="1:16">
      <c r="H36" s="12" t="s">
        <v>128</v>
      </c>
      <c r="I36" s="12"/>
      <c r="J36" s="12"/>
      <c r="K36" s="12"/>
      <c r="L36" s="12"/>
      <c r="M36" s="14">
        <v>20891882</v>
      </c>
      <c r="N36" s="12"/>
      <c r="O36" s="12">
        <f t="shared" si="6"/>
        <v>20891882</v>
      </c>
      <c r="P36" s="12"/>
    </row>
    <row r="37" spans="1:16">
      <c r="H37" s="12" t="s">
        <v>148</v>
      </c>
      <c r="I37" s="12"/>
      <c r="J37" s="12"/>
      <c r="K37" s="12"/>
      <c r="L37" s="12"/>
      <c r="M37" s="14">
        <v>935809</v>
      </c>
      <c r="N37" s="12"/>
      <c r="O37" s="12">
        <f t="shared" si="6"/>
        <v>935809</v>
      </c>
      <c r="P37" s="12"/>
    </row>
    <row r="38" spans="1:16">
      <c r="H38" s="12" t="s">
        <v>255</v>
      </c>
      <c r="I38" s="12"/>
      <c r="J38" s="12"/>
      <c r="K38" s="12"/>
      <c r="L38" s="12"/>
      <c r="M38" s="15">
        <v>47394</v>
      </c>
      <c r="N38" s="12"/>
      <c r="O38" s="12">
        <f t="shared" si="6"/>
        <v>47394</v>
      </c>
      <c r="P38" s="12"/>
    </row>
    <row r="39" spans="1:16">
      <c r="H39" s="12" t="s">
        <v>127</v>
      </c>
      <c r="I39" s="12"/>
      <c r="J39" s="12"/>
      <c r="K39" s="12"/>
      <c r="L39" s="12"/>
      <c r="M39" s="15">
        <v>54423</v>
      </c>
      <c r="N39" s="12"/>
      <c r="O39" s="12">
        <f t="shared" si="6"/>
        <v>54423</v>
      </c>
      <c r="P39" s="12"/>
    </row>
    <row r="40" spans="1:16">
      <c r="H40" s="12" t="s">
        <v>472</v>
      </c>
      <c r="I40" s="12"/>
      <c r="J40" s="12"/>
      <c r="K40" s="12"/>
      <c r="L40" s="12"/>
      <c r="M40" s="14">
        <v>604691</v>
      </c>
      <c r="N40" s="12"/>
      <c r="O40" s="12">
        <f t="shared" si="6"/>
        <v>604691</v>
      </c>
      <c r="P40" s="12"/>
    </row>
    <row r="41" spans="1:16">
      <c r="H41" s="12" t="s">
        <v>272</v>
      </c>
      <c r="I41" s="12"/>
      <c r="J41" s="12"/>
      <c r="K41" s="12"/>
      <c r="L41" s="12"/>
      <c r="M41" s="29">
        <v>1228691</v>
      </c>
      <c r="N41" s="12"/>
      <c r="O41" s="12">
        <f t="shared" si="6"/>
        <v>1228691</v>
      </c>
      <c r="P41" s="12"/>
    </row>
    <row r="42" spans="1:16">
      <c r="H42" s="12" t="s">
        <v>473</v>
      </c>
      <c r="I42" s="12"/>
      <c r="J42" s="12"/>
      <c r="K42" s="12"/>
      <c r="L42" s="12"/>
      <c r="M42" s="105">
        <v>100771</v>
      </c>
      <c r="N42" s="12"/>
      <c r="O42" s="12">
        <f t="shared" si="6"/>
        <v>100771</v>
      </c>
      <c r="P42" s="12">
        <v>96003</v>
      </c>
    </row>
    <row r="43" spans="1:16">
      <c r="H43" s="12" t="s">
        <v>474</v>
      </c>
      <c r="I43" s="12"/>
      <c r="J43" s="12"/>
      <c r="K43" s="12"/>
      <c r="L43" s="12"/>
      <c r="M43" s="11">
        <v>28113</v>
      </c>
      <c r="N43" s="12">
        <v>680716</v>
      </c>
      <c r="O43" s="12">
        <f>SUM(M43:N43)</f>
        <v>708829</v>
      </c>
      <c r="P43" s="12"/>
    </row>
    <row r="44" spans="1:16">
      <c r="H44" s="12" t="s">
        <v>77</v>
      </c>
      <c r="I44" s="12"/>
      <c r="J44" s="12"/>
      <c r="K44" s="12"/>
      <c r="L44" s="12"/>
      <c r="M44" s="29">
        <v>239854</v>
      </c>
      <c r="N44" s="12">
        <v>14617</v>
      </c>
      <c r="O44" s="12">
        <f t="shared" si="6"/>
        <v>254471</v>
      </c>
      <c r="P44" s="12">
        <v>2770</v>
      </c>
    </row>
    <row r="45" spans="1:16">
      <c r="H45" s="12" t="s">
        <v>306</v>
      </c>
      <c r="I45" s="12"/>
      <c r="J45" s="12"/>
      <c r="K45" s="12"/>
      <c r="L45" s="12"/>
      <c r="M45" s="29">
        <v>646469</v>
      </c>
      <c r="N45" s="12">
        <v>283386</v>
      </c>
      <c r="O45" s="12">
        <f t="shared" si="6"/>
        <v>929855</v>
      </c>
      <c r="P45" s="12"/>
    </row>
    <row r="46" spans="1:16">
      <c r="H46" s="12" t="s">
        <v>37</v>
      </c>
      <c r="I46" s="12"/>
      <c r="J46" s="12"/>
      <c r="K46" s="12"/>
      <c r="L46" s="12"/>
      <c r="M46" s="97">
        <v>-2107590</v>
      </c>
      <c r="N46" s="12">
        <v>2107590</v>
      </c>
      <c r="O46" s="12">
        <f t="shared" si="6"/>
        <v>0</v>
      </c>
      <c r="P46" s="9"/>
    </row>
    <row r="47" spans="1:16">
      <c r="H47" s="12"/>
      <c r="I47" s="12"/>
      <c r="J47" s="12"/>
      <c r="K47" s="12"/>
      <c r="L47" s="12"/>
      <c r="M47" s="12"/>
      <c r="N47" s="12"/>
      <c r="O47" s="12"/>
    </row>
    <row r="48" spans="1:16">
      <c r="H48" s="20" t="s">
        <v>66</v>
      </c>
      <c r="I48" s="20"/>
      <c r="J48" s="20"/>
      <c r="K48" s="20"/>
      <c r="L48" s="20"/>
      <c r="M48" s="20">
        <f>SUM(M35:M46)</f>
        <v>35230194</v>
      </c>
      <c r="N48" s="20">
        <f>SUM(N35:N46)</f>
        <v>3298147</v>
      </c>
      <c r="O48" s="20">
        <f>SUM(O35:O46)</f>
        <v>38528341</v>
      </c>
      <c r="P48" s="94">
        <f>SUM(P35:P46)</f>
        <v>4638316</v>
      </c>
    </row>
    <row r="49" spans="5:16">
      <c r="H49" s="12"/>
      <c r="I49" s="12"/>
      <c r="J49" s="12"/>
      <c r="K49" s="12"/>
      <c r="L49" s="12"/>
      <c r="M49" s="12"/>
      <c r="N49" s="12"/>
      <c r="O49" s="12"/>
    </row>
    <row r="50" spans="5:16">
      <c r="H50" s="20" t="s">
        <v>39</v>
      </c>
      <c r="I50" s="20"/>
      <c r="J50" s="20"/>
      <c r="K50" s="20"/>
      <c r="L50" s="20"/>
      <c r="M50" s="20">
        <f>M48+M17</f>
        <v>2053304</v>
      </c>
      <c r="N50" s="20">
        <f>N48+N27</f>
        <v>-2730298</v>
      </c>
      <c r="O50" s="20">
        <f>O48+O27</f>
        <v>-676994</v>
      </c>
      <c r="P50" s="20">
        <f>P48+P32</f>
        <v>1169011</v>
      </c>
    </row>
    <row r="51" spans="5:16">
      <c r="H51" s="26"/>
      <c r="I51" s="26"/>
      <c r="J51" s="26"/>
      <c r="K51" s="26"/>
      <c r="L51" s="26"/>
      <c r="M51" s="26"/>
      <c r="N51" s="26"/>
      <c r="O51" s="26"/>
    </row>
    <row r="52" spans="5:16">
      <c r="H52" s="91" t="s">
        <v>475</v>
      </c>
      <c r="I52" s="91"/>
      <c r="J52" s="91"/>
      <c r="K52" s="91"/>
      <c r="L52" s="91"/>
      <c r="M52" s="91">
        <v>72509109</v>
      </c>
      <c r="N52" s="91">
        <v>129699910</v>
      </c>
      <c r="O52" s="91">
        <f>SUM(M52:N52)</f>
        <v>202209019</v>
      </c>
      <c r="P52" s="93">
        <v>11097361</v>
      </c>
    </row>
    <row r="53" spans="5:16">
      <c r="H53" s="26"/>
      <c r="I53" s="26"/>
      <c r="J53" s="26"/>
      <c r="K53" s="26"/>
      <c r="L53" s="26"/>
      <c r="M53" s="26"/>
      <c r="N53" s="26"/>
      <c r="O53" s="26"/>
    </row>
    <row r="54" spans="5:16">
      <c r="H54" s="91" t="s">
        <v>476</v>
      </c>
      <c r="I54" s="91"/>
      <c r="J54" s="91"/>
      <c r="K54" s="91"/>
      <c r="L54" s="91"/>
      <c r="M54" s="91">
        <v>-555139</v>
      </c>
      <c r="N54" s="91">
        <v>-58129</v>
      </c>
      <c r="O54" s="91">
        <f>SUM(M54:N54)</f>
        <v>-613268</v>
      </c>
      <c r="P54" s="93"/>
    </row>
    <row r="55" spans="5:16">
      <c r="H55" s="26"/>
      <c r="I55" s="26"/>
      <c r="J55" s="26"/>
      <c r="K55" s="26"/>
      <c r="L55" s="26"/>
      <c r="M55" s="26"/>
      <c r="N55" s="26"/>
      <c r="O55" s="26"/>
    </row>
    <row r="56" spans="5:16">
      <c r="E56" s="31" t="s">
        <v>273</v>
      </c>
      <c r="F56" s="31"/>
      <c r="G56" s="31"/>
      <c r="H56" s="32"/>
      <c r="I56" s="32"/>
      <c r="J56" s="32"/>
      <c r="K56" s="32"/>
      <c r="L56" s="32"/>
      <c r="M56" s="33">
        <f>M52+M54</f>
        <v>71953970</v>
      </c>
      <c r="N56" s="33">
        <f t="shared" ref="N56:P56" si="7">N52+N54</f>
        <v>129641781</v>
      </c>
      <c r="O56" s="33">
        <f t="shared" si="7"/>
        <v>201595751</v>
      </c>
      <c r="P56" s="33">
        <f t="shared" si="7"/>
        <v>11097361</v>
      </c>
    </row>
    <row r="57" spans="5:16">
      <c r="H57" s="12"/>
      <c r="I57" s="12"/>
      <c r="J57" s="12"/>
      <c r="K57" s="12"/>
      <c r="L57" s="12"/>
      <c r="M57" s="12"/>
      <c r="N57" s="12"/>
      <c r="O57" s="12"/>
    </row>
    <row r="58" spans="5:16">
      <c r="E58" s="34" t="s">
        <v>44</v>
      </c>
      <c r="F58" s="34"/>
      <c r="G58" s="34"/>
      <c r="H58" s="35"/>
      <c r="I58" s="35"/>
      <c r="J58" s="35"/>
      <c r="K58" s="35"/>
      <c r="L58" s="35"/>
      <c r="M58" s="92">
        <f>SUM(M50,M56)</f>
        <v>74007274</v>
      </c>
      <c r="N58" s="92">
        <f>N56+N50</f>
        <v>126911483</v>
      </c>
      <c r="O58" s="92">
        <f>O56+O50</f>
        <v>200918757</v>
      </c>
      <c r="P58" s="96">
        <f>P56+P50</f>
        <v>12266372</v>
      </c>
    </row>
    <row r="65" spans="11:15">
      <c r="K65" s="9"/>
      <c r="L65" s="9"/>
      <c r="M65" s="9"/>
      <c r="N65" s="9"/>
      <c r="O65" s="9"/>
    </row>
  </sheetData>
  <mergeCells count="5">
    <mergeCell ref="J1:M1"/>
    <mergeCell ref="J2:M2"/>
    <mergeCell ref="M4:P4"/>
    <mergeCell ref="J5:L5"/>
    <mergeCell ref="M5:O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61"/>
  <sheetViews>
    <sheetView topLeftCell="A2" workbookViewId="0">
      <selection activeCell="O57" sqref="O57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4.42578125" customWidth="1"/>
    <col min="15" max="15" width="15.42578125" customWidth="1"/>
  </cols>
  <sheetData>
    <row r="1" spans="1:16" ht="30" customHeight="1">
      <c r="J1" s="258" t="s">
        <v>477</v>
      </c>
      <c r="K1" s="258"/>
      <c r="L1" s="258"/>
      <c r="M1" s="258"/>
    </row>
    <row r="2" spans="1:16" ht="21.75" customHeight="1">
      <c r="J2" s="259" t="s">
        <v>1</v>
      </c>
      <c r="K2" s="259"/>
      <c r="L2" s="259"/>
      <c r="M2" s="259"/>
    </row>
    <row r="3" spans="1:16" ht="21.75" customHeight="1">
      <c r="J3" s="171"/>
      <c r="K3" s="116"/>
      <c r="L3" s="171"/>
      <c r="M3" s="171"/>
    </row>
    <row r="4" spans="1:16" ht="18.75" customHeight="1">
      <c r="E4" s="3"/>
      <c r="F4" s="3"/>
      <c r="G4" s="3"/>
      <c r="H4" s="3"/>
      <c r="I4" s="3"/>
      <c r="J4" s="3"/>
      <c r="K4" s="3"/>
      <c r="L4" s="3"/>
    </row>
    <row r="5" spans="1:16" ht="30.75" customHeight="1">
      <c r="E5" s="2"/>
      <c r="M5" s="260" t="s">
        <v>2</v>
      </c>
      <c r="N5" s="260"/>
      <c r="O5" s="260"/>
      <c r="P5" s="260"/>
    </row>
    <row r="6" spans="1:16" ht="15" customHeight="1">
      <c r="A6" t="s">
        <v>3</v>
      </c>
      <c r="C6" s="4"/>
      <c r="D6" s="4"/>
      <c r="E6" s="4"/>
      <c r="F6" s="4"/>
      <c r="G6" s="4"/>
      <c r="H6" s="4"/>
      <c r="I6" s="4"/>
      <c r="J6" s="260" t="s">
        <v>4</v>
      </c>
      <c r="K6" s="260"/>
      <c r="L6" s="260"/>
      <c r="M6" s="174" t="s">
        <v>5</v>
      </c>
      <c r="N6" s="112"/>
    </row>
    <row r="7" spans="1:16" ht="44.25" customHeight="1">
      <c r="A7" s="5" t="s">
        <v>6</v>
      </c>
      <c r="I7" s="6" t="s">
        <v>7</v>
      </c>
      <c r="J7" s="6" t="s">
        <v>8</v>
      </c>
      <c r="K7" s="6" t="s">
        <v>9</v>
      </c>
      <c r="L7" s="6" t="s">
        <v>10</v>
      </c>
      <c r="M7" s="6" t="s">
        <v>48</v>
      </c>
      <c r="N7" s="90" t="s">
        <v>12</v>
      </c>
      <c r="O7" s="90" t="s">
        <v>50</v>
      </c>
    </row>
    <row r="8" spans="1:16" ht="30.75" customHeight="1">
      <c r="A8" s="8" t="s">
        <v>13</v>
      </c>
      <c r="I8" s="9"/>
      <c r="J8" s="9"/>
      <c r="K8" s="9"/>
      <c r="L8" s="9"/>
    </row>
    <row r="9" spans="1:16">
      <c r="B9" s="10" t="s">
        <v>14</v>
      </c>
      <c r="I9" s="9"/>
      <c r="J9" s="9"/>
      <c r="K9" s="9"/>
      <c r="L9" s="9"/>
      <c r="M9" s="9"/>
    </row>
    <row r="10" spans="1:16">
      <c r="C10" t="s">
        <v>15</v>
      </c>
      <c r="H10" s="12"/>
      <c r="I10" s="11">
        <v>-4964564</v>
      </c>
      <c r="J10" s="12">
        <v>826027</v>
      </c>
      <c r="K10" s="12">
        <v>553768</v>
      </c>
      <c r="L10" s="12"/>
      <c r="M10" s="12">
        <f t="shared" ref="M10:M14" si="0">SUM(I10:L10)</f>
        <v>-3584769</v>
      </c>
      <c r="O10" s="12">
        <f>SUM(M10:N10)</f>
        <v>-3584769</v>
      </c>
    </row>
    <row r="11" spans="1:16">
      <c r="C11" t="s">
        <v>16</v>
      </c>
      <c r="H11" s="12"/>
      <c r="I11" s="13">
        <v>-2743464</v>
      </c>
      <c r="J11" s="12">
        <v>485732</v>
      </c>
      <c r="K11" s="12">
        <v>58166</v>
      </c>
      <c r="L11" s="12">
        <v>30598</v>
      </c>
      <c r="M11" s="12">
        <f t="shared" si="0"/>
        <v>-2168968</v>
      </c>
      <c r="O11" s="12">
        <f t="shared" ref="O11:O14" si="1">SUM(M11:N11)</f>
        <v>-2168968</v>
      </c>
    </row>
    <row r="12" spans="1:16">
      <c r="C12" t="s">
        <v>17</v>
      </c>
      <c r="H12" s="12"/>
      <c r="I12" s="14">
        <v>-9699501</v>
      </c>
      <c r="J12" s="12">
        <v>68486</v>
      </c>
      <c r="K12" s="12">
        <v>5108707</v>
      </c>
      <c r="L12" s="12"/>
      <c r="M12" s="12">
        <f t="shared" si="0"/>
        <v>-4522308</v>
      </c>
      <c r="O12" s="12">
        <f t="shared" si="1"/>
        <v>-4522308</v>
      </c>
    </row>
    <row r="13" spans="1:16">
      <c r="C13" t="s">
        <v>19</v>
      </c>
      <c r="H13" s="12"/>
      <c r="I13" s="15">
        <v>-1465377</v>
      </c>
      <c r="J13" s="12">
        <v>6176</v>
      </c>
      <c r="K13" s="12">
        <v>107307</v>
      </c>
      <c r="L13" s="12"/>
      <c r="M13" s="12">
        <f>SUM(I13:L13)</f>
        <v>-1351894</v>
      </c>
      <c r="O13" s="12">
        <f t="shared" si="1"/>
        <v>-1351894</v>
      </c>
    </row>
    <row r="14" spans="1:16">
      <c r="C14" t="s">
        <v>21</v>
      </c>
      <c r="H14" s="12"/>
      <c r="I14" s="98">
        <v>-4820</v>
      </c>
      <c r="J14" s="12"/>
      <c r="K14" s="12"/>
      <c r="L14" s="12"/>
      <c r="M14" s="12">
        <f t="shared" si="0"/>
        <v>-4820</v>
      </c>
      <c r="O14" s="12">
        <f t="shared" si="1"/>
        <v>-4820</v>
      </c>
    </row>
    <row r="15" spans="1:16">
      <c r="H15" s="12"/>
      <c r="I15" s="12"/>
      <c r="J15" s="12"/>
      <c r="K15" s="12"/>
      <c r="L15" s="12"/>
      <c r="M15" s="12"/>
    </row>
    <row r="16" spans="1:16">
      <c r="E16" s="19" t="s">
        <v>22</v>
      </c>
      <c r="F16" s="19"/>
      <c r="G16" s="19"/>
      <c r="H16" s="20"/>
      <c r="I16" s="20">
        <f t="shared" ref="I16:O16" si="2">SUM(I10:I14)</f>
        <v>-18877726</v>
      </c>
      <c r="J16" s="20">
        <f t="shared" si="2"/>
        <v>1386421</v>
      </c>
      <c r="K16" s="20">
        <f t="shared" si="2"/>
        <v>5827948</v>
      </c>
      <c r="L16" s="20">
        <f t="shared" si="2"/>
        <v>30598</v>
      </c>
      <c r="M16" s="91">
        <f t="shared" si="2"/>
        <v>-11632759</v>
      </c>
      <c r="N16" s="93">
        <f t="shared" si="2"/>
        <v>0</v>
      </c>
      <c r="O16" s="93">
        <f t="shared" si="2"/>
        <v>-11632759</v>
      </c>
    </row>
    <row r="17" spans="1:15">
      <c r="E17" s="8"/>
      <c r="F17" s="8"/>
      <c r="G17" s="8"/>
      <c r="H17" s="26"/>
      <c r="I17" s="26"/>
      <c r="J17" s="26"/>
      <c r="K17" s="26"/>
      <c r="L17" s="26"/>
      <c r="M17" s="26"/>
    </row>
    <row r="18" spans="1:15">
      <c r="A18" s="10" t="s">
        <v>23</v>
      </c>
      <c r="H18" s="12"/>
      <c r="I18" s="12"/>
      <c r="J18" s="12"/>
      <c r="K18" s="12"/>
      <c r="L18" s="12"/>
      <c r="M18" s="12"/>
    </row>
    <row r="19" spans="1:15">
      <c r="B19" t="s">
        <v>478</v>
      </c>
      <c r="H19" s="12"/>
      <c r="I19" s="12">
        <v>-580587</v>
      </c>
      <c r="J19" s="12"/>
      <c r="K19" s="12"/>
      <c r="L19" s="12"/>
      <c r="M19" s="12"/>
      <c r="N19" s="12">
        <f>SUM(I19:M19)</f>
        <v>-580587</v>
      </c>
      <c r="O19" s="12">
        <f>N19</f>
        <v>-580587</v>
      </c>
    </row>
    <row r="20" spans="1:15">
      <c r="B20" t="s">
        <v>479</v>
      </c>
      <c r="H20" s="12"/>
      <c r="I20" s="12">
        <v>-176937</v>
      </c>
      <c r="J20" s="12">
        <v>186777</v>
      </c>
      <c r="K20" s="12"/>
      <c r="L20" s="12"/>
      <c r="M20" s="12"/>
      <c r="N20" s="12">
        <f>SUM(I20:L20)</f>
        <v>9840</v>
      </c>
      <c r="O20" s="12">
        <f t="shared" ref="O20:O25" si="3">N20</f>
        <v>9840</v>
      </c>
    </row>
    <row r="21" spans="1:15">
      <c r="B21" t="s">
        <v>480</v>
      </c>
      <c r="H21" s="12"/>
      <c r="I21" s="12">
        <v>-3080928</v>
      </c>
      <c r="J21" s="12"/>
      <c r="K21" s="12">
        <v>3061766</v>
      </c>
      <c r="L21" s="12"/>
      <c r="M21" s="12"/>
      <c r="N21" s="12">
        <f>SUM(I21:L21)</f>
        <v>-19162</v>
      </c>
      <c r="O21" s="12">
        <f t="shared" si="3"/>
        <v>-19162</v>
      </c>
    </row>
    <row r="22" spans="1:15">
      <c r="B22" t="s">
        <v>481</v>
      </c>
      <c r="H22" s="12"/>
      <c r="I22" s="12">
        <v>-29650</v>
      </c>
      <c r="J22" s="12">
        <v>10008</v>
      </c>
      <c r="K22" s="12"/>
      <c r="L22" s="12"/>
      <c r="M22" s="12"/>
      <c r="N22" s="12">
        <f t="shared" ref="N22:N24" si="4">SUM(I22:L22)</f>
        <v>-19642</v>
      </c>
      <c r="O22" s="12">
        <f t="shared" si="3"/>
        <v>-19642</v>
      </c>
    </row>
    <row r="23" spans="1:15">
      <c r="B23" t="s">
        <v>482</v>
      </c>
      <c r="H23" s="12"/>
      <c r="I23" s="12">
        <v>-40953</v>
      </c>
      <c r="J23" s="12"/>
      <c r="K23" s="12"/>
      <c r="L23" s="12"/>
      <c r="M23" s="12"/>
      <c r="N23" s="12">
        <f t="shared" si="4"/>
        <v>-40953</v>
      </c>
      <c r="O23" s="12">
        <f t="shared" si="3"/>
        <v>-40953</v>
      </c>
    </row>
    <row r="24" spans="1:15">
      <c r="B24" t="s">
        <v>483</v>
      </c>
      <c r="H24" s="12"/>
      <c r="I24" s="12">
        <v>-232458</v>
      </c>
      <c r="J24" s="12"/>
      <c r="K24" s="12"/>
      <c r="L24" s="12"/>
      <c r="M24" s="12"/>
      <c r="N24" s="12">
        <f t="shared" si="4"/>
        <v>-232458</v>
      </c>
      <c r="O24" s="12">
        <f t="shared" si="3"/>
        <v>-232458</v>
      </c>
    </row>
    <row r="25" spans="1:15">
      <c r="B25" t="s">
        <v>484</v>
      </c>
      <c r="H25" s="12"/>
      <c r="I25" s="12">
        <v>-300</v>
      </c>
      <c r="J25" s="12"/>
      <c r="K25" s="12"/>
      <c r="L25" s="12"/>
      <c r="M25" s="12"/>
      <c r="N25" s="12">
        <f>SUM(I25:L25)</f>
        <v>-300</v>
      </c>
      <c r="O25" s="12">
        <f t="shared" si="3"/>
        <v>-300</v>
      </c>
    </row>
    <row r="26" spans="1:15">
      <c r="H26" s="12"/>
      <c r="I26" s="12"/>
      <c r="J26" s="12"/>
      <c r="K26" s="12"/>
      <c r="L26" s="12"/>
      <c r="M26" s="12"/>
    </row>
    <row r="27" spans="1:15">
      <c r="E27" s="19" t="s">
        <v>92</v>
      </c>
      <c r="F27" s="19"/>
      <c r="G27" s="19"/>
      <c r="H27" s="20"/>
      <c r="I27" s="20">
        <f t="shared" ref="I27:N27" si="5">SUM(I19:I25)</f>
        <v>-4141813</v>
      </c>
      <c r="J27" s="20">
        <f t="shared" si="5"/>
        <v>196785</v>
      </c>
      <c r="K27" s="20">
        <f t="shared" si="5"/>
        <v>3061766</v>
      </c>
      <c r="L27" s="20">
        <f t="shared" si="5"/>
        <v>0</v>
      </c>
      <c r="M27" s="91">
        <f t="shared" si="5"/>
        <v>0</v>
      </c>
      <c r="N27" s="94">
        <f t="shared" si="5"/>
        <v>-883262</v>
      </c>
      <c r="O27" s="94">
        <f>SUM(O19:O25)</f>
        <v>-883262</v>
      </c>
    </row>
    <row r="28" spans="1:15">
      <c r="H28" s="12"/>
      <c r="I28" s="12"/>
      <c r="J28" s="12"/>
      <c r="K28" s="12"/>
      <c r="L28" s="12"/>
      <c r="M28" s="12"/>
    </row>
    <row r="29" spans="1:15">
      <c r="A29" s="8"/>
      <c r="B29" s="8"/>
      <c r="C29" s="8"/>
      <c r="D29" s="8"/>
      <c r="E29" s="8"/>
      <c r="G29" s="8" t="s">
        <v>25</v>
      </c>
      <c r="H29" s="26"/>
      <c r="I29" s="26"/>
      <c r="J29" s="26"/>
      <c r="K29" s="26"/>
      <c r="L29" s="26"/>
      <c r="M29" s="12"/>
    </row>
    <row r="30" spans="1:15">
      <c r="A30" s="8"/>
      <c r="B30" s="8"/>
      <c r="C30" s="8"/>
      <c r="D30" s="8"/>
      <c r="E30" s="8"/>
      <c r="G30" s="8"/>
      <c r="H30" s="88" t="s">
        <v>26</v>
      </c>
      <c r="I30" s="26"/>
      <c r="J30" s="26"/>
      <c r="K30" s="26"/>
      <c r="L30" s="26"/>
      <c r="M30" s="12"/>
    </row>
    <row r="31" spans="1:15">
      <c r="H31" s="12"/>
      <c r="I31" s="12" t="s">
        <v>485</v>
      </c>
      <c r="J31" s="12"/>
      <c r="K31" s="12"/>
      <c r="L31" s="12"/>
      <c r="M31" s="28">
        <v>4353998</v>
      </c>
      <c r="N31" s="12">
        <v>352047</v>
      </c>
      <c r="O31" s="12">
        <f>SUM(M31:N31)</f>
        <v>4706045</v>
      </c>
    </row>
    <row r="32" spans="1:15">
      <c r="H32" s="12"/>
      <c r="I32" s="12" t="s">
        <v>486</v>
      </c>
      <c r="J32" s="12"/>
      <c r="K32" s="12"/>
      <c r="L32" s="12"/>
      <c r="M32" s="14">
        <v>495177</v>
      </c>
      <c r="N32" s="12">
        <v>546650</v>
      </c>
      <c r="O32" s="12">
        <f t="shared" ref="O32:O46" si="6">SUM(M32:N32)</f>
        <v>1041827</v>
      </c>
    </row>
    <row r="33" spans="8:15">
      <c r="H33" s="12"/>
      <c r="I33" s="12" t="s">
        <v>487</v>
      </c>
      <c r="J33" s="12"/>
      <c r="K33" s="12"/>
      <c r="L33" s="12"/>
      <c r="M33" s="14">
        <v>1645804</v>
      </c>
      <c r="N33" s="12">
        <v>44121</v>
      </c>
      <c r="O33" s="12">
        <f t="shared" si="6"/>
        <v>1689925</v>
      </c>
    </row>
    <row r="34" spans="8:15">
      <c r="H34" s="12"/>
      <c r="I34" s="12" t="s">
        <v>218</v>
      </c>
      <c r="J34" s="12"/>
      <c r="K34" s="12"/>
      <c r="L34" s="12"/>
      <c r="M34" s="14">
        <v>511095</v>
      </c>
      <c r="N34" s="12"/>
      <c r="O34" s="12">
        <f t="shared" si="6"/>
        <v>511095</v>
      </c>
    </row>
    <row r="35" spans="8:15">
      <c r="H35" s="12"/>
      <c r="I35" s="12" t="s">
        <v>284</v>
      </c>
      <c r="J35" s="12"/>
      <c r="K35" s="12"/>
      <c r="L35" s="12"/>
      <c r="M35" s="15">
        <v>834140</v>
      </c>
      <c r="N35" s="12"/>
      <c r="O35" s="12">
        <f t="shared" si="6"/>
        <v>834140</v>
      </c>
    </row>
    <row r="36" spans="8:15">
      <c r="H36" s="12"/>
      <c r="I36" s="12" t="s">
        <v>488</v>
      </c>
      <c r="J36" s="12"/>
      <c r="K36" s="12"/>
      <c r="L36" s="12"/>
      <c r="M36" s="15">
        <v>294601</v>
      </c>
      <c r="O36" s="12">
        <f t="shared" si="6"/>
        <v>294601</v>
      </c>
    </row>
    <row r="37" spans="8:15">
      <c r="H37" s="12"/>
      <c r="I37" s="12" t="s">
        <v>489</v>
      </c>
      <c r="J37" s="12"/>
      <c r="K37" s="12"/>
      <c r="L37" s="12"/>
      <c r="M37" s="15">
        <v>14908</v>
      </c>
      <c r="O37" s="12">
        <f t="shared" si="6"/>
        <v>14908</v>
      </c>
    </row>
    <row r="38" spans="8:15">
      <c r="H38" s="12" t="s">
        <v>490</v>
      </c>
      <c r="I38" s="12"/>
      <c r="J38" s="12"/>
      <c r="K38" s="12"/>
      <c r="L38" s="12"/>
      <c r="M38" s="29">
        <v>286970</v>
      </c>
      <c r="O38" s="12">
        <f t="shared" si="6"/>
        <v>286970</v>
      </c>
    </row>
    <row r="39" spans="8:15">
      <c r="H39" s="12" t="s">
        <v>491</v>
      </c>
      <c r="I39" s="12"/>
      <c r="J39" s="12"/>
      <c r="K39" s="12"/>
      <c r="L39" s="12"/>
      <c r="M39" s="29">
        <v>335780</v>
      </c>
      <c r="O39" s="12">
        <f t="shared" si="6"/>
        <v>335780</v>
      </c>
    </row>
    <row r="40" spans="8:15">
      <c r="H40" s="12" t="s">
        <v>492</v>
      </c>
      <c r="I40" s="12"/>
      <c r="J40" s="12"/>
      <c r="K40" s="12"/>
      <c r="L40" s="12"/>
      <c r="M40" s="29">
        <v>2946</v>
      </c>
      <c r="O40" s="12">
        <f t="shared" si="6"/>
        <v>2946</v>
      </c>
    </row>
    <row r="41" spans="8:15">
      <c r="H41" s="12" t="s">
        <v>118</v>
      </c>
      <c r="I41" s="12"/>
      <c r="J41" s="12"/>
      <c r="K41" s="12"/>
      <c r="L41" s="12"/>
      <c r="M41" s="12"/>
      <c r="O41" s="12"/>
    </row>
    <row r="42" spans="8:15">
      <c r="H42" s="12"/>
      <c r="I42" s="12" t="s">
        <v>113</v>
      </c>
      <c r="J42" s="12"/>
      <c r="K42" s="12"/>
      <c r="L42" s="12"/>
      <c r="M42" s="106">
        <v>373490</v>
      </c>
      <c r="N42">
        <v>37322</v>
      </c>
      <c r="O42" s="12">
        <f t="shared" si="6"/>
        <v>410812</v>
      </c>
    </row>
    <row r="43" spans="8:15">
      <c r="H43" s="12" t="s">
        <v>122</v>
      </c>
      <c r="I43" s="12"/>
      <c r="J43" s="12"/>
      <c r="K43" s="12"/>
      <c r="L43" s="12"/>
      <c r="M43" s="29">
        <v>5223</v>
      </c>
      <c r="N43" s="9">
        <v>1779</v>
      </c>
      <c r="O43" s="12">
        <f t="shared" si="6"/>
        <v>7002</v>
      </c>
    </row>
    <row r="44" spans="8:15">
      <c r="H44" s="12" t="s">
        <v>493</v>
      </c>
      <c r="I44" s="12"/>
      <c r="J44" s="12"/>
      <c r="K44" s="12"/>
      <c r="L44" s="12"/>
      <c r="M44" s="29">
        <v>231250</v>
      </c>
      <c r="N44" s="9"/>
      <c r="O44" s="12">
        <f t="shared" si="6"/>
        <v>231250</v>
      </c>
    </row>
    <row r="45" spans="8:15">
      <c r="H45" s="12" t="s">
        <v>494</v>
      </c>
      <c r="I45" s="12"/>
      <c r="J45" s="12"/>
      <c r="K45" s="12"/>
      <c r="L45" s="12"/>
      <c r="M45" s="29">
        <v>6444</v>
      </c>
      <c r="N45" s="9"/>
      <c r="O45" s="12">
        <f t="shared" si="6"/>
        <v>6444</v>
      </c>
    </row>
    <row r="46" spans="8:15">
      <c r="H46" s="12" t="s">
        <v>36</v>
      </c>
      <c r="I46" s="12"/>
      <c r="J46" s="12"/>
      <c r="K46" s="12"/>
      <c r="L46" s="12"/>
      <c r="M46" s="29">
        <v>541528</v>
      </c>
      <c r="N46" s="9">
        <v>18929</v>
      </c>
      <c r="O46" s="12">
        <f t="shared" si="6"/>
        <v>560457</v>
      </c>
    </row>
    <row r="47" spans="8:15">
      <c r="H47" s="12"/>
      <c r="I47" s="12"/>
      <c r="J47" s="12"/>
      <c r="K47" s="12"/>
      <c r="L47" s="12"/>
      <c r="M47" s="12"/>
    </row>
    <row r="48" spans="8:15">
      <c r="H48" s="20" t="s">
        <v>282</v>
      </c>
      <c r="I48" s="20"/>
      <c r="J48" s="20"/>
      <c r="K48" s="20"/>
      <c r="L48" s="20"/>
      <c r="M48" s="20">
        <f>SUM(M31:M46)</f>
        <v>9933354</v>
      </c>
      <c r="N48" s="94">
        <f>SUM(N31:N46)</f>
        <v>1000848</v>
      </c>
      <c r="O48" s="94">
        <f>SUM(O31:O46)</f>
        <v>10934202</v>
      </c>
    </row>
    <row r="49" spans="5:15">
      <c r="H49" s="12"/>
      <c r="I49" s="12"/>
      <c r="J49" s="12"/>
      <c r="K49" s="12"/>
      <c r="L49" s="12"/>
      <c r="M49" s="12"/>
    </row>
    <row r="50" spans="5:15">
      <c r="H50" s="20" t="s">
        <v>39</v>
      </c>
      <c r="I50" s="20"/>
      <c r="J50" s="20"/>
      <c r="K50" s="20"/>
      <c r="L50" s="20"/>
      <c r="M50" s="20">
        <f>M48+M16</f>
        <v>-1699405</v>
      </c>
      <c r="N50" s="94">
        <f>N48+N27</f>
        <v>117586</v>
      </c>
      <c r="O50" s="94">
        <f>O48+O27+O16</f>
        <v>-1581819</v>
      </c>
    </row>
    <row r="51" spans="5:15">
      <c r="H51" s="26"/>
      <c r="I51" s="26"/>
      <c r="J51" s="26"/>
      <c r="K51" s="26"/>
      <c r="L51" s="26"/>
      <c r="M51" s="26"/>
    </row>
    <row r="52" spans="5:15">
      <c r="E52" s="31" t="s">
        <v>67</v>
      </c>
      <c r="F52" s="31"/>
      <c r="G52" s="31"/>
      <c r="H52" s="32"/>
      <c r="I52" s="32"/>
      <c r="J52" s="32"/>
      <c r="K52" s="32"/>
      <c r="L52" s="32"/>
      <c r="M52" s="33">
        <v>15975749</v>
      </c>
      <c r="N52" s="95">
        <v>3152517</v>
      </c>
      <c r="O52" s="95">
        <f>SUM(M52:N52)</f>
        <v>19128266</v>
      </c>
    </row>
    <row r="53" spans="5:15">
      <c r="H53" s="12"/>
      <c r="I53" s="12"/>
      <c r="J53" s="12"/>
      <c r="K53" s="12"/>
      <c r="L53" s="12"/>
      <c r="M53" s="12"/>
    </row>
    <row r="54" spans="5:15">
      <c r="E54" s="34" t="s">
        <v>44</v>
      </c>
      <c r="F54" s="34"/>
      <c r="G54" s="34"/>
      <c r="H54" s="35"/>
      <c r="I54" s="35"/>
      <c r="J54" s="35"/>
      <c r="K54" s="35"/>
      <c r="L54" s="35"/>
      <c r="M54" s="92">
        <f>M52+M50</f>
        <v>14276344</v>
      </c>
      <c r="N54" s="92">
        <f t="shared" ref="N54:O54" si="7">N52+N50</f>
        <v>3270103</v>
      </c>
      <c r="O54" s="92">
        <f t="shared" si="7"/>
        <v>17546447</v>
      </c>
    </row>
    <row r="61" spans="5:15">
      <c r="K61" s="9"/>
      <c r="L61" s="9"/>
      <c r="M61" s="9"/>
    </row>
  </sheetData>
  <mergeCells count="4">
    <mergeCell ref="J1:M1"/>
    <mergeCell ref="J2:M2"/>
    <mergeCell ref="J6:L6"/>
    <mergeCell ref="M5:P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54"/>
  <sheetViews>
    <sheetView zoomScale="90" zoomScaleNormal="90" zoomScalePageLayoutView="90" workbookViewId="0">
      <selection activeCell="I19" sqref="I19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</cols>
  <sheetData>
    <row r="1" spans="1:15" ht="30" customHeight="1">
      <c r="J1" s="258" t="s">
        <v>495</v>
      </c>
      <c r="K1" s="258"/>
      <c r="L1" s="258"/>
      <c r="M1" s="258"/>
      <c r="N1" s="170"/>
      <c r="O1" s="170"/>
    </row>
    <row r="2" spans="1:15" ht="21.75" customHeight="1">
      <c r="J2" s="259" t="s">
        <v>1</v>
      </c>
      <c r="K2" s="259"/>
      <c r="L2" s="259"/>
      <c r="M2" s="259"/>
      <c r="N2" s="171"/>
      <c r="O2" s="171"/>
    </row>
    <row r="3" spans="1:15" ht="18.75" customHeight="1">
      <c r="E3" s="3"/>
      <c r="F3" s="3"/>
      <c r="G3" s="3"/>
      <c r="H3" s="3"/>
      <c r="I3" s="3"/>
      <c r="J3" s="3"/>
      <c r="K3" s="3"/>
      <c r="L3" s="3"/>
    </row>
    <row r="4" spans="1:15" ht="15" customHeight="1">
      <c r="A4" t="s">
        <v>3</v>
      </c>
      <c r="C4" s="4"/>
      <c r="D4" s="4"/>
      <c r="E4" s="4"/>
      <c r="F4" s="4"/>
      <c r="G4" s="4"/>
      <c r="H4" s="4"/>
      <c r="I4" s="4"/>
      <c r="J4" s="260" t="s">
        <v>4</v>
      </c>
      <c r="K4" s="260"/>
      <c r="L4" s="260"/>
      <c r="M4" s="262" t="s">
        <v>496</v>
      </c>
      <c r="N4" s="262"/>
      <c r="O4" s="262"/>
    </row>
    <row r="5" spans="1:15" ht="44.25" customHeight="1">
      <c r="A5" s="5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48</v>
      </c>
      <c r="N5" s="6" t="s">
        <v>49</v>
      </c>
      <c r="O5" s="6" t="s">
        <v>50</v>
      </c>
    </row>
    <row r="6" spans="1:15" ht="30.75" customHeight="1">
      <c r="A6" s="8" t="s">
        <v>13</v>
      </c>
      <c r="I6" s="9"/>
      <c r="J6" s="9"/>
      <c r="K6" s="9"/>
      <c r="L6" s="9"/>
    </row>
    <row r="7" spans="1:15">
      <c r="B7" s="10" t="s">
        <v>14</v>
      </c>
      <c r="I7" s="9"/>
      <c r="J7" s="9"/>
      <c r="K7" s="9"/>
      <c r="L7" s="9"/>
      <c r="M7" s="9"/>
      <c r="N7" s="9"/>
      <c r="O7" s="9"/>
    </row>
    <row r="8" spans="1:15">
      <c r="C8" t="s">
        <v>15</v>
      </c>
      <c r="H8" s="12"/>
      <c r="I8" s="11">
        <v>-5962814</v>
      </c>
      <c r="J8" s="12">
        <v>961314</v>
      </c>
      <c r="K8" s="12">
        <v>767146</v>
      </c>
      <c r="L8" s="12"/>
      <c r="M8" s="12">
        <f t="shared" ref="M8:M14" si="0">SUM(I8:L8)</f>
        <v>-4234354</v>
      </c>
      <c r="N8" s="12"/>
      <c r="O8" s="12">
        <f t="shared" ref="O8:O14" si="1">SUM(M8:N8)</f>
        <v>-4234354</v>
      </c>
    </row>
    <row r="9" spans="1:15">
      <c r="C9" t="s">
        <v>16</v>
      </c>
      <c r="H9" s="12"/>
      <c r="I9" s="13">
        <v>-2472980</v>
      </c>
      <c r="J9" s="12">
        <v>580</v>
      </c>
      <c r="K9" s="12"/>
      <c r="L9" s="12"/>
      <c r="M9" s="12">
        <f>SUM(I9:L9)</f>
        <v>-2472400</v>
      </c>
      <c r="N9" s="12"/>
      <c r="O9" s="12">
        <f>SUM(M9:N9)</f>
        <v>-2472400</v>
      </c>
    </row>
    <row r="10" spans="1:15">
      <c r="C10" t="s">
        <v>17</v>
      </c>
      <c r="H10" s="12"/>
      <c r="I10" s="14">
        <v>-4591193</v>
      </c>
      <c r="J10" s="12">
        <v>16168</v>
      </c>
      <c r="K10" s="12">
        <v>124241</v>
      </c>
      <c r="L10" s="12">
        <v>3302652</v>
      </c>
      <c r="M10" s="12">
        <f t="shared" ref="M10" si="2">SUM(I10:L10)</f>
        <v>-1148132</v>
      </c>
      <c r="N10" s="12"/>
      <c r="O10" s="12">
        <f t="shared" ref="O10" si="3">SUM(M10:N10)</f>
        <v>-1148132</v>
      </c>
    </row>
    <row r="11" spans="1:15">
      <c r="C11" t="s">
        <v>71</v>
      </c>
      <c r="H11" s="12"/>
      <c r="I11" s="102">
        <v>-1340504</v>
      </c>
      <c r="J11" s="12">
        <v>104124</v>
      </c>
      <c r="K11" s="12">
        <v>155670</v>
      </c>
      <c r="L11" s="12"/>
      <c r="M11" s="12">
        <f>SUM(I11:L11)</f>
        <v>-1080710</v>
      </c>
      <c r="N11" s="12"/>
      <c r="O11" s="12">
        <f>SUM(M11:N11)</f>
        <v>-1080710</v>
      </c>
    </row>
    <row r="12" spans="1:15">
      <c r="C12" t="s">
        <v>19</v>
      </c>
      <c r="H12" s="12"/>
      <c r="I12" s="15">
        <v>-3766875</v>
      </c>
      <c r="J12" s="12">
        <v>29108</v>
      </c>
      <c r="K12" s="12">
        <v>1535559</v>
      </c>
      <c r="L12" s="12"/>
      <c r="M12" s="12">
        <f t="shared" si="0"/>
        <v>-2202208</v>
      </c>
      <c r="N12" s="12"/>
      <c r="O12" s="12">
        <f t="shared" si="1"/>
        <v>-2202208</v>
      </c>
    </row>
    <row r="13" spans="1:15">
      <c r="C13" t="s">
        <v>20</v>
      </c>
      <c r="H13" s="12"/>
      <c r="I13" s="16">
        <v>-613652</v>
      </c>
      <c r="J13" s="12">
        <v>165039</v>
      </c>
      <c r="K13" s="12">
        <v>30525</v>
      </c>
      <c r="L13" s="12"/>
      <c r="M13" s="12">
        <f t="shared" si="0"/>
        <v>-418088</v>
      </c>
      <c r="N13" s="12"/>
      <c r="O13" s="12">
        <f t="shared" si="1"/>
        <v>-418088</v>
      </c>
    </row>
    <row r="14" spans="1:15">
      <c r="C14" t="s">
        <v>226</v>
      </c>
      <c r="H14" s="12"/>
      <c r="I14" s="98">
        <v>-833413</v>
      </c>
      <c r="J14" s="12"/>
      <c r="K14" s="12"/>
      <c r="L14" s="12"/>
      <c r="M14" s="12">
        <f t="shared" si="0"/>
        <v>-833413</v>
      </c>
      <c r="N14" s="12"/>
      <c r="O14" s="12">
        <f t="shared" si="1"/>
        <v>-833413</v>
      </c>
    </row>
    <row r="15" spans="1:15">
      <c r="H15" s="12"/>
      <c r="I15" s="12"/>
      <c r="J15" s="12"/>
      <c r="K15" s="12"/>
      <c r="L15" s="12"/>
      <c r="M15" s="12"/>
      <c r="N15" s="12"/>
      <c r="O15" s="12"/>
    </row>
    <row r="16" spans="1:15">
      <c r="E16" s="19" t="s">
        <v>22</v>
      </c>
      <c r="F16" s="19"/>
      <c r="G16" s="19"/>
      <c r="H16" s="20"/>
      <c r="I16" s="20">
        <f>SUM(I8:I14)</f>
        <v>-19581431</v>
      </c>
      <c r="J16" s="20">
        <f>SUM(J8:J14)</f>
        <v>1276333</v>
      </c>
      <c r="K16" s="20">
        <f>SUM(K8:K14)</f>
        <v>2613141</v>
      </c>
      <c r="L16" s="20">
        <f>SUM(L8:L14)</f>
        <v>3302652</v>
      </c>
      <c r="M16" s="91">
        <f>SUM(M8:M14)</f>
        <v>-12389305</v>
      </c>
      <c r="N16" s="91"/>
      <c r="O16" s="91">
        <f>SUM(O8:O14)</f>
        <v>-12389305</v>
      </c>
    </row>
    <row r="17" spans="1:15">
      <c r="E17" s="8"/>
      <c r="F17" s="8"/>
      <c r="G17" s="8"/>
      <c r="H17" s="26"/>
      <c r="I17" s="26"/>
      <c r="J17" s="26"/>
      <c r="K17" s="26"/>
      <c r="L17" s="26"/>
      <c r="M17" s="26"/>
      <c r="N17" s="26"/>
      <c r="O17" s="26"/>
    </row>
    <row r="18" spans="1:15">
      <c r="B18" s="10" t="s">
        <v>84</v>
      </c>
      <c r="E18" s="8"/>
      <c r="F18" s="8"/>
      <c r="G18" s="8"/>
      <c r="H18" s="26"/>
      <c r="I18" s="26"/>
      <c r="J18" s="26"/>
      <c r="K18" s="26"/>
      <c r="L18" s="26"/>
      <c r="M18" s="26"/>
      <c r="N18" s="26"/>
      <c r="O18" s="26"/>
    </row>
    <row r="19" spans="1:15">
      <c r="C19" t="s">
        <v>7</v>
      </c>
      <c r="E19" s="8"/>
      <c r="F19" s="8"/>
      <c r="G19" s="8"/>
      <c r="H19" s="26"/>
      <c r="I19" s="256">
        <v>-1618050</v>
      </c>
      <c r="J19" s="117">
        <v>1321592</v>
      </c>
      <c r="K19" s="117"/>
      <c r="L19" s="117"/>
      <c r="M19" s="117"/>
      <c r="N19" s="117">
        <f>SUM(I19:L19)</f>
        <v>-296458</v>
      </c>
      <c r="O19" s="117">
        <f>SUM(M19:N19)</f>
        <v>-296458</v>
      </c>
    </row>
    <row r="20" spans="1:15">
      <c r="E20" s="8"/>
      <c r="F20" s="8"/>
      <c r="G20" s="8"/>
      <c r="H20" s="26"/>
      <c r="I20" s="26"/>
      <c r="J20" s="26"/>
      <c r="K20" s="26"/>
      <c r="L20" s="26"/>
      <c r="M20" s="26"/>
      <c r="N20" s="26"/>
      <c r="O20" s="26"/>
    </row>
    <row r="21" spans="1:15">
      <c r="E21" s="19" t="s">
        <v>497</v>
      </c>
      <c r="F21" s="19"/>
      <c r="G21" s="19"/>
      <c r="H21" s="20"/>
      <c r="I21" s="20">
        <f>I19</f>
        <v>-1618050</v>
      </c>
      <c r="J21" s="20">
        <f t="shared" ref="J21:L21" si="4">J19</f>
        <v>1321592</v>
      </c>
      <c r="K21" s="20">
        <f t="shared" si="4"/>
        <v>0</v>
      </c>
      <c r="L21" s="20">
        <f t="shared" si="4"/>
        <v>0</v>
      </c>
      <c r="M21" s="91">
        <v>0</v>
      </c>
      <c r="N21" s="91">
        <f>SUM(N19:N19)</f>
        <v>-296458</v>
      </c>
      <c r="O21" s="91">
        <f>SUM(O19:O19)</f>
        <v>-296458</v>
      </c>
    </row>
    <row r="22" spans="1:15">
      <c r="E22" s="8"/>
      <c r="F22" s="8"/>
      <c r="G22" s="8"/>
      <c r="H22" s="26"/>
      <c r="I22" s="26"/>
      <c r="J22" s="26"/>
      <c r="K22" s="26"/>
      <c r="L22" s="26"/>
      <c r="M22" s="26"/>
      <c r="N22" s="26"/>
      <c r="O22" s="26"/>
    </row>
    <row r="23" spans="1:15">
      <c r="E23" s="19" t="s">
        <v>89</v>
      </c>
      <c r="F23" s="19"/>
      <c r="G23" s="19"/>
      <c r="H23" s="20"/>
      <c r="I23" s="20">
        <f>I21+I16</f>
        <v>-21199481</v>
      </c>
      <c r="J23" s="20">
        <f t="shared" ref="J23:O23" si="5">J21+J16</f>
        <v>2597925</v>
      </c>
      <c r="K23" s="20">
        <f t="shared" si="5"/>
        <v>2613141</v>
      </c>
      <c r="L23" s="20">
        <f t="shared" si="5"/>
        <v>3302652</v>
      </c>
      <c r="M23" s="20">
        <f>M21+M16</f>
        <v>-12389305</v>
      </c>
      <c r="N23" s="20">
        <f t="shared" si="5"/>
        <v>-296458</v>
      </c>
      <c r="O23" s="20">
        <f t="shared" si="5"/>
        <v>-12685763</v>
      </c>
    </row>
    <row r="24" spans="1:15">
      <c r="H24" s="12"/>
      <c r="I24" s="12"/>
      <c r="J24" s="12"/>
      <c r="K24" s="12"/>
      <c r="L24" s="12"/>
      <c r="M24" s="12"/>
      <c r="N24" s="12"/>
      <c r="O24" s="12"/>
    </row>
    <row r="25" spans="1:15">
      <c r="A25" s="8"/>
      <c r="B25" s="8"/>
      <c r="C25" s="8"/>
      <c r="D25" s="8"/>
      <c r="E25" s="8"/>
      <c r="G25" s="8" t="s">
        <v>25</v>
      </c>
      <c r="H25" s="26"/>
      <c r="I25" s="26"/>
      <c r="J25" s="26"/>
      <c r="K25" s="26"/>
      <c r="L25" s="26"/>
      <c r="M25" s="12"/>
      <c r="N25" s="12"/>
      <c r="O25" s="12"/>
    </row>
    <row r="26" spans="1:15">
      <c r="A26" s="8"/>
      <c r="B26" s="8"/>
      <c r="C26" s="8"/>
      <c r="D26" s="8"/>
      <c r="E26" s="8"/>
      <c r="G26" s="8"/>
      <c r="H26" s="88" t="s">
        <v>26</v>
      </c>
      <c r="I26" s="26"/>
      <c r="J26" s="26"/>
      <c r="K26" s="26"/>
      <c r="L26" s="26"/>
      <c r="M26" s="12"/>
      <c r="N26" s="12"/>
      <c r="O26" s="12"/>
    </row>
    <row r="27" spans="1:15">
      <c r="A27" s="8"/>
      <c r="B27" s="8"/>
      <c r="C27" s="8"/>
      <c r="D27" s="8"/>
      <c r="E27" s="8"/>
      <c r="G27" s="8"/>
      <c r="H27" s="88"/>
      <c r="I27" s="88" t="s">
        <v>201</v>
      </c>
      <c r="J27" s="26"/>
      <c r="K27" s="26"/>
      <c r="L27" s="26"/>
      <c r="M27" s="28">
        <v>10198768</v>
      </c>
      <c r="N27" s="12"/>
      <c r="O27" s="12">
        <f>SUM(M27:N27)</f>
        <v>10198768</v>
      </c>
    </row>
    <row r="28" spans="1:15">
      <c r="A28" s="8"/>
      <c r="B28" s="8"/>
      <c r="C28" s="8"/>
      <c r="D28" s="8"/>
      <c r="E28" s="8"/>
      <c r="G28" s="8"/>
      <c r="H28" s="88"/>
      <c r="I28" s="88" t="s">
        <v>128</v>
      </c>
      <c r="J28" s="26"/>
      <c r="K28" s="26"/>
      <c r="L28" s="26"/>
      <c r="M28" s="14">
        <v>4905730</v>
      </c>
      <c r="N28" s="12"/>
      <c r="O28" s="12">
        <f>SUM(M28:N28)</f>
        <v>4905730</v>
      </c>
    </row>
    <row r="29" spans="1:15">
      <c r="H29" s="12"/>
      <c r="I29" s="12" t="s">
        <v>127</v>
      </c>
      <c r="J29" s="12"/>
      <c r="K29" s="12"/>
      <c r="L29" s="12"/>
      <c r="M29" s="127">
        <v>993204</v>
      </c>
      <c r="N29" s="12"/>
      <c r="O29" s="12">
        <f t="shared" ref="O29:O39" si="6">SUM(M29:N29)</f>
        <v>993204</v>
      </c>
    </row>
    <row r="30" spans="1:15">
      <c r="H30" s="12" t="s">
        <v>498</v>
      </c>
      <c r="I30" s="12"/>
      <c r="J30" s="12"/>
      <c r="K30" s="12"/>
      <c r="L30" s="12"/>
      <c r="M30" s="29">
        <v>604073</v>
      </c>
      <c r="N30" s="12"/>
      <c r="O30" s="12">
        <f t="shared" si="6"/>
        <v>604073</v>
      </c>
    </row>
    <row r="31" spans="1:15">
      <c r="H31" s="12" t="s">
        <v>499</v>
      </c>
      <c r="I31" s="12"/>
      <c r="J31" s="12"/>
      <c r="K31" s="12"/>
      <c r="L31" s="12"/>
      <c r="M31" s="29">
        <v>1367976</v>
      </c>
      <c r="N31" s="12"/>
      <c r="O31" s="12">
        <f t="shared" si="6"/>
        <v>1367976</v>
      </c>
    </row>
    <row r="32" spans="1:15">
      <c r="H32" s="12" t="s">
        <v>75</v>
      </c>
      <c r="I32" s="12"/>
      <c r="J32" s="12"/>
      <c r="K32" s="12"/>
      <c r="L32" s="12"/>
      <c r="M32" s="105">
        <v>432477</v>
      </c>
      <c r="N32" s="12"/>
      <c r="O32" s="12">
        <f t="shared" si="6"/>
        <v>432477</v>
      </c>
    </row>
    <row r="33" spans="5:15">
      <c r="H33" s="12" t="s">
        <v>166</v>
      </c>
      <c r="I33" s="12"/>
      <c r="J33" s="12"/>
      <c r="K33" s="12"/>
      <c r="L33" s="12"/>
      <c r="M33" s="29">
        <v>212184</v>
      </c>
      <c r="N33" s="12"/>
      <c r="O33" s="12">
        <f t="shared" si="6"/>
        <v>212184</v>
      </c>
    </row>
    <row r="34" spans="5:15">
      <c r="H34" s="12" t="s">
        <v>137</v>
      </c>
      <c r="I34" s="12"/>
      <c r="J34" s="12"/>
      <c r="K34" s="12"/>
      <c r="L34" s="12"/>
      <c r="M34" s="29">
        <v>1324455</v>
      </c>
      <c r="N34" s="12"/>
      <c r="O34" s="12">
        <f t="shared" si="6"/>
        <v>1324455</v>
      </c>
    </row>
    <row r="35" spans="5:15">
      <c r="H35" s="12" t="s">
        <v>211</v>
      </c>
      <c r="I35" s="12"/>
      <c r="J35" s="12"/>
      <c r="K35" s="12"/>
      <c r="L35" s="12"/>
      <c r="M35" s="29">
        <v>116423</v>
      </c>
      <c r="N35" s="12"/>
      <c r="O35" s="12">
        <f t="shared" si="6"/>
        <v>116423</v>
      </c>
    </row>
    <row r="36" spans="5:15">
      <c r="H36" s="12" t="s">
        <v>500</v>
      </c>
      <c r="I36" s="12"/>
      <c r="J36" s="12"/>
      <c r="K36" s="12"/>
      <c r="L36" s="12"/>
      <c r="M36" s="29">
        <v>80000</v>
      </c>
      <c r="N36" s="12"/>
      <c r="O36" s="12">
        <f t="shared" si="6"/>
        <v>80000</v>
      </c>
    </row>
    <row r="37" spans="5:15">
      <c r="H37" s="12" t="s">
        <v>36</v>
      </c>
      <c r="I37" s="12"/>
      <c r="J37" s="12"/>
      <c r="K37" s="12"/>
      <c r="L37" s="12"/>
      <c r="M37" s="29">
        <v>568451</v>
      </c>
      <c r="N37" s="12"/>
      <c r="O37" s="12">
        <f t="shared" si="6"/>
        <v>568451</v>
      </c>
    </row>
    <row r="38" spans="5:15">
      <c r="H38" s="12" t="s">
        <v>501</v>
      </c>
      <c r="I38" s="12"/>
      <c r="J38" s="12"/>
      <c r="K38" s="12"/>
      <c r="L38" s="12"/>
      <c r="M38" s="97">
        <v>-1935296</v>
      </c>
      <c r="N38" s="12"/>
      <c r="O38" s="12">
        <f t="shared" si="6"/>
        <v>-1935296</v>
      </c>
    </row>
    <row r="39" spans="5:15">
      <c r="H39" s="12" t="s">
        <v>502</v>
      </c>
      <c r="I39" s="12"/>
      <c r="J39" s="12"/>
      <c r="K39" s="12"/>
      <c r="L39" s="12"/>
      <c r="M39" s="97">
        <v>-293760</v>
      </c>
      <c r="N39" s="12">
        <v>293760</v>
      </c>
      <c r="O39" s="12">
        <f t="shared" si="6"/>
        <v>0</v>
      </c>
    </row>
    <row r="40" spans="5:15">
      <c r="H40" s="12"/>
      <c r="I40" s="12"/>
      <c r="J40" s="12"/>
      <c r="K40" s="12"/>
      <c r="L40" s="12"/>
      <c r="M40" s="12"/>
      <c r="N40" s="12"/>
      <c r="O40" s="12"/>
    </row>
    <row r="41" spans="5:15">
      <c r="H41" s="20" t="s">
        <v>503</v>
      </c>
      <c r="I41" s="20"/>
      <c r="J41" s="20"/>
      <c r="K41" s="20"/>
      <c r="L41" s="20"/>
      <c r="M41" s="20">
        <f>SUM(M25:M39)</f>
        <v>18574685</v>
      </c>
      <c r="N41" s="20">
        <f>SUM(N25:N39)</f>
        <v>293760</v>
      </c>
      <c r="O41" s="20">
        <f>SUM(O27:O39)</f>
        <v>18868445</v>
      </c>
    </row>
    <row r="42" spans="5:15">
      <c r="H42" s="26"/>
      <c r="I42" s="26"/>
      <c r="J42" s="26"/>
      <c r="K42" s="26"/>
      <c r="L42" s="26"/>
      <c r="M42" s="26"/>
      <c r="N42" s="26"/>
      <c r="O42" s="26"/>
    </row>
    <row r="43" spans="5:15">
      <c r="H43" s="20" t="s">
        <v>504</v>
      </c>
      <c r="I43" s="20"/>
      <c r="J43" s="20"/>
      <c r="K43" s="20"/>
      <c r="L43" s="20"/>
      <c r="M43" s="20">
        <f>M41+M23</f>
        <v>6185380</v>
      </c>
      <c r="N43" s="20">
        <f t="shared" ref="N43" si="7">N41+N23</f>
        <v>-2698</v>
      </c>
      <c r="O43" s="20">
        <f>O41+O23</f>
        <v>6182682</v>
      </c>
    </row>
    <row r="44" spans="5:15">
      <c r="H44" s="26"/>
      <c r="I44" s="26"/>
      <c r="J44" s="26"/>
      <c r="K44" s="26"/>
      <c r="L44" s="26"/>
      <c r="M44" s="26"/>
      <c r="N44" s="26"/>
      <c r="O44" s="26"/>
    </row>
    <row r="45" spans="5:15">
      <c r="E45" s="31" t="s">
        <v>505</v>
      </c>
      <c r="F45" s="31"/>
      <c r="G45" s="31"/>
      <c r="H45" s="32"/>
      <c r="I45" s="32"/>
      <c r="J45" s="32"/>
      <c r="K45" s="32"/>
      <c r="L45" s="32"/>
      <c r="M45" s="33">
        <v>66644072</v>
      </c>
      <c r="N45" s="33">
        <v>-45568</v>
      </c>
      <c r="O45" s="33">
        <f>SUM(M45:N45)</f>
        <v>66598504</v>
      </c>
    </row>
    <row r="46" spans="5:15">
      <c r="E46" s="8"/>
      <c r="F46" s="8"/>
      <c r="G46" s="8"/>
      <c r="H46" s="26"/>
      <c r="I46" s="26"/>
      <c r="J46" s="26"/>
      <c r="K46" s="26"/>
      <c r="L46" s="26"/>
      <c r="M46" s="118"/>
      <c r="N46" s="118"/>
      <c r="O46" s="118"/>
    </row>
    <row r="47" spans="5:15">
      <c r="E47" s="34" t="s">
        <v>44</v>
      </c>
      <c r="F47" s="34"/>
      <c r="G47" s="34"/>
      <c r="H47" s="35"/>
      <c r="I47" s="35"/>
      <c r="J47" s="35"/>
      <c r="K47" s="35"/>
      <c r="L47" s="35"/>
      <c r="M47" s="92">
        <f>M45+M43</f>
        <v>72829452</v>
      </c>
      <c r="N47" s="92">
        <f t="shared" ref="N47:O47" si="8">N45+N43</f>
        <v>-48266</v>
      </c>
      <c r="O47" s="92">
        <f t="shared" si="8"/>
        <v>72781186</v>
      </c>
    </row>
    <row r="54" spans="11:15">
      <c r="K54" s="9"/>
      <c r="L54" s="9"/>
      <c r="M54" s="9"/>
      <c r="N54" s="9"/>
      <c r="O54" s="9"/>
    </row>
  </sheetData>
  <mergeCells count="4">
    <mergeCell ref="J1:M1"/>
    <mergeCell ref="J2:M2"/>
    <mergeCell ref="J4:L4"/>
    <mergeCell ref="M4:O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63"/>
  <sheetViews>
    <sheetView topLeftCell="A6" workbookViewId="0">
      <selection activeCell="I25" sqref="I25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</cols>
  <sheetData>
    <row r="1" spans="1:15" ht="20.25" customHeight="1">
      <c r="J1" s="258" t="s">
        <v>506</v>
      </c>
      <c r="K1" s="258"/>
      <c r="L1" s="258"/>
      <c r="M1" s="258"/>
      <c r="N1" s="170"/>
      <c r="O1" s="170"/>
    </row>
    <row r="2" spans="1:15" ht="18">
      <c r="J2" s="259" t="s">
        <v>1</v>
      </c>
      <c r="K2" s="259"/>
      <c r="L2" s="259"/>
      <c r="M2" s="259"/>
      <c r="N2" s="171"/>
      <c r="O2" s="171"/>
    </row>
    <row r="3" spans="1:15" ht="15.75">
      <c r="E3" s="3"/>
      <c r="F3" s="3"/>
      <c r="G3" s="3"/>
      <c r="H3" s="3"/>
      <c r="I3" s="3"/>
      <c r="J3" s="3"/>
      <c r="K3" s="3"/>
      <c r="L3" s="3"/>
    </row>
    <row r="4" spans="1:15" ht="18">
      <c r="E4" s="2"/>
      <c r="M4" s="260" t="s">
        <v>2</v>
      </c>
      <c r="N4" s="260"/>
      <c r="O4" s="260"/>
    </row>
    <row r="5" spans="1:15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2" t="s">
        <v>5</v>
      </c>
      <c r="N5" s="262"/>
      <c r="O5" s="262"/>
    </row>
    <row r="6" spans="1:15" ht="67.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</row>
    <row r="7" spans="1:15">
      <c r="A7" s="8" t="s">
        <v>13</v>
      </c>
      <c r="I7" s="9"/>
      <c r="J7" s="9"/>
      <c r="K7" s="9"/>
      <c r="L7" s="9"/>
    </row>
    <row r="8" spans="1:15">
      <c r="B8" s="10" t="s">
        <v>14</v>
      </c>
      <c r="I8" s="9"/>
      <c r="J8" s="9"/>
      <c r="K8" s="9"/>
      <c r="L8" s="9"/>
      <c r="M8" s="9"/>
      <c r="N8" s="9"/>
      <c r="O8" s="9"/>
    </row>
    <row r="9" spans="1:15">
      <c r="C9" t="s">
        <v>15</v>
      </c>
      <c r="H9" s="12"/>
      <c r="I9" s="11">
        <v>-6781408</v>
      </c>
      <c r="J9" s="12">
        <v>1388664</v>
      </c>
      <c r="K9" s="12">
        <v>1118695</v>
      </c>
      <c r="L9" s="12"/>
      <c r="M9" s="12">
        <f t="shared" ref="M9:M18" si="0">SUM(I9:L9)</f>
        <v>-4274049</v>
      </c>
      <c r="N9" s="12"/>
      <c r="O9" s="12">
        <f t="shared" ref="O9:O18" si="1">SUM(M9:N9)</f>
        <v>-4274049</v>
      </c>
    </row>
    <row r="10" spans="1:15">
      <c r="C10" t="s">
        <v>16</v>
      </c>
      <c r="H10" s="12"/>
      <c r="I10" s="13">
        <v>-5130578</v>
      </c>
      <c r="J10" s="12">
        <v>8565</v>
      </c>
      <c r="K10" s="12">
        <v>1414535</v>
      </c>
      <c r="L10" s="12">
        <v>52000</v>
      </c>
      <c r="M10" s="12">
        <f t="shared" si="0"/>
        <v>-3655478</v>
      </c>
      <c r="N10" s="12"/>
      <c r="O10" s="12">
        <f t="shared" si="1"/>
        <v>-3655478</v>
      </c>
    </row>
    <row r="11" spans="1:15">
      <c r="C11" t="s">
        <v>17</v>
      </c>
      <c r="H11" s="12"/>
      <c r="I11" s="14">
        <v>-9411807</v>
      </c>
      <c r="J11" s="12"/>
      <c r="K11" s="12">
        <v>2111259</v>
      </c>
      <c r="L11" s="12">
        <v>1850660</v>
      </c>
      <c r="M11" s="12">
        <f t="shared" si="0"/>
        <v>-5449888</v>
      </c>
      <c r="N11" s="12"/>
      <c r="O11" s="12">
        <f t="shared" si="1"/>
        <v>-5449888</v>
      </c>
    </row>
    <row r="12" spans="1:15">
      <c r="C12" t="s">
        <v>52</v>
      </c>
      <c r="H12" s="12"/>
      <c r="I12" s="107">
        <v>-2321650</v>
      </c>
      <c r="J12" s="12">
        <v>1380548</v>
      </c>
      <c r="K12" s="12">
        <v>149538</v>
      </c>
      <c r="L12" s="12"/>
      <c r="M12" s="12">
        <f t="shared" si="0"/>
        <v>-791564</v>
      </c>
      <c r="N12" s="12"/>
      <c r="O12" s="12">
        <f t="shared" si="1"/>
        <v>-791564</v>
      </c>
    </row>
    <row r="13" spans="1:15">
      <c r="C13" t="s">
        <v>20</v>
      </c>
      <c r="H13" s="12"/>
      <c r="I13" s="16">
        <v>-2520440</v>
      </c>
      <c r="J13" s="12">
        <v>50852</v>
      </c>
      <c r="K13" s="12">
        <v>103344</v>
      </c>
      <c r="L13" s="12">
        <v>379997</v>
      </c>
      <c r="M13" s="12">
        <f t="shared" si="0"/>
        <v>-1986247</v>
      </c>
      <c r="N13" s="12"/>
      <c r="O13" s="12">
        <f t="shared" si="1"/>
        <v>-1986247</v>
      </c>
    </row>
    <row r="14" spans="1:15">
      <c r="C14" t="s">
        <v>19</v>
      </c>
      <c r="H14" s="12"/>
      <c r="I14" s="15">
        <v>-5540942</v>
      </c>
      <c r="J14" s="12">
        <v>331474</v>
      </c>
      <c r="K14" s="12">
        <v>3999032</v>
      </c>
      <c r="L14" s="12"/>
      <c r="M14" s="12">
        <f t="shared" si="0"/>
        <v>-1210436</v>
      </c>
      <c r="N14" s="12"/>
      <c r="O14" s="12">
        <f t="shared" si="1"/>
        <v>-1210436</v>
      </c>
    </row>
    <row r="15" spans="1:15">
      <c r="C15" t="s">
        <v>507</v>
      </c>
      <c r="H15" s="12"/>
      <c r="I15" s="107">
        <v>-459802</v>
      </c>
      <c r="J15" s="12"/>
      <c r="K15" s="12">
        <v>345555</v>
      </c>
      <c r="L15" s="12">
        <v>102445</v>
      </c>
      <c r="M15" s="12">
        <f t="shared" si="0"/>
        <v>-11802</v>
      </c>
      <c r="N15" s="12"/>
      <c r="O15" s="12">
        <f t="shared" si="1"/>
        <v>-11802</v>
      </c>
    </row>
    <row r="16" spans="1:15">
      <c r="C16" t="s">
        <v>18</v>
      </c>
      <c r="H16" s="12"/>
      <c r="I16" s="102">
        <v>-231272</v>
      </c>
      <c r="J16" s="12"/>
      <c r="K16" s="12"/>
      <c r="L16" s="12"/>
      <c r="M16" s="12">
        <f>SUM(I16:L16)</f>
        <v>-231272</v>
      </c>
      <c r="N16" s="12"/>
      <c r="O16" s="12">
        <f t="shared" si="1"/>
        <v>-231272</v>
      </c>
    </row>
    <row r="17" spans="1:15">
      <c r="C17" t="s">
        <v>21</v>
      </c>
      <c r="H17" s="12"/>
      <c r="I17" s="98">
        <v>-857912</v>
      </c>
      <c r="J17" s="12"/>
      <c r="K17" s="12"/>
      <c r="L17" s="12"/>
      <c r="M17" s="12">
        <f t="shared" si="0"/>
        <v>-857912</v>
      </c>
      <c r="N17" s="12"/>
      <c r="O17" s="12">
        <f t="shared" si="1"/>
        <v>-857912</v>
      </c>
    </row>
    <row r="18" spans="1:15">
      <c r="C18" t="s">
        <v>508</v>
      </c>
      <c r="H18" s="12"/>
      <c r="I18" s="98">
        <v>-33662</v>
      </c>
      <c r="J18" s="12"/>
      <c r="K18" s="12"/>
      <c r="L18" s="12"/>
      <c r="M18" s="12">
        <f t="shared" si="0"/>
        <v>-33662</v>
      </c>
      <c r="N18" s="12"/>
      <c r="O18" s="12">
        <f t="shared" si="1"/>
        <v>-33662</v>
      </c>
    </row>
    <row r="19" spans="1:15">
      <c r="H19" s="12"/>
      <c r="I19" s="12"/>
      <c r="J19" s="12"/>
      <c r="K19" s="12"/>
      <c r="L19" s="12"/>
      <c r="M19" s="12"/>
      <c r="N19" s="12"/>
      <c r="O19" s="12"/>
    </row>
    <row r="20" spans="1:15">
      <c r="E20" s="19" t="s">
        <v>22</v>
      </c>
      <c r="F20" s="19"/>
      <c r="G20" s="19"/>
      <c r="H20" s="20"/>
      <c r="I20" s="20">
        <f>SUM(I9:I18)</f>
        <v>-33289473</v>
      </c>
      <c r="J20" s="20">
        <f>SUM(J9:J18)</f>
        <v>3160103</v>
      </c>
      <c r="K20" s="20">
        <f>SUM(K9:K18)</f>
        <v>9241958</v>
      </c>
      <c r="L20" s="20">
        <f>SUM(L9:L18)</f>
        <v>2385102</v>
      </c>
      <c r="M20" s="91">
        <f>SUM(M9:M18)</f>
        <v>-18502310</v>
      </c>
      <c r="N20" s="91"/>
      <c r="O20" s="91">
        <f>SUM(O9:O18)</f>
        <v>-18502310</v>
      </c>
    </row>
    <row r="21" spans="1:15">
      <c r="E21" s="8"/>
      <c r="F21" s="8"/>
      <c r="G21" s="8"/>
      <c r="H21" s="26"/>
      <c r="I21" s="26"/>
      <c r="J21" s="26"/>
      <c r="K21" s="26"/>
      <c r="L21" s="26"/>
      <c r="M21" s="26"/>
      <c r="N21" s="26"/>
      <c r="O21" s="26"/>
    </row>
    <row r="22" spans="1:15">
      <c r="B22" s="10" t="s">
        <v>84</v>
      </c>
      <c r="E22" s="8"/>
      <c r="F22" s="8"/>
      <c r="G22" s="8"/>
      <c r="H22" s="26"/>
      <c r="I22" s="26"/>
      <c r="J22" s="26"/>
      <c r="K22" s="26"/>
      <c r="L22" s="26"/>
      <c r="M22" s="26"/>
      <c r="N22" s="26"/>
      <c r="O22" s="26"/>
    </row>
    <row r="23" spans="1:15">
      <c r="C23" t="s">
        <v>509</v>
      </c>
      <c r="E23" s="8"/>
      <c r="F23" s="8"/>
      <c r="G23" s="8"/>
      <c r="H23" s="26"/>
      <c r="I23" s="248">
        <v>-4573742</v>
      </c>
      <c r="J23" s="88">
        <v>3977579</v>
      </c>
      <c r="K23" s="88"/>
      <c r="L23" s="88"/>
      <c r="M23" s="88"/>
      <c r="N23" s="88">
        <f t="shared" ref="N23:N24" si="2">SUM(I23:L23)</f>
        <v>-596163</v>
      </c>
      <c r="O23" s="88">
        <f t="shared" ref="O23:O24" si="3">SUM(M23:N23)</f>
        <v>-596163</v>
      </c>
    </row>
    <row r="24" spans="1:15">
      <c r="C24" t="s">
        <v>510</v>
      </c>
      <c r="E24" s="8"/>
      <c r="F24" s="8"/>
      <c r="G24" s="8"/>
      <c r="H24" s="26"/>
      <c r="I24" s="252">
        <v>-309181</v>
      </c>
      <c r="J24" s="88">
        <v>144678</v>
      </c>
      <c r="K24" s="88"/>
      <c r="L24" s="88"/>
      <c r="M24" s="88"/>
      <c r="N24" s="88">
        <f t="shared" si="2"/>
        <v>-164503</v>
      </c>
      <c r="O24" s="88">
        <f t="shared" si="3"/>
        <v>-164503</v>
      </c>
    </row>
    <row r="25" spans="1:15">
      <c r="C25" t="s">
        <v>511</v>
      </c>
      <c r="E25" s="8"/>
      <c r="F25" s="8"/>
      <c r="G25" s="8"/>
      <c r="H25" s="26"/>
      <c r="I25" s="257">
        <v>-672266</v>
      </c>
      <c r="J25" s="88">
        <v>165643</v>
      </c>
      <c r="K25" s="88">
        <v>33578</v>
      </c>
      <c r="L25" s="88"/>
      <c r="M25" s="88"/>
      <c r="N25" s="88">
        <f>SUM(I25:L25)</f>
        <v>-473045</v>
      </c>
      <c r="O25" s="88">
        <f>SUM(M25:N25)</f>
        <v>-473045</v>
      </c>
    </row>
    <row r="26" spans="1:15">
      <c r="E26" s="8"/>
      <c r="F26" s="8"/>
      <c r="G26" s="8"/>
      <c r="H26" s="26"/>
      <c r="I26" s="26"/>
      <c r="J26" s="26"/>
      <c r="K26" s="26"/>
      <c r="L26" s="26"/>
      <c r="M26" s="26"/>
      <c r="N26" s="26"/>
      <c r="O26" s="26"/>
    </row>
    <row r="27" spans="1:15">
      <c r="E27" s="19" t="s">
        <v>173</v>
      </c>
      <c r="F27" s="19"/>
      <c r="G27" s="19"/>
      <c r="H27" s="20"/>
      <c r="I27" s="20">
        <f t="shared" ref="I27:O27" si="4">SUM(I23:I25)</f>
        <v>-5555189</v>
      </c>
      <c r="J27" s="20">
        <f t="shared" si="4"/>
        <v>4287900</v>
      </c>
      <c r="K27" s="20">
        <f t="shared" si="4"/>
        <v>33578</v>
      </c>
      <c r="L27" s="20">
        <f t="shared" si="4"/>
        <v>0</v>
      </c>
      <c r="M27" s="91">
        <f t="shared" si="4"/>
        <v>0</v>
      </c>
      <c r="N27" s="91">
        <f t="shared" si="4"/>
        <v>-1233711</v>
      </c>
      <c r="O27" s="91">
        <f t="shared" si="4"/>
        <v>-1233711</v>
      </c>
    </row>
    <row r="28" spans="1:15">
      <c r="E28" s="8"/>
      <c r="F28" s="8"/>
      <c r="G28" s="8"/>
      <c r="H28" s="26"/>
      <c r="I28" s="26"/>
      <c r="J28" s="26"/>
      <c r="K28" s="26"/>
      <c r="L28" s="26"/>
      <c r="M28" s="26"/>
      <c r="N28" s="26"/>
      <c r="O28" s="26"/>
    </row>
    <row r="29" spans="1:15">
      <c r="E29" s="19" t="s">
        <v>89</v>
      </c>
      <c r="F29" s="19"/>
      <c r="G29" s="19"/>
      <c r="H29" s="20"/>
      <c r="I29" s="20">
        <f>I27+I20</f>
        <v>-38844662</v>
      </c>
      <c r="J29" s="20">
        <f>J27+J20</f>
        <v>7448003</v>
      </c>
      <c r="K29" s="20">
        <f>SUM(K20+K27)</f>
        <v>9275536</v>
      </c>
      <c r="L29" s="20">
        <f>SUM(L20+L27)</f>
        <v>2385102</v>
      </c>
      <c r="M29" s="91">
        <f>M27+M20</f>
        <v>-18502310</v>
      </c>
      <c r="N29" s="91">
        <f>N27+N20</f>
        <v>-1233711</v>
      </c>
      <c r="O29" s="91">
        <f>O27+O20</f>
        <v>-19736021</v>
      </c>
    </row>
    <row r="30" spans="1:15">
      <c r="E30" s="8"/>
      <c r="F30" s="8"/>
      <c r="G30" s="8"/>
      <c r="H30" s="26"/>
      <c r="I30" s="26"/>
      <c r="J30" s="26"/>
      <c r="K30" s="26"/>
      <c r="L30" s="26"/>
      <c r="M30" s="26"/>
      <c r="N30" s="26"/>
      <c r="O30" s="26"/>
    </row>
    <row r="31" spans="1:15">
      <c r="A31" s="8"/>
      <c r="B31" s="8"/>
      <c r="C31" s="8"/>
      <c r="D31" s="8"/>
      <c r="E31" s="8"/>
      <c r="G31" s="8" t="s">
        <v>25</v>
      </c>
      <c r="H31" s="26"/>
      <c r="I31" s="26"/>
      <c r="J31" s="26"/>
      <c r="K31" s="26"/>
      <c r="L31" s="26"/>
      <c r="M31" s="12"/>
      <c r="N31" s="12"/>
      <c r="O31" s="12"/>
    </row>
    <row r="32" spans="1:15">
      <c r="A32" s="8"/>
      <c r="B32" s="8"/>
      <c r="C32" s="8"/>
      <c r="D32" s="8"/>
      <c r="E32" s="8"/>
      <c r="G32" s="8"/>
      <c r="H32" s="88" t="s">
        <v>26</v>
      </c>
      <c r="I32" s="26"/>
      <c r="J32" s="26"/>
      <c r="K32" s="26"/>
      <c r="L32" s="26"/>
      <c r="M32" s="12"/>
      <c r="N32" s="12"/>
      <c r="O32" s="12"/>
    </row>
    <row r="33" spans="8:15">
      <c r="H33" s="12"/>
      <c r="I33" s="12" t="s">
        <v>74</v>
      </c>
      <c r="J33" s="12"/>
      <c r="K33" s="12"/>
      <c r="L33" s="12"/>
      <c r="M33" s="14">
        <v>7601464</v>
      </c>
      <c r="N33" s="12"/>
      <c r="O33" s="12">
        <f t="shared" ref="O33:O42" si="5">SUM(M33:N33)</f>
        <v>7601464</v>
      </c>
    </row>
    <row r="34" spans="8:15">
      <c r="H34" s="12"/>
      <c r="I34" s="12" t="s">
        <v>512</v>
      </c>
      <c r="J34" s="12"/>
      <c r="K34" s="12"/>
      <c r="L34" s="12"/>
      <c r="M34" s="28">
        <v>2928208</v>
      </c>
      <c r="N34" s="12"/>
      <c r="O34" s="12">
        <f t="shared" si="5"/>
        <v>2928208</v>
      </c>
    </row>
    <row r="35" spans="8:15">
      <c r="H35" s="12"/>
      <c r="I35" s="12" t="s">
        <v>513</v>
      </c>
      <c r="J35" s="12"/>
      <c r="K35" s="12"/>
      <c r="L35" s="12"/>
      <c r="M35" s="28">
        <v>516743</v>
      </c>
      <c r="N35" s="12"/>
      <c r="O35" s="12">
        <f t="shared" si="5"/>
        <v>516743</v>
      </c>
    </row>
    <row r="36" spans="8:15">
      <c r="H36" s="12"/>
      <c r="I36" s="12" t="s">
        <v>127</v>
      </c>
      <c r="J36" s="12"/>
      <c r="K36" s="12"/>
      <c r="L36" s="12"/>
      <c r="M36" s="15">
        <v>971266</v>
      </c>
      <c r="N36" s="12"/>
      <c r="O36" s="12">
        <f t="shared" si="5"/>
        <v>971266</v>
      </c>
    </row>
    <row r="37" spans="8:15">
      <c r="H37" s="12"/>
      <c r="I37" s="12" t="s">
        <v>514</v>
      </c>
      <c r="J37" s="12"/>
      <c r="K37" s="12"/>
      <c r="L37" s="12"/>
      <c r="M37" s="15">
        <v>67243</v>
      </c>
      <c r="N37" s="12"/>
      <c r="O37" s="12">
        <f t="shared" si="5"/>
        <v>67243</v>
      </c>
    </row>
    <row r="38" spans="8:15">
      <c r="H38" s="12" t="s">
        <v>515</v>
      </c>
      <c r="I38" s="12"/>
      <c r="J38" s="12"/>
      <c r="K38" s="12"/>
      <c r="L38" s="12"/>
      <c r="M38" s="29">
        <v>8859854</v>
      </c>
      <c r="N38" s="12"/>
      <c r="O38" s="12">
        <f t="shared" si="5"/>
        <v>8859854</v>
      </c>
    </row>
    <row r="39" spans="8:15">
      <c r="H39" s="12" t="s">
        <v>516</v>
      </c>
      <c r="I39" s="12"/>
      <c r="J39" s="12"/>
      <c r="K39" s="12"/>
      <c r="L39" s="12"/>
      <c r="M39" s="105">
        <v>551451</v>
      </c>
      <c r="N39" s="12"/>
      <c r="O39" s="12">
        <f t="shared" si="5"/>
        <v>551451</v>
      </c>
    </row>
    <row r="40" spans="8:15">
      <c r="H40" s="12" t="s">
        <v>517</v>
      </c>
      <c r="I40" s="12"/>
      <c r="J40" s="12"/>
      <c r="K40" s="12"/>
      <c r="L40" s="12"/>
      <c r="M40" s="29">
        <v>123005</v>
      </c>
      <c r="N40" s="12">
        <v>148</v>
      </c>
      <c r="O40" s="12">
        <f t="shared" si="5"/>
        <v>123153</v>
      </c>
    </row>
    <row r="41" spans="8:15">
      <c r="H41" s="12" t="s">
        <v>518</v>
      </c>
      <c r="I41" s="12"/>
      <c r="J41" s="12"/>
      <c r="K41" s="12"/>
      <c r="L41" s="12"/>
      <c r="M41" s="29">
        <v>51313</v>
      </c>
      <c r="N41" s="12"/>
      <c r="O41" s="12">
        <f t="shared" si="5"/>
        <v>51313</v>
      </c>
    </row>
    <row r="42" spans="8:15">
      <c r="H42" s="12" t="s">
        <v>519</v>
      </c>
      <c r="I42" s="12"/>
      <c r="J42" s="12"/>
      <c r="K42" s="12"/>
      <c r="L42" s="12"/>
      <c r="M42" s="12"/>
      <c r="N42" s="12">
        <v>17788</v>
      </c>
      <c r="O42" s="12">
        <f t="shared" si="5"/>
        <v>17788</v>
      </c>
    </row>
    <row r="43" spans="8:15">
      <c r="H43" s="12" t="s">
        <v>222</v>
      </c>
      <c r="I43" s="12"/>
      <c r="J43" s="12"/>
      <c r="K43" s="12"/>
      <c r="L43" s="12"/>
      <c r="M43" s="12"/>
      <c r="N43" s="12"/>
      <c r="O43" s="12"/>
    </row>
    <row r="44" spans="8:15">
      <c r="H44" s="12"/>
      <c r="I44" s="12" t="s">
        <v>520</v>
      </c>
      <c r="J44" s="12"/>
      <c r="K44" s="12"/>
      <c r="L44" s="12"/>
      <c r="M44" s="97">
        <v>-2390500</v>
      </c>
      <c r="N44" s="12">
        <v>2390500</v>
      </c>
      <c r="O44" s="12">
        <f>SUM(M44:N44)</f>
        <v>0</v>
      </c>
    </row>
    <row r="45" spans="8:15">
      <c r="H45" s="12"/>
      <c r="I45" s="12"/>
      <c r="J45" s="12"/>
      <c r="K45" s="12"/>
      <c r="L45" s="12"/>
      <c r="M45" s="12"/>
      <c r="N45" s="12"/>
      <c r="O45" s="12"/>
    </row>
    <row r="46" spans="8:15">
      <c r="H46" s="20" t="s">
        <v>521</v>
      </c>
      <c r="I46" s="20"/>
      <c r="J46" s="20"/>
      <c r="K46" s="20"/>
      <c r="L46" s="20"/>
      <c r="M46" s="20">
        <f>SUM(M33:M44)</f>
        <v>19280047</v>
      </c>
      <c r="N46" s="20">
        <f>SUM(N33:N44)</f>
        <v>2408436</v>
      </c>
      <c r="O46" s="20">
        <f>SUM(O33:O44)</f>
        <v>21688483</v>
      </c>
    </row>
    <row r="47" spans="8:15">
      <c r="H47" s="12"/>
      <c r="I47" s="12"/>
      <c r="J47" s="12"/>
      <c r="K47" s="12"/>
      <c r="L47" s="12"/>
      <c r="M47" s="12"/>
      <c r="N47" s="12"/>
      <c r="O47" s="12"/>
    </row>
    <row r="48" spans="8:15">
      <c r="H48" s="20" t="s">
        <v>39</v>
      </c>
      <c r="I48" s="20"/>
      <c r="J48" s="20"/>
      <c r="K48" s="20"/>
      <c r="L48" s="20"/>
      <c r="M48" s="20">
        <f>M46+M20</f>
        <v>777737</v>
      </c>
      <c r="N48" s="20">
        <f>N46+N29</f>
        <v>1174725</v>
      </c>
      <c r="O48" s="20">
        <f>O46+O29</f>
        <v>1952462</v>
      </c>
    </row>
    <row r="49" spans="5:15">
      <c r="H49" s="26"/>
      <c r="I49" s="26"/>
      <c r="J49" s="26"/>
      <c r="K49" s="26"/>
      <c r="L49" s="26"/>
      <c r="M49" s="26"/>
      <c r="N49" s="26"/>
      <c r="O49" s="26"/>
    </row>
    <row r="50" spans="5:15">
      <c r="H50" s="91" t="s">
        <v>522</v>
      </c>
      <c r="I50" s="91"/>
      <c r="J50" s="91"/>
      <c r="K50" s="91"/>
      <c r="L50" s="91"/>
      <c r="M50" s="91">
        <v>98925278</v>
      </c>
      <c r="N50" s="91">
        <v>15869458</v>
      </c>
      <c r="O50" s="91">
        <f>SUM(M50:N50)</f>
        <v>114794736</v>
      </c>
    </row>
    <row r="51" spans="5:15">
      <c r="H51" s="26"/>
      <c r="I51" s="26"/>
      <c r="J51" s="26"/>
      <c r="K51" s="26"/>
      <c r="L51" s="26"/>
      <c r="M51" s="26"/>
      <c r="N51" s="26"/>
      <c r="O51" s="26"/>
    </row>
    <row r="52" spans="5:15">
      <c r="H52" s="91" t="s">
        <v>365</v>
      </c>
      <c r="I52" s="91"/>
      <c r="J52" s="91"/>
      <c r="K52" s="91"/>
      <c r="L52" s="91"/>
      <c r="M52" s="91">
        <v>329776</v>
      </c>
      <c r="N52" s="91">
        <v>-193058</v>
      </c>
      <c r="O52" s="91">
        <v>136718</v>
      </c>
    </row>
    <row r="53" spans="5:15">
      <c r="H53" s="26"/>
      <c r="I53" s="26"/>
      <c r="J53" s="26"/>
      <c r="K53" s="26"/>
      <c r="L53" s="26"/>
      <c r="M53" s="26"/>
      <c r="N53" s="26"/>
      <c r="O53" s="26"/>
    </row>
    <row r="54" spans="5:15">
      <c r="E54" s="31" t="s">
        <v>523</v>
      </c>
      <c r="F54" s="31"/>
      <c r="G54" s="31"/>
      <c r="H54" s="32"/>
      <c r="I54" s="32"/>
      <c r="J54" s="32"/>
      <c r="K54" s="32"/>
      <c r="L54" s="32"/>
      <c r="M54" s="33">
        <v>99255054</v>
      </c>
      <c r="N54" s="33">
        <v>15676400</v>
      </c>
      <c r="O54" s="33">
        <f>SUM(M54:N54)</f>
        <v>114931454</v>
      </c>
    </row>
    <row r="55" spans="5:15">
      <c r="H55" s="12"/>
      <c r="I55" s="12"/>
      <c r="J55" s="12"/>
      <c r="K55" s="12"/>
      <c r="L55" s="12"/>
      <c r="M55" s="12"/>
      <c r="N55" s="12"/>
      <c r="O55" s="12"/>
    </row>
    <row r="56" spans="5:15">
      <c r="E56" s="34" t="s">
        <v>44</v>
      </c>
      <c r="F56" s="34"/>
      <c r="G56" s="34"/>
      <c r="H56" s="35"/>
      <c r="I56" s="35"/>
      <c r="J56" s="35"/>
      <c r="K56" s="35"/>
      <c r="L56" s="35"/>
      <c r="M56" s="92">
        <f>SUM(M48,M54)</f>
        <v>100032791</v>
      </c>
      <c r="N56" s="92">
        <f>N54+N48</f>
        <v>16851125</v>
      </c>
      <c r="O56" s="92">
        <f>O54+O48</f>
        <v>116883916</v>
      </c>
    </row>
    <row r="63" spans="5:15">
      <c r="K63" s="9"/>
      <c r="L63" s="9"/>
      <c r="M63" s="9"/>
      <c r="N63" s="9"/>
      <c r="O63" s="9"/>
    </row>
  </sheetData>
  <mergeCells count="5">
    <mergeCell ref="J1:M1"/>
    <mergeCell ref="J2:M2"/>
    <mergeCell ref="M4:O4"/>
    <mergeCell ref="J5:L5"/>
    <mergeCell ref="M5:O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68"/>
  <sheetViews>
    <sheetView zoomScale="90" zoomScaleNormal="90" zoomScalePageLayoutView="90" workbookViewId="0">
      <selection activeCell="I21" sqref="I21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  <col min="16" max="16" width="14.42578125" customWidth="1"/>
  </cols>
  <sheetData>
    <row r="1" spans="1:16" ht="20.25" customHeight="1">
      <c r="J1" s="258" t="s">
        <v>524</v>
      </c>
      <c r="K1" s="258"/>
      <c r="L1" s="258"/>
      <c r="M1" s="258"/>
      <c r="N1" s="170"/>
      <c r="O1" s="170"/>
    </row>
    <row r="2" spans="1:16" ht="18">
      <c r="J2" s="259" t="s">
        <v>1</v>
      </c>
      <c r="K2" s="259"/>
      <c r="L2" s="259"/>
      <c r="M2" s="259"/>
      <c r="N2" s="171"/>
      <c r="O2" s="171"/>
    </row>
    <row r="3" spans="1:16" ht="15.75">
      <c r="E3" s="3"/>
      <c r="F3" s="3"/>
      <c r="G3" s="3"/>
      <c r="H3" s="3"/>
      <c r="I3" s="3"/>
      <c r="J3" s="3"/>
      <c r="K3" s="3"/>
      <c r="L3" s="3"/>
    </row>
    <row r="4" spans="1:16" ht="18">
      <c r="E4" s="2"/>
      <c r="M4" s="260" t="s">
        <v>2</v>
      </c>
      <c r="N4" s="260"/>
      <c r="O4" s="260"/>
      <c r="P4" s="260"/>
    </row>
    <row r="5" spans="1:16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2" t="s">
        <v>5</v>
      </c>
      <c r="N5" s="262"/>
      <c r="O5" s="262"/>
      <c r="P5" s="125"/>
    </row>
    <row r="6" spans="1:16" ht="67.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  <c r="P6" s="90" t="s">
        <v>12</v>
      </c>
    </row>
    <row r="7" spans="1:16">
      <c r="A7" s="8" t="s">
        <v>13</v>
      </c>
      <c r="I7" s="9"/>
      <c r="J7" s="9"/>
      <c r="K7" s="9"/>
      <c r="L7" s="9"/>
    </row>
    <row r="8" spans="1:16">
      <c r="B8" s="10" t="s">
        <v>14</v>
      </c>
      <c r="I8" s="9"/>
      <c r="J8" s="9"/>
      <c r="K8" s="9"/>
      <c r="L8" s="9"/>
      <c r="M8" s="9"/>
      <c r="N8" s="9"/>
      <c r="O8" s="9"/>
    </row>
    <row r="9" spans="1:16">
      <c r="C9" t="s">
        <v>15</v>
      </c>
      <c r="H9" s="12"/>
      <c r="I9" s="11">
        <v>-22890790</v>
      </c>
      <c r="J9" s="12">
        <v>7869235</v>
      </c>
      <c r="K9" s="12">
        <v>346857</v>
      </c>
      <c r="L9" s="12">
        <v>1278356</v>
      </c>
      <c r="M9" s="12">
        <f t="shared" ref="M9:M16" si="0">SUM(I9:L9)</f>
        <v>-13396342</v>
      </c>
      <c r="N9" s="12"/>
      <c r="O9" s="12">
        <f t="shared" ref="O9:O16" si="1">SUM(M9:N9)</f>
        <v>-13396342</v>
      </c>
    </row>
    <row r="10" spans="1:16">
      <c r="C10" t="s">
        <v>16</v>
      </c>
      <c r="H10" s="12"/>
      <c r="I10" s="13">
        <v>-16260579</v>
      </c>
      <c r="J10" s="12">
        <v>2075778</v>
      </c>
      <c r="K10" s="12">
        <v>7937034</v>
      </c>
      <c r="L10" s="12">
        <v>1261553</v>
      </c>
      <c r="M10" s="12">
        <f t="shared" si="0"/>
        <v>-4986214</v>
      </c>
      <c r="N10" s="12"/>
      <c r="O10" s="12">
        <f t="shared" si="1"/>
        <v>-4986214</v>
      </c>
    </row>
    <row r="11" spans="1:16">
      <c r="C11" t="s">
        <v>448</v>
      </c>
      <c r="H11" s="12"/>
      <c r="I11" s="14">
        <v>-36628105</v>
      </c>
      <c r="J11" s="12">
        <v>2657351</v>
      </c>
      <c r="K11" s="12">
        <v>4139595</v>
      </c>
      <c r="L11" s="12">
        <v>4570473</v>
      </c>
      <c r="M11" s="12">
        <f t="shared" si="0"/>
        <v>-25260686</v>
      </c>
      <c r="N11" s="12"/>
      <c r="O11" s="12">
        <f t="shared" si="1"/>
        <v>-25260686</v>
      </c>
    </row>
    <row r="12" spans="1:16">
      <c r="C12" t="s">
        <v>52</v>
      </c>
      <c r="H12" s="12"/>
      <c r="I12" s="107">
        <v>-1053250</v>
      </c>
      <c r="J12" s="12">
        <v>1390199</v>
      </c>
      <c r="K12" s="12">
        <v>29715</v>
      </c>
      <c r="L12" s="12">
        <v>100702</v>
      </c>
      <c r="M12" s="12">
        <f t="shared" si="0"/>
        <v>467366</v>
      </c>
      <c r="N12" s="12"/>
      <c r="O12" s="12">
        <f t="shared" si="1"/>
        <v>467366</v>
      </c>
    </row>
    <row r="13" spans="1:16">
      <c r="C13" t="s">
        <v>19</v>
      </c>
      <c r="H13" s="12"/>
      <c r="I13" s="15">
        <v>-10042280</v>
      </c>
      <c r="J13" s="12">
        <v>352946</v>
      </c>
      <c r="K13" s="12">
        <v>3046632</v>
      </c>
      <c r="L13" s="12">
        <v>8000</v>
      </c>
      <c r="M13" s="12">
        <f t="shared" si="0"/>
        <v>-6634702</v>
      </c>
      <c r="N13" s="12"/>
      <c r="O13" s="12">
        <f t="shared" si="1"/>
        <v>-6634702</v>
      </c>
    </row>
    <row r="14" spans="1:16">
      <c r="C14" t="s">
        <v>20</v>
      </c>
      <c r="H14" s="12"/>
      <c r="I14" s="16">
        <v>-10339088</v>
      </c>
      <c r="J14" s="12">
        <v>281</v>
      </c>
      <c r="K14" s="12">
        <v>337565</v>
      </c>
      <c r="L14" s="12">
        <v>5553</v>
      </c>
      <c r="M14" s="12">
        <f t="shared" si="0"/>
        <v>-9995689</v>
      </c>
      <c r="N14" s="12"/>
      <c r="O14" s="12">
        <f t="shared" si="1"/>
        <v>-9995689</v>
      </c>
    </row>
    <row r="15" spans="1:16">
      <c r="C15" t="s">
        <v>71</v>
      </c>
      <c r="H15" s="12"/>
      <c r="I15" s="102">
        <v>-952898</v>
      </c>
      <c r="J15" s="12"/>
      <c r="K15" s="12">
        <v>1386279</v>
      </c>
      <c r="L15" s="12">
        <v>149841</v>
      </c>
      <c r="M15" s="12">
        <f>SUM(I15:L15)</f>
        <v>583222</v>
      </c>
      <c r="N15" s="12"/>
      <c r="O15" s="12">
        <f t="shared" si="1"/>
        <v>583222</v>
      </c>
    </row>
    <row r="16" spans="1:16">
      <c r="C16" t="s">
        <v>21</v>
      </c>
      <c r="H16" s="12"/>
      <c r="I16" s="98">
        <v>-4790681</v>
      </c>
      <c r="J16" s="12"/>
      <c r="K16" s="12"/>
      <c r="L16" s="12"/>
      <c r="M16" s="12">
        <f t="shared" si="0"/>
        <v>-4790681</v>
      </c>
      <c r="N16" s="12"/>
      <c r="O16" s="12">
        <f t="shared" si="1"/>
        <v>-4790681</v>
      </c>
    </row>
    <row r="17" spans="1:16">
      <c r="H17" s="12"/>
      <c r="I17" s="12"/>
      <c r="J17" s="12"/>
      <c r="K17" s="12"/>
      <c r="L17" s="12"/>
      <c r="M17" s="12"/>
      <c r="N17" s="12"/>
      <c r="O17" s="12"/>
    </row>
    <row r="18" spans="1:16">
      <c r="E18" s="19" t="s">
        <v>22</v>
      </c>
      <c r="F18" s="19"/>
      <c r="G18" s="19"/>
      <c r="H18" s="20"/>
      <c r="I18" s="20">
        <f>SUM(I9:I16)</f>
        <v>-102957671</v>
      </c>
      <c r="J18" s="20">
        <f>SUM(J9:J16)</f>
        <v>14345790</v>
      </c>
      <c r="K18" s="20">
        <f>SUM(K9:K16)</f>
        <v>17223677</v>
      </c>
      <c r="L18" s="20">
        <f>SUM(L9:L16)</f>
        <v>7374478</v>
      </c>
      <c r="M18" s="91">
        <f>SUM(M9:M16)</f>
        <v>-64013726</v>
      </c>
      <c r="N18" s="91"/>
      <c r="O18" s="91">
        <f>SUM(O9:O16)</f>
        <v>-64013726</v>
      </c>
      <c r="P18" s="93">
        <f>SUM(P9:P16)</f>
        <v>0</v>
      </c>
    </row>
    <row r="19" spans="1:16">
      <c r="E19" s="8"/>
      <c r="F19" s="8"/>
      <c r="G19" s="8"/>
      <c r="H19" s="26"/>
      <c r="I19" s="26"/>
      <c r="J19" s="26"/>
      <c r="K19" s="26"/>
      <c r="L19" s="26"/>
      <c r="M19" s="26"/>
      <c r="N19" s="26"/>
      <c r="O19" s="26"/>
    </row>
    <row r="20" spans="1:16">
      <c r="B20" s="10" t="s">
        <v>84</v>
      </c>
      <c r="E20" s="8"/>
      <c r="F20" s="8"/>
      <c r="G20" s="8"/>
      <c r="H20" s="26"/>
      <c r="I20" s="26"/>
      <c r="J20" s="26"/>
      <c r="K20" s="26"/>
      <c r="L20" s="26"/>
      <c r="M20" s="26"/>
      <c r="N20" s="26"/>
      <c r="O20" s="26"/>
    </row>
    <row r="21" spans="1:16">
      <c r="C21" t="s">
        <v>525</v>
      </c>
      <c r="E21" s="8"/>
      <c r="F21" s="8"/>
      <c r="G21" s="8"/>
      <c r="H21" s="26"/>
      <c r="I21" s="249">
        <v>-11146235</v>
      </c>
      <c r="J21" s="88">
        <v>11207575</v>
      </c>
      <c r="K21" s="88"/>
      <c r="L21" s="88">
        <v>50800</v>
      </c>
      <c r="M21" s="88"/>
      <c r="N21" s="88">
        <f t="shared" ref="N21" si="2">SUM(I21:L21)</f>
        <v>112140</v>
      </c>
      <c r="O21" s="88">
        <f t="shared" ref="O21" si="3">SUM(M21:N21)</f>
        <v>112140</v>
      </c>
    </row>
    <row r="22" spans="1:16">
      <c r="E22" s="8"/>
      <c r="F22" s="8"/>
      <c r="G22" s="8"/>
      <c r="H22" s="26"/>
      <c r="I22" s="26"/>
      <c r="J22" s="26"/>
      <c r="K22" s="26"/>
      <c r="L22" s="26"/>
      <c r="M22" s="26"/>
      <c r="N22" s="26"/>
      <c r="O22" s="26"/>
    </row>
    <row r="23" spans="1:16">
      <c r="E23" s="19" t="s">
        <v>173</v>
      </c>
      <c r="F23" s="19"/>
      <c r="G23" s="19"/>
      <c r="H23" s="20"/>
      <c r="I23" s="20">
        <f t="shared" ref="I23:P23" si="4">SUM(I21:I21)</f>
        <v>-11146235</v>
      </c>
      <c r="J23" s="20">
        <f t="shared" si="4"/>
        <v>11207575</v>
      </c>
      <c r="K23" s="20">
        <f t="shared" si="4"/>
        <v>0</v>
      </c>
      <c r="L23" s="20">
        <f t="shared" si="4"/>
        <v>50800</v>
      </c>
      <c r="M23" s="91">
        <f t="shared" si="4"/>
        <v>0</v>
      </c>
      <c r="N23" s="91">
        <f t="shared" si="4"/>
        <v>112140</v>
      </c>
      <c r="O23" s="91">
        <f t="shared" si="4"/>
        <v>112140</v>
      </c>
      <c r="P23" s="91">
        <f t="shared" si="4"/>
        <v>0</v>
      </c>
    </row>
    <row r="24" spans="1:16">
      <c r="E24" s="8"/>
      <c r="F24" s="8"/>
      <c r="G24" s="8"/>
      <c r="H24" s="26"/>
      <c r="I24" s="26"/>
      <c r="J24" s="26"/>
      <c r="K24" s="26"/>
      <c r="L24" s="26"/>
      <c r="M24" s="26"/>
      <c r="N24" s="26"/>
      <c r="O24" s="26"/>
    </row>
    <row r="25" spans="1:16">
      <c r="E25" s="19" t="s">
        <v>89</v>
      </c>
      <c r="F25" s="19"/>
      <c r="G25" s="19"/>
      <c r="H25" s="20"/>
      <c r="I25" s="20">
        <f>I23+I18</f>
        <v>-114103906</v>
      </c>
      <c r="J25" s="20">
        <f>J23+J18</f>
        <v>25553365</v>
      </c>
      <c r="K25" s="20">
        <f>SUM(K18+K23)</f>
        <v>17223677</v>
      </c>
      <c r="L25" s="20">
        <f>SUM(L18+L23)</f>
        <v>7425278</v>
      </c>
      <c r="M25" s="91">
        <f>M23+M18</f>
        <v>-64013726</v>
      </c>
      <c r="N25" s="91">
        <f>N23+N18</f>
        <v>112140</v>
      </c>
      <c r="O25" s="91">
        <f>O23+O18</f>
        <v>-63901586</v>
      </c>
      <c r="P25" s="91">
        <f>P23+P18</f>
        <v>0</v>
      </c>
    </row>
    <row r="26" spans="1:16">
      <c r="E26" s="8"/>
      <c r="F26" s="8"/>
      <c r="G26" s="8"/>
      <c r="H26" s="26"/>
      <c r="I26" s="26"/>
      <c r="J26" s="26"/>
      <c r="K26" s="26"/>
      <c r="L26" s="26"/>
      <c r="M26" s="26"/>
      <c r="N26" s="26"/>
      <c r="O26" s="26"/>
    </row>
    <row r="27" spans="1:16">
      <c r="A27" s="10" t="s">
        <v>23</v>
      </c>
      <c r="H27" s="12"/>
      <c r="I27" s="12"/>
      <c r="J27" s="12"/>
      <c r="K27" s="12"/>
      <c r="L27" s="12"/>
      <c r="M27" s="12"/>
      <c r="N27" s="12"/>
      <c r="O27" s="12"/>
    </row>
    <row r="28" spans="1:16">
      <c r="B28" t="s">
        <v>92</v>
      </c>
      <c r="H28" s="12"/>
      <c r="I28" s="12">
        <v>-78836568</v>
      </c>
      <c r="J28" s="12">
        <v>6591546</v>
      </c>
      <c r="K28" s="12">
        <v>353647</v>
      </c>
      <c r="L28" s="12">
        <v>223434</v>
      </c>
      <c r="M28" s="12"/>
      <c r="N28" s="12"/>
      <c r="O28" s="12"/>
      <c r="P28" s="12">
        <f>SUM(I28:L28)</f>
        <v>-71667941</v>
      </c>
    </row>
    <row r="29" spans="1:16">
      <c r="H29" s="12"/>
      <c r="I29" s="12"/>
      <c r="J29" s="12"/>
      <c r="K29" s="12"/>
      <c r="L29" s="12"/>
      <c r="M29" s="12"/>
      <c r="N29" s="12"/>
      <c r="O29" s="12"/>
    </row>
    <row r="30" spans="1:16">
      <c r="E30" s="19" t="s">
        <v>92</v>
      </c>
      <c r="F30" s="19"/>
      <c r="G30" s="19"/>
      <c r="H30" s="20"/>
      <c r="I30" s="20">
        <f t="shared" ref="I30:P30" si="5">SUM(I28:I28)</f>
        <v>-78836568</v>
      </c>
      <c r="J30" s="20">
        <f t="shared" si="5"/>
        <v>6591546</v>
      </c>
      <c r="K30" s="20">
        <f t="shared" si="5"/>
        <v>353647</v>
      </c>
      <c r="L30" s="20">
        <f t="shared" si="5"/>
        <v>223434</v>
      </c>
      <c r="M30" s="91">
        <f t="shared" si="5"/>
        <v>0</v>
      </c>
      <c r="N30" s="91">
        <f t="shared" si="5"/>
        <v>0</v>
      </c>
      <c r="O30" s="91">
        <f t="shared" si="5"/>
        <v>0</v>
      </c>
      <c r="P30" s="94">
        <f t="shared" si="5"/>
        <v>-71667941</v>
      </c>
    </row>
    <row r="31" spans="1:16">
      <c r="H31" s="12"/>
      <c r="I31" s="12"/>
      <c r="J31" s="12"/>
      <c r="K31" s="12"/>
      <c r="L31" s="12"/>
      <c r="M31" s="12"/>
      <c r="N31" s="12"/>
      <c r="O31" s="12"/>
    </row>
    <row r="32" spans="1:16">
      <c r="A32" s="8"/>
      <c r="B32" s="8"/>
      <c r="C32" s="8"/>
      <c r="D32" s="8"/>
      <c r="E32" s="8"/>
      <c r="G32" s="8" t="s">
        <v>25</v>
      </c>
      <c r="H32" s="26"/>
      <c r="I32" s="26"/>
      <c r="J32" s="26"/>
      <c r="K32" s="26"/>
      <c r="L32" s="26"/>
      <c r="M32" s="12"/>
      <c r="N32" s="12"/>
      <c r="O32" s="12"/>
    </row>
    <row r="33" spans="8:16">
      <c r="H33" s="12"/>
      <c r="I33" s="12" t="s">
        <v>526</v>
      </c>
      <c r="J33" s="12"/>
      <c r="K33" s="12"/>
      <c r="L33" s="12"/>
      <c r="M33" s="28">
        <v>4335248</v>
      </c>
      <c r="N33" s="12"/>
      <c r="O33" s="12">
        <f t="shared" ref="O33:O53" si="6">SUM(M33:N33)</f>
        <v>4335248</v>
      </c>
      <c r="P33" s="12"/>
    </row>
    <row r="34" spans="8:16">
      <c r="H34" s="12"/>
      <c r="I34" s="12" t="s">
        <v>527</v>
      </c>
      <c r="J34" s="12"/>
      <c r="K34" s="12"/>
      <c r="L34" s="12"/>
      <c r="M34" s="28">
        <v>24226067</v>
      </c>
      <c r="N34" s="12"/>
      <c r="O34" s="12">
        <f t="shared" si="6"/>
        <v>24226067</v>
      </c>
      <c r="P34" s="12">
        <v>59328624</v>
      </c>
    </row>
    <row r="35" spans="8:16">
      <c r="H35" s="12"/>
      <c r="I35" s="12" t="s">
        <v>110</v>
      </c>
      <c r="J35" s="12"/>
      <c r="K35" s="12"/>
      <c r="L35" s="12"/>
      <c r="M35" s="14">
        <v>61868200</v>
      </c>
      <c r="N35" s="12"/>
      <c r="O35" s="12">
        <f t="shared" si="6"/>
        <v>61868200</v>
      </c>
      <c r="P35" s="12"/>
    </row>
    <row r="36" spans="8:16">
      <c r="H36" s="12"/>
      <c r="I36" s="12" t="s">
        <v>148</v>
      </c>
      <c r="J36" s="12"/>
      <c r="K36" s="12"/>
      <c r="L36" s="12"/>
      <c r="M36" s="14">
        <v>2095607</v>
      </c>
      <c r="N36" s="12"/>
      <c r="O36" s="12">
        <f t="shared" si="6"/>
        <v>2095607</v>
      </c>
      <c r="P36" s="12"/>
    </row>
    <row r="37" spans="8:16">
      <c r="H37" s="12"/>
      <c r="I37" s="12" t="s">
        <v>528</v>
      </c>
      <c r="J37" s="12"/>
      <c r="K37" s="12"/>
      <c r="L37" s="12"/>
      <c r="M37" s="14">
        <v>546352</v>
      </c>
      <c r="N37" s="12"/>
      <c r="O37" s="12">
        <f t="shared" si="6"/>
        <v>546352</v>
      </c>
      <c r="P37" s="12">
        <v>375131</v>
      </c>
    </row>
    <row r="38" spans="8:16">
      <c r="H38" s="12"/>
      <c r="I38" s="12" t="s">
        <v>529</v>
      </c>
      <c r="J38" s="12"/>
      <c r="K38" s="12"/>
      <c r="L38" s="12"/>
      <c r="M38" s="15">
        <v>65772</v>
      </c>
      <c r="N38" s="12"/>
      <c r="O38" s="12">
        <f t="shared" si="6"/>
        <v>65772</v>
      </c>
      <c r="P38" s="12"/>
    </row>
    <row r="39" spans="8:16">
      <c r="H39" s="12"/>
      <c r="I39" s="12" t="s">
        <v>530</v>
      </c>
      <c r="J39" s="12"/>
      <c r="K39" s="12"/>
      <c r="L39" s="12"/>
      <c r="M39" s="15">
        <v>12932</v>
      </c>
      <c r="N39" s="12"/>
      <c r="O39" s="12">
        <f t="shared" si="6"/>
        <v>12932</v>
      </c>
      <c r="P39" s="12"/>
    </row>
    <row r="40" spans="8:16">
      <c r="H40" s="12"/>
      <c r="I40" s="12" t="s">
        <v>489</v>
      </c>
      <c r="J40" s="12"/>
      <c r="K40" s="12"/>
      <c r="L40" s="12"/>
      <c r="M40" s="15">
        <v>58815</v>
      </c>
      <c r="N40" s="12"/>
      <c r="O40" s="12">
        <f t="shared" si="6"/>
        <v>58815</v>
      </c>
      <c r="P40" s="12"/>
    </row>
    <row r="41" spans="8:16">
      <c r="H41" s="12"/>
      <c r="I41" s="12" t="s">
        <v>531</v>
      </c>
      <c r="J41" s="12"/>
      <c r="K41" s="12"/>
      <c r="L41" s="12"/>
      <c r="M41" s="15">
        <v>10234</v>
      </c>
      <c r="N41" s="12"/>
      <c r="O41" s="12">
        <f t="shared" si="6"/>
        <v>10234</v>
      </c>
      <c r="P41" s="12"/>
    </row>
    <row r="42" spans="8:16">
      <c r="H42" s="12"/>
      <c r="I42" s="12" t="s">
        <v>532</v>
      </c>
      <c r="J42" s="12"/>
      <c r="K42" s="12"/>
      <c r="L42" s="12"/>
      <c r="M42" s="14">
        <v>199057</v>
      </c>
      <c r="N42" s="12"/>
      <c r="O42" s="12">
        <f t="shared" si="6"/>
        <v>199057</v>
      </c>
      <c r="P42" s="12"/>
    </row>
    <row r="43" spans="8:16">
      <c r="H43" s="12"/>
      <c r="I43" s="12" t="s">
        <v>533</v>
      </c>
      <c r="J43" s="12"/>
      <c r="K43" s="12"/>
      <c r="L43" s="12"/>
      <c r="M43" s="12"/>
      <c r="N43" s="12"/>
      <c r="O43" s="12"/>
      <c r="P43" s="12"/>
    </row>
    <row r="44" spans="8:16">
      <c r="H44" s="12"/>
      <c r="I44" s="12" t="s">
        <v>534</v>
      </c>
      <c r="J44" s="12"/>
      <c r="K44" s="12"/>
      <c r="L44" s="12"/>
      <c r="M44" s="12"/>
      <c r="N44" s="12"/>
      <c r="O44" s="12">
        <f t="shared" si="6"/>
        <v>0</v>
      </c>
      <c r="P44" s="12">
        <v>911746</v>
      </c>
    </row>
    <row r="45" spans="8:16">
      <c r="H45" s="12"/>
      <c r="I45" s="12" t="s">
        <v>473</v>
      </c>
      <c r="J45" s="12"/>
      <c r="K45" s="12"/>
      <c r="L45" s="12"/>
      <c r="M45" s="105">
        <v>280397</v>
      </c>
      <c r="N45" s="12"/>
      <c r="O45" s="12">
        <f t="shared" si="6"/>
        <v>280397</v>
      </c>
      <c r="P45" s="12">
        <v>1369732</v>
      </c>
    </row>
    <row r="46" spans="8:16">
      <c r="H46" s="12"/>
      <c r="I46" s="12" t="s">
        <v>535</v>
      </c>
      <c r="J46" s="12"/>
      <c r="K46" s="12"/>
      <c r="L46" s="12"/>
      <c r="M46" s="29">
        <v>30493</v>
      </c>
      <c r="N46" s="12"/>
      <c r="O46" s="12">
        <f t="shared" si="6"/>
        <v>30493</v>
      </c>
      <c r="P46" s="12"/>
    </row>
    <row r="47" spans="8:16">
      <c r="H47" s="12"/>
      <c r="I47" s="12" t="s">
        <v>77</v>
      </c>
      <c r="J47" s="12"/>
      <c r="K47" s="12"/>
      <c r="L47" s="12"/>
      <c r="M47" s="29">
        <v>-1178328</v>
      </c>
      <c r="N47" s="12">
        <v>-58711</v>
      </c>
      <c r="O47" s="12">
        <f t="shared" si="6"/>
        <v>-1237039</v>
      </c>
      <c r="P47" s="12">
        <v>208689</v>
      </c>
    </row>
    <row r="48" spans="8:16">
      <c r="H48" s="12"/>
      <c r="I48" s="12" t="s">
        <v>536</v>
      </c>
      <c r="J48" s="12"/>
      <c r="K48" s="12"/>
      <c r="L48" s="12"/>
      <c r="M48" s="29">
        <v>11400</v>
      </c>
      <c r="N48" s="12"/>
      <c r="O48" s="12">
        <f>SUM(M48:N48)</f>
        <v>11400</v>
      </c>
      <c r="P48" s="12"/>
    </row>
    <row r="49" spans="5:16">
      <c r="H49" s="12"/>
      <c r="I49" s="12" t="s">
        <v>537</v>
      </c>
      <c r="J49" s="12"/>
      <c r="K49" s="12"/>
      <c r="L49" s="12"/>
      <c r="M49" s="29">
        <v>50000</v>
      </c>
      <c r="N49" s="12"/>
      <c r="O49" s="12">
        <f t="shared" si="6"/>
        <v>50000</v>
      </c>
      <c r="P49" s="12"/>
    </row>
    <row r="50" spans="5:16">
      <c r="H50" s="12"/>
      <c r="I50" s="12" t="s">
        <v>33</v>
      </c>
      <c r="J50" s="12"/>
      <c r="K50" s="12"/>
      <c r="L50" s="12"/>
      <c r="M50" s="12"/>
      <c r="N50" s="12"/>
      <c r="O50" s="12">
        <f t="shared" si="6"/>
        <v>0</v>
      </c>
      <c r="P50" s="12">
        <v>9675914</v>
      </c>
    </row>
    <row r="51" spans="5:16">
      <c r="H51" s="12"/>
      <c r="I51" s="12" t="s">
        <v>306</v>
      </c>
      <c r="J51" s="12"/>
      <c r="K51" s="12"/>
      <c r="L51" s="12"/>
      <c r="M51" s="12"/>
      <c r="N51" s="12"/>
      <c r="O51" s="12">
        <f t="shared" si="6"/>
        <v>0</v>
      </c>
      <c r="P51" s="12">
        <v>997660</v>
      </c>
    </row>
    <row r="52" spans="5:16">
      <c r="H52" s="12" t="s">
        <v>538</v>
      </c>
      <c r="I52" s="12"/>
      <c r="J52" s="12"/>
      <c r="K52" s="12"/>
      <c r="L52" s="12"/>
      <c r="M52" s="29">
        <v>14454779</v>
      </c>
      <c r="N52" s="12"/>
      <c r="O52" s="12">
        <f t="shared" si="6"/>
        <v>14454779</v>
      </c>
      <c r="P52" s="12"/>
    </row>
    <row r="53" spans="5:16">
      <c r="H53" s="12" t="s">
        <v>37</v>
      </c>
      <c r="I53" s="12"/>
      <c r="J53" s="12"/>
      <c r="K53" s="12"/>
      <c r="L53" s="12"/>
      <c r="M53" s="97">
        <v>327811</v>
      </c>
      <c r="N53" s="12">
        <v>-327811</v>
      </c>
      <c r="O53" s="12">
        <f t="shared" si="6"/>
        <v>0</v>
      </c>
      <c r="P53" s="9"/>
    </row>
    <row r="54" spans="5:16">
      <c r="H54" s="12"/>
      <c r="I54" s="12"/>
      <c r="J54" s="12"/>
      <c r="K54" s="12"/>
      <c r="L54" s="12"/>
      <c r="M54" s="12"/>
      <c r="N54" s="12"/>
      <c r="O54" s="12"/>
    </row>
    <row r="55" spans="5:16">
      <c r="H55" s="20" t="s">
        <v>66</v>
      </c>
      <c r="I55" s="20"/>
      <c r="J55" s="20"/>
      <c r="K55" s="20"/>
      <c r="L55" s="20"/>
      <c r="M55" s="20">
        <f>SUM(M33:M53)</f>
        <v>107394836</v>
      </c>
      <c r="N55" s="20">
        <f>SUM(N33:N53)</f>
        <v>-386522</v>
      </c>
      <c r="O55" s="20">
        <f>SUM(O33:O53)</f>
        <v>107008314</v>
      </c>
      <c r="P55" s="94">
        <f>SUM(P33:P53)</f>
        <v>72867496</v>
      </c>
    </row>
    <row r="56" spans="5:16">
      <c r="H56" s="12"/>
      <c r="I56" s="12"/>
      <c r="J56" s="12"/>
      <c r="K56" s="12"/>
      <c r="L56" s="12"/>
      <c r="M56" s="12"/>
      <c r="N56" s="12"/>
      <c r="O56" s="12"/>
    </row>
    <row r="57" spans="5:16">
      <c r="H57" s="20" t="s">
        <v>39</v>
      </c>
      <c r="I57" s="20"/>
      <c r="J57" s="20"/>
      <c r="K57" s="20"/>
      <c r="L57" s="20"/>
      <c r="M57" s="20">
        <f>M55+M18</f>
        <v>43381110</v>
      </c>
      <c r="N57" s="20">
        <f>N55+N25</f>
        <v>-274382</v>
      </c>
      <c r="O57" s="20">
        <f>O55+O25</f>
        <v>43106728</v>
      </c>
      <c r="P57" s="91">
        <f>P55+P30</f>
        <v>1199555</v>
      </c>
    </row>
    <row r="58" spans="5:16">
      <c r="H58" s="26"/>
      <c r="I58" s="26"/>
      <c r="J58" s="26"/>
      <c r="K58" s="26"/>
      <c r="L58" s="26"/>
      <c r="M58" s="26"/>
      <c r="N58" s="26"/>
      <c r="O58" s="26"/>
    </row>
    <row r="59" spans="5:16">
      <c r="E59" s="31" t="s">
        <v>539</v>
      </c>
      <c r="F59" s="31"/>
      <c r="G59" s="31"/>
      <c r="H59" s="32"/>
      <c r="I59" s="32"/>
      <c r="J59" s="32"/>
      <c r="K59" s="32"/>
      <c r="L59" s="32"/>
      <c r="M59" s="33">
        <v>473392330</v>
      </c>
      <c r="N59" s="33">
        <v>11837156</v>
      </c>
      <c r="O59" s="33">
        <f>SUM(M59:N59)</f>
        <v>485229486</v>
      </c>
      <c r="P59" s="95">
        <v>172916179</v>
      </c>
    </row>
    <row r="60" spans="5:16">
      <c r="H60" s="12"/>
      <c r="I60" s="12"/>
      <c r="J60" s="12"/>
      <c r="K60" s="12"/>
      <c r="L60" s="12"/>
      <c r="M60" s="12"/>
      <c r="N60" s="12"/>
      <c r="O60" s="12"/>
    </row>
    <row r="61" spans="5:16">
      <c r="E61" s="34" t="s">
        <v>540</v>
      </c>
      <c r="F61" s="34"/>
      <c r="G61" s="34"/>
      <c r="H61" s="35"/>
      <c r="I61" s="35"/>
      <c r="J61" s="35"/>
      <c r="K61" s="35"/>
      <c r="L61" s="35"/>
      <c r="M61" s="92">
        <f>SUM(M57,M59)</f>
        <v>516773440</v>
      </c>
      <c r="N61" s="92">
        <f>N59+N57</f>
        <v>11562774</v>
      </c>
      <c r="O61" s="92">
        <f>O59+O57</f>
        <v>528336214</v>
      </c>
      <c r="P61" s="96">
        <f>P59+P57</f>
        <v>174115734</v>
      </c>
    </row>
    <row r="68" spans="11:15">
      <c r="K68" s="9"/>
      <c r="L68" s="9"/>
      <c r="M68" s="9"/>
      <c r="N68" s="9"/>
      <c r="O68" s="9"/>
    </row>
  </sheetData>
  <mergeCells count="5">
    <mergeCell ref="J1:M1"/>
    <mergeCell ref="J2:M2"/>
    <mergeCell ref="M4:P4"/>
    <mergeCell ref="J5:L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N51"/>
  <sheetViews>
    <sheetView zoomScale="90" zoomScaleNormal="90" zoomScalePageLayoutView="90" workbookViewId="0">
      <selection activeCell="M43" sqref="M43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1" width="17.42578125" customWidth="1"/>
    <col min="12" max="12" width="17.7109375" customWidth="1"/>
    <col min="13" max="13" width="19.7109375" customWidth="1"/>
    <col min="14" max="14" width="18.42578125" customWidth="1"/>
  </cols>
  <sheetData>
    <row r="1" spans="1:14" ht="30" customHeight="1">
      <c r="J1" s="258" t="s">
        <v>541</v>
      </c>
      <c r="K1" s="258"/>
      <c r="L1" s="258"/>
      <c r="M1" s="258"/>
      <c r="N1" s="170"/>
    </row>
    <row r="2" spans="1:14" ht="21.75" customHeight="1">
      <c r="J2" s="259" t="s">
        <v>1</v>
      </c>
      <c r="K2" s="259"/>
      <c r="L2" s="259"/>
      <c r="M2" s="259"/>
      <c r="N2" s="171"/>
    </row>
    <row r="3" spans="1:14" ht="18.75" customHeight="1">
      <c r="E3" s="3"/>
      <c r="F3" s="3"/>
      <c r="G3" s="3"/>
      <c r="H3" s="3"/>
      <c r="I3" s="3"/>
      <c r="J3" s="3"/>
      <c r="K3" s="3"/>
      <c r="L3" s="3"/>
    </row>
    <row r="4" spans="1:14" ht="27" customHeight="1">
      <c r="A4" t="s">
        <v>3</v>
      </c>
      <c r="C4" s="4"/>
      <c r="D4" s="4"/>
      <c r="E4" s="4"/>
      <c r="F4" s="4"/>
      <c r="G4" s="4"/>
      <c r="H4" s="4"/>
      <c r="I4" s="4"/>
      <c r="J4" s="260" t="s">
        <v>4</v>
      </c>
      <c r="K4" s="260"/>
      <c r="L4" s="260"/>
      <c r="M4" s="260" t="s">
        <v>542</v>
      </c>
      <c r="N4" s="260"/>
    </row>
    <row r="5" spans="1:14" ht="44.25" customHeight="1">
      <c r="A5" s="5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48</v>
      </c>
      <c r="N5" s="6" t="s">
        <v>12</v>
      </c>
    </row>
    <row r="6" spans="1:14" ht="30.75" customHeight="1">
      <c r="A6" s="8" t="s">
        <v>13</v>
      </c>
      <c r="I6" s="9"/>
      <c r="J6" s="9"/>
      <c r="K6" s="9"/>
      <c r="L6" s="9"/>
    </row>
    <row r="7" spans="1:14">
      <c r="B7" s="10" t="s">
        <v>14</v>
      </c>
      <c r="I7" s="9"/>
      <c r="J7" s="9"/>
      <c r="K7" s="9"/>
      <c r="L7" s="9"/>
      <c r="M7" s="9"/>
      <c r="N7" s="9"/>
    </row>
    <row r="8" spans="1:14">
      <c r="C8" t="s">
        <v>15</v>
      </c>
      <c r="H8" s="12"/>
      <c r="I8" s="11">
        <v>-6711679</v>
      </c>
      <c r="J8" s="12">
        <v>3153820</v>
      </c>
      <c r="K8" s="12">
        <v>388019</v>
      </c>
      <c r="L8" s="12">
        <v>159652</v>
      </c>
      <c r="M8" s="12">
        <f t="shared" ref="M8:M13" si="0">SUM(I8:L8)</f>
        <v>-3010188</v>
      </c>
      <c r="N8" s="12"/>
    </row>
    <row r="9" spans="1:14">
      <c r="C9" t="s">
        <v>20</v>
      </c>
      <c r="H9" s="12"/>
      <c r="I9" s="16">
        <v>-4269662</v>
      </c>
      <c r="J9" s="12">
        <v>134393</v>
      </c>
      <c r="K9" s="12">
        <v>56436</v>
      </c>
      <c r="L9" s="12"/>
      <c r="M9" s="12">
        <f>SUM(I9:L9)</f>
        <v>-4078833</v>
      </c>
      <c r="N9" s="12"/>
    </row>
    <row r="10" spans="1:14">
      <c r="C10" t="s">
        <v>16</v>
      </c>
      <c r="H10" s="12"/>
      <c r="I10" s="13">
        <v>-3515241</v>
      </c>
      <c r="J10" s="12">
        <v>944615</v>
      </c>
      <c r="K10" s="12"/>
      <c r="L10" s="12">
        <v>4497065</v>
      </c>
      <c r="M10" s="12">
        <f t="shared" ref="M10" si="1">SUM(I10:L10)</f>
        <v>1926439</v>
      </c>
      <c r="N10" s="12"/>
    </row>
    <row r="11" spans="1:14">
      <c r="C11" t="s">
        <v>17</v>
      </c>
      <c r="H11" s="12"/>
      <c r="I11" s="14">
        <v>-23111916</v>
      </c>
      <c r="J11" s="12">
        <v>3653212</v>
      </c>
      <c r="K11" s="12">
        <v>1194449</v>
      </c>
      <c r="L11" s="12">
        <v>3643373</v>
      </c>
      <c r="M11" s="12">
        <f>SUM(I11:L11)</f>
        <v>-14620882</v>
      </c>
      <c r="N11" s="12"/>
    </row>
    <row r="12" spans="1:14">
      <c r="C12" t="s">
        <v>19</v>
      </c>
      <c r="H12" s="12"/>
      <c r="I12" s="15">
        <v>-295220</v>
      </c>
      <c r="J12" s="12">
        <v>216401</v>
      </c>
      <c r="K12" s="12">
        <v>2507043</v>
      </c>
      <c r="L12" s="12"/>
      <c r="M12" s="12">
        <f t="shared" si="0"/>
        <v>2428224</v>
      </c>
      <c r="N12" s="12"/>
    </row>
    <row r="13" spans="1:14">
      <c r="C13" t="s">
        <v>21</v>
      </c>
      <c r="H13" s="12"/>
      <c r="I13" s="98">
        <v>-58171</v>
      </c>
      <c r="J13" s="12"/>
      <c r="K13" s="12"/>
      <c r="L13" s="12"/>
      <c r="M13" s="12">
        <f t="shared" si="0"/>
        <v>-58171</v>
      </c>
      <c r="N13" s="12"/>
    </row>
    <row r="14" spans="1:14">
      <c r="H14" s="12"/>
      <c r="I14" s="12"/>
      <c r="J14" s="12"/>
      <c r="K14" s="12"/>
      <c r="L14" s="12"/>
      <c r="M14" s="12"/>
      <c r="N14" s="12"/>
    </row>
    <row r="15" spans="1:14">
      <c r="E15" s="19" t="s">
        <v>22</v>
      </c>
      <c r="F15" s="19"/>
      <c r="G15" s="19"/>
      <c r="H15" s="20"/>
      <c r="I15" s="20">
        <f>SUM(I8:I13)</f>
        <v>-37961889</v>
      </c>
      <c r="J15" s="20">
        <f>SUM(J8:J13)</f>
        <v>8102441</v>
      </c>
      <c r="K15" s="20">
        <f>SUM(K8:K13)</f>
        <v>4145947</v>
      </c>
      <c r="L15" s="20">
        <f>SUM(L8:L13)</f>
        <v>8300090</v>
      </c>
      <c r="M15" s="91">
        <f>SUM(M8:M13)</f>
        <v>-17413411</v>
      </c>
      <c r="N15" s="91"/>
    </row>
    <row r="16" spans="1:14">
      <c r="E16" s="8"/>
      <c r="F16" s="8"/>
      <c r="G16" s="8"/>
      <c r="H16" s="26"/>
      <c r="I16" s="26"/>
      <c r="J16" s="26"/>
      <c r="K16" s="26"/>
      <c r="L16" s="26"/>
      <c r="M16" s="26"/>
      <c r="N16" s="26"/>
    </row>
    <row r="17" spans="1:14">
      <c r="B17" s="10" t="s">
        <v>543</v>
      </c>
      <c r="E17" s="8"/>
      <c r="F17" s="8"/>
      <c r="G17" s="8"/>
      <c r="H17" s="26"/>
      <c r="I17" s="26"/>
      <c r="J17" s="26"/>
      <c r="K17" s="26"/>
      <c r="L17" s="26"/>
      <c r="M17" s="26"/>
      <c r="N17" s="26"/>
    </row>
    <row r="18" spans="1:14">
      <c r="C18" t="s">
        <v>157</v>
      </c>
      <c r="E18" s="8"/>
      <c r="F18" s="8"/>
      <c r="G18" s="8"/>
      <c r="H18" s="26"/>
      <c r="I18" s="117">
        <v>-5461956</v>
      </c>
      <c r="J18" s="117">
        <v>242696</v>
      </c>
      <c r="K18" s="117">
        <v>285697</v>
      </c>
      <c r="L18" s="117"/>
      <c r="M18" s="117"/>
      <c r="N18" s="117">
        <f>SUM(I18:L18)</f>
        <v>-4933563</v>
      </c>
    </row>
    <row r="19" spans="1:14">
      <c r="E19" s="8"/>
      <c r="F19" s="8"/>
      <c r="G19" s="8"/>
      <c r="H19" s="26"/>
      <c r="I19" s="26"/>
      <c r="J19" s="26"/>
      <c r="K19" s="26"/>
      <c r="L19" s="26"/>
      <c r="M19" s="26"/>
      <c r="N19" s="26"/>
    </row>
    <row r="20" spans="1:14">
      <c r="E20" s="19" t="s">
        <v>92</v>
      </c>
      <c r="F20" s="19"/>
      <c r="G20" s="19"/>
      <c r="H20" s="20"/>
      <c r="I20" s="20">
        <f>I18</f>
        <v>-5461956</v>
      </c>
      <c r="J20" s="20">
        <f t="shared" ref="J20:L20" si="2">J18</f>
        <v>242696</v>
      </c>
      <c r="K20" s="20">
        <f t="shared" si="2"/>
        <v>285697</v>
      </c>
      <c r="L20" s="20">
        <f t="shared" si="2"/>
        <v>0</v>
      </c>
      <c r="M20" s="91">
        <v>0</v>
      </c>
      <c r="N20" s="91">
        <f>SUM(N18:N18)</f>
        <v>-4933563</v>
      </c>
    </row>
    <row r="21" spans="1:14">
      <c r="E21" s="8"/>
      <c r="F21" s="8"/>
      <c r="G21" s="8"/>
      <c r="H21" s="26"/>
      <c r="I21" s="26"/>
      <c r="J21" s="26"/>
      <c r="K21" s="26"/>
      <c r="L21" s="26"/>
      <c r="M21" s="26"/>
      <c r="N21" s="26"/>
    </row>
    <row r="22" spans="1:14">
      <c r="A22" s="8"/>
      <c r="B22" s="8"/>
      <c r="C22" s="8"/>
      <c r="D22" s="8"/>
      <c r="E22" s="8"/>
      <c r="G22" s="8" t="s">
        <v>25</v>
      </c>
      <c r="H22" s="26"/>
      <c r="I22" s="26"/>
      <c r="J22" s="26"/>
      <c r="K22" s="26"/>
      <c r="L22" s="26"/>
      <c r="M22" s="12"/>
      <c r="N22" s="12"/>
    </row>
    <row r="23" spans="1:14">
      <c r="A23" s="8"/>
      <c r="B23" s="8"/>
      <c r="C23" s="8"/>
      <c r="D23" s="8"/>
      <c r="E23" s="8"/>
      <c r="G23" s="8"/>
      <c r="H23" s="88" t="s">
        <v>26</v>
      </c>
      <c r="I23" s="26"/>
      <c r="J23" s="26"/>
      <c r="K23" s="26"/>
      <c r="L23" s="26"/>
      <c r="M23" s="12"/>
      <c r="N23" s="12"/>
    </row>
    <row r="24" spans="1:14">
      <c r="A24" s="8"/>
      <c r="B24" s="8"/>
      <c r="C24" s="8"/>
      <c r="D24" s="8"/>
      <c r="E24" s="8"/>
      <c r="G24" s="8"/>
      <c r="H24" s="88"/>
      <c r="I24" s="88" t="s">
        <v>128</v>
      </c>
      <c r="J24" s="26"/>
      <c r="K24" s="26"/>
      <c r="L24" s="26"/>
      <c r="M24" s="14">
        <v>17671536</v>
      </c>
      <c r="N24" s="12"/>
    </row>
    <row r="25" spans="1:14">
      <c r="A25" s="8"/>
      <c r="B25" s="8"/>
      <c r="C25" s="8"/>
      <c r="D25" s="8"/>
      <c r="E25" s="8"/>
      <c r="G25" s="8"/>
      <c r="H25" s="88"/>
      <c r="I25" s="88" t="s">
        <v>126</v>
      </c>
      <c r="J25" s="26"/>
      <c r="K25" s="26"/>
      <c r="L25" s="26"/>
      <c r="M25" s="28">
        <v>6313647</v>
      </c>
      <c r="N25" s="12">
        <v>4732967</v>
      </c>
    </row>
    <row r="26" spans="1:14">
      <c r="H26" s="12"/>
      <c r="I26" s="12" t="s">
        <v>148</v>
      </c>
      <c r="J26" s="12"/>
      <c r="K26" s="12"/>
      <c r="L26" s="12"/>
      <c r="M26" s="128">
        <v>626483</v>
      </c>
      <c r="N26" s="12"/>
    </row>
    <row r="27" spans="1:14">
      <c r="H27" s="12"/>
      <c r="I27" s="12" t="s">
        <v>127</v>
      </c>
      <c r="J27" s="12"/>
      <c r="K27" s="12"/>
      <c r="L27" s="12"/>
      <c r="M27" s="127">
        <v>214153</v>
      </c>
      <c r="N27" s="12"/>
    </row>
    <row r="28" spans="1:14">
      <c r="H28" s="12"/>
      <c r="I28" s="12" t="s">
        <v>277</v>
      </c>
      <c r="J28" s="12"/>
      <c r="K28" s="12"/>
      <c r="L28" s="12"/>
      <c r="M28" s="127">
        <v>39173</v>
      </c>
      <c r="N28" s="12"/>
    </row>
    <row r="29" spans="1:14">
      <c r="H29" s="12" t="s">
        <v>272</v>
      </c>
      <c r="I29" s="12"/>
      <c r="J29" s="12"/>
      <c r="K29" s="12"/>
      <c r="L29" s="12"/>
      <c r="M29" s="29">
        <v>701002</v>
      </c>
      <c r="N29" s="12"/>
    </row>
    <row r="30" spans="1:14">
      <c r="H30" s="12" t="s">
        <v>75</v>
      </c>
      <c r="I30" s="12"/>
      <c r="J30" s="12"/>
      <c r="K30" s="12"/>
      <c r="L30" s="12"/>
      <c r="M30" s="105">
        <v>482207</v>
      </c>
      <c r="N30" s="12">
        <v>463904</v>
      </c>
    </row>
    <row r="31" spans="1:14">
      <c r="H31" s="12" t="s">
        <v>544</v>
      </c>
      <c r="I31" s="12"/>
      <c r="J31" s="12"/>
      <c r="K31" s="12"/>
      <c r="L31" s="12"/>
      <c r="M31" s="12"/>
      <c r="N31" s="12">
        <v>315915</v>
      </c>
    </row>
    <row r="32" spans="1:14">
      <c r="H32" s="12" t="s">
        <v>545</v>
      </c>
      <c r="I32" s="12"/>
      <c r="J32" s="12"/>
      <c r="K32" s="12"/>
      <c r="L32" s="12"/>
      <c r="M32" s="29">
        <v>13043</v>
      </c>
      <c r="N32" s="12"/>
    </row>
    <row r="33" spans="5:14">
      <c r="H33" s="12" t="s">
        <v>36</v>
      </c>
      <c r="I33" s="12"/>
      <c r="J33" s="12"/>
      <c r="K33" s="12"/>
      <c r="L33" s="12"/>
      <c r="M33" s="29">
        <v>340303</v>
      </c>
      <c r="N33" s="12">
        <v>155315</v>
      </c>
    </row>
    <row r="34" spans="5:14">
      <c r="H34" s="12" t="s">
        <v>77</v>
      </c>
      <c r="I34" s="12"/>
      <c r="J34" s="12"/>
      <c r="K34" s="12"/>
      <c r="L34" s="12"/>
      <c r="M34" s="29">
        <v>85505</v>
      </c>
      <c r="N34" s="12">
        <v>48312</v>
      </c>
    </row>
    <row r="35" spans="5:14">
      <c r="H35" s="12" t="s">
        <v>546</v>
      </c>
      <c r="I35" s="12"/>
      <c r="J35" s="12"/>
      <c r="K35" s="12"/>
      <c r="L35" s="12"/>
      <c r="M35" s="29">
        <v>17720</v>
      </c>
      <c r="N35" s="12"/>
    </row>
    <row r="36" spans="5:14">
      <c r="H36" s="12" t="s">
        <v>547</v>
      </c>
      <c r="I36" s="12"/>
      <c r="J36" s="12"/>
      <c r="K36" s="12"/>
      <c r="L36" s="12"/>
      <c r="M36" s="97">
        <v>1502622</v>
      </c>
      <c r="N36" s="12"/>
    </row>
    <row r="37" spans="5:14">
      <c r="H37" s="12"/>
      <c r="I37" s="12"/>
      <c r="J37" s="12"/>
      <c r="K37" s="12"/>
      <c r="L37" s="12"/>
      <c r="M37" s="12"/>
      <c r="N37" s="12"/>
    </row>
    <row r="38" spans="5:14">
      <c r="H38" s="20" t="s">
        <v>548</v>
      </c>
      <c r="I38" s="20"/>
      <c r="J38" s="20"/>
      <c r="K38" s="20"/>
      <c r="L38" s="20"/>
      <c r="M38" s="20">
        <f>SUM(M22:M36)</f>
        <v>28007394</v>
      </c>
      <c r="N38" s="20">
        <f>SUM(N22:N36)</f>
        <v>5716413</v>
      </c>
    </row>
    <row r="39" spans="5:14">
      <c r="H39" s="26"/>
      <c r="I39" s="26"/>
      <c r="J39" s="26"/>
      <c r="K39" s="26"/>
      <c r="L39" s="26"/>
      <c r="M39" s="26"/>
      <c r="N39" s="26"/>
    </row>
    <row r="40" spans="5:14">
      <c r="H40" s="20" t="s">
        <v>504</v>
      </c>
      <c r="I40" s="20"/>
      <c r="J40" s="20"/>
      <c r="K40" s="20"/>
      <c r="L40" s="20"/>
      <c r="M40" s="20">
        <f>M38+M15</f>
        <v>10593983</v>
      </c>
      <c r="N40" s="20">
        <f>N38+N20</f>
        <v>782850</v>
      </c>
    </row>
    <row r="41" spans="5:14">
      <c r="H41" s="26"/>
      <c r="I41" s="26"/>
      <c r="J41" s="26"/>
      <c r="K41" s="26"/>
      <c r="L41" s="26"/>
      <c r="M41" s="26"/>
      <c r="N41" s="26"/>
    </row>
    <row r="42" spans="5:14">
      <c r="E42" s="31" t="s">
        <v>549</v>
      </c>
      <c r="F42" s="31"/>
      <c r="G42" s="31"/>
      <c r="H42" s="32"/>
      <c r="I42" s="32"/>
      <c r="J42" s="32"/>
      <c r="K42" s="32"/>
      <c r="L42" s="32"/>
      <c r="M42" s="33">
        <v>180535135</v>
      </c>
      <c r="N42" s="33">
        <v>18239099</v>
      </c>
    </row>
    <row r="43" spans="5:14">
      <c r="E43" s="8"/>
      <c r="F43" s="8"/>
      <c r="G43" s="8"/>
      <c r="H43" s="26"/>
      <c r="I43" s="26"/>
      <c r="J43" s="26"/>
      <c r="K43" s="26"/>
      <c r="L43" s="26"/>
      <c r="M43" s="118"/>
      <c r="N43" s="118"/>
    </row>
    <row r="44" spans="5:14">
      <c r="E44" s="34" t="s">
        <v>44</v>
      </c>
      <c r="F44" s="34"/>
      <c r="G44" s="34"/>
      <c r="H44" s="35"/>
      <c r="I44" s="35"/>
      <c r="J44" s="35"/>
      <c r="K44" s="35"/>
      <c r="L44" s="35"/>
      <c r="M44" s="92">
        <f>M42+M40</f>
        <v>191129118</v>
      </c>
      <c r="N44" s="92">
        <f t="shared" ref="N44" si="3">N42+N40</f>
        <v>19021949</v>
      </c>
    </row>
    <row r="51" spans="11:14">
      <c r="K51" s="9"/>
      <c r="L51" s="9"/>
      <c r="M51" s="9"/>
      <c r="N51" s="9"/>
    </row>
  </sheetData>
  <mergeCells count="4">
    <mergeCell ref="J1:M1"/>
    <mergeCell ref="J2:M2"/>
    <mergeCell ref="J4:L4"/>
    <mergeCell ref="M4:N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49"/>
  <sheetViews>
    <sheetView topLeftCell="A5" workbookViewId="0">
      <selection activeCell="M41" sqref="M41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3" width="19.28515625" customWidth="1"/>
  </cols>
  <sheetData>
    <row r="1" spans="1:13" ht="27.75" customHeight="1">
      <c r="J1" s="258" t="s">
        <v>550</v>
      </c>
      <c r="K1" s="258"/>
      <c r="L1" s="258"/>
      <c r="M1" s="258"/>
    </row>
    <row r="2" spans="1:13" ht="18">
      <c r="J2" s="259" t="s">
        <v>1</v>
      </c>
      <c r="K2" s="259"/>
      <c r="L2" s="259"/>
      <c r="M2" s="259"/>
    </row>
    <row r="3" spans="1:13" ht="15.75">
      <c r="E3" s="3"/>
      <c r="F3" s="3"/>
      <c r="G3" s="3"/>
      <c r="H3" s="3"/>
      <c r="I3" s="3"/>
      <c r="J3" s="3"/>
      <c r="K3" s="3"/>
      <c r="L3" s="3"/>
      <c r="M3" s="3"/>
    </row>
    <row r="4" spans="1:13" ht="15.75" customHeight="1">
      <c r="E4" s="2"/>
    </row>
    <row r="5" spans="1:13" ht="45.7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172" t="s">
        <v>97</v>
      </c>
    </row>
    <row r="6" spans="1:13" ht="30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7" t="s">
        <v>48</v>
      </c>
    </row>
    <row r="7" spans="1:13">
      <c r="A7" s="8" t="s">
        <v>376</v>
      </c>
      <c r="I7" s="9"/>
      <c r="J7" s="9"/>
      <c r="K7" s="9"/>
      <c r="L7" s="9"/>
      <c r="M7" s="9"/>
    </row>
    <row r="8" spans="1:13">
      <c r="C8" t="s">
        <v>15</v>
      </c>
      <c r="H8" s="12"/>
      <c r="I8" s="12"/>
      <c r="J8" s="12"/>
      <c r="K8" s="12"/>
      <c r="L8" s="12"/>
      <c r="M8" s="12"/>
    </row>
    <row r="9" spans="1:13">
      <c r="D9" t="s">
        <v>99</v>
      </c>
      <c r="I9" s="97">
        <v>-175453</v>
      </c>
      <c r="J9" s="12"/>
      <c r="K9" s="12"/>
      <c r="L9" s="12"/>
      <c r="M9" s="12">
        <f t="shared" ref="M9:M19" si="0">SUM(I9:L9)</f>
        <v>-175453</v>
      </c>
    </row>
    <row r="10" spans="1:13">
      <c r="D10" t="s">
        <v>100</v>
      </c>
      <c r="I10" s="98">
        <v>-383006</v>
      </c>
      <c r="J10" s="12"/>
      <c r="K10" s="12"/>
      <c r="L10" s="12"/>
      <c r="M10" s="12">
        <f t="shared" si="0"/>
        <v>-383006</v>
      </c>
    </row>
    <row r="11" spans="1:13">
      <c r="D11" t="s">
        <v>102</v>
      </c>
      <c r="I11" s="101">
        <v>-31365</v>
      </c>
      <c r="J11" s="12"/>
      <c r="K11" s="12"/>
      <c r="L11" s="12"/>
      <c r="M11" s="12">
        <f t="shared" si="0"/>
        <v>-31365</v>
      </c>
    </row>
    <row r="12" spans="1:13">
      <c r="D12" t="s">
        <v>143</v>
      </c>
      <c r="I12" s="110">
        <v>-458456</v>
      </c>
      <c r="J12" s="12"/>
      <c r="K12" s="12"/>
      <c r="L12" s="12"/>
      <c r="M12" s="12">
        <f t="shared" si="0"/>
        <v>-458456</v>
      </c>
    </row>
    <row r="13" spans="1:13">
      <c r="D13" t="s">
        <v>551</v>
      </c>
      <c r="I13" s="108">
        <v>-522991</v>
      </c>
      <c r="J13" s="12"/>
      <c r="K13" s="12"/>
      <c r="L13" s="12"/>
      <c r="M13" s="12">
        <f t="shared" si="0"/>
        <v>-522991</v>
      </c>
    </row>
    <row r="14" spans="1:13">
      <c r="C14" t="s">
        <v>16</v>
      </c>
      <c r="H14" s="12"/>
      <c r="I14" s="13">
        <v>-377338</v>
      </c>
      <c r="J14" s="12">
        <v>227193</v>
      </c>
      <c r="K14" s="12"/>
      <c r="L14" s="12">
        <v>673141</v>
      </c>
      <c r="M14" s="12">
        <f t="shared" si="0"/>
        <v>522996</v>
      </c>
    </row>
    <row r="15" spans="1:13">
      <c r="C15" t="s">
        <v>17</v>
      </c>
      <c r="H15" s="12"/>
      <c r="I15" s="14">
        <v>-1586730</v>
      </c>
      <c r="J15" s="12">
        <v>104725</v>
      </c>
      <c r="K15" s="12"/>
      <c r="L15" s="12"/>
      <c r="M15" s="12">
        <f t="shared" si="0"/>
        <v>-1482005</v>
      </c>
    </row>
    <row r="16" spans="1:13">
      <c r="C16" t="s">
        <v>19</v>
      </c>
      <c r="H16" s="12"/>
      <c r="I16" s="15">
        <v>-571876</v>
      </c>
      <c r="J16" s="12"/>
      <c r="K16" s="12">
        <v>20000</v>
      </c>
      <c r="L16" s="12"/>
      <c r="M16" s="12">
        <f t="shared" si="0"/>
        <v>-551876</v>
      </c>
    </row>
    <row r="17" spans="1:13">
      <c r="C17" t="s">
        <v>20</v>
      </c>
      <c r="H17" s="12"/>
      <c r="I17" s="16">
        <v>-298903</v>
      </c>
      <c r="J17" s="12"/>
      <c r="K17" s="12"/>
      <c r="L17" s="12"/>
      <c r="M17" s="12">
        <f t="shared" si="0"/>
        <v>-298903</v>
      </c>
    </row>
    <row r="18" spans="1:13">
      <c r="C18" t="s">
        <v>71</v>
      </c>
      <c r="H18" s="12"/>
      <c r="I18" s="102">
        <v>-246621</v>
      </c>
      <c r="J18" s="12">
        <v>2347</v>
      </c>
      <c r="K18" s="12"/>
      <c r="L18" s="12"/>
      <c r="M18" s="12">
        <f t="shared" si="0"/>
        <v>-244274</v>
      </c>
    </row>
    <row r="19" spans="1:13">
      <c r="C19" t="s">
        <v>21</v>
      </c>
      <c r="H19" s="12"/>
      <c r="I19" s="98">
        <v>-57351</v>
      </c>
      <c r="J19" s="12"/>
      <c r="K19" s="12"/>
      <c r="L19" s="12"/>
      <c r="M19" s="12">
        <f t="shared" si="0"/>
        <v>-57351</v>
      </c>
    </row>
    <row r="20" spans="1:13">
      <c r="H20" s="12"/>
      <c r="I20" s="12"/>
      <c r="J20" s="12"/>
      <c r="K20" s="12"/>
      <c r="L20" s="12"/>
      <c r="M20" s="12"/>
    </row>
    <row r="21" spans="1:13">
      <c r="E21" s="19" t="s">
        <v>22</v>
      </c>
      <c r="F21" s="19"/>
      <c r="G21" s="19"/>
      <c r="H21" s="20"/>
      <c r="I21" s="20">
        <f>SUM(I9:I19)</f>
        <v>-4710090</v>
      </c>
      <c r="J21" s="20">
        <f t="shared" ref="J21:M21" si="1">SUM(J9:J19)</f>
        <v>334265</v>
      </c>
      <c r="K21" s="20">
        <f>SUM(K9:K19)</f>
        <v>20000</v>
      </c>
      <c r="L21" s="20">
        <f t="shared" si="1"/>
        <v>673141</v>
      </c>
      <c r="M21" s="20">
        <f t="shared" si="1"/>
        <v>-3682684</v>
      </c>
    </row>
    <row r="22" spans="1:13">
      <c r="H22" s="12"/>
      <c r="I22" s="12"/>
      <c r="J22" s="12"/>
      <c r="K22" s="12"/>
      <c r="L22" s="12"/>
      <c r="M22" s="12"/>
    </row>
    <row r="23" spans="1:13">
      <c r="A23" s="8"/>
      <c r="B23" s="8"/>
      <c r="C23" s="8"/>
      <c r="D23" s="8"/>
      <c r="E23" s="8"/>
      <c r="G23" s="8" t="s">
        <v>25</v>
      </c>
      <c r="H23" s="26"/>
      <c r="I23" s="26"/>
      <c r="J23" s="26"/>
      <c r="K23" s="26"/>
      <c r="L23" s="26"/>
      <c r="M23" s="26"/>
    </row>
    <row r="24" spans="1:13">
      <c r="A24" s="8"/>
      <c r="B24" s="8"/>
      <c r="C24" s="8"/>
      <c r="D24" s="8"/>
      <c r="E24" s="8"/>
      <c r="G24" s="27"/>
      <c r="H24" s="88" t="s">
        <v>26</v>
      </c>
      <c r="I24" s="26"/>
      <c r="J24" s="26"/>
      <c r="K24" s="26"/>
      <c r="L24" s="26"/>
      <c r="M24" s="26"/>
    </row>
    <row r="25" spans="1:13">
      <c r="H25" s="12"/>
      <c r="I25" s="12" t="s">
        <v>73</v>
      </c>
      <c r="J25" s="12"/>
      <c r="K25" s="12"/>
      <c r="L25" s="12"/>
      <c r="M25" s="28">
        <v>1435114</v>
      </c>
    </row>
    <row r="26" spans="1:13">
      <c r="H26" s="12"/>
      <c r="I26" s="12" t="s">
        <v>28</v>
      </c>
      <c r="J26" s="12"/>
      <c r="K26" s="12"/>
      <c r="L26" s="12"/>
      <c r="M26" s="14">
        <v>1966008</v>
      </c>
    </row>
    <row r="27" spans="1:13">
      <c r="H27" s="12"/>
      <c r="I27" s="12" t="s">
        <v>111</v>
      </c>
      <c r="J27" s="12"/>
      <c r="K27" s="12"/>
      <c r="L27" s="12"/>
      <c r="M27" s="15">
        <v>292874</v>
      </c>
    </row>
    <row r="28" spans="1:13">
      <c r="H28" s="12" t="s">
        <v>137</v>
      </c>
      <c r="I28" s="12"/>
      <c r="J28" s="12"/>
      <c r="K28" s="12"/>
      <c r="L28" s="12"/>
      <c r="M28" s="29">
        <v>60592</v>
      </c>
    </row>
    <row r="29" spans="1:13">
      <c r="H29" s="12" t="s">
        <v>209</v>
      </c>
      <c r="I29" s="12"/>
      <c r="J29" s="12"/>
      <c r="K29" s="12"/>
      <c r="L29" s="12"/>
      <c r="M29" s="12"/>
    </row>
    <row r="30" spans="1:13">
      <c r="H30" s="12"/>
      <c r="I30" s="12" t="s">
        <v>210</v>
      </c>
      <c r="J30" s="12"/>
      <c r="K30" s="12"/>
      <c r="L30" s="12"/>
      <c r="M30" s="29">
        <v>93500</v>
      </c>
    </row>
    <row r="31" spans="1:13">
      <c r="H31" s="12"/>
      <c r="I31" s="12" t="s">
        <v>75</v>
      </c>
      <c r="J31" s="12"/>
      <c r="K31" s="12"/>
      <c r="L31" s="12"/>
      <c r="M31" s="105">
        <v>41796</v>
      </c>
    </row>
    <row r="32" spans="1:13">
      <c r="H32" s="12"/>
      <c r="I32" s="12" t="s">
        <v>552</v>
      </c>
      <c r="J32" s="12"/>
      <c r="K32" s="12"/>
      <c r="L32" s="12"/>
      <c r="M32" s="29">
        <v>20445</v>
      </c>
    </row>
    <row r="33" spans="5:13">
      <c r="H33" s="12" t="s">
        <v>211</v>
      </c>
      <c r="I33" s="12"/>
      <c r="J33" s="12"/>
      <c r="K33" s="12"/>
      <c r="L33" s="12"/>
      <c r="M33" s="29">
        <v>12352</v>
      </c>
    </row>
    <row r="34" spans="5:13">
      <c r="H34" s="12" t="s">
        <v>188</v>
      </c>
      <c r="I34" s="12"/>
      <c r="J34" s="12"/>
      <c r="K34" s="12"/>
      <c r="L34" s="12"/>
      <c r="M34" s="29">
        <v>257556</v>
      </c>
    </row>
    <row r="35" spans="5:13">
      <c r="H35" s="12"/>
      <c r="I35" s="12"/>
      <c r="J35" s="12"/>
      <c r="K35" s="12"/>
      <c r="L35" s="12"/>
      <c r="M35" s="12"/>
    </row>
    <row r="36" spans="5:13">
      <c r="H36" s="20" t="s">
        <v>338</v>
      </c>
      <c r="I36" s="20"/>
      <c r="J36" s="20"/>
      <c r="K36" s="20"/>
      <c r="L36" s="20"/>
      <c r="M36" s="20">
        <f>SUM(M25:M34)</f>
        <v>4180237</v>
      </c>
    </row>
    <row r="37" spans="5:13">
      <c r="H37" s="12"/>
      <c r="I37" s="12"/>
      <c r="J37" s="12"/>
      <c r="K37" s="12"/>
      <c r="L37" s="12"/>
      <c r="M37" s="12"/>
    </row>
    <row r="38" spans="5:13">
      <c r="H38" s="20" t="s">
        <v>339</v>
      </c>
      <c r="I38" s="20"/>
      <c r="J38" s="20"/>
      <c r="K38" s="20"/>
      <c r="L38" s="20"/>
      <c r="M38" s="20">
        <f>M36+M21</f>
        <v>497553</v>
      </c>
    </row>
    <row r="39" spans="5:13">
      <c r="H39" s="26"/>
      <c r="I39" s="26"/>
      <c r="J39" s="26"/>
      <c r="K39" s="26"/>
      <c r="L39" s="26"/>
      <c r="M39" s="26"/>
    </row>
    <row r="40" spans="5:13">
      <c r="E40" s="31" t="s">
        <v>340</v>
      </c>
      <c r="F40" s="31"/>
      <c r="G40" s="31"/>
      <c r="H40" s="32"/>
      <c r="I40" s="32"/>
      <c r="J40" s="32"/>
      <c r="K40" s="32"/>
      <c r="L40" s="32"/>
      <c r="M40" s="32">
        <v>10615368</v>
      </c>
    </row>
    <row r="41" spans="5:13">
      <c r="H41" s="12"/>
      <c r="I41" s="12"/>
      <c r="J41" s="12"/>
      <c r="K41" s="12"/>
      <c r="L41" s="12"/>
      <c r="M41" s="12"/>
    </row>
    <row r="42" spans="5:13">
      <c r="E42" s="34" t="s">
        <v>341</v>
      </c>
      <c r="F42" s="34"/>
      <c r="G42" s="34"/>
      <c r="H42" s="35"/>
      <c r="I42" s="35"/>
      <c r="J42" s="35"/>
      <c r="K42" s="35"/>
      <c r="L42" s="92"/>
      <c r="M42" s="92">
        <f>M40+M38</f>
        <v>11112921</v>
      </c>
    </row>
    <row r="49" spans="11:13">
      <c r="K49" s="9"/>
      <c r="L49" s="9"/>
      <c r="M49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67"/>
  <sheetViews>
    <sheetView topLeftCell="A6" workbookViewId="0">
      <selection activeCell="I25" sqref="I25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  <col min="16" max="16" width="14.42578125" customWidth="1"/>
  </cols>
  <sheetData>
    <row r="1" spans="1:16" ht="20.25" customHeight="1">
      <c r="J1" s="258" t="s">
        <v>553</v>
      </c>
      <c r="K1" s="258"/>
      <c r="L1" s="258"/>
      <c r="M1" s="258"/>
      <c r="N1" s="170"/>
      <c r="O1" s="170"/>
    </row>
    <row r="2" spans="1:16" ht="18">
      <c r="J2" s="259" t="s">
        <v>1</v>
      </c>
      <c r="K2" s="259"/>
      <c r="L2" s="259"/>
      <c r="M2" s="259"/>
      <c r="N2" s="171"/>
      <c r="O2" s="171"/>
    </row>
    <row r="3" spans="1:16" ht="15.75">
      <c r="E3" s="3"/>
      <c r="F3" s="3"/>
      <c r="G3" s="3"/>
      <c r="H3" s="3"/>
      <c r="I3" s="3"/>
      <c r="J3" s="3"/>
      <c r="K3" s="3"/>
      <c r="L3" s="3"/>
    </row>
    <row r="4" spans="1:16" ht="18">
      <c r="E4" s="2"/>
      <c r="M4" s="260" t="s">
        <v>2</v>
      </c>
      <c r="N4" s="260"/>
      <c r="O4" s="260"/>
      <c r="P4" s="260"/>
    </row>
    <row r="5" spans="1:16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2" t="s">
        <v>5</v>
      </c>
      <c r="N5" s="262"/>
      <c r="O5" s="262"/>
      <c r="P5" s="125"/>
    </row>
    <row r="6" spans="1:16" ht="67.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  <c r="P6" s="90" t="s">
        <v>12</v>
      </c>
    </row>
    <row r="7" spans="1:16">
      <c r="A7" s="8" t="s">
        <v>13</v>
      </c>
      <c r="I7" s="9"/>
      <c r="J7" s="9"/>
      <c r="K7" s="9"/>
      <c r="L7" s="9"/>
    </row>
    <row r="8" spans="1:16">
      <c r="B8" s="10" t="s">
        <v>14</v>
      </c>
      <c r="I8" s="9"/>
      <c r="J8" s="9"/>
      <c r="K8" s="9"/>
      <c r="L8" s="9"/>
      <c r="M8" s="9"/>
      <c r="N8" s="9"/>
      <c r="O8" s="9"/>
    </row>
    <row r="9" spans="1:16">
      <c r="C9" t="s">
        <v>15</v>
      </c>
      <c r="H9" s="12"/>
      <c r="I9" s="11">
        <v>-23040130</v>
      </c>
      <c r="J9" s="12">
        <v>11055966</v>
      </c>
      <c r="K9" s="12">
        <v>1128605</v>
      </c>
      <c r="L9" s="12"/>
      <c r="M9" s="12">
        <f t="shared" ref="M9:M18" si="0">SUM(I9:L9)</f>
        <v>-10855559</v>
      </c>
      <c r="N9" s="12"/>
      <c r="O9" s="12">
        <f t="shared" ref="O9:O18" si="1">SUM(M9:N9)</f>
        <v>-10855559</v>
      </c>
    </row>
    <row r="10" spans="1:16">
      <c r="C10" t="s">
        <v>16</v>
      </c>
      <c r="H10" s="12"/>
      <c r="I10" s="13">
        <v>-38431578</v>
      </c>
      <c r="J10" s="12">
        <v>2291841</v>
      </c>
      <c r="K10" s="12">
        <v>4038506</v>
      </c>
      <c r="L10" s="12">
        <v>12267</v>
      </c>
      <c r="M10" s="12">
        <f t="shared" si="0"/>
        <v>-32088964</v>
      </c>
      <c r="N10" s="12"/>
      <c r="O10" s="12">
        <f t="shared" si="1"/>
        <v>-32088964</v>
      </c>
    </row>
    <row r="11" spans="1:16">
      <c r="C11" t="s">
        <v>310</v>
      </c>
      <c r="H11" s="12"/>
      <c r="I11" s="14">
        <v>-28105188</v>
      </c>
      <c r="J11" s="12">
        <v>59576</v>
      </c>
      <c r="K11" s="12">
        <v>866304</v>
      </c>
      <c r="L11" s="12">
        <v>10933139</v>
      </c>
      <c r="M11" s="12">
        <f t="shared" si="0"/>
        <v>-16246169</v>
      </c>
      <c r="N11" s="12"/>
      <c r="O11" s="12">
        <f t="shared" si="1"/>
        <v>-16246169</v>
      </c>
    </row>
    <row r="12" spans="1:16">
      <c r="C12" t="s">
        <v>19</v>
      </c>
      <c r="H12" s="12"/>
      <c r="I12" s="15">
        <v>-12532038</v>
      </c>
      <c r="J12" s="12"/>
      <c r="K12" s="12">
        <v>5483376</v>
      </c>
      <c r="L12" s="12"/>
      <c r="M12" s="12">
        <f t="shared" si="0"/>
        <v>-7048662</v>
      </c>
      <c r="N12" s="12"/>
      <c r="O12" s="12">
        <f t="shared" si="1"/>
        <v>-7048662</v>
      </c>
    </row>
    <row r="13" spans="1:16">
      <c r="C13" t="s">
        <v>20</v>
      </c>
      <c r="H13" s="12"/>
      <c r="I13" s="16">
        <v>-4137673</v>
      </c>
      <c r="J13" s="12">
        <v>95522</v>
      </c>
      <c r="K13" s="12">
        <v>1493567</v>
      </c>
      <c r="L13" s="12">
        <v>6281</v>
      </c>
      <c r="M13" s="12">
        <f t="shared" si="0"/>
        <v>-2542303</v>
      </c>
      <c r="N13" s="12"/>
      <c r="O13" s="12">
        <f t="shared" si="1"/>
        <v>-2542303</v>
      </c>
    </row>
    <row r="14" spans="1:16">
      <c r="C14" t="s">
        <v>55</v>
      </c>
      <c r="H14" s="12"/>
      <c r="I14" s="107">
        <v>-95407</v>
      </c>
      <c r="J14" s="12"/>
      <c r="K14" s="12"/>
      <c r="L14" s="12"/>
      <c r="M14" s="12">
        <f t="shared" si="0"/>
        <v>-95407</v>
      </c>
      <c r="N14" s="12"/>
      <c r="O14" s="12">
        <f t="shared" si="1"/>
        <v>-95407</v>
      </c>
    </row>
    <row r="15" spans="1:16">
      <c r="C15" t="s">
        <v>268</v>
      </c>
      <c r="H15" s="12"/>
      <c r="I15" s="107">
        <v>-2823848</v>
      </c>
      <c r="J15" s="12"/>
      <c r="K15" s="12">
        <v>2893004</v>
      </c>
      <c r="L15" s="12"/>
      <c r="M15" s="12">
        <f t="shared" si="0"/>
        <v>69156</v>
      </c>
      <c r="N15" s="12"/>
      <c r="O15" s="12">
        <f t="shared" si="1"/>
        <v>69156</v>
      </c>
    </row>
    <row r="16" spans="1:16">
      <c r="C16" t="s">
        <v>18</v>
      </c>
      <c r="H16" s="12"/>
      <c r="I16" s="102">
        <v>-12430728</v>
      </c>
      <c r="J16" s="12"/>
      <c r="K16" s="12">
        <v>10885733</v>
      </c>
      <c r="L16" s="12"/>
      <c r="M16" s="12">
        <f>SUM(I16:L16)</f>
        <v>-1544995</v>
      </c>
      <c r="N16" s="12"/>
      <c r="O16" s="12">
        <f t="shared" si="1"/>
        <v>-1544995</v>
      </c>
    </row>
    <row r="17" spans="1:16">
      <c r="C17" t="s">
        <v>225</v>
      </c>
      <c r="H17" s="12"/>
      <c r="I17" s="107">
        <v>-7264312</v>
      </c>
      <c r="J17" s="12"/>
      <c r="K17" s="12"/>
      <c r="L17" s="12">
        <v>7160614</v>
      </c>
      <c r="M17" s="12">
        <f t="shared" si="0"/>
        <v>-103698</v>
      </c>
      <c r="N17" s="12"/>
      <c r="O17" s="12">
        <f t="shared" si="1"/>
        <v>-103698</v>
      </c>
    </row>
    <row r="18" spans="1:16">
      <c r="C18" t="s">
        <v>21</v>
      </c>
      <c r="H18" s="12"/>
      <c r="I18" s="98">
        <v>-4996850</v>
      </c>
      <c r="J18" s="12"/>
      <c r="K18" s="12"/>
      <c r="L18" s="12"/>
      <c r="M18" s="12">
        <f t="shared" si="0"/>
        <v>-4996850</v>
      </c>
      <c r="N18" s="12"/>
      <c r="O18" s="12">
        <f t="shared" si="1"/>
        <v>-4996850</v>
      </c>
    </row>
    <row r="19" spans="1:16">
      <c r="H19" s="12"/>
      <c r="I19" s="12"/>
      <c r="J19" s="12"/>
      <c r="K19" s="12"/>
      <c r="L19" s="12"/>
      <c r="M19" s="12"/>
      <c r="N19" s="12"/>
      <c r="O19" s="12"/>
    </row>
    <row r="20" spans="1:16">
      <c r="E20" s="19" t="s">
        <v>22</v>
      </c>
      <c r="F20" s="19"/>
      <c r="G20" s="19"/>
      <c r="H20" s="20"/>
      <c r="I20" s="20">
        <f>SUM(I9:I18)</f>
        <v>-133857752</v>
      </c>
      <c r="J20" s="20">
        <f>SUM(J9:J18)</f>
        <v>13502905</v>
      </c>
      <c r="K20" s="20">
        <f>SUM(K9:K18)</f>
        <v>26789095</v>
      </c>
      <c r="L20" s="20">
        <f>SUM(L9:L18)</f>
        <v>18112301</v>
      </c>
      <c r="M20" s="91">
        <f>SUM(M9:M18)</f>
        <v>-75453451</v>
      </c>
      <c r="N20" s="91"/>
      <c r="O20" s="91">
        <f>SUM(O9:O18)</f>
        <v>-75453451</v>
      </c>
      <c r="P20" s="93">
        <f>SUM(P9:P18)</f>
        <v>0</v>
      </c>
    </row>
    <row r="21" spans="1:16">
      <c r="E21" s="8"/>
      <c r="F21" s="8"/>
      <c r="G21" s="8"/>
      <c r="H21" s="26"/>
      <c r="I21" s="26"/>
      <c r="J21" s="26"/>
      <c r="K21" s="26"/>
      <c r="L21" s="26"/>
      <c r="M21" s="26"/>
      <c r="N21" s="26"/>
      <c r="O21" s="26"/>
    </row>
    <row r="22" spans="1:16">
      <c r="B22" s="10" t="s">
        <v>84</v>
      </c>
      <c r="E22" s="8"/>
      <c r="F22" s="8"/>
      <c r="G22" s="8"/>
      <c r="H22" s="26"/>
      <c r="I22" s="26"/>
      <c r="J22" s="26"/>
      <c r="K22" s="26"/>
      <c r="L22" s="26"/>
      <c r="M22" s="26"/>
      <c r="N22" s="26"/>
      <c r="O22" s="26"/>
    </row>
    <row r="23" spans="1:16">
      <c r="C23" t="s">
        <v>554</v>
      </c>
      <c r="E23" s="8"/>
      <c r="F23" s="8"/>
      <c r="G23" s="8"/>
      <c r="H23" s="26"/>
      <c r="I23" s="249">
        <v>-36040328</v>
      </c>
      <c r="J23" s="88">
        <v>41548905</v>
      </c>
      <c r="K23" s="88"/>
      <c r="L23" s="88"/>
      <c r="M23" s="88"/>
      <c r="N23" s="88">
        <f t="shared" ref="N23:N25" si="2">SUM(I23:L23)</f>
        <v>5508577</v>
      </c>
      <c r="O23" s="88">
        <f t="shared" ref="O23:O25" si="3">SUM(M23:N23)</f>
        <v>5508577</v>
      </c>
    </row>
    <row r="24" spans="1:16">
      <c r="C24" t="s">
        <v>555</v>
      </c>
      <c r="E24" s="8"/>
      <c r="F24" s="8"/>
      <c r="G24" s="8"/>
      <c r="H24" s="26"/>
      <c r="I24" s="249">
        <v>-9117703</v>
      </c>
      <c r="J24" s="88">
        <v>8080542</v>
      </c>
      <c r="K24" s="88">
        <v>3326</v>
      </c>
      <c r="L24" s="88">
        <v>66841</v>
      </c>
      <c r="M24" s="88"/>
      <c r="N24" s="88">
        <f t="shared" si="2"/>
        <v>-966994</v>
      </c>
      <c r="O24" s="88">
        <f t="shared" si="3"/>
        <v>-966994</v>
      </c>
    </row>
    <row r="25" spans="1:16">
      <c r="C25" t="s">
        <v>52</v>
      </c>
      <c r="E25" s="8"/>
      <c r="F25" s="8"/>
      <c r="G25" s="8"/>
      <c r="H25" s="26"/>
      <c r="I25" s="248">
        <v>-13052212</v>
      </c>
      <c r="J25" s="88">
        <v>8027436</v>
      </c>
      <c r="K25" s="88">
        <v>318187</v>
      </c>
      <c r="L25" s="88"/>
      <c r="M25" s="88"/>
      <c r="N25" s="88">
        <f t="shared" si="2"/>
        <v>-4706589</v>
      </c>
      <c r="O25" s="88">
        <f t="shared" si="3"/>
        <v>-4706589</v>
      </c>
    </row>
    <row r="26" spans="1:16">
      <c r="C26" t="s">
        <v>556</v>
      </c>
      <c r="E26" s="8"/>
      <c r="F26" s="8"/>
      <c r="G26" s="8"/>
      <c r="H26" s="26"/>
      <c r="I26" s="247">
        <v>-2297804</v>
      </c>
      <c r="J26" s="88">
        <v>571530</v>
      </c>
      <c r="K26" s="88"/>
      <c r="L26" s="88"/>
      <c r="M26" s="88"/>
      <c r="N26" s="88">
        <f>SUM(I26:L26)</f>
        <v>-1726274</v>
      </c>
      <c r="O26" s="88">
        <f>SUM(M26:N26)</f>
        <v>-1726274</v>
      </c>
    </row>
    <row r="27" spans="1:16">
      <c r="E27" s="8"/>
      <c r="F27" s="8"/>
      <c r="G27" s="8"/>
      <c r="H27" s="26"/>
      <c r="I27" s="26"/>
      <c r="J27" s="26"/>
      <c r="K27" s="26"/>
      <c r="L27" s="26"/>
      <c r="M27" s="26"/>
      <c r="N27" s="26"/>
      <c r="O27" s="26"/>
    </row>
    <row r="28" spans="1:16">
      <c r="E28" s="19" t="s">
        <v>173</v>
      </c>
      <c r="F28" s="19"/>
      <c r="G28" s="19"/>
      <c r="H28" s="20"/>
      <c r="I28" s="20">
        <f t="shared" ref="I28:P28" si="4">SUM(I23:I26)</f>
        <v>-60508047</v>
      </c>
      <c r="J28" s="20">
        <f t="shared" si="4"/>
        <v>58228413</v>
      </c>
      <c r="K28" s="20">
        <f t="shared" si="4"/>
        <v>321513</v>
      </c>
      <c r="L28" s="20">
        <f t="shared" si="4"/>
        <v>66841</v>
      </c>
      <c r="M28" s="91">
        <f t="shared" si="4"/>
        <v>0</v>
      </c>
      <c r="N28" s="91">
        <f t="shared" si="4"/>
        <v>-1891280</v>
      </c>
      <c r="O28" s="91">
        <f t="shared" si="4"/>
        <v>-1891280</v>
      </c>
      <c r="P28" s="91">
        <f t="shared" si="4"/>
        <v>0</v>
      </c>
    </row>
    <row r="29" spans="1:16">
      <c r="E29" s="8"/>
      <c r="F29" s="8"/>
      <c r="G29" s="8"/>
      <c r="H29" s="26"/>
      <c r="I29" s="26"/>
      <c r="J29" s="26"/>
      <c r="K29" s="26"/>
      <c r="L29" s="26"/>
      <c r="M29" s="26"/>
      <c r="N29" s="26"/>
      <c r="O29" s="26"/>
    </row>
    <row r="30" spans="1:16">
      <c r="E30" s="19" t="s">
        <v>89</v>
      </c>
      <c r="F30" s="19"/>
      <c r="G30" s="19"/>
      <c r="H30" s="20"/>
      <c r="I30" s="20">
        <f>I28+I20</f>
        <v>-194365799</v>
      </c>
      <c r="J30" s="20">
        <f>J28+J20</f>
        <v>71731318</v>
      </c>
      <c r="K30" s="20">
        <f>SUM(K20+K28)</f>
        <v>27110608</v>
      </c>
      <c r="L30" s="20">
        <f>SUM(L20+L28)</f>
        <v>18179142</v>
      </c>
      <c r="M30" s="91">
        <f>M28+M20</f>
        <v>-75453451</v>
      </c>
      <c r="N30" s="91">
        <f>N28+N20</f>
        <v>-1891280</v>
      </c>
      <c r="O30" s="91">
        <f>O28+O20</f>
        <v>-77344731</v>
      </c>
      <c r="P30" s="91">
        <f>P28+P20</f>
        <v>0</v>
      </c>
    </row>
    <row r="31" spans="1:16">
      <c r="E31" s="8"/>
      <c r="F31" s="8"/>
      <c r="G31" s="8"/>
      <c r="H31" s="26"/>
      <c r="I31" s="26"/>
      <c r="J31" s="26"/>
      <c r="K31" s="26"/>
      <c r="L31" s="26"/>
      <c r="M31" s="26"/>
      <c r="N31" s="26"/>
      <c r="O31" s="26"/>
    </row>
    <row r="32" spans="1:16">
      <c r="A32" s="10" t="s">
        <v>23</v>
      </c>
      <c r="H32" s="12"/>
      <c r="I32" s="12"/>
      <c r="J32" s="12"/>
      <c r="K32" s="12"/>
      <c r="L32" s="12"/>
      <c r="M32" s="12"/>
      <c r="N32" s="12"/>
      <c r="O32" s="12"/>
    </row>
    <row r="33" spans="1:16">
      <c r="B33" t="s">
        <v>15</v>
      </c>
      <c r="H33" s="12"/>
      <c r="I33" s="12">
        <v>-3220912</v>
      </c>
      <c r="J33" s="12">
        <v>1249242</v>
      </c>
      <c r="K33" s="12">
        <v>247434</v>
      </c>
      <c r="L33" s="12"/>
      <c r="M33" s="12"/>
      <c r="N33" s="12"/>
      <c r="O33" s="12"/>
      <c r="P33" s="12">
        <f t="shared" ref="P33:P39" si="5">SUM(I33:L33)</f>
        <v>-1724236</v>
      </c>
    </row>
    <row r="34" spans="1:16">
      <c r="B34" t="s">
        <v>156</v>
      </c>
      <c r="H34" s="12"/>
      <c r="I34" s="12">
        <v>-13179341</v>
      </c>
      <c r="J34" s="12">
        <v>8480376</v>
      </c>
      <c r="K34" s="12">
        <v>3690342</v>
      </c>
      <c r="L34" s="12"/>
      <c r="M34" s="12"/>
      <c r="N34" s="12"/>
      <c r="O34" s="12"/>
      <c r="P34" s="12">
        <f t="shared" si="5"/>
        <v>-1008623</v>
      </c>
    </row>
    <row r="35" spans="1:16">
      <c r="B35" t="s">
        <v>16</v>
      </c>
      <c r="H35" s="12"/>
      <c r="I35" s="12">
        <v>-23528564</v>
      </c>
      <c r="J35" s="12">
        <v>1819552</v>
      </c>
      <c r="K35" s="12">
        <v>1699228</v>
      </c>
      <c r="L35" s="12">
        <v>23052874</v>
      </c>
      <c r="M35" s="12"/>
      <c r="N35" s="12"/>
      <c r="O35" s="12"/>
      <c r="P35" s="12">
        <f t="shared" si="5"/>
        <v>3043090</v>
      </c>
    </row>
    <row r="36" spans="1:16">
      <c r="B36" t="s">
        <v>557</v>
      </c>
      <c r="H36" s="12"/>
      <c r="I36" s="12">
        <v>-189283046</v>
      </c>
      <c r="J36" s="12">
        <v>182228481</v>
      </c>
      <c r="K36" s="12">
        <v>1312028</v>
      </c>
      <c r="L36" s="12">
        <v>1028647</v>
      </c>
      <c r="M36" s="12"/>
      <c r="N36" s="12"/>
      <c r="O36" s="12"/>
      <c r="P36" s="12">
        <f t="shared" si="5"/>
        <v>-4713890</v>
      </c>
    </row>
    <row r="37" spans="1:16">
      <c r="B37" t="s">
        <v>20</v>
      </c>
      <c r="H37" s="12"/>
      <c r="I37" s="12">
        <v>-12632340</v>
      </c>
      <c r="J37" s="12">
        <v>678592</v>
      </c>
      <c r="K37" s="12">
        <v>585166</v>
      </c>
      <c r="L37" s="12">
        <v>12750</v>
      </c>
      <c r="M37" s="12"/>
      <c r="N37" s="12"/>
      <c r="O37" s="12"/>
      <c r="P37" s="12">
        <f t="shared" si="5"/>
        <v>-11355832</v>
      </c>
    </row>
    <row r="38" spans="1:16">
      <c r="B38" t="s">
        <v>18</v>
      </c>
      <c r="H38" s="12"/>
      <c r="I38" s="12">
        <v>-7559305</v>
      </c>
      <c r="J38" s="12">
        <v>690423</v>
      </c>
      <c r="K38" s="12">
        <v>2677202</v>
      </c>
      <c r="L38" s="12">
        <v>10297397</v>
      </c>
      <c r="M38" s="12"/>
      <c r="N38" s="12"/>
      <c r="O38" s="12"/>
      <c r="P38" s="12">
        <f t="shared" si="5"/>
        <v>6105717</v>
      </c>
    </row>
    <row r="39" spans="1:16">
      <c r="B39" t="s">
        <v>471</v>
      </c>
      <c r="H39" s="12"/>
      <c r="I39" s="12">
        <v>-14824841</v>
      </c>
      <c r="J39" s="12">
        <v>16066542</v>
      </c>
      <c r="K39" s="12"/>
      <c r="L39" s="12">
        <v>892900</v>
      </c>
      <c r="M39" s="12"/>
      <c r="N39" s="12"/>
      <c r="O39" s="12"/>
      <c r="P39" s="12">
        <f t="shared" si="5"/>
        <v>2134601</v>
      </c>
    </row>
    <row r="40" spans="1:16">
      <c r="H40" s="12"/>
      <c r="I40" s="12"/>
      <c r="J40" s="12"/>
      <c r="K40" s="12"/>
      <c r="L40" s="12"/>
      <c r="M40" s="12"/>
      <c r="N40" s="12"/>
      <c r="O40" s="12"/>
    </row>
    <row r="41" spans="1:16">
      <c r="E41" s="19" t="s">
        <v>92</v>
      </c>
      <c r="F41" s="19"/>
      <c r="G41" s="19"/>
      <c r="H41" s="20"/>
      <c r="I41" s="20">
        <f t="shared" ref="I41:P41" si="6">SUM(I33:I39)</f>
        <v>-264228349</v>
      </c>
      <c r="J41" s="20">
        <f t="shared" si="6"/>
        <v>211213208</v>
      </c>
      <c r="K41" s="20">
        <f t="shared" si="6"/>
        <v>10211400</v>
      </c>
      <c r="L41" s="20">
        <f t="shared" si="6"/>
        <v>35284568</v>
      </c>
      <c r="M41" s="91">
        <f t="shared" si="6"/>
        <v>0</v>
      </c>
      <c r="N41" s="91">
        <f t="shared" si="6"/>
        <v>0</v>
      </c>
      <c r="O41" s="91">
        <f t="shared" si="6"/>
        <v>0</v>
      </c>
      <c r="P41" s="94">
        <f t="shared" si="6"/>
        <v>-7519173</v>
      </c>
    </row>
    <row r="42" spans="1:16">
      <c r="H42" s="12"/>
      <c r="I42" s="12"/>
      <c r="J42" s="12"/>
      <c r="K42" s="12"/>
      <c r="L42" s="12"/>
      <c r="M42" s="12"/>
      <c r="N42" s="12"/>
      <c r="O42" s="12"/>
    </row>
    <row r="43" spans="1:16">
      <c r="A43" s="8"/>
      <c r="B43" s="8"/>
      <c r="C43" s="8"/>
      <c r="D43" s="8"/>
      <c r="E43" s="8"/>
      <c r="G43" s="8" t="s">
        <v>25</v>
      </c>
      <c r="H43" s="26"/>
      <c r="I43" s="26"/>
      <c r="J43" s="26"/>
      <c r="K43" s="26"/>
      <c r="L43" s="26"/>
      <c r="M43" s="12"/>
      <c r="N43" s="12"/>
      <c r="O43" s="12"/>
    </row>
    <row r="44" spans="1:16">
      <c r="A44" s="8"/>
      <c r="B44" s="8"/>
      <c r="C44" s="8"/>
      <c r="D44" s="8"/>
      <c r="E44" s="8"/>
      <c r="G44" s="8"/>
      <c r="H44" s="88" t="s">
        <v>26</v>
      </c>
      <c r="I44" s="26"/>
      <c r="J44" s="26"/>
      <c r="K44" s="26"/>
      <c r="L44" s="26"/>
      <c r="M44" s="12"/>
      <c r="N44" s="12"/>
      <c r="O44" s="12"/>
    </row>
    <row r="45" spans="1:16">
      <c r="H45" s="12"/>
      <c r="I45" s="12" t="s">
        <v>27</v>
      </c>
      <c r="J45" s="12"/>
      <c r="K45" s="12"/>
      <c r="L45" s="12"/>
      <c r="M45" s="28">
        <v>26473371</v>
      </c>
      <c r="N45" s="12">
        <v>9306627</v>
      </c>
      <c r="O45" s="12">
        <f t="shared" ref="O45:O52" si="7">SUM(M45:N45)</f>
        <v>35779998</v>
      </c>
      <c r="P45" s="12">
        <v>39000364</v>
      </c>
    </row>
    <row r="46" spans="1:16">
      <c r="H46" s="12"/>
      <c r="I46" s="12" t="s">
        <v>74</v>
      </c>
      <c r="J46" s="12"/>
      <c r="K46" s="12"/>
      <c r="L46" s="12"/>
      <c r="M46" s="14">
        <v>43251970</v>
      </c>
      <c r="N46" s="12"/>
      <c r="O46" s="12">
        <f t="shared" si="7"/>
        <v>43251970</v>
      </c>
      <c r="P46" s="12">
        <v>6489521</v>
      </c>
    </row>
    <row r="47" spans="1:16">
      <c r="H47" s="12"/>
      <c r="I47" s="12" t="s">
        <v>180</v>
      </c>
      <c r="J47" s="12"/>
      <c r="K47" s="12"/>
      <c r="L47" s="12"/>
      <c r="M47" s="14">
        <v>1469029</v>
      </c>
      <c r="N47" s="12"/>
      <c r="O47" s="12">
        <f t="shared" si="7"/>
        <v>1469029</v>
      </c>
      <c r="P47" s="12"/>
    </row>
    <row r="48" spans="1:16">
      <c r="H48" s="12"/>
      <c r="I48" s="12" t="s">
        <v>235</v>
      </c>
      <c r="J48" s="12"/>
      <c r="K48" s="12"/>
      <c r="L48" s="12"/>
      <c r="M48" s="12"/>
      <c r="N48" s="12">
        <v>319165</v>
      </c>
      <c r="O48" s="12">
        <f t="shared" si="7"/>
        <v>319165</v>
      </c>
      <c r="P48" s="12">
        <v>1634583</v>
      </c>
    </row>
    <row r="49" spans="5:16">
      <c r="H49" s="12" t="s">
        <v>33</v>
      </c>
      <c r="I49" s="12"/>
      <c r="J49" s="12"/>
      <c r="K49" s="12"/>
      <c r="L49" s="12"/>
      <c r="M49" s="11">
        <v>9964976</v>
      </c>
      <c r="N49" s="12"/>
      <c r="O49" s="12">
        <f t="shared" si="7"/>
        <v>9964976</v>
      </c>
      <c r="P49" s="12">
        <v>7596899</v>
      </c>
    </row>
    <row r="50" spans="5:16">
      <c r="H50" s="12" t="s">
        <v>138</v>
      </c>
      <c r="I50" s="12"/>
      <c r="J50" s="12"/>
      <c r="K50" s="12"/>
      <c r="L50" s="12"/>
      <c r="M50" s="29">
        <v>-524487</v>
      </c>
      <c r="N50" s="12">
        <v>-576549</v>
      </c>
      <c r="O50" s="12">
        <f t="shared" si="7"/>
        <v>-1101036</v>
      </c>
      <c r="P50" s="12">
        <v>3793202</v>
      </c>
    </row>
    <row r="51" spans="5:16">
      <c r="H51" s="12" t="s">
        <v>36</v>
      </c>
      <c r="I51" s="12"/>
      <c r="J51" s="12"/>
      <c r="K51" s="12"/>
      <c r="L51" s="12"/>
      <c r="M51" s="29">
        <v>644340</v>
      </c>
      <c r="N51" s="12"/>
      <c r="O51" s="12">
        <f t="shared" si="7"/>
        <v>644340</v>
      </c>
      <c r="P51" s="12">
        <v>578607</v>
      </c>
    </row>
    <row r="52" spans="5:16">
      <c r="H52" s="12" t="s">
        <v>37</v>
      </c>
      <c r="I52" s="12"/>
      <c r="J52" s="12"/>
      <c r="K52" s="12"/>
      <c r="L52" s="12"/>
      <c r="M52" s="97">
        <v>3456622</v>
      </c>
      <c r="N52" s="12">
        <v>-3456622</v>
      </c>
      <c r="O52" s="12">
        <f t="shared" si="7"/>
        <v>0</v>
      </c>
      <c r="P52" s="12"/>
    </row>
    <row r="53" spans="5:16">
      <c r="H53" s="12"/>
      <c r="I53" s="12"/>
      <c r="J53" s="12"/>
      <c r="K53" s="12"/>
      <c r="L53" s="12"/>
      <c r="M53" s="12"/>
      <c r="N53" s="12"/>
      <c r="O53" s="12"/>
    </row>
    <row r="54" spans="5:16">
      <c r="H54" s="20" t="s">
        <v>66</v>
      </c>
      <c r="I54" s="20"/>
      <c r="J54" s="20"/>
      <c r="K54" s="20"/>
      <c r="L54" s="20"/>
      <c r="M54" s="20">
        <f>SUM(M45:M52)</f>
        <v>84735821</v>
      </c>
      <c r="N54" s="20">
        <f>SUM(N45:N52)</f>
        <v>5592621</v>
      </c>
      <c r="O54" s="20">
        <f>SUM(O45:O52)</f>
        <v>90328442</v>
      </c>
      <c r="P54" s="94">
        <f>SUM(P45:P52)</f>
        <v>59093176</v>
      </c>
    </row>
    <row r="55" spans="5:16">
      <c r="H55" s="12"/>
      <c r="I55" s="12"/>
      <c r="J55" s="12"/>
      <c r="K55" s="12"/>
      <c r="L55" s="12"/>
      <c r="M55" s="12"/>
      <c r="N55" s="12"/>
      <c r="O55" s="12"/>
    </row>
    <row r="56" spans="5:16">
      <c r="H56" s="20" t="s">
        <v>39</v>
      </c>
      <c r="I56" s="20"/>
      <c r="J56" s="20"/>
      <c r="K56" s="20"/>
      <c r="L56" s="20"/>
      <c r="M56" s="20">
        <v>9282370</v>
      </c>
      <c r="N56" s="20">
        <v>3701341</v>
      </c>
      <c r="O56" s="20">
        <f>SUM(M56:N56)</f>
        <v>12983711</v>
      </c>
      <c r="P56" s="91">
        <f>P54+P41</f>
        <v>51574003</v>
      </c>
    </row>
    <row r="57" spans="5:16">
      <c r="H57" s="26"/>
      <c r="I57" s="26"/>
      <c r="J57" s="26"/>
      <c r="K57" s="26"/>
      <c r="L57" s="26"/>
      <c r="M57" s="26"/>
      <c r="N57" s="26"/>
      <c r="O57" s="26"/>
    </row>
    <row r="58" spans="5:16">
      <c r="E58" s="31" t="s">
        <v>539</v>
      </c>
      <c r="F58" s="31"/>
      <c r="G58" s="31"/>
      <c r="H58" s="32"/>
      <c r="I58" s="32"/>
      <c r="J58" s="32"/>
      <c r="K58" s="32"/>
      <c r="L58" s="32"/>
      <c r="M58" s="33">
        <v>307085428</v>
      </c>
      <c r="N58" s="33">
        <v>180158167</v>
      </c>
      <c r="O58" s="33">
        <f>SUM(M58:N58)</f>
        <v>487243595</v>
      </c>
      <c r="P58" s="95">
        <v>771916175</v>
      </c>
    </row>
    <row r="59" spans="5:16">
      <c r="H59" s="12"/>
      <c r="I59" s="12"/>
      <c r="J59" s="12"/>
      <c r="K59" s="12"/>
      <c r="L59" s="12"/>
      <c r="M59" s="12"/>
      <c r="N59" s="12"/>
      <c r="O59" s="12"/>
    </row>
    <row r="60" spans="5:16">
      <c r="E60" s="34" t="s">
        <v>540</v>
      </c>
      <c r="F60" s="34"/>
      <c r="G60" s="34"/>
      <c r="H60" s="35"/>
      <c r="I60" s="35"/>
      <c r="J60" s="35"/>
      <c r="K60" s="35"/>
      <c r="L60" s="35"/>
      <c r="M60" s="92">
        <f>SUM(M56,M58)</f>
        <v>316367798</v>
      </c>
      <c r="N60" s="92">
        <f>N58+N56</f>
        <v>183859508</v>
      </c>
      <c r="O60" s="92">
        <f>O58+O56</f>
        <v>500227306</v>
      </c>
      <c r="P60" s="96">
        <f>P58+P56</f>
        <v>823490178</v>
      </c>
    </row>
    <row r="67" spans="11:15">
      <c r="K67" s="9"/>
      <c r="L67" s="9"/>
      <c r="M67" s="9"/>
      <c r="N67" s="9"/>
      <c r="O67" s="9"/>
    </row>
  </sheetData>
  <mergeCells count="5">
    <mergeCell ref="J1:M1"/>
    <mergeCell ref="J2:M2"/>
    <mergeCell ref="M4:P4"/>
    <mergeCell ref="J5:L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M49"/>
  <sheetViews>
    <sheetView topLeftCell="A5" workbookViewId="0">
      <selection activeCell="M41" sqref="M41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</cols>
  <sheetData>
    <row r="1" spans="1:13" ht="30" customHeight="1">
      <c r="J1" s="258" t="s">
        <v>558</v>
      </c>
      <c r="K1" s="258"/>
      <c r="L1" s="258"/>
      <c r="M1" s="258"/>
    </row>
    <row r="2" spans="1:13" ht="21.75" customHeight="1">
      <c r="J2" s="259" t="s">
        <v>1</v>
      </c>
      <c r="K2" s="259"/>
      <c r="L2" s="259"/>
      <c r="M2" s="259"/>
    </row>
    <row r="3" spans="1:13" ht="18.75" customHeight="1">
      <c r="E3" s="3"/>
      <c r="F3" s="3"/>
      <c r="G3" s="3"/>
      <c r="H3" s="3"/>
      <c r="I3" s="3"/>
      <c r="J3" s="3"/>
      <c r="K3" s="3"/>
      <c r="L3" s="3"/>
    </row>
    <row r="4" spans="1:13" ht="41.25" customHeight="1">
      <c r="E4" s="2"/>
    </row>
    <row r="5" spans="1:13" ht="1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174" t="s">
        <v>5</v>
      </c>
    </row>
    <row r="6" spans="1:13" ht="44.2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172" t="s">
        <v>2</v>
      </c>
    </row>
    <row r="7" spans="1:13" ht="30.75" customHeight="1">
      <c r="A7" s="8" t="s">
        <v>13</v>
      </c>
      <c r="I7" s="9"/>
      <c r="J7" s="9"/>
      <c r="K7" s="9"/>
      <c r="L7" s="9"/>
    </row>
    <row r="8" spans="1:13">
      <c r="B8" s="10" t="s">
        <v>14</v>
      </c>
      <c r="I8" s="9"/>
      <c r="J8" s="9"/>
      <c r="K8" s="9"/>
      <c r="L8" s="9"/>
      <c r="M8" s="9"/>
    </row>
    <row r="9" spans="1:13">
      <c r="C9" t="s">
        <v>15</v>
      </c>
      <c r="H9" s="12"/>
      <c r="I9" s="11">
        <v>-1352780</v>
      </c>
      <c r="J9" s="12">
        <v>168966</v>
      </c>
      <c r="K9" s="12">
        <v>47978</v>
      </c>
      <c r="L9" s="12"/>
      <c r="M9" s="12">
        <f t="shared" ref="M9:M17" si="0">SUM(I9:L9)</f>
        <v>-1135836</v>
      </c>
    </row>
    <row r="10" spans="1:13">
      <c r="C10" t="s">
        <v>16</v>
      </c>
      <c r="H10" s="12"/>
      <c r="I10" s="13">
        <v>-4089011</v>
      </c>
      <c r="J10" s="12">
        <v>2771319</v>
      </c>
      <c r="K10" s="12">
        <v>198925</v>
      </c>
      <c r="L10" s="12"/>
      <c r="M10" s="12">
        <f t="shared" si="0"/>
        <v>-1118767</v>
      </c>
    </row>
    <row r="11" spans="1:13">
      <c r="C11" t="s">
        <v>17</v>
      </c>
      <c r="H11" s="12"/>
      <c r="I11" s="14">
        <v>-4696057</v>
      </c>
      <c r="J11" s="12">
        <v>1361595</v>
      </c>
      <c r="K11" s="12">
        <v>614095</v>
      </c>
      <c r="L11" s="12"/>
      <c r="M11" s="12">
        <f t="shared" si="0"/>
        <v>-2720367</v>
      </c>
    </row>
    <row r="12" spans="1:13">
      <c r="C12" t="s">
        <v>19</v>
      </c>
      <c r="H12" s="12"/>
      <c r="I12" s="15">
        <v>-1860674</v>
      </c>
      <c r="J12" s="12"/>
      <c r="K12" s="12">
        <v>1480318</v>
      </c>
      <c r="L12" s="12">
        <v>40868</v>
      </c>
      <c r="M12" s="12">
        <f>SUM(I12:L12)</f>
        <v>-339488</v>
      </c>
    </row>
    <row r="13" spans="1:13">
      <c r="C13" t="s">
        <v>20</v>
      </c>
      <c r="H13" s="12"/>
      <c r="I13" s="16">
        <v>-437844</v>
      </c>
      <c r="J13" s="12">
        <v>10557</v>
      </c>
      <c r="K13" s="12">
        <v>54150</v>
      </c>
      <c r="L13" s="12"/>
      <c r="M13" s="12">
        <f t="shared" si="0"/>
        <v>-373137</v>
      </c>
    </row>
    <row r="14" spans="1:13">
      <c r="C14" t="s">
        <v>18</v>
      </c>
      <c r="H14" s="12"/>
      <c r="I14" s="102">
        <v>-45444</v>
      </c>
      <c r="J14" s="12"/>
      <c r="K14" s="12"/>
      <c r="L14" s="12"/>
      <c r="M14" s="12">
        <f t="shared" si="0"/>
        <v>-45444</v>
      </c>
    </row>
    <row r="15" spans="1:13">
      <c r="C15" t="s">
        <v>183</v>
      </c>
      <c r="H15" s="12"/>
      <c r="I15" s="14">
        <v>-79300</v>
      </c>
      <c r="J15" s="12">
        <v>590</v>
      </c>
      <c r="K15" s="12"/>
      <c r="L15" s="12">
        <v>1129047</v>
      </c>
      <c r="M15" s="12">
        <f t="shared" si="0"/>
        <v>1050337</v>
      </c>
    </row>
    <row r="16" spans="1:13">
      <c r="C16" t="s">
        <v>200</v>
      </c>
      <c r="H16" s="12"/>
      <c r="I16" s="98">
        <v>-26344</v>
      </c>
      <c r="J16" s="12"/>
      <c r="K16" s="12"/>
      <c r="L16" s="12"/>
      <c r="M16" s="12">
        <f t="shared" si="0"/>
        <v>-26344</v>
      </c>
    </row>
    <row r="17" spans="1:13">
      <c r="C17" t="s">
        <v>559</v>
      </c>
      <c r="H17" s="12"/>
      <c r="I17" s="107">
        <v>-157611</v>
      </c>
      <c r="J17" s="12"/>
      <c r="K17" s="12"/>
      <c r="L17" s="12"/>
      <c r="M17" s="12">
        <f t="shared" si="0"/>
        <v>-157611</v>
      </c>
    </row>
    <row r="18" spans="1:13">
      <c r="H18" s="12"/>
      <c r="I18" s="12"/>
      <c r="J18" s="12"/>
      <c r="K18" s="12"/>
      <c r="L18" s="12"/>
      <c r="M18" s="12"/>
    </row>
    <row r="19" spans="1:13">
      <c r="E19" s="19" t="s">
        <v>22</v>
      </c>
      <c r="F19" s="19"/>
      <c r="G19" s="19"/>
      <c r="H19" s="20"/>
      <c r="I19" s="20">
        <f>SUM(I9:I17)</f>
        <v>-12745065</v>
      </c>
      <c r="J19" s="20">
        <f>SUM(J9:J17)</f>
        <v>4313027</v>
      </c>
      <c r="K19" s="20">
        <f>SUM(K9:K17)</f>
        <v>2395466</v>
      </c>
      <c r="L19" s="20">
        <f>SUM(L9:L17)</f>
        <v>1169915</v>
      </c>
      <c r="M19" s="91">
        <f>SUM(M9:M17)</f>
        <v>-4866657</v>
      </c>
    </row>
    <row r="20" spans="1:13">
      <c r="E20" s="8"/>
      <c r="F20" s="8"/>
      <c r="G20" s="8"/>
      <c r="H20" s="26"/>
      <c r="I20" s="26"/>
      <c r="J20" s="26"/>
      <c r="K20" s="26"/>
      <c r="L20" s="26"/>
      <c r="M20" s="26"/>
    </row>
    <row r="21" spans="1:13">
      <c r="A21" s="8"/>
      <c r="B21" s="8"/>
      <c r="C21" s="8"/>
      <c r="D21" s="8"/>
      <c r="E21" s="8"/>
      <c r="G21" s="8" t="s">
        <v>25</v>
      </c>
      <c r="H21" s="26"/>
      <c r="I21" s="26"/>
      <c r="J21" s="26"/>
      <c r="K21" s="26"/>
      <c r="L21" s="26"/>
      <c r="M21" s="12"/>
    </row>
    <row r="22" spans="1:13">
      <c r="A22" s="8"/>
      <c r="B22" s="8"/>
      <c r="C22" s="8"/>
      <c r="D22" s="8"/>
      <c r="E22" s="8"/>
      <c r="G22" s="8"/>
      <c r="H22" s="88" t="s">
        <v>184</v>
      </c>
      <c r="I22" s="26"/>
      <c r="J22" s="26"/>
      <c r="K22" s="26"/>
      <c r="L22" s="26"/>
      <c r="M22" s="12"/>
    </row>
    <row r="23" spans="1:13">
      <c r="H23" s="12"/>
      <c r="I23" s="12" t="s">
        <v>185</v>
      </c>
      <c r="J23" s="12"/>
      <c r="K23" s="12"/>
      <c r="L23" s="12"/>
      <c r="M23" s="28">
        <v>693298</v>
      </c>
    </row>
    <row r="24" spans="1:13">
      <c r="H24" s="12"/>
      <c r="I24" s="12" t="s">
        <v>17</v>
      </c>
      <c r="J24" s="12"/>
      <c r="K24" s="12"/>
      <c r="L24" s="12"/>
      <c r="M24" s="28">
        <v>1766312</v>
      </c>
    </row>
    <row r="25" spans="1:13">
      <c r="H25" s="12"/>
      <c r="I25" s="12" t="s">
        <v>19</v>
      </c>
      <c r="J25" s="12"/>
      <c r="K25" s="12"/>
      <c r="L25" s="12"/>
      <c r="M25" s="28">
        <v>266208</v>
      </c>
    </row>
    <row r="26" spans="1:13">
      <c r="H26" s="12"/>
      <c r="I26" s="12" t="s">
        <v>20</v>
      </c>
      <c r="J26" s="12"/>
      <c r="K26" s="12"/>
      <c r="L26" s="12"/>
      <c r="M26" s="28">
        <v>532246</v>
      </c>
    </row>
    <row r="27" spans="1:13">
      <c r="H27" s="12" t="s">
        <v>135</v>
      </c>
      <c r="I27" s="12"/>
      <c r="J27" s="12"/>
      <c r="K27" s="12"/>
      <c r="L27" s="12"/>
      <c r="M27" s="14">
        <v>2460071</v>
      </c>
    </row>
    <row r="28" spans="1:13">
      <c r="H28" s="12" t="s">
        <v>187</v>
      </c>
      <c r="I28" s="12"/>
      <c r="J28" s="12"/>
      <c r="K28" s="12"/>
      <c r="L28" s="12"/>
      <c r="M28" s="15">
        <v>35475</v>
      </c>
    </row>
    <row r="29" spans="1:13">
      <c r="H29" s="12" t="s">
        <v>33</v>
      </c>
      <c r="I29" s="12"/>
      <c r="J29" s="12"/>
      <c r="K29" s="12"/>
      <c r="L29" s="12"/>
      <c r="M29" s="11">
        <v>818830</v>
      </c>
    </row>
    <row r="30" spans="1:13">
      <c r="H30" s="12" t="s">
        <v>138</v>
      </c>
      <c r="I30" s="12"/>
      <c r="J30" s="12"/>
      <c r="K30" s="12"/>
      <c r="L30" s="12"/>
      <c r="M30" s="29">
        <v>6274</v>
      </c>
    </row>
    <row r="31" spans="1:13">
      <c r="H31" s="12" t="s">
        <v>560</v>
      </c>
      <c r="I31" s="12"/>
      <c r="J31" s="12"/>
      <c r="K31" s="12"/>
      <c r="L31" s="12"/>
      <c r="M31" s="29">
        <v>3246</v>
      </c>
    </row>
    <row r="32" spans="1:13">
      <c r="H32" s="12" t="s">
        <v>95</v>
      </c>
      <c r="I32" s="12"/>
      <c r="J32" s="12"/>
      <c r="K32" s="12"/>
      <c r="L32" s="12"/>
      <c r="M32" s="29">
        <v>31820</v>
      </c>
    </row>
    <row r="33" spans="5:13">
      <c r="H33" s="12" t="s">
        <v>545</v>
      </c>
      <c r="I33" s="12"/>
      <c r="J33" s="12"/>
      <c r="K33" s="12"/>
      <c r="L33" s="12"/>
      <c r="M33" s="97">
        <v>435</v>
      </c>
    </row>
    <row r="34" spans="5:13">
      <c r="H34" s="12" t="s">
        <v>32</v>
      </c>
      <c r="I34" s="12"/>
      <c r="J34" s="12"/>
      <c r="K34" s="12"/>
      <c r="L34" s="12"/>
      <c r="M34" s="29">
        <v>132756</v>
      </c>
    </row>
    <row r="35" spans="5:13">
      <c r="H35" s="12"/>
      <c r="I35" s="12"/>
      <c r="J35" s="12"/>
      <c r="K35" s="12"/>
      <c r="L35" s="12"/>
      <c r="M35" s="12"/>
    </row>
    <row r="36" spans="5:13">
      <c r="H36" s="20" t="s">
        <v>38</v>
      </c>
      <c r="I36" s="20"/>
      <c r="J36" s="20"/>
      <c r="K36" s="20"/>
      <c r="L36" s="20"/>
      <c r="M36" s="20">
        <f>SUM(M23:M34)</f>
        <v>6746971</v>
      </c>
    </row>
    <row r="37" spans="5:13">
      <c r="H37" s="12"/>
      <c r="I37" s="12"/>
      <c r="J37" s="12"/>
      <c r="K37" s="12"/>
      <c r="L37" s="12"/>
      <c r="M37" s="12"/>
    </row>
    <row r="38" spans="5:13">
      <c r="H38" s="20" t="s">
        <v>39</v>
      </c>
      <c r="I38" s="20"/>
      <c r="J38" s="20"/>
      <c r="K38" s="20"/>
      <c r="L38" s="20"/>
      <c r="M38" s="20">
        <f>M36+M19</f>
        <v>1880314</v>
      </c>
    </row>
    <row r="39" spans="5:13">
      <c r="H39" s="26"/>
      <c r="I39" s="26"/>
      <c r="J39" s="26"/>
      <c r="K39" s="26"/>
      <c r="L39" s="26"/>
      <c r="M39" s="26"/>
    </row>
    <row r="40" spans="5:13">
      <c r="E40" s="31" t="s">
        <v>67</v>
      </c>
      <c r="F40" s="31"/>
      <c r="G40" s="31"/>
      <c r="H40" s="32"/>
      <c r="I40" s="32"/>
      <c r="J40" s="32"/>
      <c r="K40" s="32"/>
      <c r="L40" s="32"/>
      <c r="M40" s="33">
        <v>18046481</v>
      </c>
    </row>
    <row r="41" spans="5:13">
      <c r="H41" s="12"/>
      <c r="I41" s="12"/>
      <c r="J41" s="12"/>
      <c r="K41" s="12"/>
      <c r="L41" s="12"/>
      <c r="M41" s="12"/>
    </row>
    <row r="42" spans="5:13">
      <c r="E42" s="34" t="s">
        <v>44</v>
      </c>
      <c r="F42" s="34"/>
      <c r="G42" s="34"/>
      <c r="H42" s="35"/>
      <c r="I42" s="35"/>
      <c r="J42" s="35"/>
      <c r="K42" s="35"/>
      <c r="L42" s="35"/>
      <c r="M42" s="92">
        <f>SUM(M38,M40)</f>
        <v>19926795</v>
      </c>
    </row>
    <row r="49" spans="11:13">
      <c r="K49" s="9"/>
      <c r="L49" s="9"/>
      <c r="M49" s="9"/>
    </row>
  </sheetData>
  <mergeCells count="3">
    <mergeCell ref="J1:M1"/>
    <mergeCell ref="J2:M2"/>
    <mergeCell ref="J5:L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58"/>
  <sheetViews>
    <sheetView topLeftCell="A4" workbookViewId="0">
      <selection activeCell="M50" sqref="M50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4.42578125" customWidth="1"/>
    <col min="15" max="15" width="15.42578125" customWidth="1"/>
  </cols>
  <sheetData>
    <row r="1" spans="1:16" ht="30" customHeight="1">
      <c r="J1" s="258" t="s">
        <v>561</v>
      </c>
      <c r="K1" s="258"/>
      <c r="L1" s="258"/>
      <c r="M1" s="258"/>
    </row>
    <row r="2" spans="1:16" ht="21.75" customHeight="1">
      <c r="J2" s="259" t="s">
        <v>1</v>
      </c>
      <c r="K2" s="259"/>
      <c r="L2" s="259"/>
      <c r="M2" s="259"/>
    </row>
    <row r="3" spans="1:16" ht="21.75" customHeight="1">
      <c r="J3" s="171"/>
      <c r="K3" s="116"/>
      <c r="L3" s="171"/>
      <c r="M3" s="171"/>
    </row>
    <row r="4" spans="1:16" ht="18.75" customHeight="1">
      <c r="E4" s="3"/>
      <c r="F4" s="3"/>
      <c r="G4" s="3"/>
      <c r="H4" s="3"/>
      <c r="I4" s="3"/>
      <c r="J4" s="3"/>
      <c r="K4" s="3"/>
      <c r="L4" s="3"/>
    </row>
    <row r="5" spans="1:16" ht="30.75" customHeight="1">
      <c r="E5" s="2"/>
      <c r="M5" s="260" t="s">
        <v>2</v>
      </c>
      <c r="N5" s="260"/>
      <c r="O5" s="260"/>
      <c r="P5" s="260"/>
    </row>
    <row r="6" spans="1:16" ht="15" customHeight="1">
      <c r="A6" t="s">
        <v>3</v>
      </c>
      <c r="C6" s="4"/>
      <c r="D6" s="4"/>
      <c r="E6" s="4"/>
      <c r="F6" s="4"/>
      <c r="G6" s="4"/>
      <c r="H6" s="4"/>
      <c r="I6" s="4"/>
      <c r="J6" s="260" t="s">
        <v>4</v>
      </c>
      <c r="K6" s="260"/>
      <c r="L6" s="260"/>
      <c r="M6" s="174" t="s">
        <v>5</v>
      </c>
      <c r="N6" s="274" t="s">
        <v>12</v>
      </c>
      <c r="O6" s="274"/>
    </row>
    <row r="7" spans="1:16" ht="44.25" customHeight="1">
      <c r="A7" s="5" t="s">
        <v>6</v>
      </c>
      <c r="I7" s="6" t="s">
        <v>7</v>
      </c>
      <c r="J7" s="6" t="s">
        <v>8</v>
      </c>
      <c r="K7" s="6" t="s">
        <v>9</v>
      </c>
      <c r="L7" s="6" t="s">
        <v>10</v>
      </c>
      <c r="M7" s="6" t="s">
        <v>48</v>
      </c>
      <c r="N7" s="90" t="s">
        <v>251</v>
      </c>
      <c r="O7" s="90" t="s">
        <v>562</v>
      </c>
    </row>
    <row r="8" spans="1:16" ht="30.75" customHeight="1">
      <c r="A8" s="8" t="s">
        <v>13</v>
      </c>
      <c r="I8" s="9"/>
      <c r="J8" s="9"/>
      <c r="K8" s="9"/>
      <c r="L8" s="9"/>
    </row>
    <row r="9" spans="1:16">
      <c r="B9" s="10" t="s">
        <v>14</v>
      </c>
      <c r="I9" s="9"/>
      <c r="J9" s="9"/>
      <c r="K9" s="9"/>
      <c r="L9" s="9"/>
      <c r="M9" s="9"/>
    </row>
    <row r="10" spans="1:16">
      <c r="C10" t="s">
        <v>15</v>
      </c>
      <c r="H10" s="12"/>
      <c r="I10" s="11">
        <v>-3767935</v>
      </c>
      <c r="J10" s="12">
        <v>657</v>
      </c>
      <c r="K10" s="12"/>
      <c r="L10" s="12"/>
      <c r="M10" s="12">
        <f t="shared" ref="M10:M17" si="0">SUM(I10:L10)</f>
        <v>-3767278</v>
      </c>
      <c r="O10" s="12"/>
    </row>
    <row r="11" spans="1:16">
      <c r="C11" t="s">
        <v>17</v>
      </c>
      <c r="H11" s="12"/>
      <c r="I11" s="14">
        <v>-13216209</v>
      </c>
      <c r="J11" s="12"/>
      <c r="K11" s="12">
        <v>2629340</v>
      </c>
      <c r="L11" s="12">
        <v>8002605</v>
      </c>
      <c r="M11" s="12">
        <f t="shared" si="0"/>
        <v>-2584264</v>
      </c>
      <c r="O11" s="12"/>
    </row>
    <row r="12" spans="1:16">
      <c r="C12" t="s">
        <v>16</v>
      </c>
      <c r="H12" s="12"/>
      <c r="I12" s="13">
        <v>-3425127</v>
      </c>
      <c r="J12" s="12">
        <v>670708</v>
      </c>
      <c r="K12" s="12">
        <v>27102</v>
      </c>
      <c r="L12" s="12">
        <v>114902</v>
      </c>
      <c r="M12" s="12">
        <f t="shared" si="0"/>
        <v>-2612415</v>
      </c>
      <c r="O12" s="12"/>
    </row>
    <row r="13" spans="1:16">
      <c r="C13" t="s">
        <v>563</v>
      </c>
      <c r="H13" s="12"/>
      <c r="I13" s="107">
        <v>-5485143</v>
      </c>
      <c r="J13" s="12">
        <v>664715</v>
      </c>
      <c r="K13" s="12">
        <v>15344</v>
      </c>
      <c r="L13" s="12"/>
      <c r="M13" s="12">
        <f t="shared" si="0"/>
        <v>-4805084</v>
      </c>
      <c r="O13" s="12"/>
    </row>
    <row r="14" spans="1:16">
      <c r="C14" t="s">
        <v>19</v>
      </c>
      <c r="H14" s="12"/>
      <c r="I14" s="15">
        <v>-2027128</v>
      </c>
      <c r="J14" s="12">
        <v>28991</v>
      </c>
      <c r="K14" s="12">
        <v>350464</v>
      </c>
      <c r="L14" s="12"/>
      <c r="M14" s="12">
        <f t="shared" si="0"/>
        <v>-1647673</v>
      </c>
      <c r="O14" s="12"/>
    </row>
    <row r="15" spans="1:16">
      <c r="C15" t="s">
        <v>71</v>
      </c>
      <c r="H15" s="12"/>
      <c r="I15" s="102">
        <v>-79108</v>
      </c>
      <c r="J15" s="12"/>
      <c r="K15" s="12"/>
      <c r="L15" s="12"/>
      <c r="M15" s="12">
        <f t="shared" si="0"/>
        <v>-79108</v>
      </c>
      <c r="O15" s="12"/>
    </row>
    <row r="16" spans="1:16">
      <c r="C16" t="s">
        <v>20</v>
      </c>
      <c r="H16" s="12"/>
      <c r="I16" s="16">
        <v>-107341</v>
      </c>
      <c r="J16" s="12"/>
      <c r="K16" s="12"/>
      <c r="L16" s="12"/>
      <c r="M16" s="12">
        <f t="shared" si="0"/>
        <v>-107341</v>
      </c>
      <c r="O16" s="12"/>
    </row>
    <row r="17" spans="1:15">
      <c r="C17" t="s">
        <v>21</v>
      </c>
      <c r="H17" s="12"/>
      <c r="I17" s="98">
        <v>-96059</v>
      </c>
      <c r="J17" s="12"/>
      <c r="K17" s="12"/>
      <c r="L17" s="12"/>
      <c r="M17" s="12">
        <f t="shared" si="0"/>
        <v>-96059</v>
      </c>
      <c r="O17" s="12"/>
    </row>
    <row r="18" spans="1:15">
      <c r="H18" s="12"/>
      <c r="I18" s="12"/>
      <c r="J18" s="12"/>
      <c r="K18" s="12"/>
      <c r="L18" s="12"/>
      <c r="M18" s="12"/>
    </row>
    <row r="19" spans="1:15">
      <c r="E19" s="19" t="s">
        <v>22</v>
      </c>
      <c r="F19" s="19"/>
      <c r="G19" s="19"/>
      <c r="H19" s="20"/>
      <c r="I19" s="20">
        <f t="shared" ref="I19:O19" si="1">SUM(I10:I17)</f>
        <v>-28204050</v>
      </c>
      <c r="J19" s="20">
        <f t="shared" si="1"/>
        <v>1365071</v>
      </c>
      <c r="K19" s="20">
        <f t="shared" si="1"/>
        <v>3022250</v>
      </c>
      <c r="L19" s="20">
        <f t="shared" si="1"/>
        <v>8117507</v>
      </c>
      <c r="M19" s="91">
        <f t="shared" si="1"/>
        <v>-15699222</v>
      </c>
      <c r="N19" s="93">
        <f t="shared" si="1"/>
        <v>0</v>
      </c>
      <c r="O19" s="93">
        <f t="shared" si="1"/>
        <v>0</v>
      </c>
    </row>
    <row r="20" spans="1:15">
      <c r="E20" s="8"/>
      <c r="F20" s="8"/>
      <c r="G20" s="8"/>
      <c r="H20" s="26"/>
      <c r="I20" s="26"/>
      <c r="J20" s="26"/>
      <c r="K20" s="26"/>
      <c r="L20" s="26"/>
      <c r="M20" s="26"/>
    </row>
    <row r="21" spans="1:15">
      <c r="A21" s="10" t="s">
        <v>23</v>
      </c>
      <c r="H21" s="12"/>
      <c r="I21" s="12"/>
      <c r="J21" s="12"/>
      <c r="K21" s="12"/>
      <c r="L21" s="12"/>
      <c r="M21" s="12"/>
    </row>
    <row r="22" spans="1:15">
      <c r="B22" t="s">
        <v>564</v>
      </c>
      <c r="H22" s="12"/>
      <c r="I22" s="12">
        <v>-866203</v>
      </c>
      <c r="J22" s="12">
        <v>250489</v>
      </c>
      <c r="K22" s="12">
        <v>219747</v>
      </c>
      <c r="L22" s="12"/>
      <c r="M22" s="12"/>
      <c r="N22" s="12">
        <f>SUM(I22:L22)</f>
        <v>-395967</v>
      </c>
      <c r="O22" s="12"/>
    </row>
    <row r="23" spans="1:15">
      <c r="B23" t="s">
        <v>478</v>
      </c>
      <c r="H23" s="12"/>
      <c r="I23" s="12">
        <v>-481889</v>
      </c>
      <c r="J23" s="12"/>
      <c r="K23" s="12">
        <v>452743</v>
      </c>
      <c r="L23" s="12"/>
      <c r="M23" s="12"/>
      <c r="N23" s="12"/>
      <c r="O23" s="12">
        <f>SUM(I23:L23)</f>
        <v>-29146</v>
      </c>
    </row>
    <row r="24" spans="1:15">
      <c r="H24" s="12"/>
      <c r="I24" s="12"/>
      <c r="J24" s="12"/>
      <c r="K24" s="12"/>
      <c r="L24" s="12"/>
      <c r="M24" s="12"/>
    </row>
    <row r="25" spans="1:15">
      <c r="E25" s="19" t="s">
        <v>92</v>
      </c>
      <c r="F25" s="19"/>
      <c r="G25" s="19"/>
      <c r="H25" s="20"/>
      <c r="I25" s="20">
        <f t="shared" ref="I25:O25" si="2">SUM(I22:I23)</f>
        <v>-1348092</v>
      </c>
      <c r="J25" s="20">
        <f t="shared" si="2"/>
        <v>250489</v>
      </c>
      <c r="K25" s="20">
        <f t="shared" si="2"/>
        <v>672490</v>
      </c>
      <c r="L25" s="20">
        <f t="shared" si="2"/>
        <v>0</v>
      </c>
      <c r="M25" s="91">
        <f t="shared" si="2"/>
        <v>0</v>
      </c>
      <c r="N25" s="94">
        <f t="shared" si="2"/>
        <v>-395967</v>
      </c>
      <c r="O25" s="94">
        <f t="shared" si="2"/>
        <v>-29146</v>
      </c>
    </row>
    <row r="26" spans="1:15">
      <c r="H26" s="12"/>
      <c r="I26" s="12"/>
      <c r="J26" s="12"/>
      <c r="K26" s="12"/>
      <c r="L26" s="12"/>
      <c r="M26" s="12"/>
    </row>
    <row r="27" spans="1:15">
      <c r="A27" s="8"/>
      <c r="B27" s="8"/>
      <c r="C27" s="8"/>
      <c r="D27" s="8"/>
      <c r="E27" s="8"/>
      <c r="G27" s="8" t="s">
        <v>25</v>
      </c>
      <c r="H27" s="26"/>
      <c r="I27" s="26"/>
      <c r="J27" s="26"/>
      <c r="K27" s="26"/>
      <c r="L27" s="26"/>
      <c r="M27" s="12"/>
    </row>
    <row r="28" spans="1:15">
      <c r="A28" s="8"/>
      <c r="B28" s="8"/>
      <c r="C28" s="8"/>
      <c r="D28" s="8"/>
      <c r="E28" s="8"/>
      <c r="G28" s="8"/>
      <c r="H28" s="88" t="s">
        <v>26</v>
      </c>
      <c r="I28" s="26"/>
      <c r="J28" s="26"/>
      <c r="K28" s="26"/>
      <c r="L28" s="26"/>
      <c r="M28" s="12"/>
    </row>
    <row r="29" spans="1:15">
      <c r="H29" s="12"/>
      <c r="I29" s="12" t="s">
        <v>116</v>
      </c>
      <c r="J29" s="12"/>
      <c r="K29" s="12"/>
      <c r="L29" s="12"/>
      <c r="M29" s="28">
        <v>5534910</v>
      </c>
      <c r="N29" s="12"/>
      <c r="O29" s="12"/>
    </row>
    <row r="30" spans="1:15">
      <c r="H30" s="12"/>
      <c r="I30" s="12" t="s">
        <v>565</v>
      </c>
      <c r="J30" s="12"/>
      <c r="K30" s="12"/>
      <c r="L30" s="12"/>
      <c r="M30" s="28">
        <v>375226</v>
      </c>
      <c r="N30" s="12"/>
      <c r="O30" s="12"/>
    </row>
    <row r="31" spans="1:15">
      <c r="H31" s="12"/>
      <c r="I31" s="12" t="s">
        <v>117</v>
      </c>
      <c r="J31" s="12"/>
      <c r="K31" s="12"/>
      <c r="L31" s="12"/>
      <c r="M31" s="14">
        <v>12652866</v>
      </c>
      <c r="N31" s="12"/>
      <c r="O31" s="12">
        <v>65781</v>
      </c>
    </row>
    <row r="32" spans="1:15">
      <c r="H32" s="12"/>
      <c r="I32" s="12" t="s">
        <v>284</v>
      </c>
      <c r="J32" s="12"/>
      <c r="K32" s="12"/>
      <c r="L32" s="12"/>
      <c r="M32" s="15">
        <v>975706</v>
      </c>
      <c r="N32" s="12"/>
      <c r="O32" s="12"/>
    </row>
    <row r="33" spans="8:15">
      <c r="H33" s="12"/>
      <c r="I33" s="12" t="s">
        <v>566</v>
      </c>
      <c r="J33" s="12"/>
      <c r="K33" s="12"/>
      <c r="L33" s="12"/>
      <c r="M33" s="14">
        <v>139766</v>
      </c>
      <c r="N33" s="12"/>
      <c r="O33" s="12"/>
    </row>
    <row r="34" spans="8:15">
      <c r="H34" s="12"/>
      <c r="I34" s="12" t="s">
        <v>255</v>
      </c>
      <c r="J34" s="12"/>
      <c r="K34" s="12"/>
      <c r="L34" s="12"/>
      <c r="M34" s="15">
        <v>9483</v>
      </c>
      <c r="O34" s="12"/>
    </row>
    <row r="35" spans="8:15">
      <c r="H35" s="12" t="s">
        <v>118</v>
      </c>
      <c r="I35" s="12"/>
      <c r="J35" s="12"/>
      <c r="K35" s="12"/>
      <c r="L35" s="12"/>
      <c r="M35" s="12"/>
      <c r="O35" s="12"/>
    </row>
    <row r="36" spans="8:15">
      <c r="H36" s="12"/>
      <c r="I36" s="12" t="s">
        <v>75</v>
      </c>
      <c r="J36" s="12"/>
      <c r="K36" s="12"/>
      <c r="L36" s="12"/>
      <c r="M36" s="105">
        <v>338954</v>
      </c>
      <c r="O36" s="12"/>
    </row>
    <row r="37" spans="8:15">
      <c r="H37" s="12"/>
      <c r="I37" s="12" t="s">
        <v>166</v>
      </c>
      <c r="J37" s="12"/>
      <c r="K37" s="12"/>
      <c r="L37" s="12"/>
      <c r="M37" s="11">
        <v>238724</v>
      </c>
      <c r="O37" s="12"/>
    </row>
    <row r="38" spans="8:15">
      <c r="H38" s="12" t="s">
        <v>567</v>
      </c>
      <c r="I38" s="12"/>
      <c r="J38" s="12"/>
      <c r="K38" s="12"/>
      <c r="L38" s="12"/>
      <c r="M38" s="29">
        <v>547804</v>
      </c>
      <c r="O38" s="12"/>
    </row>
    <row r="39" spans="8:15">
      <c r="H39" s="12" t="s">
        <v>568</v>
      </c>
      <c r="I39" s="12"/>
      <c r="J39" s="12"/>
      <c r="K39" s="12"/>
      <c r="L39" s="12"/>
      <c r="M39" s="29">
        <v>293902</v>
      </c>
      <c r="N39">
        <v>54</v>
      </c>
      <c r="O39" s="12">
        <v>1848</v>
      </c>
    </row>
    <row r="40" spans="8:15">
      <c r="H40" s="12" t="s">
        <v>36</v>
      </c>
      <c r="I40" s="12"/>
      <c r="J40" s="12"/>
      <c r="K40" s="12"/>
      <c r="L40" s="12"/>
      <c r="M40" s="29">
        <v>180388</v>
      </c>
      <c r="O40" s="12">
        <v>11487</v>
      </c>
    </row>
    <row r="41" spans="8:15">
      <c r="H41" s="12" t="s">
        <v>95</v>
      </c>
      <c r="I41" s="12"/>
      <c r="J41" s="12"/>
      <c r="K41" s="12"/>
      <c r="L41" s="12"/>
      <c r="M41" s="29">
        <v>15565</v>
      </c>
      <c r="O41" s="12"/>
    </row>
    <row r="42" spans="8:15">
      <c r="H42" s="12" t="s">
        <v>569</v>
      </c>
      <c r="I42" s="12"/>
      <c r="J42" s="12"/>
      <c r="K42" s="12"/>
      <c r="L42" s="12"/>
      <c r="M42" s="29">
        <v>-176651</v>
      </c>
      <c r="N42" s="9"/>
      <c r="O42" s="12"/>
    </row>
    <row r="43" spans="8:15">
      <c r="H43" s="12" t="s">
        <v>37</v>
      </c>
      <c r="I43" s="12"/>
      <c r="J43" s="12"/>
      <c r="K43" s="12"/>
      <c r="L43" s="12"/>
      <c r="M43" s="97">
        <v>-408057</v>
      </c>
      <c r="N43" s="9">
        <v>408057</v>
      </c>
      <c r="O43" s="12"/>
    </row>
    <row r="44" spans="8:15">
      <c r="H44" s="12"/>
      <c r="I44" s="12"/>
      <c r="J44" s="12"/>
      <c r="K44" s="12"/>
      <c r="L44" s="12"/>
      <c r="M44" s="12"/>
    </row>
    <row r="45" spans="8:15">
      <c r="H45" s="20" t="s">
        <v>282</v>
      </c>
      <c r="I45" s="20"/>
      <c r="J45" s="20"/>
      <c r="K45" s="20"/>
      <c r="L45" s="20"/>
      <c r="M45" s="20">
        <f>SUM(M29:M43)</f>
        <v>20718586</v>
      </c>
      <c r="N45" s="94">
        <f>SUM(N29:N43)</f>
        <v>408111</v>
      </c>
      <c r="O45" s="94">
        <f>SUM(O29:O43)</f>
        <v>79116</v>
      </c>
    </row>
    <row r="46" spans="8:15">
      <c r="H46" s="12"/>
      <c r="I46" s="12"/>
      <c r="J46" s="12"/>
      <c r="K46" s="12"/>
      <c r="L46" s="12"/>
      <c r="M46" s="12"/>
    </row>
    <row r="47" spans="8:15">
      <c r="H47" s="20" t="s">
        <v>39</v>
      </c>
      <c r="I47" s="20"/>
      <c r="J47" s="20"/>
      <c r="K47" s="20"/>
      <c r="L47" s="20"/>
      <c r="M47" s="20">
        <f>M45+M19</f>
        <v>5019364</v>
      </c>
      <c r="N47" s="94">
        <f>N45+N25</f>
        <v>12144</v>
      </c>
      <c r="O47" s="94">
        <f>O45+O25+O19</f>
        <v>49970</v>
      </c>
    </row>
    <row r="48" spans="8:15">
      <c r="H48" s="26"/>
      <c r="I48" s="26"/>
      <c r="J48" s="26"/>
      <c r="K48" s="26"/>
      <c r="L48" s="26"/>
      <c r="M48" s="26"/>
    </row>
    <row r="49" spans="5:15">
      <c r="E49" s="31" t="s">
        <v>67</v>
      </c>
      <c r="F49" s="31"/>
      <c r="G49" s="31"/>
      <c r="H49" s="32"/>
      <c r="I49" s="32"/>
      <c r="J49" s="32"/>
      <c r="K49" s="32"/>
      <c r="L49" s="32"/>
      <c r="M49" s="33">
        <v>130630613</v>
      </c>
      <c r="N49" s="95">
        <v>205604</v>
      </c>
      <c r="O49" s="95">
        <v>194195</v>
      </c>
    </row>
    <row r="50" spans="5:15">
      <c r="H50" s="12"/>
      <c r="I50" s="12"/>
      <c r="J50" s="12"/>
      <c r="K50" s="12"/>
      <c r="L50" s="12"/>
      <c r="M50" s="12"/>
    </row>
    <row r="51" spans="5:15">
      <c r="E51" s="34" t="s">
        <v>44</v>
      </c>
      <c r="F51" s="34"/>
      <c r="G51" s="34"/>
      <c r="H51" s="35"/>
      <c r="I51" s="35"/>
      <c r="J51" s="35"/>
      <c r="K51" s="35"/>
      <c r="L51" s="35"/>
      <c r="M51" s="92">
        <f>M49+M47</f>
        <v>135649977</v>
      </c>
      <c r="N51" s="92">
        <f t="shared" ref="N51:O51" si="3">N49+N47</f>
        <v>217748</v>
      </c>
      <c r="O51" s="92">
        <f t="shared" si="3"/>
        <v>244165</v>
      </c>
    </row>
    <row r="58" spans="5:15">
      <c r="K58" s="9"/>
      <c r="L58" s="9"/>
      <c r="M58" s="9"/>
    </row>
  </sheetData>
  <mergeCells count="5">
    <mergeCell ref="J1:M1"/>
    <mergeCell ref="J2:M2"/>
    <mergeCell ref="M5:P5"/>
    <mergeCell ref="J6:L6"/>
    <mergeCell ref="N6:O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N47"/>
  <sheetViews>
    <sheetView topLeftCell="A4" workbookViewId="0">
      <selection activeCell="K52" sqref="K52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3" width="19.28515625" customWidth="1"/>
    <col min="14" max="14" width="15.85546875" customWidth="1"/>
  </cols>
  <sheetData>
    <row r="1" spans="1:14" ht="27.75" customHeight="1">
      <c r="J1" s="258" t="s">
        <v>570</v>
      </c>
      <c r="K1" s="258"/>
      <c r="L1" s="258"/>
      <c r="M1" s="258"/>
    </row>
    <row r="2" spans="1:14" ht="18">
      <c r="J2" s="259" t="s">
        <v>1</v>
      </c>
      <c r="K2" s="259"/>
      <c r="L2" s="259"/>
      <c r="M2" s="259"/>
    </row>
    <row r="3" spans="1:14" ht="15.75">
      <c r="E3" s="3"/>
      <c r="F3" s="3"/>
      <c r="G3" s="3"/>
      <c r="H3" s="3"/>
      <c r="I3" s="3"/>
      <c r="J3" s="3"/>
      <c r="K3" s="3"/>
      <c r="L3" s="3"/>
      <c r="M3" s="3"/>
    </row>
    <row r="4" spans="1:14" ht="15.75" customHeight="1">
      <c r="E4" s="2"/>
    </row>
    <row r="5" spans="1:14" ht="45.7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1" t="s">
        <v>97</v>
      </c>
      <c r="N5" s="261"/>
    </row>
    <row r="6" spans="1:14" ht="30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7">
        <v>2013</v>
      </c>
      <c r="N6" s="7">
        <v>2012</v>
      </c>
    </row>
    <row r="7" spans="1:14">
      <c r="A7" s="8" t="s">
        <v>376</v>
      </c>
      <c r="I7" s="9"/>
      <c r="J7" s="9"/>
      <c r="K7" s="9"/>
      <c r="L7" s="9"/>
      <c r="M7" s="9"/>
    </row>
    <row r="8" spans="1:14">
      <c r="C8" t="s">
        <v>15</v>
      </c>
      <c r="H8" s="12"/>
      <c r="I8" s="12"/>
      <c r="J8" s="12"/>
      <c r="K8" s="12"/>
      <c r="L8" s="12"/>
      <c r="M8" s="12"/>
    </row>
    <row r="9" spans="1:14">
      <c r="D9" t="s">
        <v>99</v>
      </c>
      <c r="I9" s="97">
        <v>-514101</v>
      </c>
      <c r="J9" s="12"/>
      <c r="K9" s="12"/>
      <c r="L9" s="12"/>
      <c r="M9" s="12">
        <f t="shared" ref="M9:M19" si="0">SUM(I9:L9)</f>
        <v>-514101</v>
      </c>
      <c r="N9">
        <v>-521857</v>
      </c>
    </row>
    <row r="10" spans="1:14">
      <c r="D10" t="s">
        <v>100</v>
      </c>
      <c r="I10" s="98">
        <v>-1508435</v>
      </c>
      <c r="J10" s="12">
        <v>808543</v>
      </c>
      <c r="K10" s="12">
        <v>83974</v>
      </c>
      <c r="L10" s="12"/>
      <c r="M10" s="12">
        <f t="shared" si="0"/>
        <v>-615918</v>
      </c>
      <c r="N10" s="12">
        <v>-1160815</v>
      </c>
    </row>
    <row r="11" spans="1:14">
      <c r="D11" t="s">
        <v>102</v>
      </c>
      <c r="I11" s="101">
        <v>-83787</v>
      </c>
      <c r="J11" s="12"/>
      <c r="K11" s="12"/>
      <c r="L11" s="12"/>
      <c r="M11" s="12">
        <f t="shared" si="0"/>
        <v>-83787</v>
      </c>
      <c r="N11">
        <v>-61855</v>
      </c>
    </row>
    <row r="12" spans="1:14">
      <c r="D12" t="s">
        <v>143</v>
      </c>
      <c r="I12" s="110">
        <v>-2618264</v>
      </c>
      <c r="J12" s="12">
        <v>302516</v>
      </c>
      <c r="K12" s="12"/>
      <c r="L12" s="12"/>
      <c r="M12" s="12">
        <f t="shared" si="0"/>
        <v>-2315748</v>
      </c>
      <c r="N12">
        <v>-2421602</v>
      </c>
    </row>
    <row r="13" spans="1:14">
      <c r="D13" t="s">
        <v>32</v>
      </c>
      <c r="I13" s="108">
        <v>-3128836</v>
      </c>
      <c r="J13" s="12"/>
      <c r="K13" s="12"/>
      <c r="L13" s="12"/>
      <c r="M13" s="12">
        <f t="shared" si="0"/>
        <v>-3128836</v>
      </c>
      <c r="N13">
        <v>-2739397</v>
      </c>
    </row>
    <row r="14" spans="1:14">
      <c r="C14" t="s">
        <v>16</v>
      </c>
      <c r="H14" s="12"/>
      <c r="I14" s="13">
        <v>-1518408</v>
      </c>
      <c r="J14" s="12"/>
      <c r="K14" s="12">
        <v>224094</v>
      </c>
      <c r="L14" s="12"/>
      <c r="M14" s="12">
        <f t="shared" si="0"/>
        <v>-1294314</v>
      </c>
      <c r="N14">
        <v>-961313</v>
      </c>
    </row>
    <row r="15" spans="1:14">
      <c r="C15" t="s">
        <v>17</v>
      </c>
      <c r="H15" s="12"/>
      <c r="I15" s="14">
        <v>-9584539</v>
      </c>
      <c r="J15" s="12">
        <v>16666</v>
      </c>
      <c r="K15" s="12">
        <v>594933</v>
      </c>
      <c r="L15" s="12"/>
      <c r="M15" s="12">
        <f t="shared" si="0"/>
        <v>-8972940</v>
      </c>
      <c r="N15" s="12">
        <v>-8874765</v>
      </c>
    </row>
    <row r="16" spans="1:14">
      <c r="C16" t="s">
        <v>19</v>
      </c>
      <c r="H16" s="12"/>
      <c r="I16" s="15">
        <v>-855271</v>
      </c>
      <c r="J16" s="12"/>
      <c r="K16" s="12">
        <v>221704</v>
      </c>
      <c r="L16" s="12"/>
      <c r="M16" s="12">
        <f t="shared" si="0"/>
        <v>-633567</v>
      </c>
      <c r="N16">
        <v>-721689</v>
      </c>
    </row>
    <row r="17" spans="1:14">
      <c r="C17" t="s">
        <v>20</v>
      </c>
      <c r="H17" s="12"/>
      <c r="I17" s="16">
        <v>-2093398</v>
      </c>
      <c r="J17" s="12">
        <v>165214</v>
      </c>
      <c r="K17" s="12">
        <v>9474</v>
      </c>
      <c r="L17" s="12"/>
      <c r="M17" s="12">
        <f t="shared" si="0"/>
        <v>-1918710</v>
      </c>
      <c r="N17" s="12">
        <v>-1423772</v>
      </c>
    </row>
    <row r="18" spans="1:14">
      <c r="C18" t="s">
        <v>18</v>
      </c>
      <c r="H18" s="12"/>
      <c r="I18" s="102">
        <v>-883329</v>
      </c>
      <c r="J18" s="12"/>
      <c r="K18" s="12">
        <v>50943</v>
      </c>
      <c r="L18" s="12">
        <v>214262</v>
      </c>
      <c r="M18" s="12">
        <f t="shared" si="0"/>
        <v>-618124</v>
      </c>
      <c r="N18" s="12">
        <v>-621067</v>
      </c>
    </row>
    <row r="19" spans="1:14">
      <c r="C19" t="s">
        <v>105</v>
      </c>
      <c r="H19" s="12"/>
      <c r="I19" s="98">
        <v>-382172</v>
      </c>
      <c r="J19" s="12"/>
      <c r="K19" s="12"/>
      <c r="L19" s="12"/>
      <c r="M19" s="12">
        <f t="shared" si="0"/>
        <v>-382172</v>
      </c>
      <c r="N19">
        <v>-391196</v>
      </c>
    </row>
    <row r="20" spans="1:14">
      <c r="H20" s="12"/>
      <c r="I20" s="12"/>
      <c r="J20" s="12"/>
      <c r="K20" s="12"/>
      <c r="L20" s="12"/>
      <c r="M20" s="12"/>
    </row>
    <row r="21" spans="1:14">
      <c r="E21" s="19" t="s">
        <v>22</v>
      </c>
      <c r="F21" s="19"/>
      <c r="G21" s="19"/>
      <c r="H21" s="20"/>
      <c r="I21" s="20">
        <f t="shared" ref="I21:N21" si="1">SUM(I9:I19)</f>
        <v>-23170540</v>
      </c>
      <c r="J21" s="20">
        <f t="shared" si="1"/>
        <v>1292939</v>
      </c>
      <c r="K21" s="20">
        <f t="shared" si="1"/>
        <v>1185122</v>
      </c>
      <c r="L21" s="20">
        <f t="shared" si="1"/>
        <v>214262</v>
      </c>
      <c r="M21" s="20">
        <f t="shared" si="1"/>
        <v>-20478217</v>
      </c>
      <c r="N21" s="20">
        <f t="shared" si="1"/>
        <v>-19899328</v>
      </c>
    </row>
    <row r="22" spans="1:14">
      <c r="H22" s="12"/>
      <c r="I22" s="12"/>
      <c r="J22" s="12"/>
      <c r="K22" s="12"/>
      <c r="L22" s="12"/>
      <c r="M22" s="12"/>
    </row>
    <row r="23" spans="1:14">
      <c r="A23" s="8"/>
      <c r="B23" s="8"/>
      <c r="C23" s="8"/>
      <c r="D23" s="8"/>
      <c r="E23" s="8"/>
      <c r="G23" s="8" t="s">
        <v>25</v>
      </c>
      <c r="H23" s="26"/>
      <c r="I23" s="26"/>
      <c r="J23" s="26"/>
      <c r="K23" s="26"/>
      <c r="L23" s="26"/>
      <c r="M23" s="26"/>
    </row>
    <row r="24" spans="1:14">
      <c r="A24" s="8"/>
      <c r="B24" s="8"/>
      <c r="C24" s="8"/>
      <c r="D24" s="8"/>
      <c r="E24" s="8"/>
      <c r="G24" s="27"/>
      <c r="H24" s="88" t="s">
        <v>26</v>
      </c>
      <c r="I24" s="26"/>
      <c r="J24" s="26"/>
      <c r="K24" s="26"/>
      <c r="L24" s="26"/>
      <c r="M24" s="26"/>
    </row>
    <row r="25" spans="1:14">
      <c r="H25" s="12"/>
      <c r="I25" s="12" t="s">
        <v>116</v>
      </c>
      <c r="J25" s="12"/>
      <c r="K25" s="12"/>
      <c r="L25" s="12"/>
      <c r="M25" s="28">
        <v>5068036</v>
      </c>
      <c r="N25">
        <v>4984332</v>
      </c>
    </row>
    <row r="26" spans="1:14">
      <c r="H26" s="12"/>
      <c r="I26" s="12" t="s">
        <v>242</v>
      </c>
      <c r="J26" s="12"/>
      <c r="K26" s="12"/>
      <c r="L26" s="12"/>
      <c r="M26" s="28">
        <v>587004</v>
      </c>
      <c r="N26">
        <v>543788</v>
      </c>
    </row>
    <row r="27" spans="1:14">
      <c r="H27" s="12"/>
      <c r="I27" s="12" t="s">
        <v>117</v>
      </c>
      <c r="J27" s="12"/>
      <c r="K27" s="12"/>
      <c r="L27" s="12"/>
      <c r="M27" s="14">
        <v>8614270</v>
      </c>
      <c r="N27">
        <v>9567176</v>
      </c>
    </row>
    <row r="28" spans="1:14">
      <c r="H28" s="12" t="s">
        <v>571</v>
      </c>
      <c r="I28" s="12"/>
      <c r="J28" s="12"/>
      <c r="K28" s="12"/>
      <c r="L28" s="12"/>
      <c r="M28" s="129"/>
    </row>
    <row r="29" spans="1:14">
      <c r="H29" s="12"/>
      <c r="I29" s="12" t="s">
        <v>572</v>
      </c>
      <c r="J29" s="12"/>
      <c r="K29" s="12"/>
      <c r="L29" s="12"/>
      <c r="M29" s="107">
        <v>786815</v>
      </c>
      <c r="N29">
        <v>1075978</v>
      </c>
    </row>
    <row r="30" spans="1:14">
      <c r="H30" s="12"/>
      <c r="I30" s="12" t="s">
        <v>410</v>
      </c>
      <c r="J30" s="12"/>
      <c r="K30" s="12"/>
      <c r="L30" s="12"/>
      <c r="M30" s="106">
        <v>2129891</v>
      </c>
      <c r="N30">
        <v>2567177</v>
      </c>
    </row>
    <row r="31" spans="1:14">
      <c r="H31" s="12" t="s">
        <v>122</v>
      </c>
      <c r="I31" s="12"/>
      <c r="J31" s="12"/>
      <c r="K31" s="12"/>
      <c r="L31" s="12"/>
      <c r="M31" s="29">
        <v>187464</v>
      </c>
      <c r="N31">
        <v>103413</v>
      </c>
    </row>
    <row r="32" spans="1:14">
      <c r="H32" s="12" t="s">
        <v>36</v>
      </c>
      <c r="I32" s="12"/>
      <c r="J32" s="12"/>
      <c r="K32" s="12"/>
      <c r="L32" s="12"/>
      <c r="M32" s="29">
        <v>2416157</v>
      </c>
      <c r="N32">
        <v>1801664</v>
      </c>
    </row>
    <row r="33" spans="5:14">
      <c r="H33" s="12"/>
      <c r="I33" s="12"/>
      <c r="J33" s="12"/>
      <c r="K33" s="12"/>
      <c r="L33" s="12"/>
      <c r="M33" s="12"/>
    </row>
    <row r="34" spans="5:14">
      <c r="H34" s="20" t="s">
        <v>338</v>
      </c>
      <c r="I34" s="20"/>
      <c r="J34" s="20"/>
      <c r="K34" s="20"/>
      <c r="L34" s="20"/>
      <c r="M34" s="20">
        <f>SUM(M25:M32)</f>
        <v>19789637</v>
      </c>
      <c r="N34" s="20">
        <f>SUM(N25:N32)</f>
        <v>20643528</v>
      </c>
    </row>
    <row r="35" spans="5:14">
      <c r="H35" s="12"/>
      <c r="I35" s="12"/>
      <c r="J35" s="12"/>
      <c r="K35" s="12"/>
      <c r="L35" s="12"/>
      <c r="M35" s="12"/>
    </row>
    <row r="36" spans="5:14">
      <c r="H36" s="20" t="s">
        <v>339</v>
      </c>
      <c r="I36" s="20"/>
      <c r="J36" s="20"/>
      <c r="K36" s="20"/>
      <c r="L36" s="20"/>
      <c r="M36" s="20">
        <f>M34+M21</f>
        <v>-688580</v>
      </c>
      <c r="N36" s="20">
        <f>N34+N21</f>
        <v>744200</v>
      </c>
    </row>
    <row r="37" spans="5:14">
      <c r="H37" s="26"/>
      <c r="I37" s="26"/>
      <c r="J37" s="26"/>
      <c r="K37" s="26"/>
      <c r="L37" s="26"/>
      <c r="M37" s="26"/>
    </row>
    <row r="38" spans="5:14">
      <c r="E38" s="31" t="s">
        <v>573</v>
      </c>
      <c r="F38" s="31"/>
      <c r="G38" s="31"/>
      <c r="H38" s="32"/>
      <c r="I38" s="32"/>
      <c r="J38" s="32"/>
      <c r="K38" s="32"/>
      <c r="L38" s="32"/>
      <c r="M38" s="32">
        <v>55493004</v>
      </c>
      <c r="N38" s="32">
        <v>54748805</v>
      </c>
    </row>
    <row r="39" spans="5:14">
      <c r="H39" s="12"/>
      <c r="I39" s="12"/>
      <c r="J39" s="12"/>
      <c r="K39" s="12"/>
      <c r="L39" s="12"/>
      <c r="M39" s="12"/>
    </row>
    <row r="40" spans="5:14">
      <c r="E40" s="34" t="s">
        <v>574</v>
      </c>
      <c r="F40" s="34"/>
      <c r="G40" s="34"/>
      <c r="H40" s="35"/>
      <c r="I40" s="35"/>
      <c r="J40" s="35"/>
      <c r="K40" s="35"/>
      <c r="L40" s="92"/>
      <c r="M40" s="92">
        <f>M38+M36</f>
        <v>54804424</v>
      </c>
      <c r="N40" s="92">
        <f>N38+N36</f>
        <v>55493005</v>
      </c>
    </row>
    <row r="47" spans="5:14">
      <c r="K47" s="9"/>
      <c r="L47" s="9"/>
      <c r="M47" s="9"/>
    </row>
  </sheetData>
  <mergeCells count="4">
    <mergeCell ref="J1:M1"/>
    <mergeCell ref="J2:M2"/>
    <mergeCell ref="J5:L5"/>
    <mergeCell ref="M5:N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53"/>
  <sheetViews>
    <sheetView topLeftCell="A4" workbookViewId="0">
      <selection activeCell="M45" sqref="M45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</cols>
  <sheetData>
    <row r="1" spans="1:15" ht="30" customHeight="1">
      <c r="J1" s="258" t="s">
        <v>575</v>
      </c>
      <c r="K1" s="258"/>
      <c r="L1" s="258"/>
      <c r="M1" s="258"/>
      <c r="N1" s="170"/>
      <c r="O1" s="170"/>
    </row>
    <row r="2" spans="1:15" ht="21.75" customHeight="1">
      <c r="J2" s="259" t="s">
        <v>1</v>
      </c>
      <c r="K2" s="259"/>
      <c r="L2" s="259"/>
      <c r="M2" s="259"/>
      <c r="N2" s="171"/>
      <c r="O2" s="171"/>
    </row>
    <row r="3" spans="1:15" ht="18.75" customHeight="1">
      <c r="E3" s="3"/>
      <c r="F3" s="3"/>
      <c r="G3" s="3"/>
      <c r="H3" s="3"/>
      <c r="I3" s="3"/>
      <c r="J3" s="3"/>
      <c r="K3" s="3"/>
      <c r="L3" s="3"/>
    </row>
    <row r="4" spans="1:15" ht="18.75" customHeight="1">
      <c r="A4" t="s">
        <v>3</v>
      </c>
      <c r="C4" s="4"/>
      <c r="D4" s="4"/>
      <c r="E4" s="4"/>
      <c r="F4" s="4"/>
      <c r="G4" s="4"/>
      <c r="H4" s="4"/>
      <c r="I4" s="4"/>
      <c r="J4" s="260" t="s">
        <v>4</v>
      </c>
      <c r="K4" s="260"/>
      <c r="L4" s="260"/>
      <c r="M4" s="262" t="s">
        <v>576</v>
      </c>
      <c r="N4" s="262"/>
      <c r="O4" s="262"/>
    </row>
    <row r="5" spans="1:15" ht="44.25" customHeight="1">
      <c r="A5" s="5" t="s">
        <v>6</v>
      </c>
      <c r="I5" s="6" t="s">
        <v>7</v>
      </c>
      <c r="J5" s="6" t="s">
        <v>8</v>
      </c>
      <c r="K5" s="6" t="s">
        <v>9</v>
      </c>
      <c r="L5" s="6" t="s">
        <v>10</v>
      </c>
      <c r="M5" s="6" t="s">
        <v>48</v>
      </c>
      <c r="N5" s="6" t="s">
        <v>49</v>
      </c>
      <c r="O5" s="6" t="s">
        <v>50</v>
      </c>
    </row>
    <row r="6" spans="1:15" ht="30.75" customHeight="1">
      <c r="A6" s="8" t="s">
        <v>13</v>
      </c>
      <c r="I6" s="9"/>
      <c r="J6" s="9"/>
      <c r="K6" s="9"/>
      <c r="L6" s="9"/>
    </row>
    <row r="7" spans="1:15">
      <c r="B7" s="10" t="s">
        <v>14</v>
      </c>
      <c r="I7" s="9"/>
      <c r="J7" s="9"/>
      <c r="K7" s="9"/>
      <c r="L7" s="9"/>
      <c r="M7" s="9"/>
      <c r="N7" s="9"/>
      <c r="O7" s="9"/>
    </row>
    <row r="8" spans="1:15">
      <c r="C8" t="s">
        <v>15</v>
      </c>
      <c r="H8" s="12"/>
      <c r="I8" s="11">
        <v>-4034520</v>
      </c>
      <c r="J8" s="12">
        <v>671539</v>
      </c>
      <c r="K8" s="12">
        <v>597470</v>
      </c>
      <c r="L8" s="12"/>
      <c r="M8" s="12">
        <f t="shared" ref="M8:M15" si="0">SUM(I8:L8)</f>
        <v>-2765511</v>
      </c>
      <c r="N8" s="12"/>
      <c r="O8" s="12">
        <f t="shared" ref="O8:O15" si="1">SUM(M8:N8)</f>
        <v>-2765511</v>
      </c>
    </row>
    <row r="9" spans="1:15">
      <c r="C9" t="s">
        <v>16</v>
      </c>
      <c r="H9" s="12"/>
      <c r="I9" s="13">
        <v>-772552</v>
      </c>
      <c r="J9" s="12"/>
      <c r="K9" s="12"/>
      <c r="L9" s="12">
        <v>671494</v>
      </c>
      <c r="M9" s="12">
        <f>SUM(I9:L9)</f>
        <v>-101058</v>
      </c>
      <c r="N9" s="12"/>
      <c r="O9" s="12">
        <f>SUM(M9:N9)</f>
        <v>-101058</v>
      </c>
    </row>
    <row r="10" spans="1:15">
      <c r="C10" t="s">
        <v>448</v>
      </c>
      <c r="H10" s="12"/>
      <c r="I10" s="14">
        <v>-3634098</v>
      </c>
      <c r="J10" s="12"/>
      <c r="K10" s="12">
        <v>678300</v>
      </c>
      <c r="L10" s="12">
        <v>438948</v>
      </c>
      <c r="M10" s="12">
        <f t="shared" ref="M10" si="2">SUM(I10:L10)</f>
        <v>-2516850</v>
      </c>
      <c r="N10" s="12"/>
      <c r="O10" s="12">
        <f t="shared" ref="O10" si="3">SUM(M10:N10)</f>
        <v>-2516850</v>
      </c>
    </row>
    <row r="11" spans="1:15">
      <c r="C11" t="s">
        <v>19</v>
      </c>
      <c r="H11" s="12"/>
      <c r="I11" s="15">
        <v>-971511</v>
      </c>
      <c r="J11" s="12"/>
      <c r="K11" s="12">
        <v>330965</v>
      </c>
      <c r="L11" s="12"/>
      <c r="M11" s="12">
        <f>SUM(I11:L11)</f>
        <v>-640546</v>
      </c>
      <c r="N11" s="12"/>
      <c r="O11" s="12">
        <f>SUM(M11:N11)</f>
        <v>-640546</v>
      </c>
    </row>
    <row r="12" spans="1:15">
      <c r="C12" t="s">
        <v>20</v>
      </c>
      <c r="H12" s="12"/>
      <c r="I12" s="16">
        <v>-910745</v>
      </c>
      <c r="J12" s="12">
        <v>7400</v>
      </c>
      <c r="K12" s="12">
        <v>155462</v>
      </c>
      <c r="L12" s="12">
        <v>23878</v>
      </c>
      <c r="M12" s="12">
        <f t="shared" si="0"/>
        <v>-724005</v>
      </c>
      <c r="N12" s="12"/>
      <c r="O12" s="12">
        <f t="shared" si="1"/>
        <v>-724005</v>
      </c>
    </row>
    <row r="13" spans="1:15">
      <c r="C13" t="s">
        <v>52</v>
      </c>
      <c r="H13" s="12"/>
      <c r="I13" s="107">
        <v>-514578</v>
      </c>
      <c r="J13" s="12"/>
      <c r="K13" s="12"/>
      <c r="L13" s="12"/>
      <c r="M13" s="12">
        <f t="shared" si="0"/>
        <v>-514578</v>
      </c>
      <c r="N13" s="12"/>
      <c r="O13" s="12">
        <f t="shared" si="1"/>
        <v>-514578</v>
      </c>
    </row>
    <row r="14" spans="1:15">
      <c r="C14" t="s">
        <v>577</v>
      </c>
      <c r="H14" s="12"/>
      <c r="I14" s="107">
        <v>-474924</v>
      </c>
      <c r="J14" s="12"/>
      <c r="K14" s="12">
        <v>139474</v>
      </c>
      <c r="L14" s="12"/>
      <c r="M14" s="12">
        <f t="shared" si="0"/>
        <v>-335450</v>
      </c>
      <c r="N14" s="12"/>
      <c r="O14" s="12">
        <f t="shared" si="1"/>
        <v>-335450</v>
      </c>
    </row>
    <row r="15" spans="1:15">
      <c r="C15" t="s">
        <v>21</v>
      </c>
      <c r="H15" s="12"/>
      <c r="I15" s="98">
        <v>-296858</v>
      </c>
      <c r="J15" s="12"/>
      <c r="K15" s="12"/>
      <c r="L15" s="12"/>
      <c r="M15" s="12">
        <f t="shared" si="0"/>
        <v>-296858</v>
      </c>
      <c r="N15" s="12"/>
      <c r="O15" s="12">
        <f t="shared" si="1"/>
        <v>-296858</v>
      </c>
    </row>
    <row r="16" spans="1:15">
      <c r="H16" s="12"/>
      <c r="I16" s="12"/>
      <c r="J16" s="12"/>
      <c r="K16" s="12"/>
      <c r="L16" s="12"/>
      <c r="M16" s="12"/>
      <c r="N16" s="12"/>
      <c r="O16" s="12"/>
    </row>
    <row r="17" spans="1:15">
      <c r="E17" s="19" t="s">
        <v>22</v>
      </c>
      <c r="F17" s="19"/>
      <c r="G17" s="19"/>
      <c r="H17" s="20"/>
      <c r="I17" s="20">
        <f>SUM(I8:I15)</f>
        <v>-11609786</v>
      </c>
      <c r="J17" s="20">
        <f>SUM(J8:J15)</f>
        <v>678939</v>
      </c>
      <c r="K17" s="20">
        <f>SUM(K8:K15)</f>
        <v>1901671</v>
      </c>
      <c r="L17" s="20">
        <f>SUM(L8:L15)</f>
        <v>1134320</v>
      </c>
      <c r="M17" s="91">
        <f>SUM(M8:M15)</f>
        <v>-7894856</v>
      </c>
      <c r="N17" s="91"/>
      <c r="O17" s="91">
        <f>SUM(O8:O15)</f>
        <v>-7894856</v>
      </c>
    </row>
    <row r="18" spans="1:15">
      <c r="E18" s="8"/>
      <c r="F18" s="8"/>
      <c r="G18" s="8"/>
      <c r="H18" s="26"/>
      <c r="I18" s="26"/>
      <c r="J18" s="26"/>
      <c r="K18" s="26"/>
      <c r="L18" s="26"/>
      <c r="M18" s="26"/>
      <c r="N18" s="26"/>
      <c r="O18" s="26"/>
    </row>
    <row r="19" spans="1:15">
      <c r="B19" s="10" t="s">
        <v>84</v>
      </c>
      <c r="E19" s="8"/>
      <c r="F19" s="8"/>
      <c r="G19" s="8"/>
      <c r="H19" s="26"/>
      <c r="I19" s="26"/>
      <c r="J19" s="26"/>
      <c r="K19" s="26"/>
      <c r="L19" s="26"/>
      <c r="M19" s="26"/>
      <c r="N19" s="26"/>
      <c r="O19" s="26"/>
    </row>
    <row r="20" spans="1:15">
      <c r="C20" t="s">
        <v>578</v>
      </c>
      <c r="E20" s="8"/>
      <c r="F20" s="8"/>
      <c r="G20" s="8"/>
      <c r="H20" s="26"/>
      <c r="I20" s="117"/>
      <c r="J20" s="117"/>
      <c r="K20" s="117"/>
      <c r="L20" s="117"/>
      <c r="M20" s="117"/>
      <c r="N20" s="117">
        <f>SUM(I20:L20)</f>
        <v>0</v>
      </c>
      <c r="O20" s="117">
        <f>SUM(M20:N20)</f>
        <v>0</v>
      </c>
    </row>
    <row r="21" spans="1:15">
      <c r="E21" s="8"/>
      <c r="F21" s="8"/>
      <c r="G21" s="8"/>
      <c r="H21" s="26"/>
      <c r="I21" s="26"/>
      <c r="J21" s="26"/>
      <c r="K21" s="26"/>
      <c r="L21" s="26"/>
      <c r="M21" s="26"/>
      <c r="N21" s="26"/>
      <c r="O21" s="26"/>
    </row>
    <row r="22" spans="1:15">
      <c r="E22" s="19" t="s">
        <v>497</v>
      </c>
      <c r="F22" s="19"/>
      <c r="G22" s="19"/>
      <c r="H22" s="20"/>
      <c r="I22" s="20">
        <f>I20</f>
        <v>0</v>
      </c>
      <c r="J22" s="20">
        <f t="shared" ref="J22:L22" si="4">J20</f>
        <v>0</v>
      </c>
      <c r="K22" s="20">
        <f t="shared" si="4"/>
        <v>0</v>
      </c>
      <c r="L22" s="20">
        <f t="shared" si="4"/>
        <v>0</v>
      </c>
      <c r="M22" s="91">
        <v>0</v>
      </c>
      <c r="N22" s="91">
        <f>SUM(N20:N20)</f>
        <v>0</v>
      </c>
      <c r="O22" s="91">
        <f>SUM(O20:O20)</f>
        <v>0</v>
      </c>
    </row>
    <row r="23" spans="1:15">
      <c r="E23" s="8"/>
      <c r="F23" s="8"/>
      <c r="G23" s="8"/>
      <c r="H23" s="26"/>
      <c r="I23" s="26"/>
      <c r="J23" s="26"/>
      <c r="K23" s="26"/>
      <c r="L23" s="26"/>
      <c r="M23" s="26"/>
      <c r="N23" s="26"/>
      <c r="O23" s="26"/>
    </row>
    <row r="24" spans="1:15">
      <c r="E24" s="19" t="s">
        <v>89</v>
      </c>
      <c r="F24" s="19"/>
      <c r="G24" s="19"/>
      <c r="H24" s="20"/>
      <c r="I24" s="20">
        <f>I22+I17</f>
        <v>-11609786</v>
      </c>
      <c r="J24" s="20">
        <f t="shared" ref="J24:O24" si="5">J22+J17</f>
        <v>678939</v>
      </c>
      <c r="K24" s="20">
        <f t="shared" si="5"/>
        <v>1901671</v>
      </c>
      <c r="L24" s="20">
        <f t="shared" si="5"/>
        <v>1134320</v>
      </c>
      <c r="M24" s="20">
        <f>M22+M17</f>
        <v>-7894856</v>
      </c>
      <c r="N24" s="20">
        <f t="shared" si="5"/>
        <v>0</v>
      </c>
      <c r="O24" s="20">
        <f t="shared" si="5"/>
        <v>-7894856</v>
      </c>
    </row>
    <row r="25" spans="1:15">
      <c r="H25" s="12"/>
      <c r="I25" s="12"/>
      <c r="J25" s="12"/>
      <c r="K25" s="12"/>
      <c r="L25" s="12"/>
      <c r="M25" s="12"/>
      <c r="N25" s="12"/>
      <c r="O25" s="12"/>
    </row>
    <row r="26" spans="1:15">
      <c r="A26" s="8"/>
      <c r="B26" s="8"/>
      <c r="C26" s="8"/>
      <c r="D26" s="8"/>
      <c r="E26" s="8"/>
      <c r="G26" s="8" t="s">
        <v>25</v>
      </c>
      <c r="H26" s="26"/>
      <c r="I26" s="26"/>
      <c r="J26" s="26"/>
      <c r="K26" s="26"/>
      <c r="L26" s="26"/>
      <c r="M26" s="12"/>
      <c r="N26" s="12"/>
      <c r="O26" s="12"/>
    </row>
    <row r="27" spans="1:15">
      <c r="A27" s="8"/>
      <c r="B27" s="8"/>
      <c r="C27" s="8"/>
      <c r="D27" s="8"/>
      <c r="E27" s="8"/>
      <c r="G27" s="8"/>
      <c r="H27" s="88" t="s">
        <v>579</v>
      </c>
      <c r="I27" s="88"/>
      <c r="J27" s="26"/>
      <c r="K27" s="26"/>
      <c r="L27" s="26"/>
      <c r="M27" s="28">
        <v>4199263</v>
      </c>
      <c r="N27" s="12"/>
      <c r="O27" s="12">
        <f>SUM(M27:N27)</f>
        <v>4199263</v>
      </c>
    </row>
    <row r="28" spans="1:15">
      <c r="A28" s="8"/>
      <c r="B28" s="8"/>
      <c r="C28" s="8"/>
      <c r="D28" s="8"/>
      <c r="E28" s="8"/>
      <c r="G28" s="8"/>
      <c r="H28" s="88" t="s">
        <v>565</v>
      </c>
      <c r="I28" s="88"/>
      <c r="J28" s="26"/>
      <c r="K28" s="26"/>
      <c r="L28" s="26"/>
      <c r="M28" s="12"/>
      <c r="N28" s="12"/>
      <c r="O28" s="12"/>
    </row>
    <row r="29" spans="1:15">
      <c r="A29" s="8"/>
      <c r="B29" s="8"/>
      <c r="C29" s="8"/>
      <c r="D29" s="8"/>
      <c r="E29" s="8"/>
      <c r="G29" s="8"/>
      <c r="H29" s="88" t="s">
        <v>128</v>
      </c>
      <c r="I29" s="88"/>
      <c r="J29" s="26"/>
      <c r="K29" s="26"/>
      <c r="L29" s="26"/>
      <c r="M29" s="14">
        <v>4720164</v>
      </c>
      <c r="N29" s="12"/>
      <c r="O29" s="12">
        <f>SUM(M29:N29)</f>
        <v>4720164</v>
      </c>
    </row>
    <row r="30" spans="1:15">
      <c r="H30" s="12" t="s">
        <v>75</v>
      </c>
      <c r="I30" s="12"/>
      <c r="J30" s="12"/>
      <c r="K30" s="12"/>
      <c r="L30" s="12"/>
      <c r="M30" s="130">
        <v>204361</v>
      </c>
      <c r="N30" s="12"/>
      <c r="O30" s="12">
        <f t="shared" ref="O30:O38" si="6">SUM(M30:N30)</f>
        <v>204361</v>
      </c>
    </row>
    <row r="31" spans="1:15">
      <c r="H31" s="12" t="s">
        <v>580</v>
      </c>
      <c r="I31" s="12"/>
      <c r="J31" s="12"/>
      <c r="K31" s="12"/>
      <c r="L31" s="12"/>
      <c r="M31" s="15">
        <v>170784</v>
      </c>
      <c r="N31" s="12"/>
      <c r="O31" s="12">
        <f t="shared" si="6"/>
        <v>170784</v>
      </c>
    </row>
    <row r="32" spans="1:15">
      <c r="H32" s="12" t="s">
        <v>581</v>
      </c>
      <c r="I32" s="12"/>
      <c r="J32" s="12"/>
      <c r="K32" s="12"/>
      <c r="L32" s="12"/>
      <c r="M32" s="15">
        <v>15293</v>
      </c>
      <c r="N32" s="12"/>
      <c r="O32" s="12">
        <f t="shared" si="6"/>
        <v>15293</v>
      </c>
    </row>
    <row r="33" spans="5:15">
      <c r="H33" s="12" t="s">
        <v>582</v>
      </c>
      <c r="I33" s="12"/>
      <c r="J33" s="12"/>
      <c r="K33" s="12"/>
      <c r="L33" s="12"/>
      <c r="M33" s="15">
        <v>19181</v>
      </c>
      <c r="N33" s="12"/>
      <c r="O33" s="12">
        <f t="shared" si="6"/>
        <v>19181</v>
      </c>
    </row>
    <row r="34" spans="5:15">
      <c r="H34" s="12" t="s">
        <v>166</v>
      </c>
      <c r="I34" s="12"/>
      <c r="J34" s="12"/>
      <c r="K34" s="12"/>
      <c r="L34" s="12"/>
      <c r="M34" s="29">
        <v>191385</v>
      </c>
      <c r="N34" s="12"/>
      <c r="O34" s="12">
        <f t="shared" si="6"/>
        <v>191385</v>
      </c>
    </row>
    <row r="35" spans="5:15">
      <c r="H35" s="12" t="s">
        <v>272</v>
      </c>
      <c r="I35" s="12"/>
      <c r="J35" s="12"/>
      <c r="K35" s="12"/>
      <c r="L35" s="12"/>
      <c r="M35" s="29">
        <v>607276</v>
      </c>
      <c r="N35" s="12"/>
      <c r="O35" s="12">
        <f t="shared" si="6"/>
        <v>607276</v>
      </c>
    </row>
    <row r="36" spans="5:15">
      <c r="H36" s="12" t="s">
        <v>583</v>
      </c>
      <c r="I36" s="12"/>
      <c r="J36" s="12"/>
      <c r="K36" s="12"/>
      <c r="L36" s="12"/>
      <c r="M36" s="29">
        <v>10164</v>
      </c>
      <c r="N36" s="12">
        <v>4330</v>
      </c>
      <c r="O36" s="12">
        <f t="shared" si="6"/>
        <v>14494</v>
      </c>
    </row>
    <row r="37" spans="5:15">
      <c r="H37" s="12" t="s">
        <v>584</v>
      </c>
      <c r="I37" s="12"/>
      <c r="J37" s="12"/>
      <c r="K37" s="12"/>
      <c r="L37" s="12"/>
      <c r="M37" s="29">
        <v>-24238</v>
      </c>
      <c r="N37" s="12"/>
      <c r="O37" s="12">
        <f t="shared" si="6"/>
        <v>-24238</v>
      </c>
    </row>
    <row r="38" spans="5:15">
      <c r="H38" s="12" t="s">
        <v>36</v>
      </c>
      <c r="I38" s="12"/>
      <c r="J38" s="12"/>
      <c r="K38" s="12"/>
      <c r="L38" s="12"/>
      <c r="M38" s="29">
        <v>593288</v>
      </c>
      <c r="N38" s="12"/>
      <c r="O38" s="12">
        <f t="shared" si="6"/>
        <v>593288</v>
      </c>
    </row>
    <row r="39" spans="5:15">
      <c r="H39" s="12"/>
      <c r="I39" s="12"/>
      <c r="J39" s="12"/>
      <c r="K39" s="12"/>
      <c r="L39" s="12"/>
      <c r="M39" s="12"/>
      <c r="N39" s="12"/>
      <c r="O39" s="12"/>
    </row>
    <row r="40" spans="5:15">
      <c r="H40" s="20" t="s">
        <v>503</v>
      </c>
      <c r="I40" s="20"/>
      <c r="J40" s="20"/>
      <c r="K40" s="20"/>
      <c r="L40" s="20"/>
      <c r="M40" s="20">
        <f>SUM(M26:M38)</f>
        <v>10706921</v>
      </c>
      <c r="N40" s="20">
        <f>SUM(N26:N38)</f>
        <v>4330</v>
      </c>
      <c r="O40" s="20">
        <f>SUM(O27:O38)</f>
        <v>10711251</v>
      </c>
    </row>
    <row r="41" spans="5:15">
      <c r="H41" s="26"/>
      <c r="I41" s="26"/>
      <c r="J41" s="26"/>
      <c r="K41" s="26"/>
      <c r="L41" s="26"/>
      <c r="M41" s="26"/>
      <c r="N41" s="26"/>
      <c r="O41" s="26"/>
    </row>
    <row r="42" spans="5:15">
      <c r="H42" s="20" t="s">
        <v>504</v>
      </c>
      <c r="I42" s="20"/>
      <c r="J42" s="20"/>
      <c r="K42" s="20"/>
      <c r="L42" s="20"/>
      <c r="M42" s="20">
        <f>M40+M24</f>
        <v>2812065</v>
      </c>
      <c r="N42" s="20">
        <f>N40+N24</f>
        <v>4330</v>
      </c>
      <c r="O42" s="20">
        <f>O40+O24</f>
        <v>2816395</v>
      </c>
    </row>
    <row r="43" spans="5:15">
      <c r="H43" s="26"/>
      <c r="I43" s="26"/>
      <c r="J43" s="26"/>
      <c r="K43" s="26"/>
      <c r="L43" s="26"/>
      <c r="M43" s="26"/>
      <c r="N43" s="26"/>
      <c r="O43" s="26"/>
    </row>
    <row r="44" spans="5:15">
      <c r="E44" s="31" t="s">
        <v>505</v>
      </c>
      <c r="F44" s="31"/>
      <c r="G44" s="31"/>
      <c r="H44" s="32"/>
      <c r="I44" s="32"/>
      <c r="J44" s="32"/>
      <c r="K44" s="32"/>
      <c r="L44" s="32"/>
      <c r="M44" s="33">
        <v>39163566</v>
      </c>
      <c r="N44" s="33">
        <v>188021</v>
      </c>
      <c r="O44" s="33">
        <f>SUM(M44:N44)</f>
        <v>39351587</v>
      </c>
    </row>
    <row r="45" spans="5:15">
      <c r="E45" s="8"/>
      <c r="F45" s="8"/>
      <c r="G45" s="8"/>
      <c r="H45" s="26"/>
      <c r="I45" s="26"/>
      <c r="J45" s="26"/>
      <c r="K45" s="26"/>
      <c r="L45" s="26"/>
      <c r="M45" s="118"/>
      <c r="N45" s="118"/>
      <c r="O45" s="118"/>
    </row>
    <row r="46" spans="5:15">
      <c r="E46" s="34" t="s">
        <v>44</v>
      </c>
      <c r="F46" s="34"/>
      <c r="G46" s="34"/>
      <c r="H46" s="35"/>
      <c r="I46" s="35"/>
      <c r="J46" s="35"/>
      <c r="K46" s="35"/>
      <c r="L46" s="35"/>
      <c r="M46" s="92">
        <f>M44+M42</f>
        <v>41975631</v>
      </c>
      <c r="N46" s="92">
        <f t="shared" ref="N46:O46" si="7">N44+N42</f>
        <v>192351</v>
      </c>
      <c r="O46" s="92">
        <f t="shared" si="7"/>
        <v>42167982</v>
      </c>
    </row>
    <row r="53" spans="11:15">
      <c r="K53" s="9"/>
      <c r="L53" s="9"/>
      <c r="M53" s="9"/>
      <c r="N53" s="9"/>
      <c r="O53" s="9"/>
    </row>
  </sheetData>
  <mergeCells count="4">
    <mergeCell ref="J1:M1"/>
    <mergeCell ref="J2:M2"/>
    <mergeCell ref="J4:L4"/>
    <mergeCell ref="M4:O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N55"/>
  <sheetViews>
    <sheetView topLeftCell="A5" workbookViewId="0">
      <selection activeCell="M47" sqref="M47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4" width="19.28515625" customWidth="1"/>
  </cols>
  <sheetData>
    <row r="1" spans="1:14" ht="27.75" customHeight="1">
      <c r="J1" s="258" t="s">
        <v>585</v>
      </c>
      <c r="K1" s="258"/>
      <c r="L1" s="258"/>
      <c r="M1" s="258"/>
      <c r="N1" s="258"/>
    </row>
    <row r="2" spans="1:14" ht="18">
      <c r="J2" s="259" t="s">
        <v>1</v>
      </c>
      <c r="K2" s="259"/>
      <c r="L2" s="259"/>
      <c r="M2" s="259"/>
      <c r="N2" s="259"/>
    </row>
    <row r="3" spans="1:14" ht="15.75"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customHeight="1">
      <c r="E4" s="2"/>
    </row>
    <row r="5" spans="1:14" ht="35.25" customHeight="1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0" t="s">
        <v>97</v>
      </c>
      <c r="N5" s="260"/>
    </row>
    <row r="6" spans="1:14" ht="30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124" t="s">
        <v>48</v>
      </c>
      <c r="N6" s="124" t="s">
        <v>12</v>
      </c>
    </row>
    <row r="7" spans="1:14">
      <c r="A7" s="8" t="s">
        <v>376</v>
      </c>
      <c r="I7" s="9"/>
      <c r="J7" s="9"/>
      <c r="K7" s="9"/>
      <c r="L7" s="9"/>
      <c r="M7" s="9"/>
      <c r="N7" s="9"/>
    </row>
    <row r="8" spans="1:14">
      <c r="C8" t="s">
        <v>15</v>
      </c>
      <c r="H8" s="12"/>
      <c r="I8" s="12"/>
      <c r="J8" s="12"/>
      <c r="K8" s="12"/>
      <c r="L8" s="12"/>
      <c r="M8" s="12"/>
      <c r="N8" s="12"/>
    </row>
    <row r="9" spans="1:14">
      <c r="D9" t="s">
        <v>99</v>
      </c>
      <c r="I9" s="97">
        <v>-248734</v>
      </c>
      <c r="J9" s="12"/>
      <c r="K9" s="12"/>
      <c r="L9" s="12"/>
      <c r="M9" s="12">
        <f t="shared" ref="M9:M19" si="0">SUM(I9:L9)</f>
        <v>-248734</v>
      </c>
      <c r="N9" s="12"/>
    </row>
    <row r="10" spans="1:14">
      <c r="D10" t="s">
        <v>100</v>
      </c>
      <c r="I10" s="98">
        <v>-1724673</v>
      </c>
      <c r="J10" s="12">
        <v>385091</v>
      </c>
      <c r="K10" s="12"/>
      <c r="L10" s="12"/>
      <c r="M10" s="12">
        <f t="shared" si="0"/>
        <v>-1339582</v>
      </c>
      <c r="N10" s="12"/>
    </row>
    <row r="11" spans="1:14">
      <c r="D11" t="s">
        <v>102</v>
      </c>
      <c r="I11" s="101">
        <v>-42547</v>
      </c>
      <c r="J11" s="12"/>
      <c r="K11" s="12"/>
      <c r="L11" s="12"/>
      <c r="M11" s="12">
        <f t="shared" si="0"/>
        <v>-42547</v>
      </c>
      <c r="N11" s="12"/>
    </row>
    <row r="12" spans="1:14">
      <c r="D12" t="s">
        <v>143</v>
      </c>
      <c r="I12" s="110">
        <v>-1169587</v>
      </c>
      <c r="J12" s="12"/>
      <c r="K12" s="12"/>
      <c r="L12" s="12"/>
      <c r="M12" s="12">
        <f t="shared" si="0"/>
        <v>-1169587</v>
      </c>
      <c r="N12" s="12"/>
    </row>
    <row r="13" spans="1:14">
      <c r="D13" t="s">
        <v>190</v>
      </c>
      <c r="I13" s="108">
        <v>-596497</v>
      </c>
      <c r="J13" s="12"/>
      <c r="K13" s="12">
        <v>32152</v>
      </c>
      <c r="L13" s="12"/>
      <c r="M13" s="12">
        <f t="shared" si="0"/>
        <v>-564345</v>
      </c>
      <c r="N13" s="12"/>
    </row>
    <row r="14" spans="1:14">
      <c r="C14" t="s">
        <v>16</v>
      </c>
      <c r="H14" s="12"/>
      <c r="I14" s="13">
        <v>-2080464</v>
      </c>
      <c r="J14" s="12"/>
      <c r="K14" s="12">
        <v>12807</v>
      </c>
      <c r="L14" s="12">
        <v>85523</v>
      </c>
      <c r="M14" s="12">
        <f t="shared" si="0"/>
        <v>-1982134</v>
      </c>
      <c r="N14" s="12"/>
    </row>
    <row r="15" spans="1:14">
      <c r="C15" t="s">
        <v>17</v>
      </c>
      <c r="H15" s="12"/>
      <c r="I15" s="14">
        <v>-2625579</v>
      </c>
      <c r="J15" s="12"/>
      <c r="K15" s="12">
        <v>569727</v>
      </c>
      <c r="L15" s="12">
        <v>150946</v>
      </c>
      <c r="M15" s="12">
        <f t="shared" si="0"/>
        <v>-1904906</v>
      </c>
      <c r="N15" s="12"/>
    </row>
    <row r="16" spans="1:14">
      <c r="C16" t="s">
        <v>19</v>
      </c>
      <c r="H16" s="12"/>
      <c r="I16" s="15">
        <v>-1005348</v>
      </c>
      <c r="J16" s="12"/>
      <c r="K16" s="12"/>
      <c r="L16" s="12"/>
      <c r="M16" s="12">
        <f t="shared" si="0"/>
        <v>-1005348</v>
      </c>
      <c r="N16" s="12"/>
    </row>
    <row r="17" spans="1:14">
      <c r="C17" t="s">
        <v>20</v>
      </c>
      <c r="H17" s="12"/>
      <c r="I17" s="16">
        <v>-2449843</v>
      </c>
      <c r="J17" s="12">
        <v>36809</v>
      </c>
      <c r="K17" s="12"/>
      <c r="L17" s="12"/>
      <c r="M17" s="12">
        <f t="shared" si="0"/>
        <v>-2413034</v>
      </c>
      <c r="N17" s="12"/>
    </row>
    <row r="18" spans="1:14">
      <c r="C18" t="s">
        <v>18</v>
      </c>
      <c r="H18" s="12"/>
      <c r="I18" s="102">
        <v>-33624</v>
      </c>
      <c r="J18" s="12"/>
      <c r="K18" s="12"/>
      <c r="L18" s="12"/>
      <c r="M18" s="12">
        <f t="shared" si="0"/>
        <v>-33624</v>
      </c>
      <c r="N18" s="12"/>
    </row>
    <row r="19" spans="1:14">
      <c r="C19" t="s">
        <v>21</v>
      </c>
      <c r="H19" s="12"/>
      <c r="I19" s="98">
        <v>-36920</v>
      </c>
      <c r="J19" s="12"/>
      <c r="K19" s="12"/>
      <c r="L19" s="12"/>
      <c r="M19" s="12">
        <f t="shared" si="0"/>
        <v>-36920</v>
      </c>
      <c r="N19" s="12"/>
    </row>
    <row r="20" spans="1:14">
      <c r="H20" s="12"/>
      <c r="I20" s="12"/>
      <c r="J20" s="12"/>
      <c r="K20" s="12"/>
      <c r="L20" s="12"/>
      <c r="M20" s="12"/>
      <c r="N20" s="12"/>
    </row>
    <row r="21" spans="1:14">
      <c r="E21" s="19" t="s">
        <v>22</v>
      </c>
      <c r="F21" s="19"/>
      <c r="G21" s="19"/>
      <c r="H21" s="20"/>
      <c r="I21" s="20">
        <f>SUM(I9:I19)</f>
        <v>-12013816</v>
      </c>
      <c r="J21" s="20">
        <f t="shared" ref="J21:M21" si="1">SUM(J9:J19)</f>
        <v>421900</v>
      </c>
      <c r="K21" s="20">
        <f>SUM(K9:K19)</f>
        <v>614686</v>
      </c>
      <c r="L21" s="91">
        <f t="shared" si="1"/>
        <v>236469</v>
      </c>
      <c r="M21" s="20">
        <f t="shared" si="1"/>
        <v>-10740761</v>
      </c>
      <c r="N21" s="20">
        <f>SUM(N9:N19)</f>
        <v>0</v>
      </c>
    </row>
    <row r="22" spans="1:14">
      <c r="H22" s="12"/>
      <c r="I22" s="12"/>
      <c r="J22" s="12"/>
      <c r="K22" s="12"/>
      <c r="L22" s="12"/>
      <c r="M22" s="12"/>
      <c r="N22" s="12"/>
    </row>
    <row r="23" spans="1:14">
      <c r="A23" s="10" t="s">
        <v>543</v>
      </c>
      <c r="H23" s="12"/>
      <c r="I23" s="12"/>
      <c r="J23" s="12"/>
      <c r="K23" s="12"/>
      <c r="L23" s="12"/>
      <c r="M23" s="12"/>
      <c r="N23" s="12"/>
    </row>
    <row r="24" spans="1:14">
      <c r="C24" t="s">
        <v>586</v>
      </c>
      <c r="H24" s="12"/>
      <c r="I24" s="12">
        <v>-4721369</v>
      </c>
      <c r="J24" s="12">
        <v>61628</v>
      </c>
      <c r="K24" s="12">
        <v>4726910</v>
      </c>
      <c r="L24" s="12"/>
      <c r="M24" s="12"/>
      <c r="N24" s="12">
        <f>SUM(I24:L24)</f>
        <v>67169</v>
      </c>
    </row>
    <row r="25" spans="1:14">
      <c r="C25" t="s">
        <v>587</v>
      </c>
      <c r="H25" s="12"/>
      <c r="I25" s="12">
        <v>-457448</v>
      </c>
      <c r="J25" s="12">
        <v>443721</v>
      </c>
      <c r="K25" s="12"/>
      <c r="L25" s="12"/>
      <c r="M25" s="12"/>
      <c r="N25" s="12">
        <f>SUM(I25:L25)</f>
        <v>-13727</v>
      </c>
    </row>
    <row r="26" spans="1:14">
      <c r="H26" s="12"/>
      <c r="I26" s="12"/>
      <c r="J26" s="12"/>
      <c r="K26" s="12"/>
      <c r="L26" s="12"/>
      <c r="M26" s="12"/>
      <c r="N26" s="12"/>
    </row>
    <row r="27" spans="1:14">
      <c r="E27" s="93" t="s">
        <v>436</v>
      </c>
      <c r="F27" s="93"/>
      <c r="G27" s="93"/>
      <c r="H27" s="94"/>
      <c r="I27" s="94">
        <f>SUM(I24:I25)</f>
        <v>-5178817</v>
      </c>
      <c r="J27" s="94">
        <f t="shared" ref="J27:N27" si="2">SUM(J24:J25)</f>
        <v>505349</v>
      </c>
      <c r="K27" s="94">
        <f t="shared" si="2"/>
        <v>4726910</v>
      </c>
      <c r="L27" s="94">
        <f t="shared" si="2"/>
        <v>0</v>
      </c>
      <c r="M27" s="94">
        <f t="shared" si="2"/>
        <v>0</v>
      </c>
      <c r="N27" s="94">
        <f t="shared" si="2"/>
        <v>53442</v>
      </c>
    </row>
    <row r="28" spans="1:14">
      <c r="H28" s="12"/>
      <c r="I28" s="12"/>
      <c r="J28" s="12"/>
      <c r="K28" s="12"/>
      <c r="L28" s="12"/>
      <c r="M28" s="12"/>
      <c r="N28" s="12"/>
    </row>
    <row r="29" spans="1:14">
      <c r="A29" s="8"/>
      <c r="B29" s="8"/>
      <c r="C29" s="8"/>
      <c r="D29" s="8"/>
      <c r="E29" s="8"/>
      <c r="G29" s="8" t="s">
        <v>25</v>
      </c>
      <c r="H29" s="26"/>
      <c r="I29" s="26"/>
      <c r="J29" s="26"/>
      <c r="K29" s="26"/>
      <c r="L29" s="26"/>
      <c r="M29" s="26"/>
      <c r="N29" s="26"/>
    </row>
    <row r="30" spans="1:14">
      <c r="A30" s="8"/>
      <c r="B30" s="8"/>
      <c r="C30" s="8"/>
      <c r="D30" s="8"/>
      <c r="E30" s="8"/>
      <c r="G30" s="27"/>
      <c r="H30" s="88" t="s">
        <v>26</v>
      </c>
      <c r="I30" s="26"/>
      <c r="J30" s="26"/>
      <c r="K30" s="26"/>
      <c r="L30" s="26"/>
      <c r="M30" s="26"/>
      <c r="N30" s="26"/>
    </row>
    <row r="31" spans="1:14">
      <c r="H31" s="12"/>
      <c r="I31" s="12" t="s">
        <v>116</v>
      </c>
      <c r="J31" s="12"/>
      <c r="K31" s="12"/>
      <c r="L31" s="12"/>
      <c r="M31" s="28">
        <v>5415085</v>
      </c>
      <c r="N31" s="12"/>
    </row>
    <row r="32" spans="1:14">
      <c r="H32" s="12"/>
      <c r="I32" s="12" t="s">
        <v>565</v>
      </c>
      <c r="J32" s="12"/>
      <c r="K32" s="12"/>
      <c r="L32" s="12"/>
      <c r="M32" s="28">
        <v>93168</v>
      </c>
      <c r="N32" s="12"/>
    </row>
    <row r="33" spans="5:14">
      <c r="H33" s="12"/>
      <c r="I33" s="12" t="s">
        <v>243</v>
      </c>
      <c r="J33" s="12"/>
      <c r="K33" s="12"/>
      <c r="L33" s="12"/>
      <c r="M33" s="14">
        <v>3007111</v>
      </c>
      <c r="N33" s="12"/>
    </row>
    <row r="34" spans="5:14">
      <c r="H34" s="12" t="s">
        <v>75</v>
      </c>
      <c r="I34" s="12"/>
      <c r="J34" s="12"/>
      <c r="K34" s="12"/>
      <c r="L34" s="12"/>
      <c r="M34" s="105">
        <v>260094</v>
      </c>
      <c r="N34" s="12"/>
    </row>
    <row r="35" spans="5:14">
      <c r="H35" s="12" t="s">
        <v>284</v>
      </c>
      <c r="I35" s="12"/>
      <c r="J35" s="12"/>
      <c r="K35" s="12"/>
      <c r="L35" s="12"/>
      <c r="M35" s="15">
        <v>1171189</v>
      </c>
      <c r="N35" s="12"/>
    </row>
    <row r="36" spans="5:14">
      <c r="H36" s="12" t="s">
        <v>588</v>
      </c>
      <c r="I36" s="12"/>
      <c r="J36" s="12"/>
      <c r="K36" s="12"/>
      <c r="L36" s="12"/>
      <c r="M36" s="11">
        <v>367884</v>
      </c>
      <c r="N36" s="12"/>
    </row>
    <row r="37" spans="5:14">
      <c r="H37" s="12" t="s">
        <v>589</v>
      </c>
      <c r="I37" s="12"/>
      <c r="J37" s="12"/>
      <c r="K37" s="12"/>
      <c r="L37" s="12"/>
      <c r="M37" s="29">
        <v>171006</v>
      </c>
      <c r="N37" s="12"/>
    </row>
    <row r="38" spans="5:14">
      <c r="H38" s="12" t="s">
        <v>137</v>
      </c>
      <c r="I38" s="12"/>
      <c r="J38" s="12"/>
      <c r="K38" s="12"/>
      <c r="L38" s="12"/>
      <c r="M38" s="29">
        <v>426648</v>
      </c>
      <c r="N38" s="12"/>
    </row>
    <row r="39" spans="5:14">
      <c r="H39" s="12" t="s">
        <v>122</v>
      </c>
      <c r="I39" s="12"/>
      <c r="J39" s="12"/>
      <c r="K39" s="12"/>
      <c r="L39" s="12"/>
      <c r="M39" s="29">
        <v>632510</v>
      </c>
      <c r="N39" s="12">
        <v>2072</v>
      </c>
    </row>
    <row r="40" spans="5:14">
      <c r="H40" s="12" t="s">
        <v>36</v>
      </c>
      <c r="I40" s="12"/>
      <c r="J40" s="12"/>
      <c r="K40" s="12"/>
      <c r="L40" s="12"/>
      <c r="M40" s="29">
        <v>512378</v>
      </c>
      <c r="N40" s="12">
        <v>37154</v>
      </c>
    </row>
    <row r="41" spans="5:14">
      <c r="H41" s="12"/>
      <c r="I41" s="12"/>
      <c r="J41" s="12"/>
      <c r="K41" s="12"/>
      <c r="L41" s="12"/>
      <c r="M41" s="12"/>
      <c r="N41" s="12"/>
    </row>
    <row r="42" spans="5:14">
      <c r="H42" s="20" t="s">
        <v>416</v>
      </c>
      <c r="I42" s="20"/>
      <c r="J42" s="20"/>
      <c r="K42" s="20"/>
      <c r="L42" s="20"/>
      <c r="M42" s="20">
        <f>SUM(M31:M40)</f>
        <v>12057073</v>
      </c>
      <c r="N42" s="20">
        <f>SUM(N31:N40)</f>
        <v>39226</v>
      </c>
    </row>
    <row r="43" spans="5:14">
      <c r="H43" s="12"/>
      <c r="I43" s="12"/>
      <c r="J43" s="12"/>
      <c r="K43" s="12"/>
      <c r="L43" s="12"/>
      <c r="M43" s="12"/>
      <c r="N43" s="12"/>
    </row>
    <row r="44" spans="5:14">
      <c r="H44" s="20" t="s">
        <v>590</v>
      </c>
      <c r="I44" s="20"/>
      <c r="J44" s="20"/>
      <c r="K44" s="20"/>
      <c r="L44" s="20"/>
      <c r="M44" s="20">
        <f>M42+M21</f>
        <v>1316312</v>
      </c>
      <c r="N44" s="20">
        <f>N42+N27</f>
        <v>92668</v>
      </c>
    </row>
    <row r="45" spans="5:14">
      <c r="H45" s="26"/>
      <c r="I45" s="26"/>
      <c r="J45" s="26"/>
      <c r="K45" s="26"/>
      <c r="L45" s="26"/>
      <c r="M45" s="26"/>
      <c r="N45" s="26"/>
    </row>
    <row r="46" spans="5:14">
      <c r="E46" s="31" t="s">
        <v>573</v>
      </c>
      <c r="F46" s="31"/>
      <c r="G46" s="31"/>
      <c r="H46" s="32"/>
      <c r="I46" s="32"/>
      <c r="J46" s="32"/>
      <c r="K46" s="32"/>
      <c r="L46" s="32"/>
      <c r="M46" s="32">
        <v>21523624</v>
      </c>
      <c r="N46" s="32">
        <v>2851892</v>
      </c>
    </row>
    <row r="47" spans="5:14">
      <c r="H47" s="12"/>
      <c r="I47" s="12"/>
      <c r="J47" s="12"/>
      <c r="K47" s="12"/>
      <c r="L47" s="12"/>
      <c r="M47" s="12"/>
      <c r="N47" s="12"/>
    </row>
    <row r="48" spans="5:14">
      <c r="E48" s="34" t="s">
        <v>574</v>
      </c>
      <c r="F48" s="34"/>
      <c r="G48" s="34"/>
      <c r="H48" s="35"/>
      <c r="I48" s="35"/>
      <c r="J48" s="35"/>
      <c r="K48" s="35"/>
      <c r="L48" s="92"/>
      <c r="M48" s="92">
        <f>M46+M44</f>
        <v>22839936</v>
      </c>
      <c r="N48" s="92">
        <f t="shared" ref="N48" si="3">N46+N44</f>
        <v>2944560</v>
      </c>
    </row>
    <row r="55" spans="11:14">
      <c r="K55" s="9"/>
      <c r="L55" s="9"/>
      <c r="M55" s="9"/>
      <c r="N55" s="9"/>
    </row>
  </sheetData>
  <mergeCells count="4">
    <mergeCell ref="J1:N1"/>
    <mergeCell ref="J2:N2"/>
    <mergeCell ref="J5:L5"/>
    <mergeCell ref="M5:N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L44"/>
  <sheetViews>
    <sheetView topLeftCell="A5" workbookViewId="0">
      <selection activeCell="L36" sqref="L36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24.7109375" customWidth="1"/>
    <col min="11" max="11" width="24.140625" customWidth="1"/>
    <col min="12" max="12" width="19.7109375" customWidth="1"/>
  </cols>
  <sheetData>
    <row r="1" spans="1:12" ht="22.5" customHeight="1">
      <c r="J1" s="258" t="s">
        <v>591</v>
      </c>
      <c r="K1" s="258"/>
      <c r="L1" s="258"/>
    </row>
    <row r="2" spans="1:12" ht="18">
      <c r="J2" s="259" t="s">
        <v>1</v>
      </c>
      <c r="K2" s="259"/>
      <c r="L2" s="259"/>
    </row>
    <row r="3" spans="1:12" ht="15.75">
      <c r="E3" s="3"/>
      <c r="F3" s="3"/>
      <c r="G3" s="3"/>
      <c r="H3" s="3"/>
      <c r="I3" s="3"/>
      <c r="J3" s="3"/>
      <c r="K3" s="3"/>
    </row>
    <row r="4" spans="1:12" ht="18">
      <c r="E4" s="2"/>
    </row>
    <row r="5" spans="1:12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174" t="s">
        <v>5</v>
      </c>
    </row>
    <row r="6" spans="1:12" ht="57">
      <c r="A6" s="5" t="s">
        <v>6</v>
      </c>
      <c r="I6" s="6" t="s">
        <v>7</v>
      </c>
      <c r="J6" s="6" t="s">
        <v>8</v>
      </c>
      <c r="K6" s="6" t="s">
        <v>9</v>
      </c>
      <c r="L6" s="172" t="s">
        <v>2</v>
      </c>
    </row>
    <row r="7" spans="1:12">
      <c r="A7" s="8" t="s">
        <v>13</v>
      </c>
      <c r="I7" s="9"/>
      <c r="J7" s="9"/>
      <c r="K7" s="9"/>
    </row>
    <row r="8" spans="1:12">
      <c r="B8" s="10" t="s">
        <v>14</v>
      </c>
      <c r="I8" s="9"/>
      <c r="J8" s="9"/>
      <c r="K8" s="9"/>
      <c r="L8" s="9"/>
    </row>
    <row r="9" spans="1:12">
      <c r="C9" t="s">
        <v>15</v>
      </c>
      <c r="H9" s="12"/>
      <c r="I9" s="11">
        <v>-5833701</v>
      </c>
      <c r="J9" s="12">
        <v>1995899</v>
      </c>
      <c r="K9" s="12">
        <v>49763</v>
      </c>
      <c r="L9" s="12">
        <f t="shared" ref="L9:L16" si="0">SUM(I9:K9)</f>
        <v>-3788039</v>
      </c>
    </row>
    <row r="10" spans="1:12">
      <c r="C10" t="s">
        <v>16</v>
      </c>
      <c r="H10" s="12"/>
      <c r="I10" s="13">
        <v>-6826163</v>
      </c>
      <c r="J10" s="12"/>
      <c r="K10" s="12">
        <v>3878362</v>
      </c>
      <c r="L10" s="12">
        <f t="shared" si="0"/>
        <v>-2947801</v>
      </c>
    </row>
    <row r="11" spans="1:12">
      <c r="C11" t="s">
        <v>17</v>
      </c>
      <c r="H11" s="12"/>
      <c r="I11" s="14">
        <v>-9764007</v>
      </c>
      <c r="J11" s="12">
        <v>107972</v>
      </c>
      <c r="K11" s="12">
        <v>2383927</v>
      </c>
      <c r="L11" s="12">
        <f t="shared" si="0"/>
        <v>-7272108</v>
      </c>
    </row>
    <row r="12" spans="1:12">
      <c r="C12" t="s">
        <v>20</v>
      </c>
      <c r="H12" s="12"/>
      <c r="I12" s="16">
        <v>-2421416</v>
      </c>
      <c r="J12" s="12">
        <v>172352</v>
      </c>
      <c r="K12" s="12">
        <v>25836</v>
      </c>
      <c r="L12" s="12">
        <f t="shared" si="0"/>
        <v>-2223228</v>
      </c>
    </row>
    <row r="13" spans="1:12">
      <c r="C13" t="s">
        <v>19</v>
      </c>
      <c r="H13" s="12"/>
      <c r="I13" s="15">
        <v>-1393022</v>
      </c>
      <c r="J13" s="12"/>
      <c r="K13" s="12">
        <v>246596</v>
      </c>
      <c r="L13" s="12">
        <f t="shared" si="0"/>
        <v>-1146426</v>
      </c>
    </row>
    <row r="14" spans="1:12">
      <c r="C14" t="s">
        <v>71</v>
      </c>
      <c r="H14" s="12"/>
      <c r="I14" s="102">
        <v>-97262</v>
      </c>
      <c r="J14" s="12"/>
      <c r="K14" s="12">
        <v>478046</v>
      </c>
      <c r="L14" s="12">
        <f t="shared" si="0"/>
        <v>380784</v>
      </c>
    </row>
    <row r="15" spans="1:12">
      <c r="C15" t="s">
        <v>592</v>
      </c>
      <c r="H15" s="12"/>
      <c r="I15" s="107">
        <v>-320456</v>
      </c>
      <c r="J15" s="12"/>
      <c r="K15" s="12">
        <v>320456</v>
      </c>
      <c r="L15" s="12">
        <f t="shared" si="0"/>
        <v>0</v>
      </c>
    </row>
    <row r="16" spans="1:12">
      <c r="C16" t="s">
        <v>226</v>
      </c>
      <c r="H16" s="12"/>
      <c r="I16" s="98">
        <v>-178937</v>
      </c>
      <c r="J16" s="12"/>
      <c r="K16" s="12"/>
      <c r="L16" s="12">
        <f t="shared" si="0"/>
        <v>-178937</v>
      </c>
    </row>
    <row r="17" spans="1:12">
      <c r="H17" s="12"/>
      <c r="I17" s="12"/>
      <c r="J17" s="12"/>
      <c r="K17" s="12"/>
      <c r="L17" s="12"/>
    </row>
    <row r="18" spans="1:12">
      <c r="E18" s="19" t="s">
        <v>22</v>
      </c>
      <c r="F18" s="19"/>
      <c r="G18" s="19"/>
      <c r="H18" s="20"/>
      <c r="I18" s="20">
        <f>SUM(I9:I16)</f>
        <v>-26834964</v>
      </c>
      <c r="J18" s="20">
        <f>SUM(J9:J16)</f>
        <v>2276223</v>
      </c>
      <c r="K18" s="20">
        <f>SUM(K9:K16)</f>
        <v>7382986</v>
      </c>
      <c r="L18" s="91">
        <f>SUM(L9:L16)</f>
        <v>-17175755</v>
      </c>
    </row>
    <row r="19" spans="1:12">
      <c r="E19" s="8"/>
      <c r="F19" s="8"/>
      <c r="G19" s="8"/>
      <c r="H19" s="26"/>
      <c r="I19" s="26"/>
      <c r="J19" s="26"/>
      <c r="K19" s="26"/>
      <c r="L19" s="26"/>
    </row>
    <row r="20" spans="1:12">
      <c r="A20" s="8"/>
      <c r="B20" s="8"/>
      <c r="C20" s="8"/>
      <c r="D20" s="8"/>
      <c r="E20" s="8"/>
      <c r="G20" s="8" t="s">
        <v>25</v>
      </c>
      <c r="H20" s="26"/>
      <c r="I20" s="26"/>
      <c r="J20" s="26"/>
      <c r="K20" s="26"/>
      <c r="L20" s="12"/>
    </row>
    <row r="21" spans="1:12">
      <c r="A21" s="8"/>
      <c r="B21" s="8"/>
      <c r="C21" s="8"/>
      <c r="D21" s="8"/>
      <c r="E21" s="8"/>
      <c r="G21" s="8"/>
      <c r="H21" s="88" t="s">
        <v>26</v>
      </c>
      <c r="I21" s="26"/>
      <c r="J21" s="26"/>
      <c r="K21" s="26"/>
      <c r="L21" s="12"/>
    </row>
    <row r="22" spans="1:12">
      <c r="H22" s="12"/>
      <c r="I22" s="12" t="s">
        <v>73</v>
      </c>
      <c r="J22" s="12"/>
      <c r="K22" s="12"/>
      <c r="L22" s="28">
        <v>8729244</v>
      </c>
    </row>
    <row r="23" spans="1:12">
      <c r="H23" s="12"/>
      <c r="I23" s="12" t="s">
        <v>74</v>
      </c>
      <c r="J23" s="12"/>
      <c r="K23" s="12"/>
      <c r="L23" s="14">
        <v>9418569</v>
      </c>
    </row>
    <row r="24" spans="1:12">
      <c r="H24" s="12"/>
      <c r="I24" s="12" t="s">
        <v>218</v>
      </c>
      <c r="J24" s="12"/>
      <c r="K24" s="12"/>
      <c r="L24" s="14">
        <v>1103354</v>
      </c>
    </row>
    <row r="25" spans="1:12">
      <c r="H25" s="12"/>
      <c r="I25" s="12" t="s">
        <v>32</v>
      </c>
      <c r="J25" s="12"/>
      <c r="K25" s="12"/>
      <c r="L25" s="15">
        <v>28835</v>
      </c>
    </row>
    <row r="26" spans="1:12">
      <c r="H26" s="12" t="s">
        <v>137</v>
      </c>
      <c r="I26" s="12"/>
      <c r="J26" s="12"/>
      <c r="K26" s="12"/>
      <c r="L26" s="29">
        <v>838805</v>
      </c>
    </row>
    <row r="27" spans="1:12">
      <c r="H27" s="12" t="s">
        <v>350</v>
      </c>
      <c r="I27" s="12"/>
      <c r="J27" s="12"/>
      <c r="K27" s="12"/>
      <c r="L27" s="29">
        <v>57363</v>
      </c>
    </row>
    <row r="28" spans="1:12">
      <c r="H28" s="12" t="s">
        <v>593</v>
      </c>
      <c r="I28" s="12"/>
      <c r="J28" s="12"/>
      <c r="K28" s="12"/>
      <c r="L28" s="29">
        <v>16600</v>
      </c>
    </row>
    <row r="29" spans="1:12">
      <c r="H29" s="12" t="s">
        <v>36</v>
      </c>
      <c r="I29" s="12"/>
      <c r="J29" s="12"/>
      <c r="K29" s="12"/>
      <c r="L29" s="29">
        <v>802027</v>
      </c>
    </row>
    <row r="30" spans="1:12">
      <c r="H30" s="12"/>
      <c r="I30" s="12"/>
      <c r="J30" s="12"/>
      <c r="K30" s="12"/>
      <c r="L30" s="12"/>
    </row>
    <row r="31" spans="1:12">
      <c r="H31" s="20" t="s">
        <v>38</v>
      </c>
      <c r="I31" s="20"/>
      <c r="J31" s="20"/>
      <c r="K31" s="20"/>
      <c r="L31" s="20">
        <f>SUM(L22:L29)</f>
        <v>20994797</v>
      </c>
    </row>
    <row r="32" spans="1:12">
      <c r="H32" s="12"/>
      <c r="I32" s="12"/>
      <c r="J32" s="12"/>
      <c r="K32" s="12"/>
      <c r="L32" s="12"/>
    </row>
    <row r="33" spans="5:12">
      <c r="H33" s="20" t="s">
        <v>39</v>
      </c>
      <c r="I33" s="20"/>
      <c r="J33" s="20"/>
      <c r="K33" s="20"/>
      <c r="L33" s="20">
        <f>L31+L18</f>
        <v>3819042</v>
      </c>
    </row>
    <row r="34" spans="5:12">
      <c r="H34" s="26"/>
      <c r="I34" s="26"/>
      <c r="J34" s="26"/>
      <c r="K34" s="26"/>
      <c r="L34" s="26"/>
    </row>
    <row r="35" spans="5:12">
      <c r="E35" s="31" t="s">
        <v>466</v>
      </c>
      <c r="F35" s="31"/>
      <c r="G35" s="31"/>
      <c r="H35" s="32"/>
      <c r="I35" s="32"/>
      <c r="J35" s="32"/>
      <c r="K35" s="32"/>
      <c r="L35" s="33">
        <v>73356099</v>
      </c>
    </row>
    <row r="36" spans="5:12">
      <c r="H36" s="12"/>
      <c r="I36" s="12"/>
      <c r="J36" s="12"/>
      <c r="K36" s="12"/>
      <c r="L36" s="12"/>
    </row>
    <row r="37" spans="5:12">
      <c r="E37" s="34" t="s">
        <v>44</v>
      </c>
      <c r="F37" s="34"/>
      <c r="G37" s="34"/>
      <c r="H37" s="35"/>
      <c r="I37" s="35"/>
      <c r="J37" s="35"/>
      <c r="K37" s="35"/>
      <c r="L37" s="92">
        <f>SUM(L33,L35)</f>
        <v>77175141</v>
      </c>
    </row>
    <row r="44" spans="5:12">
      <c r="K44" s="9"/>
      <c r="L44" s="9"/>
    </row>
  </sheetData>
  <mergeCells count="3">
    <mergeCell ref="J1:L1"/>
    <mergeCell ref="J2:L2"/>
    <mergeCell ref="J5:K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M48"/>
  <sheetViews>
    <sheetView topLeftCell="A6" workbookViewId="0">
      <selection activeCell="M40" sqref="M40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</cols>
  <sheetData>
    <row r="1" spans="1:13" ht="30" customHeight="1">
      <c r="J1" s="258" t="s">
        <v>594</v>
      </c>
      <c r="K1" s="258"/>
      <c r="L1" s="258"/>
      <c r="M1" s="258"/>
    </row>
    <row r="2" spans="1:13" ht="21.75" customHeight="1">
      <c r="J2" s="259" t="s">
        <v>1</v>
      </c>
      <c r="K2" s="259"/>
      <c r="L2" s="259"/>
      <c r="M2" s="259"/>
    </row>
    <row r="3" spans="1:13" ht="21.75" customHeight="1">
      <c r="J3" s="171"/>
      <c r="K3" s="116"/>
      <c r="L3" s="171"/>
      <c r="M3" s="171"/>
    </row>
    <row r="4" spans="1:13" ht="18.75" customHeight="1">
      <c r="E4" s="3"/>
      <c r="F4" s="3"/>
      <c r="G4" s="3"/>
      <c r="H4" s="3"/>
      <c r="I4" s="3"/>
      <c r="J4" s="3"/>
      <c r="K4" s="3"/>
      <c r="L4" s="3"/>
    </row>
    <row r="5" spans="1:13" ht="42" customHeight="1">
      <c r="E5" s="2"/>
      <c r="M5" s="172" t="s">
        <v>2</v>
      </c>
    </row>
    <row r="6" spans="1:13" ht="15" customHeight="1">
      <c r="A6" t="s">
        <v>3</v>
      </c>
      <c r="C6" s="4"/>
      <c r="D6" s="4"/>
      <c r="E6" s="4"/>
      <c r="F6" s="4"/>
      <c r="G6" s="4"/>
      <c r="H6" s="4"/>
      <c r="I6" s="4"/>
      <c r="J6" s="260" t="s">
        <v>4</v>
      </c>
      <c r="K6" s="260"/>
      <c r="L6" s="260"/>
      <c r="M6" s="174" t="s">
        <v>5</v>
      </c>
    </row>
    <row r="7" spans="1:13" ht="44.25" customHeight="1">
      <c r="A7" s="5" t="s">
        <v>6</v>
      </c>
      <c r="I7" s="6" t="s">
        <v>7</v>
      </c>
      <c r="J7" s="6" t="s">
        <v>8</v>
      </c>
      <c r="K7" s="6" t="s">
        <v>9</v>
      </c>
      <c r="L7" s="6" t="s">
        <v>10</v>
      </c>
      <c r="M7" s="6" t="s">
        <v>48</v>
      </c>
    </row>
    <row r="8" spans="1:13" ht="30.75" customHeight="1">
      <c r="A8" s="8" t="s">
        <v>13</v>
      </c>
      <c r="I8" s="9"/>
      <c r="J8" s="9"/>
      <c r="K8" s="9"/>
      <c r="L8" s="9"/>
    </row>
    <row r="9" spans="1:13">
      <c r="B9" s="10" t="s">
        <v>14</v>
      </c>
      <c r="I9" s="9"/>
      <c r="J9" s="9"/>
      <c r="K9" s="9"/>
      <c r="L9" s="9"/>
      <c r="M9" s="9"/>
    </row>
    <row r="10" spans="1:13">
      <c r="C10" t="s">
        <v>15</v>
      </c>
      <c r="H10" s="12"/>
      <c r="I10" s="11">
        <v>-888320</v>
      </c>
      <c r="J10" s="12">
        <v>103778</v>
      </c>
      <c r="K10" s="12"/>
      <c r="L10" s="12"/>
      <c r="M10" s="12">
        <f t="shared" ref="M10:M17" si="0">SUM(I10:L10)</f>
        <v>-784542</v>
      </c>
    </row>
    <row r="11" spans="1:13">
      <c r="C11" t="s">
        <v>16</v>
      </c>
      <c r="H11" s="12"/>
      <c r="I11" s="13">
        <v>-560324</v>
      </c>
      <c r="J11" s="12">
        <v>135108</v>
      </c>
      <c r="K11" s="12">
        <v>62090</v>
      </c>
      <c r="L11" s="12">
        <v>51763</v>
      </c>
      <c r="M11" s="12">
        <f>SUM(I11:L11)</f>
        <v>-311363</v>
      </c>
    </row>
    <row r="12" spans="1:13">
      <c r="C12" t="s">
        <v>17</v>
      </c>
      <c r="H12" s="12"/>
      <c r="I12" s="128">
        <v>-4073997</v>
      </c>
      <c r="J12" s="12">
        <v>375303</v>
      </c>
      <c r="K12" s="12">
        <v>205445</v>
      </c>
      <c r="L12" s="12">
        <v>73310</v>
      </c>
      <c r="M12" s="12">
        <f t="shared" si="0"/>
        <v>-3419939</v>
      </c>
    </row>
    <row r="13" spans="1:13">
      <c r="C13" t="s">
        <v>19</v>
      </c>
      <c r="H13" s="12"/>
      <c r="I13" s="15">
        <v>-2325892</v>
      </c>
      <c r="J13" s="12">
        <v>1943937</v>
      </c>
      <c r="K13" s="12">
        <v>241352</v>
      </c>
      <c r="L13" s="12"/>
      <c r="M13" s="12">
        <f t="shared" si="0"/>
        <v>-140603</v>
      </c>
    </row>
    <row r="14" spans="1:13">
      <c r="C14" t="s">
        <v>20</v>
      </c>
      <c r="H14" s="12"/>
      <c r="I14" s="16">
        <v>-5358</v>
      </c>
      <c r="J14" s="12"/>
      <c r="K14" s="12"/>
      <c r="L14" s="12"/>
      <c r="M14" s="12">
        <f t="shared" si="0"/>
        <v>-5358</v>
      </c>
    </row>
    <row r="15" spans="1:13">
      <c r="C15" t="s">
        <v>18</v>
      </c>
      <c r="H15" s="12"/>
      <c r="I15" s="102">
        <v>-147517</v>
      </c>
      <c r="J15" s="12"/>
      <c r="K15" s="12"/>
      <c r="L15" s="12"/>
      <c r="M15" s="12">
        <f t="shared" si="0"/>
        <v>-147517</v>
      </c>
    </row>
    <row r="16" spans="1:13">
      <c r="C16" t="s">
        <v>183</v>
      </c>
      <c r="H16" s="12"/>
      <c r="I16" s="14">
        <v>-57990</v>
      </c>
      <c r="J16" s="12">
        <v>16237</v>
      </c>
      <c r="K16" s="12">
        <v>21600</v>
      </c>
      <c r="L16" s="12"/>
      <c r="M16" s="12">
        <f t="shared" si="0"/>
        <v>-20153</v>
      </c>
    </row>
    <row r="17" spans="1:13">
      <c r="C17" t="s">
        <v>200</v>
      </c>
      <c r="H17" s="12"/>
      <c r="I17" s="12"/>
      <c r="J17" s="12"/>
      <c r="K17" s="12"/>
      <c r="L17" s="12"/>
      <c r="M17" s="12">
        <f t="shared" si="0"/>
        <v>0</v>
      </c>
    </row>
    <row r="18" spans="1:13">
      <c r="H18" s="12"/>
      <c r="I18" s="12"/>
      <c r="J18" s="12"/>
      <c r="K18" s="12"/>
      <c r="L18" s="12"/>
      <c r="M18" s="12"/>
    </row>
    <row r="19" spans="1:13">
      <c r="E19" s="19" t="s">
        <v>22</v>
      </c>
      <c r="F19" s="19"/>
      <c r="G19" s="19"/>
      <c r="H19" s="20"/>
      <c r="I19" s="20">
        <f t="shared" ref="I19:M19" si="1">SUM(I10:I17)</f>
        <v>-8059398</v>
      </c>
      <c r="J19" s="20">
        <f t="shared" si="1"/>
        <v>2574363</v>
      </c>
      <c r="K19" s="20">
        <f t="shared" si="1"/>
        <v>530487</v>
      </c>
      <c r="L19" s="20">
        <f t="shared" si="1"/>
        <v>125073</v>
      </c>
      <c r="M19" s="91">
        <f t="shared" si="1"/>
        <v>-4829475</v>
      </c>
    </row>
    <row r="20" spans="1:13">
      <c r="E20" s="8"/>
      <c r="F20" s="8"/>
      <c r="G20" s="8"/>
      <c r="H20" s="26"/>
      <c r="I20" s="26"/>
      <c r="J20" s="26"/>
      <c r="K20" s="26"/>
      <c r="L20" s="26"/>
      <c r="M20" s="26"/>
    </row>
    <row r="21" spans="1:13">
      <c r="A21" s="8"/>
      <c r="B21" s="8"/>
      <c r="C21" s="8"/>
      <c r="D21" s="8"/>
      <c r="E21" s="8"/>
      <c r="G21" s="8" t="s">
        <v>25</v>
      </c>
      <c r="H21" s="26"/>
      <c r="I21" s="26"/>
      <c r="J21" s="26"/>
      <c r="K21" s="26"/>
      <c r="L21" s="26"/>
      <c r="M21" s="12"/>
    </row>
    <row r="22" spans="1:13">
      <c r="A22" s="8"/>
      <c r="B22" s="8"/>
      <c r="C22" s="8"/>
      <c r="D22" s="8"/>
      <c r="E22" s="8"/>
      <c r="G22" s="27" t="s">
        <v>26</v>
      </c>
      <c r="H22" s="26"/>
      <c r="I22" s="26"/>
      <c r="J22" s="26"/>
      <c r="K22" s="26"/>
      <c r="L22" s="26"/>
      <c r="M22" s="12"/>
    </row>
    <row r="23" spans="1:13">
      <c r="A23" s="8"/>
      <c r="B23" s="8"/>
      <c r="C23" s="8"/>
      <c r="D23" s="8"/>
      <c r="E23" s="8"/>
      <c r="G23" s="8"/>
      <c r="H23" s="88" t="s">
        <v>595</v>
      </c>
      <c r="I23" s="26"/>
      <c r="J23" s="26"/>
      <c r="K23" s="26"/>
      <c r="L23" s="26"/>
      <c r="M23" s="12"/>
    </row>
    <row r="24" spans="1:13">
      <c r="H24" s="12"/>
      <c r="I24" s="12" t="s">
        <v>15</v>
      </c>
      <c r="J24" s="12"/>
      <c r="K24" s="12"/>
      <c r="L24" s="12"/>
      <c r="M24" s="28">
        <v>317345</v>
      </c>
    </row>
    <row r="25" spans="1:13">
      <c r="H25" s="12"/>
      <c r="I25" s="12" t="s">
        <v>17</v>
      </c>
      <c r="J25" s="12"/>
      <c r="K25" s="12"/>
      <c r="L25" s="12"/>
      <c r="M25" s="28">
        <v>645328</v>
      </c>
    </row>
    <row r="26" spans="1:13">
      <c r="H26" s="12"/>
      <c r="I26" s="12" t="s">
        <v>19</v>
      </c>
      <c r="J26" s="12"/>
      <c r="K26" s="12"/>
      <c r="L26" s="12"/>
      <c r="M26" s="28">
        <v>55969</v>
      </c>
    </row>
    <row r="27" spans="1:13">
      <c r="H27" s="12" t="s">
        <v>596</v>
      </c>
      <c r="I27" s="12"/>
      <c r="J27" s="12"/>
      <c r="K27" s="12"/>
      <c r="L27" s="12"/>
      <c r="M27" s="12"/>
    </row>
    <row r="28" spans="1:13">
      <c r="H28" s="12"/>
      <c r="I28" s="12" t="s">
        <v>15</v>
      </c>
      <c r="J28" s="12"/>
      <c r="K28" s="12"/>
      <c r="L28" s="12"/>
      <c r="M28" s="14">
        <v>649517</v>
      </c>
    </row>
    <row r="29" spans="1:13">
      <c r="H29" s="12"/>
      <c r="I29" s="12" t="s">
        <v>17</v>
      </c>
      <c r="J29" s="12"/>
      <c r="K29" s="12"/>
      <c r="L29" s="12"/>
      <c r="M29" s="14">
        <v>1948549</v>
      </c>
    </row>
    <row r="30" spans="1:13">
      <c r="H30" s="12" t="s">
        <v>33</v>
      </c>
      <c r="I30" s="12"/>
      <c r="J30" s="12"/>
      <c r="K30" s="12"/>
      <c r="L30" s="12"/>
      <c r="M30" s="11">
        <v>757360</v>
      </c>
    </row>
    <row r="31" spans="1:13">
      <c r="H31" s="12" t="s">
        <v>138</v>
      </c>
      <c r="I31" s="12"/>
      <c r="J31" s="12"/>
      <c r="K31" s="12"/>
      <c r="L31" s="12"/>
      <c r="M31" s="29">
        <v>40641</v>
      </c>
    </row>
    <row r="32" spans="1:13">
      <c r="H32" s="12" t="s">
        <v>258</v>
      </c>
      <c r="I32" s="12"/>
      <c r="J32" s="12"/>
      <c r="K32" s="12"/>
      <c r="L32" s="12"/>
      <c r="M32" s="29">
        <v>-20062</v>
      </c>
    </row>
    <row r="33" spans="5:13">
      <c r="H33" s="12" t="s">
        <v>188</v>
      </c>
      <c r="I33" s="12"/>
      <c r="J33" s="12"/>
      <c r="K33" s="12"/>
      <c r="L33" s="12"/>
      <c r="M33" s="29">
        <v>258922</v>
      </c>
    </row>
    <row r="34" spans="5:13">
      <c r="H34" s="12"/>
      <c r="I34" s="12"/>
      <c r="J34" s="12"/>
      <c r="K34" s="12"/>
      <c r="L34" s="12"/>
      <c r="M34" s="12"/>
    </row>
    <row r="35" spans="5:13">
      <c r="H35" s="20" t="s">
        <v>38</v>
      </c>
      <c r="I35" s="20"/>
      <c r="J35" s="20"/>
      <c r="K35" s="20"/>
      <c r="L35" s="20"/>
      <c r="M35" s="20">
        <f>SUM(M24:M33)</f>
        <v>4653569</v>
      </c>
    </row>
    <row r="36" spans="5:13">
      <c r="H36" s="12"/>
      <c r="I36" s="12"/>
      <c r="J36" s="12"/>
      <c r="K36" s="12"/>
      <c r="L36" s="12"/>
      <c r="M36" s="12"/>
    </row>
    <row r="37" spans="5:13">
      <c r="H37" s="20" t="s">
        <v>39</v>
      </c>
      <c r="I37" s="20"/>
      <c r="J37" s="20"/>
      <c r="K37" s="20"/>
      <c r="L37" s="20"/>
      <c r="M37" s="20">
        <f>M35+M19</f>
        <v>-175906</v>
      </c>
    </row>
    <row r="38" spans="5:13">
      <c r="H38" s="26"/>
      <c r="I38" s="26"/>
      <c r="J38" s="26"/>
      <c r="K38" s="26"/>
      <c r="L38" s="26"/>
      <c r="M38" s="26"/>
    </row>
    <row r="39" spans="5:13">
      <c r="E39" s="31" t="s">
        <v>67</v>
      </c>
      <c r="F39" s="31"/>
      <c r="G39" s="31"/>
      <c r="H39" s="32"/>
      <c r="I39" s="32"/>
      <c r="J39" s="32"/>
      <c r="K39" s="32"/>
      <c r="L39" s="32"/>
      <c r="M39" s="33">
        <v>19321783</v>
      </c>
    </row>
    <row r="40" spans="5:13">
      <c r="H40" s="12"/>
      <c r="I40" s="12"/>
      <c r="J40" s="12"/>
      <c r="K40" s="12"/>
      <c r="L40" s="12"/>
      <c r="M40" s="12"/>
    </row>
    <row r="41" spans="5:13">
      <c r="E41" s="34" t="s">
        <v>44</v>
      </c>
      <c r="F41" s="34"/>
      <c r="G41" s="34"/>
      <c r="H41" s="35"/>
      <c r="I41" s="35"/>
      <c r="J41" s="35"/>
      <c r="K41" s="35"/>
      <c r="L41" s="35"/>
      <c r="M41" s="92">
        <f>M39+M37</f>
        <v>19145877</v>
      </c>
    </row>
    <row r="48" spans="5:13">
      <c r="K48" s="9"/>
      <c r="L48" s="9"/>
      <c r="M48" s="9"/>
    </row>
  </sheetData>
  <mergeCells count="3">
    <mergeCell ref="J1:M1"/>
    <mergeCell ref="J2:M2"/>
    <mergeCell ref="J6:L6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P58"/>
  <sheetViews>
    <sheetView topLeftCell="A5" workbookViewId="0">
      <selection activeCell="I21" sqref="I21:I25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19.7109375" customWidth="1"/>
    <col min="14" max="14" width="18.42578125" customWidth="1"/>
    <col min="15" max="15" width="16.42578125" customWidth="1"/>
    <col min="16" max="16" width="14.42578125" customWidth="1"/>
  </cols>
  <sheetData>
    <row r="1" spans="1:16" ht="20.25" customHeight="1">
      <c r="J1" s="258" t="s">
        <v>597</v>
      </c>
      <c r="K1" s="258"/>
      <c r="L1" s="258"/>
      <c r="M1" s="258"/>
      <c r="N1" s="170"/>
      <c r="O1" s="170"/>
    </row>
    <row r="2" spans="1:16" ht="18">
      <c r="J2" s="259" t="s">
        <v>1</v>
      </c>
      <c r="K2" s="259"/>
      <c r="L2" s="259"/>
      <c r="M2" s="259"/>
      <c r="N2" s="171"/>
      <c r="O2" s="171"/>
    </row>
    <row r="3" spans="1:16" ht="15.75">
      <c r="E3" s="3"/>
      <c r="F3" s="3"/>
      <c r="G3" s="3"/>
      <c r="H3" s="3"/>
      <c r="I3" s="3"/>
      <c r="J3" s="3"/>
      <c r="K3" s="3"/>
      <c r="L3" s="3"/>
    </row>
    <row r="4" spans="1:16" ht="18">
      <c r="E4" s="2"/>
      <c r="M4" s="260" t="s">
        <v>2</v>
      </c>
      <c r="N4" s="260"/>
      <c r="O4" s="260"/>
      <c r="P4" s="260"/>
    </row>
    <row r="5" spans="1:16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262" t="s">
        <v>5</v>
      </c>
      <c r="N5" s="262"/>
      <c r="O5" s="262"/>
      <c r="P5" s="125"/>
    </row>
    <row r="6" spans="1:16" ht="67.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6" t="s">
        <v>48</v>
      </c>
      <c r="N6" s="6" t="s">
        <v>49</v>
      </c>
      <c r="O6" s="6" t="s">
        <v>50</v>
      </c>
      <c r="P6" s="90" t="s">
        <v>12</v>
      </c>
    </row>
    <row r="7" spans="1:16">
      <c r="A7" s="8" t="s">
        <v>13</v>
      </c>
      <c r="I7" s="9"/>
      <c r="J7" s="9"/>
      <c r="K7" s="9"/>
      <c r="L7" s="9"/>
    </row>
    <row r="8" spans="1:16">
      <c r="B8" s="10" t="s">
        <v>14</v>
      </c>
      <c r="I8" s="9"/>
      <c r="J8" s="9"/>
      <c r="K8" s="9"/>
      <c r="L8" s="9"/>
      <c r="M8" s="9"/>
      <c r="N8" s="9"/>
      <c r="O8" s="9"/>
    </row>
    <row r="9" spans="1:16">
      <c r="C9" t="s">
        <v>15</v>
      </c>
      <c r="H9" s="12"/>
      <c r="I9" s="11">
        <v>-2319942</v>
      </c>
      <c r="J9" s="12">
        <v>583567</v>
      </c>
      <c r="K9" s="12">
        <v>689949</v>
      </c>
      <c r="L9" s="12"/>
      <c r="M9" s="12">
        <f t="shared" ref="M9:M16" si="0">SUM(I9:L9)</f>
        <v>-1046426</v>
      </c>
      <c r="N9" s="12"/>
      <c r="O9" s="12">
        <f t="shared" ref="O9:O16" si="1">SUM(M9:N9)</f>
        <v>-1046426</v>
      </c>
    </row>
    <row r="10" spans="1:16">
      <c r="C10" t="s">
        <v>20</v>
      </c>
      <c r="H10" s="12"/>
      <c r="I10" s="16">
        <v>-990947</v>
      </c>
      <c r="J10" s="12"/>
      <c r="K10" s="12"/>
      <c r="L10" s="12"/>
      <c r="M10" s="12">
        <f t="shared" si="0"/>
        <v>-990947</v>
      </c>
      <c r="N10" s="12"/>
      <c r="O10" s="12">
        <f t="shared" si="1"/>
        <v>-990947</v>
      </c>
    </row>
    <row r="11" spans="1:16">
      <c r="C11" t="s">
        <v>71</v>
      </c>
      <c r="H11" s="12"/>
      <c r="I11" s="102">
        <v>-250797</v>
      </c>
      <c r="J11" s="12"/>
      <c r="K11" s="12"/>
      <c r="L11" s="12"/>
      <c r="M11" s="12">
        <f t="shared" si="0"/>
        <v>-250797</v>
      </c>
      <c r="N11" s="12"/>
      <c r="O11" s="12">
        <f t="shared" si="1"/>
        <v>-250797</v>
      </c>
    </row>
    <row r="12" spans="1:16">
      <c r="C12" t="s">
        <v>19</v>
      </c>
      <c r="H12" s="12"/>
      <c r="I12" s="15">
        <v>-419378</v>
      </c>
      <c r="J12" s="12"/>
      <c r="K12" s="12">
        <v>15554</v>
      </c>
      <c r="L12" s="12"/>
      <c r="M12" s="12">
        <f t="shared" si="0"/>
        <v>-403824</v>
      </c>
      <c r="N12" s="12"/>
      <c r="O12" s="12">
        <f t="shared" si="1"/>
        <v>-403824</v>
      </c>
    </row>
    <row r="13" spans="1:16">
      <c r="C13" t="s">
        <v>16</v>
      </c>
      <c r="H13" s="12"/>
      <c r="I13" s="13">
        <v>-186649</v>
      </c>
      <c r="J13" s="12">
        <v>131770</v>
      </c>
      <c r="K13" s="12"/>
      <c r="L13" s="12"/>
      <c r="M13" s="12">
        <f t="shared" si="0"/>
        <v>-54879</v>
      </c>
      <c r="N13" s="12"/>
      <c r="O13" s="12">
        <f t="shared" si="1"/>
        <v>-54879</v>
      </c>
    </row>
    <row r="14" spans="1:16">
      <c r="C14" t="s">
        <v>17</v>
      </c>
      <c r="H14" s="12"/>
      <c r="I14" s="14">
        <v>-4107923</v>
      </c>
      <c r="J14" s="12"/>
      <c r="K14" s="12">
        <v>4509</v>
      </c>
      <c r="L14" s="12">
        <v>1135820</v>
      </c>
      <c r="M14" s="12">
        <f t="shared" si="0"/>
        <v>-2967594</v>
      </c>
      <c r="N14" s="12"/>
      <c r="O14" s="12">
        <f t="shared" si="1"/>
        <v>-2967594</v>
      </c>
    </row>
    <row r="15" spans="1:16">
      <c r="C15" t="s">
        <v>598</v>
      </c>
      <c r="H15" s="12"/>
      <c r="I15" s="107">
        <v>-73193</v>
      </c>
      <c r="J15" s="12"/>
      <c r="K15" s="12"/>
      <c r="L15" s="12"/>
      <c r="M15" s="12">
        <f t="shared" si="0"/>
        <v>-73193</v>
      </c>
      <c r="N15" s="12"/>
      <c r="O15" s="12">
        <f t="shared" si="1"/>
        <v>-73193</v>
      </c>
    </row>
    <row r="16" spans="1:16">
      <c r="C16" t="s">
        <v>200</v>
      </c>
      <c r="H16" s="12"/>
      <c r="I16" s="98">
        <v>-130811</v>
      </c>
      <c r="J16" s="12"/>
      <c r="K16" s="12"/>
      <c r="L16" s="12"/>
      <c r="M16" s="12">
        <f t="shared" si="0"/>
        <v>-130811</v>
      </c>
      <c r="N16" s="12"/>
      <c r="O16" s="12">
        <f t="shared" si="1"/>
        <v>-130811</v>
      </c>
    </row>
    <row r="17" spans="1:16">
      <c r="H17" s="12"/>
      <c r="I17" s="12"/>
      <c r="J17" s="12"/>
      <c r="K17" s="12"/>
      <c r="L17" s="12"/>
      <c r="M17" s="12"/>
      <c r="N17" s="12"/>
      <c r="O17" s="12"/>
    </row>
    <row r="18" spans="1:16">
      <c r="E18" s="19" t="s">
        <v>22</v>
      </c>
      <c r="F18" s="19"/>
      <c r="G18" s="19"/>
      <c r="H18" s="20"/>
      <c r="I18" s="20">
        <f>SUM(I9:I16)</f>
        <v>-8479640</v>
      </c>
      <c r="J18" s="20">
        <f>SUM(J9:J16)</f>
        <v>715337</v>
      </c>
      <c r="K18" s="20">
        <f>SUM(K9:K16)</f>
        <v>710012</v>
      </c>
      <c r="L18" s="20">
        <f>SUM(L9:L16)</f>
        <v>1135820</v>
      </c>
      <c r="M18" s="91">
        <f>SUM(M9:M16)</f>
        <v>-5918471</v>
      </c>
      <c r="N18" s="91"/>
      <c r="O18" s="91">
        <f>SUM(O9:O16)</f>
        <v>-5918471</v>
      </c>
      <c r="P18" s="93">
        <f>SUM(P9:P16)</f>
        <v>0</v>
      </c>
    </row>
    <row r="19" spans="1:16">
      <c r="E19" s="8"/>
      <c r="F19" s="8"/>
      <c r="G19" s="8"/>
      <c r="H19" s="26"/>
      <c r="I19" s="26"/>
      <c r="J19" s="26"/>
      <c r="K19" s="26"/>
      <c r="L19" s="26"/>
      <c r="M19" s="26"/>
      <c r="N19" s="26"/>
      <c r="O19" s="26"/>
    </row>
    <row r="20" spans="1:16">
      <c r="B20" s="10" t="s">
        <v>84</v>
      </c>
      <c r="E20" s="8"/>
      <c r="F20" s="8"/>
      <c r="G20" s="8"/>
      <c r="H20" s="26"/>
      <c r="I20" s="26"/>
      <c r="J20" s="26"/>
      <c r="K20" s="26"/>
      <c r="L20" s="26"/>
      <c r="M20" s="26"/>
      <c r="N20" s="26"/>
      <c r="O20" s="26"/>
    </row>
    <row r="21" spans="1:16">
      <c r="C21" t="s">
        <v>599</v>
      </c>
      <c r="E21" s="8"/>
      <c r="F21" s="8"/>
      <c r="G21" s="8"/>
      <c r="H21" s="26"/>
      <c r="I21" s="249">
        <v>-1553407</v>
      </c>
      <c r="J21" s="88">
        <v>1414116</v>
      </c>
      <c r="K21" s="88">
        <v>475</v>
      </c>
      <c r="L21" s="88">
        <v>97306</v>
      </c>
      <c r="M21" s="88"/>
      <c r="N21" s="88">
        <f t="shared" ref="N21:N24" si="2">SUM(I21:L21)</f>
        <v>-41510</v>
      </c>
      <c r="O21" s="88">
        <f t="shared" ref="O21:O24" si="3">SUM(M21:N21)</f>
        <v>-41510</v>
      </c>
    </row>
    <row r="22" spans="1:16">
      <c r="C22" t="s">
        <v>600</v>
      </c>
      <c r="E22" s="8"/>
      <c r="F22" s="8"/>
      <c r="G22" s="8"/>
      <c r="H22" s="26"/>
      <c r="I22" s="249">
        <v>-75352</v>
      </c>
      <c r="J22" s="88">
        <v>30416</v>
      </c>
      <c r="K22" s="88"/>
      <c r="L22" s="88"/>
      <c r="M22" s="88"/>
      <c r="N22" s="88">
        <f t="shared" si="2"/>
        <v>-44936</v>
      </c>
      <c r="O22" s="88">
        <f t="shared" si="3"/>
        <v>-44936</v>
      </c>
    </row>
    <row r="23" spans="1:16">
      <c r="C23" t="s">
        <v>601</v>
      </c>
      <c r="E23" s="8"/>
      <c r="F23" s="8"/>
      <c r="G23" s="8"/>
      <c r="H23" s="26"/>
      <c r="I23" s="249">
        <v>-120798</v>
      </c>
      <c r="J23" s="88">
        <v>60316</v>
      </c>
      <c r="K23" s="88"/>
      <c r="L23" s="88"/>
      <c r="M23" s="88"/>
      <c r="N23" s="88">
        <f t="shared" si="2"/>
        <v>-60482</v>
      </c>
      <c r="O23" s="88">
        <f t="shared" si="3"/>
        <v>-60482</v>
      </c>
    </row>
    <row r="24" spans="1:16">
      <c r="C24" t="s">
        <v>602</v>
      </c>
      <c r="E24" s="8"/>
      <c r="F24" s="8"/>
      <c r="G24" s="8"/>
      <c r="H24" s="26"/>
      <c r="I24" s="249">
        <v>-19558</v>
      </c>
      <c r="J24" s="88">
        <v>12119</v>
      </c>
      <c r="K24" s="88"/>
      <c r="L24" s="88"/>
      <c r="M24" s="88"/>
      <c r="N24" s="88">
        <f t="shared" si="2"/>
        <v>-7439</v>
      </c>
      <c r="O24" s="88">
        <f t="shared" si="3"/>
        <v>-7439</v>
      </c>
    </row>
    <row r="25" spans="1:16">
      <c r="C25" t="s">
        <v>603</v>
      </c>
      <c r="E25" s="8"/>
      <c r="F25" s="8"/>
      <c r="G25" s="8"/>
      <c r="H25" s="26"/>
      <c r="I25" s="249">
        <v>-41521</v>
      </c>
      <c r="J25" s="88">
        <v>2370</v>
      </c>
      <c r="K25" s="88">
        <v>1014</v>
      </c>
      <c r="L25" s="88">
        <v>1808151</v>
      </c>
      <c r="M25" s="88"/>
      <c r="N25" s="88">
        <f>SUM(I25:L25)</f>
        <v>1770014</v>
      </c>
      <c r="O25" s="88">
        <f>SUM(M25:N25)</f>
        <v>1770014</v>
      </c>
    </row>
    <row r="26" spans="1:16">
      <c r="E26" s="8"/>
      <c r="F26" s="8"/>
      <c r="G26" s="8"/>
      <c r="H26" s="26"/>
      <c r="I26" s="26"/>
      <c r="J26" s="26"/>
      <c r="K26" s="26"/>
      <c r="L26" s="26"/>
      <c r="M26" s="26"/>
      <c r="N26" s="26"/>
      <c r="O26" s="26"/>
    </row>
    <row r="27" spans="1:16">
      <c r="E27" s="19" t="s">
        <v>173</v>
      </c>
      <c r="F27" s="19"/>
      <c r="G27" s="19"/>
      <c r="H27" s="20"/>
      <c r="I27" s="20">
        <f t="shared" ref="I27:P27" si="4">SUM(I21:I25)</f>
        <v>-1810636</v>
      </c>
      <c r="J27" s="20">
        <f t="shared" si="4"/>
        <v>1519337</v>
      </c>
      <c r="K27" s="20">
        <f t="shared" si="4"/>
        <v>1489</v>
      </c>
      <c r="L27" s="20">
        <f t="shared" si="4"/>
        <v>1905457</v>
      </c>
      <c r="M27" s="91">
        <f t="shared" si="4"/>
        <v>0</v>
      </c>
      <c r="N27" s="91">
        <f t="shared" si="4"/>
        <v>1615647</v>
      </c>
      <c r="O27" s="91">
        <f t="shared" si="4"/>
        <v>1615647</v>
      </c>
      <c r="P27" s="91">
        <f t="shared" si="4"/>
        <v>0</v>
      </c>
    </row>
    <row r="28" spans="1:16">
      <c r="E28" s="8"/>
      <c r="F28" s="8"/>
      <c r="G28" s="8"/>
      <c r="H28" s="26"/>
      <c r="I28" s="26"/>
      <c r="J28" s="26"/>
      <c r="K28" s="26"/>
      <c r="L28" s="26"/>
      <c r="M28" s="26"/>
      <c r="N28" s="26"/>
      <c r="O28" s="26"/>
    </row>
    <row r="29" spans="1:16">
      <c r="E29" s="19" t="s">
        <v>89</v>
      </c>
      <c r="F29" s="19"/>
      <c r="G29" s="19"/>
      <c r="H29" s="20"/>
      <c r="I29" s="20">
        <f>I27+I18</f>
        <v>-10290276</v>
      </c>
      <c r="J29" s="20">
        <f>J27+J18</f>
        <v>2234674</v>
      </c>
      <c r="K29" s="20">
        <f>SUM(K18+K27)</f>
        <v>711501</v>
      </c>
      <c r="L29" s="20">
        <f>SUM(L18+L27)</f>
        <v>3041277</v>
      </c>
      <c r="M29" s="91">
        <f>M27+M18</f>
        <v>-5918471</v>
      </c>
      <c r="N29" s="91">
        <f>N27+N18</f>
        <v>1615647</v>
      </c>
      <c r="O29" s="91">
        <f>O27+O18</f>
        <v>-4302824</v>
      </c>
      <c r="P29" s="91">
        <f>P27+P18</f>
        <v>0</v>
      </c>
    </row>
    <row r="30" spans="1:16">
      <c r="E30" s="8"/>
      <c r="F30" s="8"/>
      <c r="G30" s="8"/>
      <c r="H30" s="26"/>
      <c r="I30" s="26"/>
      <c r="J30" s="26"/>
      <c r="K30" s="26"/>
      <c r="L30" s="26"/>
      <c r="M30" s="26"/>
      <c r="N30" s="26"/>
      <c r="O30" s="26"/>
    </row>
    <row r="31" spans="1:16">
      <c r="A31" s="10" t="s">
        <v>23</v>
      </c>
      <c r="H31" s="12"/>
      <c r="I31" s="12"/>
      <c r="J31" s="12"/>
      <c r="K31" s="12"/>
      <c r="L31" s="12"/>
      <c r="M31" s="12"/>
      <c r="N31" s="12"/>
      <c r="O31" s="12"/>
    </row>
    <row r="32" spans="1:16">
      <c r="B32" t="s">
        <v>91</v>
      </c>
      <c r="H32" s="12"/>
      <c r="I32" s="12">
        <v>-17910996</v>
      </c>
      <c r="J32" s="12">
        <v>17378972</v>
      </c>
      <c r="K32" s="12"/>
      <c r="L32" s="12"/>
      <c r="M32" s="12"/>
      <c r="N32" s="12"/>
      <c r="O32" s="12"/>
      <c r="P32" s="12">
        <f t="shared" ref="P32" si="5">SUM(I32:L32)</f>
        <v>-532024</v>
      </c>
    </row>
    <row r="33" spans="1:16">
      <c r="H33" s="12"/>
      <c r="I33" s="12"/>
      <c r="J33" s="12"/>
      <c r="K33" s="12"/>
      <c r="L33" s="12"/>
      <c r="M33" s="12"/>
      <c r="N33" s="12"/>
      <c r="O33" s="12"/>
    </row>
    <row r="34" spans="1:16">
      <c r="E34" s="19" t="s">
        <v>92</v>
      </c>
      <c r="F34" s="19"/>
      <c r="G34" s="19"/>
      <c r="H34" s="20"/>
      <c r="I34" s="20">
        <f t="shared" ref="I34:P34" si="6">SUM(I32:I32)</f>
        <v>-17910996</v>
      </c>
      <c r="J34" s="20">
        <f t="shared" si="6"/>
        <v>17378972</v>
      </c>
      <c r="K34" s="20">
        <f t="shared" si="6"/>
        <v>0</v>
      </c>
      <c r="L34" s="20">
        <f t="shared" si="6"/>
        <v>0</v>
      </c>
      <c r="M34" s="91">
        <f t="shared" si="6"/>
        <v>0</v>
      </c>
      <c r="N34" s="91">
        <f t="shared" si="6"/>
        <v>0</v>
      </c>
      <c r="O34" s="91">
        <f t="shared" si="6"/>
        <v>0</v>
      </c>
      <c r="P34" s="94">
        <f t="shared" si="6"/>
        <v>-532024</v>
      </c>
    </row>
    <row r="35" spans="1:16">
      <c r="H35" s="12"/>
      <c r="I35" s="12"/>
      <c r="J35" s="12"/>
      <c r="K35" s="12"/>
      <c r="L35" s="12"/>
      <c r="M35" s="12"/>
      <c r="N35" s="12"/>
      <c r="O35" s="12"/>
    </row>
    <row r="36" spans="1:16">
      <c r="A36" s="8"/>
      <c r="B36" s="8"/>
      <c r="C36" s="8"/>
      <c r="D36" s="8"/>
      <c r="E36" s="8"/>
      <c r="G36" s="8" t="s">
        <v>25</v>
      </c>
      <c r="H36" s="26"/>
      <c r="I36" s="26"/>
      <c r="J36" s="26"/>
      <c r="K36" s="26"/>
      <c r="L36" s="26"/>
      <c r="M36" s="12"/>
      <c r="N36" s="12"/>
      <c r="O36" s="12"/>
    </row>
    <row r="37" spans="1:16">
      <c r="H37" s="12" t="s">
        <v>126</v>
      </c>
      <c r="I37" s="12"/>
      <c r="J37" s="12"/>
      <c r="K37" s="12"/>
      <c r="L37" s="12"/>
      <c r="M37" s="28">
        <v>4421355</v>
      </c>
      <c r="N37" s="12"/>
      <c r="O37" s="12">
        <f t="shared" ref="O37:O43" si="7">SUM(M37:N37)</f>
        <v>4421355</v>
      </c>
      <c r="P37" s="12">
        <v>510035</v>
      </c>
    </row>
    <row r="38" spans="1:16">
      <c r="H38" s="12" t="s">
        <v>128</v>
      </c>
      <c r="I38" s="12"/>
      <c r="J38" s="12"/>
      <c r="K38" s="12"/>
      <c r="L38" s="12"/>
      <c r="M38" s="14">
        <v>1443746</v>
      </c>
      <c r="N38" s="12"/>
      <c r="O38" s="12">
        <f t="shared" si="7"/>
        <v>1443746</v>
      </c>
      <c r="P38" s="12">
        <v>1417091</v>
      </c>
    </row>
    <row r="39" spans="1:16">
      <c r="H39" s="12" t="s">
        <v>218</v>
      </c>
      <c r="I39" s="12"/>
      <c r="J39" s="12"/>
      <c r="K39" s="12"/>
      <c r="L39" s="12"/>
      <c r="M39" s="14">
        <v>149079</v>
      </c>
      <c r="N39" s="12"/>
      <c r="O39" s="12">
        <f t="shared" si="7"/>
        <v>149079</v>
      </c>
      <c r="P39" s="12"/>
    </row>
    <row r="40" spans="1:16">
      <c r="H40" s="12" t="s">
        <v>111</v>
      </c>
      <c r="I40" s="12"/>
      <c r="J40" s="12"/>
      <c r="K40" s="12"/>
      <c r="L40" s="12"/>
      <c r="M40" s="15">
        <v>29274</v>
      </c>
      <c r="N40" s="12"/>
      <c r="O40" s="12">
        <f t="shared" si="7"/>
        <v>29274</v>
      </c>
      <c r="P40" s="12">
        <v>22117</v>
      </c>
    </row>
    <row r="41" spans="1:16">
      <c r="H41" s="12" t="s">
        <v>32</v>
      </c>
      <c r="I41" s="12"/>
      <c r="J41" s="12"/>
      <c r="K41" s="12"/>
      <c r="L41" s="12"/>
      <c r="M41" s="29">
        <v>34558</v>
      </c>
      <c r="N41" s="12"/>
      <c r="O41" s="12">
        <f t="shared" si="7"/>
        <v>34558</v>
      </c>
      <c r="P41" s="12">
        <v>213301</v>
      </c>
    </row>
    <row r="42" spans="1:16">
      <c r="H42" s="12" t="s">
        <v>604</v>
      </c>
      <c r="I42" s="12"/>
      <c r="J42" s="12"/>
      <c r="K42" s="12"/>
      <c r="L42" s="12"/>
      <c r="M42" s="29">
        <v>773020</v>
      </c>
      <c r="N42" s="12"/>
      <c r="O42" s="12">
        <f t="shared" si="7"/>
        <v>773020</v>
      </c>
      <c r="P42" s="12"/>
    </row>
    <row r="43" spans="1:16">
      <c r="H43" s="12" t="s">
        <v>240</v>
      </c>
      <c r="I43" s="12"/>
      <c r="J43" s="12"/>
      <c r="K43" s="12"/>
      <c r="L43" s="12"/>
      <c r="M43" s="97">
        <v>8352</v>
      </c>
      <c r="N43" s="12">
        <v>-8352</v>
      </c>
      <c r="O43" s="12">
        <f t="shared" si="7"/>
        <v>0</v>
      </c>
      <c r="P43" s="12"/>
    </row>
    <row r="44" spans="1:16">
      <c r="H44" s="12"/>
      <c r="I44" s="12"/>
      <c r="J44" s="12"/>
      <c r="K44" s="12"/>
      <c r="L44" s="12"/>
      <c r="M44" s="12"/>
      <c r="N44" s="12"/>
      <c r="O44" s="12"/>
    </row>
    <row r="45" spans="1:16">
      <c r="H45" s="20" t="s">
        <v>66</v>
      </c>
      <c r="I45" s="20"/>
      <c r="J45" s="20"/>
      <c r="K45" s="20"/>
      <c r="L45" s="20"/>
      <c r="M45" s="20">
        <f>SUM(M37:M43)</f>
        <v>6859384</v>
      </c>
      <c r="N45" s="20">
        <f>SUM(N37:N43)</f>
        <v>-8352</v>
      </c>
      <c r="O45" s="20">
        <f>SUM(O37:O43)</f>
        <v>6851032</v>
      </c>
      <c r="P45" s="94">
        <f>SUM(P37:P43)</f>
        <v>2162544</v>
      </c>
    </row>
    <row r="46" spans="1:16">
      <c r="H46" s="12"/>
      <c r="I46" s="12"/>
      <c r="J46" s="12"/>
      <c r="K46" s="12"/>
      <c r="L46" s="12"/>
      <c r="M46" s="12"/>
      <c r="N46" s="12"/>
      <c r="O46" s="12"/>
    </row>
    <row r="47" spans="1:16">
      <c r="H47" s="20" t="s">
        <v>39</v>
      </c>
      <c r="I47" s="20"/>
      <c r="J47" s="20"/>
      <c r="K47" s="20"/>
      <c r="L47" s="20"/>
      <c r="M47" s="20">
        <f>M45+M29</f>
        <v>940913</v>
      </c>
      <c r="N47" s="20">
        <f>N45+N29</f>
        <v>1607295</v>
      </c>
      <c r="O47" s="20">
        <f>O45+O29</f>
        <v>2548208</v>
      </c>
      <c r="P47" s="91">
        <f>P45+P34</f>
        <v>1630520</v>
      </c>
    </row>
    <row r="48" spans="1:16">
      <c r="H48" s="26"/>
      <c r="I48" s="26"/>
      <c r="J48" s="26"/>
      <c r="K48" s="26"/>
      <c r="L48" s="26"/>
      <c r="M48" s="26"/>
      <c r="N48" s="26"/>
      <c r="O48" s="26"/>
    </row>
    <row r="49" spans="5:16">
      <c r="E49" s="31" t="s">
        <v>539</v>
      </c>
      <c r="F49" s="31"/>
      <c r="G49" s="31"/>
      <c r="H49" s="32"/>
      <c r="I49" s="32"/>
      <c r="J49" s="32"/>
      <c r="K49" s="32"/>
      <c r="L49" s="32"/>
      <c r="M49" s="33">
        <v>28503306</v>
      </c>
      <c r="N49" s="33">
        <v>6127989</v>
      </c>
      <c r="O49" s="33">
        <v>34631295</v>
      </c>
      <c r="P49" s="95">
        <v>27253154</v>
      </c>
    </row>
    <row r="50" spans="5:16">
      <c r="H50" s="12"/>
      <c r="I50" s="12"/>
      <c r="J50" s="12"/>
      <c r="K50" s="12"/>
      <c r="L50" s="12"/>
      <c r="M50" s="12"/>
      <c r="N50" s="12"/>
      <c r="O50" s="12"/>
    </row>
    <row r="51" spans="5:16">
      <c r="E51" s="34" t="s">
        <v>540</v>
      </c>
      <c r="F51" s="34"/>
      <c r="G51" s="34"/>
      <c r="H51" s="35"/>
      <c r="I51" s="35"/>
      <c r="J51" s="35"/>
      <c r="K51" s="35"/>
      <c r="L51" s="35"/>
      <c r="M51" s="92">
        <f>SUM(M47,M49)</f>
        <v>29444219</v>
      </c>
      <c r="N51" s="92">
        <f>N49+N47</f>
        <v>7735284</v>
      </c>
      <c r="O51" s="92">
        <f>O49+O47</f>
        <v>37179503</v>
      </c>
      <c r="P51" s="96">
        <f>P49+P47</f>
        <v>28883674</v>
      </c>
    </row>
    <row r="58" spans="5:16">
      <c r="K58" s="9"/>
      <c r="L58" s="9"/>
      <c r="M58" s="9"/>
      <c r="N58" s="9"/>
      <c r="O58" s="9"/>
    </row>
  </sheetData>
  <mergeCells count="5">
    <mergeCell ref="J1:M1"/>
    <mergeCell ref="J2:M2"/>
    <mergeCell ref="M4:P4"/>
    <mergeCell ref="J5:L5"/>
    <mergeCell ref="M5:O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N46"/>
  <sheetViews>
    <sheetView topLeftCell="A5" workbookViewId="0">
      <selection activeCell="M38" sqref="M38"/>
    </sheetView>
  </sheetViews>
  <sheetFormatPr defaultColWidth="8.85546875" defaultRowHeight="14.25"/>
  <cols>
    <col min="1" max="1" width="3.140625" customWidth="1"/>
    <col min="2" max="2" width="2.42578125" customWidth="1"/>
    <col min="3" max="3" width="3.28515625" customWidth="1"/>
    <col min="4" max="4" width="8.42578125" customWidth="1"/>
    <col min="6" max="6" width="13.28515625" customWidth="1"/>
    <col min="7" max="7" width="5.7109375" customWidth="1"/>
    <col min="8" max="8" width="3" customWidth="1"/>
    <col min="9" max="9" width="15.140625" customWidth="1"/>
    <col min="10" max="10" width="18.85546875" bestFit="1" customWidth="1"/>
    <col min="11" max="12" width="19.28515625" customWidth="1"/>
    <col min="13" max="13" width="24" customWidth="1"/>
    <col min="14" max="14" width="18.7109375" customWidth="1"/>
  </cols>
  <sheetData>
    <row r="1" spans="1:14" ht="31.5" customHeight="1">
      <c r="J1" s="258" t="s">
        <v>605</v>
      </c>
      <c r="K1" s="258"/>
      <c r="L1" s="258"/>
      <c r="M1" s="258"/>
    </row>
    <row r="2" spans="1:14" ht="18">
      <c r="J2" s="259" t="s">
        <v>1</v>
      </c>
      <c r="K2" s="259"/>
      <c r="L2" s="259"/>
      <c r="M2" s="259"/>
    </row>
    <row r="3" spans="1:14" ht="15.75">
      <c r="E3" s="3"/>
      <c r="F3" s="3"/>
      <c r="G3" s="3"/>
      <c r="H3" s="3"/>
      <c r="I3" s="3"/>
      <c r="J3" s="3"/>
      <c r="K3" s="3"/>
      <c r="L3" s="3"/>
    </row>
    <row r="4" spans="1:14" ht="18">
      <c r="E4" s="2"/>
      <c r="M4" s="173"/>
    </row>
    <row r="5" spans="1:14">
      <c r="A5" t="s">
        <v>3</v>
      </c>
      <c r="C5" s="4"/>
      <c r="D5" s="4"/>
      <c r="E5" s="4"/>
      <c r="F5" s="4"/>
      <c r="G5" s="4"/>
      <c r="H5" s="4"/>
      <c r="I5" s="4"/>
      <c r="J5" s="260" t="s">
        <v>4</v>
      </c>
      <c r="K5" s="260"/>
      <c r="L5" s="260"/>
      <c r="M5" s="174">
        <v>2013</v>
      </c>
      <c r="N5" s="122">
        <v>2012</v>
      </c>
    </row>
    <row r="6" spans="1:14" ht="42.75" customHeight="1">
      <c r="A6" s="5" t="s">
        <v>6</v>
      </c>
      <c r="I6" s="6" t="s">
        <v>7</v>
      </c>
      <c r="J6" s="6" t="s">
        <v>8</v>
      </c>
      <c r="K6" s="6" t="s">
        <v>9</v>
      </c>
      <c r="L6" s="6" t="s">
        <v>10</v>
      </c>
      <c r="M6" s="113" t="s">
        <v>97</v>
      </c>
      <c r="N6" s="121" t="s">
        <v>97</v>
      </c>
    </row>
    <row r="7" spans="1:14">
      <c r="A7" s="8" t="s">
        <v>90</v>
      </c>
      <c r="I7" s="9"/>
      <c r="J7" s="9"/>
      <c r="K7" s="9"/>
      <c r="L7" s="9"/>
    </row>
    <row r="8" spans="1:14">
      <c r="C8" t="s">
        <v>15</v>
      </c>
      <c r="H8" s="12"/>
      <c r="I8" s="12"/>
      <c r="J8" s="12"/>
      <c r="K8" s="12"/>
      <c r="L8" s="12"/>
      <c r="M8" s="12"/>
    </row>
    <row r="9" spans="1:14">
      <c r="D9" t="s">
        <v>99</v>
      </c>
      <c r="I9" s="97">
        <v>-88723</v>
      </c>
      <c r="J9" s="12"/>
      <c r="K9" s="12"/>
      <c r="L9" s="12"/>
      <c r="M9" s="12">
        <f t="shared" ref="M9:M18" si="0">SUM(I9:L9)</f>
        <v>-88723</v>
      </c>
      <c r="N9" s="9">
        <v>-6571</v>
      </c>
    </row>
    <row r="10" spans="1:14">
      <c r="D10" t="s">
        <v>100</v>
      </c>
      <c r="I10" s="98">
        <v>-477324</v>
      </c>
      <c r="J10" s="12">
        <v>132981</v>
      </c>
      <c r="K10" s="12"/>
      <c r="L10" s="12"/>
      <c r="M10" s="12">
        <f t="shared" si="0"/>
        <v>-344343</v>
      </c>
      <c r="N10" s="9">
        <v>-561011</v>
      </c>
    </row>
    <row r="11" spans="1:14">
      <c r="D11" t="s">
        <v>102</v>
      </c>
      <c r="I11" s="101">
        <v>-34883</v>
      </c>
      <c r="J11" s="12"/>
      <c r="K11" s="12"/>
      <c r="L11" s="12"/>
      <c r="M11" s="12">
        <f t="shared" ref="M11" si="1">SUM(I11:L11)</f>
        <v>-34883</v>
      </c>
      <c r="N11" s="9">
        <v>-42292</v>
      </c>
    </row>
    <row r="12" spans="1:14">
      <c r="D12" t="s">
        <v>143</v>
      </c>
      <c r="I12" s="110">
        <v>-859216</v>
      </c>
      <c r="J12" s="12"/>
      <c r="K12" s="12"/>
      <c r="L12" s="12"/>
      <c r="M12" s="12">
        <f t="shared" si="0"/>
        <v>-859216</v>
      </c>
      <c r="N12" s="9">
        <v>-869177</v>
      </c>
    </row>
    <row r="13" spans="1:14">
      <c r="D13" t="s">
        <v>32</v>
      </c>
      <c r="I13" s="12"/>
      <c r="J13" s="12"/>
      <c r="K13" s="12"/>
      <c r="L13" s="12"/>
      <c r="M13" s="12">
        <f t="shared" ref="M13" si="2">SUM(I13:L13)</f>
        <v>0</v>
      </c>
      <c r="N13" s="9">
        <v>-31928</v>
      </c>
    </row>
    <row r="14" spans="1:14">
      <c r="C14" t="s">
        <v>16</v>
      </c>
      <c r="H14" s="12"/>
      <c r="I14" s="13">
        <v>-961072</v>
      </c>
      <c r="J14" s="12"/>
      <c r="K14" s="12">
        <v>82323</v>
      </c>
      <c r="L14" s="12"/>
      <c r="M14" s="12">
        <f t="shared" si="0"/>
        <v>-878749</v>
      </c>
      <c r="N14" s="9">
        <v>-796884</v>
      </c>
    </row>
    <row r="15" spans="1:14">
      <c r="C15" t="s">
        <v>17</v>
      </c>
      <c r="H15" s="12"/>
      <c r="I15" s="14">
        <v>-3251671</v>
      </c>
      <c r="J15" s="12">
        <v>49232</v>
      </c>
      <c r="K15" s="12">
        <v>482359</v>
      </c>
      <c r="L15" s="12"/>
      <c r="M15" s="12">
        <f t="shared" si="0"/>
        <v>-2720080</v>
      </c>
      <c r="N15" s="9">
        <v>-1690248</v>
      </c>
    </row>
    <row r="16" spans="1:14">
      <c r="C16" t="s">
        <v>19</v>
      </c>
      <c r="H16" s="12"/>
      <c r="I16" s="15">
        <v>-408868</v>
      </c>
      <c r="J16" s="12"/>
      <c r="K16" s="12">
        <v>316622</v>
      </c>
      <c r="L16" s="12"/>
      <c r="M16" s="12">
        <f t="shared" si="0"/>
        <v>-92246</v>
      </c>
      <c r="N16" s="9">
        <v>-506328</v>
      </c>
    </row>
    <row r="17" spans="1:14">
      <c r="C17" t="s">
        <v>20</v>
      </c>
      <c r="H17" s="12"/>
      <c r="I17" s="16">
        <v>495364</v>
      </c>
      <c r="J17" s="12">
        <v>9084</v>
      </c>
      <c r="K17" s="12"/>
      <c r="L17" s="12"/>
      <c r="M17" s="12">
        <f t="shared" si="0"/>
        <v>504448</v>
      </c>
      <c r="N17" s="9">
        <v>-604398</v>
      </c>
    </row>
    <row r="18" spans="1:14">
      <c r="C18" t="s">
        <v>18</v>
      </c>
      <c r="H18" s="12"/>
      <c r="I18" s="102">
        <v>-232243</v>
      </c>
      <c r="J18" s="12"/>
      <c r="K18" s="12"/>
      <c r="L18" s="12"/>
      <c r="M18" s="12">
        <f t="shared" si="0"/>
        <v>-232243</v>
      </c>
      <c r="N18" s="9">
        <v>-281110</v>
      </c>
    </row>
    <row r="19" spans="1:14">
      <c r="C19" t="s">
        <v>606</v>
      </c>
      <c r="H19" s="12"/>
      <c r="I19" s="17">
        <v>-42979</v>
      </c>
      <c r="J19" s="18"/>
      <c r="K19" s="18"/>
      <c r="L19" s="18"/>
      <c r="M19" s="18">
        <f>SUM(I19:L19)</f>
        <v>-42979</v>
      </c>
      <c r="N19" s="123">
        <v>-48779</v>
      </c>
    </row>
    <row r="20" spans="1:14">
      <c r="H20" s="12"/>
      <c r="I20" s="12"/>
      <c r="J20" s="12"/>
      <c r="K20" s="12"/>
      <c r="L20" s="12"/>
      <c r="M20" s="12"/>
    </row>
    <row r="21" spans="1:14">
      <c r="E21" s="19" t="s">
        <v>22</v>
      </c>
      <c r="F21" s="19"/>
      <c r="G21" s="19"/>
      <c r="H21" s="20"/>
      <c r="I21" s="20">
        <f>SUM(I9:I19)</f>
        <v>-5861615</v>
      </c>
      <c r="J21" s="20">
        <f>SUM(J9:J19)</f>
        <v>191297</v>
      </c>
      <c r="K21" s="20">
        <f>SUM(K9:K18)</f>
        <v>881304</v>
      </c>
      <c r="L21" s="20">
        <f>SUM(L8:L18)</f>
        <v>0</v>
      </c>
      <c r="M21" s="91">
        <f>SUM(M8:M19)</f>
        <v>-4789014</v>
      </c>
      <c r="N21" s="91">
        <f>SUM(N8:N19)</f>
        <v>-5438726</v>
      </c>
    </row>
    <row r="22" spans="1:14">
      <c r="H22" s="12"/>
      <c r="I22" s="12"/>
      <c r="J22" s="12"/>
      <c r="K22" s="12"/>
      <c r="L22" s="12"/>
      <c r="M22" s="12"/>
    </row>
    <row r="23" spans="1:14">
      <c r="A23" s="8"/>
      <c r="B23" s="8"/>
      <c r="C23" s="8"/>
      <c r="D23" s="8"/>
      <c r="E23" s="8"/>
      <c r="G23" s="8" t="s">
        <v>25</v>
      </c>
      <c r="H23" s="26"/>
      <c r="I23" s="26"/>
      <c r="J23" s="26"/>
      <c r="K23" s="26"/>
      <c r="L23" s="26"/>
      <c r="M23" s="12"/>
    </row>
    <row r="24" spans="1:14">
      <c r="A24" s="8"/>
      <c r="B24" s="8"/>
      <c r="C24" s="8"/>
      <c r="D24" s="8"/>
      <c r="E24" s="8"/>
      <c r="G24" s="8"/>
      <c r="H24" s="88" t="s">
        <v>26</v>
      </c>
      <c r="I24" s="26"/>
      <c r="J24" s="26"/>
      <c r="K24" s="26"/>
      <c r="L24" s="26"/>
      <c r="M24" s="12"/>
    </row>
    <row r="25" spans="1:14">
      <c r="H25" s="12"/>
      <c r="I25" s="12" t="s">
        <v>116</v>
      </c>
      <c r="J25" s="12"/>
      <c r="K25" s="12"/>
      <c r="L25" s="12"/>
      <c r="M25" s="28">
        <v>1535765</v>
      </c>
      <c r="N25" s="9">
        <v>1377106</v>
      </c>
    </row>
    <row r="26" spans="1:14">
      <c r="H26" s="12"/>
      <c r="I26" s="12" t="s">
        <v>117</v>
      </c>
      <c r="J26" s="12"/>
      <c r="K26" s="12"/>
      <c r="L26" s="12"/>
      <c r="M26" s="14">
        <v>1896781</v>
      </c>
      <c r="N26" s="9">
        <v>1851138</v>
      </c>
    </row>
    <row r="27" spans="1:14">
      <c r="H27" s="12" t="s">
        <v>137</v>
      </c>
      <c r="I27" s="12"/>
      <c r="J27" s="12"/>
      <c r="K27" s="12"/>
      <c r="L27" s="12"/>
      <c r="M27" s="29">
        <v>94883</v>
      </c>
      <c r="N27" s="9">
        <v>99630</v>
      </c>
    </row>
    <row r="28" spans="1:14">
      <c r="H28" s="12" t="s">
        <v>607</v>
      </c>
      <c r="I28" s="12"/>
      <c r="J28" s="12"/>
      <c r="K28" s="12"/>
      <c r="L28" s="12"/>
      <c r="M28" s="107">
        <v>68659</v>
      </c>
      <c r="N28" s="9">
        <v>715650</v>
      </c>
    </row>
    <row r="29" spans="1:14">
      <c r="H29" s="12" t="s">
        <v>608</v>
      </c>
      <c r="I29" s="12"/>
      <c r="J29" s="12"/>
      <c r="K29" s="12"/>
      <c r="L29" s="12"/>
      <c r="M29" s="106">
        <v>1083999</v>
      </c>
      <c r="N29" s="9">
        <v>1072993</v>
      </c>
    </row>
    <row r="30" spans="1:14">
      <c r="H30" s="12" t="s">
        <v>122</v>
      </c>
      <c r="I30" s="12"/>
      <c r="J30" s="12"/>
      <c r="K30" s="12"/>
      <c r="L30" s="12"/>
      <c r="M30" s="29">
        <v>42440</v>
      </c>
      <c r="N30" s="9">
        <v>13258</v>
      </c>
    </row>
    <row r="31" spans="1:14">
      <c r="H31" s="12" t="s">
        <v>36</v>
      </c>
      <c r="I31" s="12"/>
      <c r="J31" s="12"/>
      <c r="K31" s="12"/>
      <c r="L31" s="12"/>
      <c r="M31" s="29">
        <v>130626</v>
      </c>
      <c r="N31" s="9">
        <v>187120</v>
      </c>
    </row>
    <row r="32" spans="1:14">
      <c r="H32" s="12"/>
      <c r="I32" s="12"/>
      <c r="J32" s="12"/>
      <c r="K32" s="12"/>
      <c r="L32" s="12"/>
      <c r="M32" s="12"/>
      <c r="N32" s="9"/>
    </row>
    <row r="33" spans="5:14">
      <c r="H33" s="20" t="s">
        <v>338</v>
      </c>
      <c r="I33" s="20"/>
      <c r="J33" s="20"/>
      <c r="K33" s="20"/>
      <c r="L33" s="20"/>
      <c r="M33" s="20">
        <f>SUM(M25:M31)</f>
        <v>4853153</v>
      </c>
      <c r="N33" s="100">
        <f>SUM(N25:N31)</f>
        <v>5316895</v>
      </c>
    </row>
    <row r="34" spans="5:14">
      <c r="H34" s="12"/>
      <c r="I34" s="12"/>
      <c r="J34" s="12"/>
      <c r="K34" s="12"/>
      <c r="L34" s="12"/>
      <c r="M34" s="12"/>
      <c r="N34" s="119"/>
    </row>
    <row r="35" spans="5:14">
      <c r="H35" s="20" t="s">
        <v>339</v>
      </c>
      <c r="I35" s="20"/>
      <c r="J35" s="20"/>
      <c r="K35" s="20"/>
      <c r="L35" s="20"/>
      <c r="M35" s="20">
        <f>M33+M21</f>
        <v>64139</v>
      </c>
      <c r="N35" s="100">
        <f>N33+N21</f>
        <v>-121831</v>
      </c>
    </row>
    <row r="36" spans="5:14">
      <c r="H36" s="26"/>
      <c r="I36" s="26"/>
      <c r="J36" s="26"/>
      <c r="K36" s="26"/>
      <c r="L36" s="26"/>
      <c r="M36" s="26"/>
      <c r="N36" s="119"/>
    </row>
    <row r="37" spans="5:14">
      <c r="E37" s="31" t="s">
        <v>340</v>
      </c>
      <c r="F37" s="31"/>
      <c r="G37" s="31"/>
      <c r="H37" s="32"/>
      <c r="I37" s="32"/>
      <c r="J37" s="32"/>
      <c r="K37" s="32"/>
      <c r="L37" s="32"/>
      <c r="M37" s="33">
        <v>7499336</v>
      </c>
      <c r="N37" s="95">
        <v>7621167</v>
      </c>
    </row>
    <row r="38" spans="5:14">
      <c r="H38" s="12"/>
      <c r="I38" s="12"/>
      <c r="J38" s="12"/>
      <c r="K38" s="12"/>
      <c r="L38" s="12"/>
      <c r="M38" s="12"/>
      <c r="N38" s="119"/>
    </row>
    <row r="39" spans="5:14">
      <c r="E39" s="34" t="s">
        <v>341</v>
      </c>
      <c r="F39" s="34"/>
      <c r="G39" s="34"/>
      <c r="H39" s="35"/>
      <c r="I39" s="35"/>
      <c r="J39" s="35"/>
      <c r="K39" s="35"/>
      <c r="L39" s="92"/>
      <c r="M39" s="92">
        <f>M37+M35</f>
        <v>7563475</v>
      </c>
      <c r="N39" s="92">
        <f>N37+N35</f>
        <v>7499336</v>
      </c>
    </row>
    <row r="46" spans="5:14">
      <c r="K46" s="9"/>
      <c r="L46" s="9"/>
      <c r="M46" s="9"/>
    </row>
  </sheetData>
  <mergeCells count="3">
    <mergeCell ref="J1:M1"/>
    <mergeCell ref="J2:M2"/>
    <mergeCell ref="J5:L5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I118"/>
  <sheetViews>
    <sheetView workbookViewId="0">
      <pane xSplit="2" topLeftCell="C25" activePane="topRight" state="frozen"/>
      <selection pane="topRight" activeCell="G14" sqref="G14"/>
    </sheetView>
  </sheetViews>
  <sheetFormatPr defaultColWidth="8.85546875" defaultRowHeight="14.25"/>
  <cols>
    <col min="1" max="1" width="11" bestFit="1" customWidth="1"/>
    <col min="2" max="2" width="32.85546875" customWidth="1"/>
    <col min="3" max="3" width="21.42578125" customWidth="1"/>
    <col min="4" max="4" width="51.7109375" customWidth="1"/>
    <col min="5" max="5" width="11.7109375" customWidth="1"/>
    <col min="6" max="6" width="22.42578125" bestFit="1" customWidth="1"/>
    <col min="7" max="7" width="27.140625" customWidth="1"/>
    <col min="8" max="8" width="26.85546875" bestFit="1" customWidth="1"/>
    <col min="9" max="9" width="25.42578125" customWidth="1"/>
    <col min="10" max="10" width="14.7109375" customWidth="1"/>
    <col min="11" max="11" width="12" customWidth="1"/>
    <col min="12" max="12" width="15.7109375" bestFit="1" customWidth="1"/>
    <col min="13" max="13" width="19.28515625" bestFit="1" customWidth="1"/>
    <col min="14" max="14" width="28.140625" bestFit="1" customWidth="1"/>
    <col min="15" max="15" width="31.28515625" bestFit="1" customWidth="1"/>
    <col min="16" max="16" width="29.28515625" customWidth="1"/>
    <col min="17" max="17" width="15.28515625" customWidth="1"/>
    <col min="18" max="18" width="19.42578125" bestFit="1" customWidth="1"/>
    <col min="19" max="19" width="36.28515625" bestFit="1" customWidth="1"/>
    <col min="20" max="20" width="24.42578125" bestFit="1" customWidth="1"/>
    <col min="21" max="21" width="17" bestFit="1" customWidth="1"/>
    <col min="22" max="22" width="14.7109375" bestFit="1" customWidth="1"/>
    <col min="23" max="23" width="28.7109375" bestFit="1" customWidth="1"/>
    <col min="24" max="24" width="28.42578125" bestFit="1" customWidth="1"/>
    <col min="25" max="25" width="34.28515625" bestFit="1" customWidth="1"/>
    <col min="26" max="26" width="18.42578125" bestFit="1" customWidth="1"/>
    <col min="27" max="27" width="16.28515625" customWidth="1"/>
    <col min="28" max="28" width="41.28515625" bestFit="1" customWidth="1"/>
    <col min="29" max="29" width="19.85546875" bestFit="1" customWidth="1"/>
    <col min="30" max="30" width="24.28515625" bestFit="1" customWidth="1"/>
    <col min="31" max="31" width="62.140625" bestFit="1" customWidth="1"/>
    <col min="32" max="32" width="23.85546875" bestFit="1" customWidth="1"/>
    <col min="33" max="33" width="32.85546875" bestFit="1" customWidth="1"/>
    <col min="34" max="34" width="30.42578125" bestFit="1" customWidth="1"/>
    <col min="35" max="35" width="14" bestFit="1" customWidth="1"/>
    <col min="36" max="36" width="20.140625" bestFit="1" customWidth="1"/>
    <col min="203" max="203" width="11" bestFit="1" customWidth="1"/>
    <col min="204" max="204" width="18.42578125" bestFit="1" customWidth="1"/>
    <col min="205" max="205" width="22.28515625" bestFit="1" customWidth="1"/>
    <col min="206" max="206" width="52.7109375" bestFit="1" customWidth="1"/>
    <col min="207" max="207" width="11.42578125" bestFit="1" customWidth="1"/>
    <col min="208" max="208" width="20.140625" bestFit="1" customWidth="1"/>
    <col min="209" max="209" width="25.85546875" bestFit="1" customWidth="1"/>
    <col min="210" max="210" width="23.85546875" bestFit="1" customWidth="1"/>
    <col min="211" max="211" width="22.42578125" customWidth="1"/>
    <col min="212" max="212" width="10.85546875" bestFit="1" customWidth="1"/>
    <col min="213" max="213" width="8.42578125" bestFit="1" customWidth="1"/>
    <col min="214" max="214" width="15.7109375" bestFit="1" customWidth="1"/>
    <col min="215" max="215" width="19.28515625" bestFit="1" customWidth="1"/>
    <col min="216" max="216" width="28.140625" bestFit="1" customWidth="1"/>
    <col min="217" max="217" width="31.28515625" bestFit="1" customWidth="1"/>
    <col min="218" max="218" width="26.42578125" customWidth="1"/>
    <col min="219" max="219" width="15.28515625" customWidth="1"/>
    <col min="220" max="220" width="17.85546875" customWidth="1"/>
    <col min="221" max="221" width="36.28515625" bestFit="1" customWidth="1"/>
    <col min="222" max="222" width="24.42578125" bestFit="1" customWidth="1"/>
    <col min="223" max="223" width="11.42578125" bestFit="1" customWidth="1"/>
    <col min="224" max="224" width="10.140625" bestFit="1" customWidth="1"/>
    <col min="225" max="225" width="28.7109375" bestFit="1" customWidth="1"/>
    <col min="226" max="226" width="28.42578125" bestFit="1" customWidth="1"/>
    <col min="227" max="227" width="34.28515625" bestFit="1" customWidth="1"/>
    <col min="228" max="228" width="13.7109375" bestFit="1" customWidth="1"/>
    <col min="229" max="229" width="22.7109375" bestFit="1" customWidth="1"/>
    <col min="230" max="230" width="41.28515625" bestFit="1" customWidth="1"/>
    <col min="231" max="231" width="19.85546875" bestFit="1" customWidth="1"/>
    <col min="232" max="232" width="24.28515625" bestFit="1" customWidth="1"/>
    <col min="233" max="233" width="62.140625" bestFit="1" customWidth="1"/>
    <col min="234" max="234" width="23.85546875" bestFit="1" customWidth="1"/>
    <col min="235" max="235" width="32.85546875" bestFit="1" customWidth="1"/>
    <col min="236" max="236" width="30.42578125" bestFit="1" customWidth="1"/>
    <col min="237" max="237" width="12.28515625" bestFit="1" customWidth="1"/>
    <col min="238" max="238" width="14.42578125" bestFit="1" customWidth="1"/>
    <col min="239" max="239" width="18.85546875" customWidth="1"/>
    <col min="459" max="459" width="11" bestFit="1" customWidth="1"/>
    <col min="460" max="460" width="18.42578125" bestFit="1" customWidth="1"/>
    <col min="461" max="461" width="22.28515625" bestFit="1" customWidth="1"/>
    <col min="462" max="462" width="52.7109375" bestFit="1" customWidth="1"/>
    <col min="463" max="463" width="11.42578125" bestFit="1" customWidth="1"/>
    <col min="464" max="464" width="20.140625" bestFit="1" customWidth="1"/>
    <col min="465" max="465" width="25.85546875" bestFit="1" customWidth="1"/>
    <col min="466" max="466" width="23.85546875" bestFit="1" customWidth="1"/>
    <col min="467" max="467" width="22.42578125" customWidth="1"/>
    <col min="468" max="468" width="10.85546875" bestFit="1" customWidth="1"/>
    <col min="469" max="469" width="8.42578125" bestFit="1" customWidth="1"/>
    <col min="470" max="470" width="15.7109375" bestFit="1" customWidth="1"/>
    <col min="471" max="471" width="19.28515625" bestFit="1" customWidth="1"/>
    <col min="472" max="472" width="28.140625" bestFit="1" customWidth="1"/>
    <col min="473" max="473" width="31.28515625" bestFit="1" customWidth="1"/>
    <col min="474" max="474" width="26.42578125" customWidth="1"/>
    <col min="475" max="475" width="15.28515625" customWidth="1"/>
    <col min="476" max="476" width="17.85546875" customWidth="1"/>
    <col min="477" max="477" width="36.28515625" bestFit="1" customWidth="1"/>
    <col min="478" max="478" width="24.42578125" bestFit="1" customWidth="1"/>
    <col min="479" max="479" width="11.42578125" bestFit="1" customWidth="1"/>
    <col min="480" max="480" width="10.140625" bestFit="1" customWidth="1"/>
    <col min="481" max="481" width="28.7109375" bestFit="1" customWidth="1"/>
    <col min="482" max="482" width="28.42578125" bestFit="1" customWidth="1"/>
    <col min="483" max="483" width="34.28515625" bestFit="1" customWidth="1"/>
    <col min="484" max="484" width="13.7109375" bestFit="1" customWidth="1"/>
    <col min="485" max="485" width="22.7109375" bestFit="1" customWidth="1"/>
    <col min="486" max="486" width="41.28515625" bestFit="1" customWidth="1"/>
    <col min="487" max="487" width="19.85546875" bestFit="1" customWidth="1"/>
    <col min="488" max="488" width="24.28515625" bestFit="1" customWidth="1"/>
    <col min="489" max="489" width="62.140625" bestFit="1" customWidth="1"/>
    <col min="490" max="490" width="23.85546875" bestFit="1" customWidth="1"/>
    <col min="491" max="491" width="32.85546875" bestFit="1" customWidth="1"/>
    <col min="492" max="492" width="30.42578125" bestFit="1" customWidth="1"/>
    <col min="493" max="493" width="12.28515625" bestFit="1" customWidth="1"/>
    <col min="494" max="494" width="14.42578125" bestFit="1" customWidth="1"/>
    <col min="495" max="495" width="18.85546875" customWidth="1"/>
    <col min="715" max="715" width="11" bestFit="1" customWidth="1"/>
    <col min="716" max="716" width="18.42578125" bestFit="1" customWidth="1"/>
    <col min="717" max="717" width="22.28515625" bestFit="1" customWidth="1"/>
    <col min="718" max="718" width="52.7109375" bestFit="1" customWidth="1"/>
    <col min="719" max="719" width="11.42578125" bestFit="1" customWidth="1"/>
    <col min="720" max="720" width="20.140625" bestFit="1" customWidth="1"/>
    <col min="721" max="721" width="25.85546875" bestFit="1" customWidth="1"/>
    <col min="722" max="722" width="23.85546875" bestFit="1" customWidth="1"/>
    <col min="723" max="723" width="22.42578125" customWidth="1"/>
    <col min="724" max="724" width="10.85546875" bestFit="1" customWidth="1"/>
    <col min="725" max="725" width="8.42578125" bestFit="1" customWidth="1"/>
    <col min="726" max="726" width="15.7109375" bestFit="1" customWidth="1"/>
    <col min="727" max="727" width="19.28515625" bestFit="1" customWidth="1"/>
    <col min="728" max="728" width="28.140625" bestFit="1" customWidth="1"/>
    <col min="729" max="729" width="31.28515625" bestFit="1" customWidth="1"/>
    <col min="730" max="730" width="26.42578125" customWidth="1"/>
    <col min="731" max="731" width="15.28515625" customWidth="1"/>
    <col min="732" max="732" width="17.85546875" customWidth="1"/>
    <col min="733" max="733" width="36.28515625" bestFit="1" customWidth="1"/>
    <col min="734" max="734" width="24.42578125" bestFit="1" customWidth="1"/>
    <col min="735" max="735" width="11.42578125" bestFit="1" customWidth="1"/>
    <col min="736" max="736" width="10.140625" bestFit="1" customWidth="1"/>
    <col min="737" max="737" width="28.7109375" bestFit="1" customWidth="1"/>
    <col min="738" max="738" width="28.42578125" bestFit="1" customWidth="1"/>
    <col min="739" max="739" width="34.28515625" bestFit="1" customWidth="1"/>
    <col min="740" max="740" width="13.7109375" bestFit="1" customWidth="1"/>
    <col min="741" max="741" width="22.7109375" bestFit="1" customWidth="1"/>
    <col min="742" max="742" width="41.28515625" bestFit="1" customWidth="1"/>
    <col min="743" max="743" width="19.85546875" bestFit="1" customWidth="1"/>
    <col min="744" max="744" width="24.28515625" bestFit="1" customWidth="1"/>
    <col min="745" max="745" width="62.140625" bestFit="1" customWidth="1"/>
    <col min="746" max="746" width="23.85546875" bestFit="1" customWidth="1"/>
    <col min="747" max="747" width="32.85546875" bestFit="1" customWidth="1"/>
    <col min="748" max="748" width="30.42578125" bestFit="1" customWidth="1"/>
    <col min="749" max="749" width="12.28515625" bestFit="1" customWidth="1"/>
    <col min="750" max="750" width="14.42578125" bestFit="1" customWidth="1"/>
    <col min="751" max="751" width="18.85546875" customWidth="1"/>
    <col min="971" max="971" width="11" bestFit="1" customWidth="1"/>
    <col min="972" max="972" width="18.42578125" bestFit="1" customWidth="1"/>
    <col min="973" max="973" width="22.28515625" bestFit="1" customWidth="1"/>
    <col min="974" max="974" width="52.7109375" bestFit="1" customWidth="1"/>
    <col min="975" max="975" width="11.42578125" bestFit="1" customWidth="1"/>
    <col min="976" max="976" width="20.140625" bestFit="1" customWidth="1"/>
    <col min="977" max="977" width="25.85546875" bestFit="1" customWidth="1"/>
    <col min="978" max="978" width="23.85546875" bestFit="1" customWidth="1"/>
    <col min="979" max="979" width="22.42578125" customWidth="1"/>
    <col min="980" max="980" width="10.85546875" bestFit="1" customWidth="1"/>
    <col min="981" max="981" width="8.42578125" bestFit="1" customWidth="1"/>
    <col min="982" max="982" width="15.7109375" bestFit="1" customWidth="1"/>
    <col min="983" max="983" width="19.28515625" bestFit="1" customWidth="1"/>
    <col min="984" max="984" width="28.140625" bestFit="1" customWidth="1"/>
    <col min="985" max="985" width="31.28515625" bestFit="1" customWidth="1"/>
    <col min="986" max="986" width="26.42578125" customWidth="1"/>
    <col min="987" max="987" width="15.28515625" customWidth="1"/>
    <col min="988" max="988" width="17.85546875" customWidth="1"/>
    <col min="989" max="989" width="36.28515625" bestFit="1" customWidth="1"/>
    <col min="990" max="990" width="24.42578125" bestFit="1" customWidth="1"/>
    <col min="991" max="991" width="11.42578125" bestFit="1" customWidth="1"/>
    <col min="992" max="992" width="10.140625" bestFit="1" customWidth="1"/>
    <col min="993" max="993" width="28.7109375" bestFit="1" customWidth="1"/>
    <col min="994" max="994" width="28.42578125" bestFit="1" customWidth="1"/>
    <col min="995" max="995" width="34.28515625" bestFit="1" customWidth="1"/>
    <col min="996" max="996" width="13.7109375" bestFit="1" customWidth="1"/>
    <col min="997" max="997" width="22.7109375" bestFit="1" customWidth="1"/>
    <col min="998" max="998" width="41.28515625" bestFit="1" customWidth="1"/>
    <col min="999" max="999" width="19.85546875" bestFit="1" customWidth="1"/>
    <col min="1000" max="1000" width="24.28515625" bestFit="1" customWidth="1"/>
    <col min="1001" max="1001" width="62.140625" bestFit="1" customWidth="1"/>
    <col min="1002" max="1002" width="23.85546875" bestFit="1" customWidth="1"/>
    <col min="1003" max="1003" width="32.85546875" bestFit="1" customWidth="1"/>
    <col min="1004" max="1004" width="30.42578125" bestFit="1" customWidth="1"/>
    <col min="1005" max="1005" width="12.28515625" bestFit="1" customWidth="1"/>
    <col min="1006" max="1006" width="14.42578125" bestFit="1" customWidth="1"/>
    <col min="1007" max="1007" width="18.85546875" customWidth="1"/>
    <col min="1227" max="1227" width="11" bestFit="1" customWidth="1"/>
    <col min="1228" max="1228" width="18.42578125" bestFit="1" customWidth="1"/>
    <col min="1229" max="1229" width="22.28515625" bestFit="1" customWidth="1"/>
    <col min="1230" max="1230" width="52.7109375" bestFit="1" customWidth="1"/>
    <col min="1231" max="1231" width="11.42578125" bestFit="1" customWidth="1"/>
    <col min="1232" max="1232" width="20.140625" bestFit="1" customWidth="1"/>
    <col min="1233" max="1233" width="25.85546875" bestFit="1" customWidth="1"/>
    <col min="1234" max="1234" width="23.85546875" bestFit="1" customWidth="1"/>
    <col min="1235" max="1235" width="22.42578125" customWidth="1"/>
    <col min="1236" max="1236" width="10.85546875" bestFit="1" customWidth="1"/>
    <col min="1237" max="1237" width="8.42578125" bestFit="1" customWidth="1"/>
    <col min="1238" max="1238" width="15.7109375" bestFit="1" customWidth="1"/>
    <col min="1239" max="1239" width="19.28515625" bestFit="1" customWidth="1"/>
    <col min="1240" max="1240" width="28.140625" bestFit="1" customWidth="1"/>
    <col min="1241" max="1241" width="31.28515625" bestFit="1" customWidth="1"/>
    <col min="1242" max="1242" width="26.42578125" customWidth="1"/>
    <col min="1243" max="1243" width="15.28515625" customWidth="1"/>
    <col min="1244" max="1244" width="17.85546875" customWidth="1"/>
    <col min="1245" max="1245" width="36.28515625" bestFit="1" customWidth="1"/>
    <col min="1246" max="1246" width="24.42578125" bestFit="1" customWidth="1"/>
    <col min="1247" max="1247" width="11.42578125" bestFit="1" customWidth="1"/>
    <col min="1248" max="1248" width="10.140625" bestFit="1" customWidth="1"/>
    <col min="1249" max="1249" width="28.7109375" bestFit="1" customWidth="1"/>
    <col min="1250" max="1250" width="28.42578125" bestFit="1" customWidth="1"/>
    <col min="1251" max="1251" width="34.28515625" bestFit="1" customWidth="1"/>
    <col min="1252" max="1252" width="13.7109375" bestFit="1" customWidth="1"/>
    <col min="1253" max="1253" width="22.7109375" bestFit="1" customWidth="1"/>
    <col min="1254" max="1254" width="41.28515625" bestFit="1" customWidth="1"/>
    <col min="1255" max="1255" width="19.85546875" bestFit="1" customWidth="1"/>
    <col min="1256" max="1256" width="24.28515625" bestFit="1" customWidth="1"/>
    <col min="1257" max="1257" width="62.140625" bestFit="1" customWidth="1"/>
    <col min="1258" max="1258" width="23.85546875" bestFit="1" customWidth="1"/>
    <col min="1259" max="1259" width="32.85546875" bestFit="1" customWidth="1"/>
    <col min="1260" max="1260" width="30.42578125" bestFit="1" customWidth="1"/>
    <col min="1261" max="1261" width="12.28515625" bestFit="1" customWidth="1"/>
    <col min="1262" max="1262" width="14.42578125" bestFit="1" customWidth="1"/>
    <col min="1263" max="1263" width="18.85546875" customWidth="1"/>
    <col min="1483" max="1483" width="11" bestFit="1" customWidth="1"/>
    <col min="1484" max="1484" width="18.42578125" bestFit="1" customWidth="1"/>
    <col min="1485" max="1485" width="22.28515625" bestFit="1" customWidth="1"/>
    <col min="1486" max="1486" width="52.7109375" bestFit="1" customWidth="1"/>
    <col min="1487" max="1487" width="11.42578125" bestFit="1" customWidth="1"/>
    <col min="1488" max="1488" width="20.140625" bestFit="1" customWidth="1"/>
    <col min="1489" max="1489" width="25.85546875" bestFit="1" customWidth="1"/>
    <col min="1490" max="1490" width="23.85546875" bestFit="1" customWidth="1"/>
    <col min="1491" max="1491" width="22.42578125" customWidth="1"/>
    <col min="1492" max="1492" width="10.85546875" bestFit="1" customWidth="1"/>
    <col min="1493" max="1493" width="8.42578125" bestFit="1" customWidth="1"/>
    <col min="1494" max="1494" width="15.7109375" bestFit="1" customWidth="1"/>
    <col min="1495" max="1495" width="19.28515625" bestFit="1" customWidth="1"/>
    <col min="1496" max="1496" width="28.140625" bestFit="1" customWidth="1"/>
    <col min="1497" max="1497" width="31.28515625" bestFit="1" customWidth="1"/>
    <col min="1498" max="1498" width="26.42578125" customWidth="1"/>
    <col min="1499" max="1499" width="15.28515625" customWidth="1"/>
    <col min="1500" max="1500" width="17.85546875" customWidth="1"/>
    <col min="1501" max="1501" width="36.28515625" bestFit="1" customWidth="1"/>
    <col min="1502" max="1502" width="24.42578125" bestFit="1" customWidth="1"/>
    <col min="1503" max="1503" width="11.42578125" bestFit="1" customWidth="1"/>
    <col min="1504" max="1504" width="10.140625" bestFit="1" customWidth="1"/>
    <col min="1505" max="1505" width="28.7109375" bestFit="1" customWidth="1"/>
    <col min="1506" max="1506" width="28.42578125" bestFit="1" customWidth="1"/>
    <col min="1507" max="1507" width="34.28515625" bestFit="1" customWidth="1"/>
    <col min="1508" max="1508" width="13.7109375" bestFit="1" customWidth="1"/>
    <col min="1509" max="1509" width="22.7109375" bestFit="1" customWidth="1"/>
    <col min="1510" max="1510" width="41.28515625" bestFit="1" customWidth="1"/>
    <col min="1511" max="1511" width="19.85546875" bestFit="1" customWidth="1"/>
    <col min="1512" max="1512" width="24.28515625" bestFit="1" customWidth="1"/>
    <col min="1513" max="1513" width="62.140625" bestFit="1" customWidth="1"/>
    <col min="1514" max="1514" width="23.85546875" bestFit="1" customWidth="1"/>
    <col min="1515" max="1515" width="32.85546875" bestFit="1" customWidth="1"/>
    <col min="1516" max="1516" width="30.42578125" bestFit="1" customWidth="1"/>
    <col min="1517" max="1517" width="12.28515625" bestFit="1" customWidth="1"/>
    <col min="1518" max="1518" width="14.42578125" bestFit="1" customWidth="1"/>
    <col min="1519" max="1519" width="18.85546875" customWidth="1"/>
    <col min="1739" max="1739" width="11" bestFit="1" customWidth="1"/>
    <col min="1740" max="1740" width="18.42578125" bestFit="1" customWidth="1"/>
    <col min="1741" max="1741" width="22.28515625" bestFit="1" customWidth="1"/>
    <col min="1742" max="1742" width="52.7109375" bestFit="1" customWidth="1"/>
    <col min="1743" max="1743" width="11.42578125" bestFit="1" customWidth="1"/>
    <col min="1744" max="1744" width="20.140625" bestFit="1" customWidth="1"/>
    <col min="1745" max="1745" width="25.85546875" bestFit="1" customWidth="1"/>
    <col min="1746" max="1746" width="23.85546875" bestFit="1" customWidth="1"/>
    <col min="1747" max="1747" width="22.42578125" customWidth="1"/>
    <col min="1748" max="1748" width="10.85546875" bestFit="1" customWidth="1"/>
    <col min="1749" max="1749" width="8.42578125" bestFit="1" customWidth="1"/>
    <col min="1750" max="1750" width="15.7109375" bestFit="1" customWidth="1"/>
    <col min="1751" max="1751" width="19.28515625" bestFit="1" customWidth="1"/>
    <col min="1752" max="1752" width="28.140625" bestFit="1" customWidth="1"/>
    <col min="1753" max="1753" width="31.28515625" bestFit="1" customWidth="1"/>
    <col min="1754" max="1754" width="26.42578125" customWidth="1"/>
    <col min="1755" max="1755" width="15.28515625" customWidth="1"/>
    <col min="1756" max="1756" width="17.85546875" customWidth="1"/>
    <col min="1757" max="1757" width="36.28515625" bestFit="1" customWidth="1"/>
    <col min="1758" max="1758" width="24.42578125" bestFit="1" customWidth="1"/>
    <col min="1759" max="1759" width="11.42578125" bestFit="1" customWidth="1"/>
    <col min="1760" max="1760" width="10.140625" bestFit="1" customWidth="1"/>
    <col min="1761" max="1761" width="28.7109375" bestFit="1" customWidth="1"/>
    <col min="1762" max="1762" width="28.42578125" bestFit="1" customWidth="1"/>
    <col min="1763" max="1763" width="34.28515625" bestFit="1" customWidth="1"/>
    <col min="1764" max="1764" width="13.7109375" bestFit="1" customWidth="1"/>
    <col min="1765" max="1765" width="22.7109375" bestFit="1" customWidth="1"/>
    <col min="1766" max="1766" width="41.28515625" bestFit="1" customWidth="1"/>
    <col min="1767" max="1767" width="19.85546875" bestFit="1" customWidth="1"/>
    <col min="1768" max="1768" width="24.28515625" bestFit="1" customWidth="1"/>
    <col min="1769" max="1769" width="62.140625" bestFit="1" customWidth="1"/>
    <col min="1770" max="1770" width="23.85546875" bestFit="1" customWidth="1"/>
    <col min="1771" max="1771" width="32.85546875" bestFit="1" customWidth="1"/>
    <col min="1772" max="1772" width="30.42578125" bestFit="1" customWidth="1"/>
    <col min="1773" max="1773" width="12.28515625" bestFit="1" customWidth="1"/>
    <col min="1774" max="1774" width="14.42578125" bestFit="1" customWidth="1"/>
    <col min="1775" max="1775" width="18.85546875" customWidth="1"/>
    <col min="1995" max="1995" width="11" bestFit="1" customWidth="1"/>
    <col min="1996" max="1996" width="18.42578125" bestFit="1" customWidth="1"/>
    <col min="1997" max="1997" width="22.28515625" bestFit="1" customWidth="1"/>
    <col min="1998" max="1998" width="52.7109375" bestFit="1" customWidth="1"/>
    <col min="1999" max="1999" width="11.42578125" bestFit="1" customWidth="1"/>
    <col min="2000" max="2000" width="20.140625" bestFit="1" customWidth="1"/>
    <col min="2001" max="2001" width="25.85546875" bestFit="1" customWidth="1"/>
    <col min="2002" max="2002" width="23.85546875" bestFit="1" customWidth="1"/>
    <col min="2003" max="2003" width="22.42578125" customWidth="1"/>
    <col min="2004" max="2004" width="10.85546875" bestFit="1" customWidth="1"/>
    <col min="2005" max="2005" width="8.42578125" bestFit="1" customWidth="1"/>
    <col min="2006" max="2006" width="15.7109375" bestFit="1" customWidth="1"/>
    <col min="2007" max="2007" width="19.28515625" bestFit="1" customWidth="1"/>
    <col min="2008" max="2008" width="28.140625" bestFit="1" customWidth="1"/>
    <col min="2009" max="2009" width="31.28515625" bestFit="1" customWidth="1"/>
    <col min="2010" max="2010" width="26.42578125" customWidth="1"/>
    <col min="2011" max="2011" width="15.28515625" customWidth="1"/>
    <col min="2012" max="2012" width="17.85546875" customWidth="1"/>
    <col min="2013" max="2013" width="36.28515625" bestFit="1" customWidth="1"/>
    <col min="2014" max="2014" width="24.42578125" bestFit="1" customWidth="1"/>
    <col min="2015" max="2015" width="11.42578125" bestFit="1" customWidth="1"/>
    <col min="2016" max="2016" width="10.140625" bestFit="1" customWidth="1"/>
    <col min="2017" max="2017" width="28.7109375" bestFit="1" customWidth="1"/>
    <col min="2018" max="2018" width="28.42578125" bestFit="1" customWidth="1"/>
    <col min="2019" max="2019" width="34.28515625" bestFit="1" customWidth="1"/>
    <col min="2020" max="2020" width="13.7109375" bestFit="1" customWidth="1"/>
    <col min="2021" max="2021" width="22.7109375" bestFit="1" customWidth="1"/>
    <col min="2022" max="2022" width="41.28515625" bestFit="1" customWidth="1"/>
    <col min="2023" max="2023" width="19.85546875" bestFit="1" customWidth="1"/>
    <col min="2024" max="2024" width="24.28515625" bestFit="1" customWidth="1"/>
    <col min="2025" max="2025" width="62.140625" bestFit="1" customWidth="1"/>
    <col min="2026" max="2026" width="23.85546875" bestFit="1" customWidth="1"/>
    <col min="2027" max="2027" width="32.85546875" bestFit="1" customWidth="1"/>
    <col min="2028" max="2028" width="30.42578125" bestFit="1" customWidth="1"/>
    <col min="2029" max="2029" width="12.28515625" bestFit="1" customWidth="1"/>
    <col min="2030" max="2030" width="14.42578125" bestFit="1" customWidth="1"/>
    <col min="2031" max="2031" width="18.85546875" customWidth="1"/>
    <col min="2251" max="2251" width="11" bestFit="1" customWidth="1"/>
    <col min="2252" max="2252" width="18.42578125" bestFit="1" customWidth="1"/>
    <col min="2253" max="2253" width="22.28515625" bestFit="1" customWidth="1"/>
    <col min="2254" max="2254" width="52.7109375" bestFit="1" customWidth="1"/>
    <col min="2255" max="2255" width="11.42578125" bestFit="1" customWidth="1"/>
    <col min="2256" max="2256" width="20.140625" bestFit="1" customWidth="1"/>
    <col min="2257" max="2257" width="25.85546875" bestFit="1" customWidth="1"/>
    <col min="2258" max="2258" width="23.85546875" bestFit="1" customWidth="1"/>
    <col min="2259" max="2259" width="22.42578125" customWidth="1"/>
    <col min="2260" max="2260" width="10.85546875" bestFit="1" customWidth="1"/>
    <col min="2261" max="2261" width="8.42578125" bestFit="1" customWidth="1"/>
    <col min="2262" max="2262" width="15.7109375" bestFit="1" customWidth="1"/>
    <col min="2263" max="2263" width="19.28515625" bestFit="1" customWidth="1"/>
    <col min="2264" max="2264" width="28.140625" bestFit="1" customWidth="1"/>
    <col min="2265" max="2265" width="31.28515625" bestFit="1" customWidth="1"/>
    <col min="2266" max="2266" width="26.42578125" customWidth="1"/>
    <col min="2267" max="2267" width="15.28515625" customWidth="1"/>
    <col min="2268" max="2268" width="17.85546875" customWidth="1"/>
    <col min="2269" max="2269" width="36.28515625" bestFit="1" customWidth="1"/>
    <col min="2270" max="2270" width="24.42578125" bestFit="1" customWidth="1"/>
    <col min="2271" max="2271" width="11.42578125" bestFit="1" customWidth="1"/>
    <col min="2272" max="2272" width="10.140625" bestFit="1" customWidth="1"/>
    <col min="2273" max="2273" width="28.7109375" bestFit="1" customWidth="1"/>
    <col min="2274" max="2274" width="28.42578125" bestFit="1" customWidth="1"/>
    <col min="2275" max="2275" width="34.28515625" bestFit="1" customWidth="1"/>
    <col min="2276" max="2276" width="13.7109375" bestFit="1" customWidth="1"/>
    <col min="2277" max="2277" width="22.7109375" bestFit="1" customWidth="1"/>
    <col min="2278" max="2278" width="41.28515625" bestFit="1" customWidth="1"/>
    <col min="2279" max="2279" width="19.85546875" bestFit="1" customWidth="1"/>
    <col min="2280" max="2280" width="24.28515625" bestFit="1" customWidth="1"/>
    <col min="2281" max="2281" width="62.140625" bestFit="1" customWidth="1"/>
    <col min="2282" max="2282" width="23.85546875" bestFit="1" customWidth="1"/>
    <col min="2283" max="2283" width="32.85546875" bestFit="1" customWidth="1"/>
    <col min="2284" max="2284" width="30.42578125" bestFit="1" customWidth="1"/>
    <col min="2285" max="2285" width="12.28515625" bestFit="1" customWidth="1"/>
    <col min="2286" max="2286" width="14.42578125" bestFit="1" customWidth="1"/>
    <col min="2287" max="2287" width="18.85546875" customWidth="1"/>
    <col min="2507" max="2507" width="11" bestFit="1" customWidth="1"/>
    <col min="2508" max="2508" width="18.42578125" bestFit="1" customWidth="1"/>
    <col min="2509" max="2509" width="22.28515625" bestFit="1" customWidth="1"/>
    <col min="2510" max="2510" width="52.7109375" bestFit="1" customWidth="1"/>
    <col min="2511" max="2511" width="11.42578125" bestFit="1" customWidth="1"/>
    <col min="2512" max="2512" width="20.140625" bestFit="1" customWidth="1"/>
    <col min="2513" max="2513" width="25.85546875" bestFit="1" customWidth="1"/>
    <col min="2514" max="2514" width="23.85546875" bestFit="1" customWidth="1"/>
    <col min="2515" max="2515" width="22.42578125" customWidth="1"/>
    <col min="2516" max="2516" width="10.85546875" bestFit="1" customWidth="1"/>
    <col min="2517" max="2517" width="8.42578125" bestFit="1" customWidth="1"/>
    <col min="2518" max="2518" width="15.7109375" bestFit="1" customWidth="1"/>
    <col min="2519" max="2519" width="19.28515625" bestFit="1" customWidth="1"/>
    <col min="2520" max="2520" width="28.140625" bestFit="1" customWidth="1"/>
    <col min="2521" max="2521" width="31.28515625" bestFit="1" customWidth="1"/>
    <col min="2522" max="2522" width="26.42578125" customWidth="1"/>
    <col min="2523" max="2523" width="15.28515625" customWidth="1"/>
    <col min="2524" max="2524" width="17.85546875" customWidth="1"/>
    <col min="2525" max="2525" width="36.28515625" bestFit="1" customWidth="1"/>
    <col min="2526" max="2526" width="24.42578125" bestFit="1" customWidth="1"/>
    <col min="2527" max="2527" width="11.42578125" bestFit="1" customWidth="1"/>
    <col min="2528" max="2528" width="10.140625" bestFit="1" customWidth="1"/>
    <col min="2529" max="2529" width="28.7109375" bestFit="1" customWidth="1"/>
    <col min="2530" max="2530" width="28.42578125" bestFit="1" customWidth="1"/>
    <col min="2531" max="2531" width="34.28515625" bestFit="1" customWidth="1"/>
    <col min="2532" max="2532" width="13.7109375" bestFit="1" customWidth="1"/>
    <col min="2533" max="2533" width="22.7109375" bestFit="1" customWidth="1"/>
    <col min="2534" max="2534" width="41.28515625" bestFit="1" customWidth="1"/>
    <col min="2535" max="2535" width="19.85546875" bestFit="1" customWidth="1"/>
    <col min="2536" max="2536" width="24.28515625" bestFit="1" customWidth="1"/>
    <col min="2537" max="2537" width="62.140625" bestFit="1" customWidth="1"/>
    <col min="2538" max="2538" width="23.85546875" bestFit="1" customWidth="1"/>
    <col min="2539" max="2539" width="32.85546875" bestFit="1" customWidth="1"/>
    <col min="2540" max="2540" width="30.42578125" bestFit="1" customWidth="1"/>
    <col min="2541" max="2541" width="12.28515625" bestFit="1" customWidth="1"/>
    <col min="2542" max="2542" width="14.42578125" bestFit="1" customWidth="1"/>
    <col min="2543" max="2543" width="18.85546875" customWidth="1"/>
    <col min="2763" max="2763" width="11" bestFit="1" customWidth="1"/>
    <col min="2764" max="2764" width="18.42578125" bestFit="1" customWidth="1"/>
    <col min="2765" max="2765" width="22.28515625" bestFit="1" customWidth="1"/>
    <col min="2766" max="2766" width="52.7109375" bestFit="1" customWidth="1"/>
    <col min="2767" max="2767" width="11.42578125" bestFit="1" customWidth="1"/>
    <col min="2768" max="2768" width="20.140625" bestFit="1" customWidth="1"/>
    <col min="2769" max="2769" width="25.85546875" bestFit="1" customWidth="1"/>
    <col min="2770" max="2770" width="23.85546875" bestFit="1" customWidth="1"/>
    <col min="2771" max="2771" width="22.42578125" customWidth="1"/>
    <col min="2772" max="2772" width="10.85546875" bestFit="1" customWidth="1"/>
    <col min="2773" max="2773" width="8.42578125" bestFit="1" customWidth="1"/>
    <col min="2774" max="2774" width="15.7109375" bestFit="1" customWidth="1"/>
    <col min="2775" max="2775" width="19.28515625" bestFit="1" customWidth="1"/>
    <col min="2776" max="2776" width="28.140625" bestFit="1" customWidth="1"/>
    <col min="2777" max="2777" width="31.28515625" bestFit="1" customWidth="1"/>
    <col min="2778" max="2778" width="26.42578125" customWidth="1"/>
    <col min="2779" max="2779" width="15.28515625" customWidth="1"/>
    <col min="2780" max="2780" width="17.85546875" customWidth="1"/>
    <col min="2781" max="2781" width="36.28515625" bestFit="1" customWidth="1"/>
    <col min="2782" max="2782" width="24.42578125" bestFit="1" customWidth="1"/>
    <col min="2783" max="2783" width="11.42578125" bestFit="1" customWidth="1"/>
    <col min="2784" max="2784" width="10.140625" bestFit="1" customWidth="1"/>
    <col min="2785" max="2785" width="28.7109375" bestFit="1" customWidth="1"/>
    <col min="2786" max="2786" width="28.42578125" bestFit="1" customWidth="1"/>
    <col min="2787" max="2787" width="34.28515625" bestFit="1" customWidth="1"/>
    <col min="2788" max="2788" width="13.7109375" bestFit="1" customWidth="1"/>
    <col min="2789" max="2789" width="22.7109375" bestFit="1" customWidth="1"/>
    <col min="2790" max="2790" width="41.28515625" bestFit="1" customWidth="1"/>
    <col min="2791" max="2791" width="19.85546875" bestFit="1" customWidth="1"/>
    <col min="2792" max="2792" width="24.28515625" bestFit="1" customWidth="1"/>
    <col min="2793" max="2793" width="62.140625" bestFit="1" customWidth="1"/>
    <col min="2794" max="2794" width="23.85546875" bestFit="1" customWidth="1"/>
    <col min="2795" max="2795" width="32.85546875" bestFit="1" customWidth="1"/>
    <col min="2796" max="2796" width="30.42578125" bestFit="1" customWidth="1"/>
    <col min="2797" max="2797" width="12.28515625" bestFit="1" customWidth="1"/>
    <col min="2798" max="2798" width="14.42578125" bestFit="1" customWidth="1"/>
    <col min="2799" max="2799" width="18.85546875" customWidth="1"/>
    <col min="3019" max="3019" width="11" bestFit="1" customWidth="1"/>
    <col min="3020" max="3020" width="18.42578125" bestFit="1" customWidth="1"/>
    <col min="3021" max="3021" width="22.28515625" bestFit="1" customWidth="1"/>
    <col min="3022" max="3022" width="52.7109375" bestFit="1" customWidth="1"/>
    <col min="3023" max="3023" width="11.42578125" bestFit="1" customWidth="1"/>
    <col min="3024" max="3024" width="20.140625" bestFit="1" customWidth="1"/>
    <col min="3025" max="3025" width="25.85546875" bestFit="1" customWidth="1"/>
    <col min="3026" max="3026" width="23.85546875" bestFit="1" customWidth="1"/>
    <col min="3027" max="3027" width="22.42578125" customWidth="1"/>
    <col min="3028" max="3028" width="10.85546875" bestFit="1" customWidth="1"/>
    <col min="3029" max="3029" width="8.42578125" bestFit="1" customWidth="1"/>
    <col min="3030" max="3030" width="15.7109375" bestFit="1" customWidth="1"/>
    <col min="3031" max="3031" width="19.28515625" bestFit="1" customWidth="1"/>
    <col min="3032" max="3032" width="28.140625" bestFit="1" customWidth="1"/>
    <col min="3033" max="3033" width="31.28515625" bestFit="1" customWidth="1"/>
    <col min="3034" max="3034" width="26.42578125" customWidth="1"/>
    <col min="3035" max="3035" width="15.28515625" customWidth="1"/>
    <col min="3036" max="3036" width="17.85546875" customWidth="1"/>
    <col min="3037" max="3037" width="36.28515625" bestFit="1" customWidth="1"/>
    <col min="3038" max="3038" width="24.42578125" bestFit="1" customWidth="1"/>
    <col min="3039" max="3039" width="11.42578125" bestFit="1" customWidth="1"/>
    <col min="3040" max="3040" width="10.140625" bestFit="1" customWidth="1"/>
    <col min="3041" max="3041" width="28.7109375" bestFit="1" customWidth="1"/>
    <col min="3042" max="3042" width="28.42578125" bestFit="1" customWidth="1"/>
    <col min="3043" max="3043" width="34.28515625" bestFit="1" customWidth="1"/>
    <col min="3044" max="3044" width="13.7109375" bestFit="1" customWidth="1"/>
    <col min="3045" max="3045" width="22.7109375" bestFit="1" customWidth="1"/>
    <col min="3046" max="3046" width="41.28515625" bestFit="1" customWidth="1"/>
    <col min="3047" max="3047" width="19.85546875" bestFit="1" customWidth="1"/>
    <col min="3048" max="3048" width="24.28515625" bestFit="1" customWidth="1"/>
    <col min="3049" max="3049" width="62.140625" bestFit="1" customWidth="1"/>
    <col min="3050" max="3050" width="23.85546875" bestFit="1" customWidth="1"/>
    <col min="3051" max="3051" width="32.85546875" bestFit="1" customWidth="1"/>
    <col min="3052" max="3052" width="30.42578125" bestFit="1" customWidth="1"/>
    <col min="3053" max="3053" width="12.28515625" bestFit="1" customWidth="1"/>
    <col min="3054" max="3054" width="14.42578125" bestFit="1" customWidth="1"/>
    <col min="3055" max="3055" width="18.85546875" customWidth="1"/>
    <col min="3275" max="3275" width="11" bestFit="1" customWidth="1"/>
    <col min="3276" max="3276" width="18.42578125" bestFit="1" customWidth="1"/>
    <col min="3277" max="3277" width="22.28515625" bestFit="1" customWidth="1"/>
    <col min="3278" max="3278" width="52.7109375" bestFit="1" customWidth="1"/>
    <col min="3279" max="3279" width="11.42578125" bestFit="1" customWidth="1"/>
    <col min="3280" max="3280" width="20.140625" bestFit="1" customWidth="1"/>
    <col min="3281" max="3281" width="25.85546875" bestFit="1" customWidth="1"/>
    <col min="3282" max="3282" width="23.85546875" bestFit="1" customWidth="1"/>
    <col min="3283" max="3283" width="22.42578125" customWidth="1"/>
    <col min="3284" max="3284" width="10.85546875" bestFit="1" customWidth="1"/>
    <col min="3285" max="3285" width="8.42578125" bestFit="1" customWidth="1"/>
    <col min="3286" max="3286" width="15.7109375" bestFit="1" customWidth="1"/>
    <col min="3287" max="3287" width="19.28515625" bestFit="1" customWidth="1"/>
    <col min="3288" max="3288" width="28.140625" bestFit="1" customWidth="1"/>
    <col min="3289" max="3289" width="31.28515625" bestFit="1" customWidth="1"/>
    <col min="3290" max="3290" width="26.42578125" customWidth="1"/>
    <col min="3291" max="3291" width="15.28515625" customWidth="1"/>
    <col min="3292" max="3292" width="17.85546875" customWidth="1"/>
    <col min="3293" max="3293" width="36.28515625" bestFit="1" customWidth="1"/>
    <col min="3294" max="3294" width="24.42578125" bestFit="1" customWidth="1"/>
    <col min="3295" max="3295" width="11.42578125" bestFit="1" customWidth="1"/>
    <col min="3296" max="3296" width="10.140625" bestFit="1" customWidth="1"/>
    <col min="3297" max="3297" width="28.7109375" bestFit="1" customWidth="1"/>
    <col min="3298" max="3298" width="28.42578125" bestFit="1" customWidth="1"/>
    <col min="3299" max="3299" width="34.28515625" bestFit="1" customWidth="1"/>
    <col min="3300" max="3300" width="13.7109375" bestFit="1" customWidth="1"/>
    <col min="3301" max="3301" width="22.7109375" bestFit="1" customWidth="1"/>
    <col min="3302" max="3302" width="41.28515625" bestFit="1" customWidth="1"/>
    <col min="3303" max="3303" width="19.85546875" bestFit="1" customWidth="1"/>
    <col min="3304" max="3304" width="24.28515625" bestFit="1" customWidth="1"/>
    <col min="3305" max="3305" width="62.140625" bestFit="1" customWidth="1"/>
    <col min="3306" max="3306" width="23.85546875" bestFit="1" customWidth="1"/>
    <col min="3307" max="3307" width="32.85546875" bestFit="1" customWidth="1"/>
    <col min="3308" max="3308" width="30.42578125" bestFit="1" customWidth="1"/>
    <col min="3309" max="3309" width="12.28515625" bestFit="1" customWidth="1"/>
    <col min="3310" max="3310" width="14.42578125" bestFit="1" customWidth="1"/>
    <col min="3311" max="3311" width="18.85546875" customWidth="1"/>
    <col min="3531" max="3531" width="11" bestFit="1" customWidth="1"/>
    <col min="3532" max="3532" width="18.42578125" bestFit="1" customWidth="1"/>
    <col min="3533" max="3533" width="22.28515625" bestFit="1" customWidth="1"/>
    <col min="3534" max="3534" width="52.7109375" bestFit="1" customWidth="1"/>
    <col min="3535" max="3535" width="11.42578125" bestFit="1" customWidth="1"/>
    <col min="3536" max="3536" width="20.140625" bestFit="1" customWidth="1"/>
    <col min="3537" max="3537" width="25.85546875" bestFit="1" customWidth="1"/>
    <col min="3538" max="3538" width="23.85546875" bestFit="1" customWidth="1"/>
    <col min="3539" max="3539" width="22.42578125" customWidth="1"/>
    <col min="3540" max="3540" width="10.85546875" bestFit="1" customWidth="1"/>
    <col min="3541" max="3541" width="8.42578125" bestFit="1" customWidth="1"/>
    <col min="3542" max="3542" width="15.7109375" bestFit="1" customWidth="1"/>
    <col min="3543" max="3543" width="19.28515625" bestFit="1" customWidth="1"/>
    <col min="3544" max="3544" width="28.140625" bestFit="1" customWidth="1"/>
    <col min="3545" max="3545" width="31.28515625" bestFit="1" customWidth="1"/>
    <col min="3546" max="3546" width="26.42578125" customWidth="1"/>
    <col min="3547" max="3547" width="15.28515625" customWidth="1"/>
    <col min="3548" max="3548" width="17.85546875" customWidth="1"/>
    <col min="3549" max="3549" width="36.28515625" bestFit="1" customWidth="1"/>
    <col min="3550" max="3550" width="24.42578125" bestFit="1" customWidth="1"/>
    <col min="3551" max="3551" width="11.42578125" bestFit="1" customWidth="1"/>
    <col min="3552" max="3552" width="10.140625" bestFit="1" customWidth="1"/>
    <col min="3553" max="3553" width="28.7109375" bestFit="1" customWidth="1"/>
    <col min="3554" max="3554" width="28.42578125" bestFit="1" customWidth="1"/>
    <col min="3555" max="3555" width="34.28515625" bestFit="1" customWidth="1"/>
    <col min="3556" max="3556" width="13.7109375" bestFit="1" customWidth="1"/>
    <col min="3557" max="3557" width="22.7109375" bestFit="1" customWidth="1"/>
    <col min="3558" max="3558" width="41.28515625" bestFit="1" customWidth="1"/>
    <col min="3559" max="3559" width="19.85546875" bestFit="1" customWidth="1"/>
    <col min="3560" max="3560" width="24.28515625" bestFit="1" customWidth="1"/>
    <col min="3561" max="3561" width="62.140625" bestFit="1" customWidth="1"/>
    <col min="3562" max="3562" width="23.85546875" bestFit="1" customWidth="1"/>
    <col min="3563" max="3563" width="32.85546875" bestFit="1" customWidth="1"/>
    <col min="3564" max="3564" width="30.42578125" bestFit="1" customWidth="1"/>
    <col min="3565" max="3565" width="12.28515625" bestFit="1" customWidth="1"/>
    <col min="3566" max="3566" width="14.42578125" bestFit="1" customWidth="1"/>
    <col min="3567" max="3567" width="18.85546875" customWidth="1"/>
    <col min="3787" max="3787" width="11" bestFit="1" customWidth="1"/>
    <col min="3788" max="3788" width="18.42578125" bestFit="1" customWidth="1"/>
    <col min="3789" max="3789" width="22.28515625" bestFit="1" customWidth="1"/>
    <col min="3790" max="3790" width="52.7109375" bestFit="1" customWidth="1"/>
    <col min="3791" max="3791" width="11.42578125" bestFit="1" customWidth="1"/>
    <col min="3792" max="3792" width="20.140625" bestFit="1" customWidth="1"/>
    <col min="3793" max="3793" width="25.85546875" bestFit="1" customWidth="1"/>
    <col min="3794" max="3794" width="23.85546875" bestFit="1" customWidth="1"/>
    <col min="3795" max="3795" width="22.42578125" customWidth="1"/>
    <col min="3796" max="3796" width="10.85546875" bestFit="1" customWidth="1"/>
    <col min="3797" max="3797" width="8.42578125" bestFit="1" customWidth="1"/>
    <col min="3798" max="3798" width="15.7109375" bestFit="1" customWidth="1"/>
    <col min="3799" max="3799" width="19.28515625" bestFit="1" customWidth="1"/>
    <col min="3800" max="3800" width="28.140625" bestFit="1" customWidth="1"/>
    <col min="3801" max="3801" width="31.28515625" bestFit="1" customWidth="1"/>
    <col min="3802" max="3802" width="26.42578125" customWidth="1"/>
    <col min="3803" max="3803" width="15.28515625" customWidth="1"/>
    <col min="3804" max="3804" width="17.85546875" customWidth="1"/>
    <col min="3805" max="3805" width="36.28515625" bestFit="1" customWidth="1"/>
    <col min="3806" max="3806" width="24.42578125" bestFit="1" customWidth="1"/>
    <col min="3807" max="3807" width="11.42578125" bestFit="1" customWidth="1"/>
    <col min="3808" max="3808" width="10.140625" bestFit="1" customWidth="1"/>
    <col min="3809" max="3809" width="28.7109375" bestFit="1" customWidth="1"/>
    <col min="3810" max="3810" width="28.42578125" bestFit="1" customWidth="1"/>
    <col min="3811" max="3811" width="34.28515625" bestFit="1" customWidth="1"/>
    <col min="3812" max="3812" width="13.7109375" bestFit="1" customWidth="1"/>
    <col min="3813" max="3813" width="22.7109375" bestFit="1" customWidth="1"/>
    <col min="3814" max="3814" width="41.28515625" bestFit="1" customWidth="1"/>
    <col min="3815" max="3815" width="19.85546875" bestFit="1" customWidth="1"/>
    <col min="3816" max="3816" width="24.28515625" bestFit="1" customWidth="1"/>
    <col min="3817" max="3817" width="62.140625" bestFit="1" customWidth="1"/>
    <col min="3818" max="3818" width="23.85546875" bestFit="1" customWidth="1"/>
    <col min="3819" max="3819" width="32.85546875" bestFit="1" customWidth="1"/>
    <col min="3820" max="3820" width="30.42578125" bestFit="1" customWidth="1"/>
    <col min="3821" max="3821" width="12.28515625" bestFit="1" customWidth="1"/>
    <col min="3822" max="3822" width="14.42578125" bestFit="1" customWidth="1"/>
    <col min="3823" max="3823" width="18.85546875" customWidth="1"/>
    <col min="4043" max="4043" width="11" bestFit="1" customWidth="1"/>
    <col min="4044" max="4044" width="18.42578125" bestFit="1" customWidth="1"/>
    <col min="4045" max="4045" width="22.28515625" bestFit="1" customWidth="1"/>
    <col min="4046" max="4046" width="52.7109375" bestFit="1" customWidth="1"/>
    <col min="4047" max="4047" width="11.42578125" bestFit="1" customWidth="1"/>
    <col min="4048" max="4048" width="20.140625" bestFit="1" customWidth="1"/>
    <col min="4049" max="4049" width="25.85546875" bestFit="1" customWidth="1"/>
    <col min="4050" max="4050" width="23.85546875" bestFit="1" customWidth="1"/>
    <col min="4051" max="4051" width="22.42578125" customWidth="1"/>
    <col min="4052" max="4052" width="10.85546875" bestFit="1" customWidth="1"/>
    <col min="4053" max="4053" width="8.42578125" bestFit="1" customWidth="1"/>
    <col min="4054" max="4054" width="15.7109375" bestFit="1" customWidth="1"/>
    <col min="4055" max="4055" width="19.28515625" bestFit="1" customWidth="1"/>
    <col min="4056" max="4056" width="28.140625" bestFit="1" customWidth="1"/>
    <col min="4057" max="4057" width="31.28515625" bestFit="1" customWidth="1"/>
    <col min="4058" max="4058" width="26.42578125" customWidth="1"/>
    <col min="4059" max="4059" width="15.28515625" customWidth="1"/>
    <col min="4060" max="4060" width="17.85546875" customWidth="1"/>
    <col min="4061" max="4061" width="36.28515625" bestFit="1" customWidth="1"/>
    <col min="4062" max="4062" width="24.42578125" bestFit="1" customWidth="1"/>
    <col min="4063" max="4063" width="11.42578125" bestFit="1" customWidth="1"/>
    <col min="4064" max="4064" width="10.140625" bestFit="1" customWidth="1"/>
    <col min="4065" max="4065" width="28.7109375" bestFit="1" customWidth="1"/>
    <col min="4066" max="4066" width="28.42578125" bestFit="1" customWidth="1"/>
    <col min="4067" max="4067" width="34.28515625" bestFit="1" customWidth="1"/>
    <col min="4068" max="4068" width="13.7109375" bestFit="1" customWidth="1"/>
    <col min="4069" max="4069" width="22.7109375" bestFit="1" customWidth="1"/>
    <col min="4070" max="4070" width="41.28515625" bestFit="1" customWidth="1"/>
    <col min="4071" max="4071" width="19.85546875" bestFit="1" customWidth="1"/>
    <col min="4072" max="4072" width="24.28515625" bestFit="1" customWidth="1"/>
    <col min="4073" max="4073" width="62.140625" bestFit="1" customWidth="1"/>
    <col min="4074" max="4074" width="23.85546875" bestFit="1" customWidth="1"/>
    <col min="4075" max="4075" width="32.85546875" bestFit="1" customWidth="1"/>
    <col min="4076" max="4076" width="30.42578125" bestFit="1" customWidth="1"/>
    <col min="4077" max="4077" width="12.28515625" bestFit="1" customWidth="1"/>
    <col min="4078" max="4078" width="14.42578125" bestFit="1" customWidth="1"/>
    <col min="4079" max="4079" width="18.85546875" customWidth="1"/>
    <col min="4299" max="4299" width="11" bestFit="1" customWidth="1"/>
    <col min="4300" max="4300" width="18.42578125" bestFit="1" customWidth="1"/>
    <col min="4301" max="4301" width="22.28515625" bestFit="1" customWidth="1"/>
    <col min="4302" max="4302" width="52.7109375" bestFit="1" customWidth="1"/>
    <col min="4303" max="4303" width="11.42578125" bestFit="1" customWidth="1"/>
    <col min="4304" max="4304" width="20.140625" bestFit="1" customWidth="1"/>
    <col min="4305" max="4305" width="25.85546875" bestFit="1" customWidth="1"/>
    <col min="4306" max="4306" width="23.85546875" bestFit="1" customWidth="1"/>
    <col min="4307" max="4307" width="22.42578125" customWidth="1"/>
    <col min="4308" max="4308" width="10.85546875" bestFit="1" customWidth="1"/>
    <col min="4309" max="4309" width="8.42578125" bestFit="1" customWidth="1"/>
    <col min="4310" max="4310" width="15.7109375" bestFit="1" customWidth="1"/>
    <col min="4311" max="4311" width="19.28515625" bestFit="1" customWidth="1"/>
    <col min="4312" max="4312" width="28.140625" bestFit="1" customWidth="1"/>
    <col min="4313" max="4313" width="31.28515625" bestFit="1" customWidth="1"/>
    <col min="4314" max="4314" width="26.42578125" customWidth="1"/>
    <col min="4315" max="4315" width="15.28515625" customWidth="1"/>
    <col min="4316" max="4316" width="17.85546875" customWidth="1"/>
    <col min="4317" max="4317" width="36.28515625" bestFit="1" customWidth="1"/>
    <col min="4318" max="4318" width="24.42578125" bestFit="1" customWidth="1"/>
    <col min="4319" max="4319" width="11.42578125" bestFit="1" customWidth="1"/>
    <col min="4320" max="4320" width="10.140625" bestFit="1" customWidth="1"/>
    <col min="4321" max="4321" width="28.7109375" bestFit="1" customWidth="1"/>
    <col min="4322" max="4322" width="28.42578125" bestFit="1" customWidth="1"/>
    <col min="4323" max="4323" width="34.28515625" bestFit="1" customWidth="1"/>
    <col min="4324" max="4324" width="13.7109375" bestFit="1" customWidth="1"/>
    <col min="4325" max="4325" width="22.7109375" bestFit="1" customWidth="1"/>
    <col min="4326" max="4326" width="41.28515625" bestFit="1" customWidth="1"/>
    <col min="4327" max="4327" width="19.85546875" bestFit="1" customWidth="1"/>
    <col min="4328" max="4328" width="24.28515625" bestFit="1" customWidth="1"/>
    <col min="4329" max="4329" width="62.140625" bestFit="1" customWidth="1"/>
    <col min="4330" max="4330" width="23.85546875" bestFit="1" customWidth="1"/>
    <col min="4331" max="4331" width="32.85546875" bestFit="1" customWidth="1"/>
    <col min="4332" max="4332" width="30.42578125" bestFit="1" customWidth="1"/>
    <col min="4333" max="4333" width="12.28515625" bestFit="1" customWidth="1"/>
    <col min="4334" max="4334" width="14.42578125" bestFit="1" customWidth="1"/>
    <col min="4335" max="4335" width="18.85546875" customWidth="1"/>
    <col min="4555" max="4555" width="11" bestFit="1" customWidth="1"/>
    <col min="4556" max="4556" width="18.42578125" bestFit="1" customWidth="1"/>
    <col min="4557" max="4557" width="22.28515625" bestFit="1" customWidth="1"/>
    <col min="4558" max="4558" width="52.7109375" bestFit="1" customWidth="1"/>
    <col min="4559" max="4559" width="11.42578125" bestFit="1" customWidth="1"/>
    <col min="4560" max="4560" width="20.140625" bestFit="1" customWidth="1"/>
    <col min="4561" max="4561" width="25.85546875" bestFit="1" customWidth="1"/>
    <col min="4562" max="4562" width="23.85546875" bestFit="1" customWidth="1"/>
    <col min="4563" max="4563" width="22.42578125" customWidth="1"/>
    <col min="4564" max="4564" width="10.85546875" bestFit="1" customWidth="1"/>
    <col min="4565" max="4565" width="8.42578125" bestFit="1" customWidth="1"/>
    <col min="4566" max="4566" width="15.7109375" bestFit="1" customWidth="1"/>
    <col min="4567" max="4567" width="19.28515625" bestFit="1" customWidth="1"/>
    <col min="4568" max="4568" width="28.140625" bestFit="1" customWidth="1"/>
    <col min="4569" max="4569" width="31.28515625" bestFit="1" customWidth="1"/>
    <col min="4570" max="4570" width="26.42578125" customWidth="1"/>
    <col min="4571" max="4571" width="15.28515625" customWidth="1"/>
    <col min="4572" max="4572" width="17.85546875" customWidth="1"/>
    <col min="4573" max="4573" width="36.28515625" bestFit="1" customWidth="1"/>
    <col min="4574" max="4574" width="24.42578125" bestFit="1" customWidth="1"/>
    <col min="4575" max="4575" width="11.42578125" bestFit="1" customWidth="1"/>
    <col min="4576" max="4576" width="10.140625" bestFit="1" customWidth="1"/>
    <col min="4577" max="4577" width="28.7109375" bestFit="1" customWidth="1"/>
    <col min="4578" max="4578" width="28.42578125" bestFit="1" customWidth="1"/>
    <col min="4579" max="4579" width="34.28515625" bestFit="1" customWidth="1"/>
    <col min="4580" max="4580" width="13.7109375" bestFit="1" customWidth="1"/>
    <col min="4581" max="4581" width="22.7109375" bestFit="1" customWidth="1"/>
    <col min="4582" max="4582" width="41.28515625" bestFit="1" customWidth="1"/>
    <col min="4583" max="4583" width="19.85546875" bestFit="1" customWidth="1"/>
    <col min="4584" max="4584" width="24.28515625" bestFit="1" customWidth="1"/>
    <col min="4585" max="4585" width="62.140625" bestFit="1" customWidth="1"/>
    <col min="4586" max="4586" width="23.85546875" bestFit="1" customWidth="1"/>
    <col min="4587" max="4587" width="32.85546875" bestFit="1" customWidth="1"/>
    <col min="4588" max="4588" width="30.42578125" bestFit="1" customWidth="1"/>
    <col min="4589" max="4589" width="12.28515625" bestFit="1" customWidth="1"/>
    <col min="4590" max="4590" width="14.42578125" bestFit="1" customWidth="1"/>
    <col min="4591" max="4591" width="18.85546875" customWidth="1"/>
    <col min="4811" max="4811" width="11" bestFit="1" customWidth="1"/>
    <col min="4812" max="4812" width="18.42578125" bestFit="1" customWidth="1"/>
    <col min="4813" max="4813" width="22.28515625" bestFit="1" customWidth="1"/>
    <col min="4814" max="4814" width="52.7109375" bestFit="1" customWidth="1"/>
    <col min="4815" max="4815" width="11.42578125" bestFit="1" customWidth="1"/>
    <col min="4816" max="4816" width="20.140625" bestFit="1" customWidth="1"/>
    <col min="4817" max="4817" width="25.85546875" bestFit="1" customWidth="1"/>
    <col min="4818" max="4818" width="23.85546875" bestFit="1" customWidth="1"/>
    <col min="4819" max="4819" width="22.42578125" customWidth="1"/>
    <col min="4820" max="4820" width="10.85546875" bestFit="1" customWidth="1"/>
    <col min="4821" max="4821" width="8.42578125" bestFit="1" customWidth="1"/>
    <col min="4822" max="4822" width="15.7109375" bestFit="1" customWidth="1"/>
    <col min="4823" max="4823" width="19.28515625" bestFit="1" customWidth="1"/>
    <col min="4824" max="4824" width="28.140625" bestFit="1" customWidth="1"/>
    <col min="4825" max="4825" width="31.28515625" bestFit="1" customWidth="1"/>
    <col min="4826" max="4826" width="26.42578125" customWidth="1"/>
    <col min="4827" max="4827" width="15.28515625" customWidth="1"/>
    <col min="4828" max="4828" width="17.85546875" customWidth="1"/>
    <col min="4829" max="4829" width="36.28515625" bestFit="1" customWidth="1"/>
    <col min="4830" max="4830" width="24.42578125" bestFit="1" customWidth="1"/>
    <col min="4831" max="4831" width="11.42578125" bestFit="1" customWidth="1"/>
    <col min="4832" max="4832" width="10.140625" bestFit="1" customWidth="1"/>
    <col min="4833" max="4833" width="28.7109375" bestFit="1" customWidth="1"/>
    <col min="4834" max="4834" width="28.42578125" bestFit="1" customWidth="1"/>
    <col min="4835" max="4835" width="34.28515625" bestFit="1" customWidth="1"/>
    <col min="4836" max="4836" width="13.7109375" bestFit="1" customWidth="1"/>
    <col min="4837" max="4837" width="22.7109375" bestFit="1" customWidth="1"/>
    <col min="4838" max="4838" width="41.28515625" bestFit="1" customWidth="1"/>
    <col min="4839" max="4839" width="19.85546875" bestFit="1" customWidth="1"/>
    <col min="4840" max="4840" width="24.28515625" bestFit="1" customWidth="1"/>
    <col min="4841" max="4841" width="62.140625" bestFit="1" customWidth="1"/>
    <col min="4842" max="4842" width="23.85546875" bestFit="1" customWidth="1"/>
    <col min="4843" max="4843" width="32.85546875" bestFit="1" customWidth="1"/>
    <col min="4844" max="4844" width="30.42578125" bestFit="1" customWidth="1"/>
    <col min="4845" max="4845" width="12.28515625" bestFit="1" customWidth="1"/>
    <col min="4846" max="4846" width="14.42578125" bestFit="1" customWidth="1"/>
    <col min="4847" max="4847" width="18.85546875" customWidth="1"/>
    <col min="5067" max="5067" width="11" bestFit="1" customWidth="1"/>
    <col min="5068" max="5068" width="18.42578125" bestFit="1" customWidth="1"/>
    <col min="5069" max="5069" width="22.28515625" bestFit="1" customWidth="1"/>
    <col min="5070" max="5070" width="52.7109375" bestFit="1" customWidth="1"/>
    <col min="5071" max="5071" width="11.42578125" bestFit="1" customWidth="1"/>
    <col min="5072" max="5072" width="20.140625" bestFit="1" customWidth="1"/>
    <col min="5073" max="5073" width="25.85546875" bestFit="1" customWidth="1"/>
    <col min="5074" max="5074" width="23.85546875" bestFit="1" customWidth="1"/>
    <col min="5075" max="5075" width="22.42578125" customWidth="1"/>
    <col min="5076" max="5076" width="10.85546875" bestFit="1" customWidth="1"/>
    <col min="5077" max="5077" width="8.42578125" bestFit="1" customWidth="1"/>
    <col min="5078" max="5078" width="15.7109375" bestFit="1" customWidth="1"/>
    <col min="5079" max="5079" width="19.28515625" bestFit="1" customWidth="1"/>
    <col min="5080" max="5080" width="28.140625" bestFit="1" customWidth="1"/>
    <col min="5081" max="5081" width="31.28515625" bestFit="1" customWidth="1"/>
    <col min="5082" max="5082" width="26.42578125" customWidth="1"/>
    <col min="5083" max="5083" width="15.28515625" customWidth="1"/>
    <col min="5084" max="5084" width="17.85546875" customWidth="1"/>
    <col min="5085" max="5085" width="36.28515625" bestFit="1" customWidth="1"/>
    <col min="5086" max="5086" width="24.42578125" bestFit="1" customWidth="1"/>
    <col min="5087" max="5087" width="11.42578125" bestFit="1" customWidth="1"/>
    <col min="5088" max="5088" width="10.140625" bestFit="1" customWidth="1"/>
    <col min="5089" max="5089" width="28.7109375" bestFit="1" customWidth="1"/>
    <col min="5090" max="5090" width="28.42578125" bestFit="1" customWidth="1"/>
    <col min="5091" max="5091" width="34.28515625" bestFit="1" customWidth="1"/>
    <col min="5092" max="5092" width="13.7109375" bestFit="1" customWidth="1"/>
    <col min="5093" max="5093" width="22.7109375" bestFit="1" customWidth="1"/>
    <col min="5094" max="5094" width="41.28515625" bestFit="1" customWidth="1"/>
    <col min="5095" max="5095" width="19.85546875" bestFit="1" customWidth="1"/>
    <col min="5096" max="5096" width="24.28515625" bestFit="1" customWidth="1"/>
    <col min="5097" max="5097" width="62.140625" bestFit="1" customWidth="1"/>
    <col min="5098" max="5098" width="23.85546875" bestFit="1" customWidth="1"/>
    <col min="5099" max="5099" width="32.85546875" bestFit="1" customWidth="1"/>
    <col min="5100" max="5100" width="30.42578125" bestFit="1" customWidth="1"/>
    <col min="5101" max="5101" width="12.28515625" bestFit="1" customWidth="1"/>
    <col min="5102" max="5102" width="14.42578125" bestFit="1" customWidth="1"/>
    <col min="5103" max="5103" width="18.85546875" customWidth="1"/>
    <col min="5323" max="5323" width="11" bestFit="1" customWidth="1"/>
    <col min="5324" max="5324" width="18.42578125" bestFit="1" customWidth="1"/>
    <col min="5325" max="5325" width="22.28515625" bestFit="1" customWidth="1"/>
    <col min="5326" max="5326" width="52.7109375" bestFit="1" customWidth="1"/>
    <col min="5327" max="5327" width="11.42578125" bestFit="1" customWidth="1"/>
    <col min="5328" max="5328" width="20.140625" bestFit="1" customWidth="1"/>
    <col min="5329" max="5329" width="25.85546875" bestFit="1" customWidth="1"/>
    <col min="5330" max="5330" width="23.85546875" bestFit="1" customWidth="1"/>
    <col min="5331" max="5331" width="22.42578125" customWidth="1"/>
    <col min="5332" max="5332" width="10.85546875" bestFit="1" customWidth="1"/>
    <col min="5333" max="5333" width="8.42578125" bestFit="1" customWidth="1"/>
    <col min="5334" max="5334" width="15.7109375" bestFit="1" customWidth="1"/>
    <col min="5335" max="5335" width="19.28515625" bestFit="1" customWidth="1"/>
    <col min="5336" max="5336" width="28.140625" bestFit="1" customWidth="1"/>
    <col min="5337" max="5337" width="31.28515625" bestFit="1" customWidth="1"/>
    <col min="5338" max="5338" width="26.42578125" customWidth="1"/>
    <col min="5339" max="5339" width="15.28515625" customWidth="1"/>
    <col min="5340" max="5340" width="17.85546875" customWidth="1"/>
    <col min="5341" max="5341" width="36.28515625" bestFit="1" customWidth="1"/>
    <col min="5342" max="5342" width="24.42578125" bestFit="1" customWidth="1"/>
    <col min="5343" max="5343" width="11.42578125" bestFit="1" customWidth="1"/>
    <col min="5344" max="5344" width="10.140625" bestFit="1" customWidth="1"/>
    <col min="5345" max="5345" width="28.7109375" bestFit="1" customWidth="1"/>
    <col min="5346" max="5346" width="28.42578125" bestFit="1" customWidth="1"/>
    <col min="5347" max="5347" width="34.28515625" bestFit="1" customWidth="1"/>
    <col min="5348" max="5348" width="13.7109375" bestFit="1" customWidth="1"/>
    <col min="5349" max="5349" width="22.7109375" bestFit="1" customWidth="1"/>
    <col min="5350" max="5350" width="41.28515625" bestFit="1" customWidth="1"/>
    <col min="5351" max="5351" width="19.85546875" bestFit="1" customWidth="1"/>
    <col min="5352" max="5352" width="24.28515625" bestFit="1" customWidth="1"/>
    <col min="5353" max="5353" width="62.140625" bestFit="1" customWidth="1"/>
    <col min="5354" max="5354" width="23.85546875" bestFit="1" customWidth="1"/>
    <col min="5355" max="5355" width="32.85546875" bestFit="1" customWidth="1"/>
    <col min="5356" max="5356" width="30.42578125" bestFit="1" customWidth="1"/>
    <col min="5357" max="5357" width="12.28515625" bestFit="1" customWidth="1"/>
    <col min="5358" max="5358" width="14.42578125" bestFit="1" customWidth="1"/>
    <col min="5359" max="5359" width="18.85546875" customWidth="1"/>
    <col min="5579" max="5579" width="11" bestFit="1" customWidth="1"/>
    <col min="5580" max="5580" width="18.42578125" bestFit="1" customWidth="1"/>
    <col min="5581" max="5581" width="22.28515625" bestFit="1" customWidth="1"/>
    <col min="5582" max="5582" width="52.7109375" bestFit="1" customWidth="1"/>
    <col min="5583" max="5583" width="11.42578125" bestFit="1" customWidth="1"/>
    <col min="5584" max="5584" width="20.140625" bestFit="1" customWidth="1"/>
    <col min="5585" max="5585" width="25.85546875" bestFit="1" customWidth="1"/>
    <col min="5586" max="5586" width="23.85546875" bestFit="1" customWidth="1"/>
    <col min="5587" max="5587" width="22.42578125" customWidth="1"/>
    <col min="5588" max="5588" width="10.85546875" bestFit="1" customWidth="1"/>
    <col min="5589" max="5589" width="8.42578125" bestFit="1" customWidth="1"/>
    <col min="5590" max="5590" width="15.7109375" bestFit="1" customWidth="1"/>
    <col min="5591" max="5591" width="19.28515625" bestFit="1" customWidth="1"/>
    <col min="5592" max="5592" width="28.140625" bestFit="1" customWidth="1"/>
    <col min="5593" max="5593" width="31.28515625" bestFit="1" customWidth="1"/>
    <col min="5594" max="5594" width="26.42578125" customWidth="1"/>
    <col min="5595" max="5595" width="15.28515625" customWidth="1"/>
    <col min="5596" max="5596" width="17.85546875" customWidth="1"/>
    <col min="5597" max="5597" width="36.28515625" bestFit="1" customWidth="1"/>
    <col min="5598" max="5598" width="24.42578125" bestFit="1" customWidth="1"/>
    <col min="5599" max="5599" width="11.42578125" bestFit="1" customWidth="1"/>
    <col min="5600" max="5600" width="10.140625" bestFit="1" customWidth="1"/>
    <col min="5601" max="5601" width="28.7109375" bestFit="1" customWidth="1"/>
    <col min="5602" max="5602" width="28.42578125" bestFit="1" customWidth="1"/>
    <col min="5603" max="5603" width="34.28515625" bestFit="1" customWidth="1"/>
    <col min="5604" max="5604" width="13.7109375" bestFit="1" customWidth="1"/>
    <col min="5605" max="5605" width="22.7109375" bestFit="1" customWidth="1"/>
    <col min="5606" max="5606" width="41.28515625" bestFit="1" customWidth="1"/>
    <col min="5607" max="5607" width="19.85546875" bestFit="1" customWidth="1"/>
    <col min="5608" max="5608" width="24.28515625" bestFit="1" customWidth="1"/>
    <col min="5609" max="5609" width="62.140625" bestFit="1" customWidth="1"/>
    <col min="5610" max="5610" width="23.85546875" bestFit="1" customWidth="1"/>
    <col min="5611" max="5611" width="32.85546875" bestFit="1" customWidth="1"/>
    <col min="5612" max="5612" width="30.42578125" bestFit="1" customWidth="1"/>
    <col min="5613" max="5613" width="12.28515625" bestFit="1" customWidth="1"/>
    <col min="5614" max="5614" width="14.42578125" bestFit="1" customWidth="1"/>
    <col min="5615" max="5615" width="18.85546875" customWidth="1"/>
    <col min="5835" max="5835" width="11" bestFit="1" customWidth="1"/>
    <col min="5836" max="5836" width="18.42578125" bestFit="1" customWidth="1"/>
    <col min="5837" max="5837" width="22.28515625" bestFit="1" customWidth="1"/>
    <col min="5838" max="5838" width="52.7109375" bestFit="1" customWidth="1"/>
    <col min="5839" max="5839" width="11.42578125" bestFit="1" customWidth="1"/>
    <col min="5840" max="5840" width="20.140625" bestFit="1" customWidth="1"/>
    <col min="5841" max="5841" width="25.85546875" bestFit="1" customWidth="1"/>
    <col min="5842" max="5842" width="23.85546875" bestFit="1" customWidth="1"/>
    <col min="5843" max="5843" width="22.42578125" customWidth="1"/>
    <col min="5844" max="5844" width="10.85546875" bestFit="1" customWidth="1"/>
    <col min="5845" max="5845" width="8.42578125" bestFit="1" customWidth="1"/>
    <col min="5846" max="5846" width="15.7109375" bestFit="1" customWidth="1"/>
    <col min="5847" max="5847" width="19.28515625" bestFit="1" customWidth="1"/>
    <col min="5848" max="5848" width="28.140625" bestFit="1" customWidth="1"/>
    <col min="5849" max="5849" width="31.28515625" bestFit="1" customWidth="1"/>
    <col min="5850" max="5850" width="26.42578125" customWidth="1"/>
    <col min="5851" max="5851" width="15.28515625" customWidth="1"/>
    <col min="5852" max="5852" width="17.85546875" customWidth="1"/>
    <col min="5853" max="5853" width="36.28515625" bestFit="1" customWidth="1"/>
    <col min="5854" max="5854" width="24.42578125" bestFit="1" customWidth="1"/>
    <col min="5855" max="5855" width="11.42578125" bestFit="1" customWidth="1"/>
    <col min="5856" max="5856" width="10.140625" bestFit="1" customWidth="1"/>
    <col min="5857" max="5857" width="28.7109375" bestFit="1" customWidth="1"/>
    <col min="5858" max="5858" width="28.42578125" bestFit="1" customWidth="1"/>
    <col min="5859" max="5859" width="34.28515625" bestFit="1" customWidth="1"/>
    <col min="5860" max="5860" width="13.7109375" bestFit="1" customWidth="1"/>
    <col min="5861" max="5861" width="22.7109375" bestFit="1" customWidth="1"/>
    <col min="5862" max="5862" width="41.28515625" bestFit="1" customWidth="1"/>
    <col min="5863" max="5863" width="19.85546875" bestFit="1" customWidth="1"/>
    <col min="5864" max="5864" width="24.28515625" bestFit="1" customWidth="1"/>
    <col min="5865" max="5865" width="62.140625" bestFit="1" customWidth="1"/>
    <col min="5866" max="5866" width="23.85546875" bestFit="1" customWidth="1"/>
    <col min="5867" max="5867" width="32.85546875" bestFit="1" customWidth="1"/>
    <col min="5868" max="5868" width="30.42578125" bestFit="1" customWidth="1"/>
    <col min="5869" max="5869" width="12.28515625" bestFit="1" customWidth="1"/>
    <col min="5870" max="5870" width="14.42578125" bestFit="1" customWidth="1"/>
    <col min="5871" max="5871" width="18.85546875" customWidth="1"/>
    <col min="6091" max="6091" width="11" bestFit="1" customWidth="1"/>
    <col min="6092" max="6092" width="18.42578125" bestFit="1" customWidth="1"/>
    <col min="6093" max="6093" width="22.28515625" bestFit="1" customWidth="1"/>
    <col min="6094" max="6094" width="52.7109375" bestFit="1" customWidth="1"/>
    <col min="6095" max="6095" width="11.42578125" bestFit="1" customWidth="1"/>
    <col min="6096" max="6096" width="20.140625" bestFit="1" customWidth="1"/>
    <col min="6097" max="6097" width="25.85546875" bestFit="1" customWidth="1"/>
    <col min="6098" max="6098" width="23.85546875" bestFit="1" customWidth="1"/>
    <col min="6099" max="6099" width="22.42578125" customWidth="1"/>
    <col min="6100" max="6100" width="10.85546875" bestFit="1" customWidth="1"/>
    <col min="6101" max="6101" width="8.42578125" bestFit="1" customWidth="1"/>
    <col min="6102" max="6102" width="15.7109375" bestFit="1" customWidth="1"/>
    <col min="6103" max="6103" width="19.28515625" bestFit="1" customWidth="1"/>
    <col min="6104" max="6104" width="28.140625" bestFit="1" customWidth="1"/>
    <col min="6105" max="6105" width="31.28515625" bestFit="1" customWidth="1"/>
    <col min="6106" max="6106" width="26.42578125" customWidth="1"/>
    <col min="6107" max="6107" width="15.28515625" customWidth="1"/>
    <col min="6108" max="6108" width="17.85546875" customWidth="1"/>
    <col min="6109" max="6109" width="36.28515625" bestFit="1" customWidth="1"/>
    <col min="6110" max="6110" width="24.42578125" bestFit="1" customWidth="1"/>
    <col min="6111" max="6111" width="11.42578125" bestFit="1" customWidth="1"/>
    <col min="6112" max="6112" width="10.140625" bestFit="1" customWidth="1"/>
    <col min="6113" max="6113" width="28.7109375" bestFit="1" customWidth="1"/>
    <col min="6114" max="6114" width="28.42578125" bestFit="1" customWidth="1"/>
    <col min="6115" max="6115" width="34.28515625" bestFit="1" customWidth="1"/>
    <col min="6116" max="6116" width="13.7109375" bestFit="1" customWidth="1"/>
    <col min="6117" max="6117" width="22.7109375" bestFit="1" customWidth="1"/>
    <col min="6118" max="6118" width="41.28515625" bestFit="1" customWidth="1"/>
    <col min="6119" max="6119" width="19.85546875" bestFit="1" customWidth="1"/>
    <col min="6120" max="6120" width="24.28515625" bestFit="1" customWidth="1"/>
    <col min="6121" max="6121" width="62.140625" bestFit="1" customWidth="1"/>
    <col min="6122" max="6122" width="23.85546875" bestFit="1" customWidth="1"/>
    <col min="6123" max="6123" width="32.85546875" bestFit="1" customWidth="1"/>
    <col min="6124" max="6124" width="30.42578125" bestFit="1" customWidth="1"/>
    <col min="6125" max="6125" width="12.28515625" bestFit="1" customWidth="1"/>
    <col min="6126" max="6126" width="14.42578125" bestFit="1" customWidth="1"/>
    <col min="6127" max="6127" width="18.85546875" customWidth="1"/>
    <col min="6347" max="6347" width="11" bestFit="1" customWidth="1"/>
    <col min="6348" max="6348" width="18.42578125" bestFit="1" customWidth="1"/>
    <col min="6349" max="6349" width="22.28515625" bestFit="1" customWidth="1"/>
    <col min="6350" max="6350" width="52.7109375" bestFit="1" customWidth="1"/>
    <col min="6351" max="6351" width="11.42578125" bestFit="1" customWidth="1"/>
    <col min="6352" max="6352" width="20.140625" bestFit="1" customWidth="1"/>
    <col min="6353" max="6353" width="25.85546875" bestFit="1" customWidth="1"/>
    <col min="6354" max="6354" width="23.85546875" bestFit="1" customWidth="1"/>
    <col min="6355" max="6355" width="22.42578125" customWidth="1"/>
    <col min="6356" max="6356" width="10.85546875" bestFit="1" customWidth="1"/>
    <col min="6357" max="6357" width="8.42578125" bestFit="1" customWidth="1"/>
    <col min="6358" max="6358" width="15.7109375" bestFit="1" customWidth="1"/>
    <col min="6359" max="6359" width="19.28515625" bestFit="1" customWidth="1"/>
    <col min="6360" max="6360" width="28.140625" bestFit="1" customWidth="1"/>
    <col min="6361" max="6361" width="31.28515625" bestFit="1" customWidth="1"/>
    <col min="6362" max="6362" width="26.42578125" customWidth="1"/>
    <col min="6363" max="6363" width="15.28515625" customWidth="1"/>
    <col min="6364" max="6364" width="17.85546875" customWidth="1"/>
    <col min="6365" max="6365" width="36.28515625" bestFit="1" customWidth="1"/>
    <col min="6366" max="6366" width="24.42578125" bestFit="1" customWidth="1"/>
    <col min="6367" max="6367" width="11.42578125" bestFit="1" customWidth="1"/>
    <col min="6368" max="6368" width="10.140625" bestFit="1" customWidth="1"/>
    <col min="6369" max="6369" width="28.7109375" bestFit="1" customWidth="1"/>
    <col min="6370" max="6370" width="28.42578125" bestFit="1" customWidth="1"/>
    <col min="6371" max="6371" width="34.28515625" bestFit="1" customWidth="1"/>
    <col min="6372" max="6372" width="13.7109375" bestFit="1" customWidth="1"/>
    <col min="6373" max="6373" width="22.7109375" bestFit="1" customWidth="1"/>
    <col min="6374" max="6374" width="41.28515625" bestFit="1" customWidth="1"/>
    <col min="6375" max="6375" width="19.85546875" bestFit="1" customWidth="1"/>
    <col min="6376" max="6376" width="24.28515625" bestFit="1" customWidth="1"/>
    <col min="6377" max="6377" width="62.140625" bestFit="1" customWidth="1"/>
    <col min="6378" max="6378" width="23.85546875" bestFit="1" customWidth="1"/>
    <col min="6379" max="6379" width="32.85546875" bestFit="1" customWidth="1"/>
    <col min="6380" max="6380" width="30.42578125" bestFit="1" customWidth="1"/>
    <col min="6381" max="6381" width="12.28515625" bestFit="1" customWidth="1"/>
    <col min="6382" max="6382" width="14.42578125" bestFit="1" customWidth="1"/>
    <col min="6383" max="6383" width="18.85546875" customWidth="1"/>
    <col min="6603" max="6603" width="11" bestFit="1" customWidth="1"/>
    <col min="6604" max="6604" width="18.42578125" bestFit="1" customWidth="1"/>
    <col min="6605" max="6605" width="22.28515625" bestFit="1" customWidth="1"/>
    <col min="6606" max="6606" width="52.7109375" bestFit="1" customWidth="1"/>
    <col min="6607" max="6607" width="11.42578125" bestFit="1" customWidth="1"/>
    <col min="6608" max="6608" width="20.140625" bestFit="1" customWidth="1"/>
    <col min="6609" max="6609" width="25.85546875" bestFit="1" customWidth="1"/>
    <col min="6610" max="6610" width="23.85546875" bestFit="1" customWidth="1"/>
    <col min="6611" max="6611" width="22.42578125" customWidth="1"/>
    <col min="6612" max="6612" width="10.85546875" bestFit="1" customWidth="1"/>
    <col min="6613" max="6613" width="8.42578125" bestFit="1" customWidth="1"/>
    <col min="6614" max="6614" width="15.7109375" bestFit="1" customWidth="1"/>
    <col min="6615" max="6615" width="19.28515625" bestFit="1" customWidth="1"/>
    <col min="6616" max="6616" width="28.140625" bestFit="1" customWidth="1"/>
    <col min="6617" max="6617" width="31.28515625" bestFit="1" customWidth="1"/>
    <col min="6618" max="6618" width="26.42578125" customWidth="1"/>
    <col min="6619" max="6619" width="15.28515625" customWidth="1"/>
    <col min="6620" max="6620" width="17.85546875" customWidth="1"/>
    <col min="6621" max="6621" width="36.28515625" bestFit="1" customWidth="1"/>
    <col min="6622" max="6622" width="24.42578125" bestFit="1" customWidth="1"/>
    <col min="6623" max="6623" width="11.42578125" bestFit="1" customWidth="1"/>
    <col min="6624" max="6624" width="10.140625" bestFit="1" customWidth="1"/>
    <col min="6625" max="6625" width="28.7109375" bestFit="1" customWidth="1"/>
    <col min="6626" max="6626" width="28.42578125" bestFit="1" customWidth="1"/>
    <col min="6627" max="6627" width="34.28515625" bestFit="1" customWidth="1"/>
    <col min="6628" max="6628" width="13.7109375" bestFit="1" customWidth="1"/>
    <col min="6629" max="6629" width="22.7109375" bestFit="1" customWidth="1"/>
    <col min="6630" max="6630" width="41.28515625" bestFit="1" customWidth="1"/>
    <col min="6631" max="6631" width="19.85546875" bestFit="1" customWidth="1"/>
    <col min="6632" max="6632" width="24.28515625" bestFit="1" customWidth="1"/>
    <col min="6633" max="6633" width="62.140625" bestFit="1" customWidth="1"/>
    <col min="6634" max="6634" width="23.85546875" bestFit="1" customWidth="1"/>
    <col min="6635" max="6635" width="32.85546875" bestFit="1" customWidth="1"/>
    <col min="6636" max="6636" width="30.42578125" bestFit="1" customWidth="1"/>
    <col min="6637" max="6637" width="12.28515625" bestFit="1" customWidth="1"/>
    <col min="6638" max="6638" width="14.42578125" bestFit="1" customWidth="1"/>
    <col min="6639" max="6639" width="18.85546875" customWidth="1"/>
    <col min="6859" max="6859" width="11" bestFit="1" customWidth="1"/>
    <col min="6860" max="6860" width="18.42578125" bestFit="1" customWidth="1"/>
    <col min="6861" max="6861" width="22.28515625" bestFit="1" customWidth="1"/>
    <col min="6862" max="6862" width="52.7109375" bestFit="1" customWidth="1"/>
    <col min="6863" max="6863" width="11.42578125" bestFit="1" customWidth="1"/>
    <col min="6864" max="6864" width="20.140625" bestFit="1" customWidth="1"/>
    <col min="6865" max="6865" width="25.85546875" bestFit="1" customWidth="1"/>
    <col min="6866" max="6866" width="23.85546875" bestFit="1" customWidth="1"/>
    <col min="6867" max="6867" width="22.42578125" customWidth="1"/>
    <col min="6868" max="6868" width="10.85546875" bestFit="1" customWidth="1"/>
    <col min="6869" max="6869" width="8.42578125" bestFit="1" customWidth="1"/>
    <col min="6870" max="6870" width="15.7109375" bestFit="1" customWidth="1"/>
    <col min="6871" max="6871" width="19.28515625" bestFit="1" customWidth="1"/>
    <col min="6872" max="6872" width="28.140625" bestFit="1" customWidth="1"/>
    <col min="6873" max="6873" width="31.28515625" bestFit="1" customWidth="1"/>
    <col min="6874" max="6874" width="26.42578125" customWidth="1"/>
    <col min="6875" max="6875" width="15.28515625" customWidth="1"/>
    <col min="6876" max="6876" width="17.85546875" customWidth="1"/>
    <col min="6877" max="6877" width="36.28515625" bestFit="1" customWidth="1"/>
    <col min="6878" max="6878" width="24.42578125" bestFit="1" customWidth="1"/>
    <col min="6879" max="6879" width="11.42578125" bestFit="1" customWidth="1"/>
    <col min="6880" max="6880" width="10.140625" bestFit="1" customWidth="1"/>
    <col min="6881" max="6881" width="28.7109375" bestFit="1" customWidth="1"/>
    <col min="6882" max="6882" width="28.42578125" bestFit="1" customWidth="1"/>
    <col min="6883" max="6883" width="34.28515625" bestFit="1" customWidth="1"/>
    <col min="6884" max="6884" width="13.7109375" bestFit="1" customWidth="1"/>
    <col min="6885" max="6885" width="22.7109375" bestFit="1" customWidth="1"/>
    <col min="6886" max="6886" width="41.28515625" bestFit="1" customWidth="1"/>
    <col min="6887" max="6887" width="19.85546875" bestFit="1" customWidth="1"/>
    <col min="6888" max="6888" width="24.28515625" bestFit="1" customWidth="1"/>
    <col min="6889" max="6889" width="62.140625" bestFit="1" customWidth="1"/>
    <col min="6890" max="6890" width="23.85546875" bestFit="1" customWidth="1"/>
    <col min="6891" max="6891" width="32.85546875" bestFit="1" customWidth="1"/>
    <col min="6892" max="6892" width="30.42578125" bestFit="1" customWidth="1"/>
    <col min="6893" max="6893" width="12.28515625" bestFit="1" customWidth="1"/>
    <col min="6894" max="6894" width="14.42578125" bestFit="1" customWidth="1"/>
    <col min="6895" max="6895" width="18.85546875" customWidth="1"/>
    <col min="7115" max="7115" width="11" bestFit="1" customWidth="1"/>
    <col min="7116" max="7116" width="18.42578125" bestFit="1" customWidth="1"/>
    <col min="7117" max="7117" width="22.28515625" bestFit="1" customWidth="1"/>
    <col min="7118" max="7118" width="52.7109375" bestFit="1" customWidth="1"/>
    <col min="7119" max="7119" width="11.42578125" bestFit="1" customWidth="1"/>
    <col min="7120" max="7120" width="20.140625" bestFit="1" customWidth="1"/>
    <col min="7121" max="7121" width="25.85546875" bestFit="1" customWidth="1"/>
    <col min="7122" max="7122" width="23.85546875" bestFit="1" customWidth="1"/>
    <col min="7123" max="7123" width="22.42578125" customWidth="1"/>
    <col min="7124" max="7124" width="10.85546875" bestFit="1" customWidth="1"/>
    <col min="7125" max="7125" width="8.42578125" bestFit="1" customWidth="1"/>
    <col min="7126" max="7126" width="15.7109375" bestFit="1" customWidth="1"/>
    <col min="7127" max="7127" width="19.28515625" bestFit="1" customWidth="1"/>
    <col min="7128" max="7128" width="28.140625" bestFit="1" customWidth="1"/>
    <col min="7129" max="7129" width="31.28515625" bestFit="1" customWidth="1"/>
    <col min="7130" max="7130" width="26.42578125" customWidth="1"/>
    <col min="7131" max="7131" width="15.28515625" customWidth="1"/>
    <col min="7132" max="7132" width="17.85546875" customWidth="1"/>
    <col min="7133" max="7133" width="36.28515625" bestFit="1" customWidth="1"/>
    <col min="7134" max="7134" width="24.42578125" bestFit="1" customWidth="1"/>
    <col min="7135" max="7135" width="11.42578125" bestFit="1" customWidth="1"/>
    <col min="7136" max="7136" width="10.140625" bestFit="1" customWidth="1"/>
    <col min="7137" max="7137" width="28.7109375" bestFit="1" customWidth="1"/>
    <col min="7138" max="7138" width="28.42578125" bestFit="1" customWidth="1"/>
    <col min="7139" max="7139" width="34.28515625" bestFit="1" customWidth="1"/>
    <col min="7140" max="7140" width="13.7109375" bestFit="1" customWidth="1"/>
    <col min="7141" max="7141" width="22.7109375" bestFit="1" customWidth="1"/>
    <col min="7142" max="7142" width="41.28515625" bestFit="1" customWidth="1"/>
    <col min="7143" max="7143" width="19.85546875" bestFit="1" customWidth="1"/>
    <col min="7144" max="7144" width="24.28515625" bestFit="1" customWidth="1"/>
    <col min="7145" max="7145" width="62.140625" bestFit="1" customWidth="1"/>
    <col min="7146" max="7146" width="23.85546875" bestFit="1" customWidth="1"/>
    <col min="7147" max="7147" width="32.85546875" bestFit="1" customWidth="1"/>
    <col min="7148" max="7148" width="30.42578125" bestFit="1" customWidth="1"/>
    <col min="7149" max="7149" width="12.28515625" bestFit="1" customWidth="1"/>
    <col min="7150" max="7150" width="14.42578125" bestFit="1" customWidth="1"/>
    <col min="7151" max="7151" width="18.85546875" customWidth="1"/>
    <col min="7371" max="7371" width="11" bestFit="1" customWidth="1"/>
    <col min="7372" max="7372" width="18.42578125" bestFit="1" customWidth="1"/>
    <col min="7373" max="7373" width="22.28515625" bestFit="1" customWidth="1"/>
    <col min="7374" max="7374" width="52.7109375" bestFit="1" customWidth="1"/>
    <col min="7375" max="7375" width="11.42578125" bestFit="1" customWidth="1"/>
    <col min="7376" max="7376" width="20.140625" bestFit="1" customWidth="1"/>
    <col min="7377" max="7377" width="25.85546875" bestFit="1" customWidth="1"/>
    <col min="7378" max="7378" width="23.85546875" bestFit="1" customWidth="1"/>
    <col min="7379" max="7379" width="22.42578125" customWidth="1"/>
    <col min="7380" max="7380" width="10.85546875" bestFit="1" customWidth="1"/>
    <col min="7381" max="7381" width="8.42578125" bestFit="1" customWidth="1"/>
    <col min="7382" max="7382" width="15.7109375" bestFit="1" customWidth="1"/>
    <col min="7383" max="7383" width="19.28515625" bestFit="1" customWidth="1"/>
    <col min="7384" max="7384" width="28.140625" bestFit="1" customWidth="1"/>
    <col min="7385" max="7385" width="31.28515625" bestFit="1" customWidth="1"/>
    <col min="7386" max="7386" width="26.42578125" customWidth="1"/>
    <col min="7387" max="7387" width="15.28515625" customWidth="1"/>
    <col min="7388" max="7388" width="17.85546875" customWidth="1"/>
    <col min="7389" max="7389" width="36.28515625" bestFit="1" customWidth="1"/>
    <col min="7390" max="7390" width="24.42578125" bestFit="1" customWidth="1"/>
    <col min="7391" max="7391" width="11.42578125" bestFit="1" customWidth="1"/>
    <col min="7392" max="7392" width="10.140625" bestFit="1" customWidth="1"/>
    <col min="7393" max="7393" width="28.7109375" bestFit="1" customWidth="1"/>
    <col min="7394" max="7394" width="28.42578125" bestFit="1" customWidth="1"/>
    <col min="7395" max="7395" width="34.28515625" bestFit="1" customWidth="1"/>
    <col min="7396" max="7396" width="13.7109375" bestFit="1" customWidth="1"/>
    <col min="7397" max="7397" width="22.7109375" bestFit="1" customWidth="1"/>
    <col min="7398" max="7398" width="41.28515625" bestFit="1" customWidth="1"/>
    <col min="7399" max="7399" width="19.85546875" bestFit="1" customWidth="1"/>
    <col min="7400" max="7400" width="24.28515625" bestFit="1" customWidth="1"/>
    <col min="7401" max="7401" width="62.140625" bestFit="1" customWidth="1"/>
    <col min="7402" max="7402" width="23.85546875" bestFit="1" customWidth="1"/>
    <col min="7403" max="7403" width="32.85546875" bestFit="1" customWidth="1"/>
    <col min="7404" max="7404" width="30.42578125" bestFit="1" customWidth="1"/>
    <col min="7405" max="7405" width="12.28515625" bestFit="1" customWidth="1"/>
    <col min="7406" max="7406" width="14.42578125" bestFit="1" customWidth="1"/>
    <col min="7407" max="7407" width="18.85546875" customWidth="1"/>
    <col min="7627" max="7627" width="11" bestFit="1" customWidth="1"/>
    <col min="7628" max="7628" width="18.42578125" bestFit="1" customWidth="1"/>
    <col min="7629" max="7629" width="22.28515625" bestFit="1" customWidth="1"/>
    <col min="7630" max="7630" width="52.7109375" bestFit="1" customWidth="1"/>
    <col min="7631" max="7631" width="11.42578125" bestFit="1" customWidth="1"/>
    <col min="7632" max="7632" width="20.140625" bestFit="1" customWidth="1"/>
    <col min="7633" max="7633" width="25.85546875" bestFit="1" customWidth="1"/>
    <col min="7634" max="7634" width="23.85546875" bestFit="1" customWidth="1"/>
    <col min="7635" max="7635" width="22.42578125" customWidth="1"/>
    <col min="7636" max="7636" width="10.85546875" bestFit="1" customWidth="1"/>
    <col min="7637" max="7637" width="8.42578125" bestFit="1" customWidth="1"/>
    <col min="7638" max="7638" width="15.7109375" bestFit="1" customWidth="1"/>
    <col min="7639" max="7639" width="19.28515625" bestFit="1" customWidth="1"/>
    <col min="7640" max="7640" width="28.140625" bestFit="1" customWidth="1"/>
    <col min="7641" max="7641" width="31.28515625" bestFit="1" customWidth="1"/>
    <col min="7642" max="7642" width="26.42578125" customWidth="1"/>
    <col min="7643" max="7643" width="15.28515625" customWidth="1"/>
    <col min="7644" max="7644" width="17.85546875" customWidth="1"/>
    <col min="7645" max="7645" width="36.28515625" bestFit="1" customWidth="1"/>
    <col min="7646" max="7646" width="24.42578125" bestFit="1" customWidth="1"/>
    <col min="7647" max="7647" width="11.42578125" bestFit="1" customWidth="1"/>
    <col min="7648" max="7648" width="10.140625" bestFit="1" customWidth="1"/>
    <col min="7649" max="7649" width="28.7109375" bestFit="1" customWidth="1"/>
    <col min="7650" max="7650" width="28.42578125" bestFit="1" customWidth="1"/>
    <col min="7651" max="7651" width="34.28515625" bestFit="1" customWidth="1"/>
    <col min="7652" max="7652" width="13.7109375" bestFit="1" customWidth="1"/>
    <col min="7653" max="7653" width="22.7109375" bestFit="1" customWidth="1"/>
    <col min="7654" max="7654" width="41.28515625" bestFit="1" customWidth="1"/>
    <col min="7655" max="7655" width="19.85546875" bestFit="1" customWidth="1"/>
    <col min="7656" max="7656" width="24.28515625" bestFit="1" customWidth="1"/>
    <col min="7657" max="7657" width="62.140625" bestFit="1" customWidth="1"/>
    <col min="7658" max="7658" width="23.85546875" bestFit="1" customWidth="1"/>
    <col min="7659" max="7659" width="32.85546875" bestFit="1" customWidth="1"/>
    <col min="7660" max="7660" width="30.42578125" bestFit="1" customWidth="1"/>
    <col min="7661" max="7661" width="12.28515625" bestFit="1" customWidth="1"/>
    <col min="7662" max="7662" width="14.42578125" bestFit="1" customWidth="1"/>
    <col min="7663" max="7663" width="18.85546875" customWidth="1"/>
    <col min="7883" max="7883" width="11" bestFit="1" customWidth="1"/>
    <col min="7884" max="7884" width="18.42578125" bestFit="1" customWidth="1"/>
    <col min="7885" max="7885" width="22.28515625" bestFit="1" customWidth="1"/>
    <col min="7886" max="7886" width="52.7109375" bestFit="1" customWidth="1"/>
    <col min="7887" max="7887" width="11.42578125" bestFit="1" customWidth="1"/>
    <col min="7888" max="7888" width="20.140625" bestFit="1" customWidth="1"/>
    <col min="7889" max="7889" width="25.85546875" bestFit="1" customWidth="1"/>
    <col min="7890" max="7890" width="23.85546875" bestFit="1" customWidth="1"/>
    <col min="7891" max="7891" width="22.42578125" customWidth="1"/>
    <col min="7892" max="7892" width="10.85546875" bestFit="1" customWidth="1"/>
    <col min="7893" max="7893" width="8.42578125" bestFit="1" customWidth="1"/>
    <col min="7894" max="7894" width="15.7109375" bestFit="1" customWidth="1"/>
    <col min="7895" max="7895" width="19.28515625" bestFit="1" customWidth="1"/>
    <col min="7896" max="7896" width="28.140625" bestFit="1" customWidth="1"/>
    <col min="7897" max="7897" width="31.28515625" bestFit="1" customWidth="1"/>
    <col min="7898" max="7898" width="26.42578125" customWidth="1"/>
    <col min="7899" max="7899" width="15.28515625" customWidth="1"/>
    <col min="7900" max="7900" width="17.85546875" customWidth="1"/>
    <col min="7901" max="7901" width="36.28515625" bestFit="1" customWidth="1"/>
    <col min="7902" max="7902" width="24.42578125" bestFit="1" customWidth="1"/>
    <col min="7903" max="7903" width="11.42578125" bestFit="1" customWidth="1"/>
    <col min="7904" max="7904" width="10.140625" bestFit="1" customWidth="1"/>
    <col min="7905" max="7905" width="28.7109375" bestFit="1" customWidth="1"/>
    <col min="7906" max="7906" width="28.42578125" bestFit="1" customWidth="1"/>
    <col min="7907" max="7907" width="34.28515625" bestFit="1" customWidth="1"/>
    <col min="7908" max="7908" width="13.7109375" bestFit="1" customWidth="1"/>
    <col min="7909" max="7909" width="22.7109375" bestFit="1" customWidth="1"/>
    <col min="7910" max="7910" width="41.28515625" bestFit="1" customWidth="1"/>
    <col min="7911" max="7911" width="19.85546875" bestFit="1" customWidth="1"/>
    <col min="7912" max="7912" width="24.28515625" bestFit="1" customWidth="1"/>
    <col min="7913" max="7913" width="62.140625" bestFit="1" customWidth="1"/>
    <col min="7914" max="7914" width="23.85546875" bestFit="1" customWidth="1"/>
    <col min="7915" max="7915" width="32.85546875" bestFit="1" customWidth="1"/>
    <col min="7916" max="7916" width="30.42578125" bestFit="1" customWidth="1"/>
    <col min="7917" max="7917" width="12.28515625" bestFit="1" customWidth="1"/>
    <col min="7918" max="7918" width="14.42578125" bestFit="1" customWidth="1"/>
    <col min="7919" max="7919" width="18.85546875" customWidth="1"/>
    <col min="8139" max="8139" width="11" bestFit="1" customWidth="1"/>
    <col min="8140" max="8140" width="18.42578125" bestFit="1" customWidth="1"/>
    <col min="8141" max="8141" width="22.28515625" bestFit="1" customWidth="1"/>
    <col min="8142" max="8142" width="52.7109375" bestFit="1" customWidth="1"/>
    <col min="8143" max="8143" width="11.42578125" bestFit="1" customWidth="1"/>
    <col min="8144" max="8144" width="20.140625" bestFit="1" customWidth="1"/>
    <col min="8145" max="8145" width="25.85546875" bestFit="1" customWidth="1"/>
    <col min="8146" max="8146" width="23.85546875" bestFit="1" customWidth="1"/>
    <col min="8147" max="8147" width="22.42578125" customWidth="1"/>
    <col min="8148" max="8148" width="10.85546875" bestFit="1" customWidth="1"/>
    <col min="8149" max="8149" width="8.42578125" bestFit="1" customWidth="1"/>
    <col min="8150" max="8150" width="15.7109375" bestFit="1" customWidth="1"/>
    <col min="8151" max="8151" width="19.28515625" bestFit="1" customWidth="1"/>
    <col min="8152" max="8152" width="28.140625" bestFit="1" customWidth="1"/>
    <col min="8153" max="8153" width="31.28515625" bestFit="1" customWidth="1"/>
    <col min="8154" max="8154" width="26.42578125" customWidth="1"/>
    <col min="8155" max="8155" width="15.28515625" customWidth="1"/>
    <col min="8156" max="8156" width="17.85546875" customWidth="1"/>
    <col min="8157" max="8157" width="36.28515625" bestFit="1" customWidth="1"/>
    <col min="8158" max="8158" width="24.42578125" bestFit="1" customWidth="1"/>
    <col min="8159" max="8159" width="11.42578125" bestFit="1" customWidth="1"/>
    <col min="8160" max="8160" width="10.140625" bestFit="1" customWidth="1"/>
    <col min="8161" max="8161" width="28.7109375" bestFit="1" customWidth="1"/>
    <col min="8162" max="8162" width="28.42578125" bestFit="1" customWidth="1"/>
    <col min="8163" max="8163" width="34.28515625" bestFit="1" customWidth="1"/>
    <col min="8164" max="8164" width="13.7109375" bestFit="1" customWidth="1"/>
    <col min="8165" max="8165" width="22.7109375" bestFit="1" customWidth="1"/>
    <col min="8166" max="8166" width="41.28515625" bestFit="1" customWidth="1"/>
    <col min="8167" max="8167" width="19.85546875" bestFit="1" customWidth="1"/>
    <col min="8168" max="8168" width="24.28515625" bestFit="1" customWidth="1"/>
    <col min="8169" max="8169" width="62.140625" bestFit="1" customWidth="1"/>
    <col min="8170" max="8170" width="23.85546875" bestFit="1" customWidth="1"/>
    <col min="8171" max="8171" width="32.85546875" bestFit="1" customWidth="1"/>
    <col min="8172" max="8172" width="30.42578125" bestFit="1" customWidth="1"/>
    <col min="8173" max="8173" width="12.28515625" bestFit="1" customWidth="1"/>
    <col min="8174" max="8174" width="14.42578125" bestFit="1" customWidth="1"/>
    <col min="8175" max="8175" width="18.85546875" customWidth="1"/>
    <col min="8395" max="8395" width="11" bestFit="1" customWidth="1"/>
    <col min="8396" max="8396" width="18.42578125" bestFit="1" customWidth="1"/>
    <col min="8397" max="8397" width="22.28515625" bestFit="1" customWidth="1"/>
    <col min="8398" max="8398" width="52.7109375" bestFit="1" customWidth="1"/>
    <col min="8399" max="8399" width="11.42578125" bestFit="1" customWidth="1"/>
    <col min="8400" max="8400" width="20.140625" bestFit="1" customWidth="1"/>
    <col min="8401" max="8401" width="25.85546875" bestFit="1" customWidth="1"/>
    <col min="8402" max="8402" width="23.85546875" bestFit="1" customWidth="1"/>
    <col min="8403" max="8403" width="22.42578125" customWidth="1"/>
    <col min="8404" max="8404" width="10.85546875" bestFit="1" customWidth="1"/>
    <col min="8405" max="8405" width="8.42578125" bestFit="1" customWidth="1"/>
    <col min="8406" max="8406" width="15.7109375" bestFit="1" customWidth="1"/>
    <col min="8407" max="8407" width="19.28515625" bestFit="1" customWidth="1"/>
    <col min="8408" max="8408" width="28.140625" bestFit="1" customWidth="1"/>
    <col min="8409" max="8409" width="31.28515625" bestFit="1" customWidth="1"/>
    <col min="8410" max="8410" width="26.42578125" customWidth="1"/>
    <col min="8411" max="8411" width="15.28515625" customWidth="1"/>
    <col min="8412" max="8412" width="17.85546875" customWidth="1"/>
    <col min="8413" max="8413" width="36.28515625" bestFit="1" customWidth="1"/>
    <col min="8414" max="8414" width="24.42578125" bestFit="1" customWidth="1"/>
    <col min="8415" max="8415" width="11.42578125" bestFit="1" customWidth="1"/>
    <col min="8416" max="8416" width="10.140625" bestFit="1" customWidth="1"/>
    <col min="8417" max="8417" width="28.7109375" bestFit="1" customWidth="1"/>
    <col min="8418" max="8418" width="28.42578125" bestFit="1" customWidth="1"/>
    <col min="8419" max="8419" width="34.28515625" bestFit="1" customWidth="1"/>
    <col min="8420" max="8420" width="13.7109375" bestFit="1" customWidth="1"/>
    <col min="8421" max="8421" width="22.7109375" bestFit="1" customWidth="1"/>
    <col min="8422" max="8422" width="41.28515625" bestFit="1" customWidth="1"/>
    <col min="8423" max="8423" width="19.85546875" bestFit="1" customWidth="1"/>
    <col min="8424" max="8424" width="24.28515625" bestFit="1" customWidth="1"/>
    <col min="8425" max="8425" width="62.140625" bestFit="1" customWidth="1"/>
    <col min="8426" max="8426" width="23.85546875" bestFit="1" customWidth="1"/>
    <col min="8427" max="8427" width="32.85546875" bestFit="1" customWidth="1"/>
    <col min="8428" max="8428" width="30.42578125" bestFit="1" customWidth="1"/>
    <col min="8429" max="8429" width="12.28515625" bestFit="1" customWidth="1"/>
    <col min="8430" max="8430" width="14.42578125" bestFit="1" customWidth="1"/>
    <col min="8431" max="8431" width="18.85546875" customWidth="1"/>
    <col min="8651" max="8651" width="11" bestFit="1" customWidth="1"/>
    <col min="8652" max="8652" width="18.42578125" bestFit="1" customWidth="1"/>
    <col min="8653" max="8653" width="22.28515625" bestFit="1" customWidth="1"/>
    <col min="8654" max="8654" width="52.7109375" bestFit="1" customWidth="1"/>
    <col min="8655" max="8655" width="11.42578125" bestFit="1" customWidth="1"/>
    <col min="8656" max="8656" width="20.140625" bestFit="1" customWidth="1"/>
    <col min="8657" max="8657" width="25.85546875" bestFit="1" customWidth="1"/>
    <col min="8658" max="8658" width="23.85546875" bestFit="1" customWidth="1"/>
    <col min="8659" max="8659" width="22.42578125" customWidth="1"/>
    <col min="8660" max="8660" width="10.85546875" bestFit="1" customWidth="1"/>
    <col min="8661" max="8661" width="8.42578125" bestFit="1" customWidth="1"/>
    <col min="8662" max="8662" width="15.7109375" bestFit="1" customWidth="1"/>
    <col min="8663" max="8663" width="19.28515625" bestFit="1" customWidth="1"/>
    <col min="8664" max="8664" width="28.140625" bestFit="1" customWidth="1"/>
    <col min="8665" max="8665" width="31.28515625" bestFit="1" customWidth="1"/>
    <col min="8666" max="8666" width="26.42578125" customWidth="1"/>
    <col min="8667" max="8667" width="15.28515625" customWidth="1"/>
    <col min="8668" max="8668" width="17.85546875" customWidth="1"/>
    <col min="8669" max="8669" width="36.28515625" bestFit="1" customWidth="1"/>
    <col min="8670" max="8670" width="24.42578125" bestFit="1" customWidth="1"/>
    <col min="8671" max="8671" width="11.42578125" bestFit="1" customWidth="1"/>
    <col min="8672" max="8672" width="10.140625" bestFit="1" customWidth="1"/>
    <col min="8673" max="8673" width="28.7109375" bestFit="1" customWidth="1"/>
    <col min="8674" max="8674" width="28.42578125" bestFit="1" customWidth="1"/>
    <col min="8675" max="8675" width="34.28515625" bestFit="1" customWidth="1"/>
    <col min="8676" max="8676" width="13.7109375" bestFit="1" customWidth="1"/>
    <col min="8677" max="8677" width="22.7109375" bestFit="1" customWidth="1"/>
    <col min="8678" max="8678" width="41.28515625" bestFit="1" customWidth="1"/>
    <col min="8679" max="8679" width="19.85546875" bestFit="1" customWidth="1"/>
    <col min="8680" max="8680" width="24.28515625" bestFit="1" customWidth="1"/>
    <col min="8681" max="8681" width="62.140625" bestFit="1" customWidth="1"/>
    <col min="8682" max="8682" width="23.85546875" bestFit="1" customWidth="1"/>
    <col min="8683" max="8683" width="32.85546875" bestFit="1" customWidth="1"/>
    <col min="8684" max="8684" width="30.42578125" bestFit="1" customWidth="1"/>
    <col min="8685" max="8685" width="12.28515625" bestFit="1" customWidth="1"/>
    <col min="8686" max="8686" width="14.42578125" bestFit="1" customWidth="1"/>
    <col min="8687" max="8687" width="18.85546875" customWidth="1"/>
    <col min="8907" max="8907" width="11" bestFit="1" customWidth="1"/>
    <col min="8908" max="8908" width="18.42578125" bestFit="1" customWidth="1"/>
    <col min="8909" max="8909" width="22.28515625" bestFit="1" customWidth="1"/>
    <col min="8910" max="8910" width="52.7109375" bestFit="1" customWidth="1"/>
    <col min="8911" max="8911" width="11.42578125" bestFit="1" customWidth="1"/>
    <col min="8912" max="8912" width="20.140625" bestFit="1" customWidth="1"/>
    <col min="8913" max="8913" width="25.85546875" bestFit="1" customWidth="1"/>
    <col min="8914" max="8914" width="23.85546875" bestFit="1" customWidth="1"/>
    <col min="8915" max="8915" width="22.42578125" customWidth="1"/>
    <col min="8916" max="8916" width="10.85546875" bestFit="1" customWidth="1"/>
    <col min="8917" max="8917" width="8.42578125" bestFit="1" customWidth="1"/>
    <col min="8918" max="8918" width="15.7109375" bestFit="1" customWidth="1"/>
    <col min="8919" max="8919" width="19.28515625" bestFit="1" customWidth="1"/>
    <col min="8920" max="8920" width="28.140625" bestFit="1" customWidth="1"/>
    <col min="8921" max="8921" width="31.28515625" bestFit="1" customWidth="1"/>
    <col min="8922" max="8922" width="26.42578125" customWidth="1"/>
    <col min="8923" max="8923" width="15.28515625" customWidth="1"/>
    <col min="8924" max="8924" width="17.85546875" customWidth="1"/>
    <col min="8925" max="8925" width="36.28515625" bestFit="1" customWidth="1"/>
    <col min="8926" max="8926" width="24.42578125" bestFit="1" customWidth="1"/>
    <col min="8927" max="8927" width="11.42578125" bestFit="1" customWidth="1"/>
    <col min="8928" max="8928" width="10.140625" bestFit="1" customWidth="1"/>
    <col min="8929" max="8929" width="28.7109375" bestFit="1" customWidth="1"/>
    <col min="8930" max="8930" width="28.42578125" bestFit="1" customWidth="1"/>
    <col min="8931" max="8931" width="34.28515625" bestFit="1" customWidth="1"/>
    <col min="8932" max="8932" width="13.7109375" bestFit="1" customWidth="1"/>
    <col min="8933" max="8933" width="22.7109375" bestFit="1" customWidth="1"/>
    <col min="8934" max="8934" width="41.28515625" bestFit="1" customWidth="1"/>
    <col min="8935" max="8935" width="19.85546875" bestFit="1" customWidth="1"/>
    <col min="8936" max="8936" width="24.28515625" bestFit="1" customWidth="1"/>
    <col min="8937" max="8937" width="62.140625" bestFit="1" customWidth="1"/>
    <col min="8938" max="8938" width="23.85546875" bestFit="1" customWidth="1"/>
    <col min="8939" max="8939" width="32.85546875" bestFit="1" customWidth="1"/>
    <col min="8940" max="8940" width="30.42578125" bestFit="1" customWidth="1"/>
    <col min="8941" max="8941" width="12.28515625" bestFit="1" customWidth="1"/>
    <col min="8942" max="8942" width="14.42578125" bestFit="1" customWidth="1"/>
    <col min="8943" max="8943" width="18.85546875" customWidth="1"/>
    <col min="9163" max="9163" width="11" bestFit="1" customWidth="1"/>
    <col min="9164" max="9164" width="18.42578125" bestFit="1" customWidth="1"/>
    <col min="9165" max="9165" width="22.28515625" bestFit="1" customWidth="1"/>
    <col min="9166" max="9166" width="52.7109375" bestFit="1" customWidth="1"/>
    <col min="9167" max="9167" width="11.42578125" bestFit="1" customWidth="1"/>
    <col min="9168" max="9168" width="20.140625" bestFit="1" customWidth="1"/>
    <col min="9169" max="9169" width="25.85546875" bestFit="1" customWidth="1"/>
    <col min="9170" max="9170" width="23.85546875" bestFit="1" customWidth="1"/>
    <col min="9171" max="9171" width="22.42578125" customWidth="1"/>
    <col min="9172" max="9172" width="10.85546875" bestFit="1" customWidth="1"/>
    <col min="9173" max="9173" width="8.42578125" bestFit="1" customWidth="1"/>
    <col min="9174" max="9174" width="15.7109375" bestFit="1" customWidth="1"/>
    <col min="9175" max="9175" width="19.28515625" bestFit="1" customWidth="1"/>
    <col min="9176" max="9176" width="28.140625" bestFit="1" customWidth="1"/>
    <col min="9177" max="9177" width="31.28515625" bestFit="1" customWidth="1"/>
    <col min="9178" max="9178" width="26.42578125" customWidth="1"/>
    <col min="9179" max="9179" width="15.28515625" customWidth="1"/>
    <col min="9180" max="9180" width="17.85546875" customWidth="1"/>
    <col min="9181" max="9181" width="36.28515625" bestFit="1" customWidth="1"/>
    <col min="9182" max="9182" width="24.42578125" bestFit="1" customWidth="1"/>
    <col min="9183" max="9183" width="11.42578125" bestFit="1" customWidth="1"/>
    <col min="9184" max="9184" width="10.140625" bestFit="1" customWidth="1"/>
    <col min="9185" max="9185" width="28.7109375" bestFit="1" customWidth="1"/>
    <col min="9186" max="9186" width="28.42578125" bestFit="1" customWidth="1"/>
    <col min="9187" max="9187" width="34.28515625" bestFit="1" customWidth="1"/>
    <col min="9188" max="9188" width="13.7109375" bestFit="1" customWidth="1"/>
    <col min="9189" max="9189" width="22.7109375" bestFit="1" customWidth="1"/>
    <col min="9190" max="9190" width="41.28515625" bestFit="1" customWidth="1"/>
    <col min="9191" max="9191" width="19.85546875" bestFit="1" customWidth="1"/>
    <col min="9192" max="9192" width="24.28515625" bestFit="1" customWidth="1"/>
    <col min="9193" max="9193" width="62.140625" bestFit="1" customWidth="1"/>
    <col min="9194" max="9194" width="23.85546875" bestFit="1" customWidth="1"/>
    <col min="9195" max="9195" width="32.85546875" bestFit="1" customWidth="1"/>
    <col min="9196" max="9196" width="30.42578125" bestFit="1" customWidth="1"/>
    <col min="9197" max="9197" width="12.28515625" bestFit="1" customWidth="1"/>
    <col min="9198" max="9198" width="14.42578125" bestFit="1" customWidth="1"/>
    <col min="9199" max="9199" width="18.85546875" customWidth="1"/>
    <col min="9419" max="9419" width="11" bestFit="1" customWidth="1"/>
    <col min="9420" max="9420" width="18.42578125" bestFit="1" customWidth="1"/>
    <col min="9421" max="9421" width="22.28515625" bestFit="1" customWidth="1"/>
    <col min="9422" max="9422" width="52.7109375" bestFit="1" customWidth="1"/>
    <col min="9423" max="9423" width="11.42578125" bestFit="1" customWidth="1"/>
    <col min="9424" max="9424" width="20.140625" bestFit="1" customWidth="1"/>
    <col min="9425" max="9425" width="25.85546875" bestFit="1" customWidth="1"/>
    <col min="9426" max="9426" width="23.85546875" bestFit="1" customWidth="1"/>
    <col min="9427" max="9427" width="22.42578125" customWidth="1"/>
    <col min="9428" max="9428" width="10.85546875" bestFit="1" customWidth="1"/>
    <col min="9429" max="9429" width="8.42578125" bestFit="1" customWidth="1"/>
    <col min="9430" max="9430" width="15.7109375" bestFit="1" customWidth="1"/>
    <col min="9431" max="9431" width="19.28515625" bestFit="1" customWidth="1"/>
    <col min="9432" max="9432" width="28.140625" bestFit="1" customWidth="1"/>
    <col min="9433" max="9433" width="31.28515625" bestFit="1" customWidth="1"/>
    <col min="9434" max="9434" width="26.42578125" customWidth="1"/>
    <col min="9435" max="9435" width="15.28515625" customWidth="1"/>
    <col min="9436" max="9436" width="17.85546875" customWidth="1"/>
    <col min="9437" max="9437" width="36.28515625" bestFit="1" customWidth="1"/>
    <col min="9438" max="9438" width="24.42578125" bestFit="1" customWidth="1"/>
    <col min="9439" max="9439" width="11.42578125" bestFit="1" customWidth="1"/>
    <col min="9440" max="9440" width="10.140625" bestFit="1" customWidth="1"/>
    <col min="9441" max="9441" width="28.7109375" bestFit="1" customWidth="1"/>
    <col min="9442" max="9442" width="28.42578125" bestFit="1" customWidth="1"/>
    <col min="9443" max="9443" width="34.28515625" bestFit="1" customWidth="1"/>
    <col min="9444" max="9444" width="13.7109375" bestFit="1" customWidth="1"/>
    <col min="9445" max="9445" width="22.7109375" bestFit="1" customWidth="1"/>
    <col min="9446" max="9446" width="41.28515625" bestFit="1" customWidth="1"/>
    <col min="9447" max="9447" width="19.85546875" bestFit="1" customWidth="1"/>
    <col min="9448" max="9448" width="24.28515625" bestFit="1" customWidth="1"/>
    <col min="9449" max="9449" width="62.140625" bestFit="1" customWidth="1"/>
    <col min="9450" max="9450" width="23.85546875" bestFit="1" customWidth="1"/>
    <col min="9451" max="9451" width="32.85546875" bestFit="1" customWidth="1"/>
    <col min="9452" max="9452" width="30.42578125" bestFit="1" customWidth="1"/>
    <col min="9453" max="9453" width="12.28515625" bestFit="1" customWidth="1"/>
    <col min="9454" max="9454" width="14.42578125" bestFit="1" customWidth="1"/>
    <col min="9455" max="9455" width="18.85546875" customWidth="1"/>
    <col min="9675" max="9675" width="11" bestFit="1" customWidth="1"/>
    <col min="9676" max="9676" width="18.42578125" bestFit="1" customWidth="1"/>
    <col min="9677" max="9677" width="22.28515625" bestFit="1" customWidth="1"/>
    <col min="9678" max="9678" width="52.7109375" bestFit="1" customWidth="1"/>
    <col min="9679" max="9679" width="11.42578125" bestFit="1" customWidth="1"/>
    <col min="9680" max="9680" width="20.140625" bestFit="1" customWidth="1"/>
    <col min="9681" max="9681" width="25.85546875" bestFit="1" customWidth="1"/>
    <col min="9682" max="9682" width="23.85546875" bestFit="1" customWidth="1"/>
    <col min="9683" max="9683" width="22.42578125" customWidth="1"/>
    <col min="9684" max="9684" width="10.85546875" bestFit="1" customWidth="1"/>
    <col min="9685" max="9685" width="8.42578125" bestFit="1" customWidth="1"/>
    <col min="9686" max="9686" width="15.7109375" bestFit="1" customWidth="1"/>
    <col min="9687" max="9687" width="19.28515625" bestFit="1" customWidth="1"/>
    <col min="9688" max="9688" width="28.140625" bestFit="1" customWidth="1"/>
    <col min="9689" max="9689" width="31.28515625" bestFit="1" customWidth="1"/>
    <col min="9690" max="9690" width="26.42578125" customWidth="1"/>
    <col min="9691" max="9691" width="15.28515625" customWidth="1"/>
    <col min="9692" max="9692" width="17.85546875" customWidth="1"/>
    <col min="9693" max="9693" width="36.28515625" bestFit="1" customWidth="1"/>
    <col min="9694" max="9694" width="24.42578125" bestFit="1" customWidth="1"/>
    <col min="9695" max="9695" width="11.42578125" bestFit="1" customWidth="1"/>
    <col min="9696" max="9696" width="10.140625" bestFit="1" customWidth="1"/>
    <col min="9697" max="9697" width="28.7109375" bestFit="1" customWidth="1"/>
    <col min="9698" max="9698" width="28.42578125" bestFit="1" customWidth="1"/>
    <col min="9699" max="9699" width="34.28515625" bestFit="1" customWidth="1"/>
    <col min="9700" max="9700" width="13.7109375" bestFit="1" customWidth="1"/>
    <col min="9701" max="9701" width="22.7109375" bestFit="1" customWidth="1"/>
    <col min="9702" max="9702" width="41.28515625" bestFit="1" customWidth="1"/>
    <col min="9703" max="9703" width="19.85546875" bestFit="1" customWidth="1"/>
    <col min="9704" max="9704" width="24.28515625" bestFit="1" customWidth="1"/>
    <col min="9705" max="9705" width="62.140625" bestFit="1" customWidth="1"/>
    <col min="9706" max="9706" width="23.85546875" bestFit="1" customWidth="1"/>
    <col min="9707" max="9707" width="32.85546875" bestFit="1" customWidth="1"/>
    <col min="9708" max="9708" width="30.42578125" bestFit="1" customWidth="1"/>
    <col min="9709" max="9709" width="12.28515625" bestFit="1" customWidth="1"/>
    <col min="9710" max="9710" width="14.42578125" bestFit="1" customWidth="1"/>
    <col min="9711" max="9711" width="18.85546875" customWidth="1"/>
    <col min="9931" max="9931" width="11" bestFit="1" customWidth="1"/>
    <col min="9932" max="9932" width="18.42578125" bestFit="1" customWidth="1"/>
    <col min="9933" max="9933" width="22.28515625" bestFit="1" customWidth="1"/>
    <col min="9934" max="9934" width="52.7109375" bestFit="1" customWidth="1"/>
    <col min="9935" max="9935" width="11.42578125" bestFit="1" customWidth="1"/>
    <col min="9936" max="9936" width="20.140625" bestFit="1" customWidth="1"/>
    <col min="9937" max="9937" width="25.85546875" bestFit="1" customWidth="1"/>
    <col min="9938" max="9938" width="23.85546875" bestFit="1" customWidth="1"/>
    <col min="9939" max="9939" width="22.42578125" customWidth="1"/>
    <col min="9940" max="9940" width="10.85546875" bestFit="1" customWidth="1"/>
    <col min="9941" max="9941" width="8.42578125" bestFit="1" customWidth="1"/>
    <col min="9942" max="9942" width="15.7109375" bestFit="1" customWidth="1"/>
    <col min="9943" max="9943" width="19.28515625" bestFit="1" customWidth="1"/>
    <col min="9944" max="9944" width="28.140625" bestFit="1" customWidth="1"/>
    <col min="9945" max="9945" width="31.28515625" bestFit="1" customWidth="1"/>
    <col min="9946" max="9946" width="26.42578125" customWidth="1"/>
    <col min="9947" max="9947" width="15.28515625" customWidth="1"/>
    <col min="9948" max="9948" width="17.85546875" customWidth="1"/>
    <col min="9949" max="9949" width="36.28515625" bestFit="1" customWidth="1"/>
    <col min="9950" max="9950" width="24.42578125" bestFit="1" customWidth="1"/>
    <col min="9951" max="9951" width="11.42578125" bestFit="1" customWidth="1"/>
    <col min="9952" max="9952" width="10.140625" bestFit="1" customWidth="1"/>
    <col min="9953" max="9953" width="28.7109375" bestFit="1" customWidth="1"/>
    <col min="9954" max="9954" width="28.42578125" bestFit="1" customWidth="1"/>
    <col min="9955" max="9955" width="34.28515625" bestFit="1" customWidth="1"/>
    <col min="9956" max="9956" width="13.7109375" bestFit="1" customWidth="1"/>
    <col min="9957" max="9957" width="22.7109375" bestFit="1" customWidth="1"/>
    <col min="9958" max="9958" width="41.28515625" bestFit="1" customWidth="1"/>
    <col min="9959" max="9959" width="19.85546875" bestFit="1" customWidth="1"/>
    <col min="9960" max="9960" width="24.28515625" bestFit="1" customWidth="1"/>
    <col min="9961" max="9961" width="62.140625" bestFit="1" customWidth="1"/>
    <col min="9962" max="9962" width="23.85546875" bestFit="1" customWidth="1"/>
    <col min="9963" max="9963" width="32.85546875" bestFit="1" customWidth="1"/>
    <col min="9964" max="9964" width="30.42578125" bestFit="1" customWidth="1"/>
    <col min="9965" max="9965" width="12.28515625" bestFit="1" customWidth="1"/>
    <col min="9966" max="9966" width="14.42578125" bestFit="1" customWidth="1"/>
    <col min="9967" max="9967" width="18.85546875" customWidth="1"/>
    <col min="10187" max="10187" width="11" bestFit="1" customWidth="1"/>
    <col min="10188" max="10188" width="18.42578125" bestFit="1" customWidth="1"/>
    <col min="10189" max="10189" width="22.28515625" bestFit="1" customWidth="1"/>
    <col min="10190" max="10190" width="52.7109375" bestFit="1" customWidth="1"/>
    <col min="10191" max="10191" width="11.42578125" bestFit="1" customWidth="1"/>
    <col min="10192" max="10192" width="20.140625" bestFit="1" customWidth="1"/>
    <col min="10193" max="10193" width="25.85546875" bestFit="1" customWidth="1"/>
    <col min="10194" max="10194" width="23.85546875" bestFit="1" customWidth="1"/>
    <col min="10195" max="10195" width="22.42578125" customWidth="1"/>
    <col min="10196" max="10196" width="10.85546875" bestFit="1" customWidth="1"/>
    <col min="10197" max="10197" width="8.42578125" bestFit="1" customWidth="1"/>
    <col min="10198" max="10198" width="15.7109375" bestFit="1" customWidth="1"/>
    <col min="10199" max="10199" width="19.28515625" bestFit="1" customWidth="1"/>
    <col min="10200" max="10200" width="28.140625" bestFit="1" customWidth="1"/>
    <col min="10201" max="10201" width="31.28515625" bestFit="1" customWidth="1"/>
    <col min="10202" max="10202" width="26.42578125" customWidth="1"/>
    <col min="10203" max="10203" width="15.28515625" customWidth="1"/>
    <col min="10204" max="10204" width="17.85546875" customWidth="1"/>
    <col min="10205" max="10205" width="36.28515625" bestFit="1" customWidth="1"/>
    <col min="10206" max="10206" width="24.42578125" bestFit="1" customWidth="1"/>
    <col min="10207" max="10207" width="11.42578125" bestFit="1" customWidth="1"/>
    <col min="10208" max="10208" width="10.140625" bestFit="1" customWidth="1"/>
    <col min="10209" max="10209" width="28.7109375" bestFit="1" customWidth="1"/>
    <col min="10210" max="10210" width="28.42578125" bestFit="1" customWidth="1"/>
    <col min="10211" max="10211" width="34.28515625" bestFit="1" customWidth="1"/>
    <col min="10212" max="10212" width="13.7109375" bestFit="1" customWidth="1"/>
    <col min="10213" max="10213" width="22.7109375" bestFit="1" customWidth="1"/>
    <col min="10214" max="10214" width="41.28515625" bestFit="1" customWidth="1"/>
    <col min="10215" max="10215" width="19.85546875" bestFit="1" customWidth="1"/>
    <col min="10216" max="10216" width="24.28515625" bestFit="1" customWidth="1"/>
    <col min="10217" max="10217" width="62.140625" bestFit="1" customWidth="1"/>
    <col min="10218" max="10218" width="23.85546875" bestFit="1" customWidth="1"/>
    <col min="10219" max="10219" width="32.85546875" bestFit="1" customWidth="1"/>
    <col min="10220" max="10220" width="30.42578125" bestFit="1" customWidth="1"/>
    <col min="10221" max="10221" width="12.28515625" bestFit="1" customWidth="1"/>
    <col min="10222" max="10222" width="14.42578125" bestFit="1" customWidth="1"/>
    <col min="10223" max="10223" width="18.85546875" customWidth="1"/>
    <col min="10443" max="10443" width="11" bestFit="1" customWidth="1"/>
    <col min="10444" max="10444" width="18.42578125" bestFit="1" customWidth="1"/>
    <col min="10445" max="10445" width="22.28515625" bestFit="1" customWidth="1"/>
    <col min="10446" max="10446" width="52.7109375" bestFit="1" customWidth="1"/>
    <col min="10447" max="10447" width="11.42578125" bestFit="1" customWidth="1"/>
    <col min="10448" max="10448" width="20.140625" bestFit="1" customWidth="1"/>
    <col min="10449" max="10449" width="25.85546875" bestFit="1" customWidth="1"/>
    <col min="10450" max="10450" width="23.85546875" bestFit="1" customWidth="1"/>
    <col min="10451" max="10451" width="22.42578125" customWidth="1"/>
    <col min="10452" max="10452" width="10.85546875" bestFit="1" customWidth="1"/>
    <col min="10453" max="10453" width="8.42578125" bestFit="1" customWidth="1"/>
    <col min="10454" max="10454" width="15.7109375" bestFit="1" customWidth="1"/>
    <col min="10455" max="10455" width="19.28515625" bestFit="1" customWidth="1"/>
    <col min="10456" max="10456" width="28.140625" bestFit="1" customWidth="1"/>
    <col min="10457" max="10457" width="31.28515625" bestFit="1" customWidth="1"/>
    <col min="10458" max="10458" width="26.42578125" customWidth="1"/>
    <col min="10459" max="10459" width="15.28515625" customWidth="1"/>
    <col min="10460" max="10460" width="17.85546875" customWidth="1"/>
    <col min="10461" max="10461" width="36.28515625" bestFit="1" customWidth="1"/>
    <col min="10462" max="10462" width="24.42578125" bestFit="1" customWidth="1"/>
    <col min="10463" max="10463" width="11.42578125" bestFit="1" customWidth="1"/>
    <col min="10464" max="10464" width="10.140625" bestFit="1" customWidth="1"/>
    <col min="10465" max="10465" width="28.7109375" bestFit="1" customWidth="1"/>
    <col min="10466" max="10466" width="28.42578125" bestFit="1" customWidth="1"/>
    <col min="10467" max="10467" width="34.28515625" bestFit="1" customWidth="1"/>
    <col min="10468" max="10468" width="13.7109375" bestFit="1" customWidth="1"/>
    <col min="10469" max="10469" width="22.7109375" bestFit="1" customWidth="1"/>
    <col min="10470" max="10470" width="41.28515625" bestFit="1" customWidth="1"/>
    <col min="10471" max="10471" width="19.85546875" bestFit="1" customWidth="1"/>
    <col min="10472" max="10472" width="24.28515625" bestFit="1" customWidth="1"/>
    <col min="10473" max="10473" width="62.140625" bestFit="1" customWidth="1"/>
    <col min="10474" max="10474" width="23.85546875" bestFit="1" customWidth="1"/>
    <col min="10475" max="10475" width="32.85546875" bestFit="1" customWidth="1"/>
    <col min="10476" max="10476" width="30.42578125" bestFit="1" customWidth="1"/>
    <col min="10477" max="10477" width="12.28515625" bestFit="1" customWidth="1"/>
    <col min="10478" max="10478" width="14.42578125" bestFit="1" customWidth="1"/>
    <col min="10479" max="10479" width="18.85546875" customWidth="1"/>
    <col min="10699" max="10699" width="11" bestFit="1" customWidth="1"/>
    <col min="10700" max="10700" width="18.42578125" bestFit="1" customWidth="1"/>
    <col min="10701" max="10701" width="22.28515625" bestFit="1" customWidth="1"/>
    <col min="10702" max="10702" width="52.7109375" bestFit="1" customWidth="1"/>
    <col min="10703" max="10703" width="11.42578125" bestFit="1" customWidth="1"/>
    <col min="10704" max="10704" width="20.140625" bestFit="1" customWidth="1"/>
    <col min="10705" max="10705" width="25.85546875" bestFit="1" customWidth="1"/>
    <col min="10706" max="10706" width="23.85546875" bestFit="1" customWidth="1"/>
    <col min="10707" max="10707" width="22.42578125" customWidth="1"/>
    <col min="10708" max="10708" width="10.85546875" bestFit="1" customWidth="1"/>
    <col min="10709" max="10709" width="8.42578125" bestFit="1" customWidth="1"/>
    <col min="10710" max="10710" width="15.7109375" bestFit="1" customWidth="1"/>
    <col min="10711" max="10711" width="19.28515625" bestFit="1" customWidth="1"/>
    <col min="10712" max="10712" width="28.140625" bestFit="1" customWidth="1"/>
    <col min="10713" max="10713" width="31.28515625" bestFit="1" customWidth="1"/>
    <col min="10714" max="10714" width="26.42578125" customWidth="1"/>
    <col min="10715" max="10715" width="15.28515625" customWidth="1"/>
    <col min="10716" max="10716" width="17.85546875" customWidth="1"/>
    <col min="10717" max="10717" width="36.28515625" bestFit="1" customWidth="1"/>
    <col min="10718" max="10718" width="24.42578125" bestFit="1" customWidth="1"/>
    <col min="10719" max="10719" width="11.42578125" bestFit="1" customWidth="1"/>
    <col min="10720" max="10720" width="10.140625" bestFit="1" customWidth="1"/>
    <col min="10721" max="10721" width="28.7109375" bestFit="1" customWidth="1"/>
    <col min="10722" max="10722" width="28.42578125" bestFit="1" customWidth="1"/>
    <col min="10723" max="10723" width="34.28515625" bestFit="1" customWidth="1"/>
    <col min="10724" max="10724" width="13.7109375" bestFit="1" customWidth="1"/>
    <col min="10725" max="10725" width="22.7109375" bestFit="1" customWidth="1"/>
    <col min="10726" max="10726" width="41.28515625" bestFit="1" customWidth="1"/>
    <col min="10727" max="10727" width="19.85546875" bestFit="1" customWidth="1"/>
    <col min="10728" max="10728" width="24.28515625" bestFit="1" customWidth="1"/>
    <col min="10729" max="10729" width="62.140625" bestFit="1" customWidth="1"/>
    <col min="10730" max="10730" width="23.85546875" bestFit="1" customWidth="1"/>
    <col min="10731" max="10731" width="32.85546875" bestFit="1" customWidth="1"/>
    <col min="10732" max="10732" width="30.42578125" bestFit="1" customWidth="1"/>
    <col min="10733" max="10733" width="12.28515625" bestFit="1" customWidth="1"/>
    <col min="10734" max="10734" width="14.42578125" bestFit="1" customWidth="1"/>
    <col min="10735" max="10735" width="18.85546875" customWidth="1"/>
    <col min="10955" max="10955" width="11" bestFit="1" customWidth="1"/>
    <col min="10956" max="10956" width="18.42578125" bestFit="1" customWidth="1"/>
    <col min="10957" max="10957" width="22.28515625" bestFit="1" customWidth="1"/>
    <col min="10958" max="10958" width="52.7109375" bestFit="1" customWidth="1"/>
    <col min="10959" max="10959" width="11.42578125" bestFit="1" customWidth="1"/>
    <col min="10960" max="10960" width="20.140625" bestFit="1" customWidth="1"/>
    <col min="10961" max="10961" width="25.85546875" bestFit="1" customWidth="1"/>
    <col min="10962" max="10962" width="23.85546875" bestFit="1" customWidth="1"/>
    <col min="10963" max="10963" width="22.42578125" customWidth="1"/>
    <col min="10964" max="10964" width="10.85546875" bestFit="1" customWidth="1"/>
    <col min="10965" max="10965" width="8.42578125" bestFit="1" customWidth="1"/>
    <col min="10966" max="10966" width="15.7109375" bestFit="1" customWidth="1"/>
    <col min="10967" max="10967" width="19.28515625" bestFit="1" customWidth="1"/>
    <col min="10968" max="10968" width="28.140625" bestFit="1" customWidth="1"/>
    <col min="10969" max="10969" width="31.28515625" bestFit="1" customWidth="1"/>
    <col min="10970" max="10970" width="26.42578125" customWidth="1"/>
    <col min="10971" max="10971" width="15.28515625" customWidth="1"/>
    <col min="10972" max="10972" width="17.85546875" customWidth="1"/>
    <col min="10973" max="10973" width="36.28515625" bestFit="1" customWidth="1"/>
    <col min="10974" max="10974" width="24.42578125" bestFit="1" customWidth="1"/>
    <col min="10975" max="10975" width="11.42578125" bestFit="1" customWidth="1"/>
    <col min="10976" max="10976" width="10.140625" bestFit="1" customWidth="1"/>
    <col min="10977" max="10977" width="28.7109375" bestFit="1" customWidth="1"/>
    <col min="10978" max="10978" width="28.42578125" bestFit="1" customWidth="1"/>
    <col min="10979" max="10979" width="34.28515625" bestFit="1" customWidth="1"/>
    <col min="10980" max="10980" width="13.7109375" bestFit="1" customWidth="1"/>
    <col min="10981" max="10981" width="22.7109375" bestFit="1" customWidth="1"/>
    <col min="10982" max="10982" width="41.28515625" bestFit="1" customWidth="1"/>
    <col min="10983" max="10983" width="19.85546875" bestFit="1" customWidth="1"/>
    <col min="10984" max="10984" width="24.28515625" bestFit="1" customWidth="1"/>
    <col min="10985" max="10985" width="62.140625" bestFit="1" customWidth="1"/>
    <col min="10986" max="10986" width="23.85546875" bestFit="1" customWidth="1"/>
    <col min="10987" max="10987" width="32.85546875" bestFit="1" customWidth="1"/>
    <col min="10988" max="10988" width="30.42578125" bestFit="1" customWidth="1"/>
    <col min="10989" max="10989" width="12.28515625" bestFit="1" customWidth="1"/>
    <col min="10990" max="10990" width="14.42578125" bestFit="1" customWidth="1"/>
    <col min="10991" max="10991" width="18.85546875" customWidth="1"/>
    <col min="11211" max="11211" width="11" bestFit="1" customWidth="1"/>
    <col min="11212" max="11212" width="18.42578125" bestFit="1" customWidth="1"/>
    <col min="11213" max="11213" width="22.28515625" bestFit="1" customWidth="1"/>
    <col min="11214" max="11214" width="52.7109375" bestFit="1" customWidth="1"/>
    <col min="11215" max="11215" width="11.42578125" bestFit="1" customWidth="1"/>
    <col min="11216" max="11216" width="20.140625" bestFit="1" customWidth="1"/>
    <col min="11217" max="11217" width="25.85546875" bestFit="1" customWidth="1"/>
    <col min="11218" max="11218" width="23.85546875" bestFit="1" customWidth="1"/>
    <col min="11219" max="11219" width="22.42578125" customWidth="1"/>
    <col min="11220" max="11220" width="10.85546875" bestFit="1" customWidth="1"/>
    <col min="11221" max="11221" width="8.42578125" bestFit="1" customWidth="1"/>
    <col min="11222" max="11222" width="15.7109375" bestFit="1" customWidth="1"/>
    <col min="11223" max="11223" width="19.28515625" bestFit="1" customWidth="1"/>
    <col min="11224" max="11224" width="28.140625" bestFit="1" customWidth="1"/>
    <col min="11225" max="11225" width="31.28515625" bestFit="1" customWidth="1"/>
    <col min="11226" max="11226" width="26.42578125" customWidth="1"/>
    <col min="11227" max="11227" width="15.28515625" customWidth="1"/>
    <col min="11228" max="11228" width="17.85546875" customWidth="1"/>
    <col min="11229" max="11229" width="36.28515625" bestFit="1" customWidth="1"/>
    <col min="11230" max="11230" width="24.42578125" bestFit="1" customWidth="1"/>
    <col min="11231" max="11231" width="11.42578125" bestFit="1" customWidth="1"/>
    <col min="11232" max="11232" width="10.140625" bestFit="1" customWidth="1"/>
    <col min="11233" max="11233" width="28.7109375" bestFit="1" customWidth="1"/>
    <col min="11234" max="11234" width="28.42578125" bestFit="1" customWidth="1"/>
    <col min="11235" max="11235" width="34.28515625" bestFit="1" customWidth="1"/>
    <col min="11236" max="11236" width="13.7109375" bestFit="1" customWidth="1"/>
    <col min="11237" max="11237" width="22.7109375" bestFit="1" customWidth="1"/>
    <col min="11238" max="11238" width="41.28515625" bestFit="1" customWidth="1"/>
    <col min="11239" max="11239" width="19.85546875" bestFit="1" customWidth="1"/>
    <col min="11240" max="11240" width="24.28515625" bestFit="1" customWidth="1"/>
    <col min="11241" max="11241" width="62.140625" bestFit="1" customWidth="1"/>
    <col min="11242" max="11242" width="23.85546875" bestFit="1" customWidth="1"/>
    <col min="11243" max="11243" width="32.85546875" bestFit="1" customWidth="1"/>
    <col min="11244" max="11244" width="30.42578125" bestFit="1" customWidth="1"/>
    <col min="11245" max="11245" width="12.28515625" bestFit="1" customWidth="1"/>
    <col min="11246" max="11246" width="14.42578125" bestFit="1" customWidth="1"/>
    <col min="11247" max="11247" width="18.85546875" customWidth="1"/>
    <col min="11467" max="11467" width="11" bestFit="1" customWidth="1"/>
    <col min="11468" max="11468" width="18.42578125" bestFit="1" customWidth="1"/>
    <col min="11469" max="11469" width="22.28515625" bestFit="1" customWidth="1"/>
    <col min="11470" max="11470" width="52.7109375" bestFit="1" customWidth="1"/>
    <col min="11471" max="11471" width="11.42578125" bestFit="1" customWidth="1"/>
    <col min="11472" max="11472" width="20.140625" bestFit="1" customWidth="1"/>
    <col min="11473" max="11473" width="25.85546875" bestFit="1" customWidth="1"/>
    <col min="11474" max="11474" width="23.85546875" bestFit="1" customWidth="1"/>
    <col min="11475" max="11475" width="22.42578125" customWidth="1"/>
    <col min="11476" max="11476" width="10.85546875" bestFit="1" customWidth="1"/>
    <col min="11477" max="11477" width="8.42578125" bestFit="1" customWidth="1"/>
    <col min="11478" max="11478" width="15.7109375" bestFit="1" customWidth="1"/>
    <col min="11479" max="11479" width="19.28515625" bestFit="1" customWidth="1"/>
    <col min="11480" max="11480" width="28.140625" bestFit="1" customWidth="1"/>
    <col min="11481" max="11481" width="31.28515625" bestFit="1" customWidth="1"/>
    <col min="11482" max="11482" width="26.42578125" customWidth="1"/>
    <col min="11483" max="11483" width="15.28515625" customWidth="1"/>
    <col min="11484" max="11484" width="17.85546875" customWidth="1"/>
    <col min="11485" max="11485" width="36.28515625" bestFit="1" customWidth="1"/>
    <col min="11486" max="11486" width="24.42578125" bestFit="1" customWidth="1"/>
    <col min="11487" max="11487" width="11.42578125" bestFit="1" customWidth="1"/>
    <col min="11488" max="11488" width="10.140625" bestFit="1" customWidth="1"/>
    <col min="11489" max="11489" width="28.7109375" bestFit="1" customWidth="1"/>
    <col min="11490" max="11490" width="28.42578125" bestFit="1" customWidth="1"/>
    <col min="11491" max="11491" width="34.28515625" bestFit="1" customWidth="1"/>
    <col min="11492" max="11492" width="13.7109375" bestFit="1" customWidth="1"/>
    <col min="11493" max="11493" width="22.7109375" bestFit="1" customWidth="1"/>
    <col min="11494" max="11494" width="41.28515625" bestFit="1" customWidth="1"/>
    <col min="11495" max="11495" width="19.85546875" bestFit="1" customWidth="1"/>
    <col min="11496" max="11496" width="24.28515625" bestFit="1" customWidth="1"/>
    <col min="11497" max="11497" width="62.140625" bestFit="1" customWidth="1"/>
    <col min="11498" max="11498" width="23.85546875" bestFit="1" customWidth="1"/>
    <col min="11499" max="11499" width="32.85546875" bestFit="1" customWidth="1"/>
    <col min="11500" max="11500" width="30.42578125" bestFit="1" customWidth="1"/>
    <col min="11501" max="11501" width="12.28515625" bestFit="1" customWidth="1"/>
    <col min="11502" max="11502" width="14.42578125" bestFit="1" customWidth="1"/>
    <col min="11503" max="11503" width="18.85546875" customWidth="1"/>
    <col min="11723" max="11723" width="11" bestFit="1" customWidth="1"/>
    <col min="11724" max="11724" width="18.42578125" bestFit="1" customWidth="1"/>
    <col min="11725" max="11725" width="22.28515625" bestFit="1" customWidth="1"/>
    <col min="11726" max="11726" width="52.7109375" bestFit="1" customWidth="1"/>
    <col min="11727" max="11727" width="11.42578125" bestFit="1" customWidth="1"/>
    <col min="11728" max="11728" width="20.140625" bestFit="1" customWidth="1"/>
    <col min="11729" max="11729" width="25.85546875" bestFit="1" customWidth="1"/>
    <col min="11730" max="11730" width="23.85546875" bestFit="1" customWidth="1"/>
    <col min="11731" max="11731" width="22.42578125" customWidth="1"/>
    <col min="11732" max="11732" width="10.85546875" bestFit="1" customWidth="1"/>
    <col min="11733" max="11733" width="8.42578125" bestFit="1" customWidth="1"/>
    <col min="11734" max="11734" width="15.7109375" bestFit="1" customWidth="1"/>
    <col min="11735" max="11735" width="19.28515625" bestFit="1" customWidth="1"/>
    <col min="11736" max="11736" width="28.140625" bestFit="1" customWidth="1"/>
    <col min="11737" max="11737" width="31.28515625" bestFit="1" customWidth="1"/>
    <col min="11738" max="11738" width="26.42578125" customWidth="1"/>
    <col min="11739" max="11739" width="15.28515625" customWidth="1"/>
    <col min="11740" max="11740" width="17.85546875" customWidth="1"/>
    <col min="11741" max="11741" width="36.28515625" bestFit="1" customWidth="1"/>
    <col min="11742" max="11742" width="24.42578125" bestFit="1" customWidth="1"/>
    <col min="11743" max="11743" width="11.42578125" bestFit="1" customWidth="1"/>
    <col min="11744" max="11744" width="10.140625" bestFit="1" customWidth="1"/>
    <col min="11745" max="11745" width="28.7109375" bestFit="1" customWidth="1"/>
    <col min="11746" max="11746" width="28.42578125" bestFit="1" customWidth="1"/>
    <col min="11747" max="11747" width="34.28515625" bestFit="1" customWidth="1"/>
    <col min="11748" max="11748" width="13.7109375" bestFit="1" customWidth="1"/>
    <col min="11749" max="11749" width="22.7109375" bestFit="1" customWidth="1"/>
    <col min="11750" max="11750" width="41.28515625" bestFit="1" customWidth="1"/>
    <col min="11751" max="11751" width="19.85546875" bestFit="1" customWidth="1"/>
    <col min="11752" max="11752" width="24.28515625" bestFit="1" customWidth="1"/>
    <col min="11753" max="11753" width="62.140625" bestFit="1" customWidth="1"/>
    <col min="11754" max="11754" width="23.85546875" bestFit="1" customWidth="1"/>
    <col min="11755" max="11755" width="32.85546875" bestFit="1" customWidth="1"/>
    <col min="11756" max="11756" width="30.42578125" bestFit="1" customWidth="1"/>
    <col min="11757" max="11757" width="12.28515625" bestFit="1" customWidth="1"/>
    <col min="11758" max="11758" width="14.42578125" bestFit="1" customWidth="1"/>
    <col min="11759" max="11759" width="18.85546875" customWidth="1"/>
    <col min="11979" max="11979" width="11" bestFit="1" customWidth="1"/>
    <col min="11980" max="11980" width="18.42578125" bestFit="1" customWidth="1"/>
    <col min="11981" max="11981" width="22.28515625" bestFit="1" customWidth="1"/>
    <col min="11982" max="11982" width="52.7109375" bestFit="1" customWidth="1"/>
    <col min="11983" max="11983" width="11.42578125" bestFit="1" customWidth="1"/>
    <col min="11984" max="11984" width="20.140625" bestFit="1" customWidth="1"/>
    <col min="11985" max="11985" width="25.85546875" bestFit="1" customWidth="1"/>
    <col min="11986" max="11986" width="23.85546875" bestFit="1" customWidth="1"/>
    <col min="11987" max="11987" width="22.42578125" customWidth="1"/>
    <col min="11988" max="11988" width="10.85546875" bestFit="1" customWidth="1"/>
    <col min="11989" max="11989" width="8.42578125" bestFit="1" customWidth="1"/>
    <col min="11990" max="11990" width="15.7109375" bestFit="1" customWidth="1"/>
    <col min="11991" max="11991" width="19.28515625" bestFit="1" customWidth="1"/>
    <col min="11992" max="11992" width="28.140625" bestFit="1" customWidth="1"/>
    <col min="11993" max="11993" width="31.28515625" bestFit="1" customWidth="1"/>
    <col min="11994" max="11994" width="26.42578125" customWidth="1"/>
    <col min="11995" max="11995" width="15.28515625" customWidth="1"/>
    <col min="11996" max="11996" width="17.85546875" customWidth="1"/>
    <col min="11997" max="11997" width="36.28515625" bestFit="1" customWidth="1"/>
    <col min="11998" max="11998" width="24.42578125" bestFit="1" customWidth="1"/>
    <col min="11999" max="11999" width="11.42578125" bestFit="1" customWidth="1"/>
    <col min="12000" max="12000" width="10.140625" bestFit="1" customWidth="1"/>
    <col min="12001" max="12001" width="28.7109375" bestFit="1" customWidth="1"/>
    <col min="12002" max="12002" width="28.42578125" bestFit="1" customWidth="1"/>
    <col min="12003" max="12003" width="34.28515625" bestFit="1" customWidth="1"/>
    <col min="12004" max="12004" width="13.7109375" bestFit="1" customWidth="1"/>
    <col min="12005" max="12005" width="22.7109375" bestFit="1" customWidth="1"/>
    <col min="12006" max="12006" width="41.28515625" bestFit="1" customWidth="1"/>
    <col min="12007" max="12007" width="19.85546875" bestFit="1" customWidth="1"/>
    <col min="12008" max="12008" width="24.28515625" bestFit="1" customWidth="1"/>
    <col min="12009" max="12009" width="62.140625" bestFit="1" customWidth="1"/>
    <col min="12010" max="12010" width="23.85546875" bestFit="1" customWidth="1"/>
    <col min="12011" max="12011" width="32.85546875" bestFit="1" customWidth="1"/>
    <col min="12012" max="12012" width="30.42578125" bestFit="1" customWidth="1"/>
    <col min="12013" max="12013" width="12.28515625" bestFit="1" customWidth="1"/>
    <col min="12014" max="12014" width="14.42578125" bestFit="1" customWidth="1"/>
    <col min="12015" max="12015" width="18.85546875" customWidth="1"/>
    <col min="12235" max="12235" width="11" bestFit="1" customWidth="1"/>
    <col min="12236" max="12236" width="18.42578125" bestFit="1" customWidth="1"/>
    <col min="12237" max="12237" width="22.28515625" bestFit="1" customWidth="1"/>
    <col min="12238" max="12238" width="52.7109375" bestFit="1" customWidth="1"/>
    <col min="12239" max="12239" width="11.42578125" bestFit="1" customWidth="1"/>
    <col min="12240" max="12240" width="20.140625" bestFit="1" customWidth="1"/>
    <col min="12241" max="12241" width="25.85546875" bestFit="1" customWidth="1"/>
    <col min="12242" max="12242" width="23.85546875" bestFit="1" customWidth="1"/>
    <col min="12243" max="12243" width="22.42578125" customWidth="1"/>
    <col min="12244" max="12244" width="10.85546875" bestFit="1" customWidth="1"/>
    <col min="12245" max="12245" width="8.42578125" bestFit="1" customWidth="1"/>
    <col min="12246" max="12246" width="15.7109375" bestFit="1" customWidth="1"/>
    <col min="12247" max="12247" width="19.28515625" bestFit="1" customWidth="1"/>
    <col min="12248" max="12248" width="28.140625" bestFit="1" customWidth="1"/>
    <col min="12249" max="12249" width="31.28515625" bestFit="1" customWidth="1"/>
    <col min="12250" max="12250" width="26.42578125" customWidth="1"/>
    <col min="12251" max="12251" width="15.28515625" customWidth="1"/>
    <col min="12252" max="12252" width="17.85546875" customWidth="1"/>
    <col min="12253" max="12253" width="36.28515625" bestFit="1" customWidth="1"/>
    <col min="12254" max="12254" width="24.42578125" bestFit="1" customWidth="1"/>
    <col min="12255" max="12255" width="11.42578125" bestFit="1" customWidth="1"/>
    <col min="12256" max="12256" width="10.140625" bestFit="1" customWidth="1"/>
    <col min="12257" max="12257" width="28.7109375" bestFit="1" customWidth="1"/>
    <col min="12258" max="12258" width="28.42578125" bestFit="1" customWidth="1"/>
    <col min="12259" max="12259" width="34.28515625" bestFit="1" customWidth="1"/>
    <col min="12260" max="12260" width="13.7109375" bestFit="1" customWidth="1"/>
    <col min="12261" max="12261" width="22.7109375" bestFit="1" customWidth="1"/>
    <col min="12262" max="12262" width="41.28515625" bestFit="1" customWidth="1"/>
    <col min="12263" max="12263" width="19.85546875" bestFit="1" customWidth="1"/>
    <col min="12264" max="12264" width="24.28515625" bestFit="1" customWidth="1"/>
    <col min="12265" max="12265" width="62.140625" bestFit="1" customWidth="1"/>
    <col min="12266" max="12266" width="23.85546875" bestFit="1" customWidth="1"/>
    <col min="12267" max="12267" width="32.85546875" bestFit="1" customWidth="1"/>
    <col min="12268" max="12268" width="30.42578125" bestFit="1" customWidth="1"/>
    <col min="12269" max="12269" width="12.28515625" bestFit="1" customWidth="1"/>
    <col min="12270" max="12270" width="14.42578125" bestFit="1" customWidth="1"/>
    <col min="12271" max="12271" width="18.85546875" customWidth="1"/>
    <col min="12491" max="12491" width="11" bestFit="1" customWidth="1"/>
    <col min="12492" max="12492" width="18.42578125" bestFit="1" customWidth="1"/>
    <col min="12493" max="12493" width="22.28515625" bestFit="1" customWidth="1"/>
    <col min="12494" max="12494" width="52.7109375" bestFit="1" customWidth="1"/>
    <col min="12495" max="12495" width="11.42578125" bestFit="1" customWidth="1"/>
    <col min="12496" max="12496" width="20.140625" bestFit="1" customWidth="1"/>
    <col min="12497" max="12497" width="25.85546875" bestFit="1" customWidth="1"/>
    <col min="12498" max="12498" width="23.85546875" bestFit="1" customWidth="1"/>
    <col min="12499" max="12499" width="22.42578125" customWidth="1"/>
    <col min="12500" max="12500" width="10.85546875" bestFit="1" customWidth="1"/>
    <col min="12501" max="12501" width="8.42578125" bestFit="1" customWidth="1"/>
    <col min="12502" max="12502" width="15.7109375" bestFit="1" customWidth="1"/>
    <col min="12503" max="12503" width="19.28515625" bestFit="1" customWidth="1"/>
    <col min="12504" max="12504" width="28.140625" bestFit="1" customWidth="1"/>
    <col min="12505" max="12505" width="31.28515625" bestFit="1" customWidth="1"/>
    <col min="12506" max="12506" width="26.42578125" customWidth="1"/>
    <col min="12507" max="12507" width="15.28515625" customWidth="1"/>
    <col min="12508" max="12508" width="17.85546875" customWidth="1"/>
    <col min="12509" max="12509" width="36.28515625" bestFit="1" customWidth="1"/>
    <col min="12510" max="12510" width="24.42578125" bestFit="1" customWidth="1"/>
    <col min="12511" max="12511" width="11.42578125" bestFit="1" customWidth="1"/>
    <col min="12512" max="12512" width="10.140625" bestFit="1" customWidth="1"/>
    <col min="12513" max="12513" width="28.7109375" bestFit="1" customWidth="1"/>
    <col min="12514" max="12514" width="28.42578125" bestFit="1" customWidth="1"/>
    <col min="12515" max="12515" width="34.28515625" bestFit="1" customWidth="1"/>
    <col min="12516" max="12516" width="13.7109375" bestFit="1" customWidth="1"/>
    <col min="12517" max="12517" width="22.7109375" bestFit="1" customWidth="1"/>
    <col min="12518" max="12518" width="41.28515625" bestFit="1" customWidth="1"/>
    <col min="12519" max="12519" width="19.85546875" bestFit="1" customWidth="1"/>
    <col min="12520" max="12520" width="24.28515625" bestFit="1" customWidth="1"/>
    <col min="12521" max="12521" width="62.140625" bestFit="1" customWidth="1"/>
    <col min="12522" max="12522" width="23.85546875" bestFit="1" customWidth="1"/>
    <col min="12523" max="12523" width="32.85546875" bestFit="1" customWidth="1"/>
    <col min="12524" max="12524" width="30.42578125" bestFit="1" customWidth="1"/>
    <col min="12525" max="12525" width="12.28515625" bestFit="1" customWidth="1"/>
    <col min="12526" max="12526" width="14.42578125" bestFit="1" customWidth="1"/>
    <col min="12527" max="12527" width="18.85546875" customWidth="1"/>
    <col min="12747" max="12747" width="11" bestFit="1" customWidth="1"/>
    <col min="12748" max="12748" width="18.42578125" bestFit="1" customWidth="1"/>
    <col min="12749" max="12749" width="22.28515625" bestFit="1" customWidth="1"/>
    <col min="12750" max="12750" width="52.7109375" bestFit="1" customWidth="1"/>
    <col min="12751" max="12751" width="11.42578125" bestFit="1" customWidth="1"/>
    <col min="12752" max="12752" width="20.140625" bestFit="1" customWidth="1"/>
    <col min="12753" max="12753" width="25.85546875" bestFit="1" customWidth="1"/>
    <col min="12754" max="12754" width="23.85546875" bestFit="1" customWidth="1"/>
    <col min="12755" max="12755" width="22.42578125" customWidth="1"/>
    <col min="12756" max="12756" width="10.85546875" bestFit="1" customWidth="1"/>
    <col min="12757" max="12757" width="8.42578125" bestFit="1" customWidth="1"/>
    <col min="12758" max="12758" width="15.7109375" bestFit="1" customWidth="1"/>
    <col min="12759" max="12759" width="19.28515625" bestFit="1" customWidth="1"/>
    <col min="12760" max="12760" width="28.140625" bestFit="1" customWidth="1"/>
    <col min="12761" max="12761" width="31.28515625" bestFit="1" customWidth="1"/>
    <col min="12762" max="12762" width="26.42578125" customWidth="1"/>
    <col min="12763" max="12763" width="15.28515625" customWidth="1"/>
    <col min="12764" max="12764" width="17.85546875" customWidth="1"/>
    <col min="12765" max="12765" width="36.28515625" bestFit="1" customWidth="1"/>
    <col min="12766" max="12766" width="24.42578125" bestFit="1" customWidth="1"/>
    <col min="12767" max="12767" width="11.42578125" bestFit="1" customWidth="1"/>
    <col min="12768" max="12768" width="10.140625" bestFit="1" customWidth="1"/>
    <col min="12769" max="12769" width="28.7109375" bestFit="1" customWidth="1"/>
    <col min="12770" max="12770" width="28.42578125" bestFit="1" customWidth="1"/>
    <col min="12771" max="12771" width="34.28515625" bestFit="1" customWidth="1"/>
    <col min="12772" max="12772" width="13.7109375" bestFit="1" customWidth="1"/>
    <col min="12773" max="12773" width="22.7109375" bestFit="1" customWidth="1"/>
    <col min="12774" max="12774" width="41.28515625" bestFit="1" customWidth="1"/>
    <col min="12775" max="12775" width="19.85546875" bestFit="1" customWidth="1"/>
    <col min="12776" max="12776" width="24.28515625" bestFit="1" customWidth="1"/>
    <col min="12777" max="12777" width="62.140625" bestFit="1" customWidth="1"/>
    <col min="12778" max="12778" width="23.85546875" bestFit="1" customWidth="1"/>
    <col min="12779" max="12779" width="32.85546875" bestFit="1" customWidth="1"/>
    <col min="12780" max="12780" width="30.42578125" bestFit="1" customWidth="1"/>
    <col min="12781" max="12781" width="12.28515625" bestFit="1" customWidth="1"/>
    <col min="12782" max="12782" width="14.42578125" bestFit="1" customWidth="1"/>
    <col min="12783" max="12783" width="18.85546875" customWidth="1"/>
    <col min="13003" max="13003" width="11" bestFit="1" customWidth="1"/>
    <col min="13004" max="13004" width="18.42578125" bestFit="1" customWidth="1"/>
    <col min="13005" max="13005" width="22.28515625" bestFit="1" customWidth="1"/>
    <col min="13006" max="13006" width="52.7109375" bestFit="1" customWidth="1"/>
    <col min="13007" max="13007" width="11.42578125" bestFit="1" customWidth="1"/>
    <col min="13008" max="13008" width="20.140625" bestFit="1" customWidth="1"/>
    <col min="13009" max="13009" width="25.85546875" bestFit="1" customWidth="1"/>
    <col min="13010" max="13010" width="23.85546875" bestFit="1" customWidth="1"/>
    <col min="13011" max="13011" width="22.42578125" customWidth="1"/>
    <col min="13012" max="13012" width="10.85546875" bestFit="1" customWidth="1"/>
    <col min="13013" max="13013" width="8.42578125" bestFit="1" customWidth="1"/>
    <col min="13014" max="13014" width="15.7109375" bestFit="1" customWidth="1"/>
    <col min="13015" max="13015" width="19.28515625" bestFit="1" customWidth="1"/>
    <col min="13016" max="13016" width="28.140625" bestFit="1" customWidth="1"/>
    <col min="13017" max="13017" width="31.28515625" bestFit="1" customWidth="1"/>
    <col min="13018" max="13018" width="26.42578125" customWidth="1"/>
    <col min="13019" max="13019" width="15.28515625" customWidth="1"/>
    <col min="13020" max="13020" width="17.85546875" customWidth="1"/>
    <col min="13021" max="13021" width="36.28515625" bestFit="1" customWidth="1"/>
    <col min="13022" max="13022" width="24.42578125" bestFit="1" customWidth="1"/>
    <col min="13023" max="13023" width="11.42578125" bestFit="1" customWidth="1"/>
    <col min="13024" max="13024" width="10.140625" bestFit="1" customWidth="1"/>
    <col min="13025" max="13025" width="28.7109375" bestFit="1" customWidth="1"/>
    <col min="13026" max="13026" width="28.42578125" bestFit="1" customWidth="1"/>
    <col min="13027" max="13027" width="34.28515625" bestFit="1" customWidth="1"/>
    <col min="13028" max="13028" width="13.7109375" bestFit="1" customWidth="1"/>
    <col min="13029" max="13029" width="22.7109375" bestFit="1" customWidth="1"/>
    <col min="13030" max="13030" width="41.28515625" bestFit="1" customWidth="1"/>
    <col min="13031" max="13031" width="19.85546875" bestFit="1" customWidth="1"/>
    <col min="13032" max="13032" width="24.28515625" bestFit="1" customWidth="1"/>
    <col min="13033" max="13033" width="62.140625" bestFit="1" customWidth="1"/>
    <col min="13034" max="13034" width="23.85546875" bestFit="1" customWidth="1"/>
    <col min="13035" max="13035" width="32.85546875" bestFit="1" customWidth="1"/>
    <col min="13036" max="13036" width="30.42578125" bestFit="1" customWidth="1"/>
    <col min="13037" max="13037" width="12.28515625" bestFit="1" customWidth="1"/>
    <col min="13038" max="13038" width="14.42578125" bestFit="1" customWidth="1"/>
    <col min="13039" max="13039" width="18.85546875" customWidth="1"/>
    <col min="13259" max="13259" width="11" bestFit="1" customWidth="1"/>
    <col min="13260" max="13260" width="18.42578125" bestFit="1" customWidth="1"/>
    <col min="13261" max="13261" width="22.28515625" bestFit="1" customWidth="1"/>
    <col min="13262" max="13262" width="52.7109375" bestFit="1" customWidth="1"/>
    <col min="13263" max="13263" width="11.42578125" bestFit="1" customWidth="1"/>
    <col min="13264" max="13264" width="20.140625" bestFit="1" customWidth="1"/>
    <col min="13265" max="13265" width="25.85546875" bestFit="1" customWidth="1"/>
    <col min="13266" max="13266" width="23.85546875" bestFit="1" customWidth="1"/>
    <col min="13267" max="13267" width="22.42578125" customWidth="1"/>
    <col min="13268" max="13268" width="10.85546875" bestFit="1" customWidth="1"/>
    <col min="13269" max="13269" width="8.42578125" bestFit="1" customWidth="1"/>
    <col min="13270" max="13270" width="15.7109375" bestFit="1" customWidth="1"/>
    <col min="13271" max="13271" width="19.28515625" bestFit="1" customWidth="1"/>
    <col min="13272" max="13272" width="28.140625" bestFit="1" customWidth="1"/>
    <col min="13273" max="13273" width="31.28515625" bestFit="1" customWidth="1"/>
    <col min="13274" max="13274" width="26.42578125" customWidth="1"/>
    <col min="13275" max="13275" width="15.28515625" customWidth="1"/>
    <col min="13276" max="13276" width="17.85546875" customWidth="1"/>
    <col min="13277" max="13277" width="36.28515625" bestFit="1" customWidth="1"/>
    <col min="13278" max="13278" width="24.42578125" bestFit="1" customWidth="1"/>
    <col min="13279" max="13279" width="11.42578125" bestFit="1" customWidth="1"/>
    <col min="13280" max="13280" width="10.140625" bestFit="1" customWidth="1"/>
    <col min="13281" max="13281" width="28.7109375" bestFit="1" customWidth="1"/>
    <col min="13282" max="13282" width="28.42578125" bestFit="1" customWidth="1"/>
    <col min="13283" max="13283" width="34.28515625" bestFit="1" customWidth="1"/>
    <col min="13284" max="13284" width="13.7109375" bestFit="1" customWidth="1"/>
    <col min="13285" max="13285" width="22.7109375" bestFit="1" customWidth="1"/>
    <col min="13286" max="13286" width="41.28515625" bestFit="1" customWidth="1"/>
    <col min="13287" max="13287" width="19.85546875" bestFit="1" customWidth="1"/>
    <col min="13288" max="13288" width="24.28515625" bestFit="1" customWidth="1"/>
    <col min="13289" max="13289" width="62.140625" bestFit="1" customWidth="1"/>
    <col min="13290" max="13290" width="23.85546875" bestFit="1" customWidth="1"/>
    <col min="13291" max="13291" width="32.85546875" bestFit="1" customWidth="1"/>
    <col min="13292" max="13292" width="30.42578125" bestFit="1" customWidth="1"/>
    <col min="13293" max="13293" width="12.28515625" bestFit="1" customWidth="1"/>
    <col min="13294" max="13294" width="14.42578125" bestFit="1" customWidth="1"/>
    <col min="13295" max="13295" width="18.85546875" customWidth="1"/>
    <col min="13515" max="13515" width="11" bestFit="1" customWidth="1"/>
    <col min="13516" max="13516" width="18.42578125" bestFit="1" customWidth="1"/>
    <col min="13517" max="13517" width="22.28515625" bestFit="1" customWidth="1"/>
    <col min="13518" max="13518" width="52.7109375" bestFit="1" customWidth="1"/>
    <col min="13519" max="13519" width="11.42578125" bestFit="1" customWidth="1"/>
    <col min="13520" max="13520" width="20.140625" bestFit="1" customWidth="1"/>
    <col min="13521" max="13521" width="25.85546875" bestFit="1" customWidth="1"/>
    <col min="13522" max="13522" width="23.85546875" bestFit="1" customWidth="1"/>
    <col min="13523" max="13523" width="22.42578125" customWidth="1"/>
    <col min="13524" max="13524" width="10.85546875" bestFit="1" customWidth="1"/>
    <col min="13525" max="13525" width="8.42578125" bestFit="1" customWidth="1"/>
    <col min="13526" max="13526" width="15.7109375" bestFit="1" customWidth="1"/>
    <col min="13527" max="13527" width="19.28515625" bestFit="1" customWidth="1"/>
    <col min="13528" max="13528" width="28.140625" bestFit="1" customWidth="1"/>
    <col min="13529" max="13529" width="31.28515625" bestFit="1" customWidth="1"/>
    <col min="13530" max="13530" width="26.42578125" customWidth="1"/>
    <col min="13531" max="13531" width="15.28515625" customWidth="1"/>
    <col min="13532" max="13532" width="17.85546875" customWidth="1"/>
    <col min="13533" max="13533" width="36.28515625" bestFit="1" customWidth="1"/>
    <col min="13534" max="13534" width="24.42578125" bestFit="1" customWidth="1"/>
    <col min="13535" max="13535" width="11.42578125" bestFit="1" customWidth="1"/>
    <col min="13536" max="13536" width="10.140625" bestFit="1" customWidth="1"/>
    <col min="13537" max="13537" width="28.7109375" bestFit="1" customWidth="1"/>
    <col min="13538" max="13538" width="28.42578125" bestFit="1" customWidth="1"/>
    <col min="13539" max="13539" width="34.28515625" bestFit="1" customWidth="1"/>
    <col min="13540" max="13540" width="13.7109375" bestFit="1" customWidth="1"/>
    <col min="13541" max="13541" width="22.7109375" bestFit="1" customWidth="1"/>
    <col min="13542" max="13542" width="41.28515625" bestFit="1" customWidth="1"/>
    <col min="13543" max="13543" width="19.85546875" bestFit="1" customWidth="1"/>
    <col min="13544" max="13544" width="24.28515625" bestFit="1" customWidth="1"/>
    <col min="13545" max="13545" width="62.140625" bestFit="1" customWidth="1"/>
    <col min="13546" max="13546" width="23.85546875" bestFit="1" customWidth="1"/>
    <col min="13547" max="13547" width="32.85546875" bestFit="1" customWidth="1"/>
    <col min="13548" max="13548" width="30.42578125" bestFit="1" customWidth="1"/>
    <col min="13549" max="13549" width="12.28515625" bestFit="1" customWidth="1"/>
    <col min="13550" max="13550" width="14.42578125" bestFit="1" customWidth="1"/>
    <col min="13551" max="13551" width="18.85546875" customWidth="1"/>
    <col min="13771" max="13771" width="11" bestFit="1" customWidth="1"/>
    <col min="13772" max="13772" width="18.42578125" bestFit="1" customWidth="1"/>
    <col min="13773" max="13773" width="22.28515625" bestFit="1" customWidth="1"/>
    <col min="13774" max="13774" width="52.7109375" bestFit="1" customWidth="1"/>
    <col min="13775" max="13775" width="11.42578125" bestFit="1" customWidth="1"/>
    <col min="13776" max="13776" width="20.140625" bestFit="1" customWidth="1"/>
    <col min="13777" max="13777" width="25.85546875" bestFit="1" customWidth="1"/>
    <col min="13778" max="13778" width="23.85546875" bestFit="1" customWidth="1"/>
    <col min="13779" max="13779" width="22.42578125" customWidth="1"/>
    <col min="13780" max="13780" width="10.85546875" bestFit="1" customWidth="1"/>
    <col min="13781" max="13781" width="8.42578125" bestFit="1" customWidth="1"/>
    <col min="13782" max="13782" width="15.7109375" bestFit="1" customWidth="1"/>
    <col min="13783" max="13783" width="19.28515625" bestFit="1" customWidth="1"/>
    <col min="13784" max="13784" width="28.140625" bestFit="1" customWidth="1"/>
    <col min="13785" max="13785" width="31.28515625" bestFit="1" customWidth="1"/>
    <col min="13786" max="13786" width="26.42578125" customWidth="1"/>
    <col min="13787" max="13787" width="15.28515625" customWidth="1"/>
    <col min="13788" max="13788" width="17.85546875" customWidth="1"/>
    <col min="13789" max="13789" width="36.28515625" bestFit="1" customWidth="1"/>
    <col min="13790" max="13790" width="24.42578125" bestFit="1" customWidth="1"/>
    <col min="13791" max="13791" width="11.42578125" bestFit="1" customWidth="1"/>
    <col min="13792" max="13792" width="10.140625" bestFit="1" customWidth="1"/>
    <col min="13793" max="13793" width="28.7109375" bestFit="1" customWidth="1"/>
    <col min="13794" max="13794" width="28.42578125" bestFit="1" customWidth="1"/>
    <col min="13795" max="13795" width="34.28515625" bestFit="1" customWidth="1"/>
    <col min="13796" max="13796" width="13.7109375" bestFit="1" customWidth="1"/>
    <col min="13797" max="13797" width="22.7109375" bestFit="1" customWidth="1"/>
    <col min="13798" max="13798" width="41.28515625" bestFit="1" customWidth="1"/>
    <col min="13799" max="13799" width="19.85546875" bestFit="1" customWidth="1"/>
    <col min="13800" max="13800" width="24.28515625" bestFit="1" customWidth="1"/>
    <col min="13801" max="13801" width="62.140625" bestFit="1" customWidth="1"/>
    <col min="13802" max="13802" width="23.85546875" bestFit="1" customWidth="1"/>
    <col min="13803" max="13803" width="32.85546875" bestFit="1" customWidth="1"/>
    <col min="13804" max="13804" width="30.42578125" bestFit="1" customWidth="1"/>
    <col min="13805" max="13805" width="12.28515625" bestFit="1" customWidth="1"/>
    <col min="13806" max="13806" width="14.42578125" bestFit="1" customWidth="1"/>
    <col min="13807" max="13807" width="18.85546875" customWidth="1"/>
    <col min="14027" max="14027" width="11" bestFit="1" customWidth="1"/>
    <col min="14028" max="14028" width="18.42578125" bestFit="1" customWidth="1"/>
    <col min="14029" max="14029" width="22.28515625" bestFit="1" customWidth="1"/>
    <col min="14030" max="14030" width="52.7109375" bestFit="1" customWidth="1"/>
    <col min="14031" max="14031" width="11.42578125" bestFit="1" customWidth="1"/>
    <col min="14032" max="14032" width="20.140625" bestFit="1" customWidth="1"/>
    <col min="14033" max="14033" width="25.85546875" bestFit="1" customWidth="1"/>
    <col min="14034" max="14034" width="23.85546875" bestFit="1" customWidth="1"/>
    <col min="14035" max="14035" width="22.42578125" customWidth="1"/>
    <col min="14036" max="14036" width="10.85546875" bestFit="1" customWidth="1"/>
    <col min="14037" max="14037" width="8.42578125" bestFit="1" customWidth="1"/>
    <col min="14038" max="14038" width="15.7109375" bestFit="1" customWidth="1"/>
    <col min="14039" max="14039" width="19.28515625" bestFit="1" customWidth="1"/>
    <col min="14040" max="14040" width="28.140625" bestFit="1" customWidth="1"/>
    <col min="14041" max="14041" width="31.28515625" bestFit="1" customWidth="1"/>
    <col min="14042" max="14042" width="26.42578125" customWidth="1"/>
    <col min="14043" max="14043" width="15.28515625" customWidth="1"/>
    <col min="14044" max="14044" width="17.85546875" customWidth="1"/>
    <col min="14045" max="14045" width="36.28515625" bestFit="1" customWidth="1"/>
    <col min="14046" max="14046" width="24.42578125" bestFit="1" customWidth="1"/>
    <col min="14047" max="14047" width="11.42578125" bestFit="1" customWidth="1"/>
    <col min="14048" max="14048" width="10.140625" bestFit="1" customWidth="1"/>
    <col min="14049" max="14049" width="28.7109375" bestFit="1" customWidth="1"/>
    <col min="14050" max="14050" width="28.42578125" bestFit="1" customWidth="1"/>
    <col min="14051" max="14051" width="34.28515625" bestFit="1" customWidth="1"/>
    <col min="14052" max="14052" width="13.7109375" bestFit="1" customWidth="1"/>
    <col min="14053" max="14053" width="22.7109375" bestFit="1" customWidth="1"/>
    <col min="14054" max="14054" width="41.28515625" bestFit="1" customWidth="1"/>
    <col min="14055" max="14055" width="19.85546875" bestFit="1" customWidth="1"/>
    <col min="14056" max="14056" width="24.28515625" bestFit="1" customWidth="1"/>
    <col min="14057" max="14057" width="62.140625" bestFit="1" customWidth="1"/>
    <col min="14058" max="14058" width="23.85546875" bestFit="1" customWidth="1"/>
    <col min="14059" max="14059" width="32.85546875" bestFit="1" customWidth="1"/>
    <col min="14060" max="14060" width="30.42578125" bestFit="1" customWidth="1"/>
    <col min="14061" max="14061" width="12.28515625" bestFit="1" customWidth="1"/>
    <col min="14062" max="14062" width="14.42578125" bestFit="1" customWidth="1"/>
    <col min="14063" max="14063" width="18.85546875" customWidth="1"/>
    <col min="14283" max="14283" width="11" bestFit="1" customWidth="1"/>
    <col min="14284" max="14284" width="18.42578125" bestFit="1" customWidth="1"/>
    <col min="14285" max="14285" width="22.28515625" bestFit="1" customWidth="1"/>
    <col min="14286" max="14286" width="52.7109375" bestFit="1" customWidth="1"/>
    <col min="14287" max="14287" width="11.42578125" bestFit="1" customWidth="1"/>
    <col min="14288" max="14288" width="20.140625" bestFit="1" customWidth="1"/>
    <col min="14289" max="14289" width="25.85546875" bestFit="1" customWidth="1"/>
    <col min="14290" max="14290" width="23.85546875" bestFit="1" customWidth="1"/>
    <col min="14291" max="14291" width="22.42578125" customWidth="1"/>
    <col min="14292" max="14292" width="10.85546875" bestFit="1" customWidth="1"/>
    <col min="14293" max="14293" width="8.42578125" bestFit="1" customWidth="1"/>
    <col min="14294" max="14294" width="15.7109375" bestFit="1" customWidth="1"/>
    <col min="14295" max="14295" width="19.28515625" bestFit="1" customWidth="1"/>
    <col min="14296" max="14296" width="28.140625" bestFit="1" customWidth="1"/>
    <col min="14297" max="14297" width="31.28515625" bestFit="1" customWidth="1"/>
    <col min="14298" max="14298" width="26.42578125" customWidth="1"/>
    <col min="14299" max="14299" width="15.28515625" customWidth="1"/>
    <col min="14300" max="14300" width="17.85546875" customWidth="1"/>
    <col min="14301" max="14301" width="36.28515625" bestFit="1" customWidth="1"/>
    <col min="14302" max="14302" width="24.42578125" bestFit="1" customWidth="1"/>
    <col min="14303" max="14303" width="11.42578125" bestFit="1" customWidth="1"/>
    <col min="14304" max="14304" width="10.140625" bestFit="1" customWidth="1"/>
    <col min="14305" max="14305" width="28.7109375" bestFit="1" customWidth="1"/>
    <col min="14306" max="14306" width="28.42578125" bestFit="1" customWidth="1"/>
    <col min="14307" max="14307" width="34.28515625" bestFit="1" customWidth="1"/>
    <col min="14308" max="14308" width="13.7109375" bestFit="1" customWidth="1"/>
    <col min="14309" max="14309" width="22.7109375" bestFit="1" customWidth="1"/>
    <col min="14310" max="14310" width="41.28515625" bestFit="1" customWidth="1"/>
    <col min="14311" max="14311" width="19.85546875" bestFit="1" customWidth="1"/>
    <col min="14312" max="14312" width="24.28515625" bestFit="1" customWidth="1"/>
    <col min="14313" max="14313" width="62.140625" bestFit="1" customWidth="1"/>
    <col min="14314" max="14314" width="23.85546875" bestFit="1" customWidth="1"/>
    <col min="14315" max="14315" width="32.85546875" bestFit="1" customWidth="1"/>
    <col min="14316" max="14316" width="30.42578125" bestFit="1" customWidth="1"/>
    <col min="14317" max="14317" width="12.28515625" bestFit="1" customWidth="1"/>
    <col min="14318" max="14318" width="14.42578125" bestFit="1" customWidth="1"/>
    <col min="14319" max="14319" width="18.85546875" customWidth="1"/>
    <col min="14539" max="14539" width="11" bestFit="1" customWidth="1"/>
    <col min="14540" max="14540" width="18.42578125" bestFit="1" customWidth="1"/>
    <col min="14541" max="14541" width="22.28515625" bestFit="1" customWidth="1"/>
    <col min="14542" max="14542" width="52.7109375" bestFit="1" customWidth="1"/>
    <col min="14543" max="14543" width="11.42578125" bestFit="1" customWidth="1"/>
    <col min="14544" max="14544" width="20.140625" bestFit="1" customWidth="1"/>
    <col min="14545" max="14545" width="25.85546875" bestFit="1" customWidth="1"/>
    <col min="14546" max="14546" width="23.85546875" bestFit="1" customWidth="1"/>
    <col min="14547" max="14547" width="22.42578125" customWidth="1"/>
    <col min="14548" max="14548" width="10.85546875" bestFit="1" customWidth="1"/>
    <col min="14549" max="14549" width="8.42578125" bestFit="1" customWidth="1"/>
    <col min="14550" max="14550" width="15.7109375" bestFit="1" customWidth="1"/>
    <col min="14551" max="14551" width="19.28515625" bestFit="1" customWidth="1"/>
    <col min="14552" max="14552" width="28.140625" bestFit="1" customWidth="1"/>
    <col min="14553" max="14553" width="31.28515625" bestFit="1" customWidth="1"/>
    <col min="14554" max="14554" width="26.42578125" customWidth="1"/>
    <col min="14555" max="14555" width="15.28515625" customWidth="1"/>
    <col min="14556" max="14556" width="17.85546875" customWidth="1"/>
    <col min="14557" max="14557" width="36.28515625" bestFit="1" customWidth="1"/>
    <col min="14558" max="14558" width="24.42578125" bestFit="1" customWidth="1"/>
    <col min="14559" max="14559" width="11.42578125" bestFit="1" customWidth="1"/>
    <col min="14560" max="14560" width="10.140625" bestFit="1" customWidth="1"/>
    <col min="14561" max="14561" width="28.7109375" bestFit="1" customWidth="1"/>
    <col min="14562" max="14562" width="28.42578125" bestFit="1" customWidth="1"/>
    <col min="14563" max="14563" width="34.28515625" bestFit="1" customWidth="1"/>
    <col min="14564" max="14564" width="13.7109375" bestFit="1" customWidth="1"/>
    <col min="14565" max="14565" width="22.7109375" bestFit="1" customWidth="1"/>
    <col min="14566" max="14566" width="41.28515625" bestFit="1" customWidth="1"/>
    <col min="14567" max="14567" width="19.85546875" bestFit="1" customWidth="1"/>
    <col min="14568" max="14568" width="24.28515625" bestFit="1" customWidth="1"/>
    <col min="14569" max="14569" width="62.140625" bestFit="1" customWidth="1"/>
    <col min="14570" max="14570" width="23.85546875" bestFit="1" customWidth="1"/>
    <col min="14571" max="14571" width="32.85546875" bestFit="1" customWidth="1"/>
    <col min="14572" max="14572" width="30.42578125" bestFit="1" customWidth="1"/>
    <col min="14573" max="14573" width="12.28515625" bestFit="1" customWidth="1"/>
    <col min="14574" max="14574" width="14.42578125" bestFit="1" customWidth="1"/>
    <col min="14575" max="14575" width="18.85546875" customWidth="1"/>
    <col min="14795" max="14795" width="11" bestFit="1" customWidth="1"/>
    <col min="14796" max="14796" width="18.42578125" bestFit="1" customWidth="1"/>
    <col min="14797" max="14797" width="22.28515625" bestFit="1" customWidth="1"/>
    <col min="14798" max="14798" width="52.7109375" bestFit="1" customWidth="1"/>
    <col min="14799" max="14799" width="11.42578125" bestFit="1" customWidth="1"/>
    <col min="14800" max="14800" width="20.140625" bestFit="1" customWidth="1"/>
    <col min="14801" max="14801" width="25.85546875" bestFit="1" customWidth="1"/>
    <col min="14802" max="14802" width="23.85546875" bestFit="1" customWidth="1"/>
    <col min="14803" max="14803" width="22.42578125" customWidth="1"/>
    <col min="14804" max="14804" width="10.85546875" bestFit="1" customWidth="1"/>
    <col min="14805" max="14805" width="8.42578125" bestFit="1" customWidth="1"/>
    <col min="14806" max="14806" width="15.7109375" bestFit="1" customWidth="1"/>
    <col min="14807" max="14807" width="19.28515625" bestFit="1" customWidth="1"/>
    <col min="14808" max="14808" width="28.140625" bestFit="1" customWidth="1"/>
    <col min="14809" max="14809" width="31.28515625" bestFit="1" customWidth="1"/>
    <col min="14810" max="14810" width="26.42578125" customWidth="1"/>
    <col min="14811" max="14811" width="15.28515625" customWidth="1"/>
    <col min="14812" max="14812" width="17.85546875" customWidth="1"/>
    <col min="14813" max="14813" width="36.28515625" bestFit="1" customWidth="1"/>
    <col min="14814" max="14814" width="24.42578125" bestFit="1" customWidth="1"/>
    <col min="14815" max="14815" width="11.42578125" bestFit="1" customWidth="1"/>
    <col min="14816" max="14816" width="10.140625" bestFit="1" customWidth="1"/>
    <col min="14817" max="14817" width="28.7109375" bestFit="1" customWidth="1"/>
    <col min="14818" max="14818" width="28.42578125" bestFit="1" customWidth="1"/>
    <col min="14819" max="14819" width="34.28515625" bestFit="1" customWidth="1"/>
    <col min="14820" max="14820" width="13.7109375" bestFit="1" customWidth="1"/>
    <col min="14821" max="14821" width="22.7109375" bestFit="1" customWidth="1"/>
    <col min="14822" max="14822" width="41.28515625" bestFit="1" customWidth="1"/>
    <col min="14823" max="14823" width="19.85546875" bestFit="1" customWidth="1"/>
    <col min="14824" max="14824" width="24.28515625" bestFit="1" customWidth="1"/>
    <col min="14825" max="14825" width="62.140625" bestFit="1" customWidth="1"/>
    <col min="14826" max="14826" width="23.85546875" bestFit="1" customWidth="1"/>
    <col min="14827" max="14827" width="32.85546875" bestFit="1" customWidth="1"/>
    <col min="14828" max="14828" width="30.42578125" bestFit="1" customWidth="1"/>
    <col min="14829" max="14829" width="12.28515625" bestFit="1" customWidth="1"/>
    <col min="14830" max="14830" width="14.42578125" bestFit="1" customWidth="1"/>
    <col min="14831" max="14831" width="18.85546875" customWidth="1"/>
    <col min="15051" max="15051" width="11" bestFit="1" customWidth="1"/>
    <col min="15052" max="15052" width="18.42578125" bestFit="1" customWidth="1"/>
    <col min="15053" max="15053" width="22.28515625" bestFit="1" customWidth="1"/>
    <col min="15054" max="15054" width="52.7109375" bestFit="1" customWidth="1"/>
    <col min="15055" max="15055" width="11.42578125" bestFit="1" customWidth="1"/>
    <col min="15056" max="15056" width="20.140625" bestFit="1" customWidth="1"/>
    <col min="15057" max="15057" width="25.85546875" bestFit="1" customWidth="1"/>
    <col min="15058" max="15058" width="23.85546875" bestFit="1" customWidth="1"/>
    <col min="15059" max="15059" width="22.42578125" customWidth="1"/>
    <col min="15060" max="15060" width="10.85546875" bestFit="1" customWidth="1"/>
    <col min="15061" max="15061" width="8.42578125" bestFit="1" customWidth="1"/>
    <col min="15062" max="15062" width="15.7109375" bestFit="1" customWidth="1"/>
    <col min="15063" max="15063" width="19.28515625" bestFit="1" customWidth="1"/>
    <col min="15064" max="15064" width="28.140625" bestFit="1" customWidth="1"/>
    <col min="15065" max="15065" width="31.28515625" bestFit="1" customWidth="1"/>
    <col min="15066" max="15066" width="26.42578125" customWidth="1"/>
    <col min="15067" max="15067" width="15.28515625" customWidth="1"/>
    <col min="15068" max="15068" width="17.85546875" customWidth="1"/>
    <col min="15069" max="15069" width="36.28515625" bestFit="1" customWidth="1"/>
    <col min="15070" max="15070" width="24.42578125" bestFit="1" customWidth="1"/>
    <col min="15071" max="15071" width="11.42578125" bestFit="1" customWidth="1"/>
    <col min="15072" max="15072" width="10.140625" bestFit="1" customWidth="1"/>
    <col min="15073" max="15073" width="28.7109375" bestFit="1" customWidth="1"/>
    <col min="15074" max="15074" width="28.42578125" bestFit="1" customWidth="1"/>
    <col min="15075" max="15075" width="34.28515625" bestFit="1" customWidth="1"/>
    <col min="15076" max="15076" width="13.7109375" bestFit="1" customWidth="1"/>
    <col min="15077" max="15077" width="22.7109375" bestFit="1" customWidth="1"/>
    <col min="15078" max="15078" width="41.28515625" bestFit="1" customWidth="1"/>
    <col min="15079" max="15079" width="19.85546875" bestFit="1" customWidth="1"/>
    <col min="15080" max="15080" width="24.28515625" bestFit="1" customWidth="1"/>
    <col min="15081" max="15081" width="62.140625" bestFit="1" customWidth="1"/>
    <col min="15082" max="15082" width="23.85546875" bestFit="1" customWidth="1"/>
    <col min="15083" max="15083" width="32.85546875" bestFit="1" customWidth="1"/>
    <col min="15084" max="15084" width="30.42578125" bestFit="1" customWidth="1"/>
    <col min="15085" max="15085" width="12.28515625" bestFit="1" customWidth="1"/>
    <col min="15086" max="15086" width="14.42578125" bestFit="1" customWidth="1"/>
    <col min="15087" max="15087" width="18.85546875" customWidth="1"/>
    <col min="15307" max="15307" width="11" bestFit="1" customWidth="1"/>
    <col min="15308" max="15308" width="18.42578125" bestFit="1" customWidth="1"/>
    <col min="15309" max="15309" width="22.28515625" bestFit="1" customWidth="1"/>
    <col min="15310" max="15310" width="52.7109375" bestFit="1" customWidth="1"/>
    <col min="15311" max="15311" width="11.42578125" bestFit="1" customWidth="1"/>
    <col min="15312" max="15312" width="20.140625" bestFit="1" customWidth="1"/>
    <col min="15313" max="15313" width="25.85546875" bestFit="1" customWidth="1"/>
    <col min="15314" max="15314" width="23.85546875" bestFit="1" customWidth="1"/>
    <col min="15315" max="15315" width="22.42578125" customWidth="1"/>
    <col min="15316" max="15316" width="10.85546875" bestFit="1" customWidth="1"/>
    <col min="15317" max="15317" width="8.42578125" bestFit="1" customWidth="1"/>
    <col min="15318" max="15318" width="15.7109375" bestFit="1" customWidth="1"/>
    <col min="15319" max="15319" width="19.28515625" bestFit="1" customWidth="1"/>
    <col min="15320" max="15320" width="28.140625" bestFit="1" customWidth="1"/>
    <col min="15321" max="15321" width="31.28515625" bestFit="1" customWidth="1"/>
    <col min="15322" max="15322" width="26.42578125" customWidth="1"/>
    <col min="15323" max="15323" width="15.28515625" customWidth="1"/>
    <col min="15324" max="15324" width="17.85546875" customWidth="1"/>
    <col min="15325" max="15325" width="36.28515625" bestFit="1" customWidth="1"/>
    <col min="15326" max="15326" width="24.42578125" bestFit="1" customWidth="1"/>
    <col min="15327" max="15327" width="11.42578125" bestFit="1" customWidth="1"/>
    <col min="15328" max="15328" width="10.140625" bestFit="1" customWidth="1"/>
    <col min="15329" max="15329" width="28.7109375" bestFit="1" customWidth="1"/>
    <col min="15330" max="15330" width="28.42578125" bestFit="1" customWidth="1"/>
    <col min="15331" max="15331" width="34.28515625" bestFit="1" customWidth="1"/>
    <col min="15332" max="15332" width="13.7109375" bestFit="1" customWidth="1"/>
    <col min="15333" max="15333" width="22.7109375" bestFit="1" customWidth="1"/>
    <col min="15334" max="15334" width="41.28515625" bestFit="1" customWidth="1"/>
    <col min="15335" max="15335" width="19.85546875" bestFit="1" customWidth="1"/>
    <col min="15336" max="15336" width="24.28515625" bestFit="1" customWidth="1"/>
    <col min="15337" max="15337" width="62.140625" bestFit="1" customWidth="1"/>
    <col min="15338" max="15338" width="23.85546875" bestFit="1" customWidth="1"/>
    <col min="15339" max="15339" width="32.85546875" bestFit="1" customWidth="1"/>
    <col min="15340" max="15340" width="30.42578125" bestFit="1" customWidth="1"/>
    <col min="15341" max="15341" width="12.28515625" bestFit="1" customWidth="1"/>
    <col min="15342" max="15342" width="14.42578125" bestFit="1" customWidth="1"/>
    <col min="15343" max="15343" width="18.85546875" customWidth="1"/>
    <col min="15563" max="15563" width="11" bestFit="1" customWidth="1"/>
    <col min="15564" max="15564" width="18.42578125" bestFit="1" customWidth="1"/>
    <col min="15565" max="15565" width="22.28515625" bestFit="1" customWidth="1"/>
    <col min="15566" max="15566" width="52.7109375" bestFit="1" customWidth="1"/>
    <col min="15567" max="15567" width="11.42578125" bestFit="1" customWidth="1"/>
    <col min="15568" max="15568" width="20.140625" bestFit="1" customWidth="1"/>
    <col min="15569" max="15569" width="25.85546875" bestFit="1" customWidth="1"/>
    <col min="15570" max="15570" width="23.85546875" bestFit="1" customWidth="1"/>
    <col min="15571" max="15571" width="22.42578125" customWidth="1"/>
    <col min="15572" max="15572" width="10.85546875" bestFit="1" customWidth="1"/>
    <col min="15573" max="15573" width="8.42578125" bestFit="1" customWidth="1"/>
    <col min="15574" max="15574" width="15.7109375" bestFit="1" customWidth="1"/>
    <col min="15575" max="15575" width="19.28515625" bestFit="1" customWidth="1"/>
    <col min="15576" max="15576" width="28.140625" bestFit="1" customWidth="1"/>
    <col min="15577" max="15577" width="31.28515625" bestFit="1" customWidth="1"/>
    <col min="15578" max="15578" width="26.42578125" customWidth="1"/>
    <col min="15579" max="15579" width="15.28515625" customWidth="1"/>
    <col min="15580" max="15580" width="17.85546875" customWidth="1"/>
    <col min="15581" max="15581" width="36.28515625" bestFit="1" customWidth="1"/>
    <col min="15582" max="15582" width="24.42578125" bestFit="1" customWidth="1"/>
    <col min="15583" max="15583" width="11.42578125" bestFit="1" customWidth="1"/>
    <col min="15584" max="15584" width="10.140625" bestFit="1" customWidth="1"/>
    <col min="15585" max="15585" width="28.7109375" bestFit="1" customWidth="1"/>
    <col min="15586" max="15586" width="28.42578125" bestFit="1" customWidth="1"/>
    <col min="15587" max="15587" width="34.28515625" bestFit="1" customWidth="1"/>
    <col min="15588" max="15588" width="13.7109375" bestFit="1" customWidth="1"/>
    <col min="15589" max="15589" width="22.7109375" bestFit="1" customWidth="1"/>
    <col min="15590" max="15590" width="41.28515625" bestFit="1" customWidth="1"/>
    <col min="15591" max="15591" width="19.85546875" bestFit="1" customWidth="1"/>
    <col min="15592" max="15592" width="24.28515625" bestFit="1" customWidth="1"/>
    <col min="15593" max="15593" width="62.140625" bestFit="1" customWidth="1"/>
    <col min="15594" max="15594" width="23.85546875" bestFit="1" customWidth="1"/>
    <col min="15595" max="15595" width="32.85546875" bestFit="1" customWidth="1"/>
    <col min="15596" max="15596" width="30.42578125" bestFit="1" customWidth="1"/>
    <col min="15597" max="15597" width="12.28515625" bestFit="1" customWidth="1"/>
    <col min="15598" max="15598" width="14.42578125" bestFit="1" customWidth="1"/>
    <col min="15599" max="15599" width="18.85546875" customWidth="1"/>
    <col min="15819" max="15819" width="11" bestFit="1" customWidth="1"/>
    <col min="15820" max="15820" width="18.42578125" bestFit="1" customWidth="1"/>
    <col min="15821" max="15821" width="22.28515625" bestFit="1" customWidth="1"/>
    <col min="15822" max="15822" width="52.7109375" bestFit="1" customWidth="1"/>
    <col min="15823" max="15823" width="11.42578125" bestFit="1" customWidth="1"/>
    <col min="15824" max="15824" width="20.140625" bestFit="1" customWidth="1"/>
    <col min="15825" max="15825" width="25.85546875" bestFit="1" customWidth="1"/>
    <col min="15826" max="15826" width="23.85546875" bestFit="1" customWidth="1"/>
    <col min="15827" max="15827" width="22.42578125" customWidth="1"/>
    <col min="15828" max="15828" width="10.85546875" bestFit="1" customWidth="1"/>
    <col min="15829" max="15829" width="8.42578125" bestFit="1" customWidth="1"/>
    <col min="15830" max="15830" width="15.7109375" bestFit="1" customWidth="1"/>
    <col min="15831" max="15831" width="19.28515625" bestFit="1" customWidth="1"/>
    <col min="15832" max="15832" width="28.140625" bestFit="1" customWidth="1"/>
    <col min="15833" max="15833" width="31.28515625" bestFit="1" customWidth="1"/>
    <col min="15834" max="15834" width="26.42578125" customWidth="1"/>
    <col min="15835" max="15835" width="15.28515625" customWidth="1"/>
    <col min="15836" max="15836" width="17.85546875" customWidth="1"/>
    <col min="15837" max="15837" width="36.28515625" bestFit="1" customWidth="1"/>
    <col min="15838" max="15838" width="24.42578125" bestFit="1" customWidth="1"/>
    <col min="15839" max="15839" width="11.42578125" bestFit="1" customWidth="1"/>
    <col min="15840" max="15840" width="10.140625" bestFit="1" customWidth="1"/>
    <col min="15841" max="15841" width="28.7109375" bestFit="1" customWidth="1"/>
    <col min="15842" max="15842" width="28.42578125" bestFit="1" customWidth="1"/>
    <col min="15843" max="15843" width="34.28515625" bestFit="1" customWidth="1"/>
    <col min="15844" max="15844" width="13.7109375" bestFit="1" customWidth="1"/>
    <col min="15845" max="15845" width="22.7109375" bestFit="1" customWidth="1"/>
    <col min="15846" max="15846" width="41.28515625" bestFit="1" customWidth="1"/>
    <col min="15847" max="15847" width="19.85546875" bestFit="1" customWidth="1"/>
    <col min="15848" max="15848" width="24.28515625" bestFit="1" customWidth="1"/>
    <col min="15849" max="15849" width="62.140625" bestFit="1" customWidth="1"/>
    <col min="15850" max="15850" width="23.85546875" bestFit="1" customWidth="1"/>
    <col min="15851" max="15851" width="32.85546875" bestFit="1" customWidth="1"/>
    <col min="15852" max="15852" width="30.42578125" bestFit="1" customWidth="1"/>
    <col min="15853" max="15853" width="12.28515625" bestFit="1" customWidth="1"/>
    <col min="15854" max="15854" width="14.42578125" bestFit="1" customWidth="1"/>
    <col min="15855" max="15855" width="18.85546875" customWidth="1"/>
    <col min="16075" max="16075" width="11" bestFit="1" customWidth="1"/>
    <col min="16076" max="16076" width="18.42578125" bestFit="1" customWidth="1"/>
    <col min="16077" max="16077" width="22.28515625" bestFit="1" customWidth="1"/>
    <col min="16078" max="16078" width="52.7109375" bestFit="1" customWidth="1"/>
    <col min="16079" max="16079" width="11.42578125" bestFit="1" customWidth="1"/>
    <col min="16080" max="16080" width="20.140625" bestFit="1" customWidth="1"/>
    <col min="16081" max="16081" width="25.85546875" bestFit="1" customWidth="1"/>
    <col min="16082" max="16082" width="23.85546875" bestFit="1" customWidth="1"/>
    <col min="16083" max="16083" width="22.42578125" customWidth="1"/>
    <col min="16084" max="16084" width="10.85546875" bestFit="1" customWidth="1"/>
    <col min="16085" max="16085" width="8.42578125" bestFit="1" customWidth="1"/>
    <col min="16086" max="16086" width="15.7109375" bestFit="1" customWidth="1"/>
    <col min="16087" max="16087" width="19.28515625" bestFit="1" customWidth="1"/>
    <col min="16088" max="16088" width="28.140625" bestFit="1" customWidth="1"/>
    <col min="16089" max="16089" width="31.28515625" bestFit="1" customWidth="1"/>
    <col min="16090" max="16090" width="26.42578125" customWidth="1"/>
    <col min="16091" max="16091" width="15.28515625" customWidth="1"/>
    <col min="16092" max="16092" width="17.85546875" customWidth="1"/>
    <col min="16093" max="16093" width="36.28515625" bestFit="1" customWidth="1"/>
    <col min="16094" max="16094" width="24.42578125" bestFit="1" customWidth="1"/>
    <col min="16095" max="16095" width="11.42578125" bestFit="1" customWidth="1"/>
    <col min="16096" max="16096" width="10.140625" bestFit="1" customWidth="1"/>
    <col min="16097" max="16097" width="28.7109375" bestFit="1" customWidth="1"/>
    <col min="16098" max="16098" width="28.42578125" bestFit="1" customWidth="1"/>
    <col min="16099" max="16099" width="34.28515625" bestFit="1" customWidth="1"/>
    <col min="16100" max="16100" width="13.7109375" bestFit="1" customWidth="1"/>
    <col min="16101" max="16101" width="22.7109375" bestFit="1" customWidth="1"/>
    <col min="16102" max="16102" width="41.28515625" bestFit="1" customWidth="1"/>
    <col min="16103" max="16103" width="19.85546875" bestFit="1" customWidth="1"/>
    <col min="16104" max="16104" width="24.28515625" bestFit="1" customWidth="1"/>
    <col min="16105" max="16105" width="62.140625" bestFit="1" customWidth="1"/>
    <col min="16106" max="16106" width="23.85546875" bestFit="1" customWidth="1"/>
    <col min="16107" max="16107" width="32.85546875" bestFit="1" customWidth="1"/>
    <col min="16108" max="16108" width="30.42578125" bestFit="1" customWidth="1"/>
    <col min="16109" max="16109" width="12.28515625" bestFit="1" customWidth="1"/>
    <col min="16110" max="16110" width="14.42578125" bestFit="1" customWidth="1"/>
    <col min="16111" max="16111" width="18.85546875" customWidth="1"/>
  </cols>
  <sheetData>
    <row r="1" spans="1:95" ht="16.149999999999999" thickBot="1">
      <c r="A1" s="36" t="s">
        <v>609</v>
      </c>
      <c r="B1" s="24"/>
      <c r="C1" s="37" t="s">
        <v>26</v>
      </c>
      <c r="D1" s="24"/>
      <c r="E1" s="24"/>
      <c r="F1" s="24"/>
      <c r="G1" s="38"/>
      <c r="H1" s="37" t="s">
        <v>610</v>
      </c>
      <c r="I1" s="24"/>
      <c r="J1" s="24"/>
      <c r="K1" s="24"/>
      <c r="L1" s="24"/>
      <c r="M1" s="24"/>
      <c r="N1" s="24"/>
      <c r="O1" s="24"/>
      <c r="P1" s="24"/>
      <c r="Q1" s="39"/>
      <c r="R1" s="40"/>
      <c r="S1" s="41"/>
      <c r="T1" s="42" t="s">
        <v>611</v>
      </c>
      <c r="U1" s="41"/>
      <c r="V1" s="41"/>
      <c r="W1" s="41"/>
      <c r="X1" s="41"/>
      <c r="Y1" s="41"/>
      <c r="Z1" s="43"/>
      <c r="AA1" s="44" t="s">
        <v>612</v>
      </c>
      <c r="AB1" s="41"/>
      <c r="AC1" s="41"/>
      <c r="AD1" s="41"/>
      <c r="AE1" s="41"/>
      <c r="AF1" s="41"/>
      <c r="AG1" s="41"/>
      <c r="AH1" s="41"/>
      <c r="AI1" s="41"/>
      <c r="AJ1" s="39"/>
    </row>
    <row r="2" spans="1:95" ht="17.25" thickBot="1">
      <c r="A2" s="3"/>
      <c r="B2" s="45" t="s">
        <v>613</v>
      </c>
      <c r="C2" s="24"/>
      <c r="D2" s="46"/>
      <c r="E2" s="46"/>
      <c r="F2" s="46"/>
      <c r="G2" s="47"/>
      <c r="H2" s="24"/>
      <c r="I2" s="48" t="s">
        <v>614</v>
      </c>
      <c r="J2" s="49"/>
      <c r="K2" s="49"/>
      <c r="L2" s="50"/>
      <c r="M2" s="51"/>
      <c r="N2" s="51"/>
      <c r="O2" s="51"/>
      <c r="P2" s="24"/>
      <c r="Q2" s="52"/>
      <c r="R2" s="53"/>
      <c r="S2" s="54" t="s">
        <v>615</v>
      </c>
      <c r="T2" s="54"/>
      <c r="U2" s="55"/>
      <c r="V2" s="56"/>
      <c r="W2" s="56"/>
      <c r="X2" s="56"/>
      <c r="Y2" s="56"/>
      <c r="Z2" s="57"/>
      <c r="AA2" s="56"/>
      <c r="AB2" s="56"/>
      <c r="AC2" s="56"/>
      <c r="AD2" s="56"/>
      <c r="AE2" s="56"/>
      <c r="AF2" s="56"/>
      <c r="AG2" s="56"/>
      <c r="AH2" s="58"/>
      <c r="AI2" s="58"/>
      <c r="AJ2" s="52"/>
    </row>
    <row r="3" spans="1:95" ht="16.149999999999999" thickBot="1">
      <c r="A3" s="59" t="s">
        <v>616</v>
      </c>
      <c r="B3" s="60"/>
      <c r="C3" s="227" t="s">
        <v>617</v>
      </c>
      <c r="D3" s="61" t="s">
        <v>618</v>
      </c>
      <c r="E3" s="228" t="s">
        <v>29</v>
      </c>
      <c r="F3" s="229" t="s">
        <v>619</v>
      </c>
      <c r="G3" s="62" t="s">
        <v>620</v>
      </c>
      <c r="H3" s="104" t="s">
        <v>621</v>
      </c>
      <c r="I3" s="63" t="s">
        <v>622</v>
      </c>
      <c r="J3" s="64" t="s">
        <v>194</v>
      </c>
      <c r="K3" s="65" t="s">
        <v>382</v>
      </c>
      <c r="L3" s="66" t="s">
        <v>623</v>
      </c>
      <c r="M3" s="230" t="s">
        <v>624</v>
      </c>
      <c r="N3" s="67" t="s">
        <v>625</v>
      </c>
      <c r="O3" s="67" t="s">
        <v>626</v>
      </c>
      <c r="P3" s="68" t="s">
        <v>627</v>
      </c>
      <c r="Q3" s="69" t="s">
        <v>628</v>
      </c>
      <c r="R3" s="70" t="s">
        <v>629</v>
      </c>
      <c r="S3" s="231" t="s">
        <v>630</v>
      </c>
      <c r="T3" s="232" t="s">
        <v>99</v>
      </c>
      <c r="U3" s="233" t="s">
        <v>100</v>
      </c>
      <c r="V3" s="234" t="s">
        <v>102</v>
      </c>
      <c r="W3" s="109" t="s">
        <v>631</v>
      </c>
      <c r="X3" s="235" t="s">
        <v>632</v>
      </c>
      <c r="Y3" s="71" t="s">
        <v>633</v>
      </c>
      <c r="Z3" s="236" t="s">
        <v>634</v>
      </c>
      <c r="AA3" s="237" t="s">
        <v>635</v>
      </c>
      <c r="AB3" s="238" t="s">
        <v>636</v>
      </c>
      <c r="AC3" s="229" t="s">
        <v>637</v>
      </c>
      <c r="AD3" s="228" t="s">
        <v>327</v>
      </c>
      <c r="AE3" s="233" t="s">
        <v>638</v>
      </c>
      <c r="AF3" s="239" t="s">
        <v>639</v>
      </c>
      <c r="AG3" s="72" t="s">
        <v>640</v>
      </c>
      <c r="AH3" s="73" t="s">
        <v>641</v>
      </c>
      <c r="AI3" s="69" t="s">
        <v>628</v>
      </c>
      <c r="AJ3" s="70" t="s">
        <v>628</v>
      </c>
    </row>
    <row r="4" spans="1:95" ht="15.75" thickBot="1">
      <c r="A4" s="266" t="s">
        <v>642</v>
      </c>
      <c r="B4" s="267"/>
      <c r="D4" s="74"/>
      <c r="E4" s="74"/>
      <c r="F4" s="74"/>
      <c r="G4" s="75"/>
      <c r="H4" s="74"/>
      <c r="I4" s="74"/>
      <c r="J4" s="74"/>
      <c r="K4" s="74"/>
      <c r="M4" s="74"/>
      <c r="N4" s="74"/>
      <c r="O4" s="74"/>
      <c r="P4" s="76"/>
      <c r="Q4" s="77"/>
      <c r="R4" s="76"/>
      <c r="S4" s="8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6"/>
      <c r="AI4" s="77"/>
    </row>
    <row r="5" spans="1:95" ht="15.75" thickBot="1">
      <c r="A5" s="268" t="s">
        <v>643</v>
      </c>
      <c r="B5" s="269"/>
      <c r="D5" s="74"/>
      <c r="E5" s="74"/>
      <c r="F5" s="74"/>
      <c r="G5" s="75"/>
      <c r="H5" s="74"/>
      <c r="I5" s="74"/>
      <c r="J5" s="74"/>
      <c r="K5" s="74"/>
      <c r="M5" s="74"/>
      <c r="N5" s="74"/>
      <c r="O5" s="74"/>
      <c r="P5" s="76"/>
      <c r="Q5" s="77"/>
      <c r="R5" s="76"/>
      <c r="S5" s="8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6"/>
      <c r="AI5" s="77"/>
    </row>
    <row r="6" spans="1:95" ht="15.75">
      <c r="A6" s="3"/>
      <c r="B6" s="78" t="s">
        <v>644</v>
      </c>
      <c r="Q6" s="77"/>
      <c r="AI6" s="77"/>
    </row>
    <row r="7" spans="1:95" ht="15.75">
      <c r="A7" s="79"/>
      <c r="B7" s="8" t="s">
        <v>645</v>
      </c>
      <c r="C7" s="9">
        <f>Acadia!M24</f>
        <v>5081628</v>
      </c>
      <c r="D7" s="9">
        <f>Acadia!M25</f>
        <v>11701851</v>
      </c>
      <c r="E7" s="9"/>
      <c r="F7" s="9">
        <f>Acadia!M26+Acadia!M27+Acadia!M28+Acadia!M29</f>
        <v>2058961</v>
      </c>
      <c r="G7" s="9">
        <f>SUM(C7:F7)</f>
        <v>18842440</v>
      </c>
      <c r="H7" s="9"/>
      <c r="I7" s="9">
        <f>Acadia!M30</f>
        <v>438274</v>
      </c>
      <c r="J7" s="9"/>
      <c r="K7" s="9"/>
      <c r="L7" s="9">
        <f>Acadia!M34</f>
        <v>-525290</v>
      </c>
      <c r="M7" s="9">
        <f>Acadia!M31+Acadia!M32+Acadia!M33</f>
        <v>364088</v>
      </c>
      <c r="N7" s="9">
        <f>SUM(H7:M7)</f>
        <v>277072</v>
      </c>
      <c r="O7" s="9">
        <f>Acadia!J17+Acadia!K17+Acadia!L17</f>
        <v>3891691</v>
      </c>
      <c r="P7" s="9">
        <f>SUM(N7,G7,O7)</f>
        <v>23011203</v>
      </c>
      <c r="Q7" s="190" t="str">
        <f t="shared" ref="Q7:Q72" si="0">IF(P7=R7,"ok","check")</f>
        <v>ok</v>
      </c>
      <c r="R7" s="9">
        <f>Acadia!M36+O7</f>
        <v>23011203</v>
      </c>
      <c r="S7" s="9">
        <f>Acadia!I9</f>
        <v>-3475315</v>
      </c>
      <c r="T7" s="9"/>
      <c r="U7" s="9"/>
      <c r="V7" s="9"/>
      <c r="W7" s="9"/>
      <c r="X7" s="9"/>
      <c r="Y7" s="9">
        <f>SUM(S7:X7)</f>
        <v>-3475315</v>
      </c>
      <c r="Z7" s="9">
        <f>Acadia!I10</f>
        <v>-2252548</v>
      </c>
      <c r="AA7" s="9">
        <f>Acadia!I11</f>
        <v>-5747372</v>
      </c>
      <c r="AB7" s="9">
        <f>Acadia!I12</f>
        <v>-530123</v>
      </c>
      <c r="AC7" s="9">
        <f>Acadia!I13</f>
        <v>-7195864</v>
      </c>
      <c r="AD7" s="9">
        <f>Acadia!I14</f>
        <v>-279572</v>
      </c>
      <c r="AE7" s="9">
        <f>Acadia!I15</f>
        <v>-472119</v>
      </c>
      <c r="AF7" s="9"/>
      <c r="AG7" s="9">
        <f>SUM(Z7:AF7)</f>
        <v>-16477598</v>
      </c>
      <c r="AH7" s="9">
        <f>SUM(AG7,Y7)</f>
        <v>-19952913</v>
      </c>
      <c r="AI7" s="190" t="str">
        <f t="shared" ref="AI7:AI70" si="1">IF(AH7=AJ7,"ok","check")</f>
        <v>ok</v>
      </c>
      <c r="AJ7" s="9">
        <f>Acadia!I17</f>
        <v>-19952913</v>
      </c>
    </row>
    <row r="8" spans="1:95" s="194" customFormat="1" ht="15.75">
      <c r="A8" s="191"/>
      <c r="B8" s="192" t="s">
        <v>646</v>
      </c>
      <c r="C8" s="193">
        <f>Allen!M21</f>
        <v>2978127</v>
      </c>
      <c r="D8" s="193">
        <f>Allen!M22</f>
        <v>1915340</v>
      </c>
      <c r="E8" s="193"/>
      <c r="F8" s="193">
        <f>Allen!M24+Allen!M23</f>
        <v>1166799</v>
      </c>
      <c r="G8" s="193">
        <f>SUM(C8:F8)</f>
        <v>6060266</v>
      </c>
      <c r="H8" s="193">
        <f>Allen!M25</f>
        <v>177544</v>
      </c>
      <c r="I8" s="193"/>
      <c r="J8" s="193"/>
      <c r="K8" s="193"/>
      <c r="L8" s="193"/>
      <c r="M8" s="193">
        <f>Allen!M29+Allen!M30+Allen!M27+Allen!M26</f>
        <v>419068</v>
      </c>
      <c r="N8" s="9">
        <f t="shared" ref="N8:N70" si="2">SUM(H8:M8)</f>
        <v>596612</v>
      </c>
      <c r="O8" s="193">
        <f>Allen!J16+Allen!K16+Allen!L16</f>
        <v>1035419</v>
      </c>
      <c r="P8" s="193">
        <f>SUM(N8,G8,O8)</f>
        <v>7692297</v>
      </c>
      <c r="Q8" s="190" t="str">
        <f t="shared" si="0"/>
        <v>ok</v>
      </c>
      <c r="R8" s="193">
        <f>Allen!M32+O8</f>
        <v>7692297</v>
      </c>
      <c r="S8" s="193">
        <f>Allen!I9</f>
        <v>-1828189</v>
      </c>
      <c r="T8" s="193"/>
      <c r="U8" s="193"/>
      <c r="V8" s="193"/>
      <c r="W8" s="193"/>
      <c r="X8" s="193"/>
      <c r="Y8" s="193">
        <f>SUM(S8:X8)</f>
        <v>-1828189</v>
      </c>
      <c r="Z8" s="193">
        <f>Allen!I10</f>
        <v>-613949</v>
      </c>
      <c r="AA8" s="193">
        <f>Allen!I11</f>
        <v>-6291960</v>
      </c>
      <c r="AB8" s="193">
        <f>Allen!I12</f>
        <v>-322491</v>
      </c>
      <c r="AC8" s="193"/>
      <c r="AD8" s="193"/>
      <c r="AE8" s="193">
        <f>Allen!I14</f>
        <v>-5262</v>
      </c>
      <c r="AF8" s="240">
        <f>Allen!I13</f>
        <v>-516630</v>
      </c>
      <c r="AG8" s="193">
        <f>SUM(Z8:AF8)</f>
        <v>-7750292</v>
      </c>
      <c r="AH8" s="193">
        <f>SUM(AG8,Y8)</f>
        <v>-9578481</v>
      </c>
      <c r="AI8" s="190" t="str">
        <f t="shared" si="1"/>
        <v>ok</v>
      </c>
      <c r="AJ8" s="193">
        <f>Allen!I16</f>
        <v>-9578481</v>
      </c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</row>
    <row r="9" spans="1:95" ht="15.75">
      <c r="A9" s="3"/>
      <c r="B9" s="8" t="s">
        <v>647</v>
      </c>
      <c r="C9" s="9">
        <f>Ascension!M36</f>
        <v>26337905</v>
      </c>
      <c r="D9" s="9">
        <f>Ascension!M37</f>
        <v>47074455</v>
      </c>
      <c r="E9" s="9"/>
      <c r="F9" s="9">
        <f>Ascension!M38</f>
        <v>1831140</v>
      </c>
      <c r="G9" s="9">
        <f t="shared" ref="G9:G70" si="3">SUM(C9:F9)</f>
        <v>75243500</v>
      </c>
      <c r="H9" s="9"/>
      <c r="I9" s="9">
        <f>Ascension!M39</f>
        <v>673943</v>
      </c>
      <c r="J9" s="9"/>
      <c r="K9" s="9"/>
      <c r="L9" s="9">
        <f>Ascension!M42</f>
        <v>-1191000</v>
      </c>
      <c r="M9" s="9">
        <f>Ascension!M40+Ascension!M41</f>
        <v>835392</v>
      </c>
      <c r="N9" s="9">
        <f t="shared" si="2"/>
        <v>318335</v>
      </c>
      <c r="O9" s="9">
        <f>Ascension!J17+Ascension!K17+Ascension!L17</f>
        <v>16687147</v>
      </c>
      <c r="P9" s="9">
        <f>SUM(N9,G9,O9)</f>
        <v>92248982</v>
      </c>
      <c r="Q9" s="190" t="str">
        <f t="shared" si="0"/>
        <v>ok</v>
      </c>
      <c r="R9" s="9">
        <f>Ascension!M44+O9</f>
        <v>92248982</v>
      </c>
      <c r="S9" s="9">
        <f>Ascension!I9</f>
        <v>-14935768</v>
      </c>
      <c r="T9" s="9"/>
      <c r="U9" s="9"/>
      <c r="V9" s="9"/>
      <c r="W9" s="9"/>
      <c r="X9" s="9"/>
      <c r="Y9" s="9">
        <f t="shared" ref="Y9:Y70" si="4">SUM(S9:X9)</f>
        <v>-14935768</v>
      </c>
      <c r="Z9" s="9">
        <f>Ascension!I10</f>
        <v>-9548259</v>
      </c>
      <c r="AA9" s="9">
        <f>Ascension!I11+Ascension!I14</f>
        <v>-25162607</v>
      </c>
      <c r="AB9" s="9"/>
      <c r="AC9" s="9">
        <f>Ascension!I12</f>
        <v>-5709382</v>
      </c>
      <c r="AD9" s="9">
        <f>Ascension!I13</f>
        <v>-7695027</v>
      </c>
      <c r="AE9" s="9">
        <f>Ascension!I15</f>
        <v>-3644962</v>
      </c>
      <c r="AF9" s="9"/>
      <c r="AG9" s="9">
        <f t="shared" ref="AG9:AG70" si="5">SUM(Z9:AF9)</f>
        <v>-51760237</v>
      </c>
      <c r="AH9" s="9">
        <f>SUM(AG9,Y9)</f>
        <v>-66696005</v>
      </c>
      <c r="AI9" s="190" t="str">
        <f t="shared" si="1"/>
        <v>ok</v>
      </c>
      <c r="AJ9" s="9">
        <f>Ascension!I17</f>
        <v>-66696005</v>
      </c>
    </row>
    <row r="10" spans="1:95" s="194" customFormat="1" ht="15.75">
      <c r="A10" s="191"/>
      <c r="B10" s="192" t="s">
        <v>648</v>
      </c>
      <c r="C10" s="193">
        <f>Assumption!L35</f>
        <v>3578953</v>
      </c>
      <c r="D10" s="193">
        <f>Assumption!L36</f>
        <v>4938431</v>
      </c>
      <c r="E10" s="193"/>
      <c r="F10" s="193">
        <f>Assumption!L37</f>
        <v>962612</v>
      </c>
      <c r="G10" s="193">
        <f t="shared" si="3"/>
        <v>9479996</v>
      </c>
      <c r="H10" s="193"/>
      <c r="I10" s="193"/>
      <c r="J10" s="193"/>
      <c r="K10" s="193"/>
      <c r="L10" s="193"/>
      <c r="M10" s="193">
        <f>Assumption!L40+Assumption!L38</f>
        <v>1685853</v>
      </c>
      <c r="N10" s="9">
        <f t="shared" si="2"/>
        <v>1685853</v>
      </c>
      <c r="O10" s="193">
        <f>Assumption!J23+Assumption!K23</f>
        <v>7681586</v>
      </c>
      <c r="P10" s="193">
        <f t="shared" ref="P10:P70" si="6">SUM(N10,G10,O10)</f>
        <v>18847435</v>
      </c>
      <c r="Q10" s="190" t="str">
        <f t="shared" si="0"/>
        <v>ok</v>
      </c>
      <c r="R10" s="193">
        <f>Assumption!L42+O10</f>
        <v>18847435</v>
      </c>
      <c r="S10" s="193">
        <f>Assumption!I12</f>
        <v>-41555</v>
      </c>
      <c r="T10" s="193">
        <f>Assumption!I10</f>
        <v>-500036</v>
      </c>
      <c r="U10" s="193">
        <f>Assumption!I11</f>
        <v>-973086</v>
      </c>
      <c r="V10" s="193">
        <f>Assumption!I13</f>
        <v>-47260</v>
      </c>
      <c r="W10" s="193">
        <f>Assumption!I14</f>
        <v>-341977</v>
      </c>
      <c r="X10" s="193">
        <f>Assumption!I15</f>
        <v>-149648</v>
      </c>
      <c r="Y10" s="193">
        <f t="shared" si="4"/>
        <v>-2053562</v>
      </c>
      <c r="Z10" s="193">
        <f>Assumption!I16</f>
        <v>-3129680</v>
      </c>
      <c r="AA10" s="193">
        <f>Assumption!I17</f>
        <v>-5670444</v>
      </c>
      <c r="AB10" s="193">
        <f>Assumption!I20</f>
        <v>-179461</v>
      </c>
      <c r="AC10" s="193">
        <f>Assumption!I18</f>
        <v>-2903954</v>
      </c>
      <c r="AD10" s="193">
        <f>Assumption!I19</f>
        <v>-1221329</v>
      </c>
      <c r="AE10" s="193">
        <f>Assumption!I21</f>
        <v>-461</v>
      </c>
      <c r="AF10" s="193"/>
      <c r="AG10" s="193">
        <f t="shared" si="5"/>
        <v>-13105329</v>
      </c>
      <c r="AH10" s="193">
        <f t="shared" ref="AH10:AH70" si="7">SUM(AG10,Y10)</f>
        <v>-15158891</v>
      </c>
      <c r="AI10" s="190" t="str">
        <f t="shared" si="1"/>
        <v>ok</v>
      </c>
      <c r="AJ10" s="193">
        <f>Assumption!I23</f>
        <v>-15158891</v>
      </c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</row>
    <row r="11" spans="1:95" ht="15.75">
      <c r="A11" s="3"/>
      <c r="B11" s="8" t="s">
        <v>649</v>
      </c>
      <c r="C11" s="9">
        <f>Avoyelles!M23</f>
        <v>2033687</v>
      </c>
      <c r="D11" s="9">
        <f>Avoyelles!M24</f>
        <v>4481433</v>
      </c>
      <c r="E11" s="9"/>
      <c r="F11" s="9"/>
      <c r="G11" s="9">
        <f t="shared" si="3"/>
        <v>6515120</v>
      </c>
      <c r="H11" s="9">
        <f>Avoyelles!M26</f>
        <v>173216</v>
      </c>
      <c r="I11" s="9"/>
      <c r="J11" s="9">
        <f>Avoyelles!M28</f>
        <v>591608</v>
      </c>
      <c r="K11" s="9"/>
      <c r="L11" s="9"/>
      <c r="M11" s="9">
        <f>Avoyelles!M27+Avoyelles!M29+Avoyelles!M30+Avoyelles!M31</f>
        <v>637256</v>
      </c>
      <c r="N11" s="9">
        <f t="shared" si="2"/>
        <v>1402080</v>
      </c>
      <c r="O11" s="9">
        <f>Avoyelles!J16+Avoyelles!K16+Avoyelles!L16</f>
        <v>3140819</v>
      </c>
      <c r="P11" s="9">
        <f t="shared" si="6"/>
        <v>11058019</v>
      </c>
      <c r="Q11" s="190" t="str">
        <f t="shared" si="0"/>
        <v>ok</v>
      </c>
      <c r="R11" s="9">
        <f>Avoyelles!M33+O11</f>
        <v>11058019</v>
      </c>
      <c r="S11" s="12">
        <f>Avoyelles!I9</f>
        <v>-1799591</v>
      </c>
      <c r="T11" s="9"/>
      <c r="U11" s="9"/>
      <c r="V11" s="9"/>
      <c r="W11" s="9"/>
      <c r="X11" s="9"/>
      <c r="Y11" s="9">
        <f t="shared" si="4"/>
        <v>-1799591</v>
      </c>
      <c r="Z11" s="9">
        <f>Avoyelles!I10</f>
        <v>-851197</v>
      </c>
      <c r="AA11" s="9">
        <f>Avoyelles!I11</f>
        <v>-4483547</v>
      </c>
      <c r="AB11" s="9">
        <f>Avoyelles!I14</f>
        <v>-99146</v>
      </c>
      <c r="AC11" s="9">
        <f>Avoyelles!I12</f>
        <v>-923688</v>
      </c>
      <c r="AD11" s="9">
        <f>Avoyelles!I13</f>
        <v>-649782</v>
      </c>
      <c r="AE11" s="9"/>
      <c r="AF11" s="9"/>
      <c r="AG11" s="9">
        <f t="shared" si="5"/>
        <v>-7007360</v>
      </c>
      <c r="AH11" s="9">
        <f t="shared" si="7"/>
        <v>-8806951</v>
      </c>
      <c r="AI11" s="190" t="str">
        <f t="shared" si="1"/>
        <v>ok</v>
      </c>
      <c r="AJ11" s="9">
        <f>Avoyelles!I16</f>
        <v>-8806951</v>
      </c>
    </row>
    <row r="12" spans="1:95" ht="15.75">
      <c r="A12" s="195"/>
      <c r="B12" s="192" t="s">
        <v>650</v>
      </c>
      <c r="C12" s="189">
        <f>Beauregard!M27</f>
        <v>5473137</v>
      </c>
      <c r="D12" s="189">
        <f>Beauregard!M29</f>
        <v>6529270</v>
      </c>
      <c r="E12" s="189"/>
      <c r="F12" s="189">
        <f>Beauregard!M31+Beauregard!M28</f>
        <v>1774404</v>
      </c>
      <c r="G12" s="189">
        <f t="shared" si="3"/>
        <v>13776811</v>
      </c>
      <c r="H12" s="189">
        <f>Beauregard!M30</f>
        <v>129957</v>
      </c>
      <c r="I12" s="189"/>
      <c r="J12" s="189"/>
      <c r="K12" s="189"/>
      <c r="L12" s="189"/>
      <c r="M12" s="189">
        <f>Beauregard!M32+Beauregard!M34+Beauregard!M35</f>
        <v>603505</v>
      </c>
      <c r="N12" s="9">
        <f t="shared" si="2"/>
        <v>733462</v>
      </c>
      <c r="O12" s="189">
        <f>Beauregard!J23+Beauregard!K23+Beauregard!L23</f>
        <v>2602434</v>
      </c>
      <c r="P12" s="189">
        <f t="shared" si="6"/>
        <v>17112707</v>
      </c>
      <c r="Q12" s="190" t="str">
        <f t="shared" si="0"/>
        <v>ok</v>
      </c>
      <c r="R12" s="189">
        <f>Beauregard!M37+O12</f>
        <v>17112707</v>
      </c>
      <c r="S12" s="194"/>
      <c r="T12" s="189">
        <f>Beauregard!I10</f>
        <v>-233073</v>
      </c>
      <c r="U12" s="189">
        <f>Beauregard!I11</f>
        <v>-1228208</v>
      </c>
      <c r="V12" s="189">
        <f>Beauregard!I12</f>
        <v>-73428</v>
      </c>
      <c r="W12" s="189">
        <f>Beauregard!I13</f>
        <v>-883767</v>
      </c>
      <c r="X12" s="189">
        <f>Beauregard!I14</f>
        <v>-641778</v>
      </c>
      <c r="Y12" s="189">
        <f t="shared" si="4"/>
        <v>-3060254</v>
      </c>
      <c r="Z12" s="189">
        <f>Beauregard!I15</f>
        <v>-1649102</v>
      </c>
      <c r="AA12" s="189">
        <f>Beauregard!I16</f>
        <v>-7046314</v>
      </c>
      <c r="AB12" s="189"/>
      <c r="AC12" s="189">
        <f>Beauregard!I17</f>
        <v>-531255</v>
      </c>
      <c r="AD12" s="189">
        <f>Beauregard!I18</f>
        <v>-1073277</v>
      </c>
      <c r="AE12" s="189">
        <f>Beauregard!I21</f>
        <v>-106427</v>
      </c>
      <c r="AF12" s="189">
        <f>Beauregard!I19+Beauregard!I20</f>
        <v>-1539400</v>
      </c>
      <c r="AG12" s="189">
        <f t="shared" ref="AG12:AG21" si="8">SUM(Z12:AF12)</f>
        <v>-11945775</v>
      </c>
      <c r="AH12" s="189">
        <f t="shared" si="7"/>
        <v>-15006029</v>
      </c>
      <c r="AI12" s="190" t="str">
        <f t="shared" si="1"/>
        <v>ok</v>
      </c>
      <c r="AJ12" s="189">
        <f>Beauregard!I23</f>
        <v>-15006029</v>
      </c>
    </row>
    <row r="13" spans="1:95" ht="15.75">
      <c r="A13" s="3"/>
      <c r="B13" s="8" t="s">
        <v>651</v>
      </c>
      <c r="C13" s="9">
        <f>Bienville!M23+Bienville!M22+Bienville!M21</f>
        <v>4730087</v>
      </c>
      <c r="D13" s="9">
        <f>Bienville!M24</f>
        <v>2259144</v>
      </c>
      <c r="E13" s="9"/>
      <c r="F13" s="9">
        <f>Bienville!M25</f>
        <v>32045</v>
      </c>
      <c r="G13" s="9">
        <f t="shared" si="3"/>
        <v>7021276</v>
      </c>
      <c r="H13" s="9"/>
      <c r="I13" s="9">
        <f>Bienville!M26</f>
        <v>1530570</v>
      </c>
      <c r="J13" s="9"/>
      <c r="K13" s="9"/>
      <c r="L13" s="9"/>
      <c r="M13" s="9">
        <f>Bienville!M27+Bienville!M28+Bienville!M29</f>
        <v>338064</v>
      </c>
      <c r="N13" s="9">
        <f t="shared" si="2"/>
        <v>1868634</v>
      </c>
      <c r="O13" s="9">
        <f>Bienville!J17+Bienville!K17+Bienville!L17</f>
        <v>1858005</v>
      </c>
      <c r="P13" s="9">
        <f t="shared" si="6"/>
        <v>10747915</v>
      </c>
      <c r="Q13" s="190" t="str">
        <f t="shared" si="0"/>
        <v>ok</v>
      </c>
      <c r="R13" s="9">
        <f>Bienville!M31+O13</f>
        <v>10747915</v>
      </c>
      <c r="S13" s="9">
        <f>Bienville!I9</f>
        <v>-2274040</v>
      </c>
      <c r="T13" s="9"/>
      <c r="U13" s="9"/>
      <c r="V13" s="9"/>
      <c r="W13" s="9"/>
      <c r="X13" s="9"/>
      <c r="Y13" s="9">
        <f t="shared" si="4"/>
        <v>-2274040</v>
      </c>
      <c r="Z13" s="9">
        <f>Bienville!I10</f>
        <v>-589526</v>
      </c>
      <c r="AA13" s="9">
        <f>Bienville!I11</f>
        <v>-6911006</v>
      </c>
      <c r="AB13" s="9">
        <f>Bienville!I14</f>
        <v>-380167</v>
      </c>
      <c r="AC13" s="9">
        <f>Bienville!I12</f>
        <v>-366113</v>
      </c>
      <c r="AD13" s="9"/>
      <c r="AE13" s="9">
        <f>Bienville!I15</f>
        <v>-409519</v>
      </c>
      <c r="AF13" s="9">
        <f>Bienville!I13</f>
        <v>-37414</v>
      </c>
      <c r="AG13" s="9">
        <f t="shared" si="8"/>
        <v>-8693745</v>
      </c>
      <c r="AH13" s="9">
        <f t="shared" si="7"/>
        <v>-10967785</v>
      </c>
      <c r="AI13" s="190" t="str">
        <f t="shared" si="1"/>
        <v>ok</v>
      </c>
      <c r="AJ13" s="9">
        <f>Bienville!I17</f>
        <v>-10967785</v>
      </c>
    </row>
    <row r="14" spans="1:95" s="194" customFormat="1" ht="15.75">
      <c r="A14" s="191"/>
      <c r="B14" s="192" t="s">
        <v>652</v>
      </c>
      <c r="C14" s="193">
        <f>Bossier!M35</f>
        <v>14172204</v>
      </c>
      <c r="D14" s="193">
        <f>Bossier!M36+Bossier!M37+Bossier!M38</f>
        <v>20219443</v>
      </c>
      <c r="E14" s="193"/>
      <c r="F14" s="193">
        <f>Bossier!M39</f>
        <v>1164826</v>
      </c>
      <c r="G14" s="193">
        <f t="shared" si="3"/>
        <v>35556473</v>
      </c>
      <c r="H14" s="193">
        <f>Bossier!M41</f>
        <v>650991</v>
      </c>
      <c r="I14" s="193"/>
      <c r="J14" s="193"/>
      <c r="K14" s="193"/>
      <c r="L14" s="193">
        <f>Bossier!M43</f>
        <v>161824</v>
      </c>
      <c r="M14" s="193">
        <f>Bossier!M40+Bossier!M42</f>
        <v>2602095</v>
      </c>
      <c r="N14" s="9">
        <f t="shared" si="2"/>
        <v>3414910</v>
      </c>
      <c r="O14" s="193">
        <f>Bossier!J24+Bossier!K24+Bossier!L24</f>
        <v>13828698</v>
      </c>
      <c r="P14" s="193">
        <f t="shared" si="6"/>
        <v>52800081</v>
      </c>
      <c r="Q14" s="190" t="str">
        <f t="shared" si="0"/>
        <v>check</v>
      </c>
      <c r="R14" s="193">
        <f>Bossier!M45+O14</f>
        <v>52520081</v>
      </c>
      <c r="S14" s="193"/>
      <c r="T14" s="193"/>
      <c r="U14" s="193"/>
      <c r="V14" s="193"/>
      <c r="W14" s="193"/>
      <c r="X14" s="193"/>
      <c r="Y14" s="193">
        <f t="shared" si="4"/>
        <v>0</v>
      </c>
      <c r="Z14" s="193"/>
      <c r="AA14" s="193"/>
      <c r="AB14" s="193"/>
      <c r="AC14" s="193"/>
      <c r="AD14" s="193"/>
      <c r="AE14" s="193"/>
      <c r="AF14" s="193"/>
      <c r="AG14" s="193">
        <f t="shared" si="8"/>
        <v>0</v>
      </c>
      <c r="AH14" s="193">
        <f t="shared" si="7"/>
        <v>0</v>
      </c>
      <c r="AI14" s="190" t="str">
        <f t="shared" si="1"/>
        <v>ok</v>
      </c>
      <c r="AJ14" s="193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</row>
    <row r="15" spans="1:95" ht="15.75">
      <c r="A15" s="3"/>
      <c r="B15" s="8" t="s">
        <v>653</v>
      </c>
      <c r="C15" s="9">
        <f>Caddo!M34+Caddo!M35</f>
        <v>58742456</v>
      </c>
      <c r="D15" s="9">
        <f>Caddo!M40+Caddo!M37+Caddo!M36</f>
        <v>11681548</v>
      </c>
      <c r="E15" s="9"/>
      <c r="F15" s="9"/>
      <c r="G15" s="9">
        <f t="shared" si="3"/>
        <v>70424004</v>
      </c>
      <c r="H15" s="9"/>
      <c r="I15" s="9">
        <f>Caddo!M41</f>
        <v>1310860</v>
      </c>
      <c r="J15" s="9"/>
      <c r="K15" s="9"/>
      <c r="L15" s="9"/>
      <c r="M15" s="9">
        <f>Caddo!M46+Caddo!M42+Caddo!M43</f>
        <v>2302652</v>
      </c>
      <c r="N15" s="9">
        <f t="shared" si="2"/>
        <v>3613512</v>
      </c>
      <c r="O15" s="9">
        <f>Caddo!J19+Caddo!K19+Caddo!L19</f>
        <v>19909359</v>
      </c>
      <c r="P15" s="9">
        <f t="shared" si="6"/>
        <v>93946875</v>
      </c>
      <c r="Q15" s="190" t="str">
        <f t="shared" si="0"/>
        <v>ok</v>
      </c>
      <c r="R15" s="9">
        <f>Caddo!M48+'Governmental Cross Sectional'!O15</f>
        <v>93946875</v>
      </c>
      <c r="S15" s="9">
        <f>Caddo!I9</f>
        <v>-16327879</v>
      </c>
      <c r="T15" s="9"/>
      <c r="U15" s="9"/>
      <c r="V15" s="9"/>
      <c r="W15" s="9"/>
      <c r="X15" s="9"/>
      <c r="Y15" s="9">
        <f t="shared" si="4"/>
        <v>-16327879</v>
      </c>
      <c r="Z15" s="9"/>
      <c r="AA15" s="9">
        <f>Caddo!I12</f>
        <v>-25884621</v>
      </c>
      <c r="AB15" s="9">
        <f>Caddo!I16</f>
        <v>-4153012</v>
      </c>
      <c r="AC15" s="9">
        <f>Caddo!I11</f>
        <v>-14409692</v>
      </c>
      <c r="AD15" s="9">
        <f>Caddo!I15</f>
        <v>-15171125</v>
      </c>
      <c r="AE15" s="9">
        <f>Caddo!I17</f>
        <v>-1515768</v>
      </c>
      <c r="AF15" s="9">
        <f>Caddo!I10+Caddo!I13+Caddo!I14</f>
        <v>-29703683</v>
      </c>
      <c r="AG15" s="9">
        <f t="shared" si="8"/>
        <v>-90837901</v>
      </c>
      <c r="AH15" s="9">
        <f t="shared" si="7"/>
        <v>-107165780</v>
      </c>
      <c r="AI15" s="190" t="str">
        <f t="shared" si="1"/>
        <v>ok</v>
      </c>
      <c r="AJ15" s="9">
        <f>Caddo!I19</f>
        <v>-107165780</v>
      </c>
    </row>
    <row r="16" spans="1:95" s="194" customFormat="1" ht="15.75">
      <c r="A16" s="191"/>
      <c r="B16" s="192" t="s">
        <v>654</v>
      </c>
      <c r="C16" s="193">
        <f>Calcasieu!M39</f>
        <v>47011753</v>
      </c>
      <c r="D16" s="193">
        <f>Calcasieu!M42+Calcasieu!M41+Calcasieu!M40</f>
        <v>51031930</v>
      </c>
      <c r="E16" s="193"/>
      <c r="F16" s="193"/>
      <c r="G16" s="193">
        <f t="shared" si="3"/>
        <v>98043683</v>
      </c>
      <c r="H16" s="193"/>
      <c r="I16" s="193">
        <f>Calcasieu!M43</f>
        <v>2654935</v>
      </c>
      <c r="J16" s="193"/>
      <c r="K16" s="193"/>
      <c r="L16" s="193">
        <f>Calcasieu!M47</f>
        <v>-263947</v>
      </c>
      <c r="M16" s="193">
        <f>Calcasieu!M46+Calcasieu!M45+Calcasieu!M44</f>
        <v>361957</v>
      </c>
      <c r="N16" s="9">
        <f t="shared" si="2"/>
        <v>2752945</v>
      </c>
      <c r="O16" s="193">
        <f>Calcasieu!J17+Calcasieu!K17+Calcasieu!L17</f>
        <v>36428586</v>
      </c>
      <c r="P16" s="193">
        <f t="shared" si="6"/>
        <v>137225214</v>
      </c>
      <c r="Q16" s="190" t="str">
        <f t="shared" si="0"/>
        <v>ok</v>
      </c>
      <c r="R16" s="193">
        <f>Calcasieu!M49+O16</f>
        <v>137225214</v>
      </c>
      <c r="S16" s="193">
        <f>Calcasieu!I9</f>
        <v>-26708294</v>
      </c>
      <c r="T16" s="193"/>
      <c r="U16" s="193"/>
      <c r="V16" s="193"/>
      <c r="W16" s="193"/>
      <c r="X16" s="193"/>
      <c r="Y16" s="193">
        <f t="shared" si="4"/>
        <v>-26708294</v>
      </c>
      <c r="Z16" s="193">
        <f>Calcasieu!I10</f>
        <v>-14697518</v>
      </c>
      <c r="AA16" s="193">
        <f>Calcasieu!I11</f>
        <v>-36610516</v>
      </c>
      <c r="AB16" s="193">
        <f>Calcasieu!I15</f>
        <v>-16911643</v>
      </c>
      <c r="AC16" s="193">
        <f>Calcasieu!I13</f>
        <v>-14842859</v>
      </c>
      <c r="AD16" s="193">
        <f>Calcasieu!I14</f>
        <v>-13726013</v>
      </c>
      <c r="AE16" s="193"/>
      <c r="AF16" s="193">
        <f>Calcasieu!I12</f>
        <v>-6166860</v>
      </c>
      <c r="AG16" s="193">
        <f t="shared" si="8"/>
        <v>-102955409</v>
      </c>
      <c r="AH16" s="193">
        <f t="shared" si="7"/>
        <v>-129663703</v>
      </c>
      <c r="AI16" s="190" t="str">
        <f t="shared" si="1"/>
        <v>ok</v>
      </c>
      <c r="AJ16" s="193">
        <f>Calcasieu!I17</f>
        <v>-129663703</v>
      </c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</row>
    <row r="17" spans="1:165" ht="15.75">
      <c r="A17" s="3"/>
      <c r="B17" s="8" t="s">
        <v>655</v>
      </c>
      <c r="C17" s="9">
        <f>Caldwell!M21+Caldwell!M22+Caldwell!M23+Caldwell!M24+Caldwell!M25</f>
        <v>1735192</v>
      </c>
      <c r="D17" s="9">
        <f>Caldwell!M27+Caldwell!M28</f>
        <v>1856422</v>
      </c>
      <c r="E17" s="9"/>
      <c r="F17" s="9">
        <f>Caldwell!M29</f>
        <v>11854</v>
      </c>
      <c r="G17" s="9">
        <f t="shared" si="3"/>
        <v>3603468</v>
      </c>
      <c r="H17" s="9"/>
      <c r="I17" s="9"/>
      <c r="J17" s="9"/>
      <c r="K17" s="9"/>
      <c r="L17" s="9"/>
      <c r="M17" s="9">
        <f>Caldwell!M31+Caldwell!M30</f>
        <v>36393</v>
      </c>
      <c r="N17" s="9">
        <f t="shared" si="2"/>
        <v>36393</v>
      </c>
      <c r="O17" s="9">
        <f>Caldwell!J17+Caldwell!K17+Caldwell!L17</f>
        <v>3005104</v>
      </c>
      <c r="P17" s="9">
        <f t="shared" si="6"/>
        <v>6644965</v>
      </c>
      <c r="Q17" s="190" t="str">
        <f>IF(P17=R17,"ok","check")</f>
        <v>ok</v>
      </c>
      <c r="R17" s="9">
        <f>Caldwell!M33+O17</f>
        <v>6644965</v>
      </c>
      <c r="S17" s="9">
        <f>Caldwell!I9</f>
        <v>-1723572</v>
      </c>
      <c r="T17" s="9"/>
      <c r="U17" s="9"/>
      <c r="V17" s="9"/>
      <c r="W17" s="9"/>
      <c r="X17" s="9"/>
      <c r="Y17" s="9">
        <f t="shared" si="4"/>
        <v>-1723572</v>
      </c>
      <c r="Z17" s="9">
        <f>Caldwell!I10</f>
        <v>-543904</v>
      </c>
      <c r="AA17" s="9">
        <f>Caldwell!I11+Caldwell!I15</f>
        <v>-2780074</v>
      </c>
      <c r="AB17" s="9">
        <f>Caldwell!I14</f>
        <v>-238412</v>
      </c>
      <c r="AC17" s="9">
        <f>Caldwell!I12</f>
        <v>-195994</v>
      </c>
      <c r="AD17" s="9">
        <f>Caldwell!I13</f>
        <v>-207512</v>
      </c>
      <c r="AE17" s="9"/>
      <c r="AF17" s="9"/>
      <c r="AG17" s="9">
        <f t="shared" si="8"/>
        <v>-3965896</v>
      </c>
      <c r="AH17" s="9">
        <f t="shared" si="7"/>
        <v>-5689468</v>
      </c>
      <c r="AI17" s="190" t="str">
        <f t="shared" si="1"/>
        <v>ok</v>
      </c>
      <c r="AJ17" s="9">
        <f>Caldwell!I17</f>
        <v>-5689468</v>
      </c>
    </row>
    <row r="18" spans="1:165" ht="15.75">
      <c r="A18" s="195"/>
      <c r="B18" s="188" t="s">
        <v>656</v>
      </c>
      <c r="C18" s="189">
        <f>Cameron!L26</f>
        <v>6689108</v>
      </c>
      <c r="D18" s="189"/>
      <c r="E18" s="189"/>
      <c r="F18" s="189">
        <f>Cameron!L27</f>
        <v>1099003</v>
      </c>
      <c r="G18" s="189">
        <f t="shared" si="3"/>
        <v>7788111</v>
      </c>
      <c r="H18" s="189">
        <f>Cameron!L32</f>
        <v>-639</v>
      </c>
      <c r="I18" s="189"/>
      <c r="J18" s="189">
        <f>Cameron!L31</f>
        <v>5939885</v>
      </c>
      <c r="K18" s="189"/>
      <c r="L18" s="189"/>
      <c r="M18" s="189">
        <f>Cameron!L28+Cameron!L29+Cameron!L33+Cameron!L34+Cameron!L35</f>
        <v>1210415</v>
      </c>
      <c r="N18" s="9">
        <f t="shared" si="2"/>
        <v>7149661</v>
      </c>
      <c r="O18" s="189">
        <f>Cameron!J22+Cameron!K22</f>
        <v>18636437</v>
      </c>
      <c r="P18" s="189">
        <f t="shared" si="6"/>
        <v>33574209</v>
      </c>
      <c r="Q18" s="190" t="str">
        <f t="shared" ref="Q18:Q25" si="9">IF(P18=R18,"ok","check")</f>
        <v>ok</v>
      </c>
      <c r="R18" s="189">
        <f>Cameron!L37+O18</f>
        <v>33574209</v>
      </c>
      <c r="S18" s="189"/>
      <c r="T18" s="189">
        <f>Cameron!I10</f>
        <v>-204907</v>
      </c>
      <c r="U18" s="189">
        <f>Cameron!I11</f>
        <v>-1395672</v>
      </c>
      <c r="V18" s="189">
        <f>Cameron!I12</f>
        <v>-222</v>
      </c>
      <c r="W18" s="189">
        <f>Cameron!I13</f>
        <v>-1795846</v>
      </c>
      <c r="X18" s="189">
        <f>Cameron!I14</f>
        <v>-6103072</v>
      </c>
      <c r="Y18" s="189">
        <f t="shared" si="4"/>
        <v>-9499719</v>
      </c>
      <c r="Z18" s="189">
        <f>Cameron!I16</f>
        <v>-1288757</v>
      </c>
      <c r="AA18" s="189">
        <f>Cameron!I17</f>
        <v>-4883639</v>
      </c>
      <c r="AB18" s="189">
        <f>Cameron!I20</f>
        <v>-2866511</v>
      </c>
      <c r="AC18" s="189">
        <f>Cameron!I19</f>
        <v>-395890</v>
      </c>
      <c r="AD18" s="189">
        <f>Cameron!I18</f>
        <v>-1289236</v>
      </c>
      <c r="AE18" s="189">
        <f>Cameron!I15</f>
        <v>-328311</v>
      </c>
      <c r="AF18" s="189"/>
      <c r="AG18" s="189">
        <f t="shared" si="8"/>
        <v>-11052344</v>
      </c>
      <c r="AH18" s="189">
        <f t="shared" si="7"/>
        <v>-20552063</v>
      </c>
      <c r="AI18" s="190" t="str">
        <f t="shared" si="1"/>
        <v>ok</v>
      </c>
      <c r="AJ18" s="189">
        <f>Cameron!I22</f>
        <v>-20552063</v>
      </c>
    </row>
    <row r="19" spans="1:165" s="199" customFormat="1" ht="15.75">
      <c r="A19" s="196"/>
      <c r="B19" s="197" t="s">
        <v>657</v>
      </c>
      <c r="C19" s="198">
        <f>Catahoula!M20</f>
        <v>827325</v>
      </c>
      <c r="D19" s="198">
        <f>Catahoula!M21</f>
        <v>1635040</v>
      </c>
      <c r="E19" s="198"/>
      <c r="F19" s="198">
        <f>Catahoula!M22</f>
        <v>5639</v>
      </c>
      <c r="G19" s="198">
        <f t="shared" si="3"/>
        <v>2468004</v>
      </c>
      <c r="H19" s="198"/>
      <c r="I19" s="198">
        <f>Catahoula!M23</f>
        <v>324352</v>
      </c>
      <c r="J19" s="198"/>
      <c r="K19" s="198"/>
      <c r="L19" s="198"/>
      <c r="M19" s="198">
        <f>Catahoula!M24+Catahoula!M25+Catahoula!M26+Catahoula!M27</f>
        <v>63893</v>
      </c>
      <c r="N19" s="9">
        <f t="shared" si="2"/>
        <v>388245</v>
      </c>
      <c r="O19" s="198">
        <f>Catahoula!J17+Catahoula!K17+Catahoula!L17</f>
        <v>1570893</v>
      </c>
      <c r="P19" s="198">
        <f t="shared" si="6"/>
        <v>4427142</v>
      </c>
      <c r="Q19" s="190" t="str">
        <f t="shared" si="9"/>
        <v>ok</v>
      </c>
      <c r="R19" s="198">
        <f>Catahoula!M29+O19</f>
        <v>4427142</v>
      </c>
      <c r="S19" s="198">
        <f>Catahoula!I9</f>
        <v>-680369</v>
      </c>
      <c r="T19" s="198"/>
      <c r="U19" s="198"/>
      <c r="V19" s="198"/>
      <c r="W19" s="198"/>
      <c r="X19" s="198"/>
      <c r="Y19" s="198">
        <f t="shared" si="4"/>
        <v>-680369</v>
      </c>
      <c r="Z19" s="198">
        <f>Catahoula!I10</f>
        <v>-512635</v>
      </c>
      <c r="AA19" s="198">
        <f>Catahoula!I11</f>
        <v>-2382377</v>
      </c>
      <c r="AB19" s="198">
        <f>Catahoula!I14</f>
        <v>-2249</v>
      </c>
      <c r="AC19" s="198">
        <f>Catahoula!I12</f>
        <v>-242320</v>
      </c>
      <c r="AD19" s="198">
        <f>Catahoula!I13</f>
        <v>-361409</v>
      </c>
      <c r="AE19" s="198">
        <f>Catahoula!I15</f>
        <v>-9343</v>
      </c>
      <c r="AF19" s="198"/>
      <c r="AG19" s="198">
        <f t="shared" si="8"/>
        <v>-3510333</v>
      </c>
      <c r="AH19" s="198">
        <f t="shared" si="7"/>
        <v>-4190702</v>
      </c>
      <c r="AI19" s="190" t="str">
        <f t="shared" si="1"/>
        <v>ok</v>
      </c>
      <c r="AJ19" s="198">
        <f>Catahoula!I17</f>
        <v>-4190702</v>
      </c>
    </row>
    <row r="20" spans="1:165" s="200" customFormat="1" ht="15.75">
      <c r="A20" s="191"/>
      <c r="B20" s="192" t="s">
        <v>658</v>
      </c>
      <c r="C20" s="193">
        <f>Claiborne!M22+Claiborne!M23+Claiborne!M24</f>
        <v>3049336</v>
      </c>
      <c r="D20" s="193">
        <f>Claiborne!M25</f>
        <v>941476</v>
      </c>
      <c r="E20" s="193"/>
      <c r="F20" s="193">
        <f>Claiborne!M26</f>
        <v>12275</v>
      </c>
      <c r="G20" s="193">
        <f t="shared" si="3"/>
        <v>4003087</v>
      </c>
      <c r="H20" s="193"/>
      <c r="I20" s="193">
        <f>Claiborne!M27</f>
        <v>1507924</v>
      </c>
      <c r="J20" s="193"/>
      <c r="K20" s="193"/>
      <c r="L20" s="193"/>
      <c r="M20" s="193">
        <f>Claiborne!M28+Claiborne!M29+Claiborne!M30</f>
        <v>282698</v>
      </c>
      <c r="N20" s="9">
        <f t="shared" si="2"/>
        <v>1790622</v>
      </c>
      <c r="O20" s="193">
        <f>Claiborne!J18+Claiborne!K18+Claiborne!L18</f>
        <v>1794169</v>
      </c>
      <c r="P20" s="193">
        <f t="shared" si="6"/>
        <v>7587878</v>
      </c>
      <c r="Q20" s="190" t="str">
        <f t="shared" si="9"/>
        <v>ok</v>
      </c>
      <c r="R20" s="193">
        <f>Claiborne!M32+O20</f>
        <v>7587878</v>
      </c>
      <c r="S20" s="193">
        <f>Claiborne!I9</f>
        <v>-1518254</v>
      </c>
      <c r="T20" s="193"/>
      <c r="U20" s="193"/>
      <c r="V20" s="193"/>
      <c r="W20" s="193"/>
      <c r="X20" s="193"/>
      <c r="Y20" s="193">
        <f t="shared" si="4"/>
        <v>-1518254</v>
      </c>
      <c r="Z20" s="193">
        <f>Claiborne!I10</f>
        <v>-376302</v>
      </c>
      <c r="AA20" s="222">
        <f>Claiborne!I11</f>
        <v>-3221702</v>
      </c>
      <c r="AB20" s="193">
        <f>Claiborne!I14</f>
        <v>-60016</v>
      </c>
      <c r="AC20" s="193">
        <f>Claiborne!I12</f>
        <v>-875416</v>
      </c>
      <c r="AD20" s="193">
        <f>Claiborne!I13</f>
        <v>-539041</v>
      </c>
      <c r="AE20" s="193">
        <f>Claiborne!I16</f>
        <v>-43230</v>
      </c>
      <c r="AF20" s="193">
        <f>Claiborne!I15</f>
        <v>-5200</v>
      </c>
      <c r="AG20" s="193">
        <f t="shared" si="8"/>
        <v>-5120907</v>
      </c>
      <c r="AH20" s="193">
        <f t="shared" si="7"/>
        <v>-6639161</v>
      </c>
      <c r="AI20" s="190" t="str">
        <f t="shared" si="1"/>
        <v>ok</v>
      </c>
      <c r="AJ20" s="193">
        <f>Claiborne!I18</f>
        <v>-6639161</v>
      </c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</row>
    <row r="21" spans="1:165" ht="15.75">
      <c r="A21" s="3"/>
      <c r="B21" s="8" t="s">
        <v>659</v>
      </c>
      <c r="C21" s="9">
        <f>Concordia!M27</f>
        <v>1752385</v>
      </c>
      <c r="D21" s="9">
        <f>Concordia!M28</f>
        <v>2864419</v>
      </c>
      <c r="E21" s="9"/>
      <c r="F21" s="9">
        <f>Concordia!M29</f>
        <v>13437</v>
      </c>
      <c r="G21" s="9">
        <f t="shared" si="3"/>
        <v>4630241</v>
      </c>
      <c r="H21" s="9">
        <f>Concordia!M33</f>
        <v>66922</v>
      </c>
      <c r="I21" s="9"/>
      <c r="J21" s="9"/>
      <c r="K21" s="9"/>
      <c r="L21" s="9"/>
      <c r="M21" s="9">
        <f>Concordia!M30+Concordia!M32+Concordia!M34+Concordia!M35+Concordia!M36</f>
        <v>2127570</v>
      </c>
      <c r="N21" s="9">
        <f t="shared" si="2"/>
        <v>2194492</v>
      </c>
      <c r="O21" s="9">
        <f>Concordia!J23+Concordia!K23+Concordia!L23</f>
        <v>637467</v>
      </c>
      <c r="P21" s="9">
        <f t="shared" si="6"/>
        <v>7462200</v>
      </c>
      <c r="Q21" s="190" t="str">
        <f t="shared" si="9"/>
        <v>ok</v>
      </c>
      <c r="R21" s="9">
        <f>Concordia!M38+O21</f>
        <v>7462200</v>
      </c>
      <c r="S21" s="9"/>
      <c r="T21" s="12">
        <f>Concordia!I10</f>
        <v>-231502</v>
      </c>
      <c r="U21" s="9">
        <f>Concordia!I11</f>
        <v>-614792</v>
      </c>
      <c r="V21" s="9">
        <f>Concordia!I12</f>
        <v>-40450</v>
      </c>
      <c r="W21" s="9">
        <f>Concordia!I13</f>
        <v>-348180</v>
      </c>
      <c r="X21" s="9">
        <f>Concordia!I14</f>
        <v>-876320</v>
      </c>
      <c r="Y21" s="9">
        <f t="shared" si="4"/>
        <v>-2111244</v>
      </c>
      <c r="Z21" s="9">
        <f>Concordia!I15</f>
        <v>-230232</v>
      </c>
      <c r="AA21" s="9">
        <f>Concordia!I16+Concordia!I20</f>
        <v>-2954401</v>
      </c>
      <c r="AB21" s="9">
        <f>Concordia!I19</f>
        <v>-188191</v>
      </c>
      <c r="AC21" s="9">
        <f>Concordia!I17</f>
        <v>-138664</v>
      </c>
      <c r="AD21" s="9">
        <f>Concordia!I18</f>
        <v>-31153</v>
      </c>
      <c r="AE21" s="9">
        <f>Concordia!I21</f>
        <v>-433026</v>
      </c>
      <c r="AF21" s="9"/>
      <c r="AG21" s="9">
        <f t="shared" si="8"/>
        <v>-3975667</v>
      </c>
      <c r="AH21" s="9">
        <f t="shared" si="7"/>
        <v>-6086911</v>
      </c>
      <c r="AI21" s="190" t="str">
        <f t="shared" si="1"/>
        <v>ok</v>
      </c>
      <c r="AJ21" s="9">
        <f>Concordia!I23</f>
        <v>-6086911</v>
      </c>
    </row>
    <row r="22" spans="1:165" s="204" customFormat="1" ht="15.75">
      <c r="A22" s="201"/>
      <c r="B22" s="202" t="s">
        <v>660</v>
      </c>
      <c r="C22" s="203">
        <f>Desoto!M34</f>
        <v>11903890</v>
      </c>
      <c r="D22" s="203">
        <f>Desoto!M35+Desoto!M37+Desoto!M38</f>
        <v>7295655</v>
      </c>
      <c r="E22" s="203"/>
      <c r="F22" s="203">
        <f>Desoto!M36</f>
        <v>1412788</v>
      </c>
      <c r="G22" s="203">
        <f t="shared" si="3"/>
        <v>20612333</v>
      </c>
      <c r="H22" s="203">
        <f>Desoto!M40</f>
        <v>56559</v>
      </c>
      <c r="I22" s="203"/>
      <c r="J22" s="203"/>
      <c r="K22" s="203"/>
      <c r="L22" s="203">
        <f>Desoto!M45</f>
        <v>-21150</v>
      </c>
      <c r="M22" s="203">
        <f>Desoto!M39+Desoto!M42+Desoto!M41+Desoto!M43</f>
        <v>918787</v>
      </c>
      <c r="N22" s="9">
        <f t="shared" si="2"/>
        <v>954196</v>
      </c>
      <c r="O22" s="203">
        <f>Desoto!J26+Desoto!K26+Desoto!L26</f>
        <v>9529294</v>
      </c>
      <c r="P22" s="203">
        <f t="shared" si="6"/>
        <v>31095823</v>
      </c>
      <c r="Q22" s="190" t="str">
        <f t="shared" si="9"/>
        <v>ok</v>
      </c>
      <c r="R22" s="203">
        <f>Desoto!M47+O22</f>
        <v>31095823</v>
      </c>
      <c r="S22" s="203"/>
      <c r="T22" s="203">
        <f>Desoto!I10</f>
        <v>-371189</v>
      </c>
      <c r="U22" s="203">
        <f>Desoto!I11</f>
        <v>-2401455</v>
      </c>
      <c r="V22" s="203">
        <f>Desoto!I12</f>
        <v>-46958</v>
      </c>
      <c r="W22" s="203">
        <f>Desoto!I13</f>
        <v>-1317624</v>
      </c>
      <c r="X22" s="203">
        <f>Desoto!I14</f>
        <v>-1492190</v>
      </c>
      <c r="Y22" s="203">
        <f t="shared" si="4"/>
        <v>-5629416</v>
      </c>
      <c r="Z22" s="203">
        <f>Desoto!I15</f>
        <v>-1012619</v>
      </c>
      <c r="AA22" s="203">
        <f>Desoto!I16+Desoto!I22</f>
        <v>-9713384</v>
      </c>
      <c r="AB22" s="203">
        <f>Desoto!I21</f>
        <v>-3278177</v>
      </c>
      <c r="AC22" s="203">
        <f>Desoto!I19</f>
        <v>-1423093</v>
      </c>
      <c r="AD22" s="203">
        <f>Desoto!I18</f>
        <v>-342350</v>
      </c>
      <c r="AE22" s="203">
        <f>Desoto!I24</f>
        <v>-241</v>
      </c>
      <c r="AF22" s="203">
        <f>Desoto!I23+Desoto!I20+Desoto!I17</f>
        <v>-6323647</v>
      </c>
      <c r="AG22" s="203">
        <f>SUM(Z22:AF22)</f>
        <v>-22093511</v>
      </c>
      <c r="AH22" s="203">
        <f>SUM(AG22,Y22)</f>
        <v>-27722927</v>
      </c>
      <c r="AI22" s="190" t="str">
        <f t="shared" si="1"/>
        <v>ok</v>
      </c>
      <c r="AJ22" s="203">
        <f>Desoto!I26</f>
        <v>-27722927</v>
      </c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</row>
    <row r="23" spans="1:165" s="206" customFormat="1" ht="15.75">
      <c r="A23" s="196"/>
      <c r="B23" s="197" t="s">
        <v>661</v>
      </c>
      <c r="C23" s="205">
        <f>'East Baton Rouge'!M40</f>
        <v>94352140</v>
      </c>
      <c r="D23" s="205">
        <f>'East Baton Rouge'!M42+'East Baton Rouge'!M46</f>
        <v>229047785</v>
      </c>
      <c r="E23" s="205"/>
      <c r="F23" s="205">
        <f>'East Baton Rouge'!M41+'East Baton Rouge'!M43+'East Baton Rouge'!M44+'East Baton Rouge'!M45+'East Baton Rouge'!M47</f>
        <v>41975338</v>
      </c>
      <c r="G23" s="9">
        <f t="shared" si="3"/>
        <v>365375263</v>
      </c>
      <c r="H23" s="205"/>
      <c r="I23" s="205">
        <f>'East Baton Rouge'!M49</f>
        <v>7675158</v>
      </c>
      <c r="J23" s="205"/>
      <c r="K23" s="205"/>
      <c r="L23" s="205">
        <f>'East Baton Rouge'!M52</f>
        <v>1330318</v>
      </c>
      <c r="M23" s="205">
        <f>'East Baton Rouge'!M51+'East Baton Rouge'!M50+'East Baton Rouge'!M48</f>
        <v>1266211</v>
      </c>
      <c r="N23" s="9">
        <f t="shared" si="2"/>
        <v>10271687</v>
      </c>
      <c r="O23" s="9">
        <f>'East Baton Rouge'!J18+'East Baton Rouge'!K18+'East Baton Rouge'!L18</f>
        <v>117008509</v>
      </c>
      <c r="P23" s="9">
        <f t="shared" si="6"/>
        <v>492655459</v>
      </c>
      <c r="Q23" s="190" t="str">
        <f t="shared" si="9"/>
        <v>ok</v>
      </c>
      <c r="R23" s="205">
        <f>'East Baton Rouge'!M54+O23</f>
        <v>492655459</v>
      </c>
      <c r="S23" s="205">
        <f>'East Baton Rouge'!I9</f>
        <v>-97833150</v>
      </c>
      <c r="T23" s="205"/>
      <c r="U23" s="205"/>
      <c r="V23" s="205"/>
      <c r="W23" s="205"/>
      <c r="X23" s="205"/>
      <c r="Y23" s="9">
        <f t="shared" si="4"/>
        <v>-97833150</v>
      </c>
      <c r="Z23" s="205">
        <f>'East Baton Rouge'!I10</f>
        <v>-237028010</v>
      </c>
      <c r="AA23" s="205">
        <f>'East Baton Rouge'!I11</f>
        <v>-68812076</v>
      </c>
      <c r="AB23" s="205"/>
      <c r="AC23" s="205">
        <f>'East Baton Rouge'!I13</f>
        <v>-9499922</v>
      </c>
      <c r="AD23" s="205">
        <f>'East Baton Rouge'!I14</f>
        <v>-38171468</v>
      </c>
      <c r="AE23" s="205">
        <f>'East Baton Rouge'!I16</f>
        <v>-15625052</v>
      </c>
      <c r="AF23" s="205">
        <f>'East Baton Rouge'!I15+'East Baton Rouge'!I12</f>
        <v>-50039835</v>
      </c>
      <c r="AG23" s="9">
        <f>SUM(Z23:AF23)</f>
        <v>-419176363</v>
      </c>
      <c r="AH23" s="9">
        <f>SUM(AG23,Y23)</f>
        <v>-517009513</v>
      </c>
      <c r="AI23" s="190" t="str">
        <f t="shared" si="1"/>
        <v>ok</v>
      </c>
      <c r="AJ23" s="205">
        <f>'East Baton Rouge'!I18</f>
        <v>-517009513</v>
      </c>
    </row>
    <row r="24" spans="1:165" s="211" customFormat="1" ht="15.75">
      <c r="A24" s="207"/>
      <c r="B24" s="208" t="s">
        <v>662</v>
      </c>
      <c r="C24" s="209">
        <f>'East Carroll'!M34+'East Carroll'!M35</f>
        <v>2113054</v>
      </c>
      <c r="D24" s="209">
        <f>'East Carroll'!M36</f>
        <v>758507</v>
      </c>
      <c r="E24" s="209"/>
      <c r="F24" s="209">
        <f>'East Carroll'!M38</f>
        <v>41050</v>
      </c>
      <c r="G24" s="209">
        <f>SUM(C24:F24)</f>
        <v>2912611</v>
      </c>
      <c r="H24" s="209">
        <f>'East Carroll'!M37</f>
        <v>48848</v>
      </c>
      <c r="I24" s="209">
        <f>'East Carroll'!M39</f>
        <v>61417</v>
      </c>
      <c r="J24" s="209"/>
      <c r="K24" s="209"/>
      <c r="L24" s="209"/>
      <c r="M24" s="209">
        <f>'East Carroll'!M40+'East Carroll'!M41+'East Carroll'!M42</f>
        <v>139885</v>
      </c>
      <c r="N24" s="9">
        <f t="shared" si="2"/>
        <v>250150</v>
      </c>
      <c r="O24" s="214">
        <f>'East Carroll'!J23+'East Carroll'!K23+'East Carroll'!L23</f>
        <v>1329624</v>
      </c>
      <c r="P24" s="218">
        <f t="shared" si="6"/>
        <v>4492385</v>
      </c>
      <c r="Q24" s="190" t="str">
        <f t="shared" si="9"/>
        <v>ok</v>
      </c>
      <c r="R24" s="209">
        <f>'East Carroll'!M44+O24</f>
        <v>4492385</v>
      </c>
      <c r="S24" s="209"/>
      <c r="T24" s="209">
        <f>'East Carroll'!I10</f>
        <v>-76402</v>
      </c>
      <c r="U24" s="209">
        <f>'East Carroll'!I11</f>
        <v>-568012</v>
      </c>
      <c r="V24" s="209">
        <f>'East Carroll'!I12</f>
        <v>-39899</v>
      </c>
      <c r="W24" s="209">
        <f>'East Carroll'!I13</f>
        <v>-208877</v>
      </c>
      <c r="X24" s="209">
        <f>'East Carroll'!I14</f>
        <v>-578588</v>
      </c>
      <c r="Y24" s="209">
        <f>SUM(S24:X24)</f>
        <v>-1471778</v>
      </c>
      <c r="Z24" s="209">
        <f>'East Carroll'!I15</f>
        <v>-278827</v>
      </c>
      <c r="AA24" s="209">
        <f>'East Carroll'!I16+'East Carroll'!I20</f>
        <v>-1352350</v>
      </c>
      <c r="AB24" s="209">
        <f>'East Carroll'!I19</f>
        <v>-5949</v>
      </c>
      <c r="AC24" s="209">
        <f>'East Carroll'!I17</f>
        <v>-111144</v>
      </c>
      <c r="AD24" s="209">
        <f>'East Carroll'!I18</f>
        <v>-333558</v>
      </c>
      <c r="AE24" s="209">
        <f>'East Carroll'!I21</f>
        <v>-20928</v>
      </c>
      <c r="AF24" s="209"/>
      <c r="AG24" s="209">
        <f>SUM(Z24:AF24)</f>
        <v>-2102756</v>
      </c>
      <c r="AH24" s="209">
        <f>SUM(AG24,Y24)</f>
        <v>-3574534</v>
      </c>
      <c r="AI24" s="190" t="str">
        <f t="shared" si="1"/>
        <v>ok</v>
      </c>
      <c r="AJ24" s="209">
        <f>'East Carroll'!I23</f>
        <v>-3574534</v>
      </c>
      <c r="AK24" s="210"/>
      <c r="AL24" s="210"/>
      <c r="AM24" s="210"/>
      <c r="AN24" s="210"/>
      <c r="AO24" s="210"/>
      <c r="AP24" s="210"/>
      <c r="AQ24" s="210"/>
      <c r="AR24" s="210"/>
      <c r="AS24" s="210"/>
      <c r="AT24" s="210"/>
      <c r="AU24" s="210"/>
      <c r="AV24" s="210"/>
      <c r="AW24" s="210"/>
      <c r="AX24" s="210"/>
      <c r="AY24" s="210"/>
      <c r="AZ24" s="210"/>
      <c r="BA24" s="210"/>
      <c r="BB24" s="210"/>
      <c r="BC24" s="210"/>
      <c r="BD24" s="210"/>
      <c r="BE24" s="210"/>
      <c r="BF24" s="210"/>
      <c r="BG24" s="210"/>
      <c r="BH24" s="210"/>
      <c r="BI24" s="210"/>
      <c r="BJ24" s="210"/>
      <c r="BK24" s="210"/>
      <c r="BL24" s="210"/>
      <c r="BM24" s="210"/>
      <c r="BN24" s="210"/>
      <c r="BO24" s="210"/>
      <c r="BP24" s="210"/>
      <c r="BQ24" s="210"/>
      <c r="BR24" s="210"/>
      <c r="BS24" s="210"/>
      <c r="BT24" s="210"/>
      <c r="BU24" s="210"/>
      <c r="BV24" s="210"/>
      <c r="BW24" s="210"/>
      <c r="BX24" s="210"/>
      <c r="BY24" s="210"/>
      <c r="BZ24" s="210"/>
      <c r="CA24" s="210"/>
      <c r="CB24" s="210"/>
      <c r="CC24" s="210"/>
      <c r="CD24" s="210"/>
      <c r="CE24" s="210"/>
      <c r="CF24" s="210"/>
      <c r="CG24" s="210"/>
      <c r="CH24" s="210"/>
      <c r="CI24" s="210"/>
      <c r="CJ24" s="210"/>
      <c r="CK24" s="210"/>
      <c r="CL24" s="210"/>
      <c r="CM24" s="210"/>
      <c r="CN24" s="210"/>
      <c r="CO24" s="210"/>
      <c r="CP24" s="210"/>
      <c r="CQ24" s="210"/>
      <c r="CR24" s="210"/>
      <c r="CS24" s="210"/>
      <c r="CT24" s="210"/>
      <c r="CU24" s="210"/>
      <c r="CV24" s="210"/>
      <c r="CW24" s="210"/>
      <c r="CX24" s="210"/>
      <c r="CY24" s="210"/>
      <c r="CZ24" s="210"/>
      <c r="DA24" s="210"/>
      <c r="DB24" s="210"/>
      <c r="DC24" s="210"/>
      <c r="DD24" s="210"/>
      <c r="DE24" s="210"/>
      <c r="DF24" s="210"/>
      <c r="DG24" s="210"/>
      <c r="DH24" s="210"/>
      <c r="DI24" s="210"/>
      <c r="DJ24" s="210"/>
      <c r="DK24" s="210"/>
      <c r="DL24" s="210"/>
      <c r="DM24" s="210"/>
      <c r="DN24" s="210"/>
      <c r="DO24" s="210"/>
      <c r="DP24" s="210"/>
      <c r="DQ24" s="210"/>
      <c r="DR24" s="210"/>
      <c r="DS24" s="210"/>
      <c r="DT24" s="210"/>
      <c r="DU24" s="210"/>
      <c r="DV24" s="210"/>
      <c r="DW24" s="210"/>
      <c r="DX24" s="210"/>
      <c r="DY24" s="210"/>
      <c r="DZ24" s="210"/>
      <c r="EA24" s="210"/>
      <c r="EB24" s="210"/>
      <c r="EC24" s="210"/>
      <c r="ED24" s="210"/>
      <c r="EE24" s="210"/>
      <c r="EF24" s="210"/>
      <c r="EG24" s="210"/>
      <c r="EH24" s="210"/>
      <c r="EI24" s="210"/>
      <c r="EJ24" s="210"/>
      <c r="EK24" s="210"/>
      <c r="EL24" s="210"/>
      <c r="EM24" s="210"/>
      <c r="EN24" s="210"/>
      <c r="EO24" s="210"/>
      <c r="EP24" s="210"/>
      <c r="EQ24" s="210"/>
      <c r="ER24" s="210"/>
      <c r="ES24" s="210"/>
      <c r="ET24" s="210"/>
      <c r="EU24" s="210"/>
      <c r="EV24" s="210"/>
      <c r="EW24" s="210"/>
      <c r="EX24" s="210"/>
      <c r="EY24" s="210"/>
      <c r="EZ24" s="210"/>
      <c r="FA24" s="210"/>
      <c r="FB24" s="210"/>
      <c r="FC24" s="210"/>
      <c r="FD24" s="210"/>
      <c r="FE24" s="210"/>
      <c r="FF24" s="210"/>
      <c r="FG24" s="210"/>
      <c r="FH24" s="210"/>
      <c r="FI24" s="210"/>
    </row>
    <row r="25" spans="1:165" ht="15.75">
      <c r="A25" s="3"/>
      <c r="B25" s="8" t="s">
        <v>663</v>
      </c>
      <c r="C25" s="9">
        <f>'East Feliciana'!M21</f>
        <v>694605.02</v>
      </c>
      <c r="D25" s="9">
        <f>'East Feliciana'!M23</f>
        <v>3192203.63</v>
      </c>
      <c r="E25" s="9"/>
      <c r="F25" s="9">
        <f>'East Feliciana'!M22</f>
        <v>613694.88</v>
      </c>
      <c r="G25" s="9">
        <f t="shared" ref="G25" si="10">SUM(C25:F25)</f>
        <v>4500503.53</v>
      </c>
      <c r="H25" s="9">
        <f>'East Feliciana'!M19</f>
        <v>356476.28</v>
      </c>
      <c r="I25" s="9"/>
      <c r="J25" s="9"/>
      <c r="K25" s="9"/>
      <c r="L25" s="9"/>
      <c r="M25" s="9">
        <f>'East Feliciana'!M24+'East Feliciana'!M25+'East Feliciana'!M26+'East Feliciana'!M27+'East Feliciana'!M28+'East Feliciana'!M29</f>
        <v>471636.08</v>
      </c>
      <c r="N25" s="9">
        <f t="shared" si="2"/>
        <v>828112.3600000001</v>
      </c>
      <c r="O25" s="9">
        <f>'East Feliciana'!J16+'East Feliciana'!K16+'East Feliciana'!L16</f>
        <v>1572083.9700000002</v>
      </c>
      <c r="P25" s="9">
        <f t="shared" si="6"/>
        <v>6900699.8600000013</v>
      </c>
      <c r="Q25" s="190" t="str">
        <f t="shared" si="9"/>
        <v>ok</v>
      </c>
      <c r="R25" s="9">
        <f>'East Feliciana'!M31+O25</f>
        <v>6900699.8600000013</v>
      </c>
      <c r="S25" s="9">
        <f>'East Feliciana'!I9</f>
        <v>-710683.58</v>
      </c>
      <c r="T25" s="9"/>
      <c r="U25" s="9"/>
      <c r="V25" s="9"/>
      <c r="W25" s="9"/>
      <c r="X25" s="9"/>
      <c r="Y25" s="9">
        <f t="shared" ref="Y25" si="11">SUM(S25:X25)</f>
        <v>-710683.58</v>
      </c>
      <c r="Z25" s="9">
        <f>'East Feliciana'!I13</f>
        <v>-893111.69</v>
      </c>
      <c r="AA25" s="9">
        <f>'East Feliciana'!I14</f>
        <v>-3295451.95</v>
      </c>
      <c r="AB25" s="9">
        <f>'East Feliciana'!I11</f>
        <v>-9208.32</v>
      </c>
      <c r="AC25" s="9">
        <f>'East Feliciana'!I12</f>
        <v>-462121.51</v>
      </c>
      <c r="AD25" s="9">
        <f>'East Feliciana'!I10</f>
        <v>-4219.33</v>
      </c>
      <c r="AE25" s="9"/>
      <c r="AF25" s="9"/>
      <c r="AG25" s="9">
        <f t="shared" ref="AG25" si="12">SUM(Z25:AF25)</f>
        <v>-4664112.8</v>
      </c>
      <c r="AH25" s="9">
        <f t="shared" ref="AH25" si="13">SUM(AG25,Y25)</f>
        <v>-5374796.3799999999</v>
      </c>
      <c r="AI25" s="190" t="str">
        <f t="shared" si="1"/>
        <v>ok</v>
      </c>
      <c r="AJ25" s="9">
        <f>'East Feliciana'!I16</f>
        <v>-5374796.3799999999</v>
      </c>
    </row>
    <row r="26" spans="1:165" s="215" customFormat="1" ht="15.75">
      <c r="A26" s="212"/>
      <c r="B26" s="213" t="s">
        <v>664</v>
      </c>
      <c r="C26" s="214">
        <f>Evangeline!M34</f>
        <v>4911887</v>
      </c>
      <c r="D26" s="214">
        <f>Evangeline!M35</f>
        <v>3115373</v>
      </c>
      <c r="E26" s="214"/>
      <c r="F26" s="214"/>
      <c r="G26" s="214">
        <f>SUM(C26:F26)</f>
        <v>8027260</v>
      </c>
      <c r="H26" s="214">
        <f>Evangeline!M38</f>
        <v>236314</v>
      </c>
      <c r="I26" s="214">
        <f>Evangeline!M37+Evangeline!M39+Evangeline!M40</f>
        <v>1491720</v>
      </c>
      <c r="J26" s="214"/>
      <c r="K26" s="214"/>
      <c r="L26" s="214">
        <f>Evangeline!M43</f>
        <v>-6720</v>
      </c>
      <c r="M26" s="214">
        <f>Evangeline!M41+Evangeline!M42</f>
        <v>627532</v>
      </c>
      <c r="N26" s="9">
        <f t="shared" si="2"/>
        <v>2348846</v>
      </c>
      <c r="O26" s="214">
        <f>Evangeline!J17+Evangeline!K17+Evangeline!L17</f>
        <v>3115425</v>
      </c>
      <c r="P26" s="214">
        <f>SUM(N26, G26, O26)</f>
        <v>13491531</v>
      </c>
      <c r="Q26" s="190" t="str">
        <f>IF(P26=R26,"ok","check")</f>
        <v>ok</v>
      </c>
      <c r="R26" s="214">
        <f>Evangeline!M45+O26</f>
        <v>13491531</v>
      </c>
      <c r="S26" s="214">
        <f>Evangeline!I9</f>
        <v>-2191744</v>
      </c>
      <c r="T26" s="214"/>
      <c r="U26" s="214"/>
      <c r="V26" s="214"/>
      <c r="W26" s="214"/>
      <c r="X26" s="214"/>
      <c r="Y26" s="214">
        <f>SUM(S26:X26)</f>
        <v>-2191744</v>
      </c>
      <c r="Z26" s="214">
        <f>Evangeline!I10</f>
        <v>-797397</v>
      </c>
      <c r="AA26" s="214">
        <f>Evangeline!I11</f>
        <v>-3478839</v>
      </c>
      <c r="AB26" s="214">
        <f>Evangeline!I14</f>
        <v>-228270</v>
      </c>
      <c r="AC26" s="214">
        <f>Evangeline!I12</f>
        <v>-558793</v>
      </c>
      <c r="AD26" s="214">
        <f>Evangeline!I13</f>
        <v>-1104898</v>
      </c>
      <c r="AE26" s="214">
        <f>Evangeline!I15</f>
        <v>-722085</v>
      </c>
      <c r="AF26" s="214"/>
      <c r="AG26" s="214">
        <f>SUM(Z26:AF26)</f>
        <v>-6890282</v>
      </c>
      <c r="AH26" s="214">
        <f>SUM(AG26, Y26)</f>
        <v>-9082026</v>
      </c>
      <c r="AI26" s="190" t="str">
        <f t="shared" si="1"/>
        <v>ok</v>
      </c>
      <c r="AJ26" s="214">
        <f>Evangeline!I17</f>
        <v>-9082026</v>
      </c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6"/>
      <c r="BD26" s="206"/>
      <c r="BE26" s="206"/>
      <c r="BF26" s="206"/>
      <c r="BG26" s="206"/>
      <c r="BH26" s="206"/>
      <c r="BI26" s="206"/>
      <c r="BJ26" s="206"/>
      <c r="BK26" s="206"/>
      <c r="BL26" s="206"/>
      <c r="BM26" s="206"/>
      <c r="BN26" s="206"/>
      <c r="BO26" s="206"/>
      <c r="BP26" s="206"/>
      <c r="BQ26" s="206"/>
      <c r="BR26" s="206"/>
      <c r="BS26" s="206"/>
      <c r="BT26" s="206"/>
      <c r="BU26" s="206"/>
      <c r="BV26" s="206"/>
      <c r="BW26" s="206"/>
      <c r="BX26" s="206"/>
      <c r="BY26" s="206"/>
      <c r="BZ26" s="206"/>
      <c r="CA26" s="206"/>
      <c r="CB26" s="206"/>
      <c r="CC26" s="206"/>
      <c r="CD26" s="206"/>
      <c r="CE26" s="206"/>
      <c r="CF26" s="206"/>
      <c r="CG26" s="206"/>
      <c r="CH26" s="206"/>
      <c r="CI26" s="206"/>
      <c r="CJ26" s="206"/>
      <c r="CK26" s="206"/>
      <c r="CL26" s="206"/>
      <c r="CM26" s="206"/>
      <c r="CN26" s="206"/>
      <c r="CO26" s="206"/>
      <c r="CP26" s="206"/>
      <c r="CQ26" s="206"/>
      <c r="CR26" s="206"/>
      <c r="CS26" s="206"/>
      <c r="CT26" s="206"/>
      <c r="CU26" s="206"/>
      <c r="CV26" s="206"/>
      <c r="CW26" s="206"/>
      <c r="CX26" s="206"/>
      <c r="CY26" s="206"/>
      <c r="CZ26" s="206"/>
      <c r="DA26" s="206"/>
      <c r="DB26" s="206"/>
      <c r="DC26" s="206"/>
      <c r="DD26" s="206"/>
      <c r="DE26" s="206"/>
      <c r="DF26" s="206"/>
      <c r="DG26" s="206"/>
      <c r="DH26" s="206"/>
      <c r="DI26" s="206"/>
      <c r="DJ26" s="206"/>
      <c r="DK26" s="206"/>
      <c r="DL26" s="206"/>
      <c r="DM26" s="206"/>
      <c r="DN26" s="206"/>
      <c r="DO26" s="206"/>
      <c r="DP26" s="206"/>
      <c r="DQ26" s="206"/>
      <c r="DR26" s="206"/>
      <c r="DS26" s="206"/>
      <c r="DT26" s="206"/>
      <c r="DU26" s="206"/>
      <c r="DV26" s="206"/>
      <c r="DW26" s="206"/>
      <c r="DX26" s="206"/>
      <c r="DY26" s="206"/>
      <c r="DZ26" s="206"/>
      <c r="EA26" s="206"/>
      <c r="EB26" s="206"/>
      <c r="EC26" s="206"/>
      <c r="ED26" s="206"/>
      <c r="EE26" s="206"/>
      <c r="EF26" s="206"/>
      <c r="EG26" s="206"/>
      <c r="EH26" s="206"/>
      <c r="EI26" s="206"/>
      <c r="EJ26" s="206"/>
      <c r="EK26" s="206"/>
      <c r="EL26" s="206"/>
      <c r="EM26" s="206"/>
      <c r="EN26" s="206"/>
      <c r="EO26" s="206"/>
      <c r="EP26" s="206"/>
      <c r="EQ26" s="206"/>
      <c r="ER26" s="206"/>
      <c r="ES26" s="206"/>
      <c r="ET26" s="206"/>
      <c r="EU26" s="206"/>
      <c r="EV26" s="206"/>
      <c r="EW26" s="206"/>
      <c r="EX26" s="206"/>
      <c r="EY26" s="206"/>
      <c r="EZ26" s="206"/>
      <c r="FA26" s="206"/>
      <c r="FB26" s="206"/>
      <c r="FC26" s="206"/>
      <c r="FD26" s="206"/>
      <c r="FE26" s="206"/>
      <c r="FF26" s="206"/>
      <c r="FG26" s="206"/>
      <c r="FH26" s="206"/>
      <c r="FI26" s="206"/>
    </row>
    <row r="27" spans="1:165" ht="15.75">
      <c r="A27" s="3"/>
      <c r="B27" s="8" t="s">
        <v>665</v>
      </c>
      <c r="C27" s="9">
        <f>Franklin!M20</f>
        <v>3579191</v>
      </c>
      <c r="D27" s="9">
        <f>Franklin!M21</f>
        <v>3931218</v>
      </c>
      <c r="E27" s="9"/>
      <c r="F27" s="9">
        <f>Franklin!M23+Franklin!M24</f>
        <v>100024</v>
      </c>
      <c r="G27" s="9">
        <f t="shared" ref="G27:G31" si="14">SUM(C27:F27)</f>
        <v>7610433</v>
      </c>
      <c r="H27" s="9">
        <f>Franklin!M22</f>
        <v>174969</v>
      </c>
      <c r="I27" s="9">
        <f>Franklin!M25</f>
        <v>76406</v>
      </c>
      <c r="J27" s="9"/>
      <c r="K27" s="9"/>
      <c r="L27" s="9"/>
      <c r="M27" s="9">
        <f>Franklin!M26+Franklin!M27+Franklin!M28</f>
        <v>173265</v>
      </c>
      <c r="N27" s="9">
        <f t="shared" si="2"/>
        <v>424640</v>
      </c>
      <c r="O27" s="9">
        <f>Franklin!J16+Franklin!K16+Franklin!L16</f>
        <v>7920180</v>
      </c>
      <c r="P27" s="9">
        <f t="shared" ref="P27:P31" si="15">SUM(N27,G27,O27)</f>
        <v>15955253</v>
      </c>
      <c r="Q27" s="190" t="str">
        <f t="shared" ref="Q27:Q50" si="16">IF(P27=R27,"ok","check")</f>
        <v>ok</v>
      </c>
      <c r="R27" s="9">
        <f>Franklin!M30+O27</f>
        <v>15955253</v>
      </c>
      <c r="S27" s="9">
        <f>Franklin!I9</f>
        <v>-1292911</v>
      </c>
      <c r="T27" s="9"/>
      <c r="U27" s="9"/>
      <c r="V27" s="9"/>
      <c r="W27" s="9"/>
      <c r="X27" s="9"/>
      <c r="Y27" s="9">
        <f t="shared" ref="Y27:Y31" si="17">SUM(S27:X27)</f>
        <v>-1292911</v>
      </c>
      <c r="Z27" s="9">
        <f>Franklin!I10</f>
        <v>-552502</v>
      </c>
      <c r="AA27" s="9">
        <f>Franklin!I11</f>
        <v>-6730873</v>
      </c>
      <c r="AB27" s="9">
        <f>Franklin!I14</f>
        <v>-5241122</v>
      </c>
      <c r="AC27" s="9">
        <f>Franklin!I12</f>
        <v>-381552</v>
      </c>
      <c r="AD27" s="9">
        <f>Franklin!I13</f>
        <v>-101831</v>
      </c>
      <c r="AE27" s="9"/>
      <c r="AF27" s="9"/>
      <c r="AG27" s="9">
        <f t="shared" ref="AG27:AG31" si="18">SUM(Z27:AF27)</f>
        <v>-13007880</v>
      </c>
      <c r="AH27" s="9">
        <f t="shared" ref="AH27:AH31" si="19">SUM(AG27,Y27)</f>
        <v>-14300791</v>
      </c>
      <c r="AI27" s="190" t="str">
        <f t="shared" si="1"/>
        <v>ok</v>
      </c>
      <c r="AJ27" s="9">
        <f>Franklin!I16</f>
        <v>-14300791</v>
      </c>
    </row>
    <row r="28" spans="1:165" ht="15.75">
      <c r="A28" s="195"/>
      <c r="B28" s="188" t="s">
        <v>666</v>
      </c>
      <c r="C28" s="189">
        <f>Grant!M35</f>
        <v>821547</v>
      </c>
      <c r="D28" s="189">
        <f>Grant!M36</f>
        <v>1048580</v>
      </c>
      <c r="E28" s="189"/>
      <c r="F28" s="189">
        <f>Grant!M38+Grant!M37</f>
        <v>780879</v>
      </c>
      <c r="G28" s="189">
        <f t="shared" si="14"/>
        <v>2651006</v>
      </c>
      <c r="H28" s="189">
        <f>Grant!M39</f>
        <v>80082</v>
      </c>
      <c r="I28" s="189"/>
      <c r="J28" s="189"/>
      <c r="K28" s="189"/>
      <c r="L28" s="189">
        <f>Grant!M42</f>
        <v>71146</v>
      </c>
      <c r="M28" s="189">
        <f>Grant!M41+Grant!M40</f>
        <v>219440</v>
      </c>
      <c r="N28" s="9">
        <f t="shared" si="2"/>
        <v>370668</v>
      </c>
      <c r="O28" s="189">
        <f>Grant!J24+Grant!K24+Grant!L24</f>
        <v>2036947</v>
      </c>
      <c r="P28" s="189">
        <f t="shared" si="15"/>
        <v>5058621</v>
      </c>
      <c r="Q28" s="190" t="str">
        <f t="shared" si="16"/>
        <v>ok</v>
      </c>
      <c r="R28" s="189">
        <f>Grant!M44+O28</f>
        <v>5058621</v>
      </c>
      <c r="S28" s="189"/>
      <c r="T28" s="189">
        <f>Grant!I10</f>
        <v>-211784</v>
      </c>
      <c r="U28" s="189">
        <f>Grant!I11</f>
        <v>-572080</v>
      </c>
      <c r="V28" s="189"/>
      <c r="W28" s="189">
        <f>Grant!I12</f>
        <v>-276975</v>
      </c>
      <c r="X28" s="189">
        <f>Grant!I13</f>
        <v>-248931</v>
      </c>
      <c r="Y28" s="189">
        <f t="shared" si="17"/>
        <v>-1309770</v>
      </c>
      <c r="Z28" s="189">
        <f>Grant!I14</f>
        <v>-310029</v>
      </c>
      <c r="AA28" s="189">
        <f>Grant!I16+Grant!I17+Grant!I18+Grant!I19</f>
        <v>-2680579</v>
      </c>
      <c r="AB28" s="189">
        <f>Grant!I20</f>
        <v>-81442</v>
      </c>
      <c r="AC28" s="189">
        <f>Grant!I21</f>
        <v>-69187</v>
      </c>
      <c r="AD28" s="189">
        <f>Grant!I22</f>
        <v>-15659</v>
      </c>
      <c r="AE28" s="189"/>
      <c r="AF28" s="189"/>
      <c r="AG28" s="189">
        <f t="shared" si="18"/>
        <v>-3156896</v>
      </c>
      <c r="AH28" s="189">
        <f t="shared" si="19"/>
        <v>-4466666</v>
      </c>
      <c r="AI28" s="190" t="str">
        <f t="shared" si="1"/>
        <v>ok</v>
      </c>
      <c r="AJ28" s="189">
        <f>Grant!I24</f>
        <v>-4466666</v>
      </c>
    </row>
    <row r="29" spans="1:165" s="199" customFormat="1" ht="15.75">
      <c r="A29" s="196"/>
      <c r="B29" s="197" t="s">
        <v>667</v>
      </c>
      <c r="C29" s="241">
        <f>Iberia!M27</f>
        <v>9712666</v>
      </c>
      <c r="D29" s="198">
        <f>Iberia!M28+Iberia!M29</f>
        <v>6929011</v>
      </c>
      <c r="E29" s="198"/>
      <c r="F29" s="198">
        <f>Iberia!M32+Iberia!M30</f>
        <v>1884538</v>
      </c>
      <c r="G29" s="198">
        <f t="shared" si="14"/>
        <v>18526215</v>
      </c>
      <c r="H29" s="198">
        <f>Iberia!M34</f>
        <v>445398</v>
      </c>
      <c r="I29" s="198"/>
      <c r="J29" s="198"/>
      <c r="K29" s="198"/>
      <c r="L29" s="198"/>
      <c r="M29" s="198">
        <f>Iberia!M35+Iberia!M36</f>
        <v>749237</v>
      </c>
      <c r="N29" s="9">
        <f t="shared" si="2"/>
        <v>1194635</v>
      </c>
      <c r="O29" s="198">
        <f>Iberia!J19+Iberia!K19+Iberia!L19</f>
        <v>18042449</v>
      </c>
      <c r="P29" s="198">
        <f t="shared" si="15"/>
        <v>37763299</v>
      </c>
      <c r="Q29" s="190" t="str">
        <f t="shared" si="16"/>
        <v>ok</v>
      </c>
      <c r="R29" s="198">
        <f>Iberia!M38+O29</f>
        <v>37763299</v>
      </c>
      <c r="S29" s="198">
        <f>Iberia!I9</f>
        <v>-5083575</v>
      </c>
      <c r="T29" s="198"/>
      <c r="U29" s="198"/>
      <c r="V29" s="198"/>
      <c r="W29" s="198"/>
      <c r="X29" s="198"/>
      <c r="Y29" s="198">
        <f t="shared" si="17"/>
        <v>-5083575</v>
      </c>
      <c r="Z29" s="198">
        <f>Iberia!I10</f>
        <v>-3557164</v>
      </c>
      <c r="AA29" s="198">
        <f>Iberia!I11</f>
        <v>-9902167</v>
      </c>
      <c r="AB29" s="198">
        <f>Iberia!I15</f>
        <v>-547525</v>
      </c>
      <c r="AC29" s="198">
        <f>Iberia!I12</f>
        <v>-7626497</v>
      </c>
      <c r="AD29" s="198">
        <f>Iberia!I13</f>
        <v>-2213777</v>
      </c>
      <c r="AE29" s="198">
        <f>Iberia!I17</f>
        <v>-442496</v>
      </c>
      <c r="AF29" s="198">
        <f>Iberia!I16+Iberia!I14</f>
        <v>-4151594</v>
      </c>
      <c r="AG29" s="198">
        <f t="shared" si="18"/>
        <v>-28441220</v>
      </c>
      <c r="AH29" s="198">
        <f t="shared" si="19"/>
        <v>-33524795</v>
      </c>
      <c r="AI29" s="190" t="str">
        <f t="shared" si="1"/>
        <v>ok</v>
      </c>
      <c r="AJ29" s="198">
        <f>Iberia!I19</f>
        <v>-33524795</v>
      </c>
    </row>
    <row r="30" spans="1:165" s="194" customFormat="1" ht="15.75">
      <c r="A30" s="191"/>
      <c r="B30" s="192" t="s">
        <v>668</v>
      </c>
      <c r="C30" s="193">
        <f>Iberville!M33</f>
        <v>5293941</v>
      </c>
      <c r="D30" s="193">
        <f>Iberville!M34+Iberville!M35+Iberville!M37</f>
        <v>20137223</v>
      </c>
      <c r="E30" s="193"/>
      <c r="F30" s="193">
        <f>Iberville!M36</f>
        <v>15231</v>
      </c>
      <c r="G30" s="193">
        <f t="shared" si="14"/>
        <v>25446395</v>
      </c>
      <c r="H30" s="193"/>
      <c r="I30" s="193">
        <f>Iberville!M38</f>
        <v>1079885</v>
      </c>
      <c r="J30" s="193"/>
      <c r="K30" s="193"/>
      <c r="L30" s="193"/>
      <c r="M30" s="193">
        <f>Iberville!M40+Iberville!M39</f>
        <v>4730795</v>
      </c>
      <c r="N30" s="9">
        <f t="shared" si="2"/>
        <v>5810680</v>
      </c>
      <c r="O30" s="193">
        <f>Iberville!J17+Iberville!K17+Iberville!L17</f>
        <v>11041095</v>
      </c>
      <c r="P30" s="193">
        <f t="shared" si="15"/>
        <v>42298170</v>
      </c>
      <c r="Q30" s="190" t="str">
        <f t="shared" si="16"/>
        <v>ok</v>
      </c>
      <c r="R30" s="193">
        <f>Iberville!M44+O30</f>
        <v>42298170</v>
      </c>
      <c r="S30" s="193">
        <f>Iberville!I9</f>
        <v>-10347217</v>
      </c>
      <c r="T30" s="193"/>
      <c r="U30" s="193"/>
      <c r="V30" s="193"/>
      <c r="W30" s="193"/>
      <c r="X30" s="193"/>
      <c r="Y30" s="193">
        <f t="shared" si="17"/>
        <v>-10347217</v>
      </c>
      <c r="Z30" s="193">
        <f>Iberville!I10</f>
        <v>-4179132</v>
      </c>
      <c r="AA30" s="193">
        <f>Iberville!I11</f>
        <v>-11273247</v>
      </c>
      <c r="AB30" s="193">
        <f>Iberville!I13</f>
        <v>-242675</v>
      </c>
      <c r="AC30" s="193">
        <f>Iberville!I12</f>
        <v>-2670552</v>
      </c>
      <c r="AD30" s="193">
        <f>Iberville!I14</f>
        <v>-794222</v>
      </c>
      <c r="AE30" s="193">
        <f>Iberville!I15</f>
        <v>-733654</v>
      </c>
      <c r="AF30" s="193"/>
      <c r="AG30" s="193">
        <f t="shared" si="18"/>
        <v>-19893482</v>
      </c>
      <c r="AH30" s="193">
        <f t="shared" si="19"/>
        <v>-30240699</v>
      </c>
      <c r="AI30" s="190" t="str">
        <f t="shared" si="1"/>
        <v>ok</v>
      </c>
      <c r="AJ30" s="193">
        <f>Iberville!I17</f>
        <v>-30240699</v>
      </c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</row>
    <row r="31" spans="1:165" ht="15.75">
      <c r="A31" s="3"/>
      <c r="B31" s="8" t="s">
        <v>669</v>
      </c>
      <c r="C31" s="9">
        <f>Jackson!M24</f>
        <v>4478159</v>
      </c>
      <c r="D31" s="9">
        <f>Jackson!M25</f>
        <v>2059337</v>
      </c>
      <c r="E31" s="9"/>
      <c r="F31" s="9">
        <f>Jackson!M28+Jackson!M27</f>
        <v>1000081</v>
      </c>
      <c r="G31" s="9">
        <f t="shared" si="14"/>
        <v>7537577</v>
      </c>
      <c r="H31" s="9">
        <f>Jackson!M26</f>
        <v>83486</v>
      </c>
      <c r="I31" s="9"/>
      <c r="J31" s="9"/>
      <c r="K31" s="9"/>
      <c r="L31" s="9"/>
      <c r="M31" s="9">
        <f>Jackson!M29+Jackson!M30+Jackson!M31</f>
        <v>268412</v>
      </c>
      <c r="N31" s="9">
        <f t="shared" si="2"/>
        <v>351898</v>
      </c>
      <c r="O31" s="9">
        <f>Jackson!J20+Jackson!K20+Jackson!L20</f>
        <v>1062566</v>
      </c>
      <c r="P31" s="9">
        <f t="shared" si="15"/>
        <v>8952041</v>
      </c>
      <c r="Q31" s="190" t="str">
        <f t="shared" si="16"/>
        <v>ok</v>
      </c>
      <c r="R31" s="9">
        <f>Jackson!M33+O31</f>
        <v>8952041</v>
      </c>
      <c r="S31" s="9"/>
      <c r="T31" s="9">
        <f>Jackson!I10</f>
        <v>-130792</v>
      </c>
      <c r="U31" s="9">
        <f>Jackson!I11</f>
        <v>-292978</v>
      </c>
      <c r="V31" s="9">
        <f>Jackson!I12</f>
        <v>-24730</v>
      </c>
      <c r="W31" s="9">
        <f>Jackson!I13</f>
        <v>-280311</v>
      </c>
      <c r="X31" s="9">
        <f>Jackson!I14</f>
        <v>-535105</v>
      </c>
      <c r="Y31" s="9">
        <f t="shared" si="17"/>
        <v>-1263916</v>
      </c>
      <c r="Z31" s="9">
        <f>Jackson!I15</f>
        <v>-789090</v>
      </c>
      <c r="AA31" s="9">
        <f>Jackson!I16</f>
        <v>-5242558</v>
      </c>
      <c r="AB31" s="9"/>
      <c r="AC31" s="9">
        <f>Jackson!I17</f>
        <v>-243700</v>
      </c>
      <c r="AD31" s="9">
        <f>Jackson!I18</f>
        <v>-1179043</v>
      </c>
      <c r="AE31" s="9"/>
      <c r="AF31" s="9"/>
      <c r="AG31" s="9">
        <f t="shared" si="18"/>
        <v>-7454391</v>
      </c>
      <c r="AH31" s="9">
        <f t="shared" si="19"/>
        <v>-8718307</v>
      </c>
      <c r="AI31" s="190" t="str">
        <f t="shared" si="1"/>
        <v>ok</v>
      </c>
      <c r="AJ31" s="9">
        <f>Jackson!I20</f>
        <v>-8718307</v>
      </c>
    </row>
    <row r="32" spans="1:165" ht="15.75">
      <c r="A32" s="195"/>
      <c r="B32" s="188" t="s">
        <v>670</v>
      </c>
      <c r="C32" s="189">
        <f>Jefferson!M42</f>
        <v>187717000</v>
      </c>
      <c r="D32" s="189">
        <f>Jefferson!M45+Jefferson!M46+Jefferson!M47</f>
        <v>154715000</v>
      </c>
      <c r="E32" s="189"/>
      <c r="F32" s="189">
        <f>Jefferson!M43+Jefferson!M44+Jefferson!M49</f>
        <v>1512000</v>
      </c>
      <c r="G32" s="189">
        <f t="shared" si="3"/>
        <v>343944000</v>
      </c>
      <c r="H32" s="189"/>
      <c r="I32" s="189"/>
      <c r="J32" s="189"/>
      <c r="K32" s="189"/>
      <c r="L32" s="189">
        <f>Jefferson!M53</f>
        <v>-6832000</v>
      </c>
      <c r="M32" s="189">
        <f>Jefferson!M50+Jefferson!M51+Jefferson!M52</f>
        <v>81474000</v>
      </c>
      <c r="N32" s="9">
        <f t="shared" si="2"/>
        <v>74642000</v>
      </c>
      <c r="O32" s="189">
        <f>Jefferson!J20+Jefferson!K20+Jefferson!L20</f>
        <v>169900000</v>
      </c>
      <c r="P32" s="189">
        <f t="shared" si="6"/>
        <v>588486000</v>
      </c>
      <c r="Q32" s="190" t="str">
        <f t="shared" si="16"/>
        <v>ok</v>
      </c>
      <c r="R32" s="189">
        <f>Jefferson!M55+O32</f>
        <v>588486000</v>
      </c>
      <c r="S32" s="240">
        <f>Jefferson!I10</f>
        <v>-70963000</v>
      </c>
      <c r="T32" s="189"/>
      <c r="U32" s="189"/>
      <c r="V32" s="189"/>
      <c r="W32" s="189"/>
      <c r="X32" s="189"/>
      <c r="Y32" s="189">
        <f t="shared" si="4"/>
        <v>-70963000</v>
      </c>
      <c r="Z32" s="189">
        <f>Jefferson!I11</f>
        <v>-97982000</v>
      </c>
      <c r="AA32" s="189">
        <f>Jefferson!I12+Jefferson!I13</f>
        <v>-158921000</v>
      </c>
      <c r="AB32" s="189"/>
      <c r="AC32" s="189">
        <f>Jefferson!I14</f>
        <v>-53854000</v>
      </c>
      <c r="AD32" s="189">
        <f>Jefferson!I15</f>
        <v>-47510000</v>
      </c>
      <c r="AE32" s="189">
        <f>Jefferson!I18</f>
        <v>-25759000</v>
      </c>
      <c r="AF32" s="189">
        <f>Jefferson!I17</f>
        <v>-5580000</v>
      </c>
      <c r="AG32" s="189">
        <f t="shared" si="5"/>
        <v>-389606000</v>
      </c>
      <c r="AH32" s="189">
        <f t="shared" si="7"/>
        <v>-460569000</v>
      </c>
      <c r="AI32" s="190" t="str">
        <f t="shared" si="1"/>
        <v>ok</v>
      </c>
      <c r="AJ32" s="189">
        <f>Jefferson!I20</f>
        <v>-460569000</v>
      </c>
    </row>
    <row r="33" spans="1:165" ht="15.75">
      <c r="A33" s="3"/>
      <c r="B33" s="8" t="s">
        <v>671</v>
      </c>
      <c r="C33" s="9">
        <f>'Jefferson Davis'!M20</f>
        <v>4063707</v>
      </c>
      <c r="D33" s="9">
        <f>'Jefferson Davis'!M21</f>
        <v>2598488</v>
      </c>
      <c r="E33" s="9"/>
      <c r="F33" s="9">
        <f>'Jefferson Davis'!M22</f>
        <v>996726</v>
      </c>
      <c r="G33" s="9">
        <f t="shared" si="3"/>
        <v>7658921</v>
      </c>
      <c r="H33" s="9">
        <f>'Jefferson Davis'!M23</f>
        <v>137277</v>
      </c>
      <c r="I33" s="9">
        <f>'Jefferson Davis'!M25</f>
        <v>338271</v>
      </c>
      <c r="J33" s="9"/>
      <c r="K33" s="9"/>
      <c r="L33" s="9"/>
      <c r="M33" s="9">
        <f>'Jefferson Davis'!M24+'Jefferson Davis'!M26+'Jefferson Davis'!M27+'Jefferson Davis'!M29</f>
        <v>1040035</v>
      </c>
      <c r="N33" s="9">
        <f t="shared" si="2"/>
        <v>1515583</v>
      </c>
      <c r="O33" s="9">
        <f>'Jefferson Davis'!J17+'Jefferson Davis'!K17+'Jefferson Davis'!L17</f>
        <v>6057767</v>
      </c>
      <c r="P33" s="9">
        <f t="shared" si="6"/>
        <v>15232271</v>
      </c>
      <c r="Q33" s="190" t="str">
        <f t="shared" si="16"/>
        <v>ok</v>
      </c>
      <c r="R33" s="9">
        <f>'Jefferson Davis'!M31+O33</f>
        <v>15232271</v>
      </c>
      <c r="S33" s="9">
        <f>'Jefferson Davis'!I9</f>
        <v>-4320395</v>
      </c>
      <c r="T33" s="9"/>
      <c r="U33" s="9"/>
      <c r="V33" s="9"/>
      <c r="W33" s="9"/>
      <c r="X33" s="9"/>
      <c r="Y33" s="9">
        <f t="shared" si="4"/>
        <v>-4320395</v>
      </c>
      <c r="Z33" s="9">
        <f>'Jefferson Davis'!I10</f>
        <v>-1736283</v>
      </c>
      <c r="AA33" s="9">
        <f>'Jefferson Davis'!I11</f>
        <v>-3493885</v>
      </c>
      <c r="AB33" s="9">
        <f>'Jefferson Davis'!I14</f>
        <v>-149084</v>
      </c>
      <c r="AC33" s="9">
        <f>'Jefferson Davis'!I13</f>
        <v>-1152258</v>
      </c>
      <c r="AD33" s="9">
        <f>'Jefferson Davis'!I12</f>
        <v>-72901</v>
      </c>
      <c r="AE33" s="9">
        <f>'Jefferson Davis'!I15</f>
        <v>-738405</v>
      </c>
      <c r="AF33" s="9"/>
      <c r="AG33" s="9">
        <f t="shared" si="5"/>
        <v>-7342816</v>
      </c>
      <c r="AH33" s="9">
        <f t="shared" si="7"/>
        <v>-11663211</v>
      </c>
      <c r="AI33" s="190" t="str">
        <f t="shared" si="1"/>
        <v>ok</v>
      </c>
      <c r="AJ33" s="9">
        <f>'Jefferson Davis'!I17</f>
        <v>-11663211</v>
      </c>
    </row>
    <row r="34" spans="1:165" s="194" customFormat="1" ht="15.75">
      <c r="A34" s="191"/>
      <c r="B34" s="192" t="s">
        <v>672</v>
      </c>
      <c r="C34" s="193">
        <f>Lafayette!M41</f>
        <v>70555638</v>
      </c>
      <c r="D34" s="193">
        <f>Lafayette!M42+Lafayette!M45</f>
        <v>88553082</v>
      </c>
      <c r="E34" s="193"/>
      <c r="F34" s="193">
        <f>Lafayette!M43+Lafayette!M44+Lafayette!M46+Lafayette!M47</f>
        <v>4030798</v>
      </c>
      <c r="G34" s="193">
        <f t="shared" si="3"/>
        <v>163139518</v>
      </c>
      <c r="H34" s="193"/>
      <c r="I34" s="193">
        <f>Lafayette!M48</f>
        <v>2319804</v>
      </c>
      <c r="J34" s="193"/>
      <c r="K34" s="193"/>
      <c r="L34" s="193">
        <f>Lafayette!M52</f>
        <v>20970394</v>
      </c>
      <c r="M34" s="193">
        <f>Lafayette!M49+Lafayette!M50+Lafayette!M51</f>
        <v>2773671</v>
      </c>
      <c r="N34" s="9">
        <f t="shared" si="2"/>
        <v>26063869</v>
      </c>
      <c r="O34" s="193">
        <f>Lafayette!J21+Lafayette!K21+Lafayette!L21</f>
        <v>42583884</v>
      </c>
      <c r="P34" s="193">
        <f t="shared" si="6"/>
        <v>231787271</v>
      </c>
      <c r="Q34" s="190" t="str">
        <f t="shared" si="16"/>
        <v>ok</v>
      </c>
      <c r="R34" s="193">
        <f>Lafayette!M54+O34</f>
        <v>231787271</v>
      </c>
      <c r="S34" s="193">
        <f>Lafayette!I9</f>
        <v>-37184500</v>
      </c>
      <c r="T34" s="193"/>
      <c r="U34" s="193"/>
      <c r="V34" s="193"/>
      <c r="W34" s="193"/>
      <c r="X34" s="193"/>
      <c r="Y34" s="193">
        <f t="shared" si="4"/>
        <v>-37184500</v>
      </c>
      <c r="Z34" s="193">
        <f>Lafayette!I10</f>
        <v>-65643989</v>
      </c>
      <c r="AA34" s="193">
        <f>Lafayette!I11+Lafayette!I12</f>
        <v>-34974510</v>
      </c>
      <c r="AB34" s="193">
        <f>Lafayette!I16+Lafayette!I17</f>
        <v>-2329539</v>
      </c>
      <c r="AC34" s="193">
        <f>Lafayette!I15</f>
        <v>-1055317</v>
      </c>
      <c r="AD34" s="193">
        <f>Lafayette!I14</f>
        <v>-24380013</v>
      </c>
      <c r="AE34" s="193">
        <f>Lafayette!I19</f>
        <v>-19316705</v>
      </c>
      <c r="AF34" s="193">
        <f>Lafayette!I18+Lafayette!I13</f>
        <v>-22391311</v>
      </c>
      <c r="AG34" s="193">
        <f t="shared" si="5"/>
        <v>-170091384</v>
      </c>
      <c r="AH34" s="193">
        <f t="shared" si="7"/>
        <v>-207275884</v>
      </c>
      <c r="AI34" s="190" t="str">
        <f t="shared" si="1"/>
        <v>ok</v>
      </c>
      <c r="AJ34" s="193">
        <f>Lafayette!I21</f>
        <v>-207275884</v>
      </c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</row>
    <row r="35" spans="1:165" ht="15.75">
      <c r="A35" s="3"/>
      <c r="B35" s="8" t="s">
        <v>673</v>
      </c>
      <c r="C35" s="9">
        <f>Lafourche!M27</f>
        <v>24018997</v>
      </c>
      <c r="D35" s="9">
        <f>Lafourche!M28</f>
        <v>16480326</v>
      </c>
      <c r="E35" s="9"/>
      <c r="F35" s="9">
        <f>Lafourche!M29</f>
        <v>3246168</v>
      </c>
      <c r="G35" s="9">
        <f t="shared" si="3"/>
        <v>43745491</v>
      </c>
      <c r="H35" s="9"/>
      <c r="I35" s="9">
        <f>Lafourche!M31</f>
        <v>4910918</v>
      </c>
      <c r="J35" s="9"/>
      <c r="K35" s="9"/>
      <c r="L35" s="9"/>
      <c r="M35" s="9">
        <f>Lafourche!M30+Lafourche!M32</f>
        <v>656582</v>
      </c>
      <c r="N35" s="9">
        <f t="shared" si="2"/>
        <v>5567500</v>
      </c>
      <c r="O35" s="9">
        <f>Lafourche!J16+Lafourche!K16+Lafourche!L16</f>
        <v>28215290</v>
      </c>
      <c r="P35" s="9">
        <f t="shared" si="6"/>
        <v>77528281</v>
      </c>
      <c r="Q35" s="190" t="str">
        <f t="shared" si="16"/>
        <v>ok</v>
      </c>
      <c r="R35" s="9">
        <f>Lafourche!M34+O35</f>
        <v>77528281</v>
      </c>
      <c r="S35" s="9">
        <f>Lafourche!I9</f>
        <v>-9682819</v>
      </c>
      <c r="T35" s="9"/>
      <c r="U35" s="9"/>
      <c r="V35" s="9"/>
      <c r="W35" s="9"/>
      <c r="X35" s="9"/>
      <c r="Y35" s="9">
        <f t="shared" si="4"/>
        <v>-9682819</v>
      </c>
      <c r="Z35" s="9">
        <f>Lafourche!I10</f>
        <v>-10238978</v>
      </c>
      <c r="AA35" s="9">
        <f>Lafourche!I11</f>
        <v>-24463108</v>
      </c>
      <c r="AB35" s="9"/>
      <c r="AC35" s="9">
        <f>Lafourche!I12</f>
        <v>-8598011</v>
      </c>
      <c r="AD35" s="9">
        <f>Lafourche!I13</f>
        <v>-8153571</v>
      </c>
      <c r="AE35" s="9">
        <f>Lafourche!I14</f>
        <v>-1899510</v>
      </c>
      <c r="AF35" s="9"/>
      <c r="AG35" s="9">
        <f t="shared" si="5"/>
        <v>-53353178</v>
      </c>
      <c r="AH35" s="9">
        <f t="shared" si="7"/>
        <v>-63035997</v>
      </c>
      <c r="AI35" s="190" t="str">
        <f t="shared" si="1"/>
        <v>ok</v>
      </c>
      <c r="AJ35" s="9">
        <f>Lafourche!I16</f>
        <v>-63035997</v>
      </c>
    </row>
    <row r="36" spans="1:165" s="194" customFormat="1" ht="15.75">
      <c r="A36" s="191"/>
      <c r="B36" s="192" t="s">
        <v>674</v>
      </c>
      <c r="C36" s="193">
        <f>LaSalle!M21</f>
        <v>3570296</v>
      </c>
      <c r="D36" s="193"/>
      <c r="E36" s="193"/>
      <c r="F36" s="193">
        <f>LaSalle!M23</f>
        <v>5216</v>
      </c>
      <c r="G36" s="193">
        <f t="shared" si="3"/>
        <v>3575512</v>
      </c>
      <c r="H36" s="193">
        <f>LaSalle!M22</f>
        <v>61254</v>
      </c>
      <c r="I36" s="193">
        <f>LaSalle!M24</f>
        <v>1295754</v>
      </c>
      <c r="J36" s="193"/>
      <c r="K36" s="193"/>
      <c r="L36" s="193"/>
      <c r="M36" s="193">
        <f>LaSalle!M25+LaSalle!M26+LaSalle!M27+LaSalle!M28</f>
        <v>132133</v>
      </c>
      <c r="N36" s="9">
        <f t="shared" si="2"/>
        <v>1489141</v>
      </c>
      <c r="O36" s="193">
        <f>LaSalle!J17+LaSalle!K17+LaSalle!L17</f>
        <v>1587600</v>
      </c>
      <c r="P36" s="193">
        <f t="shared" si="6"/>
        <v>6652253</v>
      </c>
      <c r="Q36" s="190" t="str">
        <f t="shared" si="16"/>
        <v>ok</v>
      </c>
      <c r="R36" s="193">
        <f>LaSalle!M30+O36</f>
        <v>6652253</v>
      </c>
      <c r="S36" s="193">
        <f>LaSalle!I9</f>
        <v>-1710310</v>
      </c>
      <c r="T36" s="193"/>
      <c r="U36" s="193"/>
      <c r="V36" s="193"/>
      <c r="W36" s="193"/>
      <c r="X36" s="193"/>
      <c r="Y36" s="193">
        <f t="shared" si="4"/>
        <v>-1710310</v>
      </c>
      <c r="Z36" s="193">
        <f>LaSalle!I10</f>
        <v>-657416</v>
      </c>
      <c r="AA36" s="193">
        <f>LaSalle!I11</f>
        <v>-2586245</v>
      </c>
      <c r="AB36" s="193">
        <f>LaSalle!I14</f>
        <v>-807761</v>
      </c>
      <c r="AC36" s="193">
        <f>LaSalle!I12</f>
        <v>-115859</v>
      </c>
      <c r="AD36" s="193">
        <f>LaSalle!I13</f>
        <v>-510825</v>
      </c>
      <c r="AE36" s="193"/>
      <c r="AF36" s="193">
        <f>LaSalle!I15</f>
        <v>-64523</v>
      </c>
      <c r="AG36" s="193">
        <f t="shared" si="5"/>
        <v>-4742629</v>
      </c>
      <c r="AH36" s="193">
        <f t="shared" si="7"/>
        <v>-6452939</v>
      </c>
      <c r="AI36" s="190" t="str">
        <f t="shared" si="1"/>
        <v>ok</v>
      </c>
      <c r="AJ36" s="193">
        <f>LaSalle!I17</f>
        <v>-6452939</v>
      </c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</row>
    <row r="37" spans="1:165" ht="15.75">
      <c r="A37" s="3"/>
      <c r="B37" s="8" t="s">
        <v>675</v>
      </c>
      <c r="C37" s="9">
        <f>Lincoln!M21</f>
        <v>6586959</v>
      </c>
      <c r="D37" s="9">
        <f>Lincoln!M22</f>
        <v>3926512</v>
      </c>
      <c r="E37" s="9"/>
      <c r="F37" s="9">
        <f>Lincoln!M23+Lincoln!M24</f>
        <v>1364480</v>
      </c>
      <c r="G37" s="9">
        <f t="shared" si="3"/>
        <v>11877951</v>
      </c>
      <c r="H37" s="9">
        <f>Lincoln!M25</f>
        <v>285232</v>
      </c>
      <c r="I37" s="9"/>
      <c r="J37" s="9"/>
      <c r="K37" s="9"/>
      <c r="L37" s="9">
        <f>Lincoln!M29</f>
        <v>-554732</v>
      </c>
      <c r="M37" s="9">
        <f>Lincoln!M26+Lincoln!M27+Lincoln!M28+Lincoln!M30</f>
        <v>796387</v>
      </c>
      <c r="N37" s="9">
        <f t="shared" si="2"/>
        <v>526887</v>
      </c>
      <c r="O37" s="9">
        <f>Lincoln!J17+Lincoln!K17+Lincoln!L17</f>
        <v>2226514</v>
      </c>
      <c r="P37" s="9">
        <f t="shared" si="6"/>
        <v>14631352</v>
      </c>
      <c r="Q37" s="190" t="str">
        <f t="shared" si="16"/>
        <v>ok</v>
      </c>
      <c r="R37" s="9">
        <f>Lincoln!M32+O37</f>
        <v>14631352</v>
      </c>
      <c r="S37" s="9">
        <f>Lincoln!I9</f>
        <v>-2848793</v>
      </c>
      <c r="T37" s="9"/>
      <c r="U37" s="9"/>
      <c r="V37" s="9"/>
      <c r="W37" s="9"/>
      <c r="X37" s="9"/>
      <c r="Y37" s="9">
        <f t="shared" si="4"/>
        <v>-2848793</v>
      </c>
      <c r="Z37" s="9">
        <f>Lincoln!I10</f>
        <v>-406799</v>
      </c>
      <c r="AA37" s="9">
        <f>Lincoln!I11</f>
        <v>-7787925</v>
      </c>
      <c r="AB37" s="9">
        <f>Lincoln!I14</f>
        <v>-24376</v>
      </c>
      <c r="AC37" s="9">
        <f>Lincoln!I12</f>
        <v>-549578</v>
      </c>
      <c r="AD37" s="9">
        <f>Lincoln!I13</f>
        <v>-2785125</v>
      </c>
      <c r="AE37" s="9">
        <f>Lincoln!I15</f>
        <v>-143171</v>
      </c>
      <c r="AF37" s="9"/>
      <c r="AG37" s="9">
        <f t="shared" si="5"/>
        <v>-11696974</v>
      </c>
      <c r="AH37" s="9">
        <f t="shared" si="7"/>
        <v>-14545767</v>
      </c>
      <c r="AI37" s="190" t="str">
        <f t="shared" si="1"/>
        <v>ok</v>
      </c>
      <c r="AJ37" s="9">
        <f>Lincoln!I17</f>
        <v>-14545767</v>
      </c>
    </row>
    <row r="38" spans="1:165" ht="15.75">
      <c r="A38" s="195"/>
      <c r="B38" s="188" t="s">
        <v>676</v>
      </c>
      <c r="C38" s="189">
        <f>Livingston!M28</f>
        <v>5772883</v>
      </c>
      <c r="D38" s="189">
        <f>Livingston!M29+Livingston!M30</f>
        <v>15624035</v>
      </c>
      <c r="E38" s="189"/>
      <c r="F38" s="189">
        <f>Livingston!M31</f>
        <v>981353</v>
      </c>
      <c r="G38" s="189">
        <f t="shared" si="3"/>
        <v>22378271</v>
      </c>
      <c r="H38" s="189"/>
      <c r="I38" s="189"/>
      <c r="J38" s="189"/>
      <c r="K38" s="189"/>
      <c r="L38" s="189">
        <f>Livingston!M35</f>
        <v>-550000</v>
      </c>
      <c r="M38" s="189">
        <f>Livingston!M32+Livingston!M33+Livingston!M34</f>
        <v>2107943</v>
      </c>
      <c r="N38" s="9">
        <f t="shared" si="2"/>
        <v>1557943</v>
      </c>
      <c r="O38" s="189">
        <f>Livingston!J17+Livingston!K17+Livingston!L17</f>
        <v>11906400</v>
      </c>
      <c r="P38" s="189">
        <f t="shared" si="6"/>
        <v>35842614</v>
      </c>
      <c r="Q38" s="190" t="str">
        <f t="shared" si="16"/>
        <v>ok</v>
      </c>
      <c r="R38" s="189">
        <f>Livingston!M37+O38</f>
        <v>35842614</v>
      </c>
      <c r="S38" s="189">
        <f>Livingston!I9</f>
        <v>-5799361</v>
      </c>
      <c r="T38" s="189"/>
      <c r="U38" s="189"/>
      <c r="V38" s="189"/>
      <c r="W38" s="189"/>
      <c r="X38" s="189"/>
      <c r="Y38" s="189">
        <f t="shared" si="4"/>
        <v>-5799361</v>
      </c>
      <c r="Z38" s="189">
        <f>Livingston!I10</f>
        <v>-6135712</v>
      </c>
      <c r="AA38" s="189">
        <f>Livingston!I11</f>
        <v>-15781121</v>
      </c>
      <c r="AB38" s="189">
        <f>Livingston!I14</f>
        <v>-77776</v>
      </c>
      <c r="AC38" s="189">
        <f>Livingston!I12</f>
        <v>-1603310</v>
      </c>
      <c r="AD38" s="189">
        <f>Livingston!I13</f>
        <v>-647904</v>
      </c>
      <c r="AE38" s="189">
        <f>Livingston!I15</f>
        <v>-4064515</v>
      </c>
      <c r="AF38" s="189"/>
      <c r="AG38" s="189">
        <f t="shared" si="5"/>
        <v>-28310338</v>
      </c>
      <c r="AH38" s="189">
        <f t="shared" si="7"/>
        <v>-34109699</v>
      </c>
      <c r="AI38" s="190" t="str">
        <f t="shared" si="1"/>
        <v>ok</v>
      </c>
      <c r="AJ38" s="189">
        <f>Livingston!I17</f>
        <v>-34109699</v>
      </c>
    </row>
    <row r="39" spans="1:165" s="199" customFormat="1" ht="15.75">
      <c r="A39" s="196"/>
      <c r="B39" s="197" t="s">
        <v>677</v>
      </c>
      <c r="C39" s="198">
        <f>Madison!M27</f>
        <v>5258030</v>
      </c>
      <c r="D39" s="198">
        <f>Madison!M31</f>
        <v>290870</v>
      </c>
      <c r="E39" s="198"/>
      <c r="F39" s="198">
        <f>Madison!M30+Madison!M28</f>
        <v>239790</v>
      </c>
      <c r="G39" s="198">
        <f t="shared" si="3"/>
        <v>5788690</v>
      </c>
      <c r="H39" s="198">
        <f>Madison!M29</f>
        <v>96933</v>
      </c>
      <c r="I39" s="198"/>
      <c r="J39" s="198"/>
      <c r="K39" s="198"/>
      <c r="L39" s="198"/>
      <c r="M39" s="198">
        <f>Madison!M32+Madison!M33+Madison!M34</f>
        <v>453231</v>
      </c>
      <c r="N39" s="9">
        <f t="shared" si="2"/>
        <v>550164</v>
      </c>
      <c r="O39" s="198">
        <f>Madison!J23+Madison!K23+Madison!L23</f>
        <v>2607136</v>
      </c>
      <c r="P39" s="198">
        <f t="shared" si="6"/>
        <v>8945990</v>
      </c>
      <c r="Q39" s="190" t="str">
        <f t="shared" si="16"/>
        <v>ok</v>
      </c>
      <c r="R39" s="198">
        <f>Madison!M36+O39</f>
        <v>8945990</v>
      </c>
      <c r="S39" s="198"/>
      <c r="T39" s="198">
        <f>Madison!I9</f>
        <v>-161075</v>
      </c>
      <c r="U39" s="198">
        <f>Madison!I10</f>
        <v>-918022</v>
      </c>
      <c r="V39" s="198">
        <f>Madison!I11</f>
        <v>-31967</v>
      </c>
      <c r="W39" s="198">
        <f>Madison!I12</f>
        <v>-407349</v>
      </c>
      <c r="X39" s="198">
        <f>Madison!I13</f>
        <v>-33661</v>
      </c>
      <c r="Y39" s="198">
        <f t="shared" si="4"/>
        <v>-1552074</v>
      </c>
      <c r="Z39" s="198">
        <f>Madison!I14</f>
        <v>-1032028</v>
      </c>
      <c r="AA39" s="198">
        <f>Madison!I15+Madison!I19</f>
        <v>-3373345</v>
      </c>
      <c r="AB39" s="198">
        <f>Madison!I18</f>
        <v>-48588</v>
      </c>
      <c r="AC39" s="198">
        <f>Madison!I16</f>
        <v>-235258</v>
      </c>
      <c r="AD39" s="198">
        <f>Madison!I17</f>
        <v>-477506</v>
      </c>
      <c r="AE39" s="198">
        <f>Madison!I21</f>
        <v>-6160</v>
      </c>
      <c r="AF39" s="198">
        <f>Madison!I20</f>
        <v>-26670</v>
      </c>
      <c r="AG39" s="198">
        <f t="shared" si="5"/>
        <v>-5199555</v>
      </c>
      <c r="AH39" s="198">
        <f t="shared" si="7"/>
        <v>-6751629</v>
      </c>
      <c r="AI39" s="190" t="str">
        <f t="shared" si="1"/>
        <v>ok</v>
      </c>
      <c r="AJ39" s="198">
        <f>Madison!I23</f>
        <v>-6751629</v>
      </c>
    </row>
    <row r="40" spans="1:165" s="200" customFormat="1" ht="15.75">
      <c r="A40" s="191"/>
      <c r="B40" s="192" t="s">
        <v>678</v>
      </c>
      <c r="C40" s="193">
        <f>Morehouse!M24</f>
        <v>3953909</v>
      </c>
      <c r="D40" s="193"/>
      <c r="E40" s="193"/>
      <c r="F40" s="193"/>
      <c r="G40" s="193">
        <f t="shared" si="3"/>
        <v>3953909</v>
      </c>
      <c r="H40" s="193">
        <f>Morehouse!M25</f>
        <v>1461135</v>
      </c>
      <c r="I40" s="193"/>
      <c r="J40" s="193"/>
      <c r="K40" s="193"/>
      <c r="L40" s="193"/>
      <c r="M40" s="193">
        <f>Morehouse!M28+Morehouse!M26</f>
        <v>94385</v>
      </c>
      <c r="N40" s="9">
        <f t="shared" si="2"/>
        <v>1555520</v>
      </c>
      <c r="O40" s="193">
        <f>Morehouse!J21+Morehouse!K21+Morehouse!L21</f>
        <v>769271</v>
      </c>
      <c r="P40" s="193">
        <f t="shared" si="6"/>
        <v>6278700</v>
      </c>
      <c r="Q40" s="190" t="str">
        <f t="shared" si="16"/>
        <v>ok</v>
      </c>
      <c r="R40" s="193">
        <f>Morehouse!M30+O40</f>
        <v>6278700</v>
      </c>
      <c r="S40" s="193"/>
      <c r="T40" s="193">
        <f>Morehouse!I9</f>
        <v>-103929</v>
      </c>
      <c r="U40" s="193">
        <f>Morehouse!I10</f>
        <v>-752798</v>
      </c>
      <c r="V40" s="193">
        <f>Morehouse!I11</f>
        <v>-48140</v>
      </c>
      <c r="W40" s="193">
        <f>Morehouse!I12</f>
        <v>-315744</v>
      </c>
      <c r="X40" s="193">
        <f>Morehouse!I13</f>
        <v>-65276</v>
      </c>
      <c r="Y40" s="193">
        <f t="shared" si="4"/>
        <v>-1285887</v>
      </c>
      <c r="Z40" s="193">
        <f>Morehouse!I14</f>
        <v>-637387</v>
      </c>
      <c r="AA40" s="222">
        <f>Morehouse!I15</f>
        <v>-2992594</v>
      </c>
      <c r="AB40" s="193">
        <f>Morehouse!I18</f>
        <v>-555888</v>
      </c>
      <c r="AC40" s="193">
        <f>Morehouse!I17</f>
        <v>-306302</v>
      </c>
      <c r="AD40" s="193"/>
      <c r="AE40" s="193">
        <f>Morehouse!I19</f>
        <v>-16994</v>
      </c>
      <c r="AF40" s="193">
        <f>Morehouse!I16</f>
        <v>-332293</v>
      </c>
      <c r="AG40" s="193">
        <f t="shared" si="5"/>
        <v>-4841458</v>
      </c>
      <c r="AH40" s="193">
        <f t="shared" si="7"/>
        <v>-6127345</v>
      </c>
      <c r="AI40" s="190" t="str">
        <f t="shared" si="1"/>
        <v>ok</v>
      </c>
      <c r="AJ40" s="193">
        <f>Morehouse!I21</f>
        <v>-6127345</v>
      </c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</row>
    <row r="41" spans="1:165" ht="15.75">
      <c r="A41" s="3"/>
      <c r="B41" s="8" t="s">
        <v>679</v>
      </c>
      <c r="C41" s="9">
        <f>Natchitoches!M20</f>
        <v>6099757</v>
      </c>
      <c r="D41" s="9">
        <f>Natchitoches!M21</f>
        <v>2242971</v>
      </c>
      <c r="E41" s="9"/>
      <c r="F41" s="9"/>
      <c r="G41" s="9">
        <f t="shared" si="3"/>
        <v>8342728</v>
      </c>
      <c r="H41" s="9"/>
      <c r="I41" s="9"/>
      <c r="J41" s="9"/>
      <c r="K41" s="9"/>
      <c r="L41" s="9"/>
      <c r="M41" s="9">
        <f>Natchitoches!M22+Natchitoches!M23+Natchitoches!M24</f>
        <v>547292</v>
      </c>
      <c r="N41" s="9">
        <f t="shared" si="2"/>
        <v>547292</v>
      </c>
      <c r="O41" s="9">
        <f>Natchitoches!J16+Natchitoches!K16+Natchitoches!L16</f>
        <v>8638498</v>
      </c>
      <c r="P41" s="9">
        <f t="shared" si="6"/>
        <v>17528518</v>
      </c>
      <c r="Q41" s="190" t="str">
        <f t="shared" si="16"/>
        <v>ok</v>
      </c>
      <c r="R41" s="9">
        <f>Natchitoches!M26+O41</f>
        <v>17528518</v>
      </c>
      <c r="S41" s="9">
        <f>Natchitoches!I9</f>
        <v>-1498566</v>
      </c>
      <c r="U41" s="9"/>
      <c r="V41" s="9"/>
      <c r="W41" s="9"/>
      <c r="X41" s="9"/>
      <c r="Y41" s="9">
        <f t="shared" si="4"/>
        <v>-1498566</v>
      </c>
      <c r="Z41" s="9">
        <f>Natchitoches!I10</f>
        <v>-1903709</v>
      </c>
      <c r="AA41" s="9">
        <f>Natchitoches!I11</f>
        <v>-4637270</v>
      </c>
      <c r="AB41" s="9">
        <f>Natchitoches!I14</f>
        <v>-167767</v>
      </c>
      <c r="AC41" s="9">
        <f>Natchitoches!I12</f>
        <v>-4159270</v>
      </c>
      <c r="AD41" s="9">
        <f>Natchitoches!I13</f>
        <v>-1787106</v>
      </c>
      <c r="AE41" s="9"/>
      <c r="AF41" s="9"/>
      <c r="AG41" s="9">
        <f t="shared" si="5"/>
        <v>-12655122</v>
      </c>
      <c r="AH41" s="9">
        <f t="shared" si="7"/>
        <v>-14153688</v>
      </c>
      <c r="AI41" s="190" t="str">
        <f t="shared" si="1"/>
        <v>ok</v>
      </c>
      <c r="AJ41" s="9">
        <f>Natchitoches!I16</f>
        <v>-14153688</v>
      </c>
    </row>
    <row r="42" spans="1:165" s="204" customFormat="1" ht="15.75">
      <c r="A42" s="201"/>
      <c r="B42" s="202" t="s">
        <v>680</v>
      </c>
      <c r="C42" s="203">
        <f>Orleans!M31</f>
        <v>204335000</v>
      </c>
      <c r="D42" s="203">
        <f>Orleans!M32+Orleans!M36</f>
        <v>211704000</v>
      </c>
      <c r="E42" s="203"/>
      <c r="F42" s="203">
        <f>Orleans!M33+Orleans!M34+Orleans!M35+Orleans!M37</f>
        <v>21895000</v>
      </c>
      <c r="G42" s="203">
        <f t="shared" si="3"/>
        <v>437934000</v>
      </c>
      <c r="H42" s="203"/>
      <c r="I42" s="203">
        <f>Orleans!M38</f>
        <v>15231000</v>
      </c>
      <c r="J42" s="203"/>
      <c r="K42" s="203"/>
      <c r="L42" s="203"/>
      <c r="M42" s="203">
        <f>Orleans!M41+Orleans!M40</f>
        <v>30216000</v>
      </c>
      <c r="N42" s="9">
        <f t="shared" si="2"/>
        <v>45447000</v>
      </c>
      <c r="O42" s="203">
        <f>Orleans!J19+Orleans!K19+Orleans!L19</f>
        <v>421817000</v>
      </c>
      <c r="P42" s="203">
        <f t="shared" si="6"/>
        <v>905198000</v>
      </c>
      <c r="Q42" s="190" t="str">
        <f t="shared" si="16"/>
        <v>ok</v>
      </c>
      <c r="R42" s="203">
        <f>Orleans!M43+O42</f>
        <v>905198000</v>
      </c>
      <c r="S42" s="203">
        <f>Orleans!I10</f>
        <v>-247292000</v>
      </c>
      <c r="T42" s="203"/>
      <c r="U42" s="203"/>
      <c r="V42" s="203"/>
      <c r="W42" s="203"/>
      <c r="X42" s="203"/>
      <c r="Y42" s="203">
        <f t="shared" si="4"/>
        <v>-247292000</v>
      </c>
      <c r="Z42" s="203">
        <f>Orleans!I11</f>
        <v>-230231000</v>
      </c>
      <c r="AA42" s="203">
        <f>Orleans!I12</f>
        <v>-124449000</v>
      </c>
      <c r="AB42" s="203">
        <f>Orleans!I16</f>
        <v>-12731000</v>
      </c>
      <c r="AC42" s="203">
        <f>Orleans!I13</f>
        <v>-27981000</v>
      </c>
      <c r="AD42" s="203">
        <f>Orleans!I14</f>
        <v>-23403000</v>
      </c>
      <c r="AE42" s="203">
        <f>Orleans!I17</f>
        <v>-59487000</v>
      </c>
      <c r="AF42" s="203">
        <f>Orleans!I15</f>
        <v>-23891000</v>
      </c>
      <c r="AG42" s="203">
        <f>SUM(Z42:AF42)</f>
        <v>-502173000</v>
      </c>
      <c r="AH42" s="203">
        <f>SUM(AG42,Y42)</f>
        <v>-749465000</v>
      </c>
      <c r="AI42" s="190" t="str">
        <f t="shared" si="1"/>
        <v>ok</v>
      </c>
      <c r="AJ42" s="203">
        <f>Orleans!I19</f>
        <v>-749465000</v>
      </c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</row>
    <row r="43" spans="1:165" s="206" customFormat="1" ht="15.75">
      <c r="A43" s="196"/>
      <c r="B43" s="197" t="s">
        <v>681</v>
      </c>
      <c r="C43" s="205">
        <f>Ouachita!M33+Ouachita!M34</f>
        <v>33441414</v>
      </c>
      <c r="D43" s="205">
        <f>Ouachita!M36</f>
        <v>14836428</v>
      </c>
      <c r="E43" s="205"/>
      <c r="F43" s="205">
        <f>Ouachita!M37</f>
        <v>3492490</v>
      </c>
      <c r="G43" s="9">
        <f t="shared" si="3"/>
        <v>51770332</v>
      </c>
      <c r="H43" s="205"/>
      <c r="I43" s="205">
        <f>Ouachita!M38</f>
        <v>926893</v>
      </c>
      <c r="J43" s="205"/>
      <c r="K43" s="205"/>
      <c r="L43" s="205"/>
      <c r="M43" s="205">
        <f>Ouachita!M39+Ouachita!M40+Ouachita!M41+Ouachita!M42+Ouachita!M43+Ouachita!M44+Ouachita!M45+Ouachita!M46</f>
        <v>7663295</v>
      </c>
      <c r="N43" s="9">
        <f t="shared" si="2"/>
        <v>8590188</v>
      </c>
      <c r="O43" s="9">
        <f>Ouachita!J21+Ouachita!K21+Ouachita!L21</f>
        <v>20230018</v>
      </c>
      <c r="P43" s="9">
        <f t="shared" si="6"/>
        <v>80590538</v>
      </c>
      <c r="Q43" s="190" t="str">
        <f t="shared" si="16"/>
        <v>ok</v>
      </c>
      <c r="R43" s="205">
        <f>Ouachita!M48+O43</f>
        <v>80590538</v>
      </c>
      <c r="S43" s="205"/>
      <c r="T43" s="205">
        <f>Ouachita!I10</f>
        <v>-218386</v>
      </c>
      <c r="U43" s="205">
        <f>Ouachita!I11</f>
        <v>-8218534</v>
      </c>
      <c r="V43" s="205">
        <f>Ouachita!I12</f>
        <v>-228700</v>
      </c>
      <c r="W43" s="205">
        <f>Ouachita!I13</f>
        <v>-2321667</v>
      </c>
      <c r="X43" s="205">
        <f>Ouachita!I14</f>
        <v>-7501400</v>
      </c>
      <c r="Y43" s="9">
        <f t="shared" si="4"/>
        <v>-18488687</v>
      </c>
      <c r="Z43" s="205">
        <f>Ouachita!I15</f>
        <v>-32003955</v>
      </c>
      <c r="AA43" s="205">
        <f>Ouachita!I16</f>
        <v>-8667310</v>
      </c>
      <c r="AB43" s="205">
        <f>Ouachita!I19</f>
        <v>-4635615</v>
      </c>
      <c r="AC43" s="205">
        <f>Ouachita!I17</f>
        <v>-3881585</v>
      </c>
      <c r="AD43" s="205">
        <f>Ouachita!I18</f>
        <v>-7295422</v>
      </c>
      <c r="AE43" s="205"/>
      <c r="AF43" s="205"/>
      <c r="AG43" s="9">
        <f>SUM(Z43:AF43)</f>
        <v>-56483887</v>
      </c>
      <c r="AH43" s="9">
        <f>SUM(AG43,Y43)</f>
        <v>-74972574</v>
      </c>
      <c r="AI43" s="190" t="str">
        <f t="shared" si="1"/>
        <v>ok</v>
      </c>
      <c r="AJ43" s="205">
        <f>Ouachita!I21</f>
        <v>-74972574</v>
      </c>
    </row>
    <row r="44" spans="1:165" s="211" customFormat="1" ht="15.75">
      <c r="A44" s="207"/>
      <c r="B44" s="208" t="s">
        <v>682</v>
      </c>
      <c r="C44" s="209">
        <f>Plaquemines!M35</f>
        <v>12083791</v>
      </c>
      <c r="D44" s="209">
        <f>Plaquemines!M36</f>
        <v>22652227</v>
      </c>
      <c r="E44" s="209"/>
      <c r="F44" s="209"/>
      <c r="G44" s="209">
        <f>SUM(C44:F44)</f>
        <v>34736018</v>
      </c>
      <c r="H44" s="209"/>
      <c r="I44" s="209"/>
      <c r="J44" s="209">
        <f>Plaquemines!M39</f>
        <v>19566418</v>
      </c>
      <c r="K44" s="209">
        <f>Plaquemines!M38</f>
        <v>29139</v>
      </c>
      <c r="L44" s="209">
        <f>Plaquemines!M52</f>
        <v>-3213465</v>
      </c>
      <c r="M44" s="209">
        <f>Plaquemines!M41+Plaquemines!M42+Plaquemines!M43+Plaquemines!M44+Plaquemines!M45+Plaquemines!M46+Plaquemines!M47+Plaquemines!M48+Plaquemines!M49+Plaquemines!M50</f>
        <v>27336525</v>
      </c>
      <c r="N44" s="9">
        <f t="shared" si="2"/>
        <v>43718617</v>
      </c>
      <c r="O44" s="214">
        <f>Plaquemines!J23+Plaquemines!K23+Plaquemines!L23</f>
        <v>52658941</v>
      </c>
      <c r="P44" s="218">
        <f t="shared" si="6"/>
        <v>131113576</v>
      </c>
      <c r="Q44" s="190" t="str">
        <f t="shared" si="16"/>
        <v>ok</v>
      </c>
      <c r="R44" s="209">
        <f>Plaquemines!M54+O44</f>
        <v>131113576</v>
      </c>
      <c r="S44" s="209"/>
      <c r="T44" s="209">
        <f>Plaquemines!I9</f>
        <v>-1737004</v>
      </c>
      <c r="U44" s="209">
        <f>Plaquemines!I10</f>
        <v>-5634694</v>
      </c>
      <c r="V44" s="209">
        <f>Plaquemines!I12</f>
        <v>-151663</v>
      </c>
      <c r="W44" s="209">
        <f>Plaquemines!I13</f>
        <v>-7255051</v>
      </c>
      <c r="X44" s="209">
        <f>Plaquemines!I14</f>
        <v>-10252824</v>
      </c>
      <c r="Y44" s="209">
        <f>SUM(S44:X44)</f>
        <v>-25031236</v>
      </c>
      <c r="Z44" s="209">
        <f>Plaquemines!I15</f>
        <v>-8176533</v>
      </c>
      <c r="AA44" s="209">
        <f>Plaquemines!I16+Plaquemines!I20</f>
        <v>-32637103</v>
      </c>
      <c r="AB44" s="209">
        <f>Plaquemines!I19</f>
        <v>-882081</v>
      </c>
      <c r="AC44" s="209">
        <f>Plaquemines!I17</f>
        <v>-5939409</v>
      </c>
      <c r="AD44" s="209">
        <f>Plaquemines!I18</f>
        <v>-3752039</v>
      </c>
      <c r="AE44" s="209">
        <f>Plaquemines!I21</f>
        <v>-5354736</v>
      </c>
      <c r="AF44" s="209">
        <f>Plaquemines!I11</f>
        <v>-3922053</v>
      </c>
      <c r="AG44" s="209">
        <f>SUM(Z44:AF44)</f>
        <v>-60663954</v>
      </c>
      <c r="AH44" s="209">
        <f>SUM(AG44,Y44)</f>
        <v>-85695190</v>
      </c>
      <c r="AI44" s="190" t="str">
        <f t="shared" si="1"/>
        <v>ok</v>
      </c>
      <c r="AJ44" s="209">
        <f>Plaquemines!I23</f>
        <v>-85695190</v>
      </c>
      <c r="AK44" s="210"/>
      <c r="AL44" s="210"/>
      <c r="AM44" s="210"/>
      <c r="AN44" s="210"/>
      <c r="AO44" s="210"/>
      <c r="AP44" s="210"/>
      <c r="AQ44" s="210"/>
      <c r="AR44" s="210"/>
      <c r="AS44" s="210"/>
      <c r="AT44" s="210"/>
      <c r="AU44" s="210"/>
      <c r="AV44" s="210"/>
      <c r="AW44" s="210"/>
      <c r="AX44" s="210"/>
      <c r="AY44" s="210"/>
      <c r="AZ44" s="210"/>
      <c r="BA44" s="210"/>
      <c r="BB44" s="210"/>
      <c r="BC44" s="210"/>
      <c r="BD44" s="210"/>
      <c r="BE44" s="210"/>
      <c r="BF44" s="210"/>
      <c r="BG44" s="210"/>
      <c r="BH44" s="210"/>
      <c r="BI44" s="210"/>
      <c r="BJ44" s="210"/>
      <c r="BK44" s="210"/>
      <c r="BL44" s="210"/>
      <c r="BM44" s="210"/>
      <c r="BN44" s="210"/>
      <c r="BO44" s="210"/>
      <c r="BP44" s="210"/>
      <c r="BQ44" s="210"/>
      <c r="BR44" s="210"/>
      <c r="BS44" s="210"/>
      <c r="BT44" s="210"/>
      <c r="BU44" s="210"/>
      <c r="BV44" s="210"/>
      <c r="BW44" s="210"/>
      <c r="BX44" s="210"/>
      <c r="BY44" s="210"/>
      <c r="BZ44" s="210"/>
      <c r="CA44" s="210"/>
      <c r="CB44" s="210"/>
      <c r="CC44" s="210"/>
      <c r="CD44" s="210"/>
      <c r="CE44" s="210"/>
      <c r="CF44" s="210"/>
      <c r="CG44" s="210"/>
      <c r="CH44" s="210"/>
      <c r="CI44" s="210"/>
      <c r="CJ44" s="210"/>
      <c r="CK44" s="210"/>
      <c r="CL44" s="210"/>
      <c r="CM44" s="210"/>
      <c r="CN44" s="210"/>
      <c r="CO44" s="210"/>
      <c r="CP44" s="210"/>
      <c r="CQ44" s="210"/>
      <c r="CR44" s="210"/>
      <c r="CS44" s="210"/>
      <c r="CT44" s="210"/>
      <c r="CU44" s="210"/>
      <c r="CV44" s="210"/>
      <c r="CW44" s="210"/>
      <c r="CX44" s="210"/>
      <c r="CY44" s="210"/>
      <c r="CZ44" s="210"/>
      <c r="DA44" s="210"/>
      <c r="DB44" s="210"/>
      <c r="DC44" s="210"/>
      <c r="DD44" s="210"/>
      <c r="DE44" s="210"/>
      <c r="DF44" s="210"/>
      <c r="DG44" s="210"/>
      <c r="DH44" s="210"/>
      <c r="DI44" s="210"/>
      <c r="DJ44" s="210"/>
      <c r="DK44" s="210"/>
      <c r="DL44" s="210"/>
      <c r="DM44" s="210"/>
      <c r="DN44" s="210"/>
      <c r="DO44" s="210"/>
      <c r="DP44" s="210"/>
      <c r="DQ44" s="210"/>
      <c r="DR44" s="210"/>
      <c r="DS44" s="210"/>
      <c r="DT44" s="210"/>
      <c r="DU44" s="210"/>
      <c r="DV44" s="210"/>
      <c r="DW44" s="210"/>
      <c r="DX44" s="210"/>
      <c r="DY44" s="210"/>
      <c r="DZ44" s="210"/>
      <c r="EA44" s="210"/>
      <c r="EB44" s="210"/>
      <c r="EC44" s="210"/>
      <c r="ED44" s="210"/>
      <c r="EE44" s="210"/>
      <c r="EF44" s="210"/>
      <c r="EG44" s="210"/>
      <c r="EH44" s="210"/>
      <c r="EI44" s="210"/>
      <c r="EJ44" s="210"/>
      <c r="EK44" s="210"/>
      <c r="EL44" s="210"/>
      <c r="EM44" s="210"/>
      <c r="EN44" s="210"/>
      <c r="EO44" s="210"/>
      <c r="EP44" s="210"/>
      <c r="EQ44" s="210"/>
      <c r="ER44" s="210"/>
      <c r="ES44" s="210"/>
      <c r="ET44" s="210"/>
      <c r="EU44" s="210"/>
      <c r="EV44" s="210"/>
      <c r="EW44" s="210"/>
      <c r="EX44" s="210"/>
      <c r="EY44" s="210"/>
      <c r="EZ44" s="210"/>
      <c r="FA44" s="210"/>
      <c r="FB44" s="210"/>
      <c r="FC44" s="210"/>
      <c r="FD44" s="210"/>
      <c r="FE44" s="210"/>
      <c r="FF44" s="210"/>
      <c r="FG44" s="210"/>
      <c r="FH44" s="210"/>
      <c r="FI44" s="210"/>
    </row>
    <row r="45" spans="1:165" ht="15.75">
      <c r="A45" s="3"/>
      <c r="B45" s="8" t="s">
        <v>683</v>
      </c>
      <c r="C45" s="9">
        <f>'Pointe Coupee'!M39</f>
        <v>2823306</v>
      </c>
      <c r="D45" s="9">
        <f>'Pointe Coupee'!M41+'Pointe Coupee'!M40</f>
        <v>3171574</v>
      </c>
      <c r="E45" s="9"/>
      <c r="F45" s="9">
        <f>'Pointe Coupee'!M42</f>
        <v>151169</v>
      </c>
      <c r="G45" s="9">
        <f t="shared" si="3"/>
        <v>6146049</v>
      </c>
      <c r="H45" s="9"/>
      <c r="I45" s="9">
        <f>'Pointe Coupee'!M43</f>
        <v>39909</v>
      </c>
      <c r="J45" s="9"/>
      <c r="K45" s="9"/>
      <c r="L45" s="9">
        <f>'Pointe Coupee'!M46</f>
        <v>352750</v>
      </c>
      <c r="M45" s="9">
        <f>'Pointe Coupee'!M45+'Pointe Coupee'!M44</f>
        <v>47482</v>
      </c>
      <c r="N45" s="9">
        <f t="shared" si="2"/>
        <v>440141</v>
      </c>
      <c r="O45" s="9">
        <f>'Pointe Coupee'!J19+'Pointe Coupee'!K19+'Pointe Coupee'!L19</f>
        <v>7347460</v>
      </c>
      <c r="P45" s="9">
        <f t="shared" si="6"/>
        <v>13933650</v>
      </c>
      <c r="Q45" s="190" t="str">
        <f t="shared" si="16"/>
        <v>ok</v>
      </c>
      <c r="R45" s="9">
        <f>'Pointe Coupee'!M48+O45</f>
        <v>13933650</v>
      </c>
      <c r="S45" s="9">
        <f>'Pointe Coupee'!I10</f>
        <v>-2657151</v>
      </c>
      <c r="T45" s="9"/>
      <c r="U45" s="9"/>
      <c r="V45" s="9"/>
      <c r="W45" s="9"/>
      <c r="X45" s="9"/>
      <c r="Y45" s="9">
        <f t="shared" si="4"/>
        <v>-2657151</v>
      </c>
      <c r="Z45" s="9">
        <f>'Pointe Coupee'!I11</f>
        <v>-1205124</v>
      </c>
      <c r="AA45" s="9">
        <f>'Pointe Coupee'!I12</f>
        <v>-1249402</v>
      </c>
      <c r="AB45" s="9">
        <f>'Pointe Coupee'!I16</f>
        <v>-145546</v>
      </c>
      <c r="AC45" s="9">
        <f>'Pointe Coupee'!I13</f>
        <v>-3057780</v>
      </c>
      <c r="AD45" s="9">
        <f>'Pointe Coupee'!I14</f>
        <v>-2128071</v>
      </c>
      <c r="AE45" s="9">
        <f>'Pointe Coupee'!I17</f>
        <v>-261827</v>
      </c>
      <c r="AF45" s="9">
        <f>'Pointe Coupee'!I15</f>
        <v>-1425494</v>
      </c>
      <c r="AG45" s="9">
        <f t="shared" si="5"/>
        <v>-9473244</v>
      </c>
      <c r="AH45" s="9">
        <f t="shared" si="7"/>
        <v>-12130395</v>
      </c>
      <c r="AI45" s="190" t="str">
        <f t="shared" si="1"/>
        <v>ok</v>
      </c>
      <c r="AJ45" s="9">
        <f>'Pointe Coupee'!I19</f>
        <v>-12130395</v>
      </c>
    </row>
    <row r="46" spans="1:165" s="215" customFormat="1" ht="15.75">
      <c r="A46" s="212"/>
      <c r="B46" s="213" t="s">
        <v>684</v>
      </c>
      <c r="C46" s="214">
        <f>Rapides!M25</f>
        <v>20306057</v>
      </c>
      <c r="D46" s="214">
        <f>Rapides!M27+Rapides!M26</f>
        <v>4673196</v>
      </c>
      <c r="E46" s="214"/>
      <c r="F46" s="214">
        <f>Rapides!M28</f>
        <v>584773</v>
      </c>
      <c r="G46" s="214">
        <f>SUM(C46:F46)</f>
        <v>25564026</v>
      </c>
      <c r="H46" s="214"/>
      <c r="I46" s="214"/>
      <c r="J46" s="214">
        <f>Rapides!M31</f>
        <v>872711</v>
      </c>
      <c r="K46" s="214">
        <f>Rapides!M30</f>
        <v>994749</v>
      </c>
      <c r="L46" s="214"/>
      <c r="M46" s="214">
        <f>Rapides!M33+Rapides!M32+Rapides!M29</f>
        <v>1215798</v>
      </c>
      <c r="N46" s="9">
        <f t="shared" si="2"/>
        <v>3083258</v>
      </c>
      <c r="O46" s="214">
        <f>Rapides!J21+Rapides!K21+Rapides!L21</f>
        <v>14521170</v>
      </c>
      <c r="P46" s="214">
        <f>SUM(N46, G46, O46)</f>
        <v>43168454</v>
      </c>
      <c r="Q46" s="190" t="str">
        <f t="shared" si="16"/>
        <v>ok</v>
      </c>
      <c r="R46" s="214">
        <f>Rapides!M35+O46</f>
        <v>43168454</v>
      </c>
      <c r="S46" s="214"/>
      <c r="T46" s="214">
        <f>Rapides!I9</f>
        <v>-435329</v>
      </c>
      <c r="U46" s="214">
        <f>Rapides!I10</f>
        <v>-4988816</v>
      </c>
      <c r="V46" s="214">
        <f>Rapides!I11</f>
        <v>-330382</v>
      </c>
      <c r="W46" s="214">
        <f>Rapides!I12</f>
        <v>-4897793</v>
      </c>
      <c r="X46" s="214">
        <f>Rapides!I13</f>
        <v>-2090050</v>
      </c>
      <c r="Y46" s="214">
        <f>SUM(S46:X46)</f>
        <v>-12742370</v>
      </c>
      <c r="Z46" s="214">
        <f>Rapides!I14</f>
        <v>-11991080</v>
      </c>
      <c r="AA46" s="214">
        <f>Rapides!I15</f>
        <v>-13645028</v>
      </c>
      <c r="AB46" s="214">
        <f>Rapides!I18</f>
        <v>-4759645</v>
      </c>
      <c r="AC46" s="214">
        <f>Rapides!I16</f>
        <v>-1372309</v>
      </c>
      <c r="AD46" s="214">
        <f>Rapides!I17</f>
        <v>-1782374</v>
      </c>
      <c r="AE46" s="214">
        <f>Rapides!I19</f>
        <v>-1097914</v>
      </c>
      <c r="AF46" s="214"/>
      <c r="AG46" s="214">
        <f>SUM(Z46:AF46)</f>
        <v>-34648350</v>
      </c>
      <c r="AH46" s="214">
        <f>SUM(AG46, Y46)</f>
        <v>-47390720</v>
      </c>
      <c r="AI46" s="190" t="str">
        <f t="shared" si="1"/>
        <v>ok</v>
      </c>
      <c r="AJ46" s="214">
        <f>Rapides!I21</f>
        <v>-47390720</v>
      </c>
      <c r="AK46" s="206"/>
      <c r="AL46" s="206"/>
      <c r="AM46" s="206"/>
      <c r="AN46" s="206"/>
      <c r="AO46" s="206"/>
      <c r="AP46" s="206"/>
      <c r="AQ46" s="206"/>
      <c r="AR46" s="206"/>
      <c r="AS46" s="206"/>
      <c r="AT46" s="206"/>
      <c r="AU46" s="206"/>
      <c r="AV46" s="206"/>
      <c r="AW46" s="206"/>
      <c r="AX46" s="206"/>
      <c r="AY46" s="206"/>
      <c r="AZ46" s="206"/>
      <c r="BA46" s="206"/>
      <c r="BB46" s="206"/>
      <c r="BC46" s="206"/>
      <c r="BD46" s="206"/>
      <c r="BE46" s="206"/>
      <c r="BF46" s="206"/>
      <c r="BG46" s="206"/>
      <c r="BH46" s="206"/>
      <c r="BI46" s="206"/>
      <c r="BJ46" s="206"/>
      <c r="BK46" s="206"/>
      <c r="BL46" s="206"/>
      <c r="BM46" s="206"/>
      <c r="BN46" s="206"/>
      <c r="BO46" s="206"/>
      <c r="BP46" s="206"/>
      <c r="BQ46" s="206"/>
      <c r="BR46" s="206"/>
      <c r="BS46" s="206"/>
      <c r="BT46" s="206"/>
      <c r="BU46" s="206"/>
      <c r="BV46" s="206"/>
      <c r="BW46" s="206"/>
      <c r="BX46" s="206"/>
      <c r="BY46" s="206"/>
      <c r="BZ46" s="206"/>
      <c r="CA46" s="206"/>
      <c r="CB46" s="206"/>
      <c r="CC46" s="206"/>
      <c r="CD46" s="206"/>
      <c r="CE46" s="206"/>
      <c r="CF46" s="206"/>
      <c r="CG46" s="206"/>
      <c r="CH46" s="206"/>
      <c r="CI46" s="206"/>
      <c r="CJ46" s="206"/>
      <c r="CK46" s="206"/>
      <c r="CL46" s="206"/>
      <c r="CM46" s="206"/>
      <c r="CN46" s="206"/>
      <c r="CO46" s="206"/>
      <c r="CP46" s="206"/>
      <c r="CQ46" s="206"/>
      <c r="CR46" s="206"/>
      <c r="CS46" s="206"/>
      <c r="CT46" s="206"/>
      <c r="CU46" s="206"/>
      <c r="CV46" s="206"/>
      <c r="CW46" s="206"/>
      <c r="CX46" s="206"/>
      <c r="CY46" s="206"/>
      <c r="CZ46" s="206"/>
      <c r="DA46" s="206"/>
      <c r="DB46" s="206"/>
      <c r="DC46" s="206"/>
      <c r="DD46" s="206"/>
      <c r="DE46" s="206"/>
      <c r="DF46" s="206"/>
      <c r="DG46" s="206"/>
      <c r="DH46" s="206"/>
      <c r="DI46" s="206"/>
      <c r="DJ46" s="206"/>
      <c r="DK46" s="206"/>
      <c r="DL46" s="206"/>
      <c r="DM46" s="206"/>
      <c r="DN46" s="206"/>
      <c r="DO46" s="206"/>
      <c r="DP46" s="206"/>
      <c r="DQ46" s="206"/>
      <c r="DR46" s="206"/>
      <c r="DS46" s="206"/>
      <c r="DT46" s="206"/>
      <c r="DU46" s="206"/>
      <c r="DV46" s="206"/>
      <c r="DW46" s="206"/>
      <c r="DX46" s="206"/>
      <c r="DY46" s="206"/>
      <c r="DZ46" s="206"/>
      <c r="EA46" s="206"/>
      <c r="EB46" s="206"/>
      <c r="EC46" s="206"/>
      <c r="ED46" s="206"/>
      <c r="EE46" s="206"/>
      <c r="EF46" s="206"/>
      <c r="EG46" s="206"/>
      <c r="EH46" s="206"/>
      <c r="EI46" s="206"/>
      <c r="EJ46" s="206"/>
      <c r="EK46" s="206"/>
      <c r="EL46" s="206"/>
      <c r="EM46" s="206"/>
      <c r="EN46" s="206"/>
      <c r="EO46" s="206"/>
      <c r="EP46" s="206"/>
      <c r="EQ46" s="206"/>
      <c r="ER46" s="206"/>
      <c r="ES46" s="206"/>
      <c r="ET46" s="206"/>
      <c r="EU46" s="206"/>
      <c r="EV46" s="206"/>
      <c r="EW46" s="206"/>
      <c r="EX46" s="206"/>
      <c r="EY46" s="206"/>
      <c r="EZ46" s="206"/>
      <c r="FA46" s="206"/>
      <c r="FB46" s="206"/>
      <c r="FC46" s="206"/>
      <c r="FD46" s="206"/>
      <c r="FE46" s="206"/>
      <c r="FF46" s="206"/>
      <c r="FG46" s="206"/>
      <c r="FH46" s="206"/>
      <c r="FI46" s="206"/>
    </row>
    <row r="47" spans="1:165" ht="15.75">
      <c r="A47" s="3"/>
      <c r="B47" s="8" t="s">
        <v>685</v>
      </c>
      <c r="C47" s="9">
        <f>'Red River'!L26</f>
        <v>3607111</v>
      </c>
      <c r="D47" s="9">
        <f>'Red River'!L27</f>
        <v>2830032</v>
      </c>
      <c r="E47" s="9"/>
      <c r="F47" s="9">
        <f>'Red River'!L28+'Red River'!L29</f>
        <v>594226</v>
      </c>
      <c r="G47" s="9">
        <f t="shared" si="3"/>
        <v>7031369</v>
      </c>
      <c r="H47" s="9">
        <f>'Red River'!L32</f>
        <v>54562</v>
      </c>
      <c r="I47" s="9"/>
      <c r="J47" s="9"/>
      <c r="K47" s="9"/>
      <c r="L47" s="9">
        <f>'Red River'!L35</f>
        <v>-30000</v>
      </c>
      <c r="M47" s="9">
        <f>'Red River'!L30+'Red River'!L31+'Red River'!L33+'Red River'!L34</f>
        <v>-216986</v>
      </c>
      <c r="N47" s="9">
        <f t="shared" si="2"/>
        <v>-192424</v>
      </c>
      <c r="O47" s="9">
        <f>'Red River'!J15+'Red River'!K15</f>
        <v>1569994</v>
      </c>
      <c r="P47" s="9">
        <f t="shared" si="6"/>
        <v>8408939</v>
      </c>
      <c r="Q47" s="190" t="str">
        <f t="shared" si="16"/>
        <v>ok</v>
      </c>
      <c r="R47" s="9">
        <f>'Red River'!L37+O47</f>
        <v>8408939</v>
      </c>
      <c r="S47" s="9">
        <f>'Red River'!I9</f>
        <v>-1306120</v>
      </c>
      <c r="T47" s="9"/>
      <c r="U47" s="9"/>
      <c r="V47" s="9"/>
      <c r="W47" s="9"/>
      <c r="X47" s="9"/>
      <c r="Y47" s="9">
        <f t="shared" si="4"/>
        <v>-1306120</v>
      </c>
      <c r="Z47" s="9">
        <f>'Red River'!I10</f>
        <v>-1601309</v>
      </c>
      <c r="AA47" s="9">
        <f>'Red River'!I11</f>
        <v>-3571534</v>
      </c>
      <c r="AB47" s="9"/>
      <c r="AC47" s="9">
        <f>'Red River'!I12</f>
        <v>-452977</v>
      </c>
      <c r="AD47" s="9">
        <f>'Red River'!I13</f>
        <v>-303039</v>
      </c>
      <c r="AE47" s="9"/>
      <c r="AF47" s="9"/>
      <c r="AG47" s="9">
        <f t="shared" si="5"/>
        <v>-5928859</v>
      </c>
      <c r="AH47" s="9">
        <f t="shared" si="7"/>
        <v>-7234979</v>
      </c>
      <c r="AI47" s="190" t="str">
        <f t="shared" si="1"/>
        <v>ok</v>
      </c>
      <c r="AJ47" s="9">
        <f>'Red River'!I15</f>
        <v>-7234979</v>
      </c>
    </row>
    <row r="48" spans="1:165" ht="15.75">
      <c r="A48" s="195"/>
      <c r="B48" s="188" t="s">
        <v>686</v>
      </c>
      <c r="C48" s="189">
        <f>Richland!M25</f>
        <v>7465263</v>
      </c>
      <c r="D48" s="189"/>
      <c r="E48" s="189"/>
      <c r="F48" s="189"/>
      <c r="G48" s="189">
        <f t="shared" si="3"/>
        <v>7465263</v>
      </c>
      <c r="H48" s="189">
        <f>Richland!M26</f>
        <v>258034</v>
      </c>
      <c r="I48" s="189"/>
      <c r="J48" s="189"/>
      <c r="K48" s="189"/>
      <c r="L48" s="189"/>
      <c r="M48" s="189">
        <f>Richland!M27+Richland!M29</f>
        <v>48690</v>
      </c>
      <c r="N48" s="9">
        <f t="shared" si="2"/>
        <v>306724</v>
      </c>
      <c r="O48" s="189">
        <f>Richland!J22+Richland!K22+Richland!L22</f>
        <v>1081644</v>
      </c>
      <c r="P48" s="189">
        <f t="shared" si="6"/>
        <v>8853631</v>
      </c>
      <c r="Q48" s="190" t="str">
        <f t="shared" si="16"/>
        <v>ok</v>
      </c>
      <c r="R48" s="189">
        <f>Richland!M31+O48</f>
        <v>8853631</v>
      </c>
      <c r="S48" s="189"/>
      <c r="T48" s="189">
        <f>Richland!I9</f>
        <v>-273649</v>
      </c>
      <c r="U48" s="189">
        <f>Richland!I10</f>
        <v>-112369</v>
      </c>
      <c r="V48" s="189">
        <f>Richland!I11</f>
        <v>-38823</v>
      </c>
      <c r="W48" s="189">
        <f>Richland!I12</f>
        <v>-346145</v>
      </c>
      <c r="X48" s="189">
        <f>Richland!I13</f>
        <v>-121106</v>
      </c>
      <c r="Y48" s="189">
        <f t="shared" si="4"/>
        <v>-892092</v>
      </c>
      <c r="Z48" s="189">
        <f>Richland!I14</f>
        <v>-560062</v>
      </c>
      <c r="AA48" s="189">
        <f>Richland!I15</f>
        <v>-4957389</v>
      </c>
      <c r="AB48" s="189">
        <f>Richland!I18</f>
        <v>-129347</v>
      </c>
      <c r="AC48" s="189">
        <f>Richland!I16</f>
        <v>-269329</v>
      </c>
      <c r="AD48" s="189">
        <f>Richland!I17</f>
        <v>-740850</v>
      </c>
      <c r="AE48" s="189">
        <f>Richland!I20</f>
        <v>-1995</v>
      </c>
      <c r="AF48" s="189"/>
      <c r="AG48" s="189">
        <f t="shared" si="5"/>
        <v>-6658972</v>
      </c>
      <c r="AH48" s="189">
        <f t="shared" si="7"/>
        <v>-7551064</v>
      </c>
      <c r="AI48" s="190" t="str">
        <f t="shared" si="1"/>
        <v>ok</v>
      </c>
      <c r="AJ48" s="189">
        <f>Richland!I22</f>
        <v>-7551064</v>
      </c>
    </row>
    <row r="49" spans="1:165" s="199" customFormat="1" ht="15.75">
      <c r="A49" s="196"/>
      <c r="B49" s="197" t="s">
        <v>687</v>
      </c>
      <c r="C49" s="241">
        <f>Sabine!M25</f>
        <v>3214227</v>
      </c>
      <c r="D49" s="198">
        <f>Sabine!M26</f>
        <v>3587239</v>
      </c>
      <c r="E49" s="198"/>
      <c r="F49" s="198"/>
      <c r="G49" s="198">
        <f t="shared" si="3"/>
        <v>6801466</v>
      </c>
      <c r="H49" s="198"/>
      <c r="I49" s="198"/>
      <c r="J49" s="198">
        <f>Sabine!M27</f>
        <v>1525642</v>
      </c>
      <c r="K49" s="198"/>
      <c r="L49" s="198"/>
      <c r="M49" s="198">
        <f>Sabine!M28+Sabine!M29</f>
        <v>343216</v>
      </c>
      <c r="N49" s="9">
        <f t="shared" si="2"/>
        <v>1868858</v>
      </c>
      <c r="O49" s="198">
        <f>Sabine!J21+Sabine!K21+Sabine!L21</f>
        <v>1576189</v>
      </c>
      <c r="P49" s="198">
        <f t="shared" si="6"/>
        <v>10246513</v>
      </c>
      <c r="Q49" s="190" t="str">
        <f t="shared" si="16"/>
        <v>ok</v>
      </c>
      <c r="R49" s="198">
        <f>Sabine!M31+O49</f>
        <v>10246513</v>
      </c>
      <c r="S49" s="198"/>
      <c r="T49" s="198">
        <f>Sabine!I9</f>
        <v>-127028</v>
      </c>
      <c r="U49" s="198">
        <f>Sabine!I10</f>
        <v>-577875</v>
      </c>
      <c r="V49" s="198">
        <f>Sabine!I11</f>
        <v>-68164</v>
      </c>
      <c r="W49" s="198">
        <f>Sabine!I12</f>
        <v>-382749</v>
      </c>
      <c r="X49" s="198">
        <f>Sabine!I13</f>
        <v>-662550</v>
      </c>
      <c r="Y49" s="198">
        <f t="shared" si="4"/>
        <v>-1818366</v>
      </c>
      <c r="Z49" s="198">
        <f>Sabine!I14</f>
        <v>-953770</v>
      </c>
      <c r="AA49" s="198">
        <f>Sabine!I15</f>
        <v>-8414454</v>
      </c>
      <c r="AB49" s="198">
        <f>Sabine!I18</f>
        <v>-30591</v>
      </c>
      <c r="AC49" s="198">
        <f>Sabine!I16</f>
        <v>-155557</v>
      </c>
      <c r="AD49" s="198"/>
      <c r="AE49" s="198">
        <f>Sabine!I19</f>
        <v>-12512</v>
      </c>
      <c r="AF49" s="198"/>
      <c r="AG49" s="198">
        <f t="shared" si="5"/>
        <v>-9566884</v>
      </c>
      <c r="AH49" s="198">
        <f t="shared" si="7"/>
        <v>-11385250</v>
      </c>
      <c r="AI49" s="190" t="str">
        <f t="shared" si="1"/>
        <v>ok</v>
      </c>
      <c r="AJ49" s="198">
        <f>Sabine!I21</f>
        <v>-11385250</v>
      </c>
    </row>
    <row r="50" spans="1:165" s="194" customFormat="1" ht="15.75">
      <c r="A50" s="191"/>
      <c r="B50" s="192" t="s">
        <v>688</v>
      </c>
      <c r="C50" s="193">
        <f>'St. Bernard'!M30</f>
        <v>12941340</v>
      </c>
      <c r="D50" s="193">
        <f>'St. Bernard'!M31</f>
        <v>15844744</v>
      </c>
      <c r="E50" s="193"/>
      <c r="F50" s="193">
        <f>'St. Bernard'!M34+'St. Bernard'!M33+'St. Bernard'!M32</f>
        <v>1462117</v>
      </c>
      <c r="G50" s="193">
        <f t="shared" si="3"/>
        <v>30248201</v>
      </c>
      <c r="H50" s="193"/>
      <c r="I50" s="193"/>
      <c r="J50" s="193"/>
      <c r="K50" s="193"/>
      <c r="L50" s="193"/>
      <c r="M50" s="193">
        <f>'St. Bernard'!M35+'St. Bernard'!M36+'St. Bernard'!M37+'St. Bernard'!M38</f>
        <v>6617603</v>
      </c>
      <c r="N50" s="9">
        <f t="shared" si="2"/>
        <v>6617603</v>
      </c>
      <c r="O50" s="193">
        <f>'St. Bernard'!J18+'St. Bernard'!K18+'St. Bernard'!L18</f>
        <v>84035891</v>
      </c>
      <c r="P50" s="193">
        <f t="shared" si="6"/>
        <v>120901695</v>
      </c>
      <c r="Q50" s="190" t="str">
        <f t="shared" si="16"/>
        <v>ok</v>
      </c>
      <c r="R50" s="193">
        <f>'St. Bernard'!M40+O50</f>
        <v>120901695</v>
      </c>
      <c r="S50" s="193"/>
      <c r="T50" s="193"/>
      <c r="U50" s="193">
        <f>'St. Bernard'!I10</f>
        <v>-607122</v>
      </c>
      <c r="V50" s="193"/>
      <c r="W50" s="193"/>
      <c r="X50" s="193">
        <f>'St. Bernard'!I11</f>
        <v>-29878021</v>
      </c>
      <c r="Y50" s="193">
        <f t="shared" si="4"/>
        <v>-30485143</v>
      </c>
      <c r="Z50" s="193">
        <f>'St. Bernard'!I12</f>
        <v>-10548513</v>
      </c>
      <c r="AA50" s="193">
        <f>'St. Bernard'!I13</f>
        <v>-19434223</v>
      </c>
      <c r="AB50" s="193"/>
      <c r="AC50" s="193">
        <f>'St. Bernard'!I15</f>
        <v>-6692893</v>
      </c>
      <c r="AD50" s="193">
        <f>'St. Bernard'!I14</f>
        <v>-2889701</v>
      </c>
      <c r="AE50" s="193">
        <f>'St. Bernard'!I16</f>
        <v>-1860282</v>
      </c>
      <c r="AF50" s="193"/>
      <c r="AG50" s="193">
        <f t="shared" si="5"/>
        <v>-41425612</v>
      </c>
      <c r="AH50" s="193">
        <f t="shared" si="7"/>
        <v>-71910755</v>
      </c>
      <c r="AI50" s="190" t="str">
        <f t="shared" si="1"/>
        <v>ok</v>
      </c>
      <c r="AJ50" s="193">
        <f>'St. Bernard'!I18</f>
        <v>-71910755</v>
      </c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</row>
    <row r="51" spans="1:165" ht="15.75">
      <c r="A51" s="3"/>
      <c r="B51" s="8" t="s">
        <v>689</v>
      </c>
      <c r="C51" s="9">
        <f>'St. Charles'!M39</f>
        <v>24732161</v>
      </c>
      <c r="D51" s="9">
        <f>'St. Charles'!M40</f>
        <v>35144273</v>
      </c>
      <c r="E51" s="9"/>
      <c r="F51" s="9">
        <f>'St. Charles'!M44+'St. Charles'!M43+'St. Charles'!M42</f>
        <v>1112404</v>
      </c>
      <c r="G51" s="9">
        <f t="shared" si="3"/>
        <v>60988838</v>
      </c>
      <c r="H51" s="9"/>
      <c r="I51" s="9"/>
      <c r="J51" s="9"/>
      <c r="K51" s="9"/>
      <c r="L51" s="9">
        <f>'St. Charles'!M47</f>
        <v>-812124</v>
      </c>
      <c r="M51" s="9">
        <f>'St. Charles'!M45+'St. Charles'!M46</f>
        <v>1406407</v>
      </c>
      <c r="N51" s="9">
        <f t="shared" si="2"/>
        <v>594283</v>
      </c>
      <c r="O51" s="9">
        <f>'St. Charles'!J18+'St. Charles'!K18+'St. Charles'!L18</f>
        <v>20957500</v>
      </c>
      <c r="P51" s="9">
        <f t="shared" si="6"/>
        <v>82540621</v>
      </c>
      <c r="Q51" s="190" t="str">
        <f t="shared" si="0"/>
        <v>ok</v>
      </c>
      <c r="R51" s="9">
        <f>'St. Charles'!M49+O51</f>
        <v>82540621</v>
      </c>
      <c r="S51" s="9">
        <f>'St. Charles'!I9</f>
        <v>-18234171</v>
      </c>
      <c r="T51" s="9"/>
      <c r="U51" s="9"/>
      <c r="V51" s="9"/>
      <c r="W51" s="9"/>
      <c r="X51" s="9"/>
      <c r="Y51" s="9">
        <f t="shared" si="4"/>
        <v>-18234171</v>
      </c>
      <c r="Z51" s="9">
        <f>'St. Charles'!I10</f>
        <v>-8311542</v>
      </c>
      <c r="AA51" s="9">
        <f>'St. Charles'!I11</f>
        <v>-25161360</v>
      </c>
      <c r="AB51" s="9">
        <f>'St. Charles'!I14</f>
        <v>-2397090</v>
      </c>
      <c r="AC51" s="9">
        <f>'St. Charles'!I12</f>
        <v>-5799325</v>
      </c>
      <c r="AD51" s="9">
        <f>'St. Charles'!I13</f>
        <v>-4574464</v>
      </c>
      <c r="AE51" s="9">
        <f>'St. Charles'!I15</f>
        <v>-532285</v>
      </c>
      <c r="AF51" s="9"/>
      <c r="AG51" s="9">
        <f t="shared" si="5"/>
        <v>-46776066</v>
      </c>
      <c r="AH51" s="9">
        <f t="shared" si="7"/>
        <v>-65010237</v>
      </c>
      <c r="AI51" s="190" t="str">
        <f t="shared" si="1"/>
        <v>ok</v>
      </c>
      <c r="AJ51" s="9">
        <f>'St. Charles'!I18</f>
        <v>-65010237</v>
      </c>
    </row>
    <row r="52" spans="1:165" s="194" customFormat="1" ht="15.75">
      <c r="A52" s="191"/>
      <c r="B52" s="192" t="s">
        <v>690</v>
      </c>
      <c r="C52" s="193">
        <f>'St. Helena'!M29</f>
        <v>1784933</v>
      </c>
      <c r="D52" s="193">
        <f>'St. Helena'!M30+'St. Helena'!M34</f>
        <v>3082358</v>
      </c>
      <c r="E52" s="193"/>
      <c r="F52" s="193">
        <f>'St. Helena'!M35+'St. Helena'!M31+'St. Helena'!M32</f>
        <v>940010</v>
      </c>
      <c r="G52" s="193">
        <f t="shared" si="3"/>
        <v>5807301</v>
      </c>
      <c r="H52" s="193">
        <f>'St. Helena'!M36</f>
        <v>86586</v>
      </c>
      <c r="I52" s="193"/>
      <c r="J52" s="193"/>
      <c r="K52" s="193"/>
      <c r="L52" s="193"/>
      <c r="M52" s="193">
        <f>'St. Helena'!M37+'St. Helena'!M39+'St. Helena'!M40+'St. Helena'!M41</f>
        <v>-36158</v>
      </c>
      <c r="N52" s="9">
        <f t="shared" si="2"/>
        <v>50428</v>
      </c>
      <c r="O52" s="193">
        <f>'St. Helena'!J18+'St. Helena'!K18+'St. Helena'!L18</f>
        <v>1854426</v>
      </c>
      <c r="P52" s="193">
        <f t="shared" si="6"/>
        <v>7712155</v>
      </c>
      <c r="Q52" s="190" t="str">
        <f t="shared" si="0"/>
        <v>ok</v>
      </c>
      <c r="R52" s="193">
        <f>'St. Helena'!M43+O52</f>
        <v>7712155</v>
      </c>
      <c r="S52" s="193"/>
      <c r="T52" s="193"/>
      <c r="U52" s="193"/>
      <c r="V52" s="193"/>
      <c r="W52" s="193"/>
      <c r="X52" s="193"/>
      <c r="Y52" s="193">
        <f t="shared" si="4"/>
        <v>0</v>
      </c>
      <c r="Z52" s="193"/>
      <c r="AA52" s="193"/>
      <c r="AB52" s="193"/>
      <c r="AC52" s="193"/>
      <c r="AD52" s="193"/>
      <c r="AE52" s="193"/>
      <c r="AF52" s="193"/>
      <c r="AG52" s="193">
        <f t="shared" si="5"/>
        <v>0</v>
      </c>
      <c r="AH52" s="193">
        <f t="shared" si="7"/>
        <v>0</v>
      </c>
      <c r="AI52" s="190" t="str">
        <f t="shared" si="1"/>
        <v>ok</v>
      </c>
      <c r="AJ52" s="193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</row>
    <row r="53" spans="1:165" ht="15.75">
      <c r="A53" s="3"/>
      <c r="B53" s="8" t="s">
        <v>691</v>
      </c>
      <c r="C53" s="9">
        <f>'St. James'!M37</f>
        <v>16742024</v>
      </c>
      <c r="D53" s="9">
        <f>'St. James'!M41+'St. James'!M39</f>
        <v>7033624</v>
      </c>
      <c r="E53" s="9"/>
      <c r="F53" s="9">
        <f>'St. James'!M42+'St. James'!M40+'St. James'!M38</f>
        <v>600228</v>
      </c>
      <c r="G53" s="9">
        <f t="shared" si="3"/>
        <v>24375876</v>
      </c>
      <c r="H53" s="9"/>
      <c r="I53" s="9">
        <f>'St. James'!M44</f>
        <v>449066</v>
      </c>
      <c r="J53" s="9"/>
      <c r="K53" s="9"/>
      <c r="L53" s="9">
        <f>'St. James'!M49</f>
        <v>-3772</v>
      </c>
      <c r="M53" s="9">
        <f>'St. James'!M43+'St. James'!M45+'St. James'!M46+'St. James'!M48</f>
        <v>2230148</v>
      </c>
      <c r="N53" s="9">
        <f t="shared" si="2"/>
        <v>2675442</v>
      </c>
      <c r="O53" s="9">
        <f>'St. James'!J20+'St. James'!K20+'St. James'!L20</f>
        <v>10954665</v>
      </c>
      <c r="P53" s="9">
        <f t="shared" si="6"/>
        <v>38005983</v>
      </c>
      <c r="Q53" s="190" t="str">
        <f t="shared" si="0"/>
        <v>ok</v>
      </c>
      <c r="R53" s="9">
        <f>'St. James'!M51+O53</f>
        <v>38005983</v>
      </c>
      <c r="S53" s="9">
        <f>'St. James'!I9</f>
        <v>-8236128</v>
      </c>
      <c r="T53" s="9"/>
      <c r="U53" s="9"/>
      <c r="V53" s="9"/>
      <c r="W53" s="9"/>
      <c r="X53" s="9"/>
      <c r="Y53" s="9">
        <f t="shared" si="4"/>
        <v>-8236128</v>
      </c>
      <c r="Z53" s="9">
        <f>'St. James'!I10</f>
        <v>-4267863</v>
      </c>
      <c r="AA53" s="9">
        <f>'St. James'!I11+'St. James'!I13+'St. James'!I14</f>
        <v>-6097434</v>
      </c>
      <c r="AB53" s="9">
        <f>'St. James'!I17</f>
        <v>-2531181</v>
      </c>
      <c r="AC53" s="9">
        <f>'St. James'!I15</f>
        <v>-4267848</v>
      </c>
      <c r="AD53" s="9">
        <f>'St. James'!I16</f>
        <v>-2651854</v>
      </c>
      <c r="AE53" s="9">
        <f>'St. James'!I18</f>
        <v>-303918</v>
      </c>
      <c r="AF53" s="9">
        <f>'St. James'!I12</f>
        <v>-2114685</v>
      </c>
      <c r="AG53" s="9">
        <f t="shared" si="5"/>
        <v>-22234783</v>
      </c>
      <c r="AH53" s="9">
        <f t="shared" si="7"/>
        <v>-30470911</v>
      </c>
      <c r="AI53" s="190" t="str">
        <f t="shared" si="1"/>
        <v>ok</v>
      </c>
      <c r="AJ53" s="9">
        <f>'St. James'!I20</f>
        <v>-30470911</v>
      </c>
    </row>
    <row r="54" spans="1:165" s="194" customFormat="1" ht="15.75">
      <c r="A54" s="191"/>
      <c r="B54" s="192" t="s">
        <v>692</v>
      </c>
      <c r="C54" s="193">
        <f>'St. John the Baptist'!M35</f>
        <v>12559687</v>
      </c>
      <c r="D54" s="193">
        <f>'St. John the Baptist'!M37+'St. John the Baptist'!M36+'St. John the Baptist'!M40</f>
        <v>22432382</v>
      </c>
      <c r="E54" s="193"/>
      <c r="F54" s="193">
        <f>'St. John the Baptist'!M39+'St. John the Baptist'!M38</f>
        <v>101817</v>
      </c>
      <c r="G54" s="193">
        <f t="shared" si="3"/>
        <v>35093886</v>
      </c>
      <c r="H54" s="193">
        <f>'St. John the Baptist'!M42</f>
        <v>100771</v>
      </c>
      <c r="I54" s="193">
        <f>'St. John the Baptist'!M43</f>
        <v>28113</v>
      </c>
      <c r="J54" s="193"/>
      <c r="K54" s="193"/>
      <c r="L54" s="193">
        <f>'St. John the Baptist'!M46</f>
        <v>-2107590</v>
      </c>
      <c r="M54" s="193">
        <f>'St. John the Baptist'!M41+'St. John the Baptist'!M44+'St. John the Baptist'!M45</f>
        <v>2115014</v>
      </c>
      <c r="N54" s="9">
        <f t="shared" si="2"/>
        <v>136308</v>
      </c>
      <c r="O54" s="193">
        <f>'St. John the Baptist'!J17+'St. John the Baptist'!K17+'St. John the Baptist'!L17</f>
        <v>7232069</v>
      </c>
      <c r="P54" s="193">
        <f t="shared" si="6"/>
        <v>42462263</v>
      </c>
      <c r="Q54" s="190" t="str">
        <f t="shared" si="0"/>
        <v>ok</v>
      </c>
      <c r="R54" s="193">
        <f>'St. John the Baptist'!M48+O54</f>
        <v>42462263</v>
      </c>
      <c r="S54" s="193">
        <f>'St. John the Baptist'!I9</f>
        <v>-11787695</v>
      </c>
      <c r="T54" s="193"/>
      <c r="U54" s="193"/>
      <c r="V54" s="193"/>
      <c r="W54" s="193"/>
      <c r="X54" s="193"/>
      <c r="Y54" s="193">
        <f t="shared" si="4"/>
        <v>-11787695</v>
      </c>
      <c r="Z54" s="193">
        <f>'St. John the Baptist'!I10</f>
        <v>-7732696</v>
      </c>
      <c r="AA54" s="193">
        <f>'St. John the Baptist'!I11</f>
        <v>-13105441</v>
      </c>
      <c r="AB54" s="193">
        <f>'St. John the Baptist'!I13</f>
        <v>-1268936</v>
      </c>
      <c r="AC54" s="193">
        <f>'St. John the Baptist'!I12</f>
        <v>-1761793</v>
      </c>
      <c r="AD54" s="193">
        <f>'St. John the Baptist'!I14</f>
        <v>-1850395</v>
      </c>
      <c r="AE54" s="193">
        <f>'St. John the Baptist'!I15</f>
        <v>-2902003</v>
      </c>
      <c r="AF54" s="193"/>
      <c r="AG54" s="193">
        <f t="shared" si="5"/>
        <v>-28621264</v>
      </c>
      <c r="AH54" s="193">
        <f t="shared" si="7"/>
        <v>-40408959</v>
      </c>
      <c r="AI54" s="190" t="str">
        <f t="shared" si="1"/>
        <v>ok</v>
      </c>
      <c r="AJ54" s="193">
        <f>'St. John the Baptist'!I17</f>
        <v>-40408959</v>
      </c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</row>
    <row r="55" spans="1:165" s="206" customFormat="1" ht="15.75">
      <c r="A55" s="196"/>
      <c r="B55" s="197" t="s">
        <v>693</v>
      </c>
      <c r="C55" s="205">
        <f>'St. Landry'!M31</f>
        <v>4353998</v>
      </c>
      <c r="D55" s="205">
        <f>'St. Landry'!M34+'St. Landry'!M33+'St. Landry'!M32</f>
        <v>2652076</v>
      </c>
      <c r="E55" s="205"/>
      <c r="F55" s="205">
        <f>'St. Landry'!M37+'St. Landry'!M36+'St. Landry'!M35</f>
        <v>1143649</v>
      </c>
      <c r="G55" s="9">
        <f t="shared" si="3"/>
        <v>8149723</v>
      </c>
      <c r="H55" s="205"/>
      <c r="I55" s="205"/>
      <c r="J55" s="205">
        <f>'St. Landry'!M42</f>
        <v>373490</v>
      </c>
      <c r="K55" s="205"/>
      <c r="L55" s="205"/>
      <c r="M55" s="205">
        <f>'St. Landry'!M38+'St. Landry'!M39+'St. Landry'!M40+'St. Landry'!M43+'St. Landry'!M44+'St. Landry'!M45+'St. Landry'!M46</f>
        <v>1410141</v>
      </c>
      <c r="N55" s="9">
        <f t="shared" si="2"/>
        <v>1783631</v>
      </c>
      <c r="O55" s="205">
        <f>'St. Landry'!J16+'St. Landry'!K16+'St. Landry'!L16</f>
        <v>7244967</v>
      </c>
      <c r="P55" s="9">
        <f t="shared" si="6"/>
        <v>17178321</v>
      </c>
      <c r="Q55" s="190" t="str">
        <f t="shared" si="0"/>
        <v>ok</v>
      </c>
      <c r="R55" s="205">
        <f>'St. Landry'!M48+O55</f>
        <v>17178321</v>
      </c>
      <c r="S55" s="205">
        <f>'St. Landry'!I10</f>
        <v>-4964564</v>
      </c>
      <c r="T55" s="205"/>
      <c r="U55" s="205"/>
      <c r="V55" s="205"/>
      <c r="W55" s="205"/>
      <c r="X55" s="205"/>
      <c r="Y55" s="9">
        <f>SUM(S55:X55)</f>
        <v>-4964564</v>
      </c>
      <c r="Z55" s="205">
        <f>'St. Landry'!I11</f>
        <v>-2743464</v>
      </c>
      <c r="AA55" s="205">
        <f>'St. Landry'!I12</f>
        <v>-9699501</v>
      </c>
      <c r="AB55" s="205"/>
      <c r="AC55" s="205">
        <f>'St. Landry'!I13</f>
        <v>-1465377</v>
      </c>
      <c r="AD55" s="205"/>
      <c r="AE55" s="205">
        <f>'St. Landry'!I14</f>
        <v>-4820</v>
      </c>
      <c r="AF55" s="205"/>
      <c r="AG55" s="9">
        <f t="shared" si="5"/>
        <v>-13913162</v>
      </c>
      <c r="AH55" s="205">
        <f>SUM(AG55, Y55)</f>
        <v>-18877726</v>
      </c>
      <c r="AI55" s="190" t="str">
        <f>IF(AH55=AJ55, "ok", "check")</f>
        <v>ok</v>
      </c>
      <c r="AJ55" s="205">
        <f>'St. Landry'!I16</f>
        <v>-18877726</v>
      </c>
    </row>
    <row r="56" spans="1:165" s="219" customFormat="1" ht="15.75">
      <c r="A56" s="216"/>
      <c r="B56" s="217" t="s">
        <v>694</v>
      </c>
      <c r="C56" s="218">
        <f>'St. Martin'!M27</f>
        <v>10198768</v>
      </c>
      <c r="D56" s="218">
        <f>'St. Martin'!M28</f>
        <v>4905730</v>
      </c>
      <c r="E56" s="218"/>
      <c r="F56" s="218">
        <f>'St. Martin'!M29</f>
        <v>993204</v>
      </c>
      <c r="G56" s="218">
        <f t="shared" si="3"/>
        <v>16097702</v>
      </c>
      <c r="H56" s="218">
        <f>'St. Martin'!M32</f>
        <v>432477</v>
      </c>
      <c r="I56" s="218"/>
      <c r="J56" s="218"/>
      <c r="K56" s="218"/>
      <c r="L56" s="218">
        <f>'St. Martin'!M38+'St. Martin'!M39</f>
        <v>-2229056</v>
      </c>
      <c r="M56" s="218">
        <f>'St. Martin'!M30+'St. Martin'!M31+'St. Martin'!M33+'St. Martin'!M34+'St. Martin'!M35+'St. Martin'!M36+'St. Martin'!M37</f>
        <v>4273562</v>
      </c>
      <c r="N56" s="9">
        <f t="shared" si="2"/>
        <v>2476983</v>
      </c>
      <c r="O56" s="218">
        <f>'St. Martin'!J16+'St. Martin'!K16+'St. Martin'!L16</f>
        <v>7192126</v>
      </c>
      <c r="P56" s="218">
        <f t="shared" si="6"/>
        <v>25766811</v>
      </c>
      <c r="Q56" s="190" t="str">
        <f t="shared" si="0"/>
        <v>ok</v>
      </c>
      <c r="R56" s="218">
        <f>'St. Martin'!M41+O56</f>
        <v>25766811</v>
      </c>
      <c r="S56" s="218">
        <f>'St. Martin'!I8</f>
        <v>-5962814</v>
      </c>
      <c r="T56" s="218"/>
      <c r="U56" s="218"/>
      <c r="V56" s="218"/>
      <c r="W56" s="218"/>
      <c r="X56" s="218"/>
      <c r="Y56" s="218">
        <f t="shared" ref="Y56:Y63" si="20">SUM(S56:X56)</f>
        <v>-5962814</v>
      </c>
      <c r="Z56" s="218">
        <f>'St. Martin'!I9</f>
        <v>-2472980</v>
      </c>
      <c r="AA56" s="218">
        <f>'St. Martin'!I10</f>
        <v>-4591193</v>
      </c>
      <c r="AB56" s="218">
        <f>'St. Martin'!I11</f>
        <v>-1340504</v>
      </c>
      <c r="AC56" s="218">
        <f>'St. Martin'!I12</f>
        <v>-3766875</v>
      </c>
      <c r="AD56" s="218">
        <f>'St. Martin'!I13</f>
        <v>-613652</v>
      </c>
      <c r="AE56" s="218">
        <f>'St. Martin'!I14</f>
        <v>-833413</v>
      </c>
      <c r="AF56" s="218"/>
      <c r="AG56" s="218">
        <f t="shared" si="5"/>
        <v>-13618617</v>
      </c>
      <c r="AH56" s="218">
        <f t="shared" ref="AH56:AH67" si="21">SUM(AG56,Y56)</f>
        <v>-19581431</v>
      </c>
      <c r="AI56" s="190" t="str">
        <f t="shared" ref="AI56:AI67" si="22">IF(AH56=AJ56,"ok","check")</f>
        <v>ok</v>
      </c>
      <c r="AJ56" s="218">
        <f>'St. Martin'!I16</f>
        <v>-19581431</v>
      </c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</row>
    <row r="57" spans="1:165" s="200" customFormat="1" ht="15.75">
      <c r="A57" s="3"/>
      <c r="B57" s="8" t="s">
        <v>695</v>
      </c>
      <c r="C57" s="9">
        <f>'St. Mary'!M34+'St. Mary'!M35</f>
        <v>3444951</v>
      </c>
      <c r="D57" s="9">
        <f>'St. Mary'!M33</f>
        <v>7601464</v>
      </c>
      <c r="E57" s="9"/>
      <c r="F57" s="9">
        <f>'St. Mary'!M37+'St. Mary'!M36</f>
        <v>1038509</v>
      </c>
      <c r="G57" s="9">
        <f>SUM(C57,D57,E57,F57)</f>
        <v>12084924</v>
      </c>
      <c r="H57" s="9">
        <f>'St. Mary'!M39</f>
        <v>551451</v>
      </c>
      <c r="I57" s="9"/>
      <c r="J57" s="9"/>
      <c r="K57" s="9"/>
      <c r="L57" s="12">
        <f>'St. Mary'!M44</f>
        <v>-2390500</v>
      </c>
      <c r="M57" s="9">
        <f>'St. Mary'!M38+'St. Mary'!M40+'St. Mary'!M41</f>
        <v>9034172</v>
      </c>
      <c r="N57" s="9">
        <f t="shared" si="2"/>
        <v>7195123</v>
      </c>
      <c r="O57" s="9">
        <f>'St. Mary'!J20+'St. Mary'!K20+'St. Mary'!L20</f>
        <v>14787163</v>
      </c>
      <c r="P57" s="9">
        <f t="shared" si="6"/>
        <v>34067210</v>
      </c>
      <c r="Q57" s="190" t="str">
        <f t="shared" si="0"/>
        <v>ok</v>
      </c>
      <c r="R57" s="9">
        <f>'St. Mary'!M46+O57</f>
        <v>34067210</v>
      </c>
      <c r="S57" s="9">
        <f>'St. Mary'!I9</f>
        <v>-6781408</v>
      </c>
      <c r="T57" s="9"/>
      <c r="U57" s="9"/>
      <c r="V57" s="9"/>
      <c r="W57" s="9"/>
      <c r="X57" s="9"/>
      <c r="Y57" s="9">
        <f t="shared" si="20"/>
        <v>-6781408</v>
      </c>
      <c r="Z57" s="9">
        <f>'St. Mary'!I10</f>
        <v>-5130578</v>
      </c>
      <c r="AA57" s="9">
        <f>'St. Mary'!I11</f>
        <v>-9411807</v>
      </c>
      <c r="AB57" s="9">
        <f>'St. Mary'!I16</f>
        <v>-231272</v>
      </c>
      <c r="AC57" s="9">
        <f>'St. Mary'!I14</f>
        <v>-5540942</v>
      </c>
      <c r="AD57" s="9">
        <f>'St. Mary'!I13</f>
        <v>-2520440</v>
      </c>
      <c r="AE57" s="9">
        <f>'St. Mary'!I18+'St. Mary'!I17</f>
        <v>-891574</v>
      </c>
      <c r="AF57" s="9">
        <f>'St. Mary'!I15+'St. Mary'!I12</f>
        <v>-2781452</v>
      </c>
      <c r="AG57" s="9">
        <f>SUM(Z57:AF57)</f>
        <v>-26508065</v>
      </c>
      <c r="AH57" s="9">
        <f t="shared" si="21"/>
        <v>-33289473</v>
      </c>
      <c r="AI57" s="190" t="str">
        <f t="shared" si="22"/>
        <v>ok</v>
      </c>
      <c r="AJ57" s="9">
        <f>'St. Mary'!I20</f>
        <v>-33289473</v>
      </c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</row>
    <row r="58" spans="1:165" s="223" customFormat="1" ht="15.75">
      <c r="A58" s="220"/>
      <c r="B58" s="221" t="s">
        <v>696</v>
      </c>
      <c r="C58" s="242">
        <f>'St. Tammany'!M33+'St. Tammany'!M34</f>
        <v>28561315</v>
      </c>
      <c r="D58" s="222">
        <f>'St. Tammany'!M35+'St. Tammany'!M36+'St. Tammany'!M37+'St. Tammany'!M42</f>
        <v>64709216</v>
      </c>
      <c r="E58" s="222"/>
      <c r="F58" s="222">
        <f>'St. Tammany'!M38+'St. Tammany'!M39+'St. Tammany'!M40+'St. Tammany'!M41</f>
        <v>147753</v>
      </c>
      <c r="G58" s="222">
        <f t="shared" ref="G58:G60" si="23">SUM(C58:F58)</f>
        <v>93418284</v>
      </c>
      <c r="H58" s="222">
        <f>'St. Tammany'!M45</f>
        <v>280397</v>
      </c>
      <c r="I58" s="222"/>
      <c r="J58" s="222"/>
      <c r="K58" s="222"/>
      <c r="L58" s="222">
        <f>'St. Tammany'!M53</f>
        <v>327811</v>
      </c>
      <c r="M58" s="222">
        <f>'St. Tammany'!M46+'St. Tammany'!M47+'St. Tammany'!M48+'St. Tammany'!M49+'St. Tammany'!M52</f>
        <v>13368344</v>
      </c>
      <c r="N58" s="9">
        <f t="shared" si="2"/>
        <v>13976552</v>
      </c>
      <c r="O58" s="222">
        <f>'St. Tammany'!J18+'St. Tammany'!K18+'St. Tammany'!L18</f>
        <v>38943945</v>
      </c>
      <c r="P58" s="222">
        <f t="shared" si="6"/>
        <v>146338781</v>
      </c>
      <c r="Q58" s="190" t="str">
        <f t="shared" si="0"/>
        <v>ok</v>
      </c>
      <c r="R58" s="222">
        <f>'St. Tammany'!M55+O58</f>
        <v>146338781</v>
      </c>
      <c r="S58" s="222">
        <f>'St. Tammany'!I9</f>
        <v>-22890790</v>
      </c>
      <c r="T58" s="222"/>
      <c r="U58" s="222"/>
      <c r="V58" s="222"/>
      <c r="W58" s="222"/>
      <c r="X58" s="222"/>
      <c r="Y58" s="222">
        <f t="shared" si="20"/>
        <v>-22890790</v>
      </c>
      <c r="Z58" s="222">
        <f>'St. Tammany'!I10</f>
        <v>-16260579</v>
      </c>
      <c r="AA58" s="222">
        <f>'St. Tammany'!I11</f>
        <v>-36628105</v>
      </c>
      <c r="AB58" s="222">
        <f>'St. Tammany'!I15</f>
        <v>-952898</v>
      </c>
      <c r="AC58" s="222">
        <f>'St. Tammany'!I13</f>
        <v>-10042280</v>
      </c>
      <c r="AD58" s="222">
        <f>'St. Tammany'!I14</f>
        <v>-10339088</v>
      </c>
      <c r="AE58" s="222">
        <f>'St. Tammany'!I16</f>
        <v>-4790681</v>
      </c>
      <c r="AF58" s="222">
        <f>'St. Tammany'!I12</f>
        <v>-1053250</v>
      </c>
      <c r="AG58" s="222">
        <f t="shared" ref="AG58:AG60" si="24">SUM(Z58:AF58)</f>
        <v>-80066881</v>
      </c>
      <c r="AH58" s="222">
        <f t="shared" si="21"/>
        <v>-102957671</v>
      </c>
      <c r="AI58" s="190" t="str">
        <f t="shared" si="22"/>
        <v>ok</v>
      </c>
      <c r="AJ58" s="222">
        <f>'St. Tammany'!I18</f>
        <v>-102957671</v>
      </c>
      <c r="AK58" s="199"/>
      <c r="AL58" s="199"/>
      <c r="AM58" s="199"/>
      <c r="AN58" s="199"/>
      <c r="AO58" s="199"/>
      <c r="AP58" s="199"/>
      <c r="AQ58" s="199"/>
      <c r="AR58" s="199"/>
      <c r="AS58" s="199"/>
      <c r="AT58" s="199"/>
      <c r="AU58" s="199"/>
      <c r="AV58" s="199"/>
      <c r="AW58" s="199"/>
      <c r="AX58" s="199"/>
      <c r="AY58" s="199"/>
      <c r="AZ58" s="199"/>
      <c r="BA58" s="199"/>
      <c r="BB58" s="199"/>
      <c r="BC58" s="199"/>
      <c r="BD58" s="199"/>
      <c r="BE58" s="199"/>
      <c r="BF58" s="199"/>
      <c r="BG58" s="199"/>
      <c r="BH58" s="199"/>
      <c r="BI58" s="199"/>
      <c r="BJ58" s="199"/>
      <c r="BK58" s="199"/>
      <c r="BL58" s="199"/>
      <c r="BM58" s="199"/>
      <c r="BN58" s="199"/>
      <c r="BO58" s="199"/>
      <c r="BP58" s="199"/>
      <c r="BQ58" s="199"/>
      <c r="BR58" s="199"/>
      <c r="BS58" s="199"/>
      <c r="BT58" s="199"/>
      <c r="BU58" s="199"/>
      <c r="BV58" s="199"/>
      <c r="BW58" s="199"/>
      <c r="BX58" s="199"/>
      <c r="BY58" s="199"/>
      <c r="BZ58" s="199"/>
      <c r="CA58" s="199"/>
      <c r="CB58" s="199"/>
      <c r="CC58" s="199"/>
      <c r="CD58" s="199"/>
      <c r="CE58" s="199"/>
      <c r="CF58" s="199"/>
      <c r="CG58" s="199"/>
      <c r="CH58" s="199"/>
      <c r="CI58" s="199"/>
      <c r="CJ58" s="199"/>
      <c r="CK58" s="199"/>
      <c r="CL58" s="199"/>
      <c r="CM58" s="199"/>
      <c r="CN58" s="199"/>
      <c r="CO58" s="199"/>
      <c r="CP58" s="199"/>
      <c r="CQ58" s="199"/>
      <c r="CR58" s="199"/>
      <c r="CS58" s="199"/>
      <c r="CT58" s="199"/>
      <c r="CU58" s="199"/>
      <c r="CV58" s="199"/>
      <c r="CW58" s="199"/>
      <c r="CX58" s="199"/>
      <c r="CY58" s="199"/>
      <c r="CZ58" s="199"/>
      <c r="DA58" s="199"/>
      <c r="DB58" s="199"/>
      <c r="DC58" s="199"/>
      <c r="DD58" s="199"/>
      <c r="DE58" s="199"/>
      <c r="DF58" s="199"/>
      <c r="DG58" s="199"/>
      <c r="DH58" s="199"/>
      <c r="DI58" s="199"/>
      <c r="DJ58" s="199"/>
      <c r="DK58" s="199"/>
      <c r="DL58" s="199"/>
      <c r="DM58" s="199"/>
      <c r="DN58" s="199"/>
      <c r="DO58" s="199"/>
      <c r="DP58" s="199"/>
      <c r="DQ58" s="199"/>
      <c r="DR58" s="199"/>
      <c r="DS58" s="199"/>
      <c r="DT58" s="199"/>
      <c r="DU58" s="199"/>
      <c r="DV58" s="199"/>
      <c r="DW58" s="199"/>
      <c r="DX58" s="199"/>
      <c r="DY58" s="199"/>
      <c r="DZ58" s="199"/>
      <c r="EA58" s="199"/>
      <c r="EB58" s="199"/>
      <c r="EC58" s="199"/>
      <c r="ED58" s="199"/>
      <c r="EE58" s="199"/>
      <c r="EF58" s="199"/>
      <c r="EG58" s="199"/>
      <c r="EH58" s="199"/>
      <c r="EI58" s="199"/>
      <c r="EJ58" s="199"/>
      <c r="EK58" s="199"/>
      <c r="EL58" s="199"/>
      <c r="EM58" s="199"/>
      <c r="EN58" s="199"/>
      <c r="EO58" s="199"/>
      <c r="EP58" s="199"/>
      <c r="EQ58" s="199"/>
      <c r="ER58" s="199"/>
      <c r="ES58" s="199"/>
      <c r="ET58" s="199"/>
      <c r="EU58" s="199"/>
      <c r="EV58" s="199"/>
      <c r="EW58" s="199"/>
      <c r="EX58" s="199"/>
      <c r="EY58" s="199"/>
      <c r="EZ58" s="199"/>
      <c r="FA58" s="199"/>
      <c r="FB58" s="199"/>
      <c r="FC58" s="199"/>
      <c r="FD58" s="199"/>
      <c r="FE58" s="199"/>
      <c r="FF58" s="199"/>
      <c r="FG58" s="199"/>
      <c r="FH58" s="199"/>
      <c r="FI58" s="199"/>
    </row>
    <row r="59" spans="1:165" ht="15.75">
      <c r="A59" s="3"/>
      <c r="B59" s="8" t="s">
        <v>697</v>
      </c>
      <c r="C59" s="80">
        <f>Tangipahoa!M25</f>
        <v>6313647</v>
      </c>
      <c r="D59" s="9">
        <f>Tangipahoa!M24+Tangipahoa!M26</f>
        <v>18298019</v>
      </c>
      <c r="E59" s="9"/>
      <c r="F59" s="9">
        <f>Tangipahoa!M27+Tangipahoa!M28</f>
        <v>253326</v>
      </c>
      <c r="G59" s="9">
        <f t="shared" si="23"/>
        <v>24864992</v>
      </c>
      <c r="H59" s="9">
        <f>Tangipahoa!M30</f>
        <v>482207</v>
      </c>
      <c r="I59" s="9"/>
      <c r="J59" s="9"/>
      <c r="K59" s="9"/>
      <c r="L59" s="9">
        <f>Tangipahoa!M36</f>
        <v>1502622</v>
      </c>
      <c r="M59" s="9">
        <f>Tangipahoa!M35+Tangipahoa!M34+Tangipahoa!M33+Tangipahoa!M32+Tangipahoa!M29</f>
        <v>1157573</v>
      </c>
      <c r="N59" s="9">
        <f t="shared" si="2"/>
        <v>3142402</v>
      </c>
      <c r="O59" s="9">
        <f>Tangipahoa!J15+Tangipahoa!K15+Tangipahoa!L15</f>
        <v>20548478</v>
      </c>
      <c r="P59" s="9">
        <f t="shared" si="6"/>
        <v>48555872</v>
      </c>
      <c r="Q59" s="190" t="str">
        <f t="shared" si="0"/>
        <v>ok</v>
      </c>
      <c r="R59" s="9">
        <f>Tangipahoa!M38+O59</f>
        <v>48555872</v>
      </c>
      <c r="S59" s="9">
        <f>Tangipahoa!I8</f>
        <v>-6711679</v>
      </c>
      <c r="T59" s="9"/>
      <c r="U59" s="9"/>
      <c r="V59" s="9"/>
      <c r="W59" s="9"/>
      <c r="X59" s="9"/>
      <c r="Y59" s="9">
        <f t="shared" si="20"/>
        <v>-6711679</v>
      </c>
      <c r="Z59" s="9">
        <f>Tangipahoa!I10</f>
        <v>-3515241</v>
      </c>
      <c r="AA59" s="9">
        <f>Tangipahoa!I11</f>
        <v>-23111916</v>
      </c>
      <c r="AB59" s="9"/>
      <c r="AC59" s="9">
        <f>Tangipahoa!I12</f>
        <v>-295220</v>
      </c>
      <c r="AD59" s="9">
        <f>Tangipahoa!I9</f>
        <v>-4269662</v>
      </c>
      <c r="AE59" s="9">
        <f>Tangipahoa!I13</f>
        <v>-58171</v>
      </c>
      <c r="AF59" s="9"/>
      <c r="AG59" s="9">
        <f t="shared" si="24"/>
        <v>-31250210</v>
      </c>
      <c r="AH59" s="9">
        <f t="shared" si="21"/>
        <v>-37961889</v>
      </c>
      <c r="AI59" s="190" t="str">
        <f t="shared" si="22"/>
        <v>ok</v>
      </c>
      <c r="AJ59" s="9">
        <f>Tangipahoa!I15</f>
        <v>-37961889</v>
      </c>
    </row>
    <row r="60" spans="1:165" s="219" customFormat="1" ht="15.75">
      <c r="A60" s="216"/>
      <c r="B60" s="217" t="s">
        <v>698</v>
      </c>
      <c r="C60" s="218">
        <f>Tensas!M25</f>
        <v>1435114</v>
      </c>
      <c r="D60" s="218">
        <f>Tensas!M26</f>
        <v>1966008</v>
      </c>
      <c r="E60" s="218"/>
      <c r="F60" s="218">
        <f>Tensas!M27</f>
        <v>292874</v>
      </c>
      <c r="G60" s="218">
        <f t="shared" si="23"/>
        <v>3693996</v>
      </c>
      <c r="H60" s="218">
        <f>Tensas!M31</f>
        <v>41796</v>
      </c>
      <c r="I60" s="218"/>
      <c r="J60" s="218"/>
      <c r="K60" s="218"/>
      <c r="L60" s="218"/>
      <c r="M60" s="218">
        <f>Tensas!M28+Tensas!M30+Tensas!M32+Tensas!M33+Tensas!M34</f>
        <v>444445</v>
      </c>
      <c r="N60" s="9">
        <f t="shared" si="2"/>
        <v>486241</v>
      </c>
      <c r="O60" s="218">
        <f>Tensas!J21+Tensas!K21+Tensas!L21</f>
        <v>1027406</v>
      </c>
      <c r="P60" s="218">
        <f t="shared" si="6"/>
        <v>5207643</v>
      </c>
      <c r="Q60" s="190" t="str">
        <f t="shared" si="0"/>
        <v>ok</v>
      </c>
      <c r="R60" s="218">
        <f>Tensas!M36+O60</f>
        <v>5207643</v>
      </c>
      <c r="S60" s="218"/>
      <c r="T60" s="218">
        <f>Tensas!I9</f>
        <v>-175453</v>
      </c>
      <c r="U60" s="218">
        <f>Tensas!I10</f>
        <v>-383006</v>
      </c>
      <c r="V60" s="218">
        <f>Tensas!I11</f>
        <v>-31365</v>
      </c>
      <c r="W60" s="218">
        <f>Tensas!I12</f>
        <v>-458456</v>
      </c>
      <c r="X60" s="218">
        <f>Tensas!I13</f>
        <v>-522991</v>
      </c>
      <c r="Y60" s="218">
        <f t="shared" si="20"/>
        <v>-1571271</v>
      </c>
      <c r="Z60" s="218">
        <f>Tensas!I14</f>
        <v>-377338</v>
      </c>
      <c r="AA60" s="218">
        <f>Tensas!I15</f>
        <v>-1586730</v>
      </c>
      <c r="AB60" s="218">
        <f>Tensas!I18</f>
        <v>-246621</v>
      </c>
      <c r="AC60" s="218">
        <f>Tensas!I16</f>
        <v>-571876</v>
      </c>
      <c r="AD60" s="218">
        <f>Tensas!I17</f>
        <v>-298903</v>
      </c>
      <c r="AE60" s="218">
        <f>Tensas!I19</f>
        <v>-57351</v>
      </c>
      <c r="AF60" s="218"/>
      <c r="AG60" s="218">
        <f t="shared" si="24"/>
        <v>-3138819</v>
      </c>
      <c r="AH60" s="218">
        <f t="shared" si="21"/>
        <v>-4710090</v>
      </c>
      <c r="AI60" s="190" t="str">
        <f t="shared" si="22"/>
        <v>ok</v>
      </c>
      <c r="AJ60" s="218">
        <f>Tensas!I21</f>
        <v>-4710090</v>
      </c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</row>
    <row r="61" spans="1:165" s="200" customFormat="1" ht="15.75">
      <c r="A61" s="3"/>
      <c r="B61" s="8" t="s">
        <v>699</v>
      </c>
      <c r="C61" s="9">
        <f>Terrebonne!M45</f>
        <v>26473371</v>
      </c>
      <c r="D61" s="9">
        <f>Terrebonne!M46+Terrebonne!M47</f>
        <v>44720999</v>
      </c>
      <c r="E61" s="9"/>
      <c r="F61" s="9"/>
      <c r="G61" s="9">
        <f>SUM(C61,D61,E61,F61)</f>
        <v>71194370</v>
      </c>
      <c r="H61" s="9"/>
      <c r="I61" s="9">
        <f>Terrebonne!M49</f>
        <v>9964976</v>
      </c>
      <c r="J61" s="9"/>
      <c r="K61" s="9"/>
      <c r="L61" s="12">
        <f>Terrebonne!M52</f>
        <v>3456622</v>
      </c>
      <c r="M61" s="9">
        <f>Terrebonne!M51+Terrebonne!M50</f>
        <v>119853</v>
      </c>
      <c r="N61" s="9">
        <f t="shared" si="2"/>
        <v>13541451</v>
      </c>
      <c r="O61" s="9">
        <f>Terrebonne!J20+Terrebonne!K20+Terrebonne!L20</f>
        <v>58404301</v>
      </c>
      <c r="P61" s="9">
        <f t="shared" si="6"/>
        <v>143140122</v>
      </c>
      <c r="Q61" s="190" t="str">
        <f t="shared" si="0"/>
        <v>ok</v>
      </c>
      <c r="R61" s="9">
        <f>Terrebonne!M54+O61</f>
        <v>143140122</v>
      </c>
      <c r="S61" s="9">
        <f>Terrebonne!I9</f>
        <v>-23040130</v>
      </c>
      <c r="T61" s="9"/>
      <c r="U61" s="9"/>
      <c r="V61" s="9"/>
      <c r="W61" s="9"/>
      <c r="X61" s="9"/>
      <c r="Y61" s="9">
        <f t="shared" si="20"/>
        <v>-23040130</v>
      </c>
      <c r="Z61" s="9">
        <f>Terrebonne!I10</f>
        <v>-38431578</v>
      </c>
      <c r="AA61" s="9">
        <f>Terrebonne!I11</f>
        <v>-28105188</v>
      </c>
      <c r="AB61" s="9">
        <f>Terrebonne!I16</f>
        <v>-12430728</v>
      </c>
      <c r="AC61" s="9">
        <f>Terrebonne!I12</f>
        <v>-12532038</v>
      </c>
      <c r="AD61" s="9">
        <f>Terrebonne!I13</f>
        <v>-4137673</v>
      </c>
      <c r="AE61" s="9">
        <f>Terrebonne!I18</f>
        <v>-4996850</v>
      </c>
      <c r="AF61" s="9">
        <f>Terrebonne!I17+Terrebonne!I15+Terrebonne!I14</f>
        <v>-10183567</v>
      </c>
      <c r="AG61" s="9">
        <f>SUM(Z61:AF61)</f>
        <v>-110817622</v>
      </c>
      <c r="AH61" s="9">
        <f t="shared" si="21"/>
        <v>-133857752</v>
      </c>
      <c r="AI61" s="190" t="str">
        <f t="shared" si="22"/>
        <v>ok</v>
      </c>
      <c r="AJ61" s="9">
        <f>Terrebonne!I20</f>
        <v>-133857752</v>
      </c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</row>
    <row r="62" spans="1:165" s="223" customFormat="1" ht="15.75">
      <c r="A62" s="220"/>
      <c r="B62" s="221" t="s">
        <v>700</v>
      </c>
      <c r="C62" s="242">
        <f>Union!M26+Union!M25+Union!M24+Union!M23</f>
        <v>3258064</v>
      </c>
      <c r="D62" s="222">
        <f>Union!M27</f>
        <v>2460071</v>
      </c>
      <c r="E62" s="222"/>
      <c r="F62" s="222">
        <f>Union!M28</f>
        <v>35475</v>
      </c>
      <c r="G62" s="222">
        <f t="shared" ref="G62:G64" si="25">SUM(C62:F62)</f>
        <v>5753610</v>
      </c>
      <c r="H62" s="222"/>
      <c r="I62" s="222">
        <f>Union!M29</f>
        <v>818830</v>
      </c>
      <c r="J62" s="222"/>
      <c r="K62" s="222"/>
      <c r="L62" s="222">
        <f>Union!M33</f>
        <v>435</v>
      </c>
      <c r="M62" s="222">
        <f>Union!M30+Union!M31+Union!M32+Union!M34</f>
        <v>174096</v>
      </c>
      <c r="N62" s="9">
        <f t="shared" si="2"/>
        <v>993361</v>
      </c>
      <c r="O62" s="222">
        <f>Union!J19+Union!K19+Union!L19</f>
        <v>7878408</v>
      </c>
      <c r="P62" s="222">
        <f t="shared" si="6"/>
        <v>14625379</v>
      </c>
      <c r="Q62" s="190" t="str">
        <f t="shared" si="0"/>
        <v>ok</v>
      </c>
      <c r="R62" s="222">
        <f>Union!M36+O62</f>
        <v>14625379</v>
      </c>
      <c r="S62" s="222">
        <f>Union!I9</f>
        <v>-1352780</v>
      </c>
      <c r="T62" s="222"/>
      <c r="U62" s="222"/>
      <c r="V62" s="222"/>
      <c r="W62" s="222"/>
      <c r="X62" s="222"/>
      <c r="Y62" s="222">
        <f t="shared" si="20"/>
        <v>-1352780</v>
      </c>
      <c r="Z62" s="222">
        <f>Union!I10</f>
        <v>-4089011</v>
      </c>
      <c r="AA62" s="222">
        <f>Union!I15+Union!I11</f>
        <v>-4775357</v>
      </c>
      <c r="AB62" s="222">
        <f>Union!I14</f>
        <v>-45444</v>
      </c>
      <c r="AC62" s="222">
        <f>Union!I12</f>
        <v>-1860674</v>
      </c>
      <c r="AD62" s="222">
        <f>Union!I13</f>
        <v>-437844</v>
      </c>
      <c r="AE62" s="222">
        <f>Union!I16</f>
        <v>-26344</v>
      </c>
      <c r="AF62" s="222">
        <f>Union!I17</f>
        <v>-157611</v>
      </c>
      <c r="AG62" s="222">
        <f t="shared" ref="AG62:AG63" si="26">SUM(Z62:AF62)</f>
        <v>-11392285</v>
      </c>
      <c r="AH62" s="222">
        <f t="shared" si="21"/>
        <v>-12745065</v>
      </c>
      <c r="AI62" s="190" t="str">
        <f t="shared" si="22"/>
        <v>ok</v>
      </c>
      <c r="AJ62" s="222">
        <f>Union!I19</f>
        <v>-12745065</v>
      </c>
      <c r="AK62" s="199"/>
      <c r="AL62" s="199"/>
      <c r="AM62" s="199"/>
      <c r="AN62" s="199"/>
      <c r="AO62" s="199"/>
      <c r="AP62" s="199"/>
      <c r="AQ62" s="199"/>
      <c r="AR62" s="199"/>
      <c r="AS62" s="199"/>
      <c r="AT62" s="199"/>
      <c r="AU62" s="199"/>
      <c r="AV62" s="199"/>
      <c r="AW62" s="199"/>
      <c r="AX62" s="199"/>
      <c r="AY62" s="199"/>
      <c r="AZ62" s="199"/>
      <c r="BA62" s="199"/>
      <c r="BB62" s="199"/>
      <c r="BC62" s="199"/>
      <c r="BD62" s="199"/>
      <c r="BE62" s="199"/>
      <c r="BF62" s="199"/>
      <c r="BG62" s="199"/>
      <c r="BH62" s="199"/>
      <c r="BI62" s="199"/>
      <c r="BJ62" s="199"/>
      <c r="BK62" s="199"/>
      <c r="BL62" s="199"/>
      <c r="BM62" s="199"/>
      <c r="BN62" s="199"/>
      <c r="BO62" s="199"/>
      <c r="BP62" s="199"/>
      <c r="BQ62" s="199"/>
      <c r="BR62" s="199"/>
      <c r="BS62" s="199"/>
      <c r="BT62" s="199"/>
      <c r="BU62" s="199"/>
      <c r="BV62" s="199"/>
      <c r="BW62" s="199"/>
      <c r="BX62" s="199"/>
      <c r="BY62" s="199"/>
      <c r="BZ62" s="199"/>
      <c r="CA62" s="199"/>
      <c r="CB62" s="199"/>
      <c r="CC62" s="199"/>
      <c r="CD62" s="199"/>
      <c r="CE62" s="199"/>
      <c r="CF62" s="199"/>
      <c r="CG62" s="199"/>
      <c r="CH62" s="199"/>
      <c r="CI62" s="199"/>
      <c r="CJ62" s="199"/>
      <c r="CK62" s="199"/>
      <c r="CL62" s="199"/>
      <c r="CM62" s="199"/>
      <c r="CN62" s="199"/>
      <c r="CO62" s="199"/>
      <c r="CP62" s="199"/>
      <c r="CQ62" s="199"/>
      <c r="CR62" s="199"/>
      <c r="CS62" s="199"/>
      <c r="CT62" s="199"/>
      <c r="CU62" s="199"/>
      <c r="CV62" s="199"/>
      <c r="CW62" s="199"/>
      <c r="CX62" s="199"/>
      <c r="CY62" s="199"/>
      <c r="CZ62" s="199"/>
      <c r="DA62" s="199"/>
      <c r="DB62" s="199"/>
      <c r="DC62" s="199"/>
      <c r="DD62" s="199"/>
      <c r="DE62" s="199"/>
      <c r="DF62" s="199"/>
      <c r="DG62" s="199"/>
      <c r="DH62" s="199"/>
      <c r="DI62" s="199"/>
      <c r="DJ62" s="199"/>
      <c r="DK62" s="199"/>
      <c r="DL62" s="199"/>
      <c r="DM62" s="199"/>
      <c r="DN62" s="199"/>
      <c r="DO62" s="199"/>
      <c r="DP62" s="199"/>
      <c r="DQ62" s="199"/>
      <c r="DR62" s="199"/>
      <c r="DS62" s="199"/>
      <c r="DT62" s="199"/>
      <c r="DU62" s="199"/>
      <c r="DV62" s="199"/>
      <c r="DW62" s="199"/>
      <c r="DX62" s="199"/>
      <c r="DY62" s="199"/>
      <c r="DZ62" s="199"/>
      <c r="EA62" s="199"/>
      <c r="EB62" s="199"/>
      <c r="EC62" s="199"/>
      <c r="ED62" s="199"/>
      <c r="EE62" s="199"/>
      <c r="EF62" s="199"/>
      <c r="EG62" s="199"/>
      <c r="EH62" s="199"/>
      <c r="EI62" s="199"/>
      <c r="EJ62" s="199"/>
      <c r="EK62" s="199"/>
      <c r="EL62" s="199"/>
      <c r="EM62" s="199"/>
      <c r="EN62" s="199"/>
      <c r="EO62" s="199"/>
      <c r="EP62" s="199"/>
      <c r="EQ62" s="199"/>
      <c r="ER62" s="199"/>
      <c r="ES62" s="199"/>
      <c r="ET62" s="199"/>
      <c r="EU62" s="199"/>
      <c r="EV62" s="199"/>
      <c r="EW62" s="199"/>
      <c r="EX62" s="199"/>
      <c r="EY62" s="199"/>
      <c r="EZ62" s="199"/>
      <c r="FA62" s="199"/>
      <c r="FB62" s="199"/>
      <c r="FC62" s="199"/>
      <c r="FD62" s="199"/>
      <c r="FE62" s="199"/>
      <c r="FF62" s="199"/>
      <c r="FG62" s="199"/>
      <c r="FH62" s="199"/>
      <c r="FI62" s="199"/>
    </row>
    <row r="63" spans="1:165" ht="15.75">
      <c r="A63" s="3"/>
      <c r="B63" s="8" t="s">
        <v>701</v>
      </c>
      <c r="C63" s="80">
        <f>Vermillion!M30+Vermillion!M29</f>
        <v>5910136</v>
      </c>
      <c r="D63" s="9">
        <f>Vermillion!M31+Vermillion!M33</f>
        <v>12792632</v>
      </c>
      <c r="E63" s="9"/>
      <c r="F63" s="9">
        <f>Vermillion!M34+Vermillion!M32</f>
        <v>985189</v>
      </c>
      <c r="G63" s="9">
        <f t="shared" si="25"/>
        <v>19687957</v>
      </c>
      <c r="H63" s="9">
        <f>Vermillion!M36</f>
        <v>338954</v>
      </c>
      <c r="I63" s="9">
        <f>Vermillion!M37</f>
        <v>238724</v>
      </c>
      <c r="J63" s="9"/>
      <c r="K63" s="9"/>
      <c r="L63" s="9">
        <f>Vermillion!M43</f>
        <v>-408057</v>
      </c>
      <c r="M63" s="9">
        <f>Vermillion!M38+Vermillion!M39+Vermillion!M40+Vermillion!M41+Vermillion!M42</f>
        <v>861008</v>
      </c>
      <c r="N63" s="9">
        <f t="shared" si="2"/>
        <v>1030629</v>
      </c>
      <c r="O63" s="9">
        <f>Vermillion!J19+Vermillion!K19+Vermillion!L19</f>
        <v>12504828</v>
      </c>
      <c r="P63" s="9">
        <f t="shared" si="6"/>
        <v>33223414</v>
      </c>
      <c r="Q63" s="190" t="str">
        <f t="shared" si="0"/>
        <v>ok</v>
      </c>
      <c r="R63" s="9">
        <f>Vermillion!M45+O63</f>
        <v>33223414</v>
      </c>
      <c r="S63" s="9">
        <f>Vermillion!I10</f>
        <v>-3767935</v>
      </c>
      <c r="T63" s="9"/>
      <c r="U63" s="9"/>
      <c r="V63" s="9"/>
      <c r="W63" s="9"/>
      <c r="X63" s="9"/>
      <c r="Y63" s="9">
        <f t="shared" si="20"/>
        <v>-3767935</v>
      </c>
      <c r="Z63" s="9">
        <f>Vermillion!I12</f>
        <v>-3425127</v>
      </c>
      <c r="AA63" s="9">
        <f>Vermillion!I11</f>
        <v>-13216209</v>
      </c>
      <c r="AB63" s="9">
        <f>Vermillion!I15</f>
        <v>-79108</v>
      </c>
      <c r="AC63" s="9">
        <f>Vermillion!I14</f>
        <v>-2027128</v>
      </c>
      <c r="AD63" s="9">
        <f>Vermillion!I16</f>
        <v>-107341</v>
      </c>
      <c r="AE63" s="9">
        <f>Vermillion!I17</f>
        <v>-96059</v>
      </c>
      <c r="AF63" s="9">
        <f>Vermillion!I13</f>
        <v>-5485143</v>
      </c>
      <c r="AG63" s="9">
        <f t="shared" si="26"/>
        <v>-24436115</v>
      </c>
      <c r="AH63" s="9">
        <f t="shared" si="21"/>
        <v>-28204050</v>
      </c>
      <c r="AI63" s="190" t="str">
        <f t="shared" si="22"/>
        <v>ok</v>
      </c>
      <c r="AJ63" s="9">
        <f>Vermillion!I19</f>
        <v>-28204050</v>
      </c>
    </row>
    <row r="64" spans="1:165" s="219" customFormat="1" ht="15.75">
      <c r="A64" s="216"/>
      <c r="B64" s="217" t="s">
        <v>702</v>
      </c>
      <c r="C64" s="218">
        <f>Vernon!M26+Vernon!M25</f>
        <v>5655040</v>
      </c>
      <c r="D64" s="218">
        <f>Vernon!M27</f>
        <v>8614270</v>
      </c>
      <c r="E64" s="218"/>
      <c r="F64" s="218"/>
      <c r="G64" s="218">
        <f t="shared" si="25"/>
        <v>14269310</v>
      </c>
      <c r="H64" s="218"/>
      <c r="I64" s="218"/>
      <c r="J64" s="218">
        <f>Vernon!M30</f>
        <v>2129891</v>
      </c>
      <c r="K64" s="218">
        <f>Vernon!M29</f>
        <v>786815</v>
      </c>
      <c r="L64" s="218"/>
      <c r="M64" s="218">
        <f>Vernon!M31+Vernon!M32</f>
        <v>2603621</v>
      </c>
      <c r="N64" s="9">
        <f t="shared" si="2"/>
        <v>5520327</v>
      </c>
      <c r="O64" s="218">
        <f>Vernon!J21+Vernon!K21+Vernon!L21</f>
        <v>2692323</v>
      </c>
      <c r="P64" s="218">
        <f t="shared" si="6"/>
        <v>22481960</v>
      </c>
      <c r="Q64" s="190" t="str">
        <f t="shared" si="0"/>
        <v>ok</v>
      </c>
      <c r="R64" s="218">
        <f>Vernon!M34+O64</f>
        <v>22481960</v>
      </c>
      <c r="S64" s="218"/>
      <c r="T64" s="218">
        <f>Vernon!I9</f>
        <v>-514101</v>
      </c>
      <c r="U64" s="218">
        <f>Vernon!I10</f>
        <v>-1508435</v>
      </c>
      <c r="V64" s="218">
        <f>Vernon!I11</f>
        <v>-83787</v>
      </c>
      <c r="W64" s="218">
        <f>Vernon!I12</f>
        <v>-2618264</v>
      </c>
      <c r="X64" s="218">
        <f>Vernon!I13</f>
        <v>-3128836</v>
      </c>
      <c r="Y64" s="218">
        <f t="shared" ref="Y64:Y67" si="27">SUM(S64:X64)</f>
        <v>-7853423</v>
      </c>
      <c r="Z64" s="218">
        <f>Vernon!I14</f>
        <v>-1518408</v>
      </c>
      <c r="AA64" s="218">
        <f>Vernon!I15</f>
        <v>-9584539</v>
      </c>
      <c r="AB64" s="218">
        <f>Vernon!I18</f>
        <v>-883329</v>
      </c>
      <c r="AC64" s="218">
        <f>Vernon!I16</f>
        <v>-855271</v>
      </c>
      <c r="AD64" s="218">
        <f>Vernon!I17</f>
        <v>-2093398</v>
      </c>
      <c r="AE64" s="218">
        <f>Vernon!I19</f>
        <v>-382172</v>
      </c>
      <c r="AF64" s="218"/>
      <c r="AG64" s="218">
        <f t="shared" ref="AG64" si="28">SUM(Z64:AF64)</f>
        <v>-15317117</v>
      </c>
      <c r="AH64" s="218">
        <f t="shared" si="21"/>
        <v>-23170540</v>
      </c>
      <c r="AI64" s="190" t="str">
        <f t="shared" si="22"/>
        <v>ok</v>
      </c>
      <c r="AJ64" s="218">
        <f>Vernon!I21</f>
        <v>-23170540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</row>
    <row r="65" spans="1:165" s="200" customFormat="1" ht="15.75">
      <c r="A65" s="3"/>
      <c r="B65" s="8" t="s">
        <v>703</v>
      </c>
      <c r="C65" s="9">
        <f>Washington!M27</f>
        <v>4199263</v>
      </c>
      <c r="D65" s="9">
        <f>Washington!M29</f>
        <v>4720164</v>
      </c>
      <c r="E65" s="9"/>
      <c r="F65" s="9">
        <f>Washington!M31+Washington!M32+Washington!M33</f>
        <v>205258</v>
      </c>
      <c r="G65" s="9">
        <f>SUM(C65,D65,E65,F65)</f>
        <v>9124685</v>
      </c>
      <c r="H65" s="9">
        <f>Washington!M30</f>
        <v>204361</v>
      </c>
      <c r="I65" s="9"/>
      <c r="J65" s="9"/>
      <c r="K65" s="9"/>
      <c r="L65"/>
      <c r="M65" s="9">
        <f>Washington!M34+Washington!M35+Washington!M36+Washington!M37+Washington!M38</f>
        <v>1377875</v>
      </c>
      <c r="N65" s="9">
        <f t="shared" si="2"/>
        <v>1582236</v>
      </c>
      <c r="O65" s="9">
        <f>Washington!J17+Washington!K17+Washington!L17</f>
        <v>3714930</v>
      </c>
      <c r="P65" s="9">
        <f t="shared" si="6"/>
        <v>14421851</v>
      </c>
      <c r="Q65" s="190" t="str">
        <f t="shared" si="0"/>
        <v>ok</v>
      </c>
      <c r="R65" s="9">
        <f>Washington!M40+O65</f>
        <v>14421851</v>
      </c>
      <c r="S65" s="9">
        <f>Washington!I8</f>
        <v>-4034520</v>
      </c>
      <c r="T65" s="9"/>
      <c r="U65" s="9"/>
      <c r="V65" s="9"/>
      <c r="W65" s="9"/>
      <c r="X65" s="9"/>
      <c r="Y65" s="9">
        <f t="shared" si="27"/>
        <v>-4034520</v>
      </c>
      <c r="Z65" s="9">
        <f>Washington!I9</f>
        <v>-772552</v>
      </c>
      <c r="AA65" s="9">
        <f>Washington!I10</f>
        <v>-3634098</v>
      </c>
      <c r="AB65" s="9"/>
      <c r="AC65" s="9">
        <f>Washington!I11</f>
        <v>-971511</v>
      </c>
      <c r="AD65" s="9">
        <f>Washington!I12</f>
        <v>-910745</v>
      </c>
      <c r="AE65" s="9">
        <f>Washington!I15</f>
        <v>-296858</v>
      </c>
      <c r="AF65" s="9">
        <f>Washington!I14+Washington!I13</f>
        <v>-989502</v>
      </c>
      <c r="AG65" s="9">
        <f>SUM(Z65:AF65)</f>
        <v>-7575266</v>
      </c>
      <c r="AH65" s="9">
        <f t="shared" si="21"/>
        <v>-11609786</v>
      </c>
      <c r="AI65" s="190" t="str">
        <f t="shared" si="22"/>
        <v>ok</v>
      </c>
      <c r="AJ65" s="9">
        <f>Washington!I17</f>
        <v>-11609786</v>
      </c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</row>
    <row r="66" spans="1:165" s="223" customFormat="1" ht="15.75">
      <c r="A66" s="220"/>
      <c r="B66" s="221" t="s">
        <v>704</v>
      </c>
      <c r="C66" s="242">
        <f>Webster!M32+Webster!M31</f>
        <v>5508253</v>
      </c>
      <c r="D66" s="222">
        <f>Webster!M33</f>
        <v>3007111</v>
      </c>
      <c r="E66" s="222"/>
      <c r="F66" s="222">
        <f>Webster!M35</f>
        <v>1171189</v>
      </c>
      <c r="G66" s="222">
        <f t="shared" ref="G66:G67" si="29">SUM(C66:F66)</f>
        <v>9686553</v>
      </c>
      <c r="H66" s="222">
        <f>Webster!M34</f>
        <v>260094</v>
      </c>
      <c r="I66" s="222">
        <f>Webster!M36</f>
        <v>367884</v>
      </c>
      <c r="J66" s="222"/>
      <c r="K66" s="222"/>
      <c r="L66" s="222"/>
      <c r="M66" s="222">
        <f>Webster!M37+Webster!M38+Webster!M39+Webster!M40</f>
        <v>1742542</v>
      </c>
      <c r="N66" s="9">
        <f t="shared" si="2"/>
        <v>2370520</v>
      </c>
      <c r="O66" s="222">
        <f>Webster!J21+Webster!K21+Webster!L21</f>
        <v>1273055</v>
      </c>
      <c r="P66" s="222">
        <f t="shared" si="6"/>
        <v>13330128</v>
      </c>
      <c r="Q66" s="190" t="str">
        <f t="shared" si="0"/>
        <v>ok</v>
      </c>
      <c r="R66" s="222">
        <f>Webster!M42+O66</f>
        <v>13330128</v>
      </c>
      <c r="S66" s="222"/>
      <c r="T66" s="222">
        <f>Webster!I9</f>
        <v>-248734</v>
      </c>
      <c r="U66" s="222">
        <f>Webster!I10</f>
        <v>-1724673</v>
      </c>
      <c r="V66" s="222">
        <f>Webster!I11</f>
        <v>-42547</v>
      </c>
      <c r="W66" s="222">
        <f>Webster!I12</f>
        <v>-1169587</v>
      </c>
      <c r="X66" s="222">
        <f>Webster!I13</f>
        <v>-596497</v>
      </c>
      <c r="Y66" s="222">
        <f t="shared" si="27"/>
        <v>-3782038</v>
      </c>
      <c r="Z66" s="222">
        <f>Webster!I14</f>
        <v>-2080464</v>
      </c>
      <c r="AA66" s="222">
        <f>Webster!I15</f>
        <v>-2625579</v>
      </c>
      <c r="AB66" s="222">
        <f>Webster!I18</f>
        <v>-33624</v>
      </c>
      <c r="AC66" s="222">
        <f>Webster!I16</f>
        <v>-1005348</v>
      </c>
      <c r="AD66" s="222">
        <f>Webster!I17</f>
        <v>-2449843</v>
      </c>
      <c r="AE66" s="222">
        <f>Webster!I19</f>
        <v>-36920</v>
      </c>
      <c r="AF66" s="222"/>
      <c r="AG66" s="222">
        <f t="shared" ref="AG66:AG67" si="30">SUM(Z66:AF66)</f>
        <v>-8231778</v>
      </c>
      <c r="AH66" s="222">
        <f t="shared" si="21"/>
        <v>-12013816</v>
      </c>
      <c r="AI66" s="190" t="str">
        <f t="shared" si="22"/>
        <v>ok</v>
      </c>
      <c r="AJ66" s="222">
        <f>Webster!I21</f>
        <v>-12013816</v>
      </c>
      <c r="AK66" s="199"/>
      <c r="AL66" s="199"/>
      <c r="AM66" s="199"/>
      <c r="AN66" s="199"/>
      <c r="AO66" s="199"/>
      <c r="AP66" s="199"/>
      <c r="AQ66" s="199"/>
      <c r="AR66" s="199"/>
      <c r="AS66" s="199"/>
      <c r="AT66" s="199"/>
      <c r="AU66" s="199"/>
      <c r="AV66" s="199"/>
      <c r="AW66" s="199"/>
      <c r="AX66" s="199"/>
      <c r="AY66" s="199"/>
      <c r="AZ66" s="199"/>
      <c r="BA66" s="199"/>
      <c r="BB66" s="199"/>
      <c r="BC66" s="199"/>
      <c r="BD66" s="199"/>
      <c r="BE66" s="199"/>
      <c r="BF66" s="199"/>
      <c r="BG66" s="199"/>
      <c r="BH66" s="199"/>
      <c r="BI66" s="199"/>
      <c r="BJ66" s="199"/>
      <c r="BK66" s="199"/>
      <c r="BL66" s="199"/>
      <c r="BM66" s="199"/>
      <c r="BN66" s="199"/>
      <c r="BO66" s="199"/>
      <c r="BP66" s="199"/>
      <c r="BQ66" s="199"/>
      <c r="BR66" s="199"/>
      <c r="BS66" s="199"/>
      <c r="BT66" s="199"/>
      <c r="BU66" s="199"/>
      <c r="BV66" s="199"/>
      <c r="BW66" s="199"/>
      <c r="BX66" s="199"/>
      <c r="BY66" s="199"/>
      <c r="BZ66" s="199"/>
      <c r="CA66" s="199"/>
      <c r="CB66" s="199"/>
      <c r="CC66" s="199"/>
      <c r="CD66" s="199"/>
      <c r="CE66" s="199"/>
      <c r="CF66" s="199"/>
      <c r="CG66" s="199"/>
      <c r="CH66" s="199"/>
      <c r="CI66" s="199"/>
      <c r="CJ66" s="199"/>
      <c r="CK66" s="199"/>
      <c r="CL66" s="199"/>
      <c r="CM66" s="199"/>
      <c r="CN66" s="199"/>
      <c r="CO66" s="199"/>
      <c r="CP66" s="199"/>
      <c r="CQ66" s="199"/>
      <c r="CR66" s="199"/>
      <c r="CS66" s="199"/>
      <c r="CT66" s="199"/>
      <c r="CU66" s="199"/>
      <c r="CV66" s="199"/>
      <c r="CW66" s="199"/>
      <c r="CX66" s="199"/>
      <c r="CY66" s="199"/>
      <c r="CZ66" s="199"/>
      <c r="DA66" s="199"/>
      <c r="DB66" s="199"/>
      <c r="DC66" s="199"/>
      <c r="DD66" s="199"/>
      <c r="DE66" s="199"/>
      <c r="DF66" s="199"/>
      <c r="DG66" s="199"/>
      <c r="DH66" s="199"/>
      <c r="DI66" s="199"/>
      <c r="DJ66" s="199"/>
      <c r="DK66" s="199"/>
      <c r="DL66" s="199"/>
      <c r="DM66" s="199"/>
      <c r="DN66" s="199"/>
      <c r="DO66" s="199"/>
      <c r="DP66" s="199"/>
      <c r="DQ66" s="199"/>
      <c r="DR66" s="199"/>
      <c r="DS66" s="199"/>
      <c r="DT66" s="199"/>
      <c r="DU66" s="199"/>
      <c r="DV66" s="199"/>
      <c r="DW66" s="199"/>
      <c r="DX66" s="199"/>
      <c r="DY66" s="199"/>
      <c r="DZ66" s="199"/>
      <c r="EA66" s="199"/>
      <c r="EB66" s="199"/>
      <c r="EC66" s="199"/>
      <c r="ED66" s="199"/>
      <c r="EE66" s="199"/>
      <c r="EF66" s="199"/>
      <c r="EG66" s="199"/>
      <c r="EH66" s="199"/>
      <c r="EI66" s="199"/>
      <c r="EJ66" s="199"/>
      <c r="EK66" s="199"/>
      <c r="EL66" s="199"/>
      <c r="EM66" s="199"/>
      <c r="EN66" s="199"/>
      <c r="EO66" s="199"/>
      <c r="EP66" s="199"/>
      <c r="EQ66" s="199"/>
      <c r="ER66" s="199"/>
      <c r="ES66" s="199"/>
      <c r="ET66" s="199"/>
      <c r="EU66" s="199"/>
      <c r="EV66" s="199"/>
      <c r="EW66" s="199"/>
      <c r="EX66" s="199"/>
      <c r="EY66" s="199"/>
      <c r="EZ66" s="199"/>
      <c r="FA66" s="199"/>
      <c r="FB66" s="199"/>
      <c r="FC66" s="199"/>
      <c r="FD66" s="199"/>
      <c r="FE66" s="199"/>
      <c r="FF66" s="199"/>
      <c r="FG66" s="199"/>
      <c r="FH66" s="199"/>
      <c r="FI66" s="199"/>
    </row>
    <row r="67" spans="1:165" ht="15.75">
      <c r="A67" s="3"/>
      <c r="B67" s="8" t="s">
        <v>705</v>
      </c>
      <c r="C67" s="80">
        <f>'West Baton Rouge'!L22</f>
        <v>8729244</v>
      </c>
      <c r="D67" s="9">
        <f>'West Baton Rouge'!L24+'West Baton Rouge'!L23</f>
        <v>10521923</v>
      </c>
      <c r="E67" s="9"/>
      <c r="F67" s="9">
        <f>'West Baton Rouge'!L25</f>
        <v>28835</v>
      </c>
      <c r="G67" s="9">
        <f t="shared" si="29"/>
        <v>19280002</v>
      </c>
      <c r="H67" s="9"/>
      <c r="I67" s="9"/>
      <c r="J67" s="9"/>
      <c r="K67" s="9"/>
      <c r="L67" s="9"/>
      <c r="M67" s="9">
        <f>'West Baton Rouge'!L26+'West Baton Rouge'!L27+'West Baton Rouge'!L28+'West Baton Rouge'!L29</f>
        <v>1714795</v>
      </c>
      <c r="N67" s="9">
        <f t="shared" si="2"/>
        <v>1714795</v>
      </c>
      <c r="O67" s="9">
        <f>'West Baton Rouge'!J18+'West Baton Rouge'!K18</f>
        <v>9659209</v>
      </c>
      <c r="P67" s="9">
        <f t="shared" si="6"/>
        <v>30654006</v>
      </c>
      <c r="Q67" s="190" t="str">
        <f t="shared" si="0"/>
        <v>ok</v>
      </c>
      <c r="R67" s="9">
        <f>'West Baton Rouge'!L31+O67</f>
        <v>30654006</v>
      </c>
      <c r="S67" s="9">
        <f>'West Baton Rouge'!I9</f>
        <v>-5833701</v>
      </c>
      <c r="T67" s="9"/>
      <c r="U67" s="9"/>
      <c r="V67" s="9"/>
      <c r="W67" s="9"/>
      <c r="X67" s="9"/>
      <c r="Y67" s="9">
        <f t="shared" si="27"/>
        <v>-5833701</v>
      </c>
      <c r="Z67" s="9">
        <f>'West Baton Rouge'!I10</f>
        <v>-6826163</v>
      </c>
      <c r="AA67" s="9">
        <f>'West Baton Rouge'!I11</f>
        <v>-9764007</v>
      </c>
      <c r="AB67" s="9">
        <f>'West Baton Rouge'!I14</f>
        <v>-97262</v>
      </c>
      <c r="AC67" s="9">
        <f>'West Baton Rouge'!I13</f>
        <v>-1393022</v>
      </c>
      <c r="AD67" s="9">
        <f>'West Baton Rouge'!I12</f>
        <v>-2421416</v>
      </c>
      <c r="AE67" s="9">
        <f>'West Baton Rouge'!I16</f>
        <v>-178937</v>
      </c>
      <c r="AF67" s="9">
        <f>'West Baton Rouge'!I15</f>
        <v>-320456</v>
      </c>
      <c r="AG67" s="9">
        <f t="shared" si="30"/>
        <v>-21001263</v>
      </c>
      <c r="AH67" s="9">
        <f t="shared" si="21"/>
        <v>-26834964</v>
      </c>
      <c r="AI67" s="190" t="str">
        <f t="shared" si="22"/>
        <v>ok</v>
      </c>
      <c r="AJ67" s="9">
        <f>'West Baton Rouge'!I18</f>
        <v>-26834964</v>
      </c>
    </row>
    <row r="68" spans="1:165" s="219" customFormat="1" ht="15.75">
      <c r="A68" s="216"/>
      <c r="B68" s="217" t="s">
        <v>706</v>
      </c>
      <c r="C68" s="218">
        <f>'West Carroll'!M24+'West Carroll'!M25+'West Carroll'!M26</f>
        <v>1018642</v>
      </c>
      <c r="D68" s="218">
        <f>'West Carroll'!M29+'West Carroll'!M28</f>
        <v>2598066</v>
      </c>
      <c r="E68" s="218"/>
      <c r="F68" s="218"/>
      <c r="G68" s="218">
        <f t="shared" si="3"/>
        <v>3616708</v>
      </c>
      <c r="H68" s="218"/>
      <c r="I68" s="218">
        <f>'West Carroll'!M30</f>
        <v>757360</v>
      </c>
      <c r="J68" s="218"/>
      <c r="K68" s="218"/>
      <c r="L68" s="218"/>
      <c r="M68" s="218">
        <f>'West Carroll'!M31+'West Carroll'!M32+'West Carroll'!M33</f>
        <v>279501</v>
      </c>
      <c r="N68" s="9">
        <f t="shared" si="2"/>
        <v>1036861</v>
      </c>
      <c r="O68" s="218">
        <f>'West Carroll'!J19+'West Carroll'!K19+'West Carroll'!L19</f>
        <v>3229923</v>
      </c>
      <c r="P68" s="218">
        <f t="shared" si="6"/>
        <v>7883492</v>
      </c>
      <c r="Q68" s="190" t="str">
        <f t="shared" si="0"/>
        <v>ok</v>
      </c>
      <c r="R68" s="218">
        <f>'West Carroll'!M35+O68</f>
        <v>7883492</v>
      </c>
      <c r="S68" s="218">
        <f>'West Carroll'!I10</f>
        <v>-888320</v>
      </c>
      <c r="T68" s="218"/>
      <c r="U68" s="218"/>
      <c r="V68" s="218"/>
      <c r="W68" s="218"/>
      <c r="X68" s="218"/>
      <c r="Y68" s="218">
        <f t="shared" si="4"/>
        <v>-888320</v>
      </c>
      <c r="Z68" s="218">
        <f>'West Carroll'!I11</f>
        <v>-560324</v>
      </c>
      <c r="AA68" s="218">
        <f>'West Carroll'!I16+'West Carroll'!I12</f>
        <v>-4131987</v>
      </c>
      <c r="AB68" s="218">
        <f>'West Carroll'!I15</f>
        <v>-147517</v>
      </c>
      <c r="AC68" s="218">
        <f>'West Carroll'!I13</f>
        <v>-2325892</v>
      </c>
      <c r="AD68" s="218">
        <f>'West Carroll'!I14</f>
        <v>-5358</v>
      </c>
      <c r="AE68" s="218"/>
      <c r="AF68" s="218"/>
      <c r="AG68" s="218">
        <f t="shared" si="5"/>
        <v>-7171078</v>
      </c>
      <c r="AH68" s="218">
        <f t="shared" si="7"/>
        <v>-8059398</v>
      </c>
      <c r="AI68" s="190" t="str">
        <f t="shared" si="1"/>
        <v>ok</v>
      </c>
      <c r="AJ68" s="218">
        <f>'West Carroll'!I19</f>
        <v>-8059398</v>
      </c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</row>
    <row r="69" spans="1:165" s="200" customFormat="1" ht="15.75">
      <c r="A69" s="3"/>
      <c r="B69" s="8" t="s">
        <v>707</v>
      </c>
      <c r="C69" s="9">
        <f>'West Feliciana'!M37</f>
        <v>4421355</v>
      </c>
      <c r="D69" s="9">
        <f>'West Feliciana'!M39+'West Feliciana'!M38</f>
        <v>1592825</v>
      </c>
      <c r="E69" s="9"/>
      <c r="F69" s="9">
        <f>'West Feliciana'!M40</f>
        <v>29274</v>
      </c>
      <c r="G69" s="9">
        <f>SUM(C69,D69,E69,F69)</f>
        <v>6043454</v>
      </c>
      <c r="H69" s="9"/>
      <c r="I69" s="9"/>
      <c r="J69" s="9"/>
      <c r="K69" s="9"/>
      <c r="L69" s="12">
        <f>'West Feliciana'!M43</f>
        <v>8352</v>
      </c>
      <c r="M69" s="9">
        <f>'West Feliciana'!M41+'West Feliciana'!M42</f>
        <v>807578</v>
      </c>
      <c r="N69" s="9">
        <f t="shared" si="2"/>
        <v>815930</v>
      </c>
      <c r="O69" s="9">
        <f>'West Feliciana'!J18+'West Feliciana'!K18+'West Feliciana'!L18</f>
        <v>2561169</v>
      </c>
      <c r="P69" s="9">
        <f t="shared" si="6"/>
        <v>9420553</v>
      </c>
      <c r="Q69" s="190" t="str">
        <f t="shared" si="0"/>
        <v>ok</v>
      </c>
      <c r="R69" s="9">
        <f>'West Feliciana'!M45+O69</f>
        <v>9420553</v>
      </c>
      <c r="S69" s="9">
        <f>'West Feliciana'!I9</f>
        <v>-2319942</v>
      </c>
      <c r="T69" s="9"/>
      <c r="U69" s="9"/>
      <c r="V69" s="9"/>
      <c r="W69" s="9"/>
      <c r="X69" s="9"/>
      <c r="Y69" s="9">
        <f t="shared" si="4"/>
        <v>-2319942</v>
      </c>
      <c r="Z69" s="9">
        <f>'West Feliciana'!I13</f>
        <v>-186649</v>
      </c>
      <c r="AA69" s="9">
        <f>'West Feliciana'!I14</f>
        <v>-4107923</v>
      </c>
      <c r="AB69" s="9">
        <f>'West Feliciana'!I11</f>
        <v>-250797</v>
      </c>
      <c r="AC69" s="9">
        <f>'West Feliciana'!I12</f>
        <v>-419378</v>
      </c>
      <c r="AD69" s="9">
        <f>'West Feliciana'!I10</f>
        <v>-990947</v>
      </c>
      <c r="AE69" s="9">
        <f>'West Feliciana'!I16</f>
        <v>-130811</v>
      </c>
      <c r="AF69" s="9">
        <f>'West Feliciana'!I15</f>
        <v>-73193</v>
      </c>
      <c r="AG69" s="9">
        <f>SUM(Z69:AF69)</f>
        <v>-6159698</v>
      </c>
      <c r="AH69" s="9">
        <f t="shared" si="7"/>
        <v>-8479640</v>
      </c>
      <c r="AI69" s="190" t="str">
        <f t="shared" si="1"/>
        <v>ok</v>
      </c>
      <c r="AJ69" s="9">
        <f>'West Feliciana'!I18</f>
        <v>-8479640</v>
      </c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</row>
    <row r="70" spans="1:165" s="223" customFormat="1" ht="15.75">
      <c r="A70" s="220"/>
      <c r="B70" s="221" t="s">
        <v>708</v>
      </c>
      <c r="C70" s="242">
        <f>Winn!M25</f>
        <v>1535765</v>
      </c>
      <c r="D70" s="222">
        <f>Winn!M26</f>
        <v>1896781</v>
      </c>
      <c r="E70" s="222"/>
      <c r="F70" s="222"/>
      <c r="G70" s="222">
        <f t="shared" si="3"/>
        <v>3432546</v>
      </c>
      <c r="H70" s="222"/>
      <c r="I70" s="222"/>
      <c r="J70" s="222">
        <f>Winn!M29</f>
        <v>1083999</v>
      </c>
      <c r="K70" s="222">
        <f>Winn!M28</f>
        <v>68659</v>
      </c>
      <c r="L70" s="222"/>
      <c r="M70" s="222">
        <f>Winn!M27+Winn!M30+Winn!M31</f>
        <v>267949</v>
      </c>
      <c r="N70" s="9">
        <f t="shared" si="2"/>
        <v>1420607</v>
      </c>
      <c r="O70" s="222">
        <f>Winn!J21+Winn!K21+Winn!L21</f>
        <v>1072601</v>
      </c>
      <c r="P70" s="222">
        <f t="shared" si="6"/>
        <v>5925754</v>
      </c>
      <c r="Q70" s="190" t="str">
        <f t="shared" si="0"/>
        <v>ok</v>
      </c>
      <c r="R70" s="222">
        <f>Winn!M33+O70</f>
        <v>5925754</v>
      </c>
      <c r="S70" s="222"/>
      <c r="T70" s="222">
        <f>Winn!I9</f>
        <v>-88723</v>
      </c>
      <c r="U70" s="222">
        <f>Winn!I10</f>
        <v>-477324</v>
      </c>
      <c r="V70" s="222">
        <f>Winn!I11</f>
        <v>-34883</v>
      </c>
      <c r="W70" s="222">
        <f>Winn!I12</f>
        <v>-859216</v>
      </c>
      <c r="X70" s="222"/>
      <c r="Y70" s="222">
        <f t="shared" si="4"/>
        <v>-1460146</v>
      </c>
      <c r="Z70" s="222">
        <f>Winn!I14</f>
        <v>-961072</v>
      </c>
      <c r="AA70" s="222">
        <f>Winn!I15</f>
        <v>-3251671</v>
      </c>
      <c r="AB70" s="222">
        <f>Winn!I18</f>
        <v>-232243</v>
      </c>
      <c r="AC70" s="222">
        <f>Winn!I16</f>
        <v>-408868</v>
      </c>
      <c r="AD70" s="222">
        <f>Winn!I17</f>
        <v>495364</v>
      </c>
      <c r="AE70" s="222">
        <f>Winn!I19</f>
        <v>-42979</v>
      </c>
      <c r="AF70" s="222"/>
      <c r="AG70" s="222">
        <f t="shared" si="5"/>
        <v>-4401469</v>
      </c>
      <c r="AH70" s="222">
        <f t="shared" si="7"/>
        <v>-5861615</v>
      </c>
      <c r="AI70" s="190" t="str">
        <f t="shared" si="1"/>
        <v>ok</v>
      </c>
      <c r="AJ70" s="222">
        <f>Winn!I21</f>
        <v>-5861615</v>
      </c>
      <c r="AK70" s="199"/>
      <c r="AL70" s="199"/>
      <c r="AM70" s="199"/>
      <c r="AN70" s="199"/>
      <c r="AO70" s="199"/>
      <c r="AP70" s="199"/>
      <c r="AQ70" s="199"/>
      <c r="AR70" s="199"/>
      <c r="AS70" s="199"/>
      <c r="AT70" s="199"/>
      <c r="AU70" s="199"/>
      <c r="AV70" s="199"/>
      <c r="AW70" s="199"/>
      <c r="AX70" s="199"/>
      <c r="AY70" s="199"/>
      <c r="AZ70" s="199"/>
      <c r="BA70" s="199"/>
      <c r="BB70" s="199"/>
      <c r="BC70" s="199"/>
      <c r="BD70" s="199"/>
      <c r="BE70" s="199"/>
      <c r="BF70" s="199"/>
      <c r="BG70" s="199"/>
      <c r="BH70" s="199"/>
      <c r="BI70" s="199"/>
      <c r="BJ70" s="199"/>
      <c r="BK70" s="199"/>
      <c r="BL70" s="199"/>
      <c r="BM70" s="199"/>
      <c r="BN70" s="199"/>
      <c r="BO70" s="199"/>
      <c r="BP70" s="199"/>
      <c r="BQ70" s="199"/>
      <c r="BR70" s="199"/>
      <c r="BS70" s="199"/>
      <c r="BT70" s="199"/>
      <c r="BU70" s="199"/>
      <c r="BV70" s="199"/>
      <c r="BW70" s="199"/>
      <c r="BX70" s="199"/>
      <c r="BY70" s="199"/>
      <c r="BZ70" s="199"/>
      <c r="CA70" s="199"/>
      <c r="CB70" s="199"/>
      <c r="CC70" s="199"/>
      <c r="CD70" s="199"/>
      <c r="CE70" s="199"/>
      <c r="CF70" s="199"/>
      <c r="CG70" s="199"/>
      <c r="CH70" s="199"/>
      <c r="CI70" s="199"/>
      <c r="CJ70" s="199"/>
      <c r="CK70" s="199"/>
      <c r="CL70" s="199"/>
      <c r="CM70" s="199"/>
      <c r="CN70" s="199"/>
      <c r="CO70" s="199"/>
      <c r="CP70" s="199"/>
      <c r="CQ70" s="199"/>
      <c r="CR70" s="199"/>
      <c r="CS70" s="199"/>
      <c r="CT70" s="199"/>
      <c r="CU70" s="199"/>
      <c r="CV70" s="199"/>
      <c r="CW70" s="199"/>
      <c r="CX70" s="199"/>
      <c r="CY70" s="199"/>
      <c r="CZ70" s="199"/>
      <c r="DA70" s="199"/>
      <c r="DB70" s="199"/>
      <c r="DC70" s="199"/>
      <c r="DD70" s="199"/>
      <c r="DE70" s="199"/>
      <c r="DF70" s="199"/>
      <c r="DG70" s="199"/>
      <c r="DH70" s="199"/>
      <c r="DI70" s="199"/>
      <c r="DJ70" s="199"/>
      <c r="DK70" s="199"/>
      <c r="DL70" s="199"/>
      <c r="DM70" s="199"/>
      <c r="DN70" s="199"/>
      <c r="DO70" s="199"/>
      <c r="DP70" s="199"/>
      <c r="DQ70" s="199"/>
      <c r="DR70" s="199"/>
      <c r="DS70" s="199"/>
      <c r="DT70" s="199"/>
      <c r="DU70" s="199"/>
      <c r="DV70" s="199"/>
      <c r="DW70" s="199"/>
      <c r="DX70" s="199"/>
      <c r="DY70" s="199"/>
      <c r="DZ70" s="199"/>
      <c r="EA70" s="199"/>
      <c r="EB70" s="199"/>
      <c r="EC70" s="199"/>
      <c r="ED70" s="199"/>
      <c r="EE70" s="199"/>
      <c r="EF70" s="199"/>
      <c r="EG70" s="199"/>
      <c r="EH70" s="199"/>
      <c r="EI70" s="199"/>
      <c r="EJ70" s="199"/>
      <c r="EK70" s="199"/>
      <c r="EL70" s="199"/>
      <c r="EM70" s="199"/>
      <c r="EN70" s="199"/>
      <c r="EO70" s="199"/>
      <c r="EP70" s="199"/>
      <c r="EQ70" s="199"/>
      <c r="ER70" s="199"/>
      <c r="ES70" s="199"/>
      <c r="ET70" s="199"/>
      <c r="EU70" s="199"/>
      <c r="EV70" s="199"/>
      <c r="EW70" s="199"/>
      <c r="EX70" s="199"/>
      <c r="EY70" s="199"/>
      <c r="EZ70" s="199"/>
      <c r="FA70" s="199"/>
      <c r="FB70" s="199"/>
      <c r="FC70" s="199"/>
      <c r="FD70" s="199"/>
      <c r="FE70" s="199"/>
      <c r="FF70" s="199"/>
      <c r="FG70" s="199"/>
      <c r="FH70" s="199"/>
      <c r="FI70" s="199"/>
    </row>
    <row r="71" spans="1:165" ht="15.75">
      <c r="A71" s="3"/>
      <c r="B71" s="8"/>
      <c r="C71" s="80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81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I71" s="224"/>
    </row>
    <row r="72" spans="1:165" ht="15.75">
      <c r="A72" s="82"/>
      <c r="B72" s="83" t="s">
        <v>709</v>
      </c>
      <c r="C72" s="84">
        <f t="shared" ref="C72:P72" si="31">SUM(C7:C70)</f>
        <v>1116704779.02</v>
      </c>
      <c r="D72" s="84">
        <f t="shared" si="31"/>
        <v>1271125810.6300001</v>
      </c>
      <c r="E72" s="84">
        <f t="shared" si="31"/>
        <v>0</v>
      </c>
      <c r="F72" s="84">
        <f t="shared" si="31"/>
        <v>107591918.88</v>
      </c>
      <c r="G72" s="84">
        <f t="shared" si="31"/>
        <v>2495422508.5299997</v>
      </c>
      <c r="H72" s="84">
        <f t="shared" si="31"/>
        <v>7813644.2800000003</v>
      </c>
      <c r="I72" s="84">
        <f t="shared" si="31"/>
        <v>56512946</v>
      </c>
      <c r="J72" s="84">
        <f t="shared" si="31"/>
        <v>32083644</v>
      </c>
      <c r="K72" s="84">
        <f t="shared" si="31"/>
        <v>1879362</v>
      </c>
      <c r="L72" s="84">
        <f t="shared" si="31"/>
        <v>7042871</v>
      </c>
      <c r="M72" s="84">
        <f t="shared" si="31"/>
        <v>232135847.07999998</v>
      </c>
      <c r="N72" s="84">
        <f t="shared" si="31"/>
        <v>337468314.36000001</v>
      </c>
      <c r="O72" s="84">
        <f t="shared" si="31"/>
        <v>1418430145.97</v>
      </c>
      <c r="P72" s="84">
        <f t="shared" si="31"/>
        <v>4251320968.8600001</v>
      </c>
      <c r="Q72" s="225" t="str">
        <f t="shared" si="0"/>
        <v>check</v>
      </c>
      <c r="R72" s="84">
        <f t="shared" ref="R72:AH72" si="32">SUM(R7:R70)</f>
        <v>4251040968.8600001</v>
      </c>
      <c r="S72" s="84">
        <f t="shared" si="32"/>
        <v>-700841698.58000004</v>
      </c>
      <c r="T72" s="84">
        <f t="shared" si="32"/>
        <v>-6043096</v>
      </c>
      <c r="U72" s="84">
        <f t="shared" si="32"/>
        <v>-33949951</v>
      </c>
      <c r="V72" s="84">
        <f t="shared" si="32"/>
        <v>-1363368</v>
      </c>
      <c r="W72" s="84">
        <f t="shared" si="32"/>
        <v>-26485578</v>
      </c>
      <c r="X72" s="84">
        <f t="shared" si="32"/>
        <v>-65478844</v>
      </c>
      <c r="Y72" s="84">
        <f t="shared" si="32"/>
        <v>-834162535.58000004</v>
      </c>
      <c r="Z72" s="84">
        <f t="shared" si="32"/>
        <v>-878990766.69000006</v>
      </c>
      <c r="AA72" s="84">
        <f t="shared" si="32"/>
        <v>-951138595.95000005</v>
      </c>
      <c r="AB72" s="84">
        <f t="shared" si="32"/>
        <v>-86208948.319999993</v>
      </c>
      <c r="AC72" s="84">
        <f t="shared" si="32"/>
        <v>-250520320.50999999</v>
      </c>
      <c r="AD72" s="84">
        <f t="shared" si="32"/>
        <v>-255302607.32999998</v>
      </c>
      <c r="AE72" s="84">
        <f t="shared" si="32"/>
        <v>-161095756</v>
      </c>
      <c r="AF72" s="84">
        <f t="shared" si="32"/>
        <v>-179276466</v>
      </c>
      <c r="AG72" s="84">
        <f t="shared" si="32"/>
        <v>-2762533460.8000002</v>
      </c>
      <c r="AH72" s="84">
        <f t="shared" si="32"/>
        <v>-3596695996.3800001</v>
      </c>
      <c r="AI72" s="225" t="str">
        <f>IF(AH72=AJ72,"ok","check")</f>
        <v>ok</v>
      </c>
      <c r="AJ72" s="85">
        <f>SUM(AJ7:AJ70)</f>
        <v>-3596695996.3800001</v>
      </c>
    </row>
    <row r="73" spans="1:165" ht="15.75">
      <c r="A73" s="3"/>
      <c r="B73" s="8"/>
      <c r="C73" s="80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81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I73" s="226"/>
    </row>
    <row r="74" spans="1:165">
      <c r="AI74" s="226"/>
    </row>
    <row r="75" spans="1:165">
      <c r="AI75" s="226"/>
    </row>
    <row r="76" spans="1:165">
      <c r="AI76" s="226"/>
    </row>
    <row r="77" spans="1:165">
      <c r="AI77" s="226"/>
    </row>
    <row r="78" spans="1:165">
      <c r="AI78" s="226"/>
    </row>
    <row r="79" spans="1:165">
      <c r="AI79" s="226"/>
    </row>
    <row r="80" spans="1:165">
      <c r="AI80" s="226"/>
    </row>
    <row r="81" spans="35:35">
      <c r="AI81" s="226"/>
    </row>
    <row r="82" spans="35:35">
      <c r="AI82" s="226"/>
    </row>
    <row r="83" spans="35:35">
      <c r="AI83" s="226"/>
    </row>
    <row r="84" spans="35:35">
      <c r="AI84" s="226"/>
    </row>
    <row r="85" spans="35:35">
      <c r="AI85" s="226"/>
    </row>
    <row r="86" spans="35:35">
      <c r="AI86" s="226"/>
    </row>
    <row r="87" spans="35:35">
      <c r="AI87" s="226"/>
    </row>
    <row r="88" spans="35:35">
      <c r="AI88" s="226"/>
    </row>
    <row r="89" spans="35:35">
      <c r="AI89" s="226"/>
    </row>
    <row r="90" spans="35:35">
      <c r="AI90" s="226"/>
    </row>
    <row r="91" spans="35:35">
      <c r="AI91" s="226"/>
    </row>
    <row r="92" spans="35:35">
      <c r="AI92" s="226"/>
    </row>
    <row r="93" spans="35:35">
      <c r="AI93" s="226"/>
    </row>
    <row r="94" spans="35:35">
      <c r="AI94" s="226"/>
    </row>
    <row r="95" spans="35:35">
      <c r="AI95" s="226"/>
    </row>
    <row r="96" spans="35:35">
      <c r="AI96" s="226"/>
    </row>
    <row r="97" spans="35:35">
      <c r="AI97" s="226"/>
    </row>
    <row r="98" spans="35:35">
      <c r="AI98" s="226"/>
    </row>
    <row r="99" spans="35:35">
      <c r="AI99" s="226"/>
    </row>
    <row r="100" spans="35:35">
      <c r="AI100" s="226"/>
    </row>
    <row r="101" spans="35:35">
      <c r="AI101" s="226"/>
    </row>
    <row r="102" spans="35:35">
      <c r="AI102" s="226"/>
    </row>
    <row r="103" spans="35:35">
      <c r="AI103" s="226"/>
    </row>
    <row r="104" spans="35:35">
      <c r="AI104" s="226"/>
    </row>
    <row r="105" spans="35:35">
      <c r="AI105" s="226"/>
    </row>
    <row r="106" spans="35:35">
      <c r="AI106" s="226"/>
    </row>
    <row r="107" spans="35:35">
      <c r="AI107" s="226"/>
    </row>
    <row r="108" spans="35:35">
      <c r="AI108" s="226"/>
    </row>
    <row r="109" spans="35:35">
      <c r="AI109" s="226"/>
    </row>
    <row r="110" spans="35:35">
      <c r="AI110" s="226"/>
    </row>
    <row r="111" spans="35:35">
      <c r="AI111" s="226"/>
    </row>
    <row r="112" spans="35:35">
      <c r="AI112" s="226"/>
    </row>
    <row r="113" spans="35:35">
      <c r="AI113" s="226"/>
    </row>
    <row r="114" spans="35:35">
      <c r="AI114" s="226"/>
    </row>
    <row r="115" spans="35:35">
      <c r="AI115" s="226"/>
    </row>
    <row r="116" spans="35:35">
      <c r="AI116" s="226"/>
    </row>
    <row r="117" spans="35:35">
      <c r="AI117" s="226"/>
    </row>
    <row r="118" spans="35:35">
      <c r="AI118" s="226"/>
    </row>
  </sheetData>
  <mergeCells count="2">
    <mergeCell ref="A4:B4"/>
    <mergeCell ref="A5:B5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Z118"/>
  <sheetViews>
    <sheetView tabSelected="1" topLeftCell="A27" workbookViewId="0">
      <selection activeCell="M70" sqref="M70"/>
    </sheetView>
  </sheetViews>
  <sheetFormatPr defaultColWidth="8.85546875" defaultRowHeight="14.25"/>
  <cols>
    <col min="1" max="1" width="11" bestFit="1" customWidth="1"/>
    <col min="2" max="2" width="32.85546875" customWidth="1"/>
    <col min="3" max="3" width="33.140625" bestFit="1" customWidth="1"/>
    <col min="4" max="4" width="26.42578125" customWidth="1"/>
    <col min="5" max="5" width="21.140625" customWidth="1"/>
    <col min="6" max="6" width="19.28515625" customWidth="1"/>
    <col min="7" max="7" width="11.42578125" customWidth="1"/>
    <col min="8" max="8" width="16.7109375" customWidth="1"/>
    <col min="9" max="9" width="29.28515625" customWidth="1"/>
    <col min="10" max="10" width="33.140625" customWidth="1"/>
    <col min="11" max="11" width="36.85546875" customWidth="1"/>
    <col min="12" max="12" width="14" bestFit="1" customWidth="1"/>
    <col min="13" max="13" width="20.140625" bestFit="1" customWidth="1"/>
    <col min="180" max="180" width="11" bestFit="1" customWidth="1"/>
    <col min="181" max="181" width="18.42578125" bestFit="1" customWidth="1"/>
    <col min="182" max="182" width="22.28515625" bestFit="1" customWidth="1"/>
    <col min="183" max="183" width="52.7109375" bestFit="1" customWidth="1"/>
    <col min="184" max="184" width="11.42578125" bestFit="1" customWidth="1"/>
    <col min="185" max="185" width="20.140625" bestFit="1" customWidth="1"/>
    <col min="186" max="186" width="25.85546875" bestFit="1" customWidth="1"/>
    <col min="187" max="187" width="23.85546875" bestFit="1" customWidth="1"/>
    <col min="188" max="188" width="22.42578125" customWidth="1"/>
    <col min="189" max="189" width="10.85546875" bestFit="1" customWidth="1"/>
    <col min="190" max="190" width="8.42578125" bestFit="1" customWidth="1"/>
    <col min="191" max="191" width="15.7109375" bestFit="1" customWidth="1"/>
    <col min="192" max="192" width="19.28515625" bestFit="1" customWidth="1"/>
    <col min="193" max="193" width="28.140625" bestFit="1" customWidth="1"/>
    <col min="194" max="194" width="31.28515625" bestFit="1" customWidth="1"/>
    <col min="195" max="195" width="26.42578125" customWidth="1"/>
    <col min="196" max="196" width="15.28515625" customWidth="1"/>
    <col min="197" max="197" width="17.85546875" customWidth="1"/>
    <col min="198" max="198" width="36.28515625" bestFit="1" customWidth="1"/>
    <col min="199" max="199" width="24.42578125" bestFit="1" customWidth="1"/>
    <col min="200" max="200" width="11.42578125" bestFit="1" customWidth="1"/>
    <col min="201" max="201" width="10.140625" bestFit="1" customWidth="1"/>
    <col min="202" max="202" width="28.7109375" bestFit="1" customWidth="1"/>
    <col min="203" max="203" width="28.42578125" bestFit="1" customWidth="1"/>
    <col min="204" max="204" width="34.28515625" bestFit="1" customWidth="1"/>
    <col min="205" max="205" width="13.7109375" bestFit="1" customWidth="1"/>
    <col min="206" max="206" width="22.7109375" bestFit="1" customWidth="1"/>
    <col min="207" max="207" width="41.28515625" bestFit="1" customWidth="1"/>
    <col min="208" max="208" width="19.85546875" bestFit="1" customWidth="1"/>
    <col min="209" max="209" width="24.28515625" bestFit="1" customWidth="1"/>
    <col min="210" max="210" width="62.140625" bestFit="1" customWidth="1"/>
    <col min="211" max="211" width="23.85546875" bestFit="1" customWidth="1"/>
    <col min="212" max="212" width="32.85546875" bestFit="1" customWidth="1"/>
    <col min="213" max="213" width="30.42578125" bestFit="1" customWidth="1"/>
    <col min="214" max="214" width="12.28515625" bestFit="1" customWidth="1"/>
    <col min="215" max="215" width="14.42578125" bestFit="1" customWidth="1"/>
    <col min="216" max="216" width="18.85546875" customWidth="1"/>
    <col min="436" max="436" width="11" bestFit="1" customWidth="1"/>
    <col min="437" max="437" width="18.42578125" bestFit="1" customWidth="1"/>
    <col min="438" max="438" width="22.28515625" bestFit="1" customWidth="1"/>
    <col min="439" max="439" width="52.7109375" bestFit="1" customWidth="1"/>
    <col min="440" max="440" width="11.42578125" bestFit="1" customWidth="1"/>
    <col min="441" max="441" width="20.140625" bestFit="1" customWidth="1"/>
    <col min="442" max="442" width="25.85546875" bestFit="1" customWidth="1"/>
    <col min="443" max="443" width="23.85546875" bestFit="1" customWidth="1"/>
    <col min="444" max="444" width="22.42578125" customWidth="1"/>
    <col min="445" max="445" width="10.85546875" bestFit="1" customWidth="1"/>
    <col min="446" max="446" width="8.42578125" bestFit="1" customWidth="1"/>
    <col min="447" max="447" width="15.7109375" bestFit="1" customWidth="1"/>
    <col min="448" max="448" width="19.28515625" bestFit="1" customWidth="1"/>
    <col min="449" max="449" width="28.140625" bestFit="1" customWidth="1"/>
    <col min="450" max="450" width="31.28515625" bestFit="1" customWidth="1"/>
    <col min="451" max="451" width="26.42578125" customWidth="1"/>
    <col min="452" max="452" width="15.28515625" customWidth="1"/>
    <col min="453" max="453" width="17.85546875" customWidth="1"/>
    <col min="454" max="454" width="36.28515625" bestFit="1" customWidth="1"/>
    <col min="455" max="455" width="24.42578125" bestFit="1" customWidth="1"/>
    <col min="456" max="456" width="11.42578125" bestFit="1" customWidth="1"/>
    <col min="457" max="457" width="10.140625" bestFit="1" customWidth="1"/>
    <col min="458" max="458" width="28.7109375" bestFit="1" customWidth="1"/>
    <col min="459" max="459" width="28.42578125" bestFit="1" customWidth="1"/>
    <col min="460" max="460" width="34.28515625" bestFit="1" customWidth="1"/>
    <col min="461" max="461" width="13.7109375" bestFit="1" customWidth="1"/>
    <col min="462" max="462" width="22.7109375" bestFit="1" customWidth="1"/>
    <col min="463" max="463" width="41.28515625" bestFit="1" customWidth="1"/>
    <col min="464" max="464" width="19.85546875" bestFit="1" customWidth="1"/>
    <col min="465" max="465" width="24.28515625" bestFit="1" customWidth="1"/>
    <col min="466" max="466" width="62.140625" bestFit="1" customWidth="1"/>
    <col min="467" max="467" width="23.85546875" bestFit="1" customWidth="1"/>
    <col min="468" max="468" width="32.85546875" bestFit="1" customWidth="1"/>
    <col min="469" max="469" width="30.42578125" bestFit="1" customWidth="1"/>
    <col min="470" max="470" width="12.28515625" bestFit="1" customWidth="1"/>
    <col min="471" max="471" width="14.42578125" bestFit="1" customWidth="1"/>
    <col min="472" max="472" width="18.85546875" customWidth="1"/>
    <col min="692" max="692" width="11" bestFit="1" customWidth="1"/>
    <col min="693" max="693" width="18.42578125" bestFit="1" customWidth="1"/>
    <col min="694" max="694" width="22.28515625" bestFit="1" customWidth="1"/>
    <col min="695" max="695" width="52.7109375" bestFit="1" customWidth="1"/>
    <col min="696" max="696" width="11.42578125" bestFit="1" customWidth="1"/>
    <col min="697" max="697" width="20.140625" bestFit="1" customWidth="1"/>
    <col min="698" max="698" width="25.85546875" bestFit="1" customWidth="1"/>
    <col min="699" max="699" width="23.85546875" bestFit="1" customWidth="1"/>
    <col min="700" max="700" width="22.42578125" customWidth="1"/>
    <col min="701" max="701" width="10.85546875" bestFit="1" customWidth="1"/>
    <col min="702" max="702" width="8.42578125" bestFit="1" customWidth="1"/>
    <col min="703" max="703" width="15.7109375" bestFit="1" customWidth="1"/>
    <col min="704" max="704" width="19.28515625" bestFit="1" customWidth="1"/>
    <col min="705" max="705" width="28.140625" bestFit="1" customWidth="1"/>
    <col min="706" max="706" width="31.28515625" bestFit="1" customWidth="1"/>
    <col min="707" max="707" width="26.42578125" customWidth="1"/>
    <col min="708" max="708" width="15.28515625" customWidth="1"/>
    <col min="709" max="709" width="17.85546875" customWidth="1"/>
    <col min="710" max="710" width="36.28515625" bestFit="1" customWidth="1"/>
    <col min="711" max="711" width="24.42578125" bestFit="1" customWidth="1"/>
    <col min="712" max="712" width="11.42578125" bestFit="1" customWidth="1"/>
    <col min="713" max="713" width="10.140625" bestFit="1" customWidth="1"/>
    <col min="714" max="714" width="28.7109375" bestFit="1" customWidth="1"/>
    <col min="715" max="715" width="28.42578125" bestFit="1" customWidth="1"/>
    <col min="716" max="716" width="34.28515625" bestFit="1" customWidth="1"/>
    <col min="717" max="717" width="13.7109375" bestFit="1" customWidth="1"/>
    <col min="718" max="718" width="22.7109375" bestFit="1" customWidth="1"/>
    <col min="719" max="719" width="41.28515625" bestFit="1" customWidth="1"/>
    <col min="720" max="720" width="19.85546875" bestFit="1" customWidth="1"/>
    <col min="721" max="721" width="24.28515625" bestFit="1" customWidth="1"/>
    <col min="722" max="722" width="62.140625" bestFit="1" customWidth="1"/>
    <col min="723" max="723" width="23.85546875" bestFit="1" customWidth="1"/>
    <col min="724" max="724" width="32.85546875" bestFit="1" customWidth="1"/>
    <col min="725" max="725" width="30.42578125" bestFit="1" customWidth="1"/>
    <col min="726" max="726" width="12.28515625" bestFit="1" customWidth="1"/>
    <col min="727" max="727" width="14.42578125" bestFit="1" customWidth="1"/>
    <col min="728" max="728" width="18.85546875" customWidth="1"/>
    <col min="948" max="948" width="11" bestFit="1" customWidth="1"/>
    <col min="949" max="949" width="18.42578125" bestFit="1" customWidth="1"/>
    <col min="950" max="950" width="22.28515625" bestFit="1" customWidth="1"/>
    <col min="951" max="951" width="52.7109375" bestFit="1" customWidth="1"/>
    <col min="952" max="952" width="11.42578125" bestFit="1" customWidth="1"/>
    <col min="953" max="953" width="20.140625" bestFit="1" customWidth="1"/>
    <col min="954" max="954" width="25.85546875" bestFit="1" customWidth="1"/>
    <col min="955" max="955" width="23.85546875" bestFit="1" customWidth="1"/>
    <col min="956" max="956" width="22.42578125" customWidth="1"/>
    <col min="957" max="957" width="10.85546875" bestFit="1" customWidth="1"/>
    <col min="958" max="958" width="8.42578125" bestFit="1" customWidth="1"/>
    <col min="959" max="959" width="15.7109375" bestFit="1" customWidth="1"/>
    <col min="960" max="960" width="19.28515625" bestFit="1" customWidth="1"/>
    <col min="961" max="961" width="28.140625" bestFit="1" customWidth="1"/>
    <col min="962" max="962" width="31.28515625" bestFit="1" customWidth="1"/>
    <col min="963" max="963" width="26.42578125" customWidth="1"/>
    <col min="964" max="964" width="15.28515625" customWidth="1"/>
    <col min="965" max="965" width="17.85546875" customWidth="1"/>
    <col min="966" max="966" width="36.28515625" bestFit="1" customWidth="1"/>
    <col min="967" max="967" width="24.42578125" bestFit="1" customWidth="1"/>
    <col min="968" max="968" width="11.42578125" bestFit="1" customWidth="1"/>
    <col min="969" max="969" width="10.140625" bestFit="1" customWidth="1"/>
    <col min="970" max="970" width="28.7109375" bestFit="1" customWidth="1"/>
    <col min="971" max="971" width="28.42578125" bestFit="1" customWidth="1"/>
    <col min="972" max="972" width="34.28515625" bestFit="1" customWidth="1"/>
    <col min="973" max="973" width="13.7109375" bestFit="1" customWidth="1"/>
    <col min="974" max="974" width="22.7109375" bestFit="1" customWidth="1"/>
    <col min="975" max="975" width="41.28515625" bestFit="1" customWidth="1"/>
    <col min="976" max="976" width="19.85546875" bestFit="1" customWidth="1"/>
    <col min="977" max="977" width="24.28515625" bestFit="1" customWidth="1"/>
    <col min="978" max="978" width="62.140625" bestFit="1" customWidth="1"/>
    <col min="979" max="979" width="23.85546875" bestFit="1" customWidth="1"/>
    <col min="980" max="980" width="32.85546875" bestFit="1" customWidth="1"/>
    <col min="981" max="981" width="30.42578125" bestFit="1" customWidth="1"/>
    <col min="982" max="982" width="12.28515625" bestFit="1" customWidth="1"/>
    <col min="983" max="983" width="14.42578125" bestFit="1" customWidth="1"/>
    <col min="984" max="984" width="18.85546875" customWidth="1"/>
    <col min="1204" max="1204" width="11" bestFit="1" customWidth="1"/>
    <col min="1205" max="1205" width="18.42578125" bestFit="1" customWidth="1"/>
    <col min="1206" max="1206" width="22.28515625" bestFit="1" customWidth="1"/>
    <col min="1207" max="1207" width="52.7109375" bestFit="1" customWidth="1"/>
    <col min="1208" max="1208" width="11.42578125" bestFit="1" customWidth="1"/>
    <col min="1209" max="1209" width="20.140625" bestFit="1" customWidth="1"/>
    <col min="1210" max="1210" width="25.85546875" bestFit="1" customWidth="1"/>
    <col min="1211" max="1211" width="23.85546875" bestFit="1" customWidth="1"/>
    <col min="1212" max="1212" width="22.42578125" customWidth="1"/>
    <col min="1213" max="1213" width="10.85546875" bestFit="1" customWidth="1"/>
    <col min="1214" max="1214" width="8.42578125" bestFit="1" customWidth="1"/>
    <col min="1215" max="1215" width="15.7109375" bestFit="1" customWidth="1"/>
    <col min="1216" max="1216" width="19.28515625" bestFit="1" customWidth="1"/>
    <col min="1217" max="1217" width="28.140625" bestFit="1" customWidth="1"/>
    <col min="1218" max="1218" width="31.28515625" bestFit="1" customWidth="1"/>
    <col min="1219" max="1219" width="26.42578125" customWidth="1"/>
    <col min="1220" max="1220" width="15.28515625" customWidth="1"/>
    <col min="1221" max="1221" width="17.85546875" customWidth="1"/>
    <col min="1222" max="1222" width="36.28515625" bestFit="1" customWidth="1"/>
    <col min="1223" max="1223" width="24.42578125" bestFit="1" customWidth="1"/>
    <col min="1224" max="1224" width="11.42578125" bestFit="1" customWidth="1"/>
    <col min="1225" max="1225" width="10.140625" bestFit="1" customWidth="1"/>
    <col min="1226" max="1226" width="28.7109375" bestFit="1" customWidth="1"/>
    <col min="1227" max="1227" width="28.42578125" bestFit="1" customWidth="1"/>
    <col min="1228" max="1228" width="34.28515625" bestFit="1" customWidth="1"/>
    <col min="1229" max="1229" width="13.7109375" bestFit="1" customWidth="1"/>
    <col min="1230" max="1230" width="22.7109375" bestFit="1" customWidth="1"/>
    <col min="1231" max="1231" width="41.28515625" bestFit="1" customWidth="1"/>
    <col min="1232" max="1232" width="19.85546875" bestFit="1" customWidth="1"/>
    <col min="1233" max="1233" width="24.28515625" bestFit="1" customWidth="1"/>
    <col min="1234" max="1234" width="62.140625" bestFit="1" customWidth="1"/>
    <col min="1235" max="1235" width="23.85546875" bestFit="1" customWidth="1"/>
    <col min="1236" max="1236" width="32.85546875" bestFit="1" customWidth="1"/>
    <col min="1237" max="1237" width="30.42578125" bestFit="1" customWidth="1"/>
    <col min="1238" max="1238" width="12.28515625" bestFit="1" customWidth="1"/>
    <col min="1239" max="1239" width="14.42578125" bestFit="1" customWidth="1"/>
    <col min="1240" max="1240" width="18.85546875" customWidth="1"/>
    <col min="1460" max="1460" width="11" bestFit="1" customWidth="1"/>
    <col min="1461" max="1461" width="18.42578125" bestFit="1" customWidth="1"/>
    <col min="1462" max="1462" width="22.28515625" bestFit="1" customWidth="1"/>
    <col min="1463" max="1463" width="52.7109375" bestFit="1" customWidth="1"/>
    <col min="1464" max="1464" width="11.42578125" bestFit="1" customWidth="1"/>
    <col min="1465" max="1465" width="20.140625" bestFit="1" customWidth="1"/>
    <col min="1466" max="1466" width="25.85546875" bestFit="1" customWidth="1"/>
    <col min="1467" max="1467" width="23.85546875" bestFit="1" customWidth="1"/>
    <col min="1468" max="1468" width="22.42578125" customWidth="1"/>
    <col min="1469" max="1469" width="10.85546875" bestFit="1" customWidth="1"/>
    <col min="1470" max="1470" width="8.42578125" bestFit="1" customWidth="1"/>
    <col min="1471" max="1471" width="15.7109375" bestFit="1" customWidth="1"/>
    <col min="1472" max="1472" width="19.28515625" bestFit="1" customWidth="1"/>
    <col min="1473" max="1473" width="28.140625" bestFit="1" customWidth="1"/>
    <col min="1474" max="1474" width="31.28515625" bestFit="1" customWidth="1"/>
    <col min="1475" max="1475" width="26.42578125" customWidth="1"/>
    <col min="1476" max="1476" width="15.28515625" customWidth="1"/>
    <col min="1477" max="1477" width="17.85546875" customWidth="1"/>
    <col min="1478" max="1478" width="36.28515625" bestFit="1" customWidth="1"/>
    <col min="1479" max="1479" width="24.42578125" bestFit="1" customWidth="1"/>
    <col min="1480" max="1480" width="11.42578125" bestFit="1" customWidth="1"/>
    <col min="1481" max="1481" width="10.140625" bestFit="1" customWidth="1"/>
    <col min="1482" max="1482" width="28.7109375" bestFit="1" customWidth="1"/>
    <col min="1483" max="1483" width="28.42578125" bestFit="1" customWidth="1"/>
    <col min="1484" max="1484" width="34.28515625" bestFit="1" customWidth="1"/>
    <col min="1485" max="1485" width="13.7109375" bestFit="1" customWidth="1"/>
    <col min="1486" max="1486" width="22.7109375" bestFit="1" customWidth="1"/>
    <col min="1487" max="1487" width="41.28515625" bestFit="1" customWidth="1"/>
    <col min="1488" max="1488" width="19.85546875" bestFit="1" customWidth="1"/>
    <col min="1489" max="1489" width="24.28515625" bestFit="1" customWidth="1"/>
    <col min="1490" max="1490" width="62.140625" bestFit="1" customWidth="1"/>
    <col min="1491" max="1491" width="23.85546875" bestFit="1" customWidth="1"/>
    <col min="1492" max="1492" width="32.85546875" bestFit="1" customWidth="1"/>
    <col min="1493" max="1493" width="30.42578125" bestFit="1" customWidth="1"/>
    <col min="1494" max="1494" width="12.28515625" bestFit="1" customWidth="1"/>
    <col min="1495" max="1495" width="14.42578125" bestFit="1" customWidth="1"/>
    <col min="1496" max="1496" width="18.85546875" customWidth="1"/>
    <col min="1716" max="1716" width="11" bestFit="1" customWidth="1"/>
    <col min="1717" max="1717" width="18.42578125" bestFit="1" customWidth="1"/>
    <col min="1718" max="1718" width="22.28515625" bestFit="1" customWidth="1"/>
    <col min="1719" max="1719" width="52.7109375" bestFit="1" customWidth="1"/>
    <col min="1720" max="1720" width="11.42578125" bestFit="1" customWidth="1"/>
    <col min="1721" max="1721" width="20.140625" bestFit="1" customWidth="1"/>
    <col min="1722" max="1722" width="25.85546875" bestFit="1" customWidth="1"/>
    <col min="1723" max="1723" width="23.85546875" bestFit="1" customWidth="1"/>
    <col min="1724" max="1724" width="22.42578125" customWidth="1"/>
    <col min="1725" max="1725" width="10.85546875" bestFit="1" customWidth="1"/>
    <col min="1726" max="1726" width="8.42578125" bestFit="1" customWidth="1"/>
    <col min="1727" max="1727" width="15.7109375" bestFit="1" customWidth="1"/>
    <col min="1728" max="1728" width="19.28515625" bestFit="1" customWidth="1"/>
    <col min="1729" max="1729" width="28.140625" bestFit="1" customWidth="1"/>
    <col min="1730" max="1730" width="31.28515625" bestFit="1" customWidth="1"/>
    <col min="1731" max="1731" width="26.42578125" customWidth="1"/>
    <col min="1732" max="1732" width="15.28515625" customWidth="1"/>
    <col min="1733" max="1733" width="17.85546875" customWidth="1"/>
    <col min="1734" max="1734" width="36.28515625" bestFit="1" customWidth="1"/>
    <col min="1735" max="1735" width="24.42578125" bestFit="1" customWidth="1"/>
    <col min="1736" max="1736" width="11.42578125" bestFit="1" customWidth="1"/>
    <col min="1737" max="1737" width="10.140625" bestFit="1" customWidth="1"/>
    <col min="1738" max="1738" width="28.7109375" bestFit="1" customWidth="1"/>
    <col min="1739" max="1739" width="28.42578125" bestFit="1" customWidth="1"/>
    <col min="1740" max="1740" width="34.28515625" bestFit="1" customWidth="1"/>
    <col min="1741" max="1741" width="13.7109375" bestFit="1" customWidth="1"/>
    <col min="1742" max="1742" width="22.7109375" bestFit="1" customWidth="1"/>
    <col min="1743" max="1743" width="41.28515625" bestFit="1" customWidth="1"/>
    <col min="1744" max="1744" width="19.85546875" bestFit="1" customWidth="1"/>
    <col min="1745" max="1745" width="24.28515625" bestFit="1" customWidth="1"/>
    <col min="1746" max="1746" width="62.140625" bestFit="1" customWidth="1"/>
    <col min="1747" max="1747" width="23.85546875" bestFit="1" customWidth="1"/>
    <col min="1748" max="1748" width="32.85546875" bestFit="1" customWidth="1"/>
    <col min="1749" max="1749" width="30.42578125" bestFit="1" customWidth="1"/>
    <col min="1750" max="1750" width="12.28515625" bestFit="1" customWidth="1"/>
    <col min="1751" max="1751" width="14.42578125" bestFit="1" customWidth="1"/>
    <col min="1752" max="1752" width="18.85546875" customWidth="1"/>
    <col min="1972" max="1972" width="11" bestFit="1" customWidth="1"/>
    <col min="1973" max="1973" width="18.42578125" bestFit="1" customWidth="1"/>
    <col min="1974" max="1974" width="22.28515625" bestFit="1" customWidth="1"/>
    <col min="1975" max="1975" width="52.7109375" bestFit="1" customWidth="1"/>
    <col min="1976" max="1976" width="11.42578125" bestFit="1" customWidth="1"/>
    <col min="1977" max="1977" width="20.140625" bestFit="1" customWidth="1"/>
    <col min="1978" max="1978" width="25.85546875" bestFit="1" customWidth="1"/>
    <col min="1979" max="1979" width="23.85546875" bestFit="1" customWidth="1"/>
    <col min="1980" max="1980" width="22.42578125" customWidth="1"/>
    <col min="1981" max="1981" width="10.85546875" bestFit="1" customWidth="1"/>
    <col min="1982" max="1982" width="8.42578125" bestFit="1" customWidth="1"/>
    <col min="1983" max="1983" width="15.7109375" bestFit="1" customWidth="1"/>
    <col min="1984" max="1984" width="19.28515625" bestFit="1" customWidth="1"/>
    <col min="1985" max="1985" width="28.140625" bestFit="1" customWidth="1"/>
    <col min="1986" max="1986" width="31.28515625" bestFit="1" customWidth="1"/>
    <col min="1987" max="1987" width="26.42578125" customWidth="1"/>
    <col min="1988" max="1988" width="15.28515625" customWidth="1"/>
    <col min="1989" max="1989" width="17.85546875" customWidth="1"/>
    <col min="1990" max="1990" width="36.28515625" bestFit="1" customWidth="1"/>
    <col min="1991" max="1991" width="24.42578125" bestFit="1" customWidth="1"/>
    <col min="1992" max="1992" width="11.42578125" bestFit="1" customWidth="1"/>
    <col min="1993" max="1993" width="10.140625" bestFit="1" customWidth="1"/>
    <col min="1994" max="1994" width="28.7109375" bestFit="1" customWidth="1"/>
    <col min="1995" max="1995" width="28.42578125" bestFit="1" customWidth="1"/>
    <col min="1996" max="1996" width="34.28515625" bestFit="1" customWidth="1"/>
    <col min="1997" max="1997" width="13.7109375" bestFit="1" customWidth="1"/>
    <col min="1998" max="1998" width="22.7109375" bestFit="1" customWidth="1"/>
    <col min="1999" max="1999" width="41.28515625" bestFit="1" customWidth="1"/>
    <col min="2000" max="2000" width="19.85546875" bestFit="1" customWidth="1"/>
    <col min="2001" max="2001" width="24.28515625" bestFit="1" customWidth="1"/>
    <col min="2002" max="2002" width="62.140625" bestFit="1" customWidth="1"/>
    <col min="2003" max="2003" width="23.85546875" bestFit="1" customWidth="1"/>
    <col min="2004" max="2004" width="32.85546875" bestFit="1" customWidth="1"/>
    <col min="2005" max="2005" width="30.42578125" bestFit="1" customWidth="1"/>
    <col min="2006" max="2006" width="12.28515625" bestFit="1" customWidth="1"/>
    <col min="2007" max="2007" width="14.42578125" bestFit="1" customWidth="1"/>
    <col min="2008" max="2008" width="18.85546875" customWidth="1"/>
    <col min="2228" max="2228" width="11" bestFit="1" customWidth="1"/>
    <col min="2229" max="2229" width="18.42578125" bestFit="1" customWidth="1"/>
    <col min="2230" max="2230" width="22.28515625" bestFit="1" customWidth="1"/>
    <col min="2231" max="2231" width="52.7109375" bestFit="1" customWidth="1"/>
    <col min="2232" max="2232" width="11.42578125" bestFit="1" customWidth="1"/>
    <col min="2233" max="2233" width="20.140625" bestFit="1" customWidth="1"/>
    <col min="2234" max="2234" width="25.85546875" bestFit="1" customWidth="1"/>
    <col min="2235" max="2235" width="23.85546875" bestFit="1" customWidth="1"/>
    <col min="2236" max="2236" width="22.42578125" customWidth="1"/>
    <col min="2237" max="2237" width="10.85546875" bestFit="1" customWidth="1"/>
    <col min="2238" max="2238" width="8.42578125" bestFit="1" customWidth="1"/>
    <col min="2239" max="2239" width="15.7109375" bestFit="1" customWidth="1"/>
    <col min="2240" max="2240" width="19.28515625" bestFit="1" customWidth="1"/>
    <col min="2241" max="2241" width="28.140625" bestFit="1" customWidth="1"/>
    <col min="2242" max="2242" width="31.28515625" bestFit="1" customWidth="1"/>
    <col min="2243" max="2243" width="26.42578125" customWidth="1"/>
    <col min="2244" max="2244" width="15.28515625" customWidth="1"/>
    <col min="2245" max="2245" width="17.85546875" customWidth="1"/>
    <col min="2246" max="2246" width="36.28515625" bestFit="1" customWidth="1"/>
    <col min="2247" max="2247" width="24.42578125" bestFit="1" customWidth="1"/>
    <col min="2248" max="2248" width="11.42578125" bestFit="1" customWidth="1"/>
    <col min="2249" max="2249" width="10.140625" bestFit="1" customWidth="1"/>
    <col min="2250" max="2250" width="28.7109375" bestFit="1" customWidth="1"/>
    <col min="2251" max="2251" width="28.42578125" bestFit="1" customWidth="1"/>
    <col min="2252" max="2252" width="34.28515625" bestFit="1" customWidth="1"/>
    <col min="2253" max="2253" width="13.7109375" bestFit="1" customWidth="1"/>
    <col min="2254" max="2254" width="22.7109375" bestFit="1" customWidth="1"/>
    <col min="2255" max="2255" width="41.28515625" bestFit="1" customWidth="1"/>
    <col min="2256" max="2256" width="19.85546875" bestFit="1" customWidth="1"/>
    <col min="2257" max="2257" width="24.28515625" bestFit="1" customWidth="1"/>
    <col min="2258" max="2258" width="62.140625" bestFit="1" customWidth="1"/>
    <col min="2259" max="2259" width="23.85546875" bestFit="1" customWidth="1"/>
    <col min="2260" max="2260" width="32.85546875" bestFit="1" customWidth="1"/>
    <col min="2261" max="2261" width="30.42578125" bestFit="1" customWidth="1"/>
    <col min="2262" max="2262" width="12.28515625" bestFit="1" customWidth="1"/>
    <col min="2263" max="2263" width="14.42578125" bestFit="1" customWidth="1"/>
    <col min="2264" max="2264" width="18.85546875" customWidth="1"/>
    <col min="2484" max="2484" width="11" bestFit="1" customWidth="1"/>
    <col min="2485" max="2485" width="18.42578125" bestFit="1" customWidth="1"/>
    <col min="2486" max="2486" width="22.28515625" bestFit="1" customWidth="1"/>
    <col min="2487" max="2487" width="52.7109375" bestFit="1" customWidth="1"/>
    <col min="2488" max="2488" width="11.42578125" bestFit="1" customWidth="1"/>
    <col min="2489" max="2489" width="20.140625" bestFit="1" customWidth="1"/>
    <col min="2490" max="2490" width="25.85546875" bestFit="1" customWidth="1"/>
    <col min="2491" max="2491" width="23.85546875" bestFit="1" customWidth="1"/>
    <col min="2492" max="2492" width="22.42578125" customWidth="1"/>
    <col min="2493" max="2493" width="10.85546875" bestFit="1" customWidth="1"/>
    <col min="2494" max="2494" width="8.42578125" bestFit="1" customWidth="1"/>
    <col min="2495" max="2495" width="15.7109375" bestFit="1" customWidth="1"/>
    <col min="2496" max="2496" width="19.28515625" bestFit="1" customWidth="1"/>
    <col min="2497" max="2497" width="28.140625" bestFit="1" customWidth="1"/>
    <col min="2498" max="2498" width="31.28515625" bestFit="1" customWidth="1"/>
    <col min="2499" max="2499" width="26.42578125" customWidth="1"/>
    <col min="2500" max="2500" width="15.28515625" customWidth="1"/>
    <col min="2501" max="2501" width="17.85546875" customWidth="1"/>
    <col min="2502" max="2502" width="36.28515625" bestFit="1" customWidth="1"/>
    <col min="2503" max="2503" width="24.42578125" bestFit="1" customWidth="1"/>
    <col min="2504" max="2504" width="11.42578125" bestFit="1" customWidth="1"/>
    <col min="2505" max="2505" width="10.140625" bestFit="1" customWidth="1"/>
    <col min="2506" max="2506" width="28.7109375" bestFit="1" customWidth="1"/>
    <col min="2507" max="2507" width="28.42578125" bestFit="1" customWidth="1"/>
    <col min="2508" max="2508" width="34.28515625" bestFit="1" customWidth="1"/>
    <col min="2509" max="2509" width="13.7109375" bestFit="1" customWidth="1"/>
    <col min="2510" max="2510" width="22.7109375" bestFit="1" customWidth="1"/>
    <col min="2511" max="2511" width="41.28515625" bestFit="1" customWidth="1"/>
    <col min="2512" max="2512" width="19.85546875" bestFit="1" customWidth="1"/>
    <col min="2513" max="2513" width="24.28515625" bestFit="1" customWidth="1"/>
    <col min="2514" max="2514" width="62.140625" bestFit="1" customWidth="1"/>
    <col min="2515" max="2515" width="23.85546875" bestFit="1" customWidth="1"/>
    <col min="2516" max="2516" width="32.85546875" bestFit="1" customWidth="1"/>
    <col min="2517" max="2517" width="30.42578125" bestFit="1" customWidth="1"/>
    <col min="2518" max="2518" width="12.28515625" bestFit="1" customWidth="1"/>
    <col min="2519" max="2519" width="14.42578125" bestFit="1" customWidth="1"/>
    <col min="2520" max="2520" width="18.85546875" customWidth="1"/>
    <col min="2740" max="2740" width="11" bestFit="1" customWidth="1"/>
    <col min="2741" max="2741" width="18.42578125" bestFit="1" customWidth="1"/>
    <col min="2742" max="2742" width="22.28515625" bestFit="1" customWidth="1"/>
    <col min="2743" max="2743" width="52.7109375" bestFit="1" customWidth="1"/>
    <col min="2744" max="2744" width="11.42578125" bestFit="1" customWidth="1"/>
    <col min="2745" max="2745" width="20.140625" bestFit="1" customWidth="1"/>
    <col min="2746" max="2746" width="25.85546875" bestFit="1" customWidth="1"/>
    <col min="2747" max="2747" width="23.85546875" bestFit="1" customWidth="1"/>
    <col min="2748" max="2748" width="22.42578125" customWidth="1"/>
    <col min="2749" max="2749" width="10.85546875" bestFit="1" customWidth="1"/>
    <col min="2750" max="2750" width="8.42578125" bestFit="1" customWidth="1"/>
    <col min="2751" max="2751" width="15.7109375" bestFit="1" customWidth="1"/>
    <col min="2752" max="2752" width="19.28515625" bestFit="1" customWidth="1"/>
    <col min="2753" max="2753" width="28.140625" bestFit="1" customWidth="1"/>
    <col min="2754" max="2754" width="31.28515625" bestFit="1" customWidth="1"/>
    <col min="2755" max="2755" width="26.42578125" customWidth="1"/>
    <col min="2756" max="2756" width="15.28515625" customWidth="1"/>
    <col min="2757" max="2757" width="17.85546875" customWidth="1"/>
    <col min="2758" max="2758" width="36.28515625" bestFit="1" customWidth="1"/>
    <col min="2759" max="2759" width="24.42578125" bestFit="1" customWidth="1"/>
    <col min="2760" max="2760" width="11.42578125" bestFit="1" customWidth="1"/>
    <col min="2761" max="2761" width="10.140625" bestFit="1" customWidth="1"/>
    <col min="2762" max="2762" width="28.7109375" bestFit="1" customWidth="1"/>
    <col min="2763" max="2763" width="28.42578125" bestFit="1" customWidth="1"/>
    <col min="2764" max="2764" width="34.28515625" bestFit="1" customWidth="1"/>
    <col min="2765" max="2765" width="13.7109375" bestFit="1" customWidth="1"/>
    <col min="2766" max="2766" width="22.7109375" bestFit="1" customWidth="1"/>
    <col min="2767" max="2767" width="41.28515625" bestFit="1" customWidth="1"/>
    <col min="2768" max="2768" width="19.85546875" bestFit="1" customWidth="1"/>
    <col min="2769" max="2769" width="24.28515625" bestFit="1" customWidth="1"/>
    <col min="2770" max="2770" width="62.140625" bestFit="1" customWidth="1"/>
    <col min="2771" max="2771" width="23.85546875" bestFit="1" customWidth="1"/>
    <col min="2772" max="2772" width="32.85546875" bestFit="1" customWidth="1"/>
    <col min="2773" max="2773" width="30.42578125" bestFit="1" customWidth="1"/>
    <col min="2774" max="2774" width="12.28515625" bestFit="1" customWidth="1"/>
    <col min="2775" max="2775" width="14.42578125" bestFit="1" customWidth="1"/>
    <col min="2776" max="2776" width="18.85546875" customWidth="1"/>
    <col min="2996" max="2996" width="11" bestFit="1" customWidth="1"/>
    <col min="2997" max="2997" width="18.42578125" bestFit="1" customWidth="1"/>
    <col min="2998" max="2998" width="22.28515625" bestFit="1" customWidth="1"/>
    <col min="2999" max="2999" width="52.7109375" bestFit="1" customWidth="1"/>
    <col min="3000" max="3000" width="11.42578125" bestFit="1" customWidth="1"/>
    <col min="3001" max="3001" width="20.140625" bestFit="1" customWidth="1"/>
    <col min="3002" max="3002" width="25.85546875" bestFit="1" customWidth="1"/>
    <col min="3003" max="3003" width="23.85546875" bestFit="1" customWidth="1"/>
    <col min="3004" max="3004" width="22.42578125" customWidth="1"/>
    <col min="3005" max="3005" width="10.85546875" bestFit="1" customWidth="1"/>
    <col min="3006" max="3006" width="8.42578125" bestFit="1" customWidth="1"/>
    <col min="3007" max="3007" width="15.7109375" bestFit="1" customWidth="1"/>
    <col min="3008" max="3008" width="19.28515625" bestFit="1" customWidth="1"/>
    <col min="3009" max="3009" width="28.140625" bestFit="1" customWidth="1"/>
    <col min="3010" max="3010" width="31.28515625" bestFit="1" customWidth="1"/>
    <col min="3011" max="3011" width="26.42578125" customWidth="1"/>
    <col min="3012" max="3012" width="15.28515625" customWidth="1"/>
    <col min="3013" max="3013" width="17.85546875" customWidth="1"/>
    <col min="3014" max="3014" width="36.28515625" bestFit="1" customWidth="1"/>
    <col min="3015" max="3015" width="24.42578125" bestFit="1" customWidth="1"/>
    <col min="3016" max="3016" width="11.42578125" bestFit="1" customWidth="1"/>
    <col min="3017" max="3017" width="10.140625" bestFit="1" customWidth="1"/>
    <col min="3018" max="3018" width="28.7109375" bestFit="1" customWidth="1"/>
    <col min="3019" max="3019" width="28.42578125" bestFit="1" customWidth="1"/>
    <col min="3020" max="3020" width="34.28515625" bestFit="1" customWidth="1"/>
    <col min="3021" max="3021" width="13.7109375" bestFit="1" customWidth="1"/>
    <col min="3022" max="3022" width="22.7109375" bestFit="1" customWidth="1"/>
    <col min="3023" max="3023" width="41.28515625" bestFit="1" customWidth="1"/>
    <col min="3024" max="3024" width="19.85546875" bestFit="1" customWidth="1"/>
    <col min="3025" max="3025" width="24.28515625" bestFit="1" customWidth="1"/>
    <col min="3026" max="3026" width="62.140625" bestFit="1" customWidth="1"/>
    <col min="3027" max="3027" width="23.85546875" bestFit="1" customWidth="1"/>
    <col min="3028" max="3028" width="32.85546875" bestFit="1" customWidth="1"/>
    <col min="3029" max="3029" width="30.42578125" bestFit="1" customWidth="1"/>
    <col min="3030" max="3030" width="12.28515625" bestFit="1" customWidth="1"/>
    <col min="3031" max="3031" width="14.42578125" bestFit="1" customWidth="1"/>
    <col min="3032" max="3032" width="18.85546875" customWidth="1"/>
    <col min="3252" max="3252" width="11" bestFit="1" customWidth="1"/>
    <col min="3253" max="3253" width="18.42578125" bestFit="1" customWidth="1"/>
    <col min="3254" max="3254" width="22.28515625" bestFit="1" customWidth="1"/>
    <col min="3255" max="3255" width="52.7109375" bestFit="1" customWidth="1"/>
    <col min="3256" max="3256" width="11.42578125" bestFit="1" customWidth="1"/>
    <col min="3257" max="3257" width="20.140625" bestFit="1" customWidth="1"/>
    <col min="3258" max="3258" width="25.85546875" bestFit="1" customWidth="1"/>
    <col min="3259" max="3259" width="23.85546875" bestFit="1" customWidth="1"/>
    <col min="3260" max="3260" width="22.42578125" customWidth="1"/>
    <col min="3261" max="3261" width="10.85546875" bestFit="1" customWidth="1"/>
    <col min="3262" max="3262" width="8.42578125" bestFit="1" customWidth="1"/>
    <col min="3263" max="3263" width="15.7109375" bestFit="1" customWidth="1"/>
    <col min="3264" max="3264" width="19.28515625" bestFit="1" customWidth="1"/>
    <col min="3265" max="3265" width="28.140625" bestFit="1" customWidth="1"/>
    <col min="3266" max="3266" width="31.28515625" bestFit="1" customWidth="1"/>
    <col min="3267" max="3267" width="26.42578125" customWidth="1"/>
    <col min="3268" max="3268" width="15.28515625" customWidth="1"/>
    <col min="3269" max="3269" width="17.85546875" customWidth="1"/>
    <col min="3270" max="3270" width="36.28515625" bestFit="1" customWidth="1"/>
    <col min="3271" max="3271" width="24.42578125" bestFit="1" customWidth="1"/>
    <col min="3272" max="3272" width="11.42578125" bestFit="1" customWidth="1"/>
    <col min="3273" max="3273" width="10.140625" bestFit="1" customWidth="1"/>
    <col min="3274" max="3274" width="28.7109375" bestFit="1" customWidth="1"/>
    <col min="3275" max="3275" width="28.42578125" bestFit="1" customWidth="1"/>
    <col min="3276" max="3276" width="34.28515625" bestFit="1" customWidth="1"/>
    <col min="3277" max="3277" width="13.7109375" bestFit="1" customWidth="1"/>
    <col min="3278" max="3278" width="22.7109375" bestFit="1" customWidth="1"/>
    <col min="3279" max="3279" width="41.28515625" bestFit="1" customWidth="1"/>
    <col min="3280" max="3280" width="19.85546875" bestFit="1" customWidth="1"/>
    <col min="3281" max="3281" width="24.28515625" bestFit="1" customWidth="1"/>
    <col min="3282" max="3282" width="62.140625" bestFit="1" customWidth="1"/>
    <col min="3283" max="3283" width="23.85546875" bestFit="1" customWidth="1"/>
    <col min="3284" max="3284" width="32.85546875" bestFit="1" customWidth="1"/>
    <col min="3285" max="3285" width="30.42578125" bestFit="1" customWidth="1"/>
    <col min="3286" max="3286" width="12.28515625" bestFit="1" customWidth="1"/>
    <col min="3287" max="3287" width="14.42578125" bestFit="1" customWidth="1"/>
    <col min="3288" max="3288" width="18.85546875" customWidth="1"/>
    <col min="3508" max="3508" width="11" bestFit="1" customWidth="1"/>
    <col min="3509" max="3509" width="18.42578125" bestFit="1" customWidth="1"/>
    <col min="3510" max="3510" width="22.28515625" bestFit="1" customWidth="1"/>
    <col min="3511" max="3511" width="52.7109375" bestFit="1" customWidth="1"/>
    <col min="3512" max="3512" width="11.42578125" bestFit="1" customWidth="1"/>
    <col min="3513" max="3513" width="20.140625" bestFit="1" customWidth="1"/>
    <col min="3514" max="3514" width="25.85546875" bestFit="1" customWidth="1"/>
    <col min="3515" max="3515" width="23.85546875" bestFit="1" customWidth="1"/>
    <col min="3516" max="3516" width="22.42578125" customWidth="1"/>
    <col min="3517" max="3517" width="10.85546875" bestFit="1" customWidth="1"/>
    <col min="3518" max="3518" width="8.42578125" bestFit="1" customWidth="1"/>
    <col min="3519" max="3519" width="15.7109375" bestFit="1" customWidth="1"/>
    <col min="3520" max="3520" width="19.28515625" bestFit="1" customWidth="1"/>
    <col min="3521" max="3521" width="28.140625" bestFit="1" customWidth="1"/>
    <col min="3522" max="3522" width="31.28515625" bestFit="1" customWidth="1"/>
    <col min="3523" max="3523" width="26.42578125" customWidth="1"/>
    <col min="3524" max="3524" width="15.28515625" customWidth="1"/>
    <col min="3525" max="3525" width="17.85546875" customWidth="1"/>
    <col min="3526" max="3526" width="36.28515625" bestFit="1" customWidth="1"/>
    <col min="3527" max="3527" width="24.42578125" bestFit="1" customWidth="1"/>
    <col min="3528" max="3528" width="11.42578125" bestFit="1" customWidth="1"/>
    <col min="3529" max="3529" width="10.140625" bestFit="1" customWidth="1"/>
    <col min="3530" max="3530" width="28.7109375" bestFit="1" customWidth="1"/>
    <col min="3531" max="3531" width="28.42578125" bestFit="1" customWidth="1"/>
    <col min="3532" max="3532" width="34.28515625" bestFit="1" customWidth="1"/>
    <col min="3533" max="3533" width="13.7109375" bestFit="1" customWidth="1"/>
    <col min="3534" max="3534" width="22.7109375" bestFit="1" customWidth="1"/>
    <col min="3535" max="3535" width="41.28515625" bestFit="1" customWidth="1"/>
    <col min="3536" max="3536" width="19.85546875" bestFit="1" customWidth="1"/>
    <col min="3537" max="3537" width="24.28515625" bestFit="1" customWidth="1"/>
    <col min="3538" max="3538" width="62.140625" bestFit="1" customWidth="1"/>
    <col min="3539" max="3539" width="23.85546875" bestFit="1" customWidth="1"/>
    <col min="3540" max="3540" width="32.85546875" bestFit="1" customWidth="1"/>
    <col min="3541" max="3541" width="30.42578125" bestFit="1" customWidth="1"/>
    <col min="3542" max="3542" width="12.28515625" bestFit="1" customWidth="1"/>
    <col min="3543" max="3543" width="14.42578125" bestFit="1" customWidth="1"/>
    <col min="3544" max="3544" width="18.85546875" customWidth="1"/>
    <col min="3764" max="3764" width="11" bestFit="1" customWidth="1"/>
    <col min="3765" max="3765" width="18.42578125" bestFit="1" customWidth="1"/>
    <col min="3766" max="3766" width="22.28515625" bestFit="1" customWidth="1"/>
    <col min="3767" max="3767" width="52.7109375" bestFit="1" customWidth="1"/>
    <col min="3768" max="3768" width="11.42578125" bestFit="1" customWidth="1"/>
    <col min="3769" max="3769" width="20.140625" bestFit="1" customWidth="1"/>
    <col min="3770" max="3770" width="25.85546875" bestFit="1" customWidth="1"/>
    <col min="3771" max="3771" width="23.85546875" bestFit="1" customWidth="1"/>
    <col min="3772" max="3772" width="22.42578125" customWidth="1"/>
    <col min="3773" max="3773" width="10.85546875" bestFit="1" customWidth="1"/>
    <col min="3774" max="3774" width="8.42578125" bestFit="1" customWidth="1"/>
    <col min="3775" max="3775" width="15.7109375" bestFit="1" customWidth="1"/>
    <col min="3776" max="3776" width="19.28515625" bestFit="1" customWidth="1"/>
    <col min="3777" max="3777" width="28.140625" bestFit="1" customWidth="1"/>
    <col min="3778" max="3778" width="31.28515625" bestFit="1" customWidth="1"/>
    <col min="3779" max="3779" width="26.42578125" customWidth="1"/>
    <col min="3780" max="3780" width="15.28515625" customWidth="1"/>
    <col min="3781" max="3781" width="17.85546875" customWidth="1"/>
    <col min="3782" max="3782" width="36.28515625" bestFit="1" customWidth="1"/>
    <col min="3783" max="3783" width="24.42578125" bestFit="1" customWidth="1"/>
    <col min="3784" max="3784" width="11.42578125" bestFit="1" customWidth="1"/>
    <col min="3785" max="3785" width="10.140625" bestFit="1" customWidth="1"/>
    <col min="3786" max="3786" width="28.7109375" bestFit="1" customWidth="1"/>
    <col min="3787" max="3787" width="28.42578125" bestFit="1" customWidth="1"/>
    <col min="3788" max="3788" width="34.28515625" bestFit="1" customWidth="1"/>
    <col min="3789" max="3789" width="13.7109375" bestFit="1" customWidth="1"/>
    <col min="3790" max="3790" width="22.7109375" bestFit="1" customWidth="1"/>
    <col min="3791" max="3791" width="41.28515625" bestFit="1" customWidth="1"/>
    <col min="3792" max="3792" width="19.85546875" bestFit="1" customWidth="1"/>
    <col min="3793" max="3793" width="24.28515625" bestFit="1" customWidth="1"/>
    <col min="3794" max="3794" width="62.140625" bestFit="1" customWidth="1"/>
    <col min="3795" max="3795" width="23.85546875" bestFit="1" customWidth="1"/>
    <col min="3796" max="3796" width="32.85546875" bestFit="1" customWidth="1"/>
    <col min="3797" max="3797" width="30.42578125" bestFit="1" customWidth="1"/>
    <col min="3798" max="3798" width="12.28515625" bestFit="1" customWidth="1"/>
    <col min="3799" max="3799" width="14.42578125" bestFit="1" customWidth="1"/>
    <col min="3800" max="3800" width="18.85546875" customWidth="1"/>
    <col min="4020" max="4020" width="11" bestFit="1" customWidth="1"/>
    <col min="4021" max="4021" width="18.42578125" bestFit="1" customWidth="1"/>
    <col min="4022" max="4022" width="22.28515625" bestFit="1" customWidth="1"/>
    <col min="4023" max="4023" width="52.7109375" bestFit="1" customWidth="1"/>
    <col min="4024" max="4024" width="11.42578125" bestFit="1" customWidth="1"/>
    <col min="4025" max="4025" width="20.140625" bestFit="1" customWidth="1"/>
    <col min="4026" max="4026" width="25.85546875" bestFit="1" customWidth="1"/>
    <col min="4027" max="4027" width="23.85546875" bestFit="1" customWidth="1"/>
    <col min="4028" max="4028" width="22.42578125" customWidth="1"/>
    <col min="4029" max="4029" width="10.85546875" bestFit="1" customWidth="1"/>
    <col min="4030" max="4030" width="8.42578125" bestFit="1" customWidth="1"/>
    <col min="4031" max="4031" width="15.7109375" bestFit="1" customWidth="1"/>
    <col min="4032" max="4032" width="19.28515625" bestFit="1" customWidth="1"/>
    <col min="4033" max="4033" width="28.140625" bestFit="1" customWidth="1"/>
    <col min="4034" max="4034" width="31.28515625" bestFit="1" customWidth="1"/>
    <col min="4035" max="4035" width="26.42578125" customWidth="1"/>
    <col min="4036" max="4036" width="15.28515625" customWidth="1"/>
    <col min="4037" max="4037" width="17.85546875" customWidth="1"/>
    <col min="4038" max="4038" width="36.28515625" bestFit="1" customWidth="1"/>
    <col min="4039" max="4039" width="24.42578125" bestFit="1" customWidth="1"/>
    <col min="4040" max="4040" width="11.42578125" bestFit="1" customWidth="1"/>
    <col min="4041" max="4041" width="10.140625" bestFit="1" customWidth="1"/>
    <col min="4042" max="4042" width="28.7109375" bestFit="1" customWidth="1"/>
    <col min="4043" max="4043" width="28.42578125" bestFit="1" customWidth="1"/>
    <col min="4044" max="4044" width="34.28515625" bestFit="1" customWidth="1"/>
    <col min="4045" max="4045" width="13.7109375" bestFit="1" customWidth="1"/>
    <col min="4046" max="4046" width="22.7109375" bestFit="1" customWidth="1"/>
    <col min="4047" max="4047" width="41.28515625" bestFit="1" customWidth="1"/>
    <col min="4048" max="4048" width="19.85546875" bestFit="1" customWidth="1"/>
    <col min="4049" max="4049" width="24.28515625" bestFit="1" customWidth="1"/>
    <col min="4050" max="4050" width="62.140625" bestFit="1" customWidth="1"/>
    <col min="4051" max="4051" width="23.85546875" bestFit="1" customWidth="1"/>
    <col min="4052" max="4052" width="32.85546875" bestFit="1" customWidth="1"/>
    <col min="4053" max="4053" width="30.42578125" bestFit="1" customWidth="1"/>
    <col min="4054" max="4054" width="12.28515625" bestFit="1" customWidth="1"/>
    <col min="4055" max="4055" width="14.42578125" bestFit="1" customWidth="1"/>
    <col min="4056" max="4056" width="18.85546875" customWidth="1"/>
    <col min="4276" max="4276" width="11" bestFit="1" customWidth="1"/>
    <col min="4277" max="4277" width="18.42578125" bestFit="1" customWidth="1"/>
    <col min="4278" max="4278" width="22.28515625" bestFit="1" customWidth="1"/>
    <col min="4279" max="4279" width="52.7109375" bestFit="1" customWidth="1"/>
    <col min="4280" max="4280" width="11.42578125" bestFit="1" customWidth="1"/>
    <col min="4281" max="4281" width="20.140625" bestFit="1" customWidth="1"/>
    <col min="4282" max="4282" width="25.85546875" bestFit="1" customWidth="1"/>
    <col min="4283" max="4283" width="23.85546875" bestFit="1" customWidth="1"/>
    <col min="4284" max="4284" width="22.42578125" customWidth="1"/>
    <col min="4285" max="4285" width="10.85546875" bestFit="1" customWidth="1"/>
    <col min="4286" max="4286" width="8.42578125" bestFit="1" customWidth="1"/>
    <col min="4287" max="4287" width="15.7109375" bestFit="1" customWidth="1"/>
    <col min="4288" max="4288" width="19.28515625" bestFit="1" customWidth="1"/>
    <col min="4289" max="4289" width="28.140625" bestFit="1" customWidth="1"/>
    <col min="4290" max="4290" width="31.28515625" bestFit="1" customWidth="1"/>
    <col min="4291" max="4291" width="26.42578125" customWidth="1"/>
    <col min="4292" max="4292" width="15.28515625" customWidth="1"/>
    <col min="4293" max="4293" width="17.85546875" customWidth="1"/>
    <col min="4294" max="4294" width="36.28515625" bestFit="1" customWidth="1"/>
    <col min="4295" max="4295" width="24.42578125" bestFit="1" customWidth="1"/>
    <col min="4296" max="4296" width="11.42578125" bestFit="1" customWidth="1"/>
    <col min="4297" max="4297" width="10.140625" bestFit="1" customWidth="1"/>
    <col min="4298" max="4298" width="28.7109375" bestFit="1" customWidth="1"/>
    <col min="4299" max="4299" width="28.42578125" bestFit="1" customWidth="1"/>
    <col min="4300" max="4300" width="34.28515625" bestFit="1" customWidth="1"/>
    <col min="4301" max="4301" width="13.7109375" bestFit="1" customWidth="1"/>
    <col min="4302" max="4302" width="22.7109375" bestFit="1" customWidth="1"/>
    <col min="4303" max="4303" width="41.28515625" bestFit="1" customWidth="1"/>
    <col min="4304" max="4304" width="19.85546875" bestFit="1" customWidth="1"/>
    <col min="4305" max="4305" width="24.28515625" bestFit="1" customWidth="1"/>
    <col min="4306" max="4306" width="62.140625" bestFit="1" customWidth="1"/>
    <col min="4307" max="4307" width="23.85546875" bestFit="1" customWidth="1"/>
    <col min="4308" max="4308" width="32.85546875" bestFit="1" customWidth="1"/>
    <col min="4309" max="4309" width="30.42578125" bestFit="1" customWidth="1"/>
    <col min="4310" max="4310" width="12.28515625" bestFit="1" customWidth="1"/>
    <col min="4311" max="4311" width="14.42578125" bestFit="1" customWidth="1"/>
    <col min="4312" max="4312" width="18.85546875" customWidth="1"/>
    <col min="4532" max="4532" width="11" bestFit="1" customWidth="1"/>
    <col min="4533" max="4533" width="18.42578125" bestFit="1" customWidth="1"/>
    <col min="4534" max="4534" width="22.28515625" bestFit="1" customWidth="1"/>
    <col min="4535" max="4535" width="52.7109375" bestFit="1" customWidth="1"/>
    <col min="4536" max="4536" width="11.42578125" bestFit="1" customWidth="1"/>
    <col min="4537" max="4537" width="20.140625" bestFit="1" customWidth="1"/>
    <col min="4538" max="4538" width="25.85546875" bestFit="1" customWidth="1"/>
    <col min="4539" max="4539" width="23.85546875" bestFit="1" customWidth="1"/>
    <col min="4540" max="4540" width="22.42578125" customWidth="1"/>
    <col min="4541" max="4541" width="10.85546875" bestFit="1" customWidth="1"/>
    <col min="4542" max="4542" width="8.42578125" bestFit="1" customWidth="1"/>
    <col min="4543" max="4543" width="15.7109375" bestFit="1" customWidth="1"/>
    <col min="4544" max="4544" width="19.28515625" bestFit="1" customWidth="1"/>
    <col min="4545" max="4545" width="28.140625" bestFit="1" customWidth="1"/>
    <col min="4546" max="4546" width="31.28515625" bestFit="1" customWidth="1"/>
    <col min="4547" max="4547" width="26.42578125" customWidth="1"/>
    <col min="4548" max="4548" width="15.28515625" customWidth="1"/>
    <col min="4549" max="4549" width="17.85546875" customWidth="1"/>
    <col min="4550" max="4550" width="36.28515625" bestFit="1" customWidth="1"/>
    <col min="4551" max="4551" width="24.42578125" bestFit="1" customWidth="1"/>
    <col min="4552" max="4552" width="11.42578125" bestFit="1" customWidth="1"/>
    <col min="4553" max="4553" width="10.140625" bestFit="1" customWidth="1"/>
    <col min="4554" max="4554" width="28.7109375" bestFit="1" customWidth="1"/>
    <col min="4555" max="4555" width="28.42578125" bestFit="1" customWidth="1"/>
    <col min="4556" max="4556" width="34.28515625" bestFit="1" customWidth="1"/>
    <col min="4557" max="4557" width="13.7109375" bestFit="1" customWidth="1"/>
    <col min="4558" max="4558" width="22.7109375" bestFit="1" customWidth="1"/>
    <col min="4559" max="4559" width="41.28515625" bestFit="1" customWidth="1"/>
    <col min="4560" max="4560" width="19.85546875" bestFit="1" customWidth="1"/>
    <col min="4561" max="4561" width="24.28515625" bestFit="1" customWidth="1"/>
    <col min="4562" max="4562" width="62.140625" bestFit="1" customWidth="1"/>
    <col min="4563" max="4563" width="23.85546875" bestFit="1" customWidth="1"/>
    <col min="4564" max="4564" width="32.85546875" bestFit="1" customWidth="1"/>
    <col min="4565" max="4565" width="30.42578125" bestFit="1" customWidth="1"/>
    <col min="4566" max="4566" width="12.28515625" bestFit="1" customWidth="1"/>
    <col min="4567" max="4567" width="14.42578125" bestFit="1" customWidth="1"/>
    <col min="4568" max="4568" width="18.85546875" customWidth="1"/>
    <col min="4788" max="4788" width="11" bestFit="1" customWidth="1"/>
    <col min="4789" max="4789" width="18.42578125" bestFit="1" customWidth="1"/>
    <col min="4790" max="4790" width="22.28515625" bestFit="1" customWidth="1"/>
    <col min="4791" max="4791" width="52.7109375" bestFit="1" customWidth="1"/>
    <col min="4792" max="4792" width="11.42578125" bestFit="1" customWidth="1"/>
    <col min="4793" max="4793" width="20.140625" bestFit="1" customWidth="1"/>
    <col min="4794" max="4794" width="25.85546875" bestFit="1" customWidth="1"/>
    <col min="4795" max="4795" width="23.85546875" bestFit="1" customWidth="1"/>
    <col min="4796" max="4796" width="22.42578125" customWidth="1"/>
    <col min="4797" max="4797" width="10.85546875" bestFit="1" customWidth="1"/>
    <col min="4798" max="4798" width="8.42578125" bestFit="1" customWidth="1"/>
    <col min="4799" max="4799" width="15.7109375" bestFit="1" customWidth="1"/>
    <col min="4800" max="4800" width="19.28515625" bestFit="1" customWidth="1"/>
    <col min="4801" max="4801" width="28.140625" bestFit="1" customWidth="1"/>
    <col min="4802" max="4802" width="31.28515625" bestFit="1" customWidth="1"/>
    <col min="4803" max="4803" width="26.42578125" customWidth="1"/>
    <col min="4804" max="4804" width="15.28515625" customWidth="1"/>
    <col min="4805" max="4805" width="17.85546875" customWidth="1"/>
    <col min="4806" max="4806" width="36.28515625" bestFit="1" customWidth="1"/>
    <col min="4807" max="4807" width="24.42578125" bestFit="1" customWidth="1"/>
    <col min="4808" max="4808" width="11.42578125" bestFit="1" customWidth="1"/>
    <col min="4809" max="4809" width="10.140625" bestFit="1" customWidth="1"/>
    <col min="4810" max="4810" width="28.7109375" bestFit="1" customWidth="1"/>
    <col min="4811" max="4811" width="28.42578125" bestFit="1" customWidth="1"/>
    <col min="4812" max="4812" width="34.28515625" bestFit="1" customWidth="1"/>
    <col min="4813" max="4813" width="13.7109375" bestFit="1" customWidth="1"/>
    <col min="4814" max="4814" width="22.7109375" bestFit="1" customWidth="1"/>
    <col min="4815" max="4815" width="41.28515625" bestFit="1" customWidth="1"/>
    <col min="4816" max="4816" width="19.85546875" bestFit="1" customWidth="1"/>
    <col min="4817" max="4817" width="24.28515625" bestFit="1" customWidth="1"/>
    <col min="4818" max="4818" width="62.140625" bestFit="1" customWidth="1"/>
    <col min="4819" max="4819" width="23.85546875" bestFit="1" customWidth="1"/>
    <col min="4820" max="4820" width="32.85546875" bestFit="1" customWidth="1"/>
    <col min="4821" max="4821" width="30.42578125" bestFit="1" customWidth="1"/>
    <col min="4822" max="4822" width="12.28515625" bestFit="1" customWidth="1"/>
    <col min="4823" max="4823" width="14.42578125" bestFit="1" customWidth="1"/>
    <col min="4824" max="4824" width="18.85546875" customWidth="1"/>
    <col min="5044" max="5044" width="11" bestFit="1" customWidth="1"/>
    <col min="5045" max="5045" width="18.42578125" bestFit="1" customWidth="1"/>
    <col min="5046" max="5046" width="22.28515625" bestFit="1" customWidth="1"/>
    <col min="5047" max="5047" width="52.7109375" bestFit="1" customWidth="1"/>
    <col min="5048" max="5048" width="11.42578125" bestFit="1" customWidth="1"/>
    <col min="5049" max="5049" width="20.140625" bestFit="1" customWidth="1"/>
    <col min="5050" max="5050" width="25.85546875" bestFit="1" customWidth="1"/>
    <col min="5051" max="5051" width="23.85546875" bestFit="1" customWidth="1"/>
    <col min="5052" max="5052" width="22.42578125" customWidth="1"/>
    <col min="5053" max="5053" width="10.85546875" bestFit="1" customWidth="1"/>
    <col min="5054" max="5054" width="8.42578125" bestFit="1" customWidth="1"/>
    <col min="5055" max="5055" width="15.7109375" bestFit="1" customWidth="1"/>
    <col min="5056" max="5056" width="19.28515625" bestFit="1" customWidth="1"/>
    <col min="5057" max="5057" width="28.140625" bestFit="1" customWidth="1"/>
    <col min="5058" max="5058" width="31.28515625" bestFit="1" customWidth="1"/>
    <col min="5059" max="5059" width="26.42578125" customWidth="1"/>
    <col min="5060" max="5060" width="15.28515625" customWidth="1"/>
    <col min="5061" max="5061" width="17.85546875" customWidth="1"/>
    <col min="5062" max="5062" width="36.28515625" bestFit="1" customWidth="1"/>
    <col min="5063" max="5063" width="24.42578125" bestFit="1" customWidth="1"/>
    <col min="5064" max="5064" width="11.42578125" bestFit="1" customWidth="1"/>
    <col min="5065" max="5065" width="10.140625" bestFit="1" customWidth="1"/>
    <col min="5066" max="5066" width="28.7109375" bestFit="1" customWidth="1"/>
    <col min="5067" max="5067" width="28.42578125" bestFit="1" customWidth="1"/>
    <col min="5068" max="5068" width="34.28515625" bestFit="1" customWidth="1"/>
    <col min="5069" max="5069" width="13.7109375" bestFit="1" customWidth="1"/>
    <col min="5070" max="5070" width="22.7109375" bestFit="1" customWidth="1"/>
    <col min="5071" max="5071" width="41.28515625" bestFit="1" customWidth="1"/>
    <col min="5072" max="5072" width="19.85546875" bestFit="1" customWidth="1"/>
    <col min="5073" max="5073" width="24.28515625" bestFit="1" customWidth="1"/>
    <col min="5074" max="5074" width="62.140625" bestFit="1" customWidth="1"/>
    <col min="5075" max="5075" width="23.85546875" bestFit="1" customWidth="1"/>
    <col min="5076" max="5076" width="32.85546875" bestFit="1" customWidth="1"/>
    <col min="5077" max="5077" width="30.42578125" bestFit="1" customWidth="1"/>
    <col min="5078" max="5078" width="12.28515625" bestFit="1" customWidth="1"/>
    <col min="5079" max="5079" width="14.42578125" bestFit="1" customWidth="1"/>
    <col min="5080" max="5080" width="18.85546875" customWidth="1"/>
    <col min="5300" max="5300" width="11" bestFit="1" customWidth="1"/>
    <col min="5301" max="5301" width="18.42578125" bestFit="1" customWidth="1"/>
    <col min="5302" max="5302" width="22.28515625" bestFit="1" customWidth="1"/>
    <col min="5303" max="5303" width="52.7109375" bestFit="1" customWidth="1"/>
    <col min="5304" max="5304" width="11.42578125" bestFit="1" customWidth="1"/>
    <col min="5305" max="5305" width="20.140625" bestFit="1" customWidth="1"/>
    <col min="5306" max="5306" width="25.85546875" bestFit="1" customWidth="1"/>
    <col min="5307" max="5307" width="23.85546875" bestFit="1" customWidth="1"/>
    <col min="5308" max="5308" width="22.42578125" customWidth="1"/>
    <col min="5309" max="5309" width="10.85546875" bestFit="1" customWidth="1"/>
    <col min="5310" max="5310" width="8.42578125" bestFit="1" customWidth="1"/>
    <col min="5311" max="5311" width="15.7109375" bestFit="1" customWidth="1"/>
    <col min="5312" max="5312" width="19.28515625" bestFit="1" customWidth="1"/>
    <col min="5313" max="5313" width="28.140625" bestFit="1" customWidth="1"/>
    <col min="5314" max="5314" width="31.28515625" bestFit="1" customWidth="1"/>
    <col min="5315" max="5315" width="26.42578125" customWidth="1"/>
    <col min="5316" max="5316" width="15.28515625" customWidth="1"/>
    <col min="5317" max="5317" width="17.85546875" customWidth="1"/>
    <col min="5318" max="5318" width="36.28515625" bestFit="1" customWidth="1"/>
    <col min="5319" max="5319" width="24.42578125" bestFit="1" customWidth="1"/>
    <col min="5320" max="5320" width="11.42578125" bestFit="1" customWidth="1"/>
    <col min="5321" max="5321" width="10.140625" bestFit="1" customWidth="1"/>
    <col min="5322" max="5322" width="28.7109375" bestFit="1" customWidth="1"/>
    <col min="5323" max="5323" width="28.42578125" bestFit="1" customWidth="1"/>
    <col min="5324" max="5324" width="34.28515625" bestFit="1" customWidth="1"/>
    <col min="5325" max="5325" width="13.7109375" bestFit="1" customWidth="1"/>
    <col min="5326" max="5326" width="22.7109375" bestFit="1" customWidth="1"/>
    <col min="5327" max="5327" width="41.28515625" bestFit="1" customWidth="1"/>
    <col min="5328" max="5328" width="19.85546875" bestFit="1" customWidth="1"/>
    <col min="5329" max="5329" width="24.28515625" bestFit="1" customWidth="1"/>
    <col min="5330" max="5330" width="62.140625" bestFit="1" customWidth="1"/>
    <col min="5331" max="5331" width="23.85546875" bestFit="1" customWidth="1"/>
    <col min="5332" max="5332" width="32.85546875" bestFit="1" customWidth="1"/>
    <col min="5333" max="5333" width="30.42578125" bestFit="1" customWidth="1"/>
    <col min="5334" max="5334" width="12.28515625" bestFit="1" customWidth="1"/>
    <col min="5335" max="5335" width="14.42578125" bestFit="1" customWidth="1"/>
    <col min="5336" max="5336" width="18.85546875" customWidth="1"/>
    <col min="5556" max="5556" width="11" bestFit="1" customWidth="1"/>
    <col min="5557" max="5557" width="18.42578125" bestFit="1" customWidth="1"/>
    <col min="5558" max="5558" width="22.28515625" bestFit="1" customWidth="1"/>
    <col min="5559" max="5559" width="52.7109375" bestFit="1" customWidth="1"/>
    <col min="5560" max="5560" width="11.42578125" bestFit="1" customWidth="1"/>
    <col min="5561" max="5561" width="20.140625" bestFit="1" customWidth="1"/>
    <col min="5562" max="5562" width="25.85546875" bestFit="1" customWidth="1"/>
    <col min="5563" max="5563" width="23.85546875" bestFit="1" customWidth="1"/>
    <col min="5564" max="5564" width="22.42578125" customWidth="1"/>
    <col min="5565" max="5565" width="10.85546875" bestFit="1" customWidth="1"/>
    <col min="5566" max="5566" width="8.42578125" bestFit="1" customWidth="1"/>
    <col min="5567" max="5567" width="15.7109375" bestFit="1" customWidth="1"/>
    <col min="5568" max="5568" width="19.28515625" bestFit="1" customWidth="1"/>
    <col min="5569" max="5569" width="28.140625" bestFit="1" customWidth="1"/>
    <col min="5570" max="5570" width="31.28515625" bestFit="1" customWidth="1"/>
    <col min="5571" max="5571" width="26.42578125" customWidth="1"/>
    <col min="5572" max="5572" width="15.28515625" customWidth="1"/>
    <col min="5573" max="5573" width="17.85546875" customWidth="1"/>
    <col min="5574" max="5574" width="36.28515625" bestFit="1" customWidth="1"/>
    <col min="5575" max="5575" width="24.42578125" bestFit="1" customWidth="1"/>
    <col min="5576" max="5576" width="11.42578125" bestFit="1" customWidth="1"/>
    <col min="5577" max="5577" width="10.140625" bestFit="1" customWidth="1"/>
    <col min="5578" max="5578" width="28.7109375" bestFit="1" customWidth="1"/>
    <col min="5579" max="5579" width="28.42578125" bestFit="1" customWidth="1"/>
    <col min="5580" max="5580" width="34.28515625" bestFit="1" customWidth="1"/>
    <col min="5581" max="5581" width="13.7109375" bestFit="1" customWidth="1"/>
    <col min="5582" max="5582" width="22.7109375" bestFit="1" customWidth="1"/>
    <col min="5583" max="5583" width="41.28515625" bestFit="1" customWidth="1"/>
    <col min="5584" max="5584" width="19.85546875" bestFit="1" customWidth="1"/>
    <col min="5585" max="5585" width="24.28515625" bestFit="1" customWidth="1"/>
    <col min="5586" max="5586" width="62.140625" bestFit="1" customWidth="1"/>
    <col min="5587" max="5587" width="23.85546875" bestFit="1" customWidth="1"/>
    <col min="5588" max="5588" width="32.85546875" bestFit="1" customWidth="1"/>
    <col min="5589" max="5589" width="30.42578125" bestFit="1" customWidth="1"/>
    <col min="5590" max="5590" width="12.28515625" bestFit="1" customWidth="1"/>
    <col min="5591" max="5591" width="14.42578125" bestFit="1" customWidth="1"/>
    <col min="5592" max="5592" width="18.85546875" customWidth="1"/>
    <col min="5812" max="5812" width="11" bestFit="1" customWidth="1"/>
    <col min="5813" max="5813" width="18.42578125" bestFit="1" customWidth="1"/>
    <col min="5814" max="5814" width="22.28515625" bestFit="1" customWidth="1"/>
    <col min="5815" max="5815" width="52.7109375" bestFit="1" customWidth="1"/>
    <col min="5816" max="5816" width="11.42578125" bestFit="1" customWidth="1"/>
    <col min="5817" max="5817" width="20.140625" bestFit="1" customWidth="1"/>
    <col min="5818" max="5818" width="25.85546875" bestFit="1" customWidth="1"/>
    <col min="5819" max="5819" width="23.85546875" bestFit="1" customWidth="1"/>
    <col min="5820" max="5820" width="22.42578125" customWidth="1"/>
    <col min="5821" max="5821" width="10.85546875" bestFit="1" customWidth="1"/>
    <col min="5822" max="5822" width="8.42578125" bestFit="1" customWidth="1"/>
    <col min="5823" max="5823" width="15.7109375" bestFit="1" customWidth="1"/>
    <col min="5824" max="5824" width="19.28515625" bestFit="1" customWidth="1"/>
    <col min="5825" max="5825" width="28.140625" bestFit="1" customWidth="1"/>
    <col min="5826" max="5826" width="31.28515625" bestFit="1" customWidth="1"/>
    <col min="5827" max="5827" width="26.42578125" customWidth="1"/>
    <col min="5828" max="5828" width="15.28515625" customWidth="1"/>
    <col min="5829" max="5829" width="17.85546875" customWidth="1"/>
    <col min="5830" max="5830" width="36.28515625" bestFit="1" customWidth="1"/>
    <col min="5831" max="5831" width="24.42578125" bestFit="1" customWidth="1"/>
    <col min="5832" max="5832" width="11.42578125" bestFit="1" customWidth="1"/>
    <col min="5833" max="5833" width="10.140625" bestFit="1" customWidth="1"/>
    <col min="5834" max="5834" width="28.7109375" bestFit="1" customWidth="1"/>
    <col min="5835" max="5835" width="28.42578125" bestFit="1" customWidth="1"/>
    <col min="5836" max="5836" width="34.28515625" bestFit="1" customWidth="1"/>
    <col min="5837" max="5837" width="13.7109375" bestFit="1" customWidth="1"/>
    <col min="5838" max="5838" width="22.7109375" bestFit="1" customWidth="1"/>
    <col min="5839" max="5839" width="41.28515625" bestFit="1" customWidth="1"/>
    <col min="5840" max="5840" width="19.85546875" bestFit="1" customWidth="1"/>
    <col min="5841" max="5841" width="24.28515625" bestFit="1" customWidth="1"/>
    <col min="5842" max="5842" width="62.140625" bestFit="1" customWidth="1"/>
    <col min="5843" max="5843" width="23.85546875" bestFit="1" customWidth="1"/>
    <col min="5844" max="5844" width="32.85546875" bestFit="1" customWidth="1"/>
    <col min="5845" max="5845" width="30.42578125" bestFit="1" customWidth="1"/>
    <col min="5846" max="5846" width="12.28515625" bestFit="1" customWidth="1"/>
    <col min="5847" max="5847" width="14.42578125" bestFit="1" customWidth="1"/>
    <col min="5848" max="5848" width="18.85546875" customWidth="1"/>
    <col min="6068" max="6068" width="11" bestFit="1" customWidth="1"/>
    <col min="6069" max="6069" width="18.42578125" bestFit="1" customWidth="1"/>
    <col min="6070" max="6070" width="22.28515625" bestFit="1" customWidth="1"/>
    <col min="6071" max="6071" width="52.7109375" bestFit="1" customWidth="1"/>
    <col min="6072" max="6072" width="11.42578125" bestFit="1" customWidth="1"/>
    <col min="6073" max="6073" width="20.140625" bestFit="1" customWidth="1"/>
    <col min="6074" max="6074" width="25.85546875" bestFit="1" customWidth="1"/>
    <col min="6075" max="6075" width="23.85546875" bestFit="1" customWidth="1"/>
    <col min="6076" max="6076" width="22.42578125" customWidth="1"/>
    <col min="6077" max="6077" width="10.85546875" bestFit="1" customWidth="1"/>
    <col min="6078" max="6078" width="8.42578125" bestFit="1" customWidth="1"/>
    <col min="6079" max="6079" width="15.7109375" bestFit="1" customWidth="1"/>
    <col min="6080" max="6080" width="19.28515625" bestFit="1" customWidth="1"/>
    <col min="6081" max="6081" width="28.140625" bestFit="1" customWidth="1"/>
    <col min="6082" max="6082" width="31.28515625" bestFit="1" customWidth="1"/>
    <col min="6083" max="6083" width="26.42578125" customWidth="1"/>
    <col min="6084" max="6084" width="15.28515625" customWidth="1"/>
    <col min="6085" max="6085" width="17.85546875" customWidth="1"/>
    <col min="6086" max="6086" width="36.28515625" bestFit="1" customWidth="1"/>
    <col min="6087" max="6087" width="24.42578125" bestFit="1" customWidth="1"/>
    <col min="6088" max="6088" width="11.42578125" bestFit="1" customWidth="1"/>
    <col min="6089" max="6089" width="10.140625" bestFit="1" customWidth="1"/>
    <col min="6090" max="6090" width="28.7109375" bestFit="1" customWidth="1"/>
    <col min="6091" max="6091" width="28.42578125" bestFit="1" customWidth="1"/>
    <col min="6092" max="6092" width="34.28515625" bestFit="1" customWidth="1"/>
    <col min="6093" max="6093" width="13.7109375" bestFit="1" customWidth="1"/>
    <col min="6094" max="6094" width="22.7109375" bestFit="1" customWidth="1"/>
    <col min="6095" max="6095" width="41.28515625" bestFit="1" customWidth="1"/>
    <col min="6096" max="6096" width="19.85546875" bestFit="1" customWidth="1"/>
    <col min="6097" max="6097" width="24.28515625" bestFit="1" customWidth="1"/>
    <col min="6098" max="6098" width="62.140625" bestFit="1" customWidth="1"/>
    <col min="6099" max="6099" width="23.85546875" bestFit="1" customWidth="1"/>
    <col min="6100" max="6100" width="32.85546875" bestFit="1" customWidth="1"/>
    <col min="6101" max="6101" width="30.42578125" bestFit="1" customWidth="1"/>
    <col min="6102" max="6102" width="12.28515625" bestFit="1" customWidth="1"/>
    <col min="6103" max="6103" width="14.42578125" bestFit="1" customWidth="1"/>
    <col min="6104" max="6104" width="18.85546875" customWidth="1"/>
    <col min="6324" max="6324" width="11" bestFit="1" customWidth="1"/>
    <col min="6325" max="6325" width="18.42578125" bestFit="1" customWidth="1"/>
    <col min="6326" max="6326" width="22.28515625" bestFit="1" customWidth="1"/>
    <col min="6327" max="6327" width="52.7109375" bestFit="1" customWidth="1"/>
    <col min="6328" max="6328" width="11.42578125" bestFit="1" customWidth="1"/>
    <col min="6329" max="6329" width="20.140625" bestFit="1" customWidth="1"/>
    <col min="6330" max="6330" width="25.85546875" bestFit="1" customWidth="1"/>
    <col min="6331" max="6331" width="23.85546875" bestFit="1" customWidth="1"/>
    <col min="6332" max="6332" width="22.42578125" customWidth="1"/>
    <col min="6333" max="6333" width="10.85546875" bestFit="1" customWidth="1"/>
    <col min="6334" max="6334" width="8.42578125" bestFit="1" customWidth="1"/>
    <col min="6335" max="6335" width="15.7109375" bestFit="1" customWidth="1"/>
    <col min="6336" max="6336" width="19.28515625" bestFit="1" customWidth="1"/>
    <col min="6337" max="6337" width="28.140625" bestFit="1" customWidth="1"/>
    <col min="6338" max="6338" width="31.28515625" bestFit="1" customWidth="1"/>
    <col min="6339" max="6339" width="26.42578125" customWidth="1"/>
    <col min="6340" max="6340" width="15.28515625" customWidth="1"/>
    <col min="6341" max="6341" width="17.85546875" customWidth="1"/>
    <col min="6342" max="6342" width="36.28515625" bestFit="1" customWidth="1"/>
    <col min="6343" max="6343" width="24.42578125" bestFit="1" customWidth="1"/>
    <col min="6344" max="6344" width="11.42578125" bestFit="1" customWidth="1"/>
    <col min="6345" max="6345" width="10.140625" bestFit="1" customWidth="1"/>
    <col min="6346" max="6346" width="28.7109375" bestFit="1" customWidth="1"/>
    <col min="6347" max="6347" width="28.42578125" bestFit="1" customWidth="1"/>
    <col min="6348" max="6348" width="34.28515625" bestFit="1" customWidth="1"/>
    <col min="6349" max="6349" width="13.7109375" bestFit="1" customWidth="1"/>
    <col min="6350" max="6350" width="22.7109375" bestFit="1" customWidth="1"/>
    <col min="6351" max="6351" width="41.28515625" bestFit="1" customWidth="1"/>
    <col min="6352" max="6352" width="19.85546875" bestFit="1" customWidth="1"/>
    <col min="6353" max="6353" width="24.28515625" bestFit="1" customWidth="1"/>
    <col min="6354" max="6354" width="62.140625" bestFit="1" customWidth="1"/>
    <col min="6355" max="6355" width="23.85546875" bestFit="1" customWidth="1"/>
    <col min="6356" max="6356" width="32.85546875" bestFit="1" customWidth="1"/>
    <col min="6357" max="6357" width="30.42578125" bestFit="1" customWidth="1"/>
    <col min="6358" max="6358" width="12.28515625" bestFit="1" customWidth="1"/>
    <col min="6359" max="6359" width="14.42578125" bestFit="1" customWidth="1"/>
    <col min="6360" max="6360" width="18.85546875" customWidth="1"/>
    <col min="6580" max="6580" width="11" bestFit="1" customWidth="1"/>
    <col min="6581" max="6581" width="18.42578125" bestFit="1" customWidth="1"/>
    <col min="6582" max="6582" width="22.28515625" bestFit="1" customWidth="1"/>
    <col min="6583" max="6583" width="52.7109375" bestFit="1" customWidth="1"/>
    <col min="6584" max="6584" width="11.42578125" bestFit="1" customWidth="1"/>
    <col min="6585" max="6585" width="20.140625" bestFit="1" customWidth="1"/>
    <col min="6586" max="6586" width="25.85546875" bestFit="1" customWidth="1"/>
    <col min="6587" max="6587" width="23.85546875" bestFit="1" customWidth="1"/>
    <col min="6588" max="6588" width="22.42578125" customWidth="1"/>
    <col min="6589" max="6589" width="10.85546875" bestFit="1" customWidth="1"/>
    <col min="6590" max="6590" width="8.42578125" bestFit="1" customWidth="1"/>
    <col min="6591" max="6591" width="15.7109375" bestFit="1" customWidth="1"/>
    <col min="6592" max="6592" width="19.28515625" bestFit="1" customWidth="1"/>
    <col min="6593" max="6593" width="28.140625" bestFit="1" customWidth="1"/>
    <col min="6594" max="6594" width="31.28515625" bestFit="1" customWidth="1"/>
    <col min="6595" max="6595" width="26.42578125" customWidth="1"/>
    <col min="6596" max="6596" width="15.28515625" customWidth="1"/>
    <col min="6597" max="6597" width="17.85546875" customWidth="1"/>
    <col min="6598" max="6598" width="36.28515625" bestFit="1" customWidth="1"/>
    <col min="6599" max="6599" width="24.42578125" bestFit="1" customWidth="1"/>
    <col min="6600" max="6600" width="11.42578125" bestFit="1" customWidth="1"/>
    <col min="6601" max="6601" width="10.140625" bestFit="1" customWidth="1"/>
    <col min="6602" max="6602" width="28.7109375" bestFit="1" customWidth="1"/>
    <col min="6603" max="6603" width="28.42578125" bestFit="1" customWidth="1"/>
    <col min="6604" max="6604" width="34.28515625" bestFit="1" customWidth="1"/>
    <col min="6605" max="6605" width="13.7109375" bestFit="1" customWidth="1"/>
    <col min="6606" max="6606" width="22.7109375" bestFit="1" customWidth="1"/>
    <col min="6607" max="6607" width="41.28515625" bestFit="1" customWidth="1"/>
    <col min="6608" max="6608" width="19.85546875" bestFit="1" customWidth="1"/>
    <col min="6609" max="6609" width="24.28515625" bestFit="1" customWidth="1"/>
    <col min="6610" max="6610" width="62.140625" bestFit="1" customWidth="1"/>
    <col min="6611" max="6611" width="23.85546875" bestFit="1" customWidth="1"/>
    <col min="6612" max="6612" width="32.85546875" bestFit="1" customWidth="1"/>
    <col min="6613" max="6613" width="30.42578125" bestFit="1" customWidth="1"/>
    <col min="6614" max="6614" width="12.28515625" bestFit="1" customWidth="1"/>
    <col min="6615" max="6615" width="14.42578125" bestFit="1" customWidth="1"/>
    <col min="6616" max="6616" width="18.85546875" customWidth="1"/>
    <col min="6836" max="6836" width="11" bestFit="1" customWidth="1"/>
    <col min="6837" max="6837" width="18.42578125" bestFit="1" customWidth="1"/>
    <col min="6838" max="6838" width="22.28515625" bestFit="1" customWidth="1"/>
    <col min="6839" max="6839" width="52.7109375" bestFit="1" customWidth="1"/>
    <col min="6840" max="6840" width="11.42578125" bestFit="1" customWidth="1"/>
    <col min="6841" max="6841" width="20.140625" bestFit="1" customWidth="1"/>
    <col min="6842" max="6842" width="25.85546875" bestFit="1" customWidth="1"/>
    <col min="6843" max="6843" width="23.85546875" bestFit="1" customWidth="1"/>
    <col min="6844" max="6844" width="22.42578125" customWidth="1"/>
    <col min="6845" max="6845" width="10.85546875" bestFit="1" customWidth="1"/>
    <col min="6846" max="6846" width="8.42578125" bestFit="1" customWidth="1"/>
    <col min="6847" max="6847" width="15.7109375" bestFit="1" customWidth="1"/>
    <col min="6848" max="6848" width="19.28515625" bestFit="1" customWidth="1"/>
    <col min="6849" max="6849" width="28.140625" bestFit="1" customWidth="1"/>
    <col min="6850" max="6850" width="31.28515625" bestFit="1" customWidth="1"/>
    <col min="6851" max="6851" width="26.42578125" customWidth="1"/>
    <col min="6852" max="6852" width="15.28515625" customWidth="1"/>
    <col min="6853" max="6853" width="17.85546875" customWidth="1"/>
    <col min="6854" max="6854" width="36.28515625" bestFit="1" customWidth="1"/>
    <col min="6855" max="6855" width="24.42578125" bestFit="1" customWidth="1"/>
    <col min="6856" max="6856" width="11.42578125" bestFit="1" customWidth="1"/>
    <col min="6857" max="6857" width="10.140625" bestFit="1" customWidth="1"/>
    <col min="6858" max="6858" width="28.7109375" bestFit="1" customWidth="1"/>
    <col min="6859" max="6859" width="28.42578125" bestFit="1" customWidth="1"/>
    <col min="6860" max="6860" width="34.28515625" bestFit="1" customWidth="1"/>
    <col min="6861" max="6861" width="13.7109375" bestFit="1" customWidth="1"/>
    <col min="6862" max="6862" width="22.7109375" bestFit="1" customWidth="1"/>
    <col min="6863" max="6863" width="41.28515625" bestFit="1" customWidth="1"/>
    <col min="6864" max="6864" width="19.85546875" bestFit="1" customWidth="1"/>
    <col min="6865" max="6865" width="24.28515625" bestFit="1" customWidth="1"/>
    <col min="6866" max="6866" width="62.140625" bestFit="1" customWidth="1"/>
    <col min="6867" max="6867" width="23.85546875" bestFit="1" customWidth="1"/>
    <col min="6868" max="6868" width="32.85546875" bestFit="1" customWidth="1"/>
    <col min="6869" max="6869" width="30.42578125" bestFit="1" customWidth="1"/>
    <col min="6870" max="6870" width="12.28515625" bestFit="1" customWidth="1"/>
    <col min="6871" max="6871" width="14.42578125" bestFit="1" customWidth="1"/>
    <col min="6872" max="6872" width="18.85546875" customWidth="1"/>
    <col min="7092" max="7092" width="11" bestFit="1" customWidth="1"/>
    <col min="7093" max="7093" width="18.42578125" bestFit="1" customWidth="1"/>
    <col min="7094" max="7094" width="22.28515625" bestFit="1" customWidth="1"/>
    <col min="7095" max="7095" width="52.7109375" bestFit="1" customWidth="1"/>
    <col min="7096" max="7096" width="11.42578125" bestFit="1" customWidth="1"/>
    <col min="7097" max="7097" width="20.140625" bestFit="1" customWidth="1"/>
    <col min="7098" max="7098" width="25.85546875" bestFit="1" customWidth="1"/>
    <col min="7099" max="7099" width="23.85546875" bestFit="1" customWidth="1"/>
    <col min="7100" max="7100" width="22.42578125" customWidth="1"/>
    <col min="7101" max="7101" width="10.85546875" bestFit="1" customWidth="1"/>
    <col min="7102" max="7102" width="8.42578125" bestFit="1" customWidth="1"/>
    <col min="7103" max="7103" width="15.7109375" bestFit="1" customWidth="1"/>
    <col min="7104" max="7104" width="19.28515625" bestFit="1" customWidth="1"/>
    <col min="7105" max="7105" width="28.140625" bestFit="1" customWidth="1"/>
    <col min="7106" max="7106" width="31.28515625" bestFit="1" customWidth="1"/>
    <col min="7107" max="7107" width="26.42578125" customWidth="1"/>
    <col min="7108" max="7108" width="15.28515625" customWidth="1"/>
    <col min="7109" max="7109" width="17.85546875" customWidth="1"/>
    <col min="7110" max="7110" width="36.28515625" bestFit="1" customWidth="1"/>
    <col min="7111" max="7111" width="24.42578125" bestFit="1" customWidth="1"/>
    <col min="7112" max="7112" width="11.42578125" bestFit="1" customWidth="1"/>
    <col min="7113" max="7113" width="10.140625" bestFit="1" customWidth="1"/>
    <col min="7114" max="7114" width="28.7109375" bestFit="1" customWidth="1"/>
    <col min="7115" max="7115" width="28.42578125" bestFit="1" customWidth="1"/>
    <col min="7116" max="7116" width="34.28515625" bestFit="1" customWidth="1"/>
    <col min="7117" max="7117" width="13.7109375" bestFit="1" customWidth="1"/>
    <col min="7118" max="7118" width="22.7109375" bestFit="1" customWidth="1"/>
    <col min="7119" max="7119" width="41.28515625" bestFit="1" customWidth="1"/>
    <col min="7120" max="7120" width="19.85546875" bestFit="1" customWidth="1"/>
    <col min="7121" max="7121" width="24.28515625" bestFit="1" customWidth="1"/>
    <col min="7122" max="7122" width="62.140625" bestFit="1" customWidth="1"/>
    <col min="7123" max="7123" width="23.85546875" bestFit="1" customWidth="1"/>
    <col min="7124" max="7124" width="32.85546875" bestFit="1" customWidth="1"/>
    <col min="7125" max="7125" width="30.42578125" bestFit="1" customWidth="1"/>
    <col min="7126" max="7126" width="12.28515625" bestFit="1" customWidth="1"/>
    <col min="7127" max="7127" width="14.42578125" bestFit="1" customWidth="1"/>
    <col min="7128" max="7128" width="18.85546875" customWidth="1"/>
    <col min="7348" max="7348" width="11" bestFit="1" customWidth="1"/>
    <col min="7349" max="7349" width="18.42578125" bestFit="1" customWidth="1"/>
    <col min="7350" max="7350" width="22.28515625" bestFit="1" customWidth="1"/>
    <col min="7351" max="7351" width="52.7109375" bestFit="1" customWidth="1"/>
    <col min="7352" max="7352" width="11.42578125" bestFit="1" customWidth="1"/>
    <col min="7353" max="7353" width="20.140625" bestFit="1" customWidth="1"/>
    <col min="7354" max="7354" width="25.85546875" bestFit="1" customWidth="1"/>
    <col min="7355" max="7355" width="23.85546875" bestFit="1" customWidth="1"/>
    <col min="7356" max="7356" width="22.42578125" customWidth="1"/>
    <col min="7357" max="7357" width="10.85546875" bestFit="1" customWidth="1"/>
    <col min="7358" max="7358" width="8.42578125" bestFit="1" customWidth="1"/>
    <col min="7359" max="7359" width="15.7109375" bestFit="1" customWidth="1"/>
    <col min="7360" max="7360" width="19.28515625" bestFit="1" customWidth="1"/>
    <col min="7361" max="7361" width="28.140625" bestFit="1" customWidth="1"/>
    <col min="7362" max="7362" width="31.28515625" bestFit="1" customWidth="1"/>
    <col min="7363" max="7363" width="26.42578125" customWidth="1"/>
    <col min="7364" max="7364" width="15.28515625" customWidth="1"/>
    <col min="7365" max="7365" width="17.85546875" customWidth="1"/>
    <col min="7366" max="7366" width="36.28515625" bestFit="1" customWidth="1"/>
    <col min="7367" max="7367" width="24.42578125" bestFit="1" customWidth="1"/>
    <col min="7368" max="7368" width="11.42578125" bestFit="1" customWidth="1"/>
    <col min="7369" max="7369" width="10.140625" bestFit="1" customWidth="1"/>
    <col min="7370" max="7370" width="28.7109375" bestFit="1" customWidth="1"/>
    <col min="7371" max="7371" width="28.42578125" bestFit="1" customWidth="1"/>
    <col min="7372" max="7372" width="34.28515625" bestFit="1" customWidth="1"/>
    <col min="7373" max="7373" width="13.7109375" bestFit="1" customWidth="1"/>
    <col min="7374" max="7374" width="22.7109375" bestFit="1" customWidth="1"/>
    <col min="7375" max="7375" width="41.28515625" bestFit="1" customWidth="1"/>
    <col min="7376" max="7376" width="19.85546875" bestFit="1" customWidth="1"/>
    <col min="7377" max="7377" width="24.28515625" bestFit="1" customWidth="1"/>
    <col min="7378" max="7378" width="62.140625" bestFit="1" customWidth="1"/>
    <col min="7379" max="7379" width="23.85546875" bestFit="1" customWidth="1"/>
    <col min="7380" max="7380" width="32.85546875" bestFit="1" customWidth="1"/>
    <col min="7381" max="7381" width="30.42578125" bestFit="1" customWidth="1"/>
    <col min="7382" max="7382" width="12.28515625" bestFit="1" customWidth="1"/>
    <col min="7383" max="7383" width="14.42578125" bestFit="1" customWidth="1"/>
    <col min="7384" max="7384" width="18.85546875" customWidth="1"/>
    <col min="7604" max="7604" width="11" bestFit="1" customWidth="1"/>
    <col min="7605" max="7605" width="18.42578125" bestFit="1" customWidth="1"/>
    <col min="7606" max="7606" width="22.28515625" bestFit="1" customWidth="1"/>
    <col min="7607" max="7607" width="52.7109375" bestFit="1" customWidth="1"/>
    <col min="7608" max="7608" width="11.42578125" bestFit="1" customWidth="1"/>
    <col min="7609" max="7609" width="20.140625" bestFit="1" customWidth="1"/>
    <col min="7610" max="7610" width="25.85546875" bestFit="1" customWidth="1"/>
    <col min="7611" max="7611" width="23.85546875" bestFit="1" customWidth="1"/>
    <col min="7612" max="7612" width="22.42578125" customWidth="1"/>
    <col min="7613" max="7613" width="10.85546875" bestFit="1" customWidth="1"/>
    <col min="7614" max="7614" width="8.42578125" bestFit="1" customWidth="1"/>
    <col min="7615" max="7615" width="15.7109375" bestFit="1" customWidth="1"/>
    <col min="7616" max="7616" width="19.28515625" bestFit="1" customWidth="1"/>
    <col min="7617" max="7617" width="28.140625" bestFit="1" customWidth="1"/>
    <col min="7618" max="7618" width="31.28515625" bestFit="1" customWidth="1"/>
    <col min="7619" max="7619" width="26.42578125" customWidth="1"/>
    <col min="7620" max="7620" width="15.28515625" customWidth="1"/>
    <col min="7621" max="7621" width="17.85546875" customWidth="1"/>
    <col min="7622" max="7622" width="36.28515625" bestFit="1" customWidth="1"/>
    <col min="7623" max="7623" width="24.42578125" bestFit="1" customWidth="1"/>
    <col min="7624" max="7624" width="11.42578125" bestFit="1" customWidth="1"/>
    <col min="7625" max="7625" width="10.140625" bestFit="1" customWidth="1"/>
    <col min="7626" max="7626" width="28.7109375" bestFit="1" customWidth="1"/>
    <col min="7627" max="7627" width="28.42578125" bestFit="1" customWidth="1"/>
    <col min="7628" max="7628" width="34.28515625" bestFit="1" customWidth="1"/>
    <col min="7629" max="7629" width="13.7109375" bestFit="1" customWidth="1"/>
    <col min="7630" max="7630" width="22.7109375" bestFit="1" customWidth="1"/>
    <col min="7631" max="7631" width="41.28515625" bestFit="1" customWidth="1"/>
    <col min="7632" max="7632" width="19.85546875" bestFit="1" customWidth="1"/>
    <col min="7633" max="7633" width="24.28515625" bestFit="1" customWidth="1"/>
    <col min="7634" max="7634" width="62.140625" bestFit="1" customWidth="1"/>
    <col min="7635" max="7635" width="23.85546875" bestFit="1" customWidth="1"/>
    <col min="7636" max="7636" width="32.85546875" bestFit="1" customWidth="1"/>
    <col min="7637" max="7637" width="30.42578125" bestFit="1" customWidth="1"/>
    <col min="7638" max="7638" width="12.28515625" bestFit="1" customWidth="1"/>
    <col min="7639" max="7639" width="14.42578125" bestFit="1" customWidth="1"/>
    <col min="7640" max="7640" width="18.85546875" customWidth="1"/>
    <col min="7860" max="7860" width="11" bestFit="1" customWidth="1"/>
    <col min="7861" max="7861" width="18.42578125" bestFit="1" customWidth="1"/>
    <col min="7862" max="7862" width="22.28515625" bestFit="1" customWidth="1"/>
    <col min="7863" max="7863" width="52.7109375" bestFit="1" customWidth="1"/>
    <col min="7864" max="7864" width="11.42578125" bestFit="1" customWidth="1"/>
    <col min="7865" max="7865" width="20.140625" bestFit="1" customWidth="1"/>
    <col min="7866" max="7866" width="25.85546875" bestFit="1" customWidth="1"/>
    <col min="7867" max="7867" width="23.85546875" bestFit="1" customWidth="1"/>
    <col min="7868" max="7868" width="22.42578125" customWidth="1"/>
    <col min="7869" max="7869" width="10.85546875" bestFit="1" customWidth="1"/>
    <col min="7870" max="7870" width="8.42578125" bestFit="1" customWidth="1"/>
    <col min="7871" max="7871" width="15.7109375" bestFit="1" customWidth="1"/>
    <col min="7872" max="7872" width="19.28515625" bestFit="1" customWidth="1"/>
    <col min="7873" max="7873" width="28.140625" bestFit="1" customWidth="1"/>
    <col min="7874" max="7874" width="31.28515625" bestFit="1" customWidth="1"/>
    <col min="7875" max="7875" width="26.42578125" customWidth="1"/>
    <col min="7876" max="7876" width="15.28515625" customWidth="1"/>
    <col min="7877" max="7877" width="17.85546875" customWidth="1"/>
    <col min="7878" max="7878" width="36.28515625" bestFit="1" customWidth="1"/>
    <col min="7879" max="7879" width="24.42578125" bestFit="1" customWidth="1"/>
    <col min="7880" max="7880" width="11.42578125" bestFit="1" customWidth="1"/>
    <col min="7881" max="7881" width="10.140625" bestFit="1" customWidth="1"/>
    <col min="7882" max="7882" width="28.7109375" bestFit="1" customWidth="1"/>
    <col min="7883" max="7883" width="28.42578125" bestFit="1" customWidth="1"/>
    <col min="7884" max="7884" width="34.28515625" bestFit="1" customWidth="1"/>
    <col min="7885" max="7885" width="13.7109375" bestFit="1" customWidth="1"/>
    <col min="7886" max="7886" width="22.7109375" bestFit="1" customWidth="1"/>
    <col min="7887" max="7887" width="41.28515625" bestFit="1" customWidth="1"/>
    <col min="7888" max="7888" width="19.85546875" bestFit="1" customWidth="1"/>
    <col min="7889" max="7889" width="24.28515625" bestFit="1" customWidth="1"/>
    <col min="7890" max="7890" width="62.140625" bestFit="1" customWidth="1"/>
    <col min="7891" max="7891" width="23.85546875" bestFit="1" customWidth="1"/>
    <col min="7892" max="7892" width="32.85546875" bestFit="1" customWidth="1"/>
    <col min="7893" max="7893" width="30.42578125" bestFit="1" customWidth="1"/>
    <col min="7894" max="7894" width="12.28515625" bestFit="1" customWidth="1"/>
    <col min="7895" max="7895" width="14.42578125" bestFit="1" customWidth="1"/>
    <col min="7896" max="7896" width="18.85546875" customWidth="1"/>
    <col min="8116" max="8116" width="11" bestFit="1" customWidth="1"/>
    <col min="8117" max="8117" width="18.42578125" bestFit="1" customWidth="1"/>
    <col min="8118" max="8118" width="22.28515625" bestFit="1" customWidth="1"/>
    <col min="8119" max="8119" width="52.7109375" bestFit="1" customWidth="1"/>
    <col min="8120" max="8120" width="11.42578125" bestFit="1" customWidth="1"/>
    <col min="8121" max="8121" width="20.140625" bestFit="1" customWidth="1"/>
    <col min="8122" max="8122" width="25.85546875" bestFit="1" customWidth="1"/>
    <col min="8123" max="8123" width="23.85546875" bestFit="1" customWidth="1"/>
    <col min="8124" max="8124" width="22.42578125" customWidth="1"/>
    <col min="8125" max="8125" width="10.85546875" bestFit="1" customWidth="1"/>
    <col min="8126" max="8126" width="8.42578125" bestFit="1" customWidth="1"/>
    <col min="8127" max="8127" width="15.7109375" bestFit="1" customWidth="1"/>
    <col min="8128" max="8128" width="19.28515625" bestFit="1" customWidth="1"/>
    <col min="8129" max="8129" width="28.140625" bestFit="1" customWidth="1"/>
    <col min="8130" max="8130" width="31.28515625" bestFit="1" customWidth="1"/>
    <col min="8131" max="8131" width="26.42578125" customWidth="1"/>
    <col min="8132" max="8132" width="15.28515625" customWidth="1"/>
    <col min="8133" max="8133" width="17.85546875" customWidth="1"/>
    <col min="8134" max="8134" width="36.28515625" bestFit="1" customWidth="1"/>
    <col min="8135" max="8135" width="24.42578125" bestFit="1" customWidth="1"/>
    <col min="8136" max="8136" width="11.42578125" bestFit="1" customWidth="1"/>
    <col min="8137" max="8137" width="10.140625" bestFit="1" customWidth="1"/>
    <col min="8138" max="8138" width="28.7109375" bestFit="1" customWidth="1"/>
    <col min="8139" max="8139" width="28.42578125" bestFit="1" customWidth="1"/>
    <col min="8140" max="8140" width="34.28515625" bestFit="1" customWidth="1"/>
    <col min="8141" max="8141" width="13.7109375" bestFit="1" customWidth="1"/>
    <col min="8142" max="8142" width="22.7109375" bestFit="1" customWidth="1"/>
    <col min="8143" max="8143" width="41.28515625" bestFit="1" customWidth="1"/>
    <col min="8144" max="8144" width="19.85546875" bestFit="1" customWidth="1"/>
    <col min="8145" max="8145" width="24.28515625" bestFit="1" customWidth="1"/>
    <col min="8146" max="8146" width="62.140625" bestFit="1" customWidth="1"/>
    <col min="8147" max="8147" width="23.85546875" bestFit="1" customWidth="1"/>
    <col min="8148" max="8148" width="32.85546875" bestFit="1" customWidth="1"/>
    <col min="8149" max="8149" width="30.42578125" bestFit="1" customWidth="1"/>
    <col min="8150" max="8150" width="12.28515625" bestFit="1" customWidth="1"/>
    <col min="8151" max="8151" width="14.42578125" bestFit="1" customWidth="1"/>
    <col min="8152" max="8152" width="18.85546875" customWidth="1"/>
    <col min="8372" max="8372" width="11" bestFit="1" customWidth="1"/>
    <col min="8373" max="8373" width="18.42578125" bestFit="1" customWidth="1"/>
    <col min="8374" max="8374" width="22.28515625" bestFit="1" customWidth="1"/>
    <col min="8375" max="8375" width="52.7109375" bestFit="1" customWidth="1"/>
    <col min="8376" max="8376" width="11.42578125" bestFit="1" customWidth="1"/>
    <col min="8377" max="8377" width="20.140625" bestFit="1" customWidth="1"/>
    <col min="8378" max="8378" width="25.85546875" bestFit="1" customWidth="1"/>
    <col min="8379" max="8379" width="23.85546875" bestFit="1" customWidth="1"/>
    <col min="8380" max="8380" width="22.42578125" customWidth="1"/>
    <col min="8381" max="8381" width="10.85546875" bestFit="1" customWidth="1"/>
    <col min="8382" max="8382" width="8.42578125" bestFit="1" customWidth="1"/>
    <col min="8383" max="8383" width="15.7109375" bestFit="1" customWidth="1"/>
    <col min="8384" max="8384" width="19.28515625" bestFit="1" customWidth="1"/>
    <col min="8385" max="8385" width="28.140625" bestFit="1" customWidth="1"/>
    <col min="8386" max="8386" width="31.28515625" bestFit="1" customWidth="1"/>
    <col min="8387" max="8387" width="26.42578125" customWidth="1"/>
    <col min="8388" max="8388" width="15.28515625" customWidth="1"/>
    <col min="8389" max="8389" width="17.85546875" customWidth="1"/>
    <col min="8390" max="8390" width="36.28515625" bestFit="1" customWidth="1"/>
    <col min="8391" max="8391" width="24.42578125" bestFit="1" customWidth="1"/>
    <col min="8392" max="8392" width="11.42578125" bestFit="1" customWidth="1"/>
    <col min="8393" max="8393" width="10.140625" bestFit="1" customWidth="1"/>
    <col min="8394" max="8394" width="28.7109375" bestFit="1" customWidth="1"/>
    <col min="8395" max="8395" width="28.42578125" bestFit="1" customWidth="1"/>
    <col min="8396" max="8396" width="34.28515625" bestFit="1" customWidth="1"/>
    <col min="8397" max="8397" width="13.7109375" bestFit="1" customWidth="1"/>
    <col min="8398" max="8398" width="22.7109375" bestFit="1" customWidth="1"/>
    <col min="8399" max="8399" width="41.28515625" bestFit="1" customWidth="1"/>
    <col min="8400" max="8400" width="19.85546875" bestFit="1" customWidth="1"/>
    <col min="8401" max="8401" width="24.28515625" bestFit="1" customWidth="1"/>
    <col min="8402" max="8402" width="62.140625" bestFit="1" customWidth="1"/>
    <col min="8403" max="8403" width="23.85546875" bestFit="1" customWidth="1"/>
    <col min="8404" max="8404" width="32.85546875" bestFit="1" customWidth="1"/>
    <col min="8405" max="8405" width="30.42578125" bestFit="1" customWidth="1"/>
    <col min="8406" max="8406" width="12.28515625" bestFit="1" customWidth="1"/>
    <col min="8407" max="8407" width="14.42578125" bestFit="1" customWidth="1"/>
    <col min="8408" max="8408" width="18.85546875" customWidth="1"/>
    <col min="8628" max="8628" width="11" bestFit="1" customWidth="1"/>
    <col min="8629" max="8629" width="18.42578125" bestFit="1" customWidth="1"/>
    <col min="8630" max="8630" width="22.28515625" bestFit="1" customWidth="1"/>
    <col min="8631" max="8631" width="52.7109375" bestFit="1" customWidth="1"/>
    <col min="8632" max="8632" width="11.42578125" bestFit="1" customWidth="1"/>
    <col min="8633" max="8633" width="20.140625" bestFit="1" customWidth="1"/>
    <col min="8634" max="8634" width="25.85546875" bestFit="1" customWidth="1"/>
    <col min="8635" max="8635" width="23.85546875" bestFit="1" customWidth="1"/>
    <col min="8636" max="8636" width="22.42578125" customWidth="1"/>
    <col min="8637" max="8637" width="10.85546875" bestFit="1" customWidth="1"/>
    <col min="8638" max="8638" width="8.42578125" bestFit="1" customWidth="1"/>
    <col min="8639" max="8639" width="15.7109375" bestFit="1" customWidth="1"/>
    <col min="8640" max="8640" width="19.28515625" bestFit="1" customWidth="1"/>
    <col min="8641" max="8641" width="28.140625" bestFit="1" customWidth="1"/>
    <col min="8642" max="8642" width="31.28515625" bestFit="1" customWidth="1"/>
    <col min="8643" max="8643" width="26.42578125" customWidth="1"/>
    <col min="8644" max="8644" width="15.28515625" customWidth="1"/>
    <col min="8645" max="8645" width="17.85546875" customWidth="1"/>
    <col min="8646" max="8646" width="36.28515625" bestFit="1" customWidth="1"/>
    <col min="8647" max="8647" width="24.42578125" bestFit="1" customWidth="1"/>
    <col min="8648" max="8648" width="11.42578125" bestFit="1" customWidth="1"/>
    <col min="8649" max="8649" width="10.140625" bestFit="1" customWidth="1"/>
    <col min="8650" max="8650" width="28.7109375" bestFit="1" customWidth="1"/>
    <col min="8651" max="8651" width="28.42578125" bestFit="1" customWidth="1"/>
    <col min="8652" max="8652" width="34.28515625" bestFit="1" customWidth="1"/>
    <col min="8653" max="8653" width="13.7109375" bestFit="1" customWidth="1"/>
    <col min="8654" max="8654" width="22.7109375" bestFit="1" customWidth="1"/>
    <col min="8655" max="8655" width="41.28515625" bestFit="1" customWidth="1"/>
    <col min="8656" max="8656" width="19.85546875" bestFit="1" customWidth="1"/>
    <col min="8657" max="8657" width="24.28515625" bestFit="1" customWidth="1"/>
    <col min="8658" max="8658" width="62.140625" bestFit="1" customWidth="1"/>
    <col min="8659" max="8659" width="23.85546875" bestFit="1" customWidth="1"/>
    <col min="8660" max="8660" width="32.85546875" bestFit="1" customWidth="1"/>
    <col min="8661" max="8661" width="30.42578125" bestFit="1" customWidth="1"/>
    <col min="8662" max="8662" width="12.28515625" bestFit="1" customWidth="1"/>
    <col min="8663" max="8663" width="14.42578125" bestFit="1" customWidth="1"/>
    <col min="8664" max="8664" width="18.85546875" customWidth="1"/>
    <col min="8884" max="8884" width="11" bestFit="1" customWidth="1"/>
    <col min="8885" max="8885" width="18.42578125" bestFit="1" customWidth="1"/>
    <col min="8886" max="8886" width="22.28515625" bestFit="1" customWidth="1"/>
    <col min="8887" max="8887" width="52.7109375" bestFit="1" customWidth="1"/>
    <col min="8888" max="8888" width="11.42578125" bestFit="1" customWidth="1"/>
    <col min="8889" max="8889" width="20.140625" bestFit="1" customWidth="1"/>
    <col min="8890" max="8890" width="25.85546875" bestFit="1" customWidth="1"/>
    <col min="8891" max="8891" width="23.85546875" bestFit="1" customWidth="1"/>
    <col min="8892" max="8892" width="22.42578125" customWidth="1"/>
    <col min="8893" max="8893" width="10.85546875" bestFit="1" customWidth="1"/>
    <col min="8894" max="8894" width="8.42578125" bestFit="1" customWidth="1"/>
    <col min="8895" max="8895" width="15.7109375" bestFit="1" customWidth="1"/>
    <col min="8896" max="8896" width="19.28515625" bestFit="1" customWidth="1"/>
    <col min="8897" max="8897" width="28.140625" bestFit="1" customWidth="1"/>
    <col min="8898" max="8898" width="31.28515625" bestFit="1" customWidth="1"/>
    <col min="8899" max="8899" width="26.42578125" customWidth="1"/>
    <col min="8900" max="8900" width="15.28515625" customWidth="1"/>
    <col min="8901" max="8901" width="17.85546875" customWidth="1"/>
    <col min="8902" max="8902" width="36.28515625" bestFit="1" customWidth="1"/>
    <col min="8903" max="8903" width="24.42578125" bestFit="1" customWidth="1"/>
    <col min="8904" max="8904" width="11.42578125" bestFit="1" customWidth="1"/>
    <col min="8905" max="8905" width="10.140625" bestFit="1" customWidth="1"/>
    <col min="8906" max="8906" width="28.7109375" bestFit="1" customWidth="1"/>
    <col min="8907" max="8907" width="28.42578125" bestFit="1" customWidth="1"/>
    <col min="8908" max="8908" width="34.28515625" bestFit="1" customWidth="1"/>
    <col min="8909" max="8909" width="13.7109375" bestFit="1" customWidth="1"/>
    <col min="8910" max="8910" width="22.7109375" bestFit="1" customWidth="1"/>
    <col min="8911" max="8911" width="41.28515625" bestFit="1" customWidth="1"/>
    <col min="8912" max="8912" width="19.85546875" bestFit="1" customWidth="1"/>
    <col min="8913" max="8913" width="24.28515625" bestFit="1" customWidth="1"/>
    <col min="8914" max="8914" width="62.140625" bestFit="1" customWidth="1"/>
    <col min="8915" max="8915" width="23.85546875" bestFit="1" customWidth="1"/>
    <col min="8916" max="8916" width="32.85546875" bestFit="1" customWidth="1"/>
    <col min="8917" max="8917" width="30.42578125" bestFit="1" customWidth="1"/>
    <col min="8918" max="8918" width="12.28515625" bestFit="1" customWidth="1"/>
    <col min="8919" max="8919" width="14.42578125" bestFit="1" customWidth="1"/>
    <col min="8920" max="8920" width="18.85546875" customWidth="1"/>
    <col min="9140" max="9140" width="11" bestFit="1" customWidth="1"/>
    <col min="9141" max="9141" width="18.42578125" bestFit="1" customWidth="1"/>
    <col min="9142" max="9142" width="22.28515625" bestFit="1" customWidth="1"/>
    <col min="9143" max="9143" width="52.7109375" bestFit="1" customWidth="1"/>
    <col min="9144" max="9144" width="11.42578125" bestFit="1" customWidth="1"/>
    <col min="9145" max="9145" width="20.140625" bestFit="1" customWidth="1"/>
    <col min="9146" max="9146" width="25.85546875" bestFit="1" customWidth="1"/>
    <col min="9147" max="9147" width="23.85546875" bestFit="1" customWidth="1"/>
    <col min="9148" max="9148" width="22.42578125" customWidth="1"/>
    <col min="9149" max="9149" width="10.85546875" bestFit="1" customWidth="1"/>
    <col min="9150" max="9150" width="8.42578125" bestFit="1" customWidth="1"/>
    <col min="9151" max="9151" width="15.7109375" bestFit="1" customWidth="1"/>
    <col min="9152" max="9152" width="19.28515625" bestFit="1" customWidth="1"/>
    <col min="9153" max="9153" width="28.140625" bestFit="1" customWidth="1"/>
    <col min="9154" max="9154" width="31.28515625" bestFit="1" customWidth="1"/>
    <col min="9155" max="9155" width="26.42578125" customWidth="1"/>
    <col min="9156" max="9156" width="15.28515625" customWidth="1"/>
    <col min="9157" max="9157" width="17.85546875" customWidth="1"/>
    <col min="9158" max="9158" width="36.28515625" bestFit="1" customWidth="1"/>
    <col min="9159" max="9159" width="24.42578125" bestFit="1" customWidth="1"/>
    <col min="9160" max="9160" width="11.42578125" bestFit="1" customWidth="1"/>
    <col min="9161" max="9161" width="10.140625" bestFit="1" customWidth="1"/>
    <col min="9162" max="9162" width="28.7109375" bestFit="1" customWidth="1"/>
    <col min="9163" max="9163" width="28.42578125" bestFit="1" customWidth="1"/>
    <col min="9164" max="9164" width="34.28515625" bestFit="1" customWidth="1"/>
    <col min="9165" max="9165" width="13.7109375" bestFit="1" customWidth="1"/>
    <col min="9166" max="9166" width="22.7109375" bestFit="1" customWidth="1"/>
    <col min="9167" max="9167" width="41.28515625" bestFit="1" customWidth="1"/>
    <col min="9168" max="9168" width="19.85546875" bestFit="1" customWidth="1"/>
    <col min="9169" max="9169" width="24.28515625" bestFit="1" customWidth="1"/>
    <col min="9170" max="9170" width="62.140625" bestFit="1" customWidth="1"/>
    <col min="9171" max="9171" width="23.85546875" bestFit="1" customWidth="1"/>
    <col min="9172" max="9172" width="32.85546875" bestFit="1" customWidth="1"/>
    <col min="9173" max="9173" width="30.42578125" bestFit="1" customWidth="1"/>
    <col min="9174" max="9174" width="12.28515625" bestFit="1" customWidth="1"/>
    <col min="9175" max="9175" width="14.42578125" bestFit="1" customWidth="1"/>
    <col min="9176" max="9176" width="18.85546875" customWidth="1"/>
    <col min="9396" max="9396" width="11" bestFit="1" customWidth="1"/>
    <col min="9397" max="9397" width="18.42578125" bestFit="1" customWidth="1"/>
    <col min="9398" max="9398" width="22.28515625" bestFit="1" customWidth="1"/>
    <col min="9399" max="9399" width="52.7109375" bestFit="1" customWidth="1"/>
    <col min="9400" max="9400" width="11.42578125" bestFit="1" customWidth="1"/>
    <col min="9401" max="9401" width="20.140625" bestFit="1" customWidth="1"/>
    <col min="9402" max="9402" width="25.85546875" bestFit="1" customWidth="1"/>
    <col min="9403" max="9403" width="23.85546875" bestFit="1" customWidth="1"/>
    <col min="9404" max="9404" width="22.42578125" customWidth="1"/>
    <col min="9405" max="9405" width="10.85546875" bestFit="1" customWidth="1"/>
    <col min="9406" max="9406" width="8.42578125" bestFit="1" customWidth="1"/>
    <col min="9407" max="9407" width="15.7109375" bestFit="1" customWidth="1"/>
    <col min="9408" max="9408" width="19.28515625" bestFit="1" customWidth="1"/>
    <col min="9409" max="9409" width="28.140625" bestFit="1" customWidth="1"/>
    <col min="9410" max="9410" width="31.28515625" bestFit="1" customWidth="1"/>
    <col min="9411" max="9411" width="26.42578125" customWidth="1"/>
    <col min="9412" max="9412" width="15.28515625" customWidth="1"/>
    <col min="9413" max="9413" width="17.85546875" customWidth="1"/>
    <col min="9414" max="9414" width="36.28515625" bestFit="1" customWidth="1"/>
    <col min="9415" max="9415" width="24.42578125" bestFit="1" customWidth="1"/>
    <col min="9416" max="9416" width="11.42578125" bestFit="1" customWidth="1"/>
    <col min="9417" max="9417" width="10.140625" bestFit="1" customWidth="1"/>
    <col min="9418" max="9418" width="28.7109375" bestFit="1" customWidth="1"/>
    <col min="9419" max="9419" width="28.42578125" bestFit="1" customWidth="1"/>
    <col min="9420" max="9420" width="34.28515625" bestFit="1" customWidth="1"/>
    <col min="9421" max="9421" width="13.7109375" bestFit="1" customWidth="1"/>
    <col min="9422" max="9422" width="22.7109375" bestFit="1" customWidth="1"/>
    <col min="9423" max="9423" width="41.28515625" bestFit="1" customWidth="1"/>
    <col min="9424" max="9424" width="19.85546875" bestFit="1" customWidth="1"/>
    <col min="9425" max="9425" width="24.28515625" bestFit="1" customWidth="1"/>
    <col min="9426" max="9426" width="62.140625" bestFit="1" customWidth="1"/>
    <col min="9427" max="9427" width="23.85546875" bestFit="1" customWidth="1"/>
    <col min="9428" max="9428" width="32.85546875" bestFit="1" customWidth="1"/>
    <col min="9429" max="9429" width="30.42578125" bestFit="1" customWidth="1"/>
    <col min="9430" max="9430" width="12.28515625" bestFit="1" customWidth="1"/>
    <col min="9431" max="9431" width="14.42578125" bestFit="1" customWidth="1"/>
    <col min="9432" max="9432" width="18.85546875" customWidth="1"/>
    <col min="9652" max="9652" width="11" bestFit="1" customWidth="1"/>
    <col min="9653" max="9653" width="18.42578125" bestFit="1" customWidth="1"/>
    <col min="9654" max="9654" width="22.28515625" bestFit="1" customWidth="1"/>
    <col min="9655" max="9655" width="52.7109375" bestFit="1" customWidth="1"/>
    <col min="9656" max="9656" width="11.42578125" bestFit="1" customWidth="1"/>
    <col min="9657" max="9657" width="20.140625" bestFit="1" customWidth="1"/>
    <col min="9658" max="9658" width="25.85546875" bestFit="1" customWidth="1"/>
    <col min="9659" max="9659" width="23.85546875" bestFit="1" customWidth="1"/>
    <col min="9660" max="9660" width="22.42578125" customWidth="1"/>
    <col min="9661" max="9661" width="10.85546875" bestFit="1" customWidth="1"/>
    <col min="9662" max="9662" width="8.42578125" bestFit="1" customWidth="1"/>
    <col min="9663" max="9663" width="15.7109375" bestFit="1" customWidth="1"/>
    <col min="9664" max="9664" width="19.28515625" bestFit="1" customWidth="1"/>
    <col min="9665" max="9665" width="28.140625" bestFit="1" customWidth="1"/>
    <col min="9666" max="9666" width="31.28515625" bestFit="1" customWidth="1"/>
    <col min="9667" max="9667" width="26.42578125" customWidth="1"/>
    <col min="9668" max="9668" width="15.28515625" customWidth="1"/>
    <col min="9669" max="9669" width="17.85546875" customWidth="1"/>
    <col min="9670" max="9670" width="36.28515625" bestFit="1" customWidth="1"/>
    <col min="9671" max="9671" width="24.42578125" bestFit="1" customWidth="1"/>
    <col min="9672" max="9672" width="11.42578125" bestFit="1" customWidth="1"/>
    <col min="9673" max="9673" width="10.140625" bestFit="1" customWidth="1"/>
    <col min="9674" max="9674" width="28.7109375" bestFit="1" customWidth="1"/>
    <col min="9675" max="9675" width="28.42578125" bestFit="1" customWidth="1"/>
    <col min="9676" max="9676" width="34.28515625" bestFit="1" customWidth="1"/>
    <col min="9677" max="9677" width="13.7109375" bestFit="1" customWidth="1"/>
    <col min="9678" max="9678" width="22.7109375" bestFit="1" customWidth="1"/>
    <col min="9679" max="9679" width="41.28515625" bestFit="1" customWidth="1"/>
    <col min="9680" max="9680" width="19.85546875" bestFit="1" customWidth="1"/>
    <col min="9681" max="9681" width="24.28515625" bestFit="1" customWidth="1"/>
    <col min="9682" max="9682" width="62.140625" bestFit="1" customWidth="1"/>
    <col min="9683" max="9683" width="23.85546875" bestFit="1" customWidth="1"/>
    <col min="9684" max="9684" width="32.85546875" bestFit="1" customWidth="1"/>
    <col min="9685" max="9685" width="30.42578125" bestFit="1" customWidth="1"/>
    <col min="9686" max="9686" width="12.28515625" bestFit="1" customWidth="1"/>
    <col min="9687" max="9687" width="14.42578125" bestFit="1" customWidth="1"/>
    <col min="9688" max="9688" width="18.85546875" customWidth="1"/>
    <col min="9908" max="9908" width="11" bestFit="1" customWidth="1"/>
    <col min="9909" max="9909" width="18.42578125" bestFit="1" customWidth="1"/>
    <col min="9910" max="9910" width="22.28515625" bestFit="1" customWidth="1"/>
    <col min="9911" max="9911" width="52.7109375" bestFit="1" customWidth="1"/>
    <col min="9912" max="9912" width="11.42578125" bestFit="1" customWidth="1"/>
    <col min="9913" max="9913" width="20.140625" bestFit="1" customWidth="1"/>
    <col min="9914" max="9914" width="25.85546875" bestFit="1" customWidth="1"/>
    <col min="9915" max="9915" width="23.85546875" bestFit="1" customWidth="1"/>
    <col min="9916" max="9916" width="22.42578125" customWidth="1"/>
    <col min="9917" max="9917" width="10.85546875" bestFit="1" customWidth="1"/>
    <col min="9918" max="9918" width="8.42578125" bestFit="1" customWidth="1"/>
    <col min="9919" max="9919" width="15.7109375" bestFit="1" customWidth="1"/>
    <col min="9920" max="9920" width="19.28515625" bestFit="1" customWidth="1"/>
    <col min="9921" max="9921" width="28.140625" bestFit="1" customWidth="1"/>
    <col min="9922" max="9922" width="31.28515625" bestFit="1" customWidth="1"/>
    <col min="9923" max="9923" width="26.42578125" customWidth="1"/>
    <col min="9924" max="9924" width="15.28515625" customWidth="1"/>
    <col min="9925" max="9925" width="17.85546875" customWidth="1"/>
    <col min="9926" max="9926" width="36.28515625" bestFit="1" customWidth="1"/>
    <col min="9927" max="9927" width="24.42578125" bestFit="1" customWidth="1"/>
    <col min="9928" max="9928" width="11.42578125" bestFit="1" customWidth="1"/>
    <col min="9929" max="9929" width="10.140625" bestFit="1" customWidth="1"/>
    <col min="9930" max="9930" width="28.7109375" bestFit="1" customWidth="1"/>
    <col min="9931" max="9931" width="28.42578125" bestFit="1" customWidth="1"/>
    <col min="9932" max="9932" width="34.28515625" bestFit="1" customWidth="1"/>
    <col min="9933" max="9933" width="13.7109375" bestFit="1" customWidth="1"/>
    <col min="9934" max="9934" width="22.7109375" bestFit="1" customWidth="1"/>
    <col min="9935" max="9935" width="41.28515625" bestFit="1" customWidth="1"/>
    <col min="9936" max="9936" width="19.85546875" bestFit="1" customWidth="1"/>
    <col min="9937" max="9937" width="24.28515625" bestFit="1" customWidth="1"/>
    <col min="9938" max="9938" width="62.140625" bestFit="1" customWidth="1"/>
    <col min="9939" max="9939" width="23.85546875" bestFit="1" customWidth="1"/>
    <col min="9940" max="9940" width="32.85546875" bestFit="1" customWidth="1"/>
    <col min="9941" max="9941" width="30.42578125" bestFit="1" customWidth="1"/>
    <col min="9942" max="9942" width="12.28515625" bestFit="1" customWidth="1"/>
    <col min="9943" max="9943" width="14.42578125" bestFit="1" customWidth="1"/>
    <col min="9944" max="9944" width="18.85546875" customWidth="1"/>
    <col min="10164" max="10164" width="11" bestFit="1" customWidth="1"/>
    <col min="10165" max="10165" width="18.42578125" bestFit="1" customWidth="1"/>
    <col min="10166" max="10166" width="22.28515625" bestFit="1" customWidth="1"/>
    <col min="10167" max="10167" width="52.7109375" bestFit="1" customWidth="1"/>
    <col min="10168" max="10168" width="11.42578125" bestFit="1" customWidth="1"/>
    <col min="10169" max="10169" width="20.140625" bestFit="1" customWidth="1"/>
    <col min="10170" max="10170" width="25.85546875" bestFit="1" customWidth="1"/>
    <col min="10171" max="10171" width="23.85546875" bestFit="1" customWidth="1"/>
    <col min="10172" max="10172" width="22.42578125" customWidth="1"/>
    <col min="10173" max="10173" width="10.85546875" bestFit="1" customWidth="1"/>
    <col min="10174" max="10174" width="8.42578125" bestFit="1" customWidth="1"/>
    <col min="10175" max="10175" width="15.7109375" bestFit="1" customWidth="1"/>
    <col min="10176" max="10176" width="19.28515625" bestFit="1" customWidth="1"/>
    <col min="10177" max="10177" width="28.140625" bestFit="1" customWidth="1"/>
    <col min="10178" max="10178" width="31.28515625" bestFit="1" customWidth="1"/>
    <col min="10179" max="10179" width="26.42578125" customWidth="1"/>
    <col min="10180" max="10180" width="15.28515625" customWidth="1"/>
    <col min="10181" max="10181" width="17.85546875" customWidth="1"/>
    <col min="10182" max="10182" width="36.28515625" bestFit="1" customWidth="1"/>
    <col min="10183" max="10183" width="24.42578125" bestFit="1" customWidth="1"/>
    <col min="10184" max="10184" width="11.42578125" bestFit="1" customWidth="1"/>
    <col min="10185" max="10185" width="10.140625" bestFit="1" customWidth="1"/>
    <col min="10186" max="10186" width="28.7109375" bestFit="1" customWidth="1"/>
    <col min="10187" max="10187" width="28.42578125" bestFit="1" customWidth="1"/>
    <col min="10188" max="10188" width="34.28515625" bestFit="1" customWidth="1"/>
    <col min="10189" max="10189" width="13.7109375" bestFit="1" customWidth="1"/>
    <col min="10190" max="10190" width="22.7109375" bestFit="1" customWidth="1"/>
    <col min="10191" max="10191" width="41.28515625" bestFit="1" customWidth="1"/>
    <col min="10192" max="10192" width="19.85546875" bestFit="1" customWidth="1"/>
    <col min="10193" max="10193" width="24.28515625" bestFit="1" customWidth="1"/>
    <col min="10194" max="10194" width="62.140625" bestFit="1" customWidth="1"/>
    <col min="10195" max="10195" width="23.85546875" bestFit="1" customWidth="1"/>
    <col min="10196" max="10196" width="32.85546875" bestFit="1" customWidth="1"/>
    <col min="10197" max="10197" width="30.42578125" bestFit="1" customWidth="1"/>
    <col min="10198" max="10198" width="12.28515625" bestFit="1" customWidth="1"/>
    <col min="10199" max="10199" width="14.42578125" bestFit="1" customWidth="1"/>
    <col min="10200" max="10200" width="18.85546875" customWidth="1"/>
    <col min="10420" max="10420" width="11" bestFit="1" customWidth="1"/>
    <col min="10421" max="10421" width="18.42578125" bestFit="1" customWidth="1"/>
    <col min="10422" max="10422" width="22.28515625" bestFit="1" customWidth="1"/>
    <col min="10423" max="10423" width="52.7109375" bestFit="1" customWidth="1"/>
    <col min="10424" max="10424" width="11.42578125" bestFit="1" customWidth="1"/>
    <col min="10425" max="10425" width="20.140625" bestFit="1" customWidth="1"/>
    <col min="10426" max="10426" width="25.85546875" bestFit="1" customWidth="1"/>
    <col min="10427" max="10427" width="23.85546875" bestFit="1" customWidth="1"/>
    <col min="10428" max="10428" width="22.42578125" customWidth="1"/>
    <col min="10429" max="10429" width="10.85546875" bestFit="1" customWidth="1"/>
    <col min="10430" max="10430" width="8.42578125" bestFit="1" customWidth="1"/>
    <col min="10431" max="10431" width="15.7109375" bestFit="1" customWidth="1"/>
    <col min="10432" max="10432" width="19.28515625" bestFit="1" customWidth="1"/>
    <col min="10433" max="10433" width="28.140625" bestFit="1" customWidth="1"/>
    <col min="10434" max="10434" width="31.28515625" bestFit="1" customWidth="1"/>
    <col min="10435" max="10435" width="26.42578125" customWidth="1"/>
    <col min="10436" max="10436" width="15.28515625" customWidth="1"/>
    <col min="10437" max="10437" width="17.85546875" customWidth="1"/>
    <col min="10438" max="10438" width="36.28515625" bestFit="1" customWidth="1"/>
    <col min="10439" max="10439" width="24.42578125" bestFit="1" customWidth="1"/>
    <col min="10440" max="10440" width="11.42578125" bestFit="1" customWidth="1"/>
    <col min="10441" max="10441" width="10.140625" bestFit="1" customWidth="1"/>
    <col min="10442" max="10442" width="28.7109375" bestFit="1" customWidth="1"/>
    <col min="10443" max="10443" width="28.42578125" bestFit="1" customWidth="1"/>
    <col min="10444" max="10444" width="34.28515625" bestFit="1" customWidth="1"/>
    <col min="10445" max="10445" width="13.7109375" bestFit="1" customWidth="1"/>
    <col min="10446" max="10446" width="22.7109375" bestFit="1" customWidth="1"/>
    <col min="10447" max="10447" width="41.28515625" bestFit="1" customWidth="1"/>
    <col min="10448" max="10448" width="19.85546875" bestFit="1" customWidth="1"/>
    <col min="10449" max="10449" width="24.28515625" bestFit="1" customWidth="1"/>
    <col min="10450" max="10450" width="62.140625" bestFit="1" customWidth="1"/>
    <col min="10451" max="10451" width="23.85546875" bestFit="1" customWidth="1"/>
    <col min="10452" max="10452" width="32.85546875" bestFit="1" customWidth="1"/>
    <col min="10453" max="10453" width="30.42578125" bestFit="1" customWidth="1"/>
    <col min="10454" max="10454" width="12.28515625" bestFit="1" customWidth="1"/>
    <col min="10455" max="10455" width="14.42578125" bestFit="1" customWidth="1"/>
    <col min="10456" max="10456" width="18.85546875" customWidth="1"/>
    <col min="10676" max="10676" width="11" bestFit="1" customWidth="1"/>
    <col min="10677" max="10677" width="18.42578125" bestFit="1" customWidth="1"/>
    <col min="10678" max="10678" width="22.28515625" bestFit="1" customWidth="1"/>
    <col min="10679" max="10679" width="52.7109375" bestFit="1" customWidth="1"/>
    <col min="10680" max="10680" width="11.42578125" bestFit="1" customWidth="1"/>
    <col min="10681" max="10681" width="20.140625" bestFit="1" customWidth="1"/>
    <col min="10682" max="10682" width="25.85546875" bestFit="1" customWidth="1"/>
    <col min="10683" max="10683" width="23.85546875" bestFit="1" customWidth="1"/>
    <col min="10684" max="10684" width="22.42578125" customWidth="1"/>
    <col min="10685" max="10685" width="10.85546875" bestFit="1" customWidth="1"/>
    <col min="10686" max="10686" width="8.42578125" bestFit="1" customWidth="1"/>
    <col min="10687" max="10687" width="15.7109375" bestFit="1" customWidth="1"/>
    <col min="10688" max="10688" width="19.28515625" bestFit="1" customWidth="1"/>
    <col min="10689" max="10689" width="28.140625" bestFit="1" customWidth="1"/>
    <col min="10690" max="10690" width="31.28515625" bestFit="1" customWidth="1"/>
    <col min="10691" max="10691" width="26.42578125" customWidth="1"/>
    <col min="10692" max="10692" width="15.28515625" customWidth="1"/>
    <col min="10693" max="10693" width="17.85546875" customWidth="1"/>
    <col min="10694" max="10694" width="36.28515625" bestFit="1" customWidth="1"/>
    <col min="10695" max="10695" width="24.42578125" bestFit="1" customWidth="1"/>
    <col min="10696" max="10696" width="11.42578125" bestFit="1" customWidth="1"/>
    <col min="10697" max="10697" width="10.140625" bestFit="1" customWidth="1"/>
    <col min="10698" max="10698" width="28.7109375" bestFit="1" customWidth="1"/>
    <col min="10699" max="10699" width="28.42578125" bestFit="1" customWidth="1"/>
    <col min="10700" max="10700" width="34.28515625" bestFit="1" customWidth="1"/>
    <col min="10701" max="10701" width="13.7109375" bestFit="1" customWidth="1"/>
    <col min="10702" max="10702" width="22.7109375" bestFit="1" customWidth="1"/>
    <col min="10703" max="10703" width="41.28515625" bestFit="1" customWidth="1"/>
    <col min="10704" max="10704" width="19.85546875" bestFit="1" customWidth="1"/>
    <col min="10705" max="10705" width="24.28515625" bestFit="1" customWidth="1"/>
    <col min="10706" max="10706" width="62.140625" bestFit="1" customWidth="1"/>
    <col min="10707" max="10707" width="23.85546875" bestFit="1" customWidth="1"/>
    <col min="10708" max="10708" width="32.85546875" bestFit="1" customWidth="1"/>
    <col min="10709" max="10709" width="30.42578125" bestFit="1" customWidth="1"/>
    <col min="10710" max="10710" width="12.28515625" bestFit="1" customWidth="1"/>
    <col min="10711" max="10711" width="14.42578125" bestFit="1" customWidth="1"/>
    <col min="10712" max="10712" width="18.85546875" customWidth="1"/>
    <col min="10932" max="10932" width="11" bestFit="1" customWidth="1"/>
    <col min="10933" max="10933" width="18.42578125" bestFit="1" customWidth="1"/>
    <col min="10934" max="10934" width="22.28515625" bestFit="1" customWidth="1"/>
    <col min="10935" max="10935" width="52.7109375" bestFit="1" customWidth="1"/>
    <col min="10936" max="10936" width="11.42578125" bestFit="1" customWidth="1"/>
    <col min="10937" max="10937" width="20.140625" bestFit="1" customWidth="1"/>
    <col min="10938" max="10938" width="25.85546875" bestFit="1" customWidth="1"/>
    <col min="10939" max="10939" width="23.85546875" bestFit="1" customWidth="1"/>
    <col min="10940" max="10940" width="22.42578125" customWidth="1"/>
    <col min="10941" max="10941" width="10.85546875" bestFit="1" customWidth="1"/>
    <col min="10942" max="10942" width="8.42578125" bestFit="1" customWidth="1"/>
    <col min="10943" max="10943" width="15.7109375" bestFit="1" customWidth="1"/>
    <col min="10944" max="10944" width="19.28515625" bestFit="1" customWidth="1"/>
    <col min="10945" max="10945" width="28.140625" bestFit="1" customWidth="1"/>
    <col min="10946" max="10946" width="31.28515625" bestFit="1" customWidth="1"/>
    <col min="10947" max="10947" width="26.42578125" customWidth="1"/>
    <col min="10948" max="10948" width="15.28515625" customWidth="1"/>
    <col min="10949" max="10949" width="17.85546875" customWidth="1"/>
    <col min="10950" max="10950" width="36.28515625" bestFit="1" customWidth="1"/>
    <col min="10951" max="10951" width="24.42578125" bestFit="1" customWidth="1"/>
    <col min="10952" max="10952" width="11.42578125" bestFit="1" customWidth="1"/>
    <col min="10953" max="10953" width="10.140625" bestFit="1" customWidth="1"/>
    <col min="10954" max="10954" width="28.7109375" bestFit="1" customWidth="1"/>
    <col min="10955" max="10955" width="28.42578125" bestFit="1" customWidth="1"/>
    <col min="10956" max="10956" width="34.28515625" bestFit="1" customWidth="1"/>
    <col min="10957" max="10957" width="13.7109375" bestFit="1" customWidth="1"/>
    <col min="10958" max="10958" width="22.7109375" bestFit="1" customWidth="1"/>
    <col min="10959" max="10959" width="41.28515625" bestFit="1" customWidth="1"/>
    <col min="10960" max="10960" width="19.85546875" bestFit="1" customWidth="1"/>
    <col min="10961" max="10961" width="24.28515625" bestFit="1" customWidth="1"/>
    <col min="10962" max="10962" width="62.140625" bestFit="1" customWidth="1"/>
    <col min="10963" max="10963" width="23.85546875" bestFit="1" customWidth="1"/>
    <col min="10964" max="10964" width="32.85546875" bestFit="1" customWidth="1"/>
    <col min="10965" max="10965" width="30.42578125" bestFit="1" customWidth="1"/>
    <col min="10966" max="10966" width="12.28515625" bestFit="1" customWidth="1"/>
    <col min="10967" max="10967" width="14.42578125" bestFit="1" customWidth="1"/>
    <col min="10968" max="10968" width="18.85546875" customWidth="1"/>
    <col min="11188" max="11188" width="11" bestFit="1" customWidth="1"/>
    <col min="11189" max="11189" width="18.42578125" bestFit="1" customWidth="1"/>
    <col min="11190" max="11190" width="22.28515625" bestFit="1" customWidth="1"/>
    <col min="11191" max="11191" width="52.7109375" bestFit="1" customWidth="1"/>
    <col min="11192" max="11192" width="11.42578125" bestFit="1" customWidth="1"/>
    <col min="11193" max="11193" width="20.140625" bestFit="1" customWidth="1"/>
    <col min="11194" max="11194" width="25.85546875" bestFit="1" customWidth="1"/>
    <col min="11195" max="11195" width="23.85546875" bestFit="1" customWidth="1"/>
    <col min="11196" max="11196" width="22.42578125" customWidth="1"/>
    <col min="11197" max="11197" width="10.85546875" bestFit="1" customWidth="1"/>
    <col min="11198" max="11198" width="8.42578125" bestFit="1" customWidth="1"/>
    <col min="11199" max="11199" width="15.7109375" bestFit="1" customWidth="1"/>
    <col min="11200" max="11200" width="19.28515625" bestFit="1" customWidth="1"/>
    <col min="11201" max="11201" width="28.140625" bestFit="1" customWidth="1"/>
    <col min="11202" max="11202" width="31.28515625" bestFit="1" customWidth="1"/>
    <col min="11203" max="11203" width="26.42578125" customWidth="1"/>
    <col min="11204" max="11204" width="15.28515625" customWidth="1"/>
    <col min="11205" max="11205" width="17.85546875" customWidth="1"/>
    <col min="11206" max="11206" width="36.28515625" bestFit="1" customWidth="1"/>
    <col min="11207" max="11207" width="24.42578125" bestFit="1" customWidth="1"/>
    <col min="11208" max="11208" width="11.42578125" bestFit="1" customWidth="1"/>
    <col min="11209" max="11209" width="10.140625" bestFit="1" customWidth="1"/>
    <col min="11210" max="11210" width="28.7109375" bestFit="1" customWidth="1"/>
    <col min="11211" max="11211" width="28.42578125" bestFit="1" customWidth="1"/>
    <col min="11212" max="11212" width="34.28515625" bestFit="1" customWidth="1"/>
    <col min="11213" max="11213" width="13.7109375" bestFit="1" customWidth="1"/>
    <col min="11214" max="11214" width="22.7109375" bestFit="1" customWidth="1"/>
    <col min="11215" max="11215" width="41.28515625" bestFit="1" customWidth="1"/>
    <col min="11216" max="11216" width="19.85546875" bestFit="1" customWidth="1"/>
    <col min="11217" max="11217" width="24.28515625" bestFit="1" customWidth="1"/>
    <col min="11218" max="11218" width="62.140625" bestFit="1" customWidth="1"/>
    <col min="11219" max="11219" width="23.85546875" bestFit="1" customWidth="1"/>
    <col min="11220" max="11220" width="32.85546875" bestFit="1" customWidth="1"/>
    <col min="11221" max="11221" width="30.42578125" bestFit="1" customWidth="1"/>
    <col min="11222" max="11222" width="12.28515625" bestFit="1" customWidth="1"/>
    <col min="11223" max="11223" width="14.42578125" bestFit="1" customWidth="1"/>
    <col min="11224" max="11224" width="18.85546875" customWidth="1"/>
    <col min="11444" max="11444" width="11" bestFit="1" customWidth="1"/>
    <col min="11445" max="11445" width="18.42578125" bestFit="1" customWidth="1"/>
    <col min="11446" max="11446" width="22.28515625" bestFit="1" customWidth="1"/>
    <col min="11447" max="11447" width="52.7109375" bestFit="1" customWidth="1"/>
    <col min="11448" max="11448" width="11.42578125" bestFit="1" customWidth="1"/>
    <col min="11449" max="11449" width="20.140625" bestFit="1" customWidth="1"/>
    <col min="11450" max="11450" width="25.85546875" bestFit="1" customWidth="1"/>
    <col min="11451" max="11451" width="23.85546875" bestFit="1" customWidth="1"/>
    <col min="11452" max="11452" width="22.42578125" customWidth="1"/>
    <col min="11453" max="11453" width="10.85546875" bestFit="1" customWidth="1"/>
    <col min="11454" max="11454" width="8.42578125" bestFit="1" customWidth="1"/>
    <col min="11455" max="11455" width="15.7109375" bestFit="1" customWidth="1"/>
    <col min="11456" max="11456" width="19.28515625" bestFit="1" customWidth="1"/>
    <col min="11457" max="11457" width="28.140625" bestFit="1" customWidth="1"/>
    <col min="11458" max="11458" width="31.28515625" bestFit="1" customWidth="1"/>
    <col min="11459" max="11459" width="26.42578125" customWidth="1"/>
    <col min="11460" max="11460" width="15.28515625" customWidth="1"/>
    <col min="11461" max="11461" width="17.85546875" customWidth="1"/>
    <col min="11462" max="11462" width="36.28515625" bestFit="1" customWidth="1"/>
    <col min="11463" max="11463" width="24.42578125" bestFit="1" customWidth="1"/>
    <col min="11464" max="11464" width="11.42578125" bestFit="1" customWidth="1"/>
    <col min="11465" max="11465" width="10.140625" bestFit="1" customWidth="1"/>
    <col min="11466" max="11466" width="28.7109375" bestFit="1" customWidth="1"/>
    <col min="11467" max="11467" width="28.42578125" bestFit="1" customWidth="1"/>
    <col min="11468" max="11468" width="34.28515625" bestFit="1" customWidth="1"/>
    <col min="11469" max="11469" width="13.7109375" bestFit="1" customWidth="1"/>
    <col min="11470" max="11470" width="22.7109375" bestFit="1" customWidth="1"/>
    <col min="11471" max="11471" width="41.28515625" bestFit="1" customWidth="1"/>
    <col min="11472" max="11472" width="19.85546875" bestFit="1" customWidth="1"/>
    <col min="11473" max="11473" width="24.28515625" bestFit="1" customWidth="1"/>
    <col min="11474" max="11474" width="62.140625" bestFit="1" customWidth="1"/>
    <col min="11475" max="11475" width="23.85546875" bestFit="1" customWidth="1"/>
    <col min="11476" max="11476" width="32.85546875" bestFit="1" customWidth="1"/>
    <col min="11477" max="11477" width="30.42578125" bestFit="1" customWidth="1"/>
    <col min="11478" max="11478" width="12.28515625" bestFit="1" customWidth="1"/>
    <col min="11479" max="11479" width="14.42578125" bestFit="1" customWidth="1"/>
    <col min="11480" max="11480" width="18.85546875" customWidth="1"/>
    <col min="11700" max="11700" width="11" bestFit="1" customWidth="1"/>
    <col min="11701" max="11701" width="18.42578125" bestFit="1" customWidth="1"/>
    <col min="11702" max="11702" width="22.28515625" bestFit="1" customWidth="1"/>
    <col min="11703" max="11703" width="52.7109375" bestFit="1" customWidth="1"/>
    <col min="11704" max="11704" width="11.42578125" bestFit="1" customWidth="1"/>
    <col min="11705" max="11705" width="20.140625" bestFit="1" customWidth="1"/>
    <col min="11706" max="11706" width="25.85546875" bestFit="1" customWidth="1"/>
    <col min="11707" max="11707" width="23.85546875" bestFit="1" customWidth="1"/>
    <col min="11708" max="11708" width="22.42578125" customWidth="1"/>
    <col min="11709" max="11709" width="10.85546875" bestFit="1" customWidth="1"/>
    <col min="11710" max="11710" width="8.42578125" bestFit="1" customWidth="1"/>
    <col min="11711" max="11711" width="15.7109375" bestFit="1" customWidth="1"/>
    <col min="11712" max="11712" width="19.28515625" bestFit="1" customWidth="1"/>
    <col min="11713" max="11713" width="28.140625" bestFit="1" customWidth="1"/>
    <col min="11714" max="11714" width="31.28515625" bestFit="1" customWidth="1"/>
    <col min="11715" max="11715" width="26.42578125" customWidth="1"/>
    <col min="11716" max="11716" width="15.28515625" customWidth="1"/>
    <col min="11717" max="11717" width="17.85546875" customWidth="1"/>
    <col min="11718" max="11718" width="36.28515625" bestFit="1" customWidth="1"/>
    <col min="11719" max="11719" width="24.42578125" bestFit="1" customWidth="1"/>
    <col min="11720" max="11720" width="11.42578125" bestFit="1" customWidth="1"/>
    <col min="11721" max="11721" width="10.140625" bestFit="1" customWidth="1"/>
    <col min="11722" max="11722" width="28.7109375" bestFit="1" customWidth="1"/>
    <col min="11723" max="11723" width="28.42578125" bestFit="1" customWidth="1"/>
    <col min="11724" max="11724" width="34.28515625" bestFit="1" customWidth="1"/>
    <col min="11725" max="11725" width="13.7109375" bestFit="1" customWidth="1"/>
    <col min="11726" max="11726" width="22.7109375" bestFit="1" customWidth="1"/>
    <col min="11727" max="11727" width="41.28515625" bestFit="1" customWidth="1"/>
    <col min="11728" max="11728" width="19.85546875" bestFit="1" customWidth="1"/>
    <col min="11729" max="11729" width="24.28515625" bestFit="1" customWidth="1"/>
    <col min="11730" max="11730" width="62.140625" bestFit="1" customWidth="1"/>
    <col min="11731" max="11731" width="23.85546875" bestFit="1" customWidth="1"/>
    <col min="11732" max="11732" width="32.85546875" bestFit="1" customWidth="1"/>
    <col min="11733" max="11733" width="30.42578125" bestFit="1" customWidth="1"/>
    <col min="11734" max="11734" width="12.28515625" bestFit="1" customWidth="1"/>
    <col min="11735" max="11735" width="14.42578125" bestFit="1" customWidth="1"/>
    <col min="11736" max="11736" width="18.85546875" customWidth="1"/>
    <col min="11956" max="11956" width="11" bestFit="1" customWidth="1"/>
    <col min="11957" max="11957" width="18.42578125" bestFit="1" customWidth="1"/>
    <col min="11958" max="11958" width="22.28515625" bestFit="1" customWidth="1"/>
    <col min="11959" max="11959" width="52.7109375" bestFit="1" customWidth="1"/>
    <col min="11960" max="11960" width="11.42578125" bestFit="1" customWidth="1"/>
    <col min="11961" max="11961" width="20.140625" bestFit="1" customWidth="1"/>
    <col min="11962" max="11962" width="25.85546875" bestFit="1" customWidth="1"/>
    <col min="11963" max="11963" width="23.85546875" bestFit="1" customWidth="1"/>
    <col min="11964" max="11964" width="22.42578125" customWidth="1"/>
    <col min="11965" max="11965" width="10.85546875" bestFit="1" customWidth="1"/>
    <col min="11966" max="11966" width="8.42578125" bestFit="1" customWidth="1"/>
    <col min="11967" max="11967" width="15.7109375" bestFit="1" customWidth="1"/>
    <col min="11968" max="11968" width="19.28515625" bestFit="1" customWidth="1"/>
    <col min="11969" max="11969" width="28.140625" bestFit="1" customWidth="1"/>
    <col min="11970" max="11970" width="31.28515625" bestFit="1" customWidth="1"/>
    <col min="11971" max="11971" width="26.42578125" customWidth="1"/>
    <col min="11972" max="11972" width="15.28515625" customWidth="1"/>
    <col min="11973" max="11973" width="17.85546875" customWidth="1"/>
    <col min="11974" max="11974" width="36.28515625" bestFit="1" customWidth="1"/>
    <col min="11975" max="11975" width="24.42578125" bestFit="1" customWidth="1"/>
    <col min="11976" max="11976" width="11.42578125" bestFit="1" customWidth="1"/>
    <col min="11977" max="11977" width="10.140625" bestFit="1" customWidth="1"/>
    <col min="11978" max="11978" width="28.7109375" bestFit="1" customWidth="1"/>
    <col min="11979" max="11979" width="28.42578125" bestFit="1" customWidth="1"/>
    <col min="11980" max="11980" width="34.28515625" bestFit="1" customWidth="1"/>
    <col min="11981" max="11981" width="13.7109375" bestFit="1" customWidth="1"/>
    <col min="11982" max="11982" width="22.7109375" bestFit="1" customWidth="1"/>
    <col min="11983" max="11983" width="41.28515625" bestFit="1" customWidth="1"/>
    <col min="11984" max="11984" width="19.85546875" bestFit="1" customWidth="1"/>
    <col min="11985" max="11985" width="24.28515625" bestFit="1" customWidth="1"/>
    <col min="11986" max="11986" width="62.140625" bestFit="1" customWidth="1"/>
    <col min="11987" max="11987" width="23.85546875" bestFit="1" customWidth="1"/>
    <col min="11988" max="11988" width="32.85546875" bestFit="1" customWidth="1"/>
    <col min="11989" max="11989" width="30.42578125" bestFit="1" customWidth="1"/>
    <col min="11990" max="11990" width="12.28515625" bestFit="1" customWidth="1"/>
    <col min="11991" max="11991" width="14.42578125" bestFit="1" customWidth="1"/>
    <col min="11992" max="11992" width="18.85546875" customWidth="1"/>
    <col min="12212" max="12212" width="11" bestFit="1" customWidth="1"/>
    <col min="12213" max="12213" width="18.42578125" bestFit="1" customWidth="1"/>
    <col min="12214" max="12214" width="22.28515625" bestFit="1" customWidth="1"/>
    <col min="12215" max="12215" width="52.7109375" bestFit="1" customWidth="1"/>
    <col min="12216" max="12216" width="11.42578125" bestFit="1" customWidth="1"/>
    <col min="12217" max="12217" width="20.140625" bestFit="1" customWidth="1"/>
    <col min="12218" max="12218" width="25.85546875" bestFit="1" customWidth="1"/>
    <col min="12219" max="12219" width="23.85546875" bestFit="1" customWidth="1"/>
    <col min="12220" max="12220" width="22.42578125" customWidth="1"/>
    <col min="12221" max="12221" width="10.85546875" bestFit="1" customWidth="1"/>
    <col min="12222" max="12222" width="8.42578125" bestFit="1" customWidth="1"/>
    <col min="12223" max="12223" width="15.7109375" bestFit="1" customWidth="1"/>
    <col min="12224" max="12224" width="19.28515625" bestFit="1" customWidth="1"/>
    <col min="12225" max="12225" width="28.140625" bestFit="1" customWidth="1"/>
    <col min="12226" max="12226" width="31.28515625" bestFit="1" customWidth="1"/>
    <col min="12227" max="12227" width="26.42578125" customWidth="1"/>
    <col min="12228" max="12228" width="15.28515625" customWidth="1"/>
    <col min="12229" max="12229" width="17.85546875" customWidth="1"/>
    <col min="12230" max="12230" width="36.28515625" bestFit="1" customWidth="1"/>
    <col min="12231" max="12231" width="24.42578125" bestFit="1" customWidth="1"/>
    <col min="12232" max="12232" width="11.42578125" bestFit="1" customWidth="1"/>
    <col min="12233" max="12233" width="10.140625" bestFit="1" customWidth="1"/>
    <col min="12234" max="12234" width="28.7109375" bestFit="1" customWidth="1"/>
    <col min="12235" max="12235" width="28.42578125" bestFit="1" customWidth="1"/>
    <col min="12236" max="12236" width="34.28515625" bestFit="1" customWidth="1"/>
    <col min="12237" max="12237" width="13.7109375" bestFit="1" customWidth="1"/>
    <col min="12238" max="12238" width="22.7109375" bestFit="1" customWidth="1"/>
    <col min="12239" max="12239" width="41.28515625" bestFit="1" customWidth="1"/>
    <col min="12240" max="12240" width="19.85546875" bestFit="1" customWidth="1"/>
    <col min="12241" max="12241" width="24.28515625" bestFit="1" customWidth="1"/>
    <col min="12242" max="12242" width="62.140625" bestFit="1" customWidth="1"/>
    <col min="12243" max="12243" width="23.85546875" bestFit="1" customWidth="1"/>
    <col min="12244" max="12244" width="32.85546875" bestFit="1" customWidth="1"/>
    <col min="12245" max="12245" width="30.42578125" bestFit="1" customWidth="1"/>
    <col min="12246" max="12246" width="12.28515625" bestFit="1" customWidth="1"/>
    <col min="12247" max="12247" width="14.42578125" bestFit="1" customWidth="1"/>
    <col min="12248" max="12248" width="18.85546875" customWidth="1"/>
    <col min="12468" max="12468" width="11" bestFit="1" customWidth="1"/>
    <col min="12469" max="12469" width="18.42578125" bestFit="1" customWidth="1"/>
    <col min="12470" max="12470" width="22.28515625" bestFit="1" customWidth="1"/>
    <col min="12471" max="12471" width="52.7109375" bestFit="1" customWidth="1"/>
    <col min="12472" max="12472" width="11.42578125" bestFit="1" customWidth="1"/>
    <col min="12473" max="12473" width="20.140625" bestFit="1" customWidth="1"/>
    <col min="12474" max="12474" width="25.85546875" bestFit="1" customWidth="1"/>
    <col min="12475" max="12475" width="23.85546875" bestFit="1" customWidth="1"/>
    <col min="12476" max="12476" width="22.42578125" customWidth="1"/>
    <col min="12477" max="12477" width="10.85546875" bestFit="1" customWidth="1"/>
    <col min="12478" max="12478" width="8.42578125" bestFit="1" customWidth="1"/>
    <col min="12479" max="12479" width="15.7109375" bestFit="1" customWidth="1"/>
    <col min="12480" max="12480" width="19.28515625" bestFit="1" customWidth="1"/>
    <col min="12481" max="12481" width="28.140625" bestFit="1" customWidth="1"/>
    <col min="12482" max="12482" width="31.28515625" bestFit="1" customWidth="1"/>
    <col min="12483" max="12483" width="26.42578125" customWidth="1"/>
    <col min="12484" max="12484" width="15.28515625" customWidth="1"/>
    <col min="12485" max="12485" width="17.85546875" customWidth="1"/>
    <col min="12486" max="12486" width="36.28515625" bestFit="1" customWidth="1"/>
    <col min="12487" max="12487" width="24.42578125" bestFit="1" customWidth="1"/>
    <col min="12488" max="12488" width="11.42578125" bestFit="1" customWidth="1"/>
    <col min="12489" max="12489" width="10.140625" bestFit="1" customWidth="1"/>
    <col min="12490" max="12490" width="28.7109375" bestFit="1" customWidth="1"/>
    <col min="12491" max="12491" width="28.42578125" bestFit="1" customWidth="1"/>
    <col min="12492" max="12492" width="34.28515625" bestFit="1" customWidth="1"/>
    <col min="12493" max="12493" width="13.7109375" bestFit="1" customWidth="1"/>
    <col min="12494" max="12494" width="22.7109375" bestFit="1" customWidth="1"/>
    <col min="12495" max="12495" width="41.28515625" bestFit="1" customWidth="1"/>
    <col min="12496" max="12496" width="19.85546875" bestFit="1" customWidth="1"/>
    <col min="12497" max="12497" width="24.28515625" bestFit="1" customWidth="1"/>
    <col min="12498" max="12498" width="62.140625" bestFit="1" customWidth="1"/>
    <col min="12499" max="12499" width="23.85546875" bestFit="1" customWidth="1"/>
    <col min="12500" max="12500" width="32.85546875" bestFit="1" customWidth="1"/>
    <col min="12501" max="12501" width="30.42578125" bestFit="1" customWidth="1"/>
    <col min="12502" max="12502" width="12.28515625" bestFit="1" customWidth="1"/>
    <col min="12503" max="12503" width="14.42578125" bestFit="1" customWidth="1"/>
    <col min="12504" max="12504" width="18.85546875" customWidth="1"/>
    <col min="12724" max="12724" width="11" bestFit="1" customWidth="1"/>
    <col min="12725" max="12725" width="18.42578125" bestFit="1" customWidth="1"/>
    <col min="12726" max="12726" width="22.28515625" bestFit="1" customWidth="1"/>
    <col min="12727" max="12727" width="52.7109375" bestFit="1" customWidth="1"/>
    <col min="12728" max="12728" width="11.42578125" bestFit="1" customWidth="1"/>
    <col min="12729" max="12729" width="20.140625" bestFit="1" customWidth="1"/>
    <col min="12730" max="12730" width="25.85546875" bestFit="1" customWidth="1"/>
    <col min="12731" max="12731" width="23.85546875" bestFit="1" customWidth="1"/>
    <col min="12732" max="12732" width="22.42578125" customWidth="1"/>
    <col min="12733" max="12733" width="10.85546875" bestFit="1" customWidth="1"/>
    <col min="12734" max="12734" width="8.42578125" bestFit="1" customWidth="1"/>
    <col min="12735" max="12735" width="15.7109375" bestFit="1" customWidth="1"/>
    <col min="12736" max="12736" width="19.28515625" bestFit="1" customWidth="1"/>
    <col min="12737" max="12737" width="28.140625" bestFit="1" customWidth="1"/>
    <col min="12738" max="12738" width="31.28515625" bestFit="1" customWidth="1"/>
    <col min="12739" max="12739" width="26.42578125" customWidth="1"/>
    <col min="12740" max="12740" width="15.28515625" customWidth="1"/>
    <col min="12741" max="12741" width="17.85546875" customWidth="1"/>
    <col min="12742" max="12742" width="36.28515625" bestFit="1" customWidth="1"/>
    <col min="12743" max="12743" width="24.42578125" bestFit="1" customWidth="1"/>
    <col min="12744" max="12744" width="11.42578125" bestFit="1" customWidth="1"/>
    <col min="12745" max="12745" width="10.140625" bestFit="1" customWidth="1"/>
    <col min="12746" max="12746" width="28.7109375" bestFit="1" customWidth="1"/>
    <col min="12747" max="12747" width="28.42578125" bestFit="1" customWidth="1"/>
    <col min="12748" max="12748" width="34.28515625" bestFit="1" customWidth="1"/>
    <col min="12749" max="12749" width="13.7109375" bestFit="1" customWidth="1"/>
    <col min="12750" max="12750" width="22.7109375" bestFit="1" customWidth="1"/>
    <col min="12751" max="12751" width="41.28515625" bestFit="1" customWidth="1"/>
    <col min="12752" max="12752" width="19.85546875" bestFit="1" customWidth="1"/>
    <col min="12753" max="12753" width="24.28515625" bestFit="1" customWidth="1"/>
    <col min="12754" max="12754" width="62.140625" bestFit="1" customWidth="1"/>
    <col min="12755" max="12755" width="23.85546875" bestFit="1" customWidth="1"/>
    <col min="12756" max="12756" width="32.85546875" bestFit="1" customWidth="1"/>
    <col min="12757" max="12757" width="30.42578125" bestFit="1" customWidth="1"/>
    <col min="12758" max="12758" width="12.28515625" bestFit="1" customWidth="1"/>
    <col min="12759" max="12759" width="14.42578125" bestFit="1" customWidth="1"/>
    <col min="12760" max="12760" width="18.85546875" customWidth="1"/>
    <col min="12980" max="12980" width="11" bestFit="1" customWidth="1"/>
    <col min="12981" max="12981" width="18.42578125" bestFit="1" customWidth="1"/>
    <col min="12982" max="12982" width="22.28515625" bestFit="1" customWidth="1"/>
    <col min="12983" max="12983" width="52.7109375" bestFit="1" customWidth="1"/>
    <col min="12984" max="12984" width="11.42578125" bestFit="1" customWidth="1"/>
    <col min="12985" max="12985" width="20.140625" bestFit="1" customWidth="1"/>
    <col min="12986" max="12986" width="25.85546875" bestFit="1" customWidth="1"/>
    <col min="12987" max="12987" width="23.85546875" bestFit="1" customWidth="1"/>
    <col min="12988" max="12988" width="22.42578125" customWidth="1"/>
    <col min="12989" max="12989" width="10.85546875" bestFit="1" customWidth="1"/>
    <col min="12990" max="12990" width="8.42578125" bestFit="1" customWidth="1"/>
    <col min="12991" max="12991" width="15.7109375" bestFit="1" customWidth="1"/>
    <col min="12992" max="12992" width="19.28515625" bestFit="1" customWidth="1"/>
    <col min="12993" max="12993" width="28.140625" bestFit="1" customWidth="1"/>
    <col min="12994" max="12994" width="31.28515625" bestFit="1" customWidth="1"/>
    <col min="12995" max="12995" width="26.42578125" customWidth="1"/>
    <col min="12996" max="12996" width="15.28515625" customWidth="1"/>
    <col min="12997" max="12997" width="17.85546875" customWidth="1"/>
    <col min="12998" max="12998" width="36.28515625" bestFit="1" customWidth="1"/>
    <col min="12999" max="12999" width="24.42578125" bestFit="1" customWidth="1"/>
    <col min="13000" max="13000" width="11.42578125" bestFit="1" customWidth="1"/>
    <col min="13001" max="13001" width="10.140625" bestFit="1" customWidth="1"/>
    <col min="13002" max="13002" width="28.7109375" bestFit="1" customWidth="1"/>
    <col min="13003" max="13003" width="28.42578125" bestFit="1" customWidth="1"/>
    <col min="13004" max="13004" width="34.28515625" bestFit="1" customWidth="1"/>
    <col min="13005" max="13005" width="13.7109375" bestFit="1" customWidth="1"/>
    <col min="13006" max="13006" width="22.7109375" bestFit="1" customWidth="1"/>
    <col min="13007" max="13007" width="41.28515625" bestFit="1" customWidth="1"/>
    <col min="13008" max="13008" width="19.85546875" bestFit="1" customWidth="1"/>
    <col min="13009" max="13009" width="24.28515625" bestFit="1" customWidth="1"/>
    <col min="13010" max="13010" width="62.140625" bestFit="1" customWidth="1"/>
    <col min="13011" max="13011" width="23.85546875" bestFit="1" customWidth="1"/>
    <col min="13012" max="13012" width="32.85546875" bestFit="1" customWidth="1"/>
    <col min="13013" max="13013" width="30.42578125" bestFit="1" customWidth="1"/>
    <col min="13014" max="13014" width="12.28515625" bestFit="1" customWidth="1"/>
    <col min="13015" max="13015" width="14.42578125" bestFit="1" customWidth="1"/>
    <col min="13016" max="13016" width="18.85546875" customWidth="1"/>
    <col min="13236" max="13236" width="11" bestFit="1" customWidth="1"/>
    <col min="13237" max="13237" width="18.42578125" bestFit="1" customWidth="1"/>
    <col min="13238" max="13238" width="22.28515625" bestFit="1" customWidth="1"/>
    <col min="13239" max="13239" width="52.7109375" bestFit="1" customWidth="1"/>
    <col min="13240" max="13240" width="11.42578125" bestFit="1" customWidth="1"/>
    <col min="13241" max="13241" width="20.140625" bestFit="1" customWidth="1"/>
    <col min="13242" max="13242" width="25.85546875" bestFit="1" customWidth="1"/>
    <col min="13243" max="13243" width="23.85546875" bestFit="1" customWidth="1"/>
    <col min="13244" max="13244" width="22.42578125" customWidth="1"/>
    <col min="13245" max="13245" width="10.85546875" bestFit="1" customWidth="1"/>
    <col min="13246" max="13246" width="8.42578125" bestFit="1" customWidth="1"/>
    <col min="13247" max="13247" width="15.7109375" bestFit="1" customWidth="1"/>
    <col min="13248" max="13248" width="19.28515625" bestFit="1" customWidth="1"/>
    <col min="13249" max="13249" width="28.140625" bestFit="1" customWidth="1"/>
    <col min="13250" max="13250" width="31.28515625" bestFit="1" customWidth="1"/>
    <col min="13251" max="13251" width="26.42578125" customWidth="1"/>
    <col min="13252" max="13252" width="15.28515625" customWidth="1"/>
    <col min="13253" max="13253" width="17.85546875" customWidth="1"/>
    <col min="13254" max="13254" width="36.28515625" bestFit="1" customWidth="1"/>
    <col min="13255" max="13255" width="24.42578125" bestFit="1" customWidth="1"/>
    <col min="13256" max="13256" width="11.42578125" bestFit="1" customWidth="1"/>
    <col min="13257" max="13257" width="10.140625" bestFit="1" customWidth="1"/>
    <col min="13258" max="13258" width="28.7109375" bestFit="1" customWidth="1"/>
    <col min="13259" max="13259" width="28.42578125" bestFit="1" customWidth="1"/>
    <col min="13260" max="13260" width="34.28515625" bestFit="1" customWidth="1"/>
    <col min="13261" max="13261" width="13.7109375" bestFit="1" customWidth="1"/>
    <col min="13262" max="13262" width="22.7109375" bestFit="1" customWidth="1"/>
    <col min="13263" max="13263" width="41.28515625" bestFit="1" customWidth="1"/>
    <col min="13264" max="13264" width="19.85546875" bestFit="1" customWidth="1"/>
    <col min="13265" max="13265" width="24.28515625" bestFit="1" customWidth="1"/>
    <col min="13266" max="13266" width="62.140625" bestFit="1" customWidth="1"/>
    <col min="13267" max="13267" width="23.85546875" bestFit="1" customWidth="1"/>
    <col min="13268" max="13268" width="32.85546875" bestFit="1" customWidth="1"/>
    <col min="13269" max="13269" width="30.42578125" bestFit="1" customWidth="1"/>
    <col min="13270" max="13270" width="12.28515625" bestFit="1" customWidth="1"/>
    <col min="13271" max="13271" width="14.42578125" bestFit="1" customWidth="1"/>
    <col min="13272" max="13272" width="18.85546875" customWidth="1"/>
    <col min="13492" max="13492" width="11" bestFit="1" customWidth="1"/>
    <col min="13493" max="13493" width="18.42578125" bestFit="1" customWidth="1"/>
    <col min="13494" max="13494" width="22.28515625" bestFit="1" customWidth="1"/>
    <col min="13495" max="13495" width="52.7109375" bestFit="1" customWidth="1"/>
    <col min="13496" max="13496" width="11.42578125" bestFit="1" customWidth="1"/>
    <col min="13497" max="13497" width="20.140625" bestFit="1" customWidth="1"/>
    <col min="13498" max="13498" width="25.85546875" bestFit="1" customWidth="1"/>
    <col min="13499" max="13499" width="23.85546875" bestFit="1" customWidth="1"/>
    <col min="13500" max="13500" width="22.42578125" customWidth="1"/>
    <col min="13501" max="13501" width="10.85546875" bestFit="1" customWidth="1"/>
    <col min="13502" max="13502" width="8.42578125" bestFit="1" customWidth="1"/>
    <col min="13503" max="13503" width="15.7109375" bestFit="1" customWidth="1"/>
    <col min="13504" max="13504" width="19.28515625" bestFit="1" customWidth="1"/>
    <col min="13505" max="13505" width="28.140625" bestFit="1" customWidth="1"/>
    <col min="13506" max="13506" width="31.28515625" bestFit="1" customWidth="1"/>
    <col min="13507" max="13507" width="26.42578125" customWidth="1"/>
    <col min="13508" max="13508" width="15.28515625" customWidth="1"/>
    <col min="13509" max="13509" width="17.85546875" customWidth="1"/>
    <col min="13510" max="13510" width="36.28515625" bestFit="1" customWidth="1"/>
    <col min="13511" max="13511" width="24.42578125" bestFit="1" customWidth="1"/>
    <col min="13512" max="13512" width="11.42578125" bestFit="1" customWidth="1"/>
    <col min="13513" max="13513" width="10.140625" bestFit="1" customWidth="1"/>
    <col min="13514" max="13514" width="28.7109375" bestFit="1" customWidth="1"/>
    <col min="13515" max="13515" width="28.42578125" bestFit="1" customWidth="1"/>
    <col min="13516" max="13516" width="34.28515625" bestFit="1" customWidth="1"/>
    <col min="13517" max="13517" width="13.7109375" bestFit="1" customWidth="1"/>
    <col min="13518" max="13518" width="22.7109375" bestFit="1" customWidth="1"/>
    <col min="13519" max="13519" width="41.28515625" bestFit="1" customWidth="1"/>
    <col min="13520" max="13520" width="19.85546875" bestFit="1" customWidth="1"/>
    <col min="13521" max="13521" width="24.28515625" bestFit="1" customWidth="1"/>
    <col min="13522" max="13522" width="62.140625" bestFit="1" customWidth="1"/>
    <col min="13523" max="13523" width="23.85546875" bestFit="1" customWidth="1"/>
    <col min="13524" max="13524" width="32.85546875" bestFit="1" customWidth="1"/>
    <col min="13525" max="13525" width="30.42578125" bestFit="1" customWidth="1"/>
    <col min="13526" max="13526" width="12.28515625" bestFit="1" customWidth="1"/>
    <col min="13527" max="13527" width="14.42578125" bestFit="1" customWidth="1"/>
    <col min="13528" max="13528" width="18.85546875" customWidth="1"/>
    <col min="13748" max="13748" width="11" bestFit="1" customWidth="1"/>
    <col min="13749" max="13749" width="18.42578125" bestFit="1" customWidth="1"/>
    <col min="13750" max="13750" width="22.28515625" bestFit="1" customWidth="1"/>
    <col min="13751" max="13751" width="52.7109375" bestFit="1" customWidth="1"/>
    <col min="13752" max="13752" width="11.42578125" bestFit="1" customWidth="1"/>
    <col min="13753" max="13753" width="20.140625" bestFit="1" customWidth="1"/>
    <col min="13754" max="13754" width="25.85546875" bestFit="1" customWidth="1"/>
    <col min="13755" max="13755" width="23.85546875" bestFit="1" customWidth="1"/>
    <col min="13756" max="13756" width="22.42578125" customWidth="1"/>
    <col min="13757" max="13757" width="10.85546875" bestFit="1" customWidth="1"/>
    <col min="13758" max="13758" width="8.42578125" bestFit="1" customWidth="1"/>
    <col min="13759" max="13759" width="15.7109375" bestFit="1" customWidth="1"/>
    <col min="13760" max="13760" width="19.28515625" bestFit="1" customWidth="1"/>
    <col min="13761" max="13761" width="28.140625" bestFit="1" customWidth="1"/>
    <col min="13762" max="13762" width="31.28515625" bestFit="1" customWidth="1"/>
    <col min="13763" max="13763" width="26.42578125" customWidth="1"/>
    <col min="13764" max="13764" width="15.28515625" customWidth="1"/>
    <col min="13765" max="13765" width="17.85546875" customWidth="1"/>
    <col min="13766" max="13766" width="36.28515625" bestFit="1" customWidth="1"/>
    <col min="13767" max="13767" width="24.42578125" bestFit="1" customWidth="1"/>
    <col min="13768" max="13768" width="11.42578125" bestFit="1" customWidth="1"/>
    <col min="13769" max="13769" width="10.140625" bestFit="1" customWidth="1"/>
    <col min="13770" max="13770" width="28.7109375" bestFit="1" customWidth="1"/>
    <col min="13771" max="13771" width="28.42578125" bestFit="1" customWidth="1"/>
    <col min="13772" max="13772" width="34.28515625" bestFit="1" customWidth="1"/>
    <col min="13773" max="13773" width="13.7109375" bestFit="1" customWidth="1"/>
    <col min="13774" max="13774" width="22.7109375" bestFit="1" customWidth="1"/>
    <col min="13775" max="13775" width="41.28515625" bestFit="1" customWidth="1"/>
    <col min="13776" max="13776" width="19.85546875" bestFit="1" customWidth="1"/>
    <col min="13777" max="13777" width="24.28515625" bestFit="1" customWidth="1"/>
    <col min="13778" max="13778" width="62.140625" bestFit="1" customWidth="1"/>
    <col min="13779" max="13779" width="23.85546875" bestFit="1" customWidth="1"/>
    <col min="13780" max="13780" width="32.85546875" bestFit="1" customWidth="1"/>
    <col min="13781" max="13781" width="30.42578125" bestFit="1" customWidth="1"/>
    <col min="13782" max="13782" width="12.28515625" bestFit="1" customWidth="1"/>
    <col min="13783" max="13783" width="14.42578125" bestFit="1" customWidth="1"/>
    <col min="13784" max="13784" width="18.85546875" customWidth="1"/>
    <col min="14004" max="14004" width="11" bestFit="1" customWidth="1"/>
    <col min="14005" max="14005" width="18.42578125" bestFit="1" customWidth="1"/>
    <col min="14006" max="14006" width="22.28515625" bestFit="1" customWidth="1"/>
    <col min="14007" max="14007" width="52.7109375" bestFit="1" customWidth="1"/>
    <col min="14008" max="14008" width="11.42578125" bestFit="1" customWidth="1"/>
    <col min="14009" max="14009" width="20.140625" bestFit="1" customWidth="1"/>
    <col min="14010" max="14010" width="25.85546875" bestFit="1" customWidth="1"/>
    <col min="14011" max="14011" width="23.85546875" bestFit="1" customWidth="1"/>
    <col min="14012" max="14012" width="22.42578125" customWidth="1"/>
    <col min="14013" max="14013" width="10.85546875" bestFit="1" customWidth="1"/>
    <col min="14014" max="14014" width="8.42578125" bestFit="1" customWidth="1"/>
    <col min="14015" max="14015" width="15.7109375" bestFit="1" customWidth="1"/>
    <col min="14016" max="14016" width="19.28515625" bestFit="1" customWidth="1"/>
    <col min="14017" max="14017" width="28.140625" bestFit="1" customWidth="1"/>
    <col min="14018" max="14018" width="31.28515625" bestFit="1" customWidth="1"/>
    <col min="14019" max="14019" width="26.42578125" customWidth="1"/>
    <col min="14020" max="14020" width="15.28515625" customWidth="1"/>
    <col min="14021" max="14021" width="17.85546875" customWidth="1"/>
    <col min="14022" max="14022" width="36.28515625" bestFit="1" customWidth="1"/>
    <col min="14023" max="14023" width="24.42578125" bestFit="1" customWidth="1"/>
    <col min="14024" max="14024" width="11.42578125" bestFit="1" customWidth="1"/>
    <col min="14025" max="14025" width="10.140625" bestFit="1" customWidth="1"/>
    <col min="14026" max="14026" width="28.7109375" bestFit="1" customWidth="1"/>
    <col min="14027" max="14027" width="28.42578125" bestFit="1" customWidth="1"/>
    <col min="14028" max="14028" width="34.28515625" bestFit="1" customWidth="1"/>
    <col min="14029" max="14029" width="13.7109375" bestFit="1" customWidth="1"/>
    <col min="14030" max="14030" width="22.7109375" bestFit="1" customWidth="1"/>
    <col min="14031" max="14031" width="41.28515625" bestFit="1" customWidth="1"/>
    <col min="14032" max="14032" width="19.85546875" bestFit="1" customWidth="1"/>
    <col min="14033" max="14033" width="24.28515625" bestFit="1" customWidth="1"/>
    <col min="14034" max="14034" width="62.140625" bestFit="1" customWidth="1"/>
    <col min="14035" max="14035" width="23.85546875" bestFit="1" customWidth="1"/>
    <col min="14036" max="14036" width="32.85546875" bestFit="1" customWidth="1"/>
    <col min="14037" max="14037" width="30.42578125" bestFit="1" customWidth="1"/>
    <col min="14038" max="14038" width="12.28515625" bestFit="1" customWidth="1"/>
    <col min="14039" max="14039" width="14.42578125" bestFit="1" customWidth="1"/>
    <col min="14040" max="14040" width="18.85546875" customWidth="1"/>
    <col min="14260" max="14260" width="11" bestFit="1" customWidth="1"/>
    <col min="14261" max="14261" width="18.42578125" bestFit="1" customWidth="1"/>
    <col min="14262" max="14262" width="22.28515625" bestFit="1" customWidth="1"/>
    <col min="14263" max="14263" width="52.7109375" bestFit="1" customWidth="1"/>
    <col min="14264" max="14264" width="11.42578125" bestFit="1" customWidth="1"/>
    <col min="14265" max="14265" width="20.140625" bestFit="1" customWidth="1"/>
    <col min="14266" max="14266" width="25.85546875" bestFit="1" customWidth="1"/>
    <col min="14267" max="14267" width="23.85546875" bestFit="1" customWidth="1"/>
    <col min="14268" max="14268" width="22.42578125" customWidth="1"/>
    <col min="14269" max="14269" width="10.85546875" bestFit="1" customWidth="1"/>
    <col min="14270" max="14270" width="8.42578125" bestFit="1" customWidth="1"/>
    <col min="14271" max="14271" width="15.7109375" bestFit="1" customWidth="1"/>
    <col min="14272" max="14272" width="19.28515625" bestFit="1" customWidth="1"/>
    <col min="14273" max="14273" width="28.140625" bestFit="1" customWidth="1"/>
    <col min="14274" max="14274" width="31.28515625" bestFit="1" customWidth="1"/>
    <col min="14275" max="14275" width="26.42578125" customWidth="1"/>
    <col min="14276" max="14276" width="15.28515625" customWidth="1"/>
    <col min="14277" max="14277" width="17.85546875" customWidth="1"/>
    <col min="14278" max="14278" width="36.28515625" bestFit="1" customWidth="1"/>
    <col min="14279" max="14279" width="24.42578125" bestFit="1" customWidth="1"/>
    <col min="14280" max="14280" width="11.42578125" bestFit="1" customWidth="1"/>
    <col min="14281" max="14281" width="10.140625" bestFit="1" customWidth="1"/>
    <col min="14282" max="14282" width="28.7109375" bestFit="1" customWidth="1"/>
    <col min="14283" max="14283" width="28.42578125" bestFit="1" customWidth="1"/>
    <col min="14284" max="14284" width="34.28515625" bestFit="1" customWidth="1"/>
    <col min="14285" max="14285" width="13.7109375" bestFit="1" customWidth="1"/>
    <col min="14286" max="14286" width="22.7109375" bestFit="1" customWidth="1"/>
    <col min="14287" max="14287" width="41.28515625" bestFit="1" customWidth="1"/>
    <col min="14288" max="14288" width="19.85546875" bestFit="1" customWidth="1"/>
    <col min="14289" max="14289" width="24.28515625" bestFit="1" customWidth="1"/>
    <col min="14290" max="14290" width="62.140625" bestFit="1" customWidth="1"/>
    <col min="14291" max="14291" width="23.85546875" bestFit="1" customWidth="1"/>
    <col min="14292" max="14292" width="32.85546875" bestFit="1" customWidth="1"/>
    <col min="14293" max="14293" width="30.42578125" bestFit="1" customWidth="1"/>
    <col min="14294" max="14294" width="12.28515625" bestFit="1" customWidth="1"/>
    <col min="14295" max="14295" width="14.42578125" bestFit="1" customWidth="1"/>
    <col min="14296" max="14296" width="18.85546875" customWidth="1"/>
    <col min="14516" max="14516" width="11" bestFit="1" customWidth="1"/>
    <col min="14517" max="14517" width="18.42578125" bestFit="1" customWidth="1"/>
    <col min="14518" max="14518" width="22.28515625" bestFit="1" customWidth="1"/>
    <col min="14519" max="14519" width="52.7109375" bestFit="1" customWidth="1"/>
    <col min="14520" max="14520" width="11.42578125" bestFit="1" customWidth="1"/>
    <col min="14521" max="14521" width="20.140625" bestFit="1" customWidth="1"/>
    <col min="14522" max="14522" width="25.85546875" bestFit="1" customWidth="1"/>
    <col min="14523" max="14523" width="23.85546875" bestFit="1" customWidth="1"/>
    <col min="14524" max="14524" width="22.42578125" customWidth="1"/>
    <col min="14525" max="14525" width="10.85546875" bestFit="1" customWidth="1"/>
    <col min="14526" max="14526" width="8.42578125" bestFit="1" customWidth="1"/>
    <col min="14527" max="14527" width="15.7109375" bestFit="1" customWidth="1"/>
    <col min="14528" max="14528" width="19.28515625" bestFit="1" customWidth="1"/>
    <col min="14529" max="14529" width="28.140625" bestFit="1" customWidth="1"/>
    <col min="14530" max="14530" width="31.28515625" bestFit="1" customWidth="1"/>
    <col min="14531" max="14531" width="26.42578125" customWidth="1"/>
    <col min="14532" max="14532" width="15.28515625" customWidth="1"/>
    <col min="14533" max="14533" width="17.85546875" customWidth="1"/>
    <col min="14534" max="14534" width="36.28515625" bestFit="1" customWidth="1"/>
    <col min="14535" max="14535" width="24.42578125" bestFit="1" customWidth="1"/>
    <col min="14536" max="14536" width="11.42578125" bestFit="1" customWidth="1"/>
    <col min="14537" max="14537" width="10.140625" bestFit="1" customWidth="1"/>
    <col min="14538" max="14538" width="28.7109375" bestFit="1" customWidth="1"/>
    <col min="14539" max="14539" width="28.42578125" bestFit="1" customWidth="1"/>
    <col min="14540" max="14540" width="34.28515625" bestFit="1" customWidth="1"/>
    <col min="14541" max="14541" width="13.7109375" bestFit="1" customWidth="1"/>
    <col min="14542" max="14542" width="22.7109375" bestFit="1" customWidth="1"/>
    <col min="14543" max="14543" width="41.28515625" bestFit="1" customWidth="1"/>
    <col min="14544" max="14544" width="19.85546875" bestFit="1" customWidth="1"/>
    <col min="14545" max="14545" width="24.28515625" bestFit="1" customWidth="1"/>
    <col min="14546" max="14546" width="62.140625" bestFit="1" customWidth="1"/>
    <col min="14547" max="14547" width="23.85546875" bestFit="1" customWidth="1"/>
    <col min="14548" max="14548" width="32.85546875" bestFit="1" customWidth="1"/>
    <col min="14549" max="14549" width="30.42578125" bestFit="1" customWidth="1"/>
    <col min="14550" max="14550" width="12.28515625" bestFit="1" customWidth="1"/>
    <col min="14551" max="14551" width="14.42578125" bestFit="1" customWidth="1"/>
    <col min="14552" max="14552" width="18.85546875" customWidth="1"/>
    <col min="14772" max="14772" width="11" bestFit="1" customWidth="1"/>
    <col min="14773" max="14773" width="18.42578125" bestFit="1" customWidth="1"/>
    <col min="14774" max="14774" width="22.28515625" bestFit="1" customWidth="1"/>
    <col min="14775" max="14775" width="52.7109375" bestFit="1" customWidth="1"/>
    <col min="14776" max="14776" width="11.42578125" bestFit="1" customWidth="1"/>
    <col min="14777" max="14777" width="20.140625" bestFit="1" customWidth="1"/>
    <col min="14778" max="14778" width="25.85546875" bestFit="1" customWidth="1"/>
    <col min="14779" max="14779" width="23.85546875" bestFit="1" customWidth="1"/>
    <col min="14780" max="14780" width="22.42578125" customWidth="1"/>
    <col min="14781" max="14781" width="10.85546875" bestFit="1" customWidth="1"/>
    <col min="14782" max="14782" width="8.42578125" bestFit="1" customWidth="1"/>
    <col min="14783" max="14783" width="15.7109375" bestFit="1" customWidth="1"/>
    <col min="14784" max="14784" width="19.28515625" bestFit="1" customWidth="1"/>
    <col min="14785" max="14785" width="28.140625" bestFit="1" customWidth="1"/>
    <col min="14786" max="14786" width="31.28515625" bestFit="1" customWidth="1"/>
    <col min="14787" max="14787" width="26.42578125" customWidth="1"/>
    <col min="14788" max="14788" width="15.28515625" customWidth="1"/>
    <col min="14789" max="14789" width="17.85546875" customWidth="1"/>
    <col min="14790" max="14790" width="36.28515625" bestFit="1" customWidth="1"/>
    <col min="14791" max="14791" width="24.42578125" bestFit="1" customWidth="1"/>
    <col min="14792" max="14792" width="11.42578125" bestFit="1" customWidth="1"/>
    <col min="14793" max="14793" width="10.140625" bestFit="1" customWidth="1"/>
    <col min="14794" max="14794" width="28.7109375" bestFit="1" customWidth="1"/>
    <col min="14795" max="14795" width="28.42578125" bestFit="1" customWidth="1"/>
    <col min="14796" max="14796" width="34.28515625" bestFit="1" customWidth="1"/>
    <col min="14797" max="14797" width="13.7109375" bestFit="1" customWidth="1"/>
    <col min="14798" max="14798" width="22.7109375" bestFit="1" customWidth="1"/>
    <col min="14799" max="14799" width="41.28515625" bestFit="1" customWidth="1"/>
    <col min="14800" max="14800" width="19.85546875" bestFit="1" customWidth="1"/>
    <col min="14801" max="14801" width="24.28515625" bestFit="1" customWidth="1"/>
    <col min="14802" max="14802" width="62.140625" bestFit="1" customWidth="1"/>
    <col min="14803" max="14803" width="23.85546875" bestFit="1" customWidth="1"/>
    <col min="14804" max="14804" width="32.85546875" bestFit="1" customWidth="1"/>
    <col min="14805" max="14805" width="30.42578125" bestFit="1" customWidth="1"/>
    <col min="14806" max="14806" width="12.28515625" bestFit="1" customWidth="1"/>
    <col min="14807" max="14807" width="14.42578125" bestFit="1" customWidth="1"/>
    <col min="14808" max="14808" width="18.85546875" customWidth="1"/>
    <col min="15028" max="15028" width="11" bestFit="1" customWidth="1"/>
    <col min="15029" max="15029" width="18.42578125" bestFit="1" customWidth="1"/>
    <col min="15030" max="15030" width="22.28515625" bestFit="1" customWidth="1"/>
    <col min="15031" max="15031" width="52.7109375" bestFit="1" customWidth="1"/>
    <col min="15032" max="15032" width="11.42578125" bestFit="1" customWidth="1"/>
    <col min="15033" max="15033" width="20.140625" bestFit="1" customWidth="1"/>
    <col min="15034" max="15034" width="25.85546875" bestFit="1" customWidth="1"/>
    <col min="15035" max="15035" width="23.85546875" bestFit="1" customWidth="1"/>
    <col min="15036" max="15036" width="22.42578125" customWidth="1"/>
    <col min="15037" max="15037" width="10.85546875" bestFit="1" customWidth="1"/>
    <col min="15038" max="15038" width="8.42578125" bestFit="1" customWidth="1"/>
    <col min="15039" max="15039" width="15.7109375" bestFit="1" customWidth="1"/>
    <col min="15040" max="15040" width="19.28515625" bestFit="1" customWidth="1"/>
    <col min="15041" max="15041" width="28.140625" bestFit="1" customWidth="1"/>
    <col min="15042" max="15042" width="31.28515625" bestFit="1" customWidth="1"/>
    <col min="15043" max="15043" width="26.42578125" customWidth="1"/>
    <col min="15044" max="15044" width="15.28515625" customWidth="1"/>
    <col min="15045" max="15045" width="17.85546875" customWidth="1"/>
    <col min="15046" max="15046" width="36.28515625" bestFit="1" customWidth="1"/>
    <col min="15047" max="15047" width="24.42578125" bestFit="1" customWidth="1"/>
    <col min="15048" max="15048" width="11.42578125" bestFit="1" customWidth="1"/>
    <col min="15049" max="15049" width="10.140625" bestFit="1" customWidth="1"/>
    <col min="15050" max="15050" width="28.7109375" bestFit="1" customWidth="1"/>
    <col min="15051" max="15051" width="28.42578125" bestFit="1" customWidth="1"/>
    <col min="15052" max="15052" width="34.28515625" bestFit="1" customWidth="1"/>
    <col min="15053" max="15053" width="13.7109375" bestFit="1" customWidth="1"/>
    <col min="15054" max="15054" width="22.7109375" bestFit="1" customWidth="1"/>
    <col min="15055" max="15055" width="41.28515625" bestFit="1" customWidth="1"/>
    <col min="15056" max="15056" width="19.85546875" bestFit="1" customWidth="1"/>
    <col min="15057" max="15057" width="24.28515625" bestFit="1" customWidth="1"/>
    <col min="15058" max="15058" width="62.140625" bestFit="1" customWidth="1"/>
    <col min="15059" max="15059" width="23.85546875" bestFit="1" customWidth="1"/>
    <col min="15060" max="15060" width="32.85546875" bestFit="1" customWidth="1"/>
    <col min="15061" max="15061" width="30.42578125" bestFit="1" customWidth="1"/>
    <col min="15062" max="15062" width="12.28515625" bestFit="1" customWidth="1"/>
    <col min="15063" max="15063" width="14.42578125" bestFit="1" customWidth="1"/>
    <col min="15064" max="15064" width="18.85546875" customWidth="1"/>
    <col min="15284" max="15284" width="11" bestFit="1" customWidth="1"/>
    <col min="15285" max="15285" width="18.42578125" bestFit="1" customWidth="1"/>
    <col min="15286" max="15286" width="22.28515625" bestFit="1" customWidth="1"/>
    <col min="15287" max="15287" width="52.7109375" bestFit="1" customWidth="1"/>
    <col min="15288" max="15288" width="11.42578125" bestFit="1" customWidth="1"/>
    <col min="15289" max="15289" width="20.140625" bestFit="1" customWidth="1"/>
    <col min="15290" max="15290" width="25.85546875" bestFit="1" customWidth="1"/>
    <col min="15291" max="15291" width="23.85546875" bestFit="1" customWidth="1"/>
    <col min="15292" max="15292" width="22.42578125" customWidth="1"/>
    <col min="15293" max="15293" width="10.85546875" bestFit="1" customWidth="1"/>
    <col min="15294" max="15294" width="8.42578125" bestFit="1" customWidth="1"/>
    <col min="15295" max="15295" width="15.7109375" bestFit="1" customWidth="1"/>
    <col min="15296" max="15296" width="19.28515625" bestFit="1" customWidth="1"/>
    <col min="15297" max="15297" width="28.140625" bestFit="1" customWidth="1"/>
    <col min="15298" max="15298" width="31.28515625" bestFit="1" customWidth="1"/>
    <col min="15299" max="15299" width="26.42578125" customWidth="1"/>
    <col min="15300" max="15300" width="15.28515625" customWidth="1"/>
    <col min="15301" max="15301" width="17.85546875" customWidth="1"/>
    <col min="15302" max="15302" width="36.28515625" bestFit="1" customWidth="1"/>
    <col min="15303" max="15303" width="24.42578125" bestFit="1" customWidth="1"/>
    <col min="15304" max="15304" width="11.42578125" bestFit="1" customWidth="1"/>
    <col min="15305" max="15305" width="10.140625" bestFit="1" customWidth="1"/>
    <col min="15306" max="15306" width="28.7109375" bestFit="1" customWidth="1"/>
    <col min="15307" max="15307" width="28.42578125" bestFit="1" customWidth="1"/>
    <col min="15308" max="15308" width="34.28515625" bestFit="1" customWidth="1"/>
    <col min="15309" max="15309" width="13.7109375" bestFit="1" customWidth="1"/>
    <col min="15310" max="15310" width="22.7109375" bestFit="1" customWidth="1"/>
    <col min="15311" max="15311" width="41.28515625" bestFit="1" customWidth="1"/>
    <col min="15312" max="15312" width="19.85546875" bestFit="1" customWidth="1"/>
    <col min="15313" max="15313" width="24.28515625" bestFit="1" customWidth="1"/>
    <col min="15314" max="15314" width="62.140625" bestFit="1" customWidth="1"/>
    <col min="15315" max="15315" width="23.85546875" bestFit="1" customWidth="1"/>
    <col min="15316" max="15316" width="32.85546875" bestFit="1" customWidth="1"/>
    <col min="15317" max="15317" width="30.42578125" bestFit="1" customWidth="1"/>
    <col min="15318" max="15318" width="12.28515625" bestFit="1" customWidth="1"/>
    <col min="15319" max="15319" width="14.42578125" bestFit="1" customWidth="1"/>
    <col min="15320" max="15320" width="18.85546875" customWidth="1"/>
    <col min="15540" max="15540" width="11" bestFit="1" customWidth="1"/>
    <col min="15541" max="15541" width="18.42578125" bestFit="1" customWidth="1"/>
    <col min="15542" max="15542" width="22.28515625" bestFit="1" customWidth="1"/>
    <col min="15543" max="15543" width="52.7109375" bestFit="1" customWidth="1"/>
    <col min="15544" max="15544" width="11.42578125" bestFit="1" customWidth="1"/>
    <col min="15545" max="15545" width="20.140625" bestFit="1" customWidth="1"/>
    <col min="15546" max="15546" width="25.85546875" bestFit="1" customWidth="1"/>
    <col min="15547" max="15547" width="23.85546875" bestFit="1" customWidth="1"/>
    <col min="15548" max="15548" width="22.42578125" customWidth="1"/>
    <col min="15549" max="15549" width="10.85546875" bestFit="1" customWidth="1"/>
    <col min="15550" max="15550" width="8.42578125" bestFit="1" customWidth="1"/>
    <col min="15551" max="15551" width="15.7109375" bestFit="1" customWidth="1"/>
    <col min="15552" max="15552" width="19.28515625" bestFit="1" customWidth="1"/>
    <col min="15553" max="15553" width="28.140625" bestFit="1" customWidth="1"/>
    <col min="15554" max="15554" width="31.28515625" bestFit="1" customWidth="1"/>
    <col min="15555" max="15555" width="26.42578125" customWidth="1"/>
    <col min="15556" max="15556" width="15.28515625" customWidth="1"/>
    <col min="15557" max="15557" width="17.85546875" customWidth="1"/>
    <col min="15558" max="15558" width="36.28515625" bestFit="1" customWidth="1"/>
    <col min="15559" max="15559" width="24.42578125" bestFit="1" customWidth="1"/>
    <col min="15560" max="15560" width="11.42578125" bestFit="1" customWidth="1"/>
    <col min="15561" max="15561" width="10.140625" bestFit="1" customWidth="1"/>
    <col min="15562" max="15562" width="28.7109375" bestFit="1" customWidth="1"/>
    <col min="15563" max="15563" width="28.42578125" bestFit="1" customWidth="1"/>
    <col min="15564" max="15564" width="34.28515625" bestFit="1" customWidth="1"/>
    <col min="15565" max="15565" width="13.7109375" bestFit="1" customWidth="1"/>
    <col min="15566" max="15566" width="22.7109375" bestFit="1" customWidth="1"/>
    <col min="15567" max="15567" width="41.28515625" bestFit="1" customWidth="1"/>
    <col min="15568" max="15568" width="19.85546875" bestFit="1" customWidth="1"/>
    <col min="15569" max="15569" width="24.28515625" bestFit="1" customWidth="1"/>
    <col min="15570" max="15570" width="62.140625" bestFit="1" customWidth="1"/>
    <col min="15571" max="15571" width="23.85546875" bestFit="1" customWidth="1"/>
    <col min="15572" max="15572" width="32.85546875" bestFit="1" customWidth="1"/>
    <col min="15573" max="15573" width="30.42578125" bestFit="1" customWidth="1"/>
    <col min="15574" max="15574" width="12.28515625" bestFit="1" customWidth="1"/>
    <col min="15575" max="15575" width="14.42578125" bestFit="1" customWidth="1"/>
    <col min="15576" max="15576" width="18.85546875" customWidth="1"/>
    <col min="15796" max="15796" width="11" bestFit="1" customWidth="1"/>
    <col min="15797" max="15797" width="18.42578125" bestFit="1" customWidth="1"/>
    <col min="15798" max="15798" width="22.28515625" bestFit="1" customWidth="1"/>
    <col min="15799" max="15799" width="52.7109375" bestFit="1" customWidth="1"/>
    <col min="15800" max="15800" width="11.42578125" bestFit="1" customWidth="1"/>
    <col min="15801" max="15801" width="20.140625" bestFit="1" customWidth="1"/>
    <col min="15802" max="15802" width="25.85546875" bestFit="1" customWidth="1"/>
    <col min="15803" max="15803" width="23.85546875" bestFit="1" customWidth="1"/>
    <col min="15804" max="15804" width="22.42578125" customWidth="1"/>
    <col min="15805" max="15805" width="10.85546875" bestFit="1" customWidth="1"/>
    <col min="15806" max="15806" width="8.42578125" bestFit="1" customWidth="1"/>
    <col min="15807" max="15807" width="15.7109375" bestFit="1" customWidth="1"/>
    <col min="15808" max="15808" width="19.28515625" bestFit="1" customWidth="1"/>
    <col min="15809" max="15809" width="28.140625" bestFit="1" customWidth="1"/>
    <col min="15810" max="15810" width="31.28515625" bestFit="1" customWidth="1"/>
    <col min="15811" max="15811" width="26.42578125" customWidth="1"/>
    <col min="15812" max="15812" width="15.28515625" customWidth="1"/>
    <col min="15813" max="15813" width="17.85546875" customWidth="1"/>
    <col min="15814" max="15814" width="36.28515625" bestFit="1" customWidth="1"/>
    <col min="15815" max="15815" width="24.42578125" bestFit="1" customWidth="1"/>
    <col min="15816" max="15816" width="11.42578125" bestFit="1" customWidth="1"/>
    <col min="15817" max="15817" width="10.140625" bestFit="1" customWidth="1"/>
    <col min="15818" max="15818" width="28.7109375" bestFit="1" customWidth="1"/>
    <col min="15819" max="15819" width="28.42578125" bestFit="1" customWidth="1"/>
    <col min="15820" max="15820" width="34.28515625" bestFit="1" customWidth="1"/>
    <col min="15821" max="15821" width="13.7109375" bestFit="1" customWidth="1"/>
    <col min="15822" max="15822" width="22.7109375" bestFit="1" customWidth="1"/>
    <col min="15823" max="15823" width="41.28515625" bestFit="1" customWidth="1"/>
    <col min="15824" max="15824" width="19.85546875" bestFit="1" customWidth="1"/>
    <col min="15825" max="15825" width="24.28515625" bestFit="1" customWidth="1"/>
    <col min="15826" max="15826" width="62.140625" bestFit="1" customWidth="1"/>
    <col min="15827" max="15827" width="23.85546875" bestFit="1" customWidth="1"/>
    <col min="15828" max="15828" width="32.85546875" bestFit="1" customWidth="1"/>
    <col min="15829" max="15829" width="30.42578125" bestFit="1" customWidth="1"/>
    <col min="15830" max="15830" width="12.28515625" bestFit="1" customWidth="1"/>
    <col min="15831" max="15831" width="14.42578125" bestFit="1" customWidth="1"/>
    <col min="15832" max="15832" width="18.85546875" customWidth="1"/>
    <col min="16052" max="16052" width="11" bestFit="1" customWidth="1"/>
    <col min="16053" max="16053" width="18.42578125" bestFit="1" customWidth="1"/>
    <col min="16054" max="16054" width="22.28515625" bestFit="1" customWidth="1"/>
    <col min="16055" max="16055" width="52.7109375" bestFit="1" customWidth="1"/>
    <col min="16056" max="16056" width="11.42578125" bestFit="1" customWidth="1"/>
    <col min="16057" max="16057" width="20.140625" bestFit="1" customWidth="1"/>
    <col min="16058" max="16058" width="25.85546875" bestFit="1" customWidth="1"/>
    <col min="16059" max="16059" width="23.85546875" bestFit="1" customWidth="1"/>
    <col min="16060" max="16060" width="22.42578125" customWidth="1"/>
    <col min="16061" max="16061" width="10.85546875" bestFit="1" customWidth="1"/>
    <col min="16062" max="16062" width="8.42578125" bestFit="1" customWidth="1"/>
    <col min="16063" max="16063" width="15.7109375" bestFit="1" customWidth="1"/>
    <col min="16064" max="16064" width="19.28515625" bestFit="1" customWidth="1"/>
    <col min="16065" max="16065" width="28.140625" bestFit="1" customWidth="1"/>
    <col min="16066" max="16066" width="31.28515625" bestFit="1" customWidth="1"/>
    <col min="16067" max="16067" width="26.42578125" customWidth="1"/>
    <col min="16068" max="16068" width="15.28515625" customWidth="1"/>
    <col min="16069" max="16069" width="17.85546875" customWidth="1"/>
    <col min="16070" max="16070" width="36.28515625" bestFit="1" customWidth="1"/>
    <col min="16071" max="16071" width="24.42578125" bestFit="1" customWidth="1"/>
    <col min="16072" max="16072" width="11.42578125" bestFit="1" customWidth="1"/>
    <col min="16073" max="16073" width="10.140625" bestFit="1" customWidth="1"/>
    <col min="16074" max="16074" width="28.7109375" bestFit="1" customWidth="1"/>
    <col min="16075" max="16075" width="28.42578125" bestFit="1" customWidth="1"/>
    <col min="16076" max="16076" width="34.28515625" bestFit="1" customWidth="1"/>
    <col min="16077" max="16077" width="13.7109375" bestFit="1" customWidth="1"/>
    <col min="16078" max="16078" width="22.7109375" bestFit="1" customWidth="1"/>
    <col min="16079" max="16079" width="41.28515625" bestFit="1" customWidth="1"/>
    <col min="16080" max="16080" width="19.85546875" bestFit="1" customWidth="1"/>
    <col min="16081" max="16081" width="24.28515625" bestFit="1" customWidth="1"/>
    <col min="16082" max="16082" width="62.140625" bestFit="1" customWidth="1"/>
    <col min="16083" max="16083" width="23.85546875" bestFit="1" customWidth="1"/>
    <col min="16084" max="16084" width="32.85546875" bestFit="1" customWidth="1"/>
    <col min="16085" max="16085" width="30.42578125" bestFit="1" customWidth="1"/>
    <col min="16086" max="16086" width="12.28515625" bestFit="1" customWidth="1"/>
    <col min="16087" max="16087" width="14.42578125" bestFit="1" customWidth="1"/>
    <col min="16088" max="16088" width="18.85546875" customWidth="1"/>
  </cols>
  <sheetData>
    <row r="1" spans="1:52" ht="16.149999999999999" thickBot="1">
      <c r="A1" s="177" t="s">
        <v>609</v>
      </c>
      <c r="B1" s="178"/>
      <c r="C1" s="42" t="s">
        <v>710</v>
      </c>
      <c r="D1" s="42"/>
      <c r="E1" s="42"/>
      <c r="F1" s="42"/>
      <c r="G1" s="42"/>
      <c r="H1" s="42"/>
      <c r="I1" s="42"/>
      <c r="J1" s="42"/>
      <c r="K1" s="41"/>
      <c r="L1" s="41"/>
      <c r="M1" s="39"/>
    </row>
    <row r="2" spans="1:52" ht="17.25" thickBot="1">
      <c r="A2" s="3"/>
      <c r="B2" s="54" t="s">
        <v>615</v>
      </c>
      <c r="C2" s="54"/>
      <c r="D2" s="54"/>
      <c r="E2" s="54"/>
      <c r="F2" s="54"/>
      <c r="G2" s="54"/>
      <c r="H2" s="54"/>
      <c r="I2" s="54"/>
      <c r="J2" s="54"/>
      <c r="K2" s="58"/>
      <c r="L2" s="58"/>
      <c r="M2" s="52"/>
    </row>
    <row r="3" spans="1:52" ht="16.149999999999999" thickBot="1">
      <c r="A3" s="59" t="s">
        <v>616</v>
      </c>
      <c r="B3" s="179"/>
      <c r="C3" s="180" t="s">
        <v>711</v>
      </c>
      <c r="D3" s="181" t="s">
        <v>712</v>
      </c>
      <c r="E3" s="182" t="s">
        <v>183</v>
      </c>
      <c r="F3" s="66" t="s">
        <v>713</v>
      </c>
      <c r="G3" s="183" t="s">
        <v>27</v>
      </c>
      <c r="H3" s="184" t="s">
        <v>635</v>
      </c>
      <c r="I3" s="185" t="s">
        <v>714</v>
      </c>
      <c r="J3" s="186" t="s">
        <v>715</v>
      </c>
      <c r="K3" s="73" t="s">
        <v>641</v>
      </c>
      <c r="L3" s="69" t="s">
        <v>628</v>
      </c>
      <c r="M3" s="70" t="s">
        <v>628</v>
      </c>
    </row>
    <row r="4" spans="1:52" ht="15.75" thickBot="1">
      <c r="A4" s="266" t="s">
        <v>642</v>
      </c>
      <c r="B4" s="267"/>
      <c r="C4" s="74"/>
      <c r="D4" s="74"/>
      <c r="E4" s="74"/>
      <c r="F4" s="74"/>
      <c r="G4" s="74"/>
      <c r="H4" s="74"/>
      <c r="I4" s="74"/>
      <c r="J4" s="74"/>
      <c r="K4" s="76"/>
      <c r="L4" s="77"/>
    </row>
    <row r="5" spans="1:52" ht="15.75" thickBot="1">
      <c r="A5" s="268" t="s">
        <v>643</v>
      </c>
      <c r="B5" s="269"/>
      <c r="C5" s="74"/>
      <c r="D5" s="74"/>
      <c r="E5" s="74"/>
      <c r="F5" s="74"/>
      <c r="G5" s="74"/>
      <c r="H5" s="74"/>
      <c r="I5" s="74"/>
      <c r="J5" s="74"/>
      <c r="K5" s="76"/>
      <c r="L5" s="77"/>
    </row>
    <row r="6" spans="1:52" ht="15.75">
      <c r="A6" s="3"/>
      <c r="B6" s="78" t="s">
        <v>644</v>
      </c>
      <c r="L6" s="77"/>
    </row>
    <row r="7" spans="1:52" ht="15.75">
      <c r="A7" s="187" t="s">
        <v>716</v>
      </c>
      <c r="B7" s="188" t="s">
        <v>645</v>
      </c>
      <c r="C7" s="189"/>
      <c r="D7" s="189"/>
      <c r="E7" s="189"/>
      <c r="F7" s="189"/>
      <c r="G7" s="189"/>
      <c r="H7" s="189"/>
      <c r="I7" s="189"/>
      <c r="J7" s="189"/>
      <c r="K7" s="189">
        <f>SUM(C7:J7)</f>
        <v>0</v>
      </c>
      <c r="L7" s="190" t="str">
        <f t="shared" ref="L7:L70" si="0">IF(K7=M7,"ok","check")</f>
        <v>ok</v>
      </c>
      <c r="M7" s="189">
        <f>0</f>
        <v>0</v>
      </c>
    </row>
    <row r="8" spans="1:52" ht="15.75">
      <c r="A8" s="3"/>
      <c r="B8" s="8" t="s">
        <v>646</v>
      </c>
      <c r="C8" s="9"/>
      <c r="D8" s="9"/>
      <c r="E8" s="9"/>
      <c r="F8" s="9"/>
      <c r="G8" s="9"/>
      <c r="H8" s="9"/>
      <c r="I8" s="9"/>
      <c r="J8" s="9"/>
      <c r="K8" s="9">
        <f t="shared" ref="K8:K73" si="1">SUM(C8:J8)</f>
        <v>0</v>
      </c>
      <c r="L8" s="190" t="str">
        <f t="shared" si="0"/>
        <v>ok</v>
      </c>
      <c r="M8" s="9"/>
    </row>
    <row r="9" spans="1:52" s="194" customFormat="1" ht="15.75">
      <c r="A9" s="191"/>
      <c r="B9" s="192" t="s">
        <v>647</v>
      </c>
      <c r="C9" s="193">
        <f>Ascension!I21</f>
        <v>-250905</v>
      </c>
      <c r="D9" s="193">
        <f>Ascension!I20</f>
        <v>-1694248</v>
      </c>
      <c r="E9" s="193"/>
      <c r="F9" s="193">
        <f>Ascension!I22</f>
        <v>-2261537</v>
      </c>
      <c r="G9" s="193"/>
      <c r="H9" s="193"/>
      <c r="I9" s="193"/>
      <c r="J9" s="193"/>
      <c r="K9" s="193">
        <f>SUM(C9:J9)</f>
        <v>-4206690</v>
      </c>
      <c r="L9" s="190" t="str">
        <f t="shared" si="0"/>
        <v>ok</v>
      </c>
      <c r="M9" s="193">
        <f>Ascension!I24</f>
        <v>-4206690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</row>
    <row r="10" spans="1:52" ht="15.75">
      <c r="A10" s="3"/>
      <c r="B10" s="8" t="s">
        <v>648</v>
      </c>
      <c r="C10" s="9"/>
      <c r="D10" s="9"/>
      <c r="E10" s="9"/>
      <c r="F10" s="9"/>
      <c r="G10" s="9"/>
      <c r="H10" s="9"/>
      <c r="I10" s="9"/>
      <c r="J10" s="9"/>
      <c r="K10" s="9">
        <f t="shared" si="1"/>
        <v>0</v>
      </c>
      <c r="L10" s="190" t="str">
        <f t="shared" si="0"/>
        <v>ok</v>
      </c>
      <c r="M10" s="9"/>
    </row>
    <row r="11" spans="1:52" ht="15.75">
      <c r="A11" s="195"/>
      <c r="B11" s="188" t="s">
        <v>649</v>
      </c>
      <c r="C11" s="189"/>
      <c r="D11" s="189"/>
      <c r="E11" s="189"/>
      <c r="F11" s="189"/>
      <c r="G11" s="189"/>
      <c r="H11" s="189"/>
      <c r="I11" s="189"/>
      <c r="J11" s="189"/>
      <c r="K11" s="189">
        <f t="shared" si="1"/>
        <v>0</v>
      </c>
      <c r="L11" s="190" t="str">
        <f t="shared" si="0"/>
        <v>ok</v>
      </c>
      <c r="M11" s="189"/>
    </row>
    <row r="12" spans="1:52" ht="15.75">
      <c r="A12" s="3"/>
      <c r="B12" s="8" t="s">
        <v>650</v>
      </c>
      <c r="C12" s="9"/>
      <c r="D12" s="9"/>
      <c r="E12" s="9"/>
      <c r="F12" s="9"/>
      <c r="G12" s="9"/>
      <c r="H12" s="9"/>
      <c r="I12" s="9"/>
      <c r="J12" s="9"/>
      <c r="K12" s="9">
        <f t="shared" si="1"/>
        <v>0</v>
      </c>
      <c r="L12" s="190" t="str">
        <f t="shared" si="0"/>
        <v>ok</v>
      </c>
      <c r="M12" s="9"/>
    </row>
    <row r="13" spans="1:52" s="194" customFormat="1" ht="15.75">
      <c r="A13" s="191"/>
      <c r="B13" s="192" t="s">
        <v>651</v>
      </c>
      <c r="C13" s="193"/>
      <c r="D13" s="193"/>
      <c r="E13" s="193"/>
      <c r="F13" s="193"/>
      <c r="G13" s="193"/>
      <c r="H13" s="193"/>
      <c r="I13" s="193"/>
      <c r="J13" s="193"/>
      <c r="K13" s="193">
        <v>0</v>
      </c>
      <c r="L13" s="190" t="str">
        <f t="shared" si="0"/>
        <v>ok</v>
      </c>
      <c r="M13" s="19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</row>
    <row r="14" spans="1:52" ht="15.75">
      <c r="A14" s="3"/>
      <c r="B14" s="8" t="s">
        <v>652</v>
      </c>
      <c r="C14" s="9">
        <f>Bossier!I27</f>
        <v>-815573</v>
      </c>
      <c r="D14" s="9"/>
      <c r="E14" s="9"/>
      <c r="F14" s="9"/>
      <c r="G14" s="9"/>
      <c r="H14" s="9"/>
      <c r="I14" s="9"/>
      <c r="J14" s="9"/>
      <c r="K14" s="9">
        <f t="shared" ref="K14:K29" si="2">SUM(C14:J14)</f>
        <v>-815573</v>
      </c>
      <c r="L14" s="190" t="str">
        <f t="shared" si="0"/>
        <v>ok</v>
      </c>
      <c r="M14" s="9">
        <f>Bossier!I29</f>
        <v>-815573</v>
      </c>
    </row>
    <row r="15" spans="1:52" s="194" customFormat="1" ht="15.75">
      <c r="A15" s="191"/>
      <c r="B15" s="192" t="s">
        <v>653</v>
      </c>
      <c r="C15" s="193"/>
      <c r="D15" s="193"/>
      <c r="E15" s="193"/>
      <c r="F15" s="193"/>
      <c r="G15" s="193"/>
      <c r="H15" s="193"/>
      <c r="I15" s="193"/>
      <c r="J15" s="193"/>
      <c r="K15" s="193">
        <f t="shared" si="2"/>
        <v>0</v>
      </c>
      <c r="L15" s="190" t="str">
        <f t="shared" si="0"/>
        <v>ok</v>
      </c>
      <c r="M15" s="193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</row>
    <row r="16" spans="1:52" ht="15.75">
      <c r="A16" s="3"/>
      <c r="B16" s="8" t="s">
        <v>654</v>
      </c>
      <c r="C16" s="9">
        <f>Calcasieu!I20+Calcasieu!I21</f>
        <v>-2157846</v>
      </c>
      <c r="D16" s="9"/>
      <c r="E16" s="9"/>
      <c r="F16" s="9"/>
      <c r="G16" s="9"/>
      <c r="H16" s="9"/>
      <c r="I16" s="9"/>
      <c r="J16" s="9"/>
      <c r="K16" s="9">
        <f t="shared" si="2"/>
        <v>-2157846</v>
      </c>
      <c r="L16" s="190" t="str">
        <f t="shared" si="0"/>
        <v>ok</v>
      </c>
      <c r="M16" s="9">
        <f>Calcasieu!I23</f>
        <v>-2157846</v>
      </c>
    </row>
    <row r="17" spans="1:52" ht="15.75">
      <c r="A17" s="195"/>
      <c r="B17" s="188" t="s">
        <v>655</v>
      </c>
      <c r="C17" s="189"/>
      <c r="D17" s="189"/>
      <c r="E17" s="189"/>
      <c r="F17" s="189"/>
      <c r="G17" s="189"/>
      <c r="H17" s="189"/>
      <c r="I17" s="189"/>
      <c r="J17" s="189"/>
      <c r="K17" s="189">
        <f t="shared" ref="K17:K26" si="3">SUM(C17:J17)</f>
        <v>0</v>
      </c>
      <c r="L17" s="190" t="str">
        <f t="shared" si="0"/>
        <v>ok</v>
      </c>
      <c r="M17" s="189"/>
    </row>
    <row r="18" spans="1:52" s="199" customFormat="1" ht="15.75">
      <c r="A18" s="196"/>
      <c r="B18" s="197" t="s">
        <v>656</v>
      </c>
      <c r="C18" s="198"/>
      <c r="D18" s="198"/>
      <c r="E18" s="198"/>
      <c r="F18" s="198"/>
      <c r="G18" s="198"/>
      <c r="H18" s="198"/>
      <c r="I18" s="198"/>
      <c r="J18" s="198"/>
      <c r="K18" s="198">
        <f t="shared" si="3"/>
        <v>0</v>
      </c>
      <c r="L18" s="190" t="str">
        <f t="shared" si="0"/>
        <v>ok</v>
      </c>
      <c r="M18" s="198"/>
    </row>
    <row r="19" spans="1:52" s="200" customFormat="1" ht="15.75">
      <c r="A19" s="191"/>
      <c r="B19" s="192" t="s">
        <v>657</v>
      </c>
      <c r="C19" s="193"/>
      <c r="D19" s="193"/>
      <c r="E19" s="193"/>
      <c r="F19" s="193"/>
      <c r="G19" s="193"/>
      <c r="H19" s="193"/>
      <c r="I19" s="193"/>
      <c r="J19" s="193"/>
      <c r="K19" s="193">
        <f t="shared" si="3"/>
        <v>0</v>
      </c>
      <c r="L19" s="190" t="str">
        <f t="shared" si="0"/>
        <v>ok</v>
      </c>
      <c r="M19" s="193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</row>
    <row r="20" spans="1:52" ht="15.75">
      <c r="A20" s="3"/>
      <c r="B20" s="8" t="s">
        <v>658</v>
      </c>
      <c r="C20" s="9"/>
      <c r="D20" s="9"/>
      <c r="E20" s="9"/>
      <c r="F20" s="9"/>
      <c r="G20" s="9"/>
      <c r="H20" s="9"/>
      <c r="I20" s="9"/>
      <c r="J20" s="9"/>
      <c r="K20" s="9">
        <f t="shared" si="3"/>
        <v>0</v>
      </c>
      <c r="L20" s="190" t="str">
        <f t="shared" si="0"/>
        <v>ok</v>
      </c>
      <c r="M20" s="9"/>
    </row>
    <row r="21" spans="1:52" s="194" customFormat="1" ht="15.75">
      <c r="A21" s="191"/>
      <c r="B21" s="192" t="s">
        <v>659</v>
      </c>
      <c r="C21" s="193"/>
      <c r="D21" s="193"/>
      <c r="E21" s="193"/>
      <c r="F21" s="193"/>
      <c r="G21" s="193"/>
      <c r="H21" s="193"/>
      <c r="I21" s="193"/>
      <c r="J21" s="193"/>
      <c r="K21" s="193">
        <f t="shared" si="3"/>
        <v>0</v>
      </c>
      <c r="L21" s="190" t="str">
        <f t="shared" si="0"/>
        <v>ok</v>
      </c>
      <c r="M21" s="193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</row>
    <row r="22" spans="1:52" ht="15.75">
      <c r="A22" s="3"/>
      <c r="B22" s="8" t="s">
        <v>660</v>
      </c>
      <c r="C22" s="9">
        <f>Desoto!I29</f>
        <v>-32468</v>
      </c>
      <c r="D22" s="9"/>
      <c r="E22" s="9"/>
      <c r="F22" s="9"/>
      <c r="G22" s="9"/>
      <c r="H22" s="9"/>
      <c r="I22" s="9"/>
      <c r="J22" s="9"/>
      <c r="K22" s="9">
        <f t="shared" si="3"/>
        <v>-32468</v>
      </c>
      <c r="L22" s="190" t="str">
        <f t="shared" si="0"/>
        <v>ok</v>
      </c>
      <c r="M22" s="9">
        <f>Desoto!I29</f>
        <v>-32468</v>
      </c>
    </row>
    <row r="23" spans="1:52" ht="15.75">
      <c r="A23" s="195"/>
      <c r="B23" s="188" t="s">
        <v>717</v>
      </c>
      <c r="C23" s="189">
        <f>'East Baton Rouge'!I22</f>
        <v>-131780088</v>
      </c>
      <c r="D23" s="189">
        <f>'East Baton Rouge'!I23</f>
        <v>-37196266</v>
      </c>
      <c r="E23" s="189">
        <f>'East Baton Rouge'!I21</f>
        <v>-28608472</v>
      </c>
      <c r="F23" s="189">
        <f>'East Baton Rouge'!I24</f>
        <v>-13305252</v>
      </c>
      <c r="G23" s="189"/>
      <c r="H23" s="189"/>
      <c r="I23" s="189"/>
      <c r="J23" s="189">
        <f>'East Baton Rouge'!I25</f>
        <v>-1110612</v>
      </c>
      <c r="K23" s="189">
        <f t="shared" si="3"/>
        <v>-212000690</v>
      </c>
      <c r="L23" s="190" t="str">
        <f t="shared" si="0"/>
        <v>ok</v>
      </c>
      <c r="M23" s="189">
        <f>'East Baton Rouge'!I27</f>
        <v>-212000690</v>
      </c>
    </row>
    <row r="24" spans="1:52" s="199" customFormat="1" ht="15.75">
      <c r="A24" s="196"/>
      <c r="B24" s="197" t="s">
        <v>662</v>
      </c>
      <c r="C24" s="198"/>
      <c r="D24" s="198">
        <f>'East Carroll'!I26</f>
        <v>-634697</v>
      </c>
      <c r="E24" s="198"/>
      <c r="F24" s="198"/>
      <c r="G24" s="198"/>
      <c r="H24" s="198"/>
      <c r="I24" s="198"/>
      <c r="J24" s="198"/>
      <c r="K24" s="198">
        <f t="shared" si="3"/>
        <v>-634697</v>
      </c>
      <c r="L24" s="190" t="str">
        <f t="shared" si="0"/>
        <v>ok</v>
      </c>
      <c r="M24" s="198">
        <f>'East Carroll'!I28</f>
        <v>-634697</v>
      </c>
    </row>
    <row r="25" spans="1:52" s="200" customFormat="1" ht="15.75">
      <c r="A25" s="191"/>
      <c r="B25" s="192" t="s">
        <v>663</v>
      </c>
      <c r="C25" s="193"/>
      <c r="D25" s="193"/>
      <c r="E25" s="193"/>
      <c r="F25" s="193"/>
      <c r="G25" s="193"/>
      <c r="H25" s="193"/>
      <c r="I25" s="193"/>
      <c r="J25" s="193"/>
      <c r="K25" s="193">
        <f t="shared" si="3"/>
        <v>0</v>
      </c>
      <c r="L25" s="190" t="str">
        <f t="shared" si="0"/>
        <v>ok</v>
      </c>
      <c r="M25" s="193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</row>
    <row r="26" spans="1:52" ht="15.75">
      <c r="A26" s="3"/>
      <c r="B26" s="8" t="s">
        <v>664</v>
      </c>
      <c r="C26" s="9">
        <f>Evangeline!I20</f>
        <v>-69311</v>
      </c>
      <c r="D26" s="9"/>
      <c r="G26" s="12"/>
      <c r="H26" s="9"/>
      <c r="J26" s="9">
        <f>Evangeline!I21</f>
        <v>-521141</v>
      </c>
      <c r="K26" s="9">
        <f t="shared" si="3"/>
        <v>-590452</v>
      </c>
      <c r="L26" s="190" t="str">
        <f t="shared" si="0"/>
        <v>ok</v>
      </c>
      <c r="M26" s="9">
        <f>Evangeline!I23</f>
        <v>-590452</v>
      </c>
    </row>
    <row r="27" spans="1:52" ht="15.75">
      <c r="A27" s="195"/>
      <c r="B27" s="188" t="s">
        <v>665</v>
      </c>
      <c r="C27" s="189"/>
      <c r="D27" s="189"/>
      <c r="E27" s="189"/>
      <c r="F27" s="189"/>
      <c r="G27" s="189"/>
      <c r="H27" s="189"/>
      <c r="I27" s="189"/>
      <c r="J27" s="189"/>
      <c r="K27" s="189">
        <f t="shared" si="2"/>
        <v>0</v>
      </c>
      <c r="L27" s="190" t="str">
        <f t="shared" si="0"/>
        <v>ok</v>
      </c>
      <c r="M27" s="189"/>
    </row>
    <row r="28" spans="1:52" s="199" customFormat="1" ht="15.75">
      <c r="A28" s="196"/>
      <c r="B28" s="197" t="s">
        <v>666</v>
      </c>
      <c r="C28" s="198">
        <f>Grant!I27</f>
        <v>-515141</v>
      </c>
      <c r="D28" s="198"/>
      <c r="E28" s="198"/>
      <c r="F28" s="198"/>
      <c r="G28" s="198"/>
      <c r="H28" s="198"/>
      <c r="I28" s="198"/>
      <c r="J28" s="198"/>
      <c r="K28" s="198">
        <f t="shared" si="2"/>
        <v>-515141</v>
      </c>
      <c r="L28" s="190" t="str">
        <f t="shared" si="0"/>
        <v>ok</v>
      </c>
      <c r="M28" s="198">
        <f>Grant!I29</f>
        <v>-515141</v>
      </c>
    </row>
    <row r="29" spans="1:52" s="200" customFormat="1" ht="15.75">
      <c r="A29" s="191"/>
      <c r="B29" s="192" t="s">
        <v>667</v>
      </c>
      <c r="C29" s="193"/>
      <c r="D29" s="193"/>
      <c r="E29" s="193"/>
      <c r="F29" s="193"/>
      <c r="G29" s="193"/>
      <c r="H29" s="193"/>
      <c r="I29" s="193"/>
      <c r="J29" s="193"/>
      <c r="K29" s="193">
        <f t="shared" si="2"/>
        <v>0</v>
      </c>
      <c r="L29" s="190" t="str">
        <f t="shared" si="0"/>
        <v>ok</v>
      </c>
      <c r="M29" s="193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</row>
    <row r="30" spans="1:52" ht="15.75">
      <c r="A30" s="3"/>
      <c r="B30" s="8" t="s">
        <v>668</v>
      </c>
      <c r="C30" s="9">
        <f>Iberville!I20</f>
        <v>-4567386</v>
      </c>
      <c r="D30" s="9"/>
      <c r="E30" s="9"/>
      <c r="F30" s="9"/>
      <c r="G30" s="9"/>
      <c r="H30" s="9"/>
      <c r="I30" s="9"/>
      <c r="J30" s="9"/>
      <c r="K30" s="9">
        <f t="shared" si="1"/>
        <v>-4567386</v>
      </c>
      <c r="L30" s="190" t="str">
        <f t="shared" si="0"/>
        <v>ok</v>
      </c>
      <c r="M30" s="9">
        <f>Iberville!I22</f>
        <v>-4567386</v>
      </c>
    </row>
    <row r="31" spans="1:52" s="194" customFormat="1" ht="15.75">
      <c r="A31" s="191"/>
      <c r="B31" s="192" t="s">
        <v>669</v>
      </c>
      <c r="C31" s="193"/>
      <c r="D31" s="193"/>
      <c r="E31" s="193"/>
      <c r="F31" s="193"/>
      <c r="G31" s="193"/>
      <c r="H31" s="193"/>
      <c r="I31" s="193"/>
      <c r="J31" s="193"/>
      <c r="K31" s="193">
        <f t="shared" si="1"/>
        <v>0</v>
      </c>
      <c r="L31" s="190" t="str">
        <f t="shared" si="0"/>
        <v>ok</v>
      </c>
      <c r="M31" s="193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</row>
    <row r="32" spans="1:52" ht="15.75">
      <c r="A32" s="3"/>
      <c r="B32" s="8" t="s">
        <v>670</v>
      </c>
      <c r="C32" s="9">
        <f>Jefferson!I24+Jefferson!I23</f>
        <v>-89612000</v>
      </c>
      <c r="D32" s="9"/>
      <c r="E32" s="9"/>
      <c r="F32" s="9"/>
      <c r="G32" s="9"/>
      <c r="H32" s="9"/>
      <c r="I32" s="9"/>
      <c r="J32" s="9"/>
      <c r="K32" s="9">
        <f t="shared" si="1"/>
        <v>-89612000</v>
      </c>
      <c r="L32" s="190" t="str">
        <f t="shared" si="0"/>
        <v>ok</v>
      </c>
      <c r="M32" s="9">
        <f>Jefferson!I26</f>
        <v>-89612000</v>
      </c>
    </row>
    <row r="33" spans="1:52" ht="15.75">
      <c r="A33" s="195"/>
      <c r="B33" s="188" t="s">
        <v>671</v>
      </c>
      <c r="C33" s="189"/>
      <c r="D33" s="189"/>
      <c r="E33" s="189"/>
      <c r="F33" s="189"/>
      <c r="G33" s="189"/>
      <c r="H33" s="189"/>
      <c r="I33" s="189"/>
      <c r="J33" s="189"/>
      <c r="K33" s="189">
        <f t="shared" si="1"/>
        <v>0</v>
      </c>
      <c r="L33" s="190" t="str">
        <f t="shared" si="0"/>
        <v>ok</v>
      </c>
      <c r="M33" s="189"/>
    </row>
    <row r="34" spans="1:52" s="199" customFormat="1" ht="15.75">
      <c r="A34" s="196"/>
      <c r="B34" s="197" t="s">
        <v>672</v>
      </c>
      <c r="C34" s="198">
        <f>Lafayette!I24+Lafayette!I25+Lafayette!I26</f>
        <v>-198532451</v>
      </c>
      <c r="D34" s="198">
        <f>Lafayette!I29</f>
        <v>-13410942</v>
      </c>
      <c r="E34" s="198"/>
      <c r="F34" s="198"/>
      <c r="G34" s="198"/>
      <c r="H34" s="198"/>
      <c r="I34" s="198"/>
      <c r="J34" s="198">
        <f>Lafayette!I31+Lafayette!I30+Lafayette!I28+Lafayette!I27</f>
        <v>-97814973</v>
      </c>
      <c r="K34" s="198">
        <f t="shared" si="1"/>
        <v>-309758366</v>
      </c>
      <c r="L34" s="190" t="str">
        <f t="shared" si="0"/>
        <v>ok</v>
      </c>
      <c r="M34" s="198">
        <f>Lafayette!I33</f>
        <v>-309758366</v>
      </c>
    </row>
    <row r="35" spans="1:52" s="200" customFormat="1" ht="15.75">
      <c r="A35" s="191"/>
      <c r="B35" s="192" t="s">
        <v>673</v>
      </c>
      <c r="C35" s="193">
        <f>Lafourche!I19</f>
        <v>-516960</v>
      </c>
      <c r="D35" s="193"/>
      <c r="E35" s="193"/>
      <c r="F35" s="193"/>
      <c r="G35" s="193"/>
      <c r="H35" s="193"/>
      <c r="I35" s="193"/>
      <c r="J35" s="193"/>
      <c r="K35" s="193">
        <f t="shared" si="1"/>
        <v>-516960</v>
      </c>
      <c r="L35" s="190" t="str">
        <f t="shared" si="0"/>
        <v>ok</v>
      </c>
      <c r="M35" s="193">
        <f>Lafourche!I19</f>
        <v>-516960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</row>
    <row r="36" spans="1:52" ht="15.75">
      <c r="A36" s="3"/>
      <c r="B36" s="8" t="s">
        <v>674</v>
      </c>
      <c r="C36" s="9"/>
      <c r="D36" s="9"/>
      <c r="H36" s="9"/>
      <c r="J36" s="9"/>
      <c r="K36" s="9">
        <f t="shared" si="1"/>
        <v>0</v>
      </c>
      <c r="L36" s="190" t="str">
        <f t="shared" si="0"/>
        <v>ok</v>
      </c>
      <c r="M36" s="9"/>
    </row>
    <row r="37" spans="1:52" s="204" customFormat="1" ht="15.75">
      <c r="A37" s="201"/>
      <c r="B37" s="202" t="s">
        <v>675</v>
      </c>
      <c r="C37" s="203"/>
      <c r="D37" s="203"/>
      <c r="E37" s="203"/>
      <c r="F37" s="203"/>
      <c r="G37" s="203"/>
      <c r="H37" s="203"/>
      <c r="I37" s="203"/>
      <c r="J37" s="203"/>
      <c r="K37" s="203">
        <f t="shared" si="1"/>
        <v>0</v>
      </c>
      <c r="L37" s="190" t="str">
        <f t="shared" si="0"/>
        <v>ok</v>
      </c>
      <c r="M37" s="203"/>
      <c r="N37"/>
      <c r="O37"/>
      <c r="P37"/>
      <c r="Q37"/>
      <c r="R37"/>
      <c r="S37"/>
      <c r="T37"/>
      <c r="U37"/>
      <c r="V37"/>
      <c r="W37"/>
      <c r="X37"/>
      <c r="Y37"/>
    </row>
    <row r="38" spans="1:52" s="206" customFormat="1" ht="15.75">
      <c r="A38" s="196"/>
      <c r="B38" s="197" t="s">
        <v>676</v>
      </c>
      <c r="C38" s="205">
        <f>Livingston!I20</f>
        <v>-745007</v>
      </c>
      <c r="D38" s="205"/>
      <c r="E38" s="205"/>
      <c r="F38" s="205"/>
      <c r="G38" s="205"/>
      <c r="H38" s="205"/>
      <c r="I38" s="205"/>
      <c r="J38" s="205"/>
      <c r="K38" s="9">
        <f t="shared" si="1"/>
        <v>-745007</v>
      </c>
      <c r="L38" s="190" t="str">
        <f t="shared" si="0"/>
        <v>ok</v>
      </c>
      <c r="M38" s="205">
        <f>Livingston!I22</f>
        <v>-745007</v>
      </c>
    </row>
    <row r="39" spans="1:52" s="211" customFormat="1" ht="15.75">
      <c r="A39" s="207"/>
      <c r="B39" s="208" t="s">
        <v>677</v>
      </c>
      <c r="C39" s="209"/>
      <c r="D39" s="209"/>
      <c r="E39" s="209"/>
      <c r="F39" s="209"/>
      <c r="G39" s="209"/>
      <c r="H39" s="209"/>
      <c r="I39" s="209"/>
      <c r="J39" s="209"/>
      <c r="K39" s="209">
        <f t="shared" ref="K39:K42" si="4">SUM(C39:J39)</f>
        <v>0</v>
      </c>
      <c r="L39" s="190" t="str">
        <f t="shared" si="0"/>
        <v>ok</v>
      </c>
      <c r="M39" s="209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</row>
    <row r="40" spans="1:52" ht="15.75">
      <c r="A40" s="3"/>
      <c r="B40" s="8" t="s">
        <v>678</v>
      </c>
      <c r="C40" s="9"/>
      <c r="D40" s="9"/>
      <c r="E40" s="9"/>
      <c r="F40" s="9"/>
      <c r="G40" s="9"/>
      <c r="H40" s="9"/>
      <c r="I40" s="9"/>
      <c r="J40" s="9"/>
      <c r="K40" s="9">
        <f t="shared" si="4"/>
        <v>0</v>
      </c>
      <c r="L40" s="190" t="str">
        <f t="shared" si="0"/>
        <v>ok</v>
      </c>
      <c r="M40" s="9"/>
    </row>
    <row r="41" spans="1:52" s="215" customFormat="1" ht="15.75">
      <c r="A41" s="212"/>
      <c r="B41" s="213" t="s">
        <v>679</v>
      </c>
      <c r="C41" s="214"/>
      <c r="D41" s="214"/>
      <c r="E41" s="214"/>
      <c r="F41" s="214"/>
      <c r="G41" s="214"/>
      <c r="H41" s="214"/>
      <c r="I41" s="214"/>
      <c r="J41" s="214"/>
      <c r="K41" s="214">
        <f t="shared" si="4"/>
        <v>0</v>
      </c>
      <c r="L41" s="190" t="str">
        <f t="shared" si="0"/>
        <v>ok</v>
      </c>
      <c r="M41" s="214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</row>
    <row r="42" spans="1:52" ht="15.75">
      <c r="A42" s="3"/>
      <c r="B42" s="8" t="s">
        <v>680</v>
      </c>
      <c r="C42" s="9"/>
      <c r="D42" s="9"/>
      <c r="E42" s="9"/>
      <c r="F42" s="9"/>
      <c r="G42" s="9"/>
      <c r="H42" s="9"/>
      <c r="I42" s="9"/>
      <c r="J42" s="9"/>
      <c r="K42" s="9">
        <f t="shared" si="4"/>
        <v>0</v>
      </c>
      <c r="L42" s="190" t="str">
        <f t="shared" si="0"/>
        <v>ok</v>
      </c>
      <c r="M42" s="9"/>
    </row>
    <row r="43" spans="1:52" s="211" customFormat="1" ht="15.75">
      <c r="A43" s="207"/>
      <c r="B43" s="208" t="s">
        <v>681</v>
      </c>
      <c r="C43" s="209">
        <f>Ouachita!I24</f>
        <v>-469146</v>
      </c>
      <c r="D43" s="209"/>
      <c r="E43" s="209"/>
      <c r="F43" s="209"/>
      <c r="G43" s="209"/>
      <c r="H43" s="209"/>
      <c r="I43" s="209"/>
      <c r="J43" s="209"/>
      <c r="K43" s="209">
        <f t="shared" si="1"/>
        <v>-469146</v>
      </c>
      <c r="L43" s="190" t="str">
        <f t="shared" si="0"/>
        <v>ok</v>
      </c>
      <c r="M43" s="209">
        <f>Ouachita!I26</f>
        <v>-469146</v>
      </c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</row>
    <row r="44" spans="1:52" ht="15.75">
      <c r="A44" s="3"/>
      <c r="B44" s="8" t="s">
        <v>682</v>
      </c>
      <c r="C44" s="9">
        <f>Plaquemines!I26</f>
        <v>-33641034</v>
      </c>
      <c r="D44" s="9"/>
      <c r="E44" s="9"/>
      <c r="F44" s="9"/>
      <c r="G44" s="9"/>
      <c r="H44" s="9"/>
      <c r="I44" s="9"/>
      <c r="J44" s="9">
        <f>Plaquemines!I27</f>
        <v>-12583658</v>
      </c>
      <c r="K44" s="9">
        <f t="shared" si="1"/>
        <v>-46224692</v>
      </c>
      <c r="L44" s="190" t="str">
        <f t="shared" si="0"/>
        <v>ok</v>
      </c>
      <c r="M44" s="9">
        <f>Plaquemines!I29</f>
        <v>-46224692</v>
      </c>
    </row>
    <row r="45" spans="1:52" s="215" customFormat="1" ht="15.75">
      <c r="A45" s="212"/>
      <c r="B45" s="213" t="s">
        <v>683</v>
      </c>
      <c r="C45" s="214">
        <f>'Pointe Coupee'!I22+'Pointe Coupee'!I23</f>
        <v>-1902802</v>
      </c>
      <c r="D45" s="214">
        <f>'Pointe Coupee'!I24</f>
        <v>-2409014</v>
      </c>
      <c r="E45" s="214"/>
      <c r="F45" s="214">
        <f>'Pointe Coupee'!I25</f>
        <v>-181604</v>
      </c>
      <c r="G45" s="214"/>
      <c r="H45" s="214"/>
      <c r="I45" s="214"/>
      <c r="J45" s="214"/>
      <c r="K45" s="214">
        <f t="shared" si="1"/>
        <v>-4493420</v>
      </c>
      <c r="L45" s="190" t="str">
        <f t="shared" si="0"/>
        <v>ok</v>
      </c>
      <c r="M45" s="214">
        <f>'Pointe Coupee'!I27</f>
        <v>-4493420</v>
      </c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</row>
    <row r="46" spans="1:52" ht="15.75">
      <c r="A46" s="3"/>
      <c r="B46" s="8" t="s">
        <v>684</v>
      </c>
      <c r="C46" s="9"/>
      <c r="D46" s="9"/>
      <c r="E46" s="9"/>
      <c r="F46" s="9"/>
      <c r="G46" s="9"/>
      <c r="H46" s="9"/>
      <c r="I46" s="9"/>
      <c r="J46" s="9"/>
      <c r="K46" s="9">
        <f t="shared" ref="K46:K54" si="5">SUM(C46:J46)</f>
        <v>0</v>
      </c>
      <c r="L46" s="190" t="str">
        <f t="shared" si="0"/>
        <v>ok</v>
      </c>
      <c r="M46" s="9"/>
    </row>
    <row r="47" spans="1:52" ht="15.75">
      <c r="A47" s="195"/>
      <c r="B47" s="188" t="s">
        <v>685</v>
      </c>
      <c r="C47" s="189">
        <f>'Red River'!I18</f>
        <v>-124415</v>
      </c>
      <c r="D47" s="189"/>
      <c r="E47" s="189"/>
      <c r="F47" s="189"/>
      <c r="G47" s="189"/>
      <c r="H47" s="189"/>
      <c r="I47" s="189"/>
      <c r="J47" s="189"/>
      <c r="K47" s="189">
        <f t="shared" si="5"/>
        <v>-124415</v>
      </c>
      <c r="L47" s="190" t="str">
        <f t="shared" si="0"/>
        <v>ok</v>
      </c>
      <c r="M47" s="189">
        <f>'Red River'!I20</f>
        <v>-124415</v>
      </c>
    </row>
    <row r="48" spans="1:52" s="199" customFormat="1" ht="15.75">
      <c r="A48" s="196"/>
      <c r="B48" s="197" t="s">
        <v>686</v>
      </c>
      <c r="C48" s="198"/>
      <c r="D48" s="198"/>
      <c r="E48" s="198"/>
      <c r="F48" s="198"/>
      <c r="G48" s="198"/>
      <c r="H48" s="198"/>
      <c r="I48" s="198"/>
      <c r="J48" s="198"/>
      <c r="K48" s="198">
        <f t="shared" si="5"/>
        <v>0</v>
      </c>
      <c r="L48" s="190" t="str">
        <f t="shared" si="0"/>
        <v>ok</v>
      </c>
      <c r="M48" s="198"/>
    </row>
    <row r="49" spans="1:52" s="194" customFormat="1" ht="15.75">
      <c r="A49" s="191"/>
      <c r="B49" s="192" t="s">
        <v>687</v>
      </c>
      <c r="C49" s="193"/>
      <c r="D49" s="193"/>
      <c r="E49" s="193"/>
      <c r="F49" s="193"/>
      <c r="G49" s="193"/>
      <c r="H49" s="193"/>
      <c r="I49" s="193"/>
      <c r="J49" s="193"/>
      <c r="K49" s="193">
        <f t="shared" si="5"/>
        <v>0</v>
      </c>
      <c r="L49" s="190" t="str">
        <f t="shared" si="0"/>
        <v>ok</v>
      </c>
      <c r="M49" s="193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</row>
    <row r="50" spans="1:52" ht="15.75">
      <c r="A50" s="3"/>
      <c r="B50" s="8" t="s">
        <v>688</v>
      </c>
      <c r="C50" s="9">
        <f>'St. Bernard'!I21</f>
        <v>-10153902</v>
      </c>
      <c r="D50" s="9"/>
      <c r="E50" s="9"/>
      <c r="F50" s="9"/>
      <c r="G50" s="9"/>
      <c r="H50" s="9"/>
      <c r="I50" s="9">
        <f>'St. Bernard'!I22</f>
        <v>-494988</v>
      </c>
      <c r="J50" s="9"/>
      <c r="K50" s="9">
        <f t="shared" si="5"/>
        <v>-10648890</v>
      </c>
      <c r="L50" s="190" t="str">
        <f t="shared" si="0"/>
        <v>ok</v>
      </c>
      <c r="M50" s="9">
        <f>'St. Bernard'!I24</f>
        <v>-10648890</v>
      </c>
    </row>
    <row r="51" spans="1:52" s="194" customFormat="1" ht="15.75">
      <c r="A51" s="191"/>
      <c r="B51" s="192" t="s">
        <v>689</v>
      </c>
      <c r="C51" s="193">
        <f>'St. Charles'!I21+'St. Charles'!I22</f>
        <v>-22857999</v>
      </c>
      <c r="D51" s="193">
        <f>'St. Charles'!I23</f>
        <v>-3436409</v>
      </c>
      <c r="E51" s="193"/>
      <c r="F51" s="193"/>
      <c r="G51" s="193"/>
      <c r="H51" s="193"/>
      <c r="I51" s="193"/>
      <c r="J51" s="193"/>
      <c r="K51" s="193">
        <f t="shared" si="5"/>
        <v>-26294408</v>
      </c>
      <c r="L51" s="190" t="str">
        <f t="shared" si="0"/>
        <v>ok</v>
      </c>
      <c r="M51" s="193">
        <f>'St. Charles'!I25</f>
        <v>-26294408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</row>
    <row r="52" spans="1:52" ht="15.75">
      <c r="A52" s="3"/>
      <c r="B52" s="8" t="s">
        <v>690</v>
      </c>
      <c r="C52" s="9"/>
      <c r="D52" s="9"/>
      <c r="E52" s="9"/>
      <c r="F52" s="9"/>
      <c r="G52" s="9"/>
      <c r="H52" s="9"/>
      <c r="I52" s="9"/>
      <c r="J52" s="9"/>
      <c r="K52" s="9">
        <f t="shared" si="5"/>
        <v>0</v>
      </c>
      <c r="L52" s="190" t="str">
        <f t="shared" si="0"/>
        <v>ok</v>
      </c>
      <c r="M52" s="9"/>
    </row>
    <row r="53" spans="1:52" s="194" customFormat="1" ht="15.75">
      <c r="A53" s="191"/>
      <c r="B53" s="192" t="s">
        <v>691</v>
      </c>
      <c r="C53" s="193">
        <f>'St. James'!I23</f>
        <v>-4651137</v>
      </c>
      <c r="D53" s="193"/>
      <c r="E53" s="193"/>
      <c r="F53" s="193"/>
      <c r="G53" s="193"/>
      <c r="H53" s="193"/>
      <c r="I53" s="193"/>
      <c r="J53" s="193">
        <f>'St. James'!I24</f>
        <v>-1162960</v>
      </c>
      <c r="K53" s="193">
        <f t="shared" si="5"/>
        <v>-5814097</v>
      </c>
      <c r="L53" s="190" t="str">
        <f t="shared" si="0"/>
        <v>ok</v>
      </c>
      <c r="M53" s="193">
        <f>'St. James'!I26</f>
        <v>-5814097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</row>
    <row r="54" spans="1:52" s="206" customFormat="1" ht="15.75">
      <c r="A54" s="196"/>
      <c r="B54" s="197" t="s">
        <v>692</v>
      </c>
      <c r="C54" s="205">
        <f>'St. John the Baptist'!I23+'St. John the Baptist'!I22</f>
        <v>-19388786</v>
      </c>
      <c r="D54" s="205">
        <f>'St. John the Baptist'!I20</f>
        <v>-3489574</v>
      </c>
      <c r="E54" s="205"/>
      <c r="F54" s="205"/>
      <c r="G54" s="205"/>
      <c r="H54" s="205"/>
      <c r="I54" s="205"/>
      <c r="J54" s="205">
        <f>'St. John the Baptist'!I21</f>
        <v>-763696</v>
      </c>
      <c r="K54" s="205">
        <f t="shared" si="5"/>
        <v>-23642056</v>
      </c>
      <c r="L54" s="190" t="str">
        <f t="shared" si="0"/>
        <v>ok</v>
      </c>
      <c r="M54" s="205">
        <f>'St. John the Baptist'!I25</f>
        <v>-23642056</v>
      </c>
    </row>
    <row r="55" spans="1:52" s="219" customFormat="1" ht="15.75">
      <c r="A55" s="216"/>
      <c r="B55" s="217" t="s">
        <v>693</v>
      </c>
      <c r="C55" s="218"/>
      <c r="D55" s="218"/>
      <c r="E55" s="218"/>
      <c r="F55" s="218"/>
      <c r="G55" s="218"/>
      <c r="H55" s="218"/>
      <c r="I55" s="218"/>
      <c r="J55" s="218"/>
      <c r="K55" s="218">
        <v>0</v>
      </c>
      <c r="L55" s="190" t="str">
        <f t="shared" si="0"/>
        <v>ok</v>
      </c>
      <c r="M55" s="218"/>
      <c r="N55"/>
      <c r="O55"/>
      <c r="P55"/>
      <c r="Q55"/>
      <c r="R55"/>
      <c r="S55"/>
      <c r="T55"/>
      <c r="U55"/>
      <c r="V55"/>
      <c r="W55"/>
      <c r="X55"/>
      <c r="Y55"/>
    </row>
    <row r="56" spans="1:52" ht="15.75">
      <c r="A56" s="3"/>
      <c r="B56" s="8" t="s">
        <v>718</v>
      </c>
      <c r="C56" s="9"/>
      <c r="D56" s="9"/>
      <c r="E56" s="9"/>
      <c r="F56" s="9"/>
      <c r="G56" s="9"/>
      <c r="H56" s="9"/>
      <c r="I56" s="9"/>
      <c r="J56" s="9">
        <f>'St. Martin'!I19</f>
        <v>-1618050</v>
      </c>
      <c r="K56" s="9">
        <f t="shared" si="1"/>
        <v>-1618050</v>
      </c>
      <c r="L56" s="190" t="str">
        <f t="shared" si="0"/>
        <v>ok</v>
      </c>
      <c r="M56" s="9">
        <f>'St. Martin'!I21</f>
        <v>-1618050</v>
      </c>
    </row>
    <row r="57" spans="1:52" ht="15.75">
      <c r="A57" s="195"/>
      <c r="B57" s="188" t="s">
        <v>719</v>
      </c>
      <c r="C57" s="189"/>
      <c r="D57" s="189">
        <f>'St. Mary'!I23</f>
        <v>-4573742</v>
      </c>
      <c r="E57" s="189"/>
      <c r="F57" s="189"/>
      <c r="G57" s="189"/>
      <c r="H57" s="189">
        <f>'St. Mary'!I25</f>
        <v>-672266</v>
      </c>
      <c r="I57" s="189"/>
      <c r="J57" s="189">
        <f>'St. Mary'!I24</f>
        <v>-309181</v>
      </c>
      <c r="K57" s="189">
        <f t="shared" si="1"/>
        <v>-5555189</v>
      </c>
      <c r="L57" s="190" t="str">
        <f t="shared" si="0"/>
        <v>ok</v>
      </c>
      <c r="M57" s="189">
        <f>'St. Mary'!I27</f>
        <v>-5555189</v>
      </c>
    </row>
    <row r="58" spans="1:52" s="199" customFormat="1" ht="15.75">
      <c r="A58" s="196"/>
      <c r="B58" s="197" t="s">
        <v>696</v>
      </c>
      <c r="C58" s="198">
        <f>'St. Tammany'!I21</f>
        <v>-11146235</v>
      </c>
      <c r="D58" s="198"/>
      <c r="E58" s="198"/>
      <c r="F58" s="198"/>
      <c r="G58" s="198"/>
      <c r="H58" s="198"/>
      <c r="I58" s="198"/>
      <c r="J58" s="198"/>
      <c r="K58" s="198">
        <f t="shared" si="1"/>
        <v>-11146235</v>
      </c>
      <c r="L58" s="190" t="str">
        <f t="shared" si="0"/>
        <v>ok</v>
      </c>
      <c r="M58" s="198">
        <f>'St. Tammany'!I23</f>
        <v>-11146235</v>
      </c>
    </row>
    <row r="59" spans="1:52" s="194" customFormat="1" ht="15.75">
      <c r="A59" s="191"/>
      <c r="B59" s="192" t="s">
        <v>697</v>
      </c>
      <c r="C59" s="193"/>
      <c r="D59" s="193"/>
      <c r="E59" s="193"/>
      <c r="F59" s="193"/>
      <c r="G59" s="193"/>
      <c r="H59" s="193"/>
      <c r="I59" s="193"/>
      <c r="J59" s="193"/>
      <c r="K59" s="193">
        <f t="shared" si="1"/>
        <v>0</v>
      </c>
      <c r="L59" s="190" t="str">
        <f t="shared" si="0"/>
        <v>ok</v>
      </c>
      <c r="M59" s="193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</row>
    <row r="60" spans="1:52" ht="15.75">
      <c r="A60" s="3"/>
      <c r="B60" s="8" t="s">
        <v>698</v>
      </c>
      <c r="C60" s="9"/>
      <c r="D60" s="9"/>
      <c r="E60" s="9"/>
      <c r="F60" s="9"/>
      <c r="G60" s="9"/>
      <c r="H60" s="9"/>
      <c r="I60" s="9"/>
      <c r="J60" s="9"/>
      <c r="K60" s="9">
        <f t="shared" si="1"/>
        <v>0</v>
      </c>
      <c r="L60" s="190" t="str">
        <f t="shared" si="0"/>
        <v>ok</v>
      </c>
      <c r="M60" s="9"/>
    </row>
    <row r="61" spans="1:52" s="194" customFormat="1" ht="15.75">
      <c r="A61" s="191"/>
      <c r="B61" s="192" t="s">
        <v>699</v>
      </c>
      <c r="C61" s="193">
        <f>Terrebonne!I23+Terrebonne!I24</f>
        <v>-45158031</v>
      </c>
      <c r="D61" s="193">
        <f>Terrebonne!I25</f>
        <v>-13052212</v>
      </c>
      <c r="E61" s="193"/>
      <c r="F61" s="193">
        <f>Terrebonne!I26</f>
        <v>-2297804</v>
      </c>
      <c r="G61" s="193"/>
      <c r="H61" s="193"/>
      <c r="I61" s="193"/>
      <c r="J61" s="193"/>
      <c r="K61" s="193">
        <f t="shared" ref="K61:K64" si="6">SUM(C61:J61)</f>
        <v>-60508047</v>
      </c>
      <c r="L61" s="190" t="str">
        <f t="shared" si="0"/>
        <v>ok</v>
      </c>
      <c r="M61" s="193">
        <f>Terrebonne!I28</f>
        <v>-60508047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</row>
    <row r="62" spans="1:52" ht="15.75">
      <c r="A62" s="3"/>
      <c r="B62" s="8" t="s">
        <v>700</v>
      </c>
      <c r="C62" s="9"/>
      <c r="D62" s="9"/>
      <c r="E62" s="9"/>
      <c r="F62" s="9"/>
      <c r="G62" s="9"/>
      <c r="H62" s="9"/>
      <c r="I62" s="9"/>
      <c r="J62" s="9"/>
      <c r="K62" s="9">
        <f t="shared" si="6"/>
        <v>0</v>
      </c>
      <c r="L62" s="190" t="str">
        <f t="shared" si="0"/>
        <v>ok</v>
      </c>
      <c r="M62" s="9"/>
    </row>
    <row r="63" spans="1:52" s="194" customFormat="1" ht="15.75">
      <c r="A63" s="191"/>
      <c r="B63" s="192" t="s">
        <v>701</v>
      </c>
      <c r="C63" s="193"/>
      <c r="D63" s="193"/>
      <c r="E63" s="193"/>
      <c r="F63" s="193"/>
      <c r="G63" s="193"/>
      <c r="H63" s="193"/>
      <c r="I63" s="193"/>
      <c r="J63" s="193"/>
      <c r="K63" s="193">
        <f t="shared" si="6"/>
        <v>0</v>
      </c>
      <c r="L63" s="190" t="str">
        <f t="shared" si="0"/>
        <v>ok</v>
      </c>
      <c r="M63" s="19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</row>
    <row r="64" spans="1:52" s="206" customFormat="1" ht="15.75">
      <c r="A64" s="196"/>
      <c r="B64" s="197" t="s">
        <v>702</v>
      </c>
      <c r="C64" s="205"/>
      <c r="D64" s="205"/>
      <c r="E64" s="205"/>
      <c r="F64" s="205"/>
      <c r="G64" s="205"/>
      <c r="H64" s="205"/>
      <c r="I64" s="205"/>
      <c r="J64" s="205"/>
      <c r="K64" s="205">
        <f t="shared" si="6"/>
        <v>0</v>
      </c>
      <c r="L64" s="190" t="str">
        <f>IF(K64=M64, "ok", "check")</f>
        <v>ok</v>
      </c>
      <c r="M64" s="205"/>
    </row>
    <row r="65" spans="1:52" s="219" customFormat="1" ht="15.75">
      <c r="A65" s="216"/>
      <c r="B65" s="217" t="s">
        <v>703</v>
      </c>
      <c r="C65" s="218"/>
      <c r="D65" s="218"/>
      <c r="E65" s="218"/>
      <c r="F65" s="218"/>
      <c r="G65" s="218"/>
      <c r="H65" s="218"/>
      <c r="I65" s="218"/>
      <c r="J65" s="218"/>
      <c r="K65" s="218">
        <v>0</v>
      </c>
      <c r="L65" s="190" t="str">
        <f t="shared" ref="L65:L68" si="7">IF(K65=M65,"ok","check")</f>
        <v>ok</v>
      </c>
      <c r="M65" s="218"/>
      <c r="N65"/>
      <c r="O65"/>
      <c r="P65"/>
      <c r="Q65"/>
      <c r="R65"/>
      <c r="S65"/>
      <c r="T65"/>
      <c r="U65"/>
      <c r="V65"/>
      <c r="W65"/>
      <c r="X65"/>
      <c r="Y65"/>
    </row>
    <row r="66" spans="1:52" s="200" customFormat="1" ht="15.75">
      <c r="A66" s="3"/>
      <c r="B66" s="8" t="s">
        <v>704</v>
      </c>
      <c r="C66" s="9"/>
      <c r="D66" s="9"/>
      <c r="E66" s="9"/>
      <c r="F66" s="9"/>
      <c r="G66" s="9"/>
      <c r="H66" s="9"/>
      <c r="I66" s="9"/>
      <c r="J66" s="9"/>
      <c r="K66" s="9">
        <v>0</v>
      </c>
      <c r="L66" s="190" t="str">
        <f t="shared" si="7"/>
        <v>ok</v>
      </c>
      <c r="M66" s="9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</row>
    <row r="67" spans="1:52" s="223" customFormat="1" ht="15.75">
      <c r="A67" s="220"/>
      <c r="B67" s="221" t="s">
        <v>705</v>
      </c>
      <c r="C67" s="222"/>
      <c r="D67" s="222"/>
      <c r="E67" s="222"/>
      <c r="F67" s="222"/>
      <c r="G67" s="222"/>
      <c r="H67" s="222"/>
      <c r="I67" s="222"/>
      <c r="J67" s="222"/>
      <c r="K67" s="222">
        <f t="shared" ref="K67:K68" si="8">SUM(C67:J67)</f>
        <v>0</v>
      </c>
      <c r="L67" s="190" t="str">
        <f t="shared" si="7"/>
        <v>ok</v>
      </c>
      <c r="M67" s="222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  <c r="AB67" s="199"/>
      <c r="AC67" s="199"/>
      <c r="AD67" s="199"/>
      <c r="AE67" s="199"/>
      <c r="AF67" s="199"/>
      <c r="AG67" s="199"/>
      <c r="AH67" s="199"/>
      <c r="AI67" s="199"/>
      <c r="AJ67" s="199"/>
      <c r="AK67" s="199"/>
      <c r="AL67" s="199"/>
      <c r="AM67" s="199"/>
      <c r="AN67" s="199"/>
      <c r="AO67" s="199"/>
      <c r="AP67" s="199"/>
      <c r="AQ67" s="199"/>
      <c r="AR67" s="199"/>
      <c r="AS67" s="199"/>
      <c r="AT67" s="199"/>
      <c r="AU67" s="199"/>
      <c r="AV67" s="199"/>
      <c r="AW67" s="199"/>
      <c r="AX67" s="199"/>
      <c r="AY67" s="199"/>
      <c r="AZ67" s="199"/>
    </row>
    <row r="68" spans="1:52" ht="15.75">
      <c r="A68" s="3"/>
      <c r="B68" s="8" t="s">
        <v>706</v>
      </c>
      <c r="C68" s="9"/>
      <c r="D68" s="9"/>
      <c r="E68" s="9"/>
      <c r="F68" s="9"/>
      <c r="G68" s="9"/>
      <c r="H68" s="9"/>
      <c r="I68" s="9"/>
      <c r="J68" s="9"/>
      <c r="K68" s="9">
        <f t="shared" si="8"/>
        <v>0</v>
      </c>
      <c r="L68" s="190" t="str">
        <f t="shared" si="7"/>
        <v>ok</v>
      </c>
      <c r="M68" s="9"/>
    </row>
    <row r="69" spans="1:52" s="194" customFormat="1" ht="15.75">
      <c r="A69" s="191"/>
      <c r="B69" s="192" t="s">
        <v>707</v>
      </c>
      <c r="C69" s="193">
        <f>'West Feliciana'!I25+'West Feliciana'!I24+'West Feliciana'!I23+'West Feliciana'!I22+'West Feliciana'!I21</f>
        <v>-1810636</v>
      </c>
      <c r="D69" s="193"/>
      <c r="E69" s="193"/>
      <c r="F69" s="193"/>
      <c r="G69" s="193"/>
      <c r="H69" s="193"/>
      <c r="I69" s="193"/>
      <c r="J69" s="193"/>
      <c r="K69" s="193">
        <f t="shared" si="1"/>
        <v>-1810636</v>
      </c>
      <c r="L69" s="190" t="str">
        <f t="shared" si="0"/>
        <v>ok</v>
      </c>
      <c r="M69" s="193">
        <f>'West Feliciana'!I27</f>
        <v>-1810636</v>
      </c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</row>
    <row r="70" spans="1:52" ht="15.75">
      <c r="A70" s="3"/>
      <c r="B70" s="8" t="s">
        <v>708</v>
      </c>
      <c r="C70" s="9"/>
      <c r="D70" s="9"/>
      <c r="E70" s="9"/>
      <c r="F70" s="9"/>
      <c r="G70" s="9"/>
      <c r="H70" s="9"/>
      <c r="I70" s="9"/>
      <c r="J70" s="9"/>
      <c r="K70" s="9">
        <f t="shared" si="1"/>
        <v>0</v>
      </c>
      <c r="L70" s="190" t="str">
        <f t="shared" si="0"/>
        <v>ok</v>
      </c>
      <c r="M70" s="9"/>
    </row>
    <row r="71" spans="1:52" ht="15.75">
      <c r="A71" s="3"/>
      <c r="B71" s="8"/>
      <c r="C71" s="9"/>
      <c r="D71" s="9"/>
      <c r="E71" s="9"/>
      <c r="F71" s="9"/>
      <c r="G71" s="9"/>
      <c r="H71" s="9"/>
      <c r="I71" s="9"/>
      <c r="J71" s="9"/>
      <c r="L71" s="224"/>
    </row>
    <row r="72" spans="1:52" ht="15.75">
      <c r="A72" s="82"/>
      <c r="B72" s="83" t="s">
        <v>709</v>
      </c>
      <c r="C72" s="84">
        <f t="shared" ref="C72:J72" si="9">SUM(C7:C70)</f>
        <v>-580899259</v>
      </c>
      <c r="D72" s="84">
        <f t="shared" si="9"/>
        <v>-79897104</v>
      </c>
      <c r="E72" s="84">
        <f t="shared" si="9"/>
        <v>-28608472</v>
      </c>
      <c r="F72" s="84">
        <f t="shared" si="9"/>
        <v>-18046197</v>
      </c>
      <c r="G72" s="84">
        <f t="shared" si="9"/>
        <v>0</v>
      </c>
      <c r="H72" s="84">
        <f t="shared" si="9"/>
        <v>-672266</v>
      </c>
      <c r="I72" s="84">
        <f t="shared" si="9"/>
        <v>-494988</v>
      </c>
      <c r="J72" s="84">
        <f t="shared" si="9"/>
        <v>-115884271</v>
      </c>
      <c r="K72" s="84">
        <f t="shared" si="1"/>
        <v>-824502557</v>
      </c>
      <c r="L72" s="225" t="str">
        <f>IF(K72=M72,"ok","check")</f>
        <v>ok</v>
      </c>
      <c r="M72" s="85">
        <f>SUM(M7:M70)</f>
        <v>-824502557</v>
      </c>
    </row>
    <row r="73" spans="1:52" ht="15.75">
      <c r="A73" s="3"/>
      <c r="B73" s="8"/>
      <c r="C73" s="9"/>
      <c r="D73" s="9"/>
      <c r="E73" s="9"/>
      <c r="F73" s="9"/>
      <c r="G73" s="9"/>
      <c r="H73" s="9"/>
      <c r="I73" s="9"/>
      <c r="J73" s="9"/>
      <c r="K73">
        <f t="shared" si="1"/>
        <v>0</v>
      </c>
      <c r="L73" s="226"/>
    </row>
    <row r="74" spans="1:52">
      <c r="L74" s="226"/>
    </row>
    <row r="75" spans="1:52">
      <c r="L75" s="226"/>
    </row>
    <row r="76" spans="1:52">
      <c r="L76" s="226"/>
    </row>
    <row r="77" spans="1:52">
      <c r="L77" s="226"/>
    </row>
    <row r="78" spans="1:52">
      <c r="L78" s="226"/>
    </row>
    <row r="79" spans="1:52">
      <c r="L79" s="226"/>
    </row>
    <row r="80" spans="1:52">
      <c r="L80" s="226"/>
    </row>
    <row r="81" spans="12:12">
      <c r="L81" s="226"/>
    </row>
    <row r="82" spans="12:12">
      <c r="L82" s="226"/>
    </row>
    <row r="83" spans="12:12">
      <c r="L83" s="226"/>
    </row>
    <row r="84" spans="12:12">
      <c r="L84" s="226"/>
    </row>
    <row r="85" spans="12:12">
      <c r="L85" s="226"/>
    </row>
    <row r="86" spans="12:12">
      <c r="L86" s="226"/>
    </row>
    <row r="87" spans="12:12">
      <c r="L87" s="226"/>
    </row>
    <row r="88" spans="12:12">
      <c r="L88" s="226"/>
    </row>
    <row r="89" spans="12:12">
      <c r="L89" s="226"/>
    </row>
    <row r="90" spans="12:12">
      <c r="L90" s="226"/>
    </row>
    <row r="91" spans="12:12">
      <c r="L91" s="226"/>
    </row>
    <row r="92" spans="12:12">
      <c r="L92" s="226"/>
    </row>
    <row r="93" spans="12:12">
      <c r="L93" s="226"/>
    </row>
    <row r="94" spans="12:12">
      <c r="L94" s="226"/>
    </row>
    <row r="95" spans="12:12">
      <c r="L95" s="226"/>
    </row>
    <row r="96" spans="12:12">
      <c r="L96" s="226"/>
    </row>
    <row r="97" spans="12:12">
      <c r="L97" s="226"/>
    </row>
    <row r="98" spans="12:12">
      <c r="L98" s="226"/>
    </row>
    <row r="99" spans="12:12">
      <c r="L99" s="226"/>
    </row>
    <row r="100" spans="12:12">
      <c r="L100" s="226"/>
    </row>
    <row r="101" spans="12:12">
      <c r="L101" s="226"/>
    </row>
    <row r="102" spans="12:12">
      <c r="L102" s="226"/>
    </row>
    <row r="103" spans="12:12">
      <c r="L103" s="226"/>
    </row>
    <row r="104" spans="12:12">
      <c r="L104" s="226"/>
    </row>
    <row r="105" spans="12:12">
      <c r="L105" s="226"/>
    </row>
    <row r="106" spans="12:12">
      <c r="L106" s="226"/>
    </row>
    <row r="107" spans="12:12">
      <c r="L107" s="226"/>
    </row>
    <row r="108" spans="12:12">
      <c r="L108" s="226"/>
    </row>
    <row r="109" spans="12:12">
      <c r="L109" s="226"/>
    </row>
    <row r="110" spans="12:12">
      <c r="L110" s="226"/>
    </row>
    <row r="111" spans="12:12">
      <c r="L111" s="226"/>
    </row>
    <row r="112" spans="12:12">
      <c r="L112" s="226"/>
    </row>
    <row r="113" spans="12:12">
      <c r="L113" s="226"/>
    </row>
    <row r="114" spans="12:12">
      <c r="L114" s="226"/>
    </row>
    <row r="115" spans="12:12">
      <c r="L115" s="226"/>
    </row>
    <row r="116" spans="12:12">
      <c r="L116" s="226"/>
    </row>
    <row r="117" spans="12:12">
      <c r="L117" s="226"/>
    </row>
    <row r="118" spans="12:12">
      <c r="L118" s="226"/>
    </row>
  </sheetData>
  <mergeCells count="2">
    <mergeCell ref="A4:B4"/>
    <mergeCell ref="A5:B5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46E7C3A01C2A47A437981BA5A3419C" ma:contentTypeVersion="11" ma:contentTypeDescription="Create a new document." ma:contentTypeScope="" ma:versionID="d554655ad64208c1d6e2effa97f27dc4">
  <xsd:schema xmlns:xsd="http://www.w3.org/2001/XMLSchema" xmlns:xs="http://www.w3.org/2001/XMLSchema" xmlns:p="http://schemas.microsoft.com/office/2006/metadata/properties" xmlns:ns2="a04dc2bb-3752-482a-bef8-a3d7520562f3" xmlns:ns3="07258940-cd77-4b7c-bf02-282e7e1fade8" xmlns:ns4="a09b295e-4c54-4020-9012-76e6da7e7cd2" targetNamespace="http://schemas.microsoft.com/office/2006/metadata/properties" ma:root="true" ma:fieldsID="df42f594409b0399f47f761bc5024e7c" ns2:_="" ns3:_="" ns4:_="">
    <xsd:import namespace="a04dc2bb-3752-482a-bef8-a3d7520562f3"/>
    <xsd:import namespace="07258940-cd77-4b7c-bf02-282e7e1fade8"/>
    <xsd:import namespace="a09b295e-4c54-4020-9012-76e6da7e7cd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EventHashCode" minOccurs="0"/>
                <xsd:element ref="ns4:MediaServiceGenerationTime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dc2bb-3752-482a-bef8-a3d7520562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58940-cd77-4b7c-bf02-282e7e1fade8" elementFormDefault="qualified">
    <xsd:import namespace="http://schemas.microsoft.com/office/2006/documentManagement/types"/>
    <xsd:import namespace="http://schemas.microsoft.com/office/infopath/2007/PartnerControls"/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b295e-4c54-4020-9012-76e6da7e7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SharedWithUsers xmlns="a04dc2bb-3752-482a-bef8-a3d7520562f3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AE54EF-D06B-486F-85C3-8833C411D36A}"/>
</file>

<file path=customXml/itemProps2.xml><?xml version="1.0" encoding="utf-8"?>
<ds:datastoreItem xmlns:ds="http://schemas.openxmlformats.org/officeDocument/2006/customXml" ds:itemID="{303B842F-EAC3-4973-836F-D9B8D222CDE0}"/>
</file>

<file path=customXml/itemProps3.xml><?xml version="1.0" encoding="utf-8"?>
<ds:datastoreItem xmlns:ds="http://schemas.openxmlformats.org/officeDocument/2006/customXml" ds:itemID="{C31B981C-0BB0-4CFC-B6F5-456F9948C9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lnorwa2</dc:creator>
  <cp:keywords/>
  <dc:description/>
  <cp:lastModifiedBy>Luftig, Valerio</cp:lastModifiedBy>
  <cp:revision/>
  <dcterms:created xsi:type="dcterms:W3CDTF">2011-10-31T16:50:21Z</dcterms:created>
  <dcterms:modified xsi:type="dcterms:W3CDTF">2025-06-17T20:27:46Z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0x0101009346E7C3A01C2A47A437981BA5A3419C</vt:lpwstr>
  </property>
</Properties>
</file>