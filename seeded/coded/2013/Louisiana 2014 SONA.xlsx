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lsuagctr.sharepoint.com/sites/LCRI/lgf/Shared Documents/Louisiana/2014/"/>
    </mc:Choice>
  </mc:AlternateContent>
  <xr:revisionPtr revIDLastSave="34" documentId="11_A24E3B92C5CEFC97B2408EFDCB97453EA6820608" xr6:coauthVersionLast="47" xr6:coauthVersionMax="47" xr10:uidLastSave="{81240B47-7258-4022-9439-E39DC037CA26}"/>
  <bookViews>
    <workbookView xWindow="-110" yWindow="-110" windowWidth="38620" windowHeight="21220" tabRatio="909" firstSheet="68" activeTab="68" xr2:uid="{00000000-000D-0000-FFFF-FFFF00000000}"/>
  </bookViews>
  <sheets>
    <sheet name="Acadia" sheetId="145" r:id="rId1"/>
    <sheet name="Allen" sheetId="146" r:id="rId2"/>
    <sheet name="Ascension" sheetId="147" r:id="rId3"/>
    <sheet name="Assumption" sheetId="176" r:id="rId4"/>
    <sheet name="Avoyelles" sheetId="201" r:id="rId5"/>
    <sheet name="Beauregard" sheetId="202" r:id="rId6"/>
    <sheet name="Bienville" sheetId="177" r:id="rId7"/>
    <sheet name="Bossier" sheetId="178" r:id="rId8"/>
    <sheet name="Caddo" sheetId="203" r:id="rId9"/>
    <sheet name="Caldwell" sheetId="180" r:id="rId10"/>
    <sheet name="Catahoula" sheetId="182" r:id="rId11"/>
    <sheet name="Calcasieu" sheetId="179" r:id="rId12"/>
    <sheet name="Cameron" sheetId="181" r:id="rId13"/>
    <sheet name="Claiborne" sheetId="183" r:id="rId14"/>
    <sheet name="Concodria" sheetId="184" r:id="rId15"/>
    <sheet name="DeSoto" sheetId="185" r:id="rId16"/>
    <sheet name="East Baton Rouge" sheetId="186" r:id="rId17"/>
    <sheet name="East Carroll" sheetId="187" r:id="rId18"/>
    <sheet name="East Feliciana" sheetId="188" r:id="rId19"/>
    <sheet name="Evangeline" sheetId="189" r:id="rId20"/>
    <sheet name="Franklin" sheetId="190" r:id="rId21"/>
    <sheet name="Grant" sheetId="191" r:id="rId22"/>
    <sheet name="Iberia" sheetId="192" r:id="rId23"/>
    <sheet name="Iberville" sheetId="193" r:id="rId24"/>
    <sheet name="Jackson " sheetId="194" r:id="rId25"/>
    <sheet name="Jefferson Davis" sheetId="195" r:id="rId26"/>
    <sheet name="Jefferson" sheetId="196" r:id="rId27"/>
    <sheet name="Lafayette" sheetId="197" r:id="rId28"/>
    <sheet name="Lafourche" sheetId="198" r:id="rId29"/>
    <sheet name="LaSalle" sheetId="199" r:id="rId30"/>
    <sheet name="Lincoln" sheetId="200" r:id="rId31"/>
    <sheet name="Livingston" sheetId="148" r:id="rId32"/>
    <sheet name="Madison" sheetId="149" r:id="rId33"/>
    <sheet name="Morehouse" sheetId="150" r:id="rId34"/>
    <sheet name="Natchitoches (2)" sheetId="208" r:id="rId35"/>
    <sheet name="Natchitoches" sheetId="151" r:id="rId36"/>
    <sheet name="Orleans" sheetId="152" r:id="rId37"/>
    <sheet name="Ouachita " sheetId="153" r:id="rId38"/>
    <sheet name="Plaquemines" sheetId="154" r:id="rId39"/>
    <sheet name="Pointe Couppe" sheetId="204" r:id="rId40"/>
    <sheet name="Rapides" sheetId="155" r:id="rId41"/>
    <sheet name="Red River" sheetId="156" r:id="rId42"/>
    <sheet name="Richland" sheetId="157" r:id="rId43"/>
    <sheet name="Sabine" sheetId="158" r:id="rId44"/>
    <sheet name="St. Bernard" sheetId="159" r:id="rId45"/>
    <sheet name="St. Charles" sheetId="160" r:id="rId46"/>
    <sheet name="St. Helena " sheetId="205" r:id="rId47"/>
    <sheet name="St. James" sheetId="161" r:id="rId48"/>
    <sheet name="St. John the Baptist" sheetId="162" r:id="rId49"/>
    <sheet name="St. Landry" sheetId="163" r:id="rId50"/>
    <sheet name="St. Martin" sheetId="164" r:id="rId51"/>
    <sheet name="St. Mary" sheetId="210" r:id="rId52"/>
    <sheet name="St. Tammany" sheetId="165" r:id="rId53"/>
    <sheet name="Tangipahoa" sheetId="166" r:id="rId54"/>
    <sheet name="Terrebonne" sheetId="168" r:id="rId55"/>
    <sheet name="Tensas" sheetId="167" r:id="rId56"/>
    <sheet name="Union" sheetId="206" r:id="rId57"/>
    <sheet name="Vermilion" sheetId="169" r:id="rId58"/>
    <sheet name="Vernon" sheetId="170" r:id="rId59"/>
    <sheet name="Washington" sheetId="171" r:id="rId60"/>
    <sheet name="Webster" sheetId="172" r:id="rId61"/>
    <sheet name="West Baton Rouge" sheetId="173" r:id="rId62"/>
    <sheet name="West Carroll" sheetId="174" r:id="rId63"/>
    <sheet name="West Feliciana" sheetId="207" r:id="rId64"/>
    <sheet name="Winn" sheetId="175" r:id="rId65"/>
    <sheet name="CSG" sheetId="3" r:id="rId66"/>
    <sheet name="CSB" sheetId="144" r:id="rId67"/>
    <sheet name="CST" sheetId="209" r:id="rId68"/>
    <sheet name="Cross Sectional" sheetId="211" r:id="rId69"/>
  </sheets>
  <externalReferences>
    <externalReference r:id="rId7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56" i="3" l="1"/>
  <c r="N56" i="3"/>
  <c r="Q56" i="3"/>
  <c r="M56" i="3"/>
  <c r="S56" i="144"/>
  <c r="L56" i="144"/>
  <c r="H56" i="144"/>
  <c r="G56" i="144"/>
  <c r="F56" i="144"/>
  <c r="E56" i="144"/>
  <c r="D56" i="144"/>
  <c r="C56" i="144"/>
  <c r="K9" i="144"/>
  <c r="N7" i="211"/>
  <c r="Q7" i="211"/>
  <c r="R7" i="211"/>
  <c r="S7" i="211"/>
  <c r="N8" i="211"/>
  <c r="N9" i="211"/>
  <c r="O9" i="211"/>
  <c r="P9" i="211"/>
  <c r="Q9" i="211"/>
  <c r="R9" i="211"/>
  <c r="S9" i="211"/>
  <c r="O10" i="211"/>
  <c r="P10" i="211"/>
  <c r="Q10" i="211"/>
  <c r="R10" i="211"/>
  <c r="S10" i="211"/>
  <c r="N11" i="211"/>
  <c r="O11" i="211"/>
  <c r="P11" i="211"/>
  <c r="Q11" i="211"/>
  <c r="T11" i="211"/>
  <c r="P12" i="211"/>
  <c r="Q12" i="211"/>
  <c r="R12" i="211"/>
  <c r="S12" i="211"/>
  <c r="N13" i="211"/>
  <c r="O13" i="211"/>
  <c r="P13" i="211"/>
  <c r="Q13" i="211"/>
  <c r="N14" i="211"/>
  <c r="O14" i="211"/>
  <c r="P14" i="211"/>
  <c r="N15" i="211"/>
  <c r="O15" i="211"/>
  <c r="P15" i="211"/>
  <c r="O16" i="211"/>
  <c r="P16" i="211"/>
  <c r="R16" i="211"/>
  <c r="S16" i="211"/>
  <c r="T16" i="211"/>
  <c r="N17" i="211"/>
  <c r="O17" i="211"/>
  <c r="P17" i="211"/>
  <c r="O18" i="211"/>
  <c r="P18" i="211"/>
  <c r="Q18" i="211"/>
  <c r="T18" i="211"/>
  <c r="O19" i="211"/>
  <c r="P19" i="211"/>
  <c r="N20" i="211"/>
  <c r="O20" i="211"/>
  <c r="P20" i="211"/>
  <c r="Q20" i="211"/>
  <c r="O21" i="211"/>
  <c r="P21" i="211"/>
  <c r="N22" i="211"/>
  <c r="O22" i="211"/>
  <c r="P22" i="211"/>
  <c r="N23" i="211"/>
  <c r="O23" i="211"/>
  <c r="P23" i="211"/>
  <c r="Q23" i="211"/>
  <c r="T23" i="211"/>
  <c r="O24" i="211"/>
  <c r="P24" i="211"/>
  <c r="R24" i="211"/>
  <c r="S24" i="211"/>
  <c r="T24" i="211"/>
  <c r="Q25" i="211"/>
  <c r="O26" i="211"/>
  <c r="P26" i="211"/>
  <c r="R26" i="211"/>
  <c r="S26" i="211"/>
  <c r="O27" i="211"/>
  <c r="P27" i="211"/>
  <c r="Q27" i="211"/>
  <c r="N28" i="211"/>
  <c r="O28" i="211"/>
  <c r="P28" i="211"/>
  <c r="N29" i="211"/>
  <c r="O29" i="211"/>
  <c r="P29" i="211"/>
  <c r="Q29" i="211"/>
  <c r="N30" i="211"/>
  <c r="O30" i="211"/>
  <c r="P30" i="211"/>
  <c r="Q30" i="211"/>
  <c r="N32" i="211"/>
  <c r="R32" i="211"/>
  <c r="S32" i="211"/>
  <c r="N31" i="211"/>
  <c r="O31" i="211"/>
  <c r="P31" i="211"/>
  <c r="Q31" i="211"/>
  <c r="N35" i="211"/>
  <c r="O35" i="211"/>
  <c r="P35" i="211"/>
  <c r="Q35" i="211"/>
  <c r="N33" i="211"/>
  <c r="O33" i="211"/>
  <c r="P33" i="211"/>
  <c r="N34" i="211"/>
  <c r="O34" i="211"/>
  <c r="P34" i="211"/>
  <c r="R36" i="211"/>
  <c r="S36" i="211"/>
  <c r="N37" i="211"/>
  <c r="O37" i="211"/>
  <c r="P37" i="211"/>
  <c r="N38" i="211"/>
  <c r="O38" i="211"/>
  <c r="P38" i="211"/>
  <c r="Q38" i="211"/>
  <c r="N39" i="211"/>
  <c r="O39" i="211"/>
  <c r="P39" i="211"/>
  <c r="Q39" i="211"/>
  <c r="S39" i="211"/>
  <c r="N40" i="211"/>
  <c r="O40" i="211"/>
  <c r="P40" i="211"/>
  <c r="Q40" i="211"/>
  <c r="N41" i="211"/>
  <c r="O41" i="211"/>
  <c r="P41" i="211"/>
  <c r="N42" i="211"/>
  <c r="O42" i="211"/>
  <c r="P42" i="211"/>
  <c r="Q42" i="211"/>
  <c r="R43" i="211"/>
  <c r="S43" i="211"/>
  <c r="N44" i="211"/>
  <c r="O44" i="211"/>
  <c r="P44" i="211"/>
  <c r="N45" i="211"/>
  <c r="O45" i="211"/>
  <c r="P45" i="211"/>
  <c r="Q45" i="211"/>
  <c r="O46" i="211"/>
  <c r="P46" i="211"/>
  <c r="Q46" i="211"/>
  <c r="R46" i="211"/>
  <c r="S46" i="211"/>
  <c r="T46" i="211"/>
  <c r="N47" i="211"/>
  <c r="O47" i="211"/>
  <c r="P47" i="211"/>
  <c r="Q47" i="211"/>
  <c r="R47" i="211"/>
  <c r="S47" i="211"/>
  <c r="T47" i="211"/>
  <c r="N48" i="211"/>
  <c r="O48" i="211"/>
  <c r="P48" i="211"/>
  <c r="Q48" i="211"/>
  <c r="T48" i="211"/>
  <c r="N49" i="211"/>
  <c r="O49" i="211"/>
  <c r="P49" i="211"/>
  <c r="Q49" i="211"/>
  <c r="N50" i="211"/>
  <c r="O50" i="211"/>
  <c r="P50" i="211"/>
  <c r="Q51" i="211"/>
  <c r="R51" i="211"/>
  <c r="S51" i="211"/>
  <c r="N52" i="211"/>
  <c r="O52" i="211"/>
  <c r="P52" i="211"/>
  <c r="Q52" i="211"/>
  <c r="N53" i="211"/>
  <c r="O53" i="211"/>
  <c r="P53" i="211"/>
  <c r="R54" i="211"/>
  <c r="S54" i="211"/>
  <c r="N56" i="211"/>
  <c r="O56" i="211"/>
  <c r="P56" i="211"/>
  <c r="Q56" i="211"/>
  <c r="R56" i="211"/>
  <c r="S56" i="211"/>
  <c r="T56" i="211"/>
  <c r="N57" i="211"/>
  <c r="O57" i="211"/>
  <c r="P57" i="211"/>
  <c r="N58" i="211"/>
  <c r="O58" i="211"/>
  <c r="P58" i="211"/>
  <c r="N59" i="211"/>
  <c r="O59" i="211"/>
  <c r="P59" i="211"/>
  <c r="T59" i="211"/>
  <c r="N60" i="211"/>
  <c r="O60" i="211"/>
  <c r="P60" i="211"/>
  <c r="N62" i="211"/>
  <c r="O62" i="211"/>
  <c r="P62" i="211"/>
  <c r="Q62" i="211"/>
  <c r="N63" i="211"/>
  <c r="O63" i="211"/>
  <c r="P63" i="211"/>
  <c r="Q63" i="211"/>
  <c r="N64" i="211"/>
  <c r="O64" i="211"/>
  <c r="P64" i="211"/>
  <c r="N65" i="211"/>
  <c r="O65" i="211"/>
  <c r="P65" i="211"/>
  <c r="N66" i="211"/>
  <c r="O66" i="211"/>
  <c r="P66" i="211"/>
  <c r="Q66" i="211"/>
  <c r="T66" i="211"/>
  <c r="O67" i="211"/>
  <c r="P67" i="211"/>
  <c r="Q67" i="211"/>
  <c r="N68" i="211"/>
  <c r="O68" i="211"/>
  <c r="P68" i="211"/>
  <c r="Q68" i="211"/>
  <c r="N69" i="211"/>
  <c r="O69" i="211"/>
  <c r="P69" i="211"/>
  <c r="Q69" i="211"/>
  <c r="T69" i="211"/>
  <c r="Q6" i="211"/>
  <c r="R6" i="211"/>
  <c r="S6" i="211"/>
  <c r="D7" i="211"/>
  <c r="G7" i="211"/>
  <c r="F9" i="211"/>
  <c r="G9" i="211"/>
  <c r="H9" i="211"/>
  <c r="D10" i="211"/>
  <c r="D11" i="211"/>
  <c r="G11" i="211"/>
  <c r="D12" i="211"/>
  <c r="G12" i="211"/>
  <c r="H12" i="211"/>
  <c r="G13" i="211"/>
  <c r="D16" i="211"/>
  <c r="G16" i="211"/>
  <c r="H16" i="211"/>
  <c r="E17" i="211"/>
  <c r="G17" i="211"/>
  <c r="D18" i="211"/>
  <c r="G18" i="211"/>
  <c r="G19" i="211"/>
  <c r="D20" i="211"/>
  <c r="F20" i="211"/>
  <c r="G20" i="211"/>
  <c r="H20" i="211"/>
  <c r="G21" i="211"/>
  <c r="G23" i="211"/>
  <c r="D24" i="211"/>
  <c r="H24" i="211"/>
  <c r="D26" i="211"/>
  <c r="G26" i="211"/>
  <c r="H26" i="211"/>
  <c r="D27" i="211"/>
  <c r="G27" i="211"/>
  <c r="H27" i="211"/>
  <c r="D29" i="211"/>
  <c r="G29" i="211"/>
  <c r="D30" i="211"/>
  <c r="G30" i="211"/>
  <c r="G32" i="211"/>
  <c r="G31" i="211"/>
  <c r="D35" i="211"/>
  <c r="G35" i="211"/>
  <c r="G38" i="211"/>
  <c r="H38" i="211"/>
  <c r="G39" i="211"/>
  <c r="H39" i="211"/>
  <c r="D40" i="211"/>
  <c r="G40" i="211"/>
  <c r="G43" i="211"/>
  <c r="D45" i="211"/>
  <c r="G45" i="211"/>
  <c r="G46" i="211"/>
  <c r="D47" i="211"/>
  <c r="G47" i="211"/>
  <c r="H47" i="211"/>
  <c r="D48" i="211"/>
  <c r="G48" i="211"/>
  <c r="H48" i="211"/>
  <c r="G49" i="211"/>
  <c r="G51" i="211"/>
  <c r="D53" i="211"/>
  <c r="D54" i="211"/>
  <c r="D55" i="211"/>
  <c r="D58" i="211"/>
  <c r="D59" i="211"/>
  <c r="F59" i="211"/>
  <c r="G61" i="211"/>
  <c r="H61" i="211"/>
  <c r="D62" i="211"/>
  <c r="G63" i="211"/>
  <c r="G65" i="211"/>
  <c r="H66" i="211"/>
  <c r="D67" i="211"/>
  <c r="G67" i="211"/>
  <c r="D69" i="211"/>
  <c r="G69" i="211"/>
  <c r="H69" i="211"/>
  <c r="H6" i="211"/>
  <c r="X71" i="211"/>
  <c r="N71" i="211"/>
  <c r="AB69" i="211"/>
  <c r="Z69" i="211"/>
  <c r="AC69" i="211" s="1"/>
  <c r="Y69" i="211"/>
  <c r="AB68" i="211"/>
  <c r="AA68" i="211"/>
  <c r="Z68" i="211"/>
  <c r="AB67" i="211"/>
  <c r="AA67" i="211"/>
  <c r="Z67" i="211"/>
  <c r="AB66" i="211"/>
  <c r="AA66" i="211"/>
  <c r="Z66" i="211"/>
  <c r="AC66" i="211" s="1"/>
  <c r="AB65" i="211"/>
  <c r="AA65" i="211"/>
  <c r="Z65" i="211"/>
  <c r="AC65" i="211" s="1"/>
  <c r="AB64" i="211"/>
  <c r="AA64" i="211"/>
  <c r="Z64" i="211"/>
  <c r="AB63" i="211"/>
  <c r="AA63" i="211"/>
  <c r="Z63" i="211"/>
  <c r="AB62" i="211"/>
  <c r="AA62" i="211"/>
  <c r="Z62" i="211"/>
  <c r="AB61" i="211"/>
  <c r="AA61" i="211"/>
  <c r="Z61" i="211"/>
  <c r="AC61" i="211" s="1"/>
  <c r="Y61" i="211"/>
  <c r="AB60" i="211"/>
  <c r="AA60" i="211"/>
  <c r="Z60" i="211"/>
  <c r="AC60" i="211" s="1"/>
  <c r="AB59" i="211"/>
  <c r="AA59" i="211"/>
  <c r="Z59" i="211"/>
  <c r="AC59" i="211" s="1"/>
  <c r="AB58" i="211"/>
  <c r="AA58" i="211"/>
  <c r="Z58" i="211"/>
  <c r="AB57" i="211"/>
  <c r="AA57" i="211"/>
  <c r="Z57" i="211"/>
  <c r="AC56" i="211"/>
  <c r="AB55" i="211"/>
  <c r="AA55" i="211"/>
  <c r="Z55" i="211"/>
  <c r="AB54" i="211"/>
  <c r="AA54" i="211"/>
  <c r="Z54" i="211"/>
  <c r="AB53" i="211"/>
  <c r="AA53" i="211"/>
  <c r="Z53" i="211"/>
  <c r="AB52" i="211"/>
  <c r="AA52" i="211"/>
  <c r="Z52" i="211"/>
  <c r="AC52" i="211" s="1"/>
  <c r="L52" i="211"/>
  <c r="AB51" i="211"/>
  <c r="AA51" i="211"/>
  <c r="Z51" i="211"/>
  <c r="AB50" i="211"/>
  <c r="AA50" i="211"/>
  <c r="Z50" i="211"/>
  <c r="AB49" i="211"/>
  <c r="AA49" i="211"/>
  <c r="Z49" i="211"/>
  <c r="AC49" i="211" s="1"/>
  <c r="AB48" i="211"/>
  <c r="Z48" i="211"/>
  <c r="AC48" i="211" s="1"/>
  <c r="AB47" i="211"/>
  <c r="AA47" i="211"/>
  <c r="Z47" i="211"/>
  <c r="Y47" i="211"/>
  <c r="L47" i="211"/>
  <c r="AB46" i="211"/>
  <c r="AA46" i="211"/>
  <c r="Z46" i="211"/>
  <c r="AC46" i="211" s="1"/>
  <c r="Y46" i="211"/>
  <c r="L46" i="211"/>
  <c r="AB45" i="211"/>
  <c r="AA45" i="211"/>
  <c r="Z45" i="211"/>
  <c r="AB44" i="211"/>
  <c r="AA44" i="211"/>
  <c r="Z44" i="211"/>
  <c r="AC44" i="211" s="1"/>
  <c r="AB43" i="211"/>
  <c r="AA43" i="211"/>
  <c r="Z43" i="211"/>
  <c r="AB42" i="211"/>
  <c r="AA42" i="211"/>
  <c r="Z42" i="211"/>
  <c r="AC42" i="211" s="1"/>
  <c r="AB41" i="211"/>
  <c r="AA41" i="211"/>
  <c r="Z41" i="211"/>
  <c r="AB40" i="211"/>
  <c r="AA40" i="211"/>
  <c r="Z40" i="211"/>
  <c r="AB39" i="211"/>
  <c r="AA39" i="211"/>
  <c r="Z39" i="211"/>
  <c r="Y39" i="211"/>
  <c r="AB38" i="211"/>
  <c r="AA38" i="211"/>
  <c r="Z38" i="211"/>
  <c r="AB37" i="211"/>
  <c r="AA37" i="211"/>
  <c r="Z37" i="211"/>
  <c r="AB36" i="211"/>
  <c r="AA36" i="211"/>
  <c r="Z36" i="211"/>
  <c r="L36" i="211"/>
  <c r="AB34" i="211"/>
  <c r="AA34" i="211"/>
  <c r="Z34" i="211"/>
  <c r="AB33" i="211"/>
  <c r="AA33" i="211"/>
  <c r="Z33" i="211"/>
  <c r="L33" i="211"/>
  <c r="AB35" i="211"/>
  <c r="Z35" i="211"/>
  <c r="AC35" i="211" s="1"/>
  <c r="AB31" i="211"/>
  <c r="AA31" i="211"/>
  <c r="Z31" i="211"/>
  <c r="AB32" i="211"/>
  <c r="AA32" i="211"/>
  <c r="Z32" i="211"/>
  <c r="Y32" i="211"/>
  <c r="L32" i="211"/>
  <c r="AB30" i="211"/>
  <c r="AA30" i="211"/>
  <c r="Z30" i="211"/>
  <c r="AC30" i="211" s="1"/>
  <c r="AB29" i="211"/>
  <c r="AA29" i="211"/>
  <c r="Z29" i="211"/>
  <c r="AB28" i="211"/>
  <c r="AA28" i="211"/>
  <c r="Z28" i="211"/>
  <c r="AB27" i="211"/>
  <c r="AA27" i="211"/>
  <c r="Z27" i="211"/>
  <c r="AC27" i="211" s="1"/>
  <c r="AB26" i="211"/>
  <c r="Z26" i="211"/>
  <c r="AC26" i="211" s="1"/>
  <c r="AB25" i="211"/>
  <c r="AA25" i="211"/>
  <c r="Z25" i="211"/>
  <c r="AB24" i="211"/>
  <c r="AA24" i="211"/>
  <c r="Z24" i="211"/>
  <c r="AC24" i="211" s="1"/>
  <c r="L24" i="211"/>
  <c r="AB23" i="211"/>
  <c r="AA23" i="211"/>
  <c r="Z23" i="211"/>
  <c r="AB22" i="211"/>
  <c r="AA22" i="211"/>
  <c r="Z22" i="211"/>
  <c r="Y22" i="211"/>
  <c r="AB21" i="211"/>
  <c r="AA21" i="211"/>
  <c r="Z21" i="211"/>
  <c r="AB20" i="211"/>
  <c r="AA20" i="211"/>
  <c r="Z20" i="211"/>
  <c r="AB19" i="211"/>
  <c r="AA19" i="211"/>
  <c r="Z19" i="211"/>
  <c r="L19" i="211"/>
  <c r="AB18" i="211"/>
  <c r="Z18" i="211"/>
  <c r="AC18" i="211" s="1"/>
  <c r="Y18" i="211"/>
  <c r="AB17" i="211"/>
  <c r="AA17" i="211"/>
  <c r="Z17" i="211"/>
  <c r="Y17" i="211"/>
  <c r="AB16" i="211"/>
  <c r="AA16" i="211"/>
  <c r="Z16" i="211"/>
  <c r="AB15" i="211"/>
  <c r="AA15" i="211"/>
  <c r="Z15" i="211"/>
  <c r="AC15" i="211" s="1"/>
  <c r="Y15" i="211"/>
  <c r="L15" i="211"/>
  <c r="AB14" i="211"/>
  <c r="AA14" i="211"/>
  <c r="Z14" i="211"/>
  <c r="Y14" i="211"/>
  <c r="AB13" i="211"/>
  <c r="AA13" i="211"/>
  <c r="Z13" i="211"/>
  <c r="Y13" i="211"/>
  <c r="AB12" i="211"/>
  <c r="Z12" i="211"/>
  <c r="AC12" i="211" s="1"/>
  <c r="AB11" i="211"/>
  <c r="AA11" i="211"/>
  <c r="Z11" i="211"/>
  <c r="AB10" i="211"/>
  <c r="Z10" i="211"/>
  <c r="AC10" i="211" s="1"/>
  <c r="AB9" i="211"/>
  <c r="Z9" i="211"/>
  <c r="AB8" i="211"/>
  <c r="AA8" i="211"/>
  <c r="Z8" i="211"/>
  <c r="L8" i="211"/>
  <c r="AB7" i="211"/>
  <c r="AA7" i="211"/>
  <c r="Z7" i="211"/>
  <c r="AB6" i="211"/>
  <c r="AA6" i="211"/>
  <c r="Z6" i="211"/>
  <c r="AC8" i="211" l="1"/>
  <c r="AC9" i="211"/>
  <c r="AC16" i="211"/>
  <c r="AC17" i="211"/>
  <c r="AC20" i="211"/>
  <c r="AC31" i="211"/>
  <c r="AC36" i="211"/>
  <c r="AC39" i="211"/>
  <c r="AC40" i="211"/>
  <c r="AC41" i="211"/>
  <c r="AC43" i="211"/>
  <c r="AC32" i="211"/>
  <c r="AC19" i="211"/>
  <c r="AC28" i="211"/>
  <c r="AC37" i="211"/>
  <c r="AC47" i="211"/>
  <c r="AC50" i="211"/>
  <c r="AC55" i="211"/>
  <c r="AC25" i="211"/>
  <c r="AC34" i="211"/>
  <c r="AC68" i="211"/>
  <c r="AC64" i="211"/>
  <c r="AC6" i="211"/>
  <c r="AC14" i="211"/>
  <c r="AC38" i="211"/>
  <c r="AC58" i="211"/>
  <c r="AC62" i="211"/>
  <c r="AC63" i="211"/>
  <c r="AC67" i="211"/>
  <c r="AC11" i="211"/>
  <c r="AC13" i="211"/>
  <c r="AC21" i="211"/>
  <c r="AC23" i="211"/>
  <c r="AC29" i="211"/>
  <c r="AC51" i="211"/>
  <c r="AC57" i="211"/>
  <c r="M56" i="211"/>
  <c r="U56" i="211" s="1"/>
  <c r="AB71" i="211"/>
  <c r="AA71" i="211"/>
  <c r="AC7" i="211"/>
  <c r="AC54" i="211"/>
  <c r="AC22" i="211"/>
  <c r="AC33" i="211"/>
  <c r="AC45" i="211"/>
  <c r="AC53" i="211"/>
  <c r="Z71" i="211"/>
  <c r="K56" i="3"/>
  <c r="H56" i="3"/>
  <c r="H56" i="211" s="1"/>
  <c r="G56" i="3"/>
  <c r="G56" i="211" s="1"/>
  <c r="F56" i="3"/>
  <c r="F56" i="211" s="1"/>
  <c r="E56" i="3"/>
  <c r="E56" i="211" s="1"/>
  <c r="D56" i="3"/>
  <c r="D56" i="211" s="1"/>
  <c r="C56" i="3"/>
  <c r="C56" i="211" s="1"/>
  <c r="D66" i="209"/>
  <c r="D58" i="209"/>
  <c r="D50" i="209"/>
  <c r="D35" i="209"/>
  <c r="D34" i="209"/>
  <c r="F8" i="209"/>
  <c r="F40" i="209"/>
  <c r="F47" i="209"/>
  <c r="F64" i="209"/>
  <c r="D27" i="209"/>
  <c r="N55" i="209"/>
  <c r="I75" i="210"/>
  <c r="I54" i="210"/>
  <c r="I64" i="210" s="1"/>
  <c r="V56" i="144" s="1"/>
  <c r="J46" i="210"/>
  <c r="J47" i="210"/>
  <c r="J48" i="210"/>
  <c r="J49" i="210"/>
  <c r="J50" i="210"/>
  <c r="J51" i="210"/>
  <c r="J52" i="210"/>
  <c r="J45" i="210"/>
  <c r="I55" i="209" s="1"/>
  <c r="I73" i="210"/>
  <c r="H73" i="210"/>
  <c r="J71" i="210"/>
  <c r="J70" i="210"/>
  <c r="J73" i="210" s="1"/>
  <c r="J69" i="210"/>
  <c r="J67" i="210"/>
  <c r="I62" i="210"/>
  <c r="H62" i="210"/>
  <c r="J60" i="210"/>
  <c r="J59" i="210"/>
  <c r="J58" i="210"/>
  <c r="J62" i="210"/>
  <c r="J57" i="210"/>
  <c r="J55" i="209" s="1"/>
  <c r="H54" i="210"/>
  <c r="J38" i="210"/>
  <c r="I34" i="210"/>
  <c r="H34" i="210"/>
  <c r="J32" i="210"/>
  <c r="J31" i="210"/>
  <c r="J30" i="210"/>
  <c r="J34" i="210" s="1"/>
  <c r="J36" i="210" s="1"/>
  <c r="J29" i="210"/>
  <c r="J28" i="210"/>
  <c r="J27" i="210"/>
  <c r="J26" i="210"/>
  <c r="J25" i="210"/>
  <c r="I22" i="210"/>
  <c r="J21" i="210"/>
  <c r="J20" i="210"/>
  <c r="J22" i="210" s="1"/>
  <c r="J19" i="210"/>
  <c r="E55" i="209" s="1"/>
  <c r="I16" i="210"/>
  <c r="H16" i="210"/>
  <c r="J14" i="210"/>
  <c r="J13" i="210"/>
  <c r="J12" i="210"/>
  <c r="J11" i="210"/>
  <c r="J16" i="210" s="1"/>
  <c r="J10" i="210"/>
  <c r="J9" i="210"/>
  <c r="J8" i="210"/>
  <c r="C55" i="209" s="1"/>
  <c r="H64" i="210"/>
  <c r="W56" i="3" s="1"/>
  <c r="H75" i="210"/>
  <c r="I36" i="210"/>
  <c r="H36" i="210"/>
  <c r="H41" i="210" s="1"/>
  <c r="H34" i="175"/>
  <c r="H27" i="175"/>
  <c r="W69" i="211" s="1"/>
  <c r="N68" i="209"/>
  <c r="O68" i="209" s="1"/>
  <c r="M68" i="209"/>
  <c r="J68" i="209"/>
  <c r="I68" i="209"/>
  <c r="H18" i="175"/>
  <c r="K69" i="211" s="1"/>
  <c r="H68" i="209"/>
  <c r="E68" i="209"/>
  <c r="C68" i="209"/>
  <c r="J41" i="207"/>
  <c r="J42" i="207"/>
  <c r="J43" i="207"/>
  <c r="J44" i="207"/>
  <c r="J45" i="207"/>
  <c r="J46" i="207"/>
  <c r="J47" i="207"/>
  <c r="J48" i="207"/>
  <c r="J49" i="207"/>
  <c r="J28" i="207"/>
  <c r="J29" i="207"/>
  <c r="J30" i="207"/>
  <c r="J31" i="207"/>
  <c r="J32" i="207"/>
  <c r="J33" i="207"/>
  <c r="J34" i="207"/>
  <c r="I67" i="209" s="1"/>
  <c r="K67" i="209" s="1"/>
  <c r="J35" i="207"/>
  <c r="J67" i="209"/>
  <c r="J7" i="207"/>
  <c r="J8" i="207"/>
  <c r="J9" i="207"/>
  <c r="J10" i="207"/>
  <c r="J11" i="207"/>
  <c r="J12" i="207"/>
  <c r="J13" i="207"/>
  <c r="J14" i="207"/>
  <c r="J15" i="207"/>
  <c r="J16" i="207"/>
  <c r="E67" i="209" s="1"/>
  <c r="J17" i="207"/>
  <c r="J18" i="207"/>
  <c r="J19" i="207"/>
  <c r="J20" i="207"/>
  <c r="J21" i="207"/>
  <c r="J22" i="207"/>
  <c r="H35" i="174"/>
  <c r="H37" i="174" s="1"/>
  <c r="H22" i="174"/>
  <c r="W67" i="211" s="1"/>
  <c r="N66" i="209"/>
  <c r="O66" i="209"/>
  <c r="M66" i="209"/>
  <c r="I66" i="209"/>
  <c r="K66" i="209" s="1"/>
  <c r="J66" i="209"/>
  <c r="H12" i="174"/>
  <c r="K67" i="211" s="1"/>
  <c r="H66" i="209"/>
  <c r="E66" i="209"/>
  <c r="C66" i="209"/>
  <c r="F66" i="209" s="1"/>
  <c r="G66" i="209" s="1"/>
  <c r="G40" i="173"/>
  <c r="G26" i="173"/>
  <c r="N65" i="209"/>
  <c r="J65" i="209"/>
  <c r="I65" i="209"/>
  <c r="K65" i="209"/>
  <c r="G18" i="173"/>
  <c r="E65" i="209"/>
  <c r="C65" i="209"/>
  <c r="D65" i="209" s="1"/>
  <c r="H46" i="172"/>
  <c r="H29" i="172"/>
  <c r="W65" i="211" s="1"/>
  <c r="H48" i="172"/>
  <c r="AF65" i="211" s="1"/>
  <c r="R64" i="209"/>
  <c r="N64" i="209"/>
  <c r="O64" i="209" s="1"/>
  <c r="M64" i="209"/>
  <c r="J64" i="209"/>
  <c r="I64" i="209"/>
  <c r="H15" i="172"/>
  <c r="K65" i="211" s="1"/>
  <c r="H64" i="209"/>
  <c r="E64" i="209"/>
  <c r="C64" i="209"/>
  <c r="D64" i="209" s="1"/>
  <c r="J35" i="171"/>
  <c r="J37" i="171"/>
  <c r="J38" i="171"/>
  <c r="J39" i="171"/>
  <c r="N63" i="209" s="1"/>
  <c r="O63" i="209" s="1"/>
  <c r="J40" i="171"/>
  <c r="J41" i="171"/>
  <c r="J42" i="171"/>
  <c r="J43" i="171"/>
  <c r="J23" i="171"/>
  <c r="J24" i="171"/>
  <c r="J25" i="171"/>
  <c r="J26" i="171"/>
  <c r="J27" i="171"/>
  <c r="J28" i="171"/>
  <c r="J29" i="171"/>
  <c r="J30" i="171"/>
  <c r="J63" i="209"/>
  <c r="J7" i="171"/>
  <c r="J8" i="171"/>
  <c r="J9" i="171"/>
  <c r="J10" i="171"/>
  <c r="J11" i="171"/>
  <c r="J12" i="171"/>
  <c r="J13" i="171"/>
  <c r="J14" i="171"/>
  <c r="J16" i="171"/>
  <c r="J17" i="171"/>
  <c r="J18" i="171"/>
  <c r="H38" i="170"/>
  <c r="H29" i="170"/>
  <c r="H40" i="170" s="1"/>
  <c r="N62" i="209"/>
  <c r="J62" i="209"/>
  <c r="I62" i="209"/>
  <c r="K62" i="209"/>
  <c r="P62" i="209"/>
  <c r="H19" i="170"/>
  <c r="E62" i="209"/>
  <c r="C62" i="209"/>
  <c r="D62" i="209" s="1"/>
  <c r="H39" i="169"/>
  <c r="H27" i="169"/>
  <c r="W62" i="211" s="1"/>
  <c r="H41" i="169"/>
  <c r="AF62" i="211" s="1"/>
  <c r="R61" i="209"/>
  <c r="N61" i="209"/>
  <c r="J61" i="209"/>
  <c r="I61" i="209"/>
  <c r="H14" i="169"/>
  <c r="K62" i="211" s="1"/>
  <c r="H61" i="209"/>
  <c r="E61" i="209"/>
  <c r="C61" i="209"/>
  <c r="G35" i="206"/>
  <c r="G25" i="206"/>
  <c r="W61" i="211" s="1"/>
  <c r="G37" i="206"/>
  <c r="AF61" i="211" s="1"/>
  <c r="N60" i="209"/>
  <c r="I60" i="209"/>
  <c r="M60" i="209"/>
  <c r="J60" i="209"/>
  <c r="G11" i="206"/>
  <c r="K61" i="211" s="1"/>
  <c r="H60" i="209"/>
  <c r="E60" i="209"/>
  <c r="C60" i="209"/>
  <c r="F60" i="209" s="1"/>
  <c r="G60" i="209" s="1"/>
  <c r="J45" i="168"/>
  <c r="J46" i="168"/>
  <c r="J47" i="168"/>
  <c r="J48" i="168"/>
  <c r="J49" i="168"/>
  <c r="J50" i="168"/>
  <c r="J51" i="168"/>
  <c r="J52" i="168"/>
  <c r="J53" i="168"/>
  <c r="J54" i="168"/>
  <c r="J55" i="168"/>
  <c r="J56" i="168"/>
  <c r="J57" i="168"/>
  <c r="J59" i="168"/>
  <c r="J29" i="168"/>
  <c r="J30" i="168"/>
  <c r="J31" i="168"/>
  <c r="J32" i="168"/>
  <c r="J33" i="168"/>
  <c r="J34" i="168"/>
  <c r="J35" i="168"/>
  <c r="J36" i="168"/>
  <c r="J37" i="168"/>
  <c r="J38" i="168"/>
  <c r="J59" i="209" s="1"/>
  <c r="J7" i="168"/>
  <c r="J8" i="168"/>
  <c r="J9" i="168"/>
  <c r="J24" i="168" s="1"/>
  <c r="J10" i="168"/>
  <c r="J11" i="168"/>
  <c r="C59" i="209" s="1"/>
  <c r="F59" i="209" s="1"/>
  <c r="J12" i="168"/>
  <c r="J13" i="168"/>
  <c r="J14" i="168"/>
  <c r="J16" i="168"/>
  <c r="J17" i="168"/>
  <c r="J18" i="168"/>
  <c r="E59" i="209" s="1"/>
  <c r="J19" i="168"/>
  <c r="J20" i="168"/>
  <c r="J21" i="168"/>
  <c r="J22" i="168"/>
  <c r="G31" i="167"/>
  <c r="G22" i="167"/>
  <c r="W59" i="211" s="1"/>
  <c r="G33" i="167"/>
  <c r="AF59" i="211" s="1"/>
  <c r="R58" i="209"/>
  <c r="N58" i="209"/>
  <c r="J58" i="209"/>
  <c r="I58" i="209"/>
  <c r="G13" i="167"/>
  <c r="K59" i="211" s="1"/>
  <c r="H58" i="209"/>
  <c r="E58" i="209"/>
  <c r="C58" i="209"/>
  <c r="F58" i="209" s="1"/>
  <c r="G58" i="209" s="1"/>
  <c r="H41" i="166"/>
  <c r="H26" i="166"/>
  <c r="W58" i="211" s="1"/>
  <c r="H43" i="166"/>
  <c r="AF58" i="211" s="1"/>
  <c r="N57" i="209"/>
  <c r="M57" i="209"/>
  <c r="J57" i="209"/>
  <c r="I57" i="209"/>
  <c r="K57" i="209" s="1"/>
  <c r="L57" i="209" s="1"/>
  <c r="H15" i="166"/>
  <c r="K58" i="211" s="1"/>
  <c r="E57" i="209"/>
  <c r="C57" i="209"/>
  <c r="J40" i="165"/>
  <c r="J41" i="165"/>
  <c r="J42" i="165"/>
  <c r="J43" i="165"/>
  <c r="J44" i="165"/>
  <c r="J45" i="165"/>
  <c r="J46" i="165"/>
  <c r="J47" i="165"/>
  <c r="J48" i="165"/>
  <c r="J49" i="165"/>
  <c r="J50" i="165"/>
  <c r="J51" i="165"/>
  <c r="J52" i="165"/>
  <c r="J27" i="165"/>
  <c r="J28" i="165"/>
  <c r="J29" i="165"/>
  <c r="J37" i="165" s="1"/>
  <c r="J30" i="165"/>
  <c r="J31" i="165"/>
  <c r="J32" i="165"/>
  <c r="J33" i="165"/>
  <c r="J34" i="165"/>
  <c r="J35" i="165"/>
  <c r="J56" i="209"/>
  <c r="J7" i="165"/>
  <c r="J8" i="165"/>
  <c r="J9" i="165"/>
  <c r="J11" i="165"/>
  <c r="J12" i="165"/>
  <c r="J13" i="165"/>
  <c r="J14" i="165"/>
  <c r="J15" i="165"/>
  <c r="J16" i="165"/>
  <c r="J17" i="165"/>
  <c r="C56" i="209"/>
  <c r="D56" i="209" s="1"/>
  <c r="J34" i="164"/>
  <c r="J36" i="164"/>
  <c r="J40" i="164" s="1"/>
  <c r="J37" i="164"/>
  <c r="J38" i="164"/>
  <c r="N54" i="209" s="1"/>
  <c r="O54" i="209" s="1"/>
  <c r="J17" i="164"/>
  <c r="J18" i="164"/>
  <c r="J19" i="164"/>
  <c r="J20" i="164"/>
  <c r="J21" i="164"/>
  <c r="J22" i="164"/>
  <c r="J24" i="164"/>
  <c r="J25" i="164"/>
  <c r="J26" i="164"/>
  <c r="J27" i="164"/>
  <c r="J28" i="164"/>
  <c r="J29" i="164"/>
  <c r="J54" i="209"/>
  <c r="J6" i="164"/>
  <c r="J7" i="164"/>
  <c r="J14" i="164" s="1"/>
  <c r="J8" i="164"/>
  <c r="J9" i="164"/>
  <c r="J11" i="164"/>
  <c r="J12" i="164"/>
  <c r="E54" i="209"/>
  <c r="C54" i="209"/>
  <c r="H56" i="163"/>
  <c r="H58" i="163" s="1"/>
  <c r="H38" i="163"/>
  <c r="H47" i="163" s="1"/>
  <c r="H45" i="163"/>
  <c r="N53" i="209"/>
  <c r="M53" i="209"/>
  <c r="J53" i="209"/>
  <c r="I53" i="209"/>
  <c r="K53" i="209" s="1"/>
  <c r="H15" i="163"/>
  <c r="H22" i="163"/>
  <c r="H53" i="209" s="1"/>
  <c r="E53" i="209"/>
  <c r="C53" i="209"/>
  <c r="I38" i="162"/>
  <c r="I40" i="162"/>
  <c r="I42" i="162"/>
  <c r="I43" i="162"/>
  <c r="N52" i="209" s="1"/>
  <c r="I45" i="162"/>
  <c r="I47" i="162"/>
  <c r="I25" i="162"/>
  <c r="I52" i="209" s="1"/>
  <c r="I26" i="162"/>
  <c r="I27" i="162"/>
  <c r="I28" i="162"/>
  <c r="I29" i="162"/>
  <c r="I30" i="162"/>
  <c r="I31" i="162"/>
  <c r="I32" i="162"/>
  <c r="I33" i="162"/>
  <c r="J52" i="209" s="1"/>
  <c r="K52" i="209"/>
  <c r="I7" i="162"/>
  <c r="I8" i="162"/>
  <c r="I9" i="162"/>
  <c r="I10" i="162"/>
  <c r="I11" i="162"/>
  <c r="I12" i="162"/>
  <c r="I13" i="162"/>
  <c r="I14" i="162"/>
  <c r="I15" i="162"/>
  <c r="I16" i="162"/>
  <c r="I17" i="162"/>
  <c r="I18" i="162"/>
  <c r="I19" i="162"/>
  <c r="I20" i="162"/>
  <c r="E52" i="209" s="1"/>
  <c r="I22" i="162"/>
  <c r="K53" i="211" s="1"/>
  <c r="I40" i="161"/>
  <c r="I42" i="161"/>
  <c r="I43" i="161"/>
  <c r="I44" i="161"/>
  <c r="I45" i="161"/>
  <c r="I46" i="161"/>
  <c r="I47" i="161"/>
  <c r="I48" i="161"/>
  <c r="I49" i="161"/>
  <c r="I50" i="161"/>
  <c r="I51" i="161"/>
  <c r="I29" i="161"/>
  <c r="I37" i="161" s="1"/>
  <c r="I30" i="161"/>
  <c r="I31" i="161"/>
  <c r="I32" i="161"/>
  <c r="I33" i="161"/>
  <c r="I34" i="161"/>
  <c r="I35" i="161"/>
  <c r="J51" i="209"/>
  <c r="I7" i="161"/>
  <c r="I8" i="161"/>
  <c r="I9" i="161"/>
  <c r="I11" i="161"/>
  <c r="I12" i="161"/>
  <c r="I14" i="161"/>
  <c r="I15" i="161"/>
  <c r="I16" i="161"/>
  <c r="I18" i="161"/>
  <c r="E51" i="209" s="1"/>
  <c r="I21" i="161"/>
  <c r="I22" i="161"/>
  <c r="C51" i="209"/>
  <c r="H58" i="205"/>
  <c r="H60" i="205" s="1"/>
  <c r="H39" i="205"/>
  <c r="H48" i="205" s="1"/>
  <c r="W51" i="211" s="1"/>
  <c r="H46" i="205"/>
  <c r="N50" i="209"/>
  <c r="M50" i="209"/>
  <c r="J50" i="209"/>
  <c r="I50" i="209"/>
  <c r="K50" i="209" s="1"/>
  <c r="H13" i="205"/>
  <c r="H17" i="205"/>
  <c r="H26" i="205"/>
  <c r="H28" i="205"/>
  <c r="K51" i="211" s="1"/>
  <c r="H50" i="209"/>
  <c r="E50" i="209"/>
  <c r="C50" i="209"/>
  <c r="H45" i="159"/>
  <c r="H46" i="159"/>
  <c r="H47" i="159"/>
  <c r="H48" i="159"/>
  <c r="H49" i="159"/>
  <c r="H50" i="159"/>
  <c r="H51" i="159"/>
  <c r="N48" i="209" s="1"/>
  <c r="H52" i="159"/>
  <c r="H30" i="159"/>
  <c r="H31" i="159"/>
  <c r="H32" i="159"/>
  <c r="H33" i="159"/>
  <c r="H42" i="159" s="1"/>
  <c r="H34" i="159"/>
  <c r="I48" i="209" s="1"/>
  <c r="H35" i="159"/>
  <c r="H36" i="159"/>
  <c r="H37" i="159"/>
  <c r="H39" i="159"/>
  <c r="H40" i="159"/>
  <c r="J48" i="160"/>
  <c r="J49" i="160"/>
  <c r="J50" i="160"/>
  <c r="J51" i="160"/>
  <c r="J52" i="160"/>
  <c r="J53" i="160"/>
  <c r="J54" i="160"/>
  <c r="J56" i="160" s="1"/>
  <c r="J27" i="160"/>
  <c r="J28" i="160"/>
  <c r="J29" i="160"/>
  <c r="J30" i="160"/>
  <c r="J31" i="160"/>
  <c r="J32" i="160"/>
  <c r="I49" i="209" s="1"/>
  <c r="K49" i="209" s="1"/>
  <c r="J33" i="160"/>
  <c r="J34" i="160"/>
  <c r="J35" i="160"/>
  <c r="J36" i="160"/>
  <c r="J37" i="160"/>
  <c r="J39" i="160"/>
  <c r="N49" i="209"/>
  <c r="O49" i="209" s="1"/>
  <c r="J49" i="209"/>
  <c r="J7" i="160"/>
  <c r="J8" i="160"/>
  <c r="J9" i="160"/>
  <c r="J10" i="160"/>
  <c r="J11" i="160"/>
  <c r="J12" i="160"/>
  <c r="J13" i="160"/>
  <c r="J14" i="160"/>
  <c r="J15" i="160"/>
  <c r="J16" i="160"/>
  <c r="J17" i="160"/>
  <c r="J18" i="160"/>
  <c r="J19" i="160"/>
  <c r="J20" i="160"/>
  <c r="J21" i="160"/>
  <c r="J22" i="160"/>
  <c r="E49" i="209"/>
  <c r="J48" i="209"/>
  <c r="H7" i="159"/>
  <c r="H8" i="159"/>
  <c r="H9" i="159"/>
  <c r="H10" i="159"/>
  <c r="H11" i="159"/>
  <c r="H12" i="159"/>
  <c r="H13" i="159"/>
  <c r="H14" i="159"/>
  <c r="H15" i="159"/>
  <c r="H16" i="159"/>
  <c r="H17" i="159"/>
  <c r="H18" i="159"/>
  <c r="H19" i="159"/>
  <c r="H20" i="159"/>
  <c r="H21" i="159"/>
  <c r="H22" i="159"/>
  <c r="E48" i="209" s="1"/>
  <c r="H24" i="159"/>
  <c r="H25" i="159"/>
  <c r="H35" i="158"/>
  <c r="H37" i="158" s="1"/>
  <c r="H29" i="158"/>
  <c r="W48" i="211" s="1"/>
  <c r="N47" i="209"/>
  <c r="O47" i="209" s="1"/>
  <c r="P47" i="209" s="1"/>
  <c r="J47" i="209"/>
  <c r="I47" i="209"/>
  <c r="H20" i="158"/>
  <c r="K48" i="211" s="1"/>
  <c r="H47" i="209"/>
  <c r="E47" i="209"/>
  <c r="C47" i="209"/>
  <c r="D47" i="209" s="1"/>
  <c r="G28" i="157"/>
  <c r="G30" i="157" s="1"/>
  <c r="AF47" i="211" s="1"/>
  <c r="G18" i="157"/>
  <c r="W47" i="211" s="1"/>
  <c r="R46" i="209"/>
  <c r="N46" i="209"/>
  <c r="M46" i="209"/>
  <c r="J46" i="209"/>
  <c r="I46" i="209"/>
  <c r="K46" i="209"/>
  <c r="L46" i="209" s="1"/>
  <c r="G12" i="157"/>
  <c r="K47" i="211" s="1"/>
  <c r="H46" i="209"/>
  <c r="E46" i="209"/>
  <c r="C46" i="209"/>
  <c r="D46" i="209" s="1"/>
  <c r="J37" i="156"/>
  <c r="J39" i="156"/>
  <c r="N45" i="209" s="1"/>
  <c r="O45" i="209" s="1"/>
  <c r="P45" i="209" s="1"/>
  <c r="J40" i="156"/>
  <c r="J41" i="156"/>
  <c r="J42" i="156"/>
  <c r="J43" i="156"/>
  <c r="J21" i="156"/>
  <c r="J22" i="156"/>
  <c r="J24" i="156"/>
  <c r="J27" i="156"/>
  <c r="J28" i="156"/>
  <c r="J45" i="209" s="1"/>
  <c r="J30" i="156"/>
  <c r="J32" i="156" s="1"/>
  <c r="I45" i="209"/>
  <c r="J7" i="156"/>
  <c r="C45" i="209" s="1"/>
  <c r="J8" i="156"/>
  <c r="J9" i="156"/>
  <c r="J10" i="156"/>
  <c r="E45" i="209"/>
  <c r="H36" i="155"/>
  <c r="H38" i="155" s="1"/>
  <c r="H29" i="155"/>
  <c r="W45" i="211" s="1"/>
  <c r="N44" i="209"/>
  <c r="M44" i="209"/>
  <c r="J44" i="209"/>
  <c r="I44" i="209"/>
  <c r="H19" i="155"/>
  <c r="K45" i="211" s="1"/>
  <c r="H44" i="209"/>
  <c r="E44" i="209"/>
  <c r="C44" i="209"/>
  <c r="F44" i="209" s="1"/>
  <c r="H22" i="204"/>
  <c r="H23" i="204"/>
  <c r="H24" i="204"/>
  <c r="H25" i="204"/>
  <c r="H27" i="204"/>
  <c r="H35" i="204"/>
  <c r="H37" i="204"/>
  <c r="H38" i="204"/>
  <c r="H39" i="204"/>
  <c r="H40" i="204"/>
  <c r="H32" i="204"/>
  <c r="J43" i="209"/>
  <c r="H7" i="204"/>
  <c r="H8" i="204"/>
  <c r="H9" i="204"/>
  <c r="H10" i="204"/>
  <c r="H11" i="204"/>
  <c r="H12" i="204"/>
  <c r="H13" i="204"/>
  <c r="H14" i="204"/>
  <c r="H15" i="204"/>
  <c r="H16" i="204"/>
  <c r="H17" i="204"/>
  <c r="E43" i="209" s="1"/>
  <c r="H19" i="204"/>
  <c r="J50" i="154"/>
  <c r="J51" i="154"/>
  <c r="J52" i="154"/>
  <c r="N42" i="209" s="1"/>
  <c r="O42" i="209" s="1"/>
  <c r="J26" i="154"/>
  <c r="J27" i="154"/>
  <c r="J28" i="154"/>
  <c r="J29" i="154"/>
  <c r="J30" i="154"/>
  <c r="J31" i="154"/>
  <c r="J32" i="154"/>
  <c r="J36" i="154" s="1"/>
  <c r="J33" i="154"/>
  <c r="J34" i="154"/>
  <c r="J39" i="154"/>
  <c r="J40" i="154"/>
  <c r="J41" i="154"/>
  <c r="J42" i="154"/>
  <c r="J43" i="154"/>
  <c r="J42" i="209" s="1"/>
  <c r="I42" i="209"/>
  <c r="J7" i="154"/>
  <c r="J8" i="154"/>
  <c r="J9" i="154"/>
  <c r="J10" i="154"/>
  <c r="J11" i="154"/>
  <c r="J13" i="154"/>
  <c r="J22" i="154" s="1"/>
  <c r="J16" i="154"/>
  <c r="J20" i="154" s="1"/>
  <c r="J17" i="154"/>
  <c r="J18" i="154"/>
  <c r="E42" i="209"/>
  <c r="C42" i="209"/>
  <c r="H36" i="153"/>
  <c r="H38" i="153"/>
  <c r="H39" i="153"/>
  <c r="H40" i="153"/>
  <c r="H41" i="153"/>
  <c r="H42" i="153"/>
  <c r="H43" i="153"/>
  <c r="H44" i="153"/>
  <c r="H45" i="153"/>
  <c r="H46" i="153"/>
  <c r="H47" i="153"/>
  <c r="H25" i="153"/>
  <c r="H26" i="153"/>
  <c r="H27" i="153"/>
  <c r="H29" i="153"/>
  <c r="H30" i="153"/>
  <c r="H31" i="153"/>
  <c r="J41" i="209"/>
  <c r="H7" i="153"/>
  <c r="H8" i="153"/>
  <c r="H10" i="153"/>
  <c r="H11" i="153"/>
  <c r="H12" i="153"/>
  <c r="H13" i="153"/>
  <c r="H14" i="153"/>
  <c r="H15" i="153"/>
  <c r="H16" i="153"/>
  <c r="H17" i="153"/>
  <c r="H18" i="153"/>
  <c r="H19" i="153"/>
  <c r="H20" i="153"/>
  <c r="H52" i="152"/>
  <c r="H39" i="152"/>
  <c r="N40" i="209"/>
  <c r="O40" i="209" s="1"/>
  <c r="I40" i="209"/>
  <c r="J40" i="209"/>
  <c r="H21" i="152"/>
  <c r="E40" i="209"/>
  <c r="C40" i="209"/>
  <c r="D40" i="209" s="1"/>
  <c r="J45" i="151"/>
  <c r="J46" i="151"/>
  <c r="J47" i="151"/>
  <c r="J49" i="151"/>
  <c r="J29" i="151"/>
  <c r="J30" i="151"/>
  <c r="J31" i="151"/>
  <c r="J32" i="151"/>
  <c r="J34" i="151"/>
  <c r="J35" i="151"/>
  <c r="J36" i="151"/>
  <c r="J37" i="151"/>
  <c r="J38" i="151"/>
  <c r="J39" i="209" s="1"/>
  <c r="J39" i="151"/>
  <c r="J40" i="151"/>
  <c r="N39" i="209"/>
  <c r="J7" i="151"/>
  <c r="J8" i="151"/>
  <c r="J9" i="151"/>
  <c r="J10" i="151"/>
  <c r="J11" i="151"/>
  <c r="J26" i="151" s="1"/>
  <c r="J12" i="151"/>
  <c r="J13" i="151"/>
  <c r="J14" i="151"/>
  <c r="J15" i="151"/>
  <c r="J16" i="151"/>
  <c r="J17" i="151"/>
  <c r="J18" i="151"/>
  <c r="J19" i="151"/>
  <c r="J20" i="151"/>
  <c r="E39" i="209" s="1"/>
  <c r="J21" i="151"/>
  <c r="J22" i="151"/>
  <c r="J23" i="151"/>
  <c r="J24" i="151"/>
  <c r="C39" i="209"/>
  <c r="D39" i="209" s="1"/>
  <c r="G32" i="150"/>
  <c r="G34" i="150" s="1"/>
  <c r="G22" i="150"/>
  <c r="W39" i="211" s="1"/>
  <c r="N38" i="209"/>
  <c r="I38" i="209"/>
  <c r="J38" i="209"/>
  <c r="G13" i="150"/>
  <c r="E38" i="209"/>
  <c r="C38" i="209"/>
  <c r="D38" i="209" s="1"/>
  <c r="G32" i="149"/>
  <c r="G19" i="149"/>
  <c r="W38" i="211" s="1"/>
  <c r="G34" i="149"/>
  <c r="AF38" i="211" s="1"/>
  <c r="N37" i="209"/>
  <c r="J37" i="209"/>
  <c r="I37" i="209"/>
  <c r="G11" i="149"/>
  <c r="K38" i="211" s="1"/>
  <c r="H37" i="209"/>
  <c r="E37" i="209"/>
  <c r="C37" i="209"/>
  <c r="J41" i="148"/>
  <c r="J43" i="148"/>
  <c r="J44" i="148"/>
  <c r="J45" i="148"/>
  <c r="J46" i="148"/>
  <c r="J47" i="148"/>
  <c r="J29" i="148"/>
  <c r="J30" i="148"/>
  <c r="J31" i="148"/>
  <c r="J32" i="148"/>
  <c r="J33" i="148"/>
  <c r="J35" i="148"/>
  <c r="J36" i="148"/>
  <c r="I36" i="209"/>
  <c r="J6" i="148"/>
  <c r="J7" i="148"/>
  <c r="J8" i="148"/>
  <c r="J9" i="148"/>
  <c r="C36" i="209" s="1"/>
  <c r="J10" i="148"/>
  <c r="J11" i="148"/>
  <c r="J12" i="148"/>
  <c r="J13" i="148"/>
  <c r="J14" i="148"/>
  <c r="J16" i="148"/>
  <c r="J18" i="148"/>
  <c r="J19" i="148"/>
  <c r="E36" i="209" s="1"/>
  <c r="J21" i="148"/>
  <c r="G32" i="200"/>
  <c r="W36" i="211" s="1"/>
  <c r="G41" i="200"/>
  <c r="N35" i="209"/>
  <c r="M35" i="209"/>
  <c r="J35" i="209"/>
  <c r="I35" i="209"/>
  <c r="G15" i="200"/>
  <c r="K36" i="211" s="1"/>
  <c r="E35" i="209"/>
  <c r="C35" i="209"/>
  <c r="F35" i="209" s="1"/>
  <c r="G22" i="199"/>
  <c r="G28" i="199"/>
  <c r="N34" i="209"/>
  <c r="O34" i="209" s="1"/>
  <c r="J34" i="209"/>
  <c r="I34" i="209"/>
  <c r="K34" i="209" s="1"/>
  <c r="G11" i="199"/>
  <c r="E34" i="209"/>
  <c r="C34" i="209"/>
  <c r="F34" i="209" s="1"/>
  <c r="J24" i="198"/>
  <c r="J25" i="198"/>
  <c r="J26" i="198"/>
  <c r="J27" i="198"/>
  <c r="J28" i="198"/>
  <c r="J29" i="198"/>
  <c r="J30" i="198"/>
  <c r="J35" i="198"/>
  <c r="J37" i="198"/>
  <c r="J38" i="198"/>
  <c r="J39" i="198"/>
  <c r="J33" i="209"/>
  <c r="I33" i="209"/>
  <c r="K33" i="209" s="1"/>
  <c r="J7" i="198"/>
  <c r="C33" i="209" s="1"/>
  <c r="J8" i="198"/>
  <c r="J9" i="198"/>
  <c r="J10" i="198"/>
  <c r="J11" i="198"/>
  <c r="J13" i="198"/>
  <c r="E33" i="209" s="1"/>
  <c r="J14" i="198"/>
  <c r="J48" i="197"/>
  <c r="J49" i="197"/>
  <c r="J50" i="197"/>
  <c r="J51" i="197"/>
  <c r="J52" i="197"/>
  <c r="J53" i="197"/>
  <c r="J32" i="197"/>
  <c r="J33" i="197"/>
  <c r="J34" i="197"/>
  <c r="J35" i="197"/>
  <c r="J36" i="197"/>
  <c r="J37" i="197"/>
  <c r="J39" i="197"/>
  <c r="J40" i="197"/>
  <c r="N32" i="209"/>
  <c r="O32" i="209" s="1"/>
  <c r="J32" i="209"/>
  <c r="J7" i="197"/>
  <c r="C32" i="209" s="1"/>
  <c r="J8" i="197"/>
  <c r="J9" i="197"/>
  <c r="J10" i="197"/>
  <c r="J11" i="197"/>
  <c r="J12" i="197"/>
  <c r="J13" i="197"/>
  <c r="J14" i="197"/>
  <c r="J15" i="197"/>
  <c r="J18" i="197"/>
  <c r="J20" i="197"/>
  <c r="J21" i="197"/>
  <c r="J23" i="197"/>
  <c r="J24" i="197"/>
  <c r="J26" i="197"/>
  <c r="G30" i="195"/>
  <c r="W32" i="211" s="1"/>
  <c r="G45" i="195"/>
  <c r="G47" i="195"/>
  <c r="AF32" i="211" s="1"/>
  <c r="N31" i="209"/>
  <c r="M31" i="209"/>
  <c r="J31" i="209"/>
  <c r="I31" i="209"/>
  <c r="G13" i="195"/>
  <c r="K32" i="211" s="1"/>
  <c r="H31" i="209"/>
  <c r="E31" i="209"/>
  <c r="C31" i="209"/>
  <c r="J68" i="196"/>
  <c r="J71" i="196" s="1"/>
  <c r="J69" i="196"/>
  <c r="J49" i="196"/>
  <c r="I30" i="209" s="1"/>
  <c r="K30" i="209" s="1"/>
  <c r="J50" i="196"/>
  <c r="J51" i="196"/>
  <c r="J52" i="196"/>
  <c r="J53" i="196"/>
  <c r="J54" i="196"/>
  <c r="J55" i="196"/>
  <c r="J56" i="196"/>
  <c r="J57" i="196"/>
  <c r="J59" i="196"/>
  <c r="J60" i="196"/>
  <c r="J61" i="196"/>
  <c r="J62" i="196"/>
  <c r="J63" i="196"/>
  <c r="J76" i="196"/>
  <c r="J78" i="196"/>
  <c r="J79" i="196"/>
  <c r="J80" i="196"/>
  <c r="J81" i="196"/>
  <c r="J82" i="196"/>
  <c r="J83" i="196"/>
  <c r="J84" i="196"/>
  <c r="J85" i="196"/>
  <c r="J86" i="196"/>
  <c r="J87" i="196"/>
  <c r="J88" i="196"/>
  <c r="J89" i="196"/>
  <c r="J91" i="196"/>
  <c r="J30" i="209"/>
  <c r="J9" i="196"/>
  <c r="J10" i="196"/>
  <c r="J11" i="196"/>
  <c r="J14" i="196"/>
  <c r="J15" i="196"/>
  <c r="J16" i="196"/>
  <c r="J19" i="196"/>
  <c r="J21" i="196"/>
  <c r="J24" i="196"/>
  <c r="J25" i="196"/>
  <c r="J26" i="196"/>
  <c r="J27" i="196"/>
  <c r="J29" i="196"/>
  <c r="J40" i="196" s="1"/>
  <c r="J33" i="196"/>
  <c r="J34" i="196"/>
  <c r="J35" i="196"/>
  <c r="J36" i="196"/>
  <c r="J38" i="196" s="1"/>
  <c r="E30" i="209"/>
  <c r="G22" i="194"/>
  <c r="W30" i="211" s="1"/>
  <c r="G37" i="194"/>
  <c r="G39" i="194"/>
  <c r="AF30" i="211" s="1"/>
  <c r="N29" i="209"/>
  <c r="J25" i="193"/>
  <c r="I28" i="209" s="1"/>
  <c r="J26" i="193"/>
  <c r="J27" i="193"/>
  <c r="J28" i="193"/>
  <c r="J29" i="193"/>
  <c r="J30" i="193"/>
  <c r="J32" i="193"/>
  <c r="J33" i="193"/>
  <c r="J34" i="193"/>
  <c r="J28" i="209" s="1"/>
  <c r="J39" i="193"/>
  <c r="J41" i="193"/>
  <c r="J42" i="193"/>
  <c r="J43" i="193"/>
  <c r="J44" i="193"/>
  <c r="J45" i="193"/>
  <c r="J46" i="193"/>
  <c r="N28" i="209" s="1"/>
  <c r="J47" i="193"/>
  <c r="J48" i="193"/>
  <c r="J49" i="193"/>
  <c r="O28" i="209"/>
  <c r="G13" i="194"/>
  <c r="E29" i="209"/>
  <c r="C29" i="209"/>
  <c r="M29" i="209"/>
  <c r="J29" i="209"/>
  <c r="I29" i="209"/>
  <c r="K29" i="209" s="1"/>
  <c r="L29" i="209" s="1"/>
  <c r="J8" i="193"/>
  <c r="C28" i="209" s="1"/>
  <c r="F28" i="209" s="1"/>
  <c r="J9" i="193"/>
  <c r="J10" i="193"/>
  <c r="J11" i="193"/>
  <c r="J12" i="193"/>
  <c r="J14" i="193"/>
  <c r="J16" i="193"/>
  <c r="E28" i="209" s="1"/>
  <c r="J17" i="193"/>
  <c r="J18" i="193"/>
  <c r="J19" i="193"/>
  <c r="J20" i="193"/>
  <c r="J22" i="193"/>
  <c r="K29" i="211" s="1"/>
  <c r="H41" i="192"/>
  <c r="W28" i="211" s="1"/>
  <c r="H53" i="192"/>
  <c r="H55" i="192" s="1"/>
  <c r="N27" i="209"/>
  <c r="O27" i="209" s="1"/>
  <c r="M27" i="209"/>
  <c r="L27" i="209" s="1"/>
  <c r="J27" i="209"/>
  <c r="I27" i="209"/>
  <c r="H21" i="192"/>
  <c r="K28" i="211" s="1"/>
  <c r="H27" i="209"/>
  <c r="E27" i="209"/>
  <c r="C27" i="209"/>
  <c r="F27" i="209" s="1"/>
  <c r="G27" i="209" s="1"/>
  <c r="J30" i="191"/>
  <c r="J37" i="191" s="1"/>
  <c r="J32" i="191"/>
  <c r="J33" i="191"/>
  <c r="J34" i="191"/>
  <c r="J35" i="191"/>
  <c r="J18" i="191"/>
  <c r="J19" i="191"/>
  <c r="J20" i="191"/>
  <c r="J22" i="191"/>
  <c r="J24" i="191"/>
  <c r="J25" i="191"/>
  <c r="J26" i="209"/>
  <c r="J7" i="191"/>
  <c r="J8" i="191"/>
  <c r="J11" i="191"/>
  <c r="J12" i="191"/>
  <c r="J13" i="191"/>
  <c r="C26" i="209"/>
  <c r="G20" i="190"/>
  <c r="W26" i="211" s="1"/>
  <c r="G26" i="190"/>
  <c r="G28" i="190"/>
  <c r="AF26" i="211" s="1"/>
  <c r="R25" i="209"/>
  <c r="N25" i="209"/>
  <c r="J25" i="209"/>
  <c r="I25" i="209"/>
  <c r="K25" i="209" s="1"/>
  <c r="G10" i="190"/>
  <c r="K26" i="211" s="1"/>
  <c r="H25" i="209"/>
  <c r="E25" i="209"/>
  <c r="C25" i="209"/>
  <c r="J37" i="189"/>
  <c r="J38" i="189"/>
  <c r="J39" i="189"/>
  <c r="J41" i="189"/>
  <c r="J19" i="189"/>
  <c r="J20" i="189"/>
  <c r="J21" i="189"/>
  <c r="J22" i="189"/>
  <c r="J23" i="189"/>
  <c r="J26" i="189"/>
  <c r="J27" i="189"/>
  <c r="J28" i="189"/>
  <c r="J30" i="189"/>
  <c r="J31" i="189"/>
  <c r="J32" i="189"/>
  <c r="N24" i="209"/>
  <c r="J24" i="209"/>
  <c r="J7" i="189"/>
  <c r="J8" i="189"/>
  <c r="J9" i="189"/>
  <c r="J10" i="189"/>
  <c r="J12" i="189"/>
  <c r="J13" i="189"/>
  <c r="J14" i="189"/>
  <c r="C24" i="209"/>
  <c r="D24" i="209" s="1"/>
  <c r="G36" i="188"/>
  <c r="G23" i="188"/>
  <c r="W24" i="211" s="1"/>
  <c r="G38" i="188"/>
  <c r="AF24" i="211" s="1"/>
  <c r="R23" i="209"/>
  <c r="N23" i="209"/>
  <c r="O23" i="209" s="1"/>
  <c r="J23" i="209"/>
  <c r="I23" i="209"/>
  <c r="G12" i="188"/>
  <c r="K24" i="211" s="1"/>
  <c r="H23" i="209"/>
  <c r="E23" i="209"/>
  <c r="C23" i="209"/>
  <c r="D23" i="209" s="1"/>
  <c r="J27" i="187"/>
  <c r="J29" i="187"/>
  <c r="J30" i="187"/>
  <c r="J31" i="187"/>
  <c r="N22" i="209" s="1"/>
  <c r="O22" i="209" s="1"/>
  <c r="J32" i="187"/>
  <c r="J33" i="187"/>
  <c r="J34" i="187"/>
  <c r="J35" i="187"/>
  <c r="J36" i="187"/>
  <c r="J37" i="187"/>
  <c r="J38" i="187"/>
  <c r="J39" i="187"/>
  <c r="J41" i="187"/>
  <c r="J18" i="187"/>
  <c r="J19" i="187"/>
  <c r="J24" i="187" s="1"/>
  <c r="J21" i="187"/>
  <c r="J22" i="187"/>
  <c r="J22" i="209" s="1"/>
  <c r="K22" i="209" s="1"/>
  <c r="I22" i="209"/>
  <c r="J7" i="187"/>
  <c r="J8" i="187"/>
  <c r="J9" i="187"/>
  <c r="J10" i="187"/>
  <c r="J11" i="187"/>
  <c r="J12" i="187"/>
  <c r="J13" i="187"/>
  <c r="E22" i="209"/>
  <c r="J36" i="186"/>
  <c r="J46" i="186" s="1"/>
  <c r="J37" i="186"/>
  <c r="J38" i="186"/>
  <c r="J39" i="186"/>
  <c r="J40" i="186"/>
  <c r="J43" i="186"/>
  <c r="J44" i="186"/>
  <c r="J21" i="209" s="1"/>
  <c r="J52" i="186"/>
  <c r="J54" i="186"/>
  <c r="J55" i="186"/>
  <c r="J56" i="186"/>
  <c r="J57" i="186"/>
  <c r="N21" i="209" s="1"/>
  <c r="O21" i="209" s="1"/>
  <c r="J58" i="186"/>
  <c r="J60" i="186" s="1"/>
  <c r="J49" i="186"/>
  <c r="I21" i="209"/>
  <c r="K21" i="209" s="1"/>
  <c r="J8" i="186"/>
  <c r="J9" i="186"/>
  <c r="J10" i="186"/>
  <c r="J11" i="186"/>
  <c r="J12" i="186"/>
  <c r="J13" i="186"/>
  <c r="J14" i="186"/>
  <c r="J18" i="186"/>
  <c r="J19" i="186"/>
  <c r="J20" i="186"/>
  <c r="J21" i="186"/>
  <c r="J23" i="186"/>
  <c r="J24" i="186"/>
  <c r="J31" i="185"/>
  <c r="J35" i="185" s="1"/>
  <c r="J32" i="185"/>
  <c r="J33" i="185"/>
  <c r="J16" i="185"/>
  <c r="J17" i="185"/>
  <c r="J28" i="185" s="1"/>
  <c r="J18" i="185"/>
  <c r="J19" i="185"/>
  <c r="J20" i="185"/>
  <c r="J21" i="185"/>
  <c r="J22" i="185"/>
  <c r="J23" i="185"/>
  <c r="J25" i="185"/>
  <c r="J26" i="185"/>
  <c r="N20" i="209"/>
  <c r="O20" i="209"/>
  <c r="J20" i="209"/>
  <c r="J7" i="185"/>
  <c r="J13" i="185" s="1"/>
  <c r="J8" i="185"/>
  <c r="J9" i="185"/>
  <c r="C20" i="209" s="1"/>
  <c r="J10" i="185"/>
  <c r="J11" i="185"/>
  <c r="E20" i="209" s="1"/>
  <c r="G26" i="184"/>
  <c r="G31" i="184"/>
  <c r="G40" i="184"/>
  <c r="N19" i="209"/>
  <c r="J19" i="209"/>
  <c r="I19" i="209"/>
  <c r="K19" i="209"/>
  <c r="G14" i="184"/>
  <c r="E19" i="209"/>
  <c r="C19" i="209"/>
  <c r="F19" i="209" s="1"/>
  <c r="G23" i="183"/>
  <c r="W19" i="211" s="1"/>
  <c r="G36" i="183"/>
  <c r="G38" i="183"/>
  <c r="AF19" i="211" s="1"/>
  <c r="R18" i="209"/>
  <c r="N18" i="209"/>
  <c r="J18" i="209"/>
  <c r="I18" i="209"/>
  <c r="G13" i="183"/>
  <c r="K19" i="211" s="1"/>
  <c r="H18" i="209"/>
  <c r="E18" i="209"/>
  <c r="C18" i="209"/>
  <c r="H22" i="182"/>
  <c r="W18" i="211" s="1"/>
  <c r="H31" i="182"/>
  <c r="H33" i="182"/>
  <c r="AF18" i="211" s="1"/>
  <c r="I17" i="209"/>
  <c r="J17" i="209"/>
  <c r="N17" i="209"/>
  <c r="O17" i="209" s="1"/>
  <c r="M17" i="209"/>
  <c r="H14" i="182"/>
  <c r="K18" i="211" s="1"/>
  <c r="E17" i="209"/>
  <c r="C17" i="209"/>
  <c r="G23" i="181"/>
  <c r="W17" i="211" s="1"/>
  <c r="G37" i="181"/>
  <c r="G39" i="181"/>
  <c r="N16" i="209"/>
  <c r="J16" i="209"/>
  <c r="I16" i="209"/>
  <c r="G12" i="181"/>
  <c r="K17" i="211" s="1"/>
  <c r="H16" i="209"/>
  <c r="E16" i="209"/>
  <c r="C16" i="209"/>
  <c r="D16" i="209" s="1"/>
  <c r="G17" i="180"/>
  <c r="W16" i="211" s="1"/>
  <c r="G24" i="180"/>
  <c r="G26" i="180" s="1"/>
  <c r="N15" i="209"/>
  <c r="O15" i="209" s="1"/>
  <c r="M15" i="209"/>
  <c r="J15" i="209"/>
  <c r="I15" i="209"/>
  <c r="K15" i="209"/>
  <c r="G10" i="180"/>
  <c r="K16" i="211" s="1"/>
  <c r="H15" i="209"/>
  <c r="E15" i="209"/>
  <c r="C15" i="209"/>
  <c r="J31" i="179"/>
  <c r="J32" i="179"/>
  <c r="J33" i="179"/>
  <c r="J34" i="179"/>
  <c r="J35" i="179"/>
  <c r="J36" i="179"/>
  <c r="J37" i="179"/>
  <c r="I14" i="209" s="1"/>
  <c r="K14" i="209" s="1"/>
  <c r="J39" i="179"/>
  <c r="J40" i="179"/>
  <c r="J48" i="179"/>
  <c r="J50" i="179"/>
  <c r="N14" i="209" s="1"/>
  <c r="J51" i="179"/>
  <c r="J52" i="179"/>
  <c r="J55" i="179"/>
  <c r="J45" i="179"/>
  <c r="J14" i="209"/>
  <c r="J7" i="179"/>
  <c r="J8" i="179"/>
  <c r="J9" i="179"/>
  <c r="J10" i="179"/>
  <c r="J11" i="179"/>
  <c r="J12" i="179"/>
  <c r="J13" i="179"/>
  <c r="J14" i="179"/>
  <c r="J15" i="179"/>
  <c r="J16" i="179"/>
  <c r="J18" i="179"/>
  <c r="J19" i="179"/>
  <c r="J20" i="179"/>
  <c r="J22" i="179"/>
  <c r="J23" i="179"/>
  <c r="E14" i="209"/>
  <c r="H38" i="203"/>
  <c r="W14" i="211" s="1"/>
  <c r="H58" i="203"/>
  <c r="H60" i="203" s="1"/>
  <c r="N13" i="209"/>
  <c r="O13" i="209" s="1"/>
  <c r="P13" i="209" s="1"/>
  <c r="M13" i="209"/>
  <c r="L13" i="209" s="1"/>
  <c r="J13" i="209"/>
  <c r="I13" i="209"/>
  <c r="H18" i="203"/>
  <c r="K14" i="211" s="1"/>
  <c r="H13" i="209"/>
  <c r="E13" i="209"/>
  <c r="C13" i="209"/>
  <c r="J34" i="178"/>
  <c r="J36" i="178"/>
  <c r="J37" i="178"/>
  <c r="J38" i="178"/>
  <c r="J39" i="178"/>
  <c r="J40" i="178"/>
  <c r="J41" i="178"/>
  <c r="J42" i="178"/>
  <c r="J43" i="178"/>
  <c r="J44" i="178"/>
  <c r="J31" i="178"/>
  <c r="J21" i="178"/>
  <c r="J23" i="178"/>
  <c r="J25" i="178"/>
  <c r="J26" i="178"/>
  <c r="J12" i="209" s="1"/>
  <c r="I12" i="209"/>
  <c r="K12" i="209"/>
  <c r="J7" i="178"/>
  <c r="J8" i="178"/>
  <c r="J17" i="178" s="1"/>
  <c r="J9" i="178"/>
  <c r="J10" i="178"/>
  <c r="J11" i="178"/>
  <c r="C12" i="209" s="1"/>
  <c r="J13" i="178"/>
  <c r="E12" i="209" s="1"/>
  <c r="J14" i="178"/>
  <c r="J15" i="178"/>
  <c r="G22" i="177"/>
  <c r="G28" i="177"/>
  <c r="N11" i="209"/>
  <c r="J11" i="209"/>
  <c r="I11" i="209"/>
  <c r="K11" i="209" s="1"/>
  <c r="G10" i="177"/>
  <c r="K12" i="211" s="1"/>
  <c r="E11" i="209"/>
  <c r="C11" i="209"/>
  <c r="F11" i="209" s="1"/>
  <c r="G25" i="202"/>
  <c r="W11" i="211" s="1"/>
  <c r="G42" i="202"/>
  <c r="G44" i="202"/>
  <c r="N10" i="209"/>
  <c r="J10" i="209"/>
  <c r="I10" i="209"/>
  <c r="G16" i="202"/>
  <c r="K11" i="211" s="1"/>
  <c r="H10" i="209"/>
  <c r="E10" i="209"/>
  <c r="C10" i="209"/>
  <c r="H38" i="201"/>
  <c r="H27" i="201"/>
  <c r="H32" i="201" s="1"/>
  <c r="N9" i="209"/>
  <c r="O9" i="209" s="1"/>
  <c r="P9" i="209" s="1"/>
  <c r="J9" i="209"/>
  <c r="I9" i="209"/>
  <c r="K9" i="209"/>
  <c r="H12" i="201"/>
  <c r="H18" i="201"/>
  <c r="H20" i="201" s="1"/>
  <c r="E9" i="209"/>
  <c r="C9" i="209"/>
  <c r="H27" i="176"/>
  <c r="W9" i="211" s="1"/>
  <c r="H34" i="176"/>
  <c r="H36" i="176"/>
  <c r="AF9" i="211" s="1"/>
  <c r="R8" i="209"/>
  <c r="N8" i="209"/>
  <c r="O8" i="209" s="1"/>
  <c r="P8" i="209" s="1"/>
  <c r="Q8" i="209" s="1"/>
  <c r="M8" i="209"/>
  <c r="J8" i="209"/>
  <c r="I8" i="209"/>
  <c r="H14" i="176"/>
  <c r="K9" i="211" s="1"/>
  <c r="H8" i="209"/>
  <c r="E8" i="209"/>
  <c r="C8" i="209"/>
  <c r="D8" i="209" s="1"/>
  <c r="K29" i="147"/>
  <c r="K30" i="147"/>
  <c r="K31" i="147"/>
  <c r="K32" i="147"/>
  <c r="K33" i="147"/>
  <c r="K34" i="147"/>
  <c r="K42" i="147" s="1"/>
  <c r="K35" i="147"/>
  <c r="K36" i="147"/>
  <c r="K37" i="147"/>
  <c r="K38" i="147"/>
  <c r="K39" i="147"/>
  <c r="K40" i="147"/>
  <c r="K51" i="147"/>
  <c r="K53" i="147"/>
  <c r="K54" i="147"/>
  <c r="K55" i="147"/>
  <c r="K57" i="147"/>
  <c r="K45" i="147"/>
  <c r="K46" i="147"/>
  <c r="K48" i="147"/>
  <c r="M7" i="209"/>
  <c r="J7" i="209"/>
  <c r="K8" i="147"/>
  <c r="K9" i="147"/>
  <c r="K10" i="147"/>
  <c r="K11" i="147"/>
  <c r="K12" i="147"/>
  <c r="K13" i="147"/>
  <c r="C7" i="209" s="1"/>
  <c r="K14" i="147"/>
  <c r="K15" i="147"/>
  <c r="K16" i="147"/>
  <c r="K18" i="147"/>
  <c r="K19" i="147"/>
  <c r="E7" i="209"/>
  <c r="G26" i="146"/>
  <c r="W7" i="211" s="1"/>
  <c r="G43" i="146"/>
  <c r="N6" i="209"/>
  <c r="O6" i="209"/>
  <c r="P6" i="209"/>
  <c r="M6" i="209"/>
  <c r="J6" i="209"/>
  <c r="I6" i="209"/>
  <c r="G13" i="146"/>
  <c r="K7" i="211" s="1"/>
  <c r="E6" i="209"/>
  <c r="C6" i="209"/>
  <c r="H56" i="145"/>
  <c r="H58" i="145" s="1"/>
  <c r="H42" i="145"/>
  <c r="W6" i="211" s="1"/>
  <c r="N5" i="209"/>
  <c r="J5" i="209"/>
  <c r="I5" i="209"/>
  <c r="K5" i="209"/>
  <c r="H17" i="145"/>
  <c r="K6" i="211" s="1"/>
  <c r="E5" i="209"/>
  <c r="C5" i="209"/>
  <c r="O5" i="209"/>
  <c r="K6" i="209"/>
  <c r="K8" i="209"/>
  <c r="O10" i="209"/>
  <c r="K10" i="209"/>
  <c r="O11" i="209"/>
  <c r="K13" i="209"/>
  <c r="O14" i="209"/>
  <c r="O16" i="209"/>
  <c r="K16" i="209"/>
  <c r="P16" i="209"/>
  <c r="O18" i="209"/>
  <c r="K18" i="209"/>
  <c r="O19" i="209"/>
  <c r="K23" i="209"/>
  <c r="O24" i="209"/>
  <c r="O25" i="209"/>
  <c r="P25" i="209"/>
  <c r="Q25" i="209" s="1"/>
  <c r="K27" i="209"/>
  <c r="P27" i="209"/>
  <c r="O29" i="209"/>
  <c r="P29" i="209" s="1"/>
  <c r="O31" i="209"/>
  <c r="K31" i="209"/>
  <c r="L31" i="209" s="1"/>
  <c r="O35" i="209"/>
  <c r="P35" i="209" s="1"/>
  <c r="K35" i="209"/>
  <c r="L35" i="209"/>
  <c r="O37" i="209"/>
  <c r="K37" i="209"/>
  <c r="P37" i="209"/>
  <c r="O38" i="209"/>
  <c r="K38" i="209"/>
  <c r="O39" i="209"/>
  <c r="O44" i="209"/>
  <c r="K45" i="209"/>
  <c r="O46" i="209"/>
  <c r="K47" i="209"/>
  <c r="O48" i="209"/>
  <c r="K48" i="209"/>
  <c r="O50" i="209"/>
  <c r="O52" i="209"/>
  <c r="O53" i="209"/>
  <c r="O55" i="209"/>
  <c r="K55" i="209"/>
  <c r="P55" i="209"/>
  <c r="O57" i="209"/>
  <c r="O58" i="209"/>
  <c r="P58" i="209" s="1"/>
  <c r="K58" i="209"/>
  <c r="O60" i="209"/>
  <c r="O61" i="209"/>
  <c r="K61" i="209"/>
  <c r="O62" i="209"/>
  <c r="K64" i="209"/>
  <c r="O65" i="209"/>
  <c r="G44" i="209"/>
  <c r="L15" i="209"/>
  <c r="L8" i="209"/>
  <c r="H31" i="208"/>
  <c r="H25" i="208"/>
  <c r="H10" i="208"/>
  <c r="H16" i="208"/>
  <c r="H39" i="208"/>
  <c r="H41" i="208" s="1"/>
  <c r="I51" i="207"/>
  <c r="I37" i="207"/>
  <c r="V68" i="144" s="1"/>
  <c r="AA68" i="144"/>
  <c r="Z68" i="144"/>
  <c r="Y68" i="144"/>
  <c r="S68" i="144"/>
  <c r="R68" i="144"/>
  <c r="Q68" i="144"/>
  <c r="L68" i="144"/>
  <c r="I24" i="207"/>
  <c r="K68" i="144"/>
  <c r="F68" i="144"/>
  <c r="H68" i="144"/>
  <c r="E68" i="144"/>
  <c r="D68" i="144"/>
  <c r="C68" i="144"/>
  <c r="L43" i="144"/>
  <c r="M43" i="144"/>
  <c r="P43" i="144"/>
  <c r="S43" i="144"/>
  <c r="Y43" i="144"/>
  <c r="AA43" i="144"/>
  <c r="AB43" i="144" s="1"/>
  <c r="I54" i="154"/>
  <c r="I45" i="154"/>
  <c r="I47" i="154" s="1"/>
  <c r="I56" i="154" s="1"/>
  <c r="AE43" i="144" s="1"/>
  <c r="I36" i="154"/>
  <c r="L44" i="144"/>
  <c r="Q44" i="144"/>
  <c r="R44" i="144"/>
  <c r="S44" i="144"/>
  <c r="T44" i="211" s="1"/>
  <c r="Y44" i="144"/>
  <c r="Z44" i="144"/>
  <c r="AA44" i="144"/>
  <c r="G29" i="204"/>
  <c r="G44" i="204" s="1"/>
  <c r="AE44" i="144" s="1"/>
  <c r="G42" i="204"/>
  <c r="T45" i="144"/>
  <c r="AB45" i="144"/>
  <c r="L13" i="144"/>
  <c r="Q13" i="144"/>
  <c r="R13" i="144"/>
  <c r="S13" i="144"/>
  <c r="T13" i="211" s="1"/>
  <c r="T13" i="144"/>
  <c r="Y13" i="144"/>
  <c r="AA13" i="144"/>
  <c r="AB13" i="144"/>
  <c r="I46" i="178"/>
  <c r="I28" i="178"/>
  <c r="I48" i="178" s="1"/>
  <c r="AE13" i="144" s="1"/>
  <c r="T14" i="144"/>
  <c r="AB14" i="144"/>
  <c r="AC14" i="144"/>
  <c r="AD14" i="144" s="1"/>
  <c r="L15" i="144"/>
  <c r="P15" i="144"/>
  <c r="Q15" i="144"/>
  <c r="R15" i="144"/>
  <c r="S15" i="144"/>
  <c r="Y15" i="144"/>
  <c r="Z15" i="144"/>
  <c r="AA15" i="144"/>
  <c r="I42" i="179"/>
  <c r="I55" i="179"/>
  <c r="I57" i="179"/>
  <c r="AE15" i="144"/>
  <c r="T16" i="144"/>
  <c r="AB16" i="144"/>
  <c r="T17" i="144"/>
  <c r="AB17" i="144"/>
  <c r="AC17" i="144"/>
  <c r="AD17" i="144" s="1"/>
  <c r="T18" i="144"/>
  <c r="AB18" i="144"/>
  <c r="AC18" i="144"/>
  <c r="AD18" i="144" s="1"/>
  <c r="T19" i="144"/>
  <c r="AB19" i="144"/>
  <c r="AC19" i="144"/>
  <c r="AD19" i="144" s="1"/>
  <c r="T20" i="144"/>
  <c r="AB20" i="144"/>
  <c r="AC20" i="144"/>
  <c r="AD20" i="144" s="1"/>
  <c r="L21" i="144"/>
  <c r="S21" i="144"/>
  <c r="T21" i="144"/>
  <c r="Y21" i="144"/>
  <c r="AA21" i="144"/>
  <c r="AB21" i="144" s="1"/>
  <c r="I35" i="185"/>
  <c r="I28" i="185"/>
  <c r="I37" i="185"/>
  <c r="AE21" i="144"/>
  <c r="L22" i="144"/>
  <c r="Q22" i="144"/>
  <c r="R22" i="144"/>
  <c r="S22" i="144"/>
  <c r="Y22" i="144"/>
  <c r="Z22" i="144"/>
  <c r="AA22" i="144"/>
  <c r="AB22" i="144"/>
  <c r="I46" i="186"/>
  <c r="I62" i="186" s="1"/>
  <c r="AE22" i="144" s="1"/>
  <c r="I60" i="186"/>
  <c r="L23" i="144"/>
  <c r="Q23" i="144"/>
  <c r="R23" i="144"/>
  <c r="T23" i="144" s="1"/>
  <c r="Z23" i="144"/>
  <c r="AA23" i="144"/>
  <c r="AB23" i="144"/>
  <c r="I41" i="187"/>
  <c r="I24" i="187"/>
  <c r="I43" i="187"/>
  <c r="AE23" i="144" s="1"/>
  <c r="T24" i="144"/>
  <c r="AB24" i="144"/>
  <c r="AC24" i="144"/>
  <c r="AD24" i="144" s="1"/>
  <c r="L25" i="144"/>
  <c r="N25" i="144"/>
  <c r="O25" i="144"/>
  <c r="R25" i="144"/>
  <c r="S25" i="144"/>
  <c r="Y25" i="144"/>
  <c r="Z25" i="144"/>
  <c r="AA25" i="144"/>
  <c r="I41" i="189"/>
  <c r="I34" i="189"/>
  <c r="I43" i="189"/>
  <c r="AE25" i="144"/>
  <c r="T26" i="144"/>
  <c r="AB26" i="144"/>
  <c r="AC26" i="144"/>
  <c r="AD26" i="144" s="1"/>
  <c r="L27" i="144"/>
  <c r="M27" i="144"/>
  <c r="S27" i="144"/>
  <c r="Y27" i="144"/>
  <c r="AA27" i="144"/>
  <c r="AB27" i="144" s="1"/>
  <c r="I37" i="191"/>
  <c r="I27" i="191"/>
  <c r="I39" i="191"/>
  <c r="AE27" i="144"/>
  <c r="T28" i="144"/>
  <c r="Y28" i="144"/>
  <c r="Z28" i="144"/>
  <c r="AA28" i="144"/>
  <c r="I53" i="192"/>
  <c r="I41" i="192"/>
  <c r="I55" i="192"/>
  <c r="AE28" i="144" s="1"/>
  <c r="L29" i="144"/>
  <c r="Q29" i="144"/>
  <c r="R29" i="144"/>
  <c r="S29" i="144"/>
  <c r="T29" i="144"/>
  <c r="Y29" i="144"/>
  <c r="Z29" i="144"/>
  <c r="AA29" i="144"/>
  <c r="I36" i="193"/>
  <c r="I51" i="193"/>
  <c r="I53" i="193"/>
  <c r="AE29" i="144"/>
  <c r="T30" i="144"/>
  <c r="AB30" i="144"/>
  <c r="AC30" i="144" s="1"/>
  <c r="AD30" i="144" s="1"/>
  <c r="T32" i="144"/>
  <c r="AB32" i="144"/>
  <c r="AC32" i="144"/>
  <c r="AD32" i="144"/>
  <c r="L31" i="144"/>
  <c r="Q31" i="144"/>
  <c r="R31" i="144"/>
  <c r="S31" i="144"/>
  <c r="Y31" i="144"/>
  <c r="Z31" i="144"/>
  <c r="AA31" i="144"/>
  <c r="I71" i="196"/>
  <c r="I65" i="196"/>
  <c r="I73" i="196"/>
  <c r="I93" i="196"/>
  <c r="I95" i="196"/>
  <c r="AE31" i="144"/>
  <c r="T35" i="144"/>
  <c r="AB35" i="144"/>
  <c r="T11" i="144"/>
  <c r="U11" i="144"/>
  <c r="T12" i="144"/>
  <c r="U12" i="144" s="1"/>
  <c r="V13" i="144"/>
  <c r="U14" i="144"/>
  <c r="L42" i="144"/>
  <c r="Q42" i="144"/>
  <c r="R42" i="144"/>
  <c r="S42" i="144"/>
  <c r="G33" i="153"/>
  <c r="V42" i="144" s="1"/>
  <c r="V43" i="144"/>
  <c r="V44" i="144"/>
  <c r="C44" i="144"/>
  <c r="E44" i="144"/>
  <c r="F44" i="144"/>
  <c r="G44" i="144"/>
  <c r="H44" i="144"/>
  <c r="G19" i="204"/>
  <c r="K44" i="144"/>
  <c r="C13" i="144"/>
  <c r="D13" i="144"/>
  <c r="E13" i="144"/>
  <c r="F13" i="144"/>
  <c r="H13" i="144"/>
  <c r="I13" i="144"/>
  <c r="I17" i="178"/>
  <c r="K13" i="144" s="1"/>
  <c r="I14" i="144"/>
  <c r="J14" i="144"/>
  <c r="C15" i="144"/>
  <c r="D15" i="144"/>
  <c r="E15" i="144"/>
  <c r="F15" i="144"/>
  <c r="G15" i="144"/>
  <c r="H15" i="144"/>
  <c r="I25" i="179"/>
  <c r="K15" i="144" s="1"/>
  <c r="I16" i="144"/>
  <c r="J16" i="144" s="1"/>
  <c r="I17" i="144"/>
  <c r="J17" i="144"/>
  <c r="I18" i="144"/>
  <c r="J18" i="144"/>
  <c r="Z44" i="3"/>
  <c r="AA44" i="3"/>
  <c r="AB44" i="3"/>
  <c r="AC44" i="3"/>
  <c r="M44" i="3"/>
  <c r="M44" i="211" s="1"/>
  <c r="Q44" i="3"/>
  <c r="Q44" i="211" s="1"/>
  <c r="R44" i="3"/>
  <c r="R44" i="211" s="1"/>
  <c r="S44" i="3"/>
  <c r="S44" i="211" s="1"/>
  <c r="F29" i="204"/>
  <c r="F42" i="204"/>
  <c r="Z45" i="3"/>
  <c r="AA45" i="3"/>
  <c r="AB45" i="3"/>
  <c r="AC45" i="3"/>
  <c r="M45" i="3"/>
  <c r="R45" i="3"/>
  <c r="R45" i="211" s="1"/>
  <c r="S45" i="3"/>
  <c r="S45" i="211" s="1"/>
  <c r="T45" i="3"/>
  <c r="T45" i="211" s="1"/>
  <c r="AF45" i="3"/>
  <c r="Z46" i="3"/>
  <c r="AA46" i="3"/>
  <c r="AB46" i="3"/>
  <c r="M46" i="3"/>
  <c r="N46" i="3"/>
  <c r="N46" i="211" s="1"/>
  <c r="H24" i="156"/>
  <c r="H32" i="156" s="1"/>
  <c r="H30" i="156"/>
  <c r="H45" i="156"/>
  <c r="Z47" i="3"/>
  <c r="AA47" i="3"/>
  <c r="AB47" i="3"/>
  <c r="M47" i="3"/>
  <c r="M47" i="211" s="1"/>
  <c r="U47" i="211" s="1"/>
  <c r="V47" i="211" s="1"/>
  <c r="U47" i="3"/>
  <c r="AF47" i="3"/>
  <c r="Z48" i="3"/>
  <c r="AB48" i="3"/>
  <c r="M48" i="3"/>
  <c r="M48" i="211" s="1"/>
  <c r="R48" i="3"/>
  <c r="R48" i="211" s="1"/>
  <c r="S48" i="3"/>
  <c r="S48" i="211" s="1"/>
  <c r="AF48" i="3"/>
  <c r="Z49" i="3"/>
  <c r="AA49" i="3"/>
  <c r="AB49" i="3"/>
  <c r="M49" i="3"/>
  <c r="R49" i="3"/>
  <c r="S49" i="3"/>
  <c r="T49" i="3"/>
  <c r="F54" i="159"/>
  <c r="F56" i="159" s="1"/>
  <c r="AF49" i="211" s="1"/>
  <c r="F42" i="159"/>
  <c r="AF49" i="3"/>
  <c r="Z50" i="3"/>
  <c r="AA50" i="3"/>
  <c r="AB50" i="3"/>
  <c r="AC50" i="3"/>
  <c r="M50" i="3"/>
  <c r="Q50" i="3"/>
  <c r="Q50" i="211" s="1"/>
  <c r="R50" i="3"/>
  <c r="S50" i="3"/>
  <c r="T50" i="3"/>
  <c r="H56" i="160"/>
  <c r="H58" i="160" s="1"/>
  <c r="AF50" i="211" s="1"/>
  <c r="H41" i="160"/>
  <c r="Z51" i="3"/>
  <c r="AA51" i="3"/>
  <c r="AB51" i="3"/>
  <c r="AC51" i="3"/>
  <c r="M51" i="3"/>
  <c r="M51" i="211" s="1"/>
  <c r="N51" i="3"/>
  <c r="N51" i="211" s="1"/>
  <c r="O51" i="3"/>
  <c r="P51" i="3"/>
  <c r="P51" i="211" s="1"/>
  <c r="T51" i="3"/>
  <c r="T51" i="211" s="1"/>
  <c r="AF51" i="3"/>
  <c r="Z52" i="3"/>
  <c r="AA52" i="3"/>
  <c r="AB52" i="3"/>
  <c r="M52" i="3"/>
  <c r="R52" i="3"/>
  <c r="S52" i="3"/>
  <c r="T52" i="3"/>
  <c r="G53" i="161"/>
  <c r="G55" i="161" s="1"/>
  <c r="G37" i="161"/>
  <c r="Z53" i="3"/>
  <c r="AA53" i="3"/>
  <c r="AB53" i="3"/>
  <c r="AC53" i="3"/>
  <c r="M53" i="3"/>
  <c r="Q53" i="3"/>
  <c r="Q53" i="211" s="1"/>
  <c r="R53" i="3"/>
  <c r="S53" i="3"/>
  <c r="T53" i="3"/>
  <c r="G47" i="162"/>
  <c r="G49" i="162" s="1"/>
  <c r="G35" i="162"/>
  <c r="Z54" i="3"/>
  <c r="AA54" i="3"/>
  <c r="AB54" i="3"/>
  <c r="AC54" i="3"/>
  <c r="M54" i="3"/>
  <c r="N54" i="3"/>
  <c r="O54" i="3"/>
  <c r="P54" i="3"/>
  <c r="Q54" i="3"/>
  <c r="Q54" i="211" s="1"/>
  <c r="T54" i="3"/>
  <c r="U54" i="3"/>
  <c r="AD54" i="3"/>
  <c r="Z55" i="3"/>
  <c r="AA55" i="3"/>
  <c r="AB55" i="3"/>
  <c r="M55" i="3"/>
  <c r="N55" i="3"/>
  <c r="N55" i="211" s="1"/>
  <c r="O55" i="3"/>
  <c r="O55" i="211" s="1"/>
  <c r="P55" i="3"/>
  <c r="P55" i="211" s="1"/>
  <c r="Q55" i="3"/>
  <c r="Q55" i="211" s="1"/>
  <c r="R55" i="3"/>
  <c r="R55" i="211" s="1"/>
  <c r="S55" i="3"/>
  <c r="S55" i="211" s="1"/>
  <c r="T55" i="3"/>
  <c r="U55" i="3"/>
  <c r="H40" i="164"/>
  <c r="H31" i="164"/>
  <c r="H42" i="164" s="1"/>
  <c r="AC56" i="3"/>
  <c r="U56" i="3"/>
  <c r="AD56" i="3" s="1"/>
  <c r="Z57" i="3"/>
  <c r="AA57" i="3"/>
  <c r="AB57" i="3"/>
  <c r="M57" i="3"/>
  <c r="Q57" i="3"/>
  <c r="R57" i="3"/>
  <c r="S57" i="3"/>
  <c r="T57" i="3"/>
  <c r="H54" i="165"/>
  <c r="H56" i="165" s="1"/>
  <c r="H37" i="165"/>
  <c r="Z58" i="3"/>
  <c r="AA58" i="3"/>
  <c r="AB58" i="3"/>
  <c r="M58" i="3"/>
  <c r="M58" i="211" s="1"/>
  <c r="Q58" i="3"/>
  <c r="Q58" i="211" s="1"/>
  <c r="R58" i="3"/>
  <c r="R58" i="211" s="1"/>
  <c r="S58" i="3"/>
  <c r="S58" i="211" s="1"/>
  <c r="T58" i="3"/>
  <c r="T58" i="211" s="1"/>
  <c r="AF58" i="3"/>
  <c r="Z59" i="3"/>
  <c r="AA59" i="3"/>
  <c r="AB59" i="3"/>
  <c r="AC59" i="3" s="1"/>
  <c r="M59" i="3"/>
  <c r="M59" i="211" s="1"/>
  <c r="Q59" i="3"/>
  <c r="Q59" i="211" s="1"/>
  <c r="R59" i="3"/>
  <c r="R59" i="211" s="1"/>
  <c r="S59" i="3"/>
  <c r="S59" i="211" s="1"/>
  <c r="AF59" i="3"/>
  <c r="Z60" i="3"/>
  <c r="AA60" i="3"/>
  <c r="AB60" i="3"/>
  <c r="M60" i="3"/>
  <c r="Q60" i="3"/>
  <c r="R60" i="3"/>
  <c r="S60" i="3"/>
  <c r="T60" i="3"/>
  <c r="H61" i="168"/>
  <c r="H63" i="168" s="1"/>
  <c r="H40" i="168"/>
  <c r="Z61" i="3"/>
  <c r="AA61" i="3"/>
  <c r="AB61" i="3"/>
  <c r="M61" i="3"/>
  <c r="M61" i="211" s="1"/>
  <c r="N61" i="3"/>
  <c r="N61" i="211" s="1"/>
  <c r="O61" i="3"/>
  <c r="O61" i="211" s="1"/>
  <c r="P61" i="3"/>
  <c r="P61" i="211" s="1"/>
  <c r="Q61" i="3"/>
  <c r="Q61" i="211" s="1"/>
  <c r="R61" i="3"/>
  <c r="R61" i="211" s="1"/>
  <c r="S61" i="3"/>
  <c r="S61" i="211" s="1"/>
  <c r="T61" i="3"/>
  <c r="T61" i="211" s="1"/>
  <c r="AF61" i="3"/>
  <c r="Z62" i="3"/>
  <c r="AA62" i="3"/>
  <c r="AB62" i="3"/>
  <c r="AC62" i="3"/>
  <c r="M62" i="3"/>
  <c r="M62" i="211" s="1"/>
  <c r="R62" i="3"/>
  <c r="R62" i="211" s="1"/>
  <c r="S62" i="3"/>
  <c r="S62" i="211" s="1"/>
  <c r="T62" i="3"/>
  <c r="T62" i="211" s="1"/>
  <c r="AF62" i="3"/>
  <c r="Z63" i="3"/>
  <c r="AA63" i="3"/>
  <c r="AB63" i="3"/>
  <c r="AC63" i="3" s="1"/>
  <c r="M63" i="3"/>
  <c r="M63" i="211" s="1"/>
  <c r="R63" i="3"/>
  <c r="R63" i="211" s="1"/>
  <c r="S63" i="3"/>
  <c r="S63" i="211" s="1"/>
  <c r="T63" i="3"/>
  <c r="T63" i="211" s="1"/>
  <c r="U63" i="211" s="1"/>
  <c r="AF63" i="3"/>
  <c r="Z64" i="3"/>
  <c r="AA64" i="3"/>
  <c r="AB64" i="3"/>
  <c r="M64" i="3"/>
  <c r="M64" i="211" s="1"/>
  <c r="Q64" i="3"/>
  <c r="Q64" i="211" s="1"/>
  <c r="R64" i="3"/>
  <c r="S64" i="3"/>
  <c r="S64" i="211" s="1"/>
  <c r="T64" i="3"/>
  <c r="T64" i="211" s="1"/>
  <c r="H45" i="171"/>
  <c r="H47" i="171" s="1"/>
  <c r="AF64" i="211" s="1"/>
  <c r="H32" i="171"/>
  <c r="W64" i="211" s="1"/>
  <c r="AF64" i="3"/>
  <c r="Z65" i="3"/>
  <c r="AA65" i="3"/>
  <c r="AB65" i="3"/>
  <c r="M65" i="3"/>
  <c r="M65" i="211" s="1"/>
  <c r="Q65" i="3"/>
  <c r="Q65" i="211" s="1"/>
  <c r="R65" i="3"/>
  <c r="S65" i="3"/>
  <c r="S65" i="211" s="1"/>
  <c r="T65" i="3"/>
  <c r="T65" i="211" s="1"/>
  <c r="AF65" i="3"/>
  <c r="Z66" i="3"/>
  <c r="AA66" i="3"/>
  <c r="AB66" i="3"/>
  <c r="M66" i="3"/>
  <c r="M66" i="211" s="1"/>
  <c r="R66" i="3"/>
  <c r="R66" i="211" s="1"/>
  <c r="S66" i="3"/>
  <c r="S66" i="211" s="1"/>
  <c r="Z67" i="3"/>
  <c r="AA67" i="3"/>
  <c r="AB67" i="3"/>
  <c r="M67" i="3"/>
  <c r="M67" i="211" s="1"/>
  <c r="N67" i="3"/>
  <c r="N67" i="211" s="1"/>
  <c r="R67" i="3"/>
  <c r="S67" i="3"/>
  <c r="S67" i="211" s="1"/>
  <c r="T67" i="3"/>
  <c r="T67" i="211" s="1"/>
  <c r="AF67" i="3"/>
  <c r="Z68" i="3"/>
  <c r="AA68" i="3"/>
  <c r="AB68" i="3"/>
  <c r="M68" i="3"/>
  <c r="M68" i="211" s="1"/>
  <c r="R68" i="3"/>
  <c r="R68" i="211" s="1"/>
  <c r="S68" i="3"/>
  <c r="T68" i="3"/>
  <c r="T68" i="211" s="1"/>
  <c r="H51" i="207"/>
  <c r="H53" i="207" s="1"/>
  <c r="H37" i="207"/>
  <c r="Z69" i="3"/>
  <c r="AB69" i="3"/>
  <c r="AC69" i="3"/>
  <c r="M69" i="3"/>
  <c r="R69" i="3"/>
  <c r="R69" i="211" s="1"/>
  <c r="S69" i="3"/>
  <c r="S69" i="211" s="1"/>
  <c r="W44" i="3"/>
  <c r="W45" i="3"/>
  <c r="W47" i="3"/>
  <c r="V47" i="3"/>
  <c r="W48" i="3"/>
  <c r="W49" i="3"/>
  <c r="W50" i="3"/>
  <c r="W51" i="3"/>
  <c r="W52" i="3"/>
  <c r="W53" i="3"/>
  <c r="W54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H24" i="207"/>
  <c r="K68" i="3"/>
  <c r="H68" i="3"/>
  <c r="H68" i="211" s="1"/>
  <c r="G68" i="3"/>
  <c r="G68" i="211" s="1"/>
  <c r="F68" i="3"/>
  <c r="F68" i="211" s="1"/>
  <c r="E68" i="3"/>
  <c r="E68" i="211" s="1"/>
  <c r="D68" i="3"/>
  <c r="D68" i="211" s="1"/>
  <c r="C68" i="3"/>
  <c r="C68" i="211" s="1"/>
  <c r="I68" i="211" s="1"/>
  <c r="C67" i="3"/>
  <c r="C67" i="211" s="1"/>
  <c r="E67" i="3"/>
  <c r="E67" i="211" s="1"/>
  <c r="F67" i="3"/>
  <c r="F67" i="211" s="1"/>
  <c r="H67" i="3"/>
  <c r="H67" i="211" s="1"/>
  <c r="K67" i="3"/>
  <c r="I68" i="3"/>
  <c r="J68" i="3" s="1"/>
  <c r="C61" i="3"/>
  <c r="D61" i="3"/>
  <c r="D61" i="211" s="1"/>
  <c r="E61" i="3"/>
  <c r="E61" i="211" s="1"/>
  <c r="F61" i="3"/>
  <c r="F61" i="211" s="1"/>
  <c r="K61" i="3"/>
  <c r="K51" i="207"/>
  <c r="K37" i="207"/>
  <c r="K53" i="207" s="1"/>
  <c r="K24" i="207"/>
  <c r="C44" i="3"/>
  <c r="C44" i="211" s="1"/>
  <c r="D44" i="3"/>
  <c r="D44" i="211" s="1"/>
  <c r="E44" i="3"/>
  <c r="E44" i="211" s="1"/>
  <c r="F44" i="3"/>
  <c r="F44" i="211" s="1"/>
  <c r="G44" i="3"/>
  <c r="G44" i="211" s="1"/>
  <c r="H44" i="3"/>
  <c r="H44" i="211" s="1"/>
  <c r="F19" i="204"/>
  <c r="K44" i="3" s="1"/>
  <c r="C45" i="3"/>
  <c r="E45" i="3"/>
  <c r="E45" i="211" s="1"/>
  <c r="F45" i="3"/>
  <c r="F45" i="211" s="1"/>
  <c r="H45" i="3"/>
  <c r="H45" i="211" s="1"/>
  <c r="K45" i="3"/>
  <c r="C46" i="3"/>
  <c r="D46" i="3"/>
  <c r="D46" i="211" s="1"/>
  <c r="E46" i="3"/>
  <c r="F46" i="3"/>
  <c r="H46" i="3"/>
  <c r="H12" i="156"/>
  <c r="H17" i="156" s="1"/>
  <c r="K46" i="3" s="1"/>
  <c r="C47" i="3"/>
  <c r="E47" i="3"/>
  <c r="E47" i="211" s="1"/>
  <c r="F47" i="3"/>
  <c r="F47" i="211" s="1"/>
  <c r="K47" i="3"/>
  <c r="C48" i="3"/>
  <c r="C48" i="211" s="1"/>
  <c r="E48" i="3"/>
  <c r="E48" i="211" s="1"/>
  <c r="F48" i="3"/>
  <c r="F48" i="211" s="1"/>
  <c r="K48" i="3"/>
  <c r="C49" i="3"/>
  <c r="D49" i="3"/>
  <c r="E49" i="3"/>
  <c r="F49" i="3"/>
  <c r="H49" i="3"/>
  <c r="F27" i="159"/>
  <c r="K49" i="3" s="1"/>
  <c r="C50" i="3"/>
  <c r="D50" i="3"/>
  <c r="E50" i="3"/>
  <c r="F50" i="3"/>
  <c r="G50" i="3"/>
  <c r="H50" i="3"/>
  <c r="H24" i="160"/>
  <c r="K50" i="3" s="1"/>
  <c r="C51" i="3"/>
  <c r="C51" i="211" s="1"/>
  <c r="D51" i="3"/>
  <c r="D51" i="211" s="1"/>
  <c r="E51" i="3"/>
  <c r="E51" i="211" s="1"/>
  <c r="F51" i="3"/>
  <c r="F51" i="211" s="1"/>
  <c r="H51" i="3"/>
  <c r="H51" i="211" s="1"/>
  <c r="I51" i="3"/>
  <c r="K51" i="3"/>
  <c r="C52" i="3"/>
  <c r="D52" i="3"/>
  <c r="E52" i="3"/>
  <c r="F52" i="3"/>
  <c r="G52" i="3"/>
  <c r="G52" i="211" s="1"/>
  <c r="H52" i="3"/>
  <c r="G24" i="161"/>
  <c r="K52" i="3"/>
  <c r="C9" i="3"/>
  <c r="C9" i="211" s="1"/>
  <c r="D9" i="3"/>
  <c r="D9" i="211" s="1"/>
  <c r="E9" i="3"/>
  <c r="E9" i="211" s="1"/>
  <c r="I9" i="3"/>
  <c r="K9" i="3"/>
  <c r="C10" i="3"/>
  <c r="E10" i="3"/>
  <c r="E10" i="211" s="1"/>
  <c r="F10" i="3"/>
  <c r="F10" i="211" s="1"/>
  <c r="G10" i="3"/>
  <c r="G10" i="211" s="1"/>
  <c r="H10" i="3"/>
  <c r="H10" i="211" s="1"/>
  <c r="C11" i="3"/>
  <c r="E11" i="3"/>
  <c r="E11" i="211" s="1"/>
  <c r="F11" i="3"/>
  <c r="F11" i="211" s="1"/>
  <c r="H11" i="3"/>
  <c r="H11" i="211" s="1"/>
  <c r="K11" i="3"/>
  <c r="C12" i="3"/>
  <c r="C12" i="211" s="1"/>
  <c r="E12" i="3"/>
  <c r="E12" i="211" s="1"/>
  <c r="F12" i="3"/>
  <c r="F12" i="211" s="1"/>
  <c r="K12" i="3"/>
  <c r="C13" i="3"/>
  <c r="D13" i="3"/>
  <c r="D13" i="211" s="1"/>
  <c r="E13" i="3"/>
  <c r="E13" i="211" s="1"/>
  <c r="F13" i="3"/>
  <c r="F13" i="211" s="1"/>
  <c r="H13" i="3"/>
  <c r="H13" i="211" s="1"/>
  <c r="H17" i="178"/>
  <c r="K13" i="3" s="1"/>
  <c r="C14" i="3"/>
  <c r="C14" i="211" s="1"/>
  <c r="D14" i="3"/>
  <c r="D14" i="211" s="1"/>
  <c r="E14" i="3"/>
  <c r="E14" i="211" s="1"/>
  <c r="F14" i="3"/>
  <c r="F14" i="211" s="1"/>
  <c r="G14" i="3"/>
  <c r="G14" i="211" s="1"/>
  <c r="H14" i="3"/>
  <c r="H14" i="211" s="1"/>
  <c r="K14" i="3"/>
  <c r="C15" i="3"/>
  <c r="C15" i="211" s="1"/>
  <c r="D15" i="3"/>
  <c r="D15" i="211" s="1"/>
  <c r="E15" i="3"/>
  <c r="F15" i="3"/>
  <c r="G15" i="3"/>
  <c r="H15" i="3"/>
  <c r="H15" i="211" s="1"/>
  <c r="H25" i="179"/>
  <c r="K15" i="3"/>
  <c r="Y61" i="3"/>
  <c r="L12" i="205"/>
  <c r="K15" i="204"/>
  <c r="K16" i="204"/>
  <c r="K17" i="204"/>
  <c r="I42" i="204"/>
  <c r="J42" i="204"/>
  <c r="K42" i="204"/>
  <c r="I29" i="204"/>
  <c r="J29" i="204"/>
  <c r="J44" i="204" s="1"/>
  <c r="K37" i="204"/>
  <c r="K38" i="204"/>
  <c r="K39" i="204"/>
  <c r="K40" i="204"/>
  <c r="K35" i="204"/>
  <c r="K32" i="204"/>
  <c r="K23" i="204"/>
  <c r="K24" i="204"/>
  <c r="K25" i="204"/>
  <c r="K26" i="204"/>
  <c r="K27" i="204"/>
  <c r="K22" i="204"/>
  <c r="I19" i="204"/>
  <c r="J19" i="204"/>
  <c r="K19" i="204"/>
  <c r="K8" i="204"/>
  <c r="K9" i="204"/>
  <c r="K10" i="204"/>
  <c r="K11" i="204"/>
  <c r="K12" i="204"/>
  <c r="K13" i="204"/>
  <c r="K14" i="204"/>
  <c r="K7" i="204"/>
  <c r="Y14" i="3"/>
  <c r="Z14" i="3"/>
  <c r="AA14" i="3"/>
  <c r="AB14" i="3"/>
  <c r="M14" i="3"/>
  <c r="M14" i="211" s="1"/>
  <c r="Q14" i="3"/>
  <c r="Q14" i="211" s="1"/>
  <c r="R14" i="3"/>
  <c r="R14" i="211" s="1"/>
  <c r="S14" i="3"/>
  <c r="S14" i="211" s="1"/>
  <c r="T14" i="3"/>
  <c r="T14" i="211" s="1"/>
  <c r="U14" i="3"/>
  <c r="AF14" i="3"/>
  <c r="W14" i="3"/>
  <c r="H23" i="203"/>
  <c r="L14" i="211" s="1"/>
  <c r="L71" i="211" s="1"/>
  <c r="L14" i="3"/>
  <c r="I38" i="203"/>
  <c r="I43" i="203"/>
  <c r="H43" i="203"/>
  <c r="AF11" i="3"/>
  <c r="AB11" i="3"/>
  <c r="AA11" i="3"/>
  <c r="Z11" i="3"/>
  <c r="W11" i="3"/>
  <c r="S11" i="3"/>
  <c r="S11" i="211" s="1"/>
  <c r="R11" i="3"/>
  <c r="R11" i="211" s="1"/>
  <c r="M11" i="3"/>
  <c r="M11" i="211" s="1"/>
  <c r="U11" i="211" s="1"/>
  <c r="C8" i="144"/>
  <c r="H46" i="178"/>
  <c r="H28" i="178"/>
  <c r="W13" i="3" s="1"/>
  <c r="AB13" i="3"/>
  <c r="AA13" i="3"/>
  <c r="Z13" i="3"/>
  <c r="Y13" i="3"/>
  <c r="S13" i="3"/>
  <c r="S13" i="211" s="1"/>
  <c r="R13" i="3"/>
  <c r="R13" i="211" s="1"/>
  <c r="M13" i="3"/>
  <c r="M13" i="211" s="1"/>
  <c r="AB12" i="3"/>
  <c r="Z12" i="3"/>
  <c r="W12" i="3"/>
  <c r="N12" i="3"/>
  <c r="N12" i="211" s="1"/>
  <c r="T12" i="3"/>
  <c r="T12" i="211" s="1"/>
  <c r="O12" i="3"/>
  <c r="O12" i="211" s="1"/>
  <c r="M12" i="3"/>
  <c r="M12" i="211" s="1"/>
  <c r="Z10" i="3"/>
  <c r="AB10" i="3"/>
  <c r="AC10" i="3"/>
  <c r="Z9" i="3"/>
  <c r="AB9" i="3"/>
  <c r="M9" i="3"/>
  <c r="T9" i="3"/>
  <c r="T9" i="211" s="1"/>
  <c r="M10" i="3"/>
  <c r="M10" i="211" s="1"/>
  <c r="N10" i="3"/>
  <c r="T10" i="3"/>
  <c r="T10" i="211" s="1"/>
  <c r="W10" i="3"/>
  <c r="AF9" i="3"/>
  <c r="W9" i="3"/>
  <c r="C8" i="3"/>
  <c r="C8" i="211" s="1"/>
  <c r="C6" i="3"/>
  <c r="C6" i="211" s="1"/>
  <c r="D6" i="3"/>
  <c r="D6" i="211" s="1"/>
  <c r="E6" i="3"/>
  <c r="E6" i="211" s="1"/>
  <c r="F6" i="3"/>
  <c r="F6" i="211" s="1"/>
  <c r="G6" i="3"/>
  <c r="G6" i="211" s="1"/>
  <c r="K6" i="3"/>
  <c r="AB6" i="3"/>
  <c r="AA6" i="3"/>
  <c r="Z6" i="3"/>
  <c r="AC6" i="3" s="1"/>
  <c r="T6" i="3"/>
  <c r="T6" i="211" s="1"/>
  <c r="W6" i="3"/>
  <c r="P6" i="3"/>
  <c r="P6" i="211" s="1"/>
  <c r="N6" i="3"/>
  <c r="N6" i="211" s="1"/>
  <c r="O6" i="3"/>
  <c r="M6" i="3"/>
  <c r="M6" i="211" s="1"/>
  <c r="AF6" i="3"/>
  <c r="L51" i="205"/>
  <c r="L52" i="205"/>
  <c r="L53" i="205"/>
  <c r="L54" i="205"/>
  <c r="L55" i="205"/>
  <c r="L58" i="205" s="1"/>
  <c r="L56" i="205"/>
  <c r="L32" i="205"/>
  <c r="L33" i="205"/>
  <c r="L34" i="205"/>
  <c r="L35" i="205"/>
  <c r="L37" i="205"/>
  <c r="L38" i="205"/>
  <c r="L39" i="205" s="1"/>
  <c r="L42" i="205"/>
  <c r="L46" i="205" s="1"/>
  <c r="L43" i="205"/>
  <c r="L44" i="205"/>
  <c r="L45" i="205"/>
  <c r="K39" i="205"/>
  <c r="K48" i="205" s="1"/>
  <c r="K60" i="205" s="1"/>
  <c r="K46" i="205"/>
  <c r="K58" i="205"/>
  <c r="J39" i="205"/>
  <c r="J46" i="205"/>
  <c r="J48" i="205"/>
  <c r="J58" i="205"/>
  <c r="J60" i="205"/>
  <c r="I39" i="205"/>
  <c r="I46" i="205"/>
  <c r="I48" i="205" s="1"/>
  <c r="I60" i="205" s="1"/>
  <c r="I58" i="205"/>
  <c r="L24" i="205"/>
  <c r="L25" i="205"/>
  <c r="L26" i="205"/>
  <c r="L16" i="205"/>
  <c r="L17" i="205"/>
  <c r="L7" i="205"/>
  <c r="L8" i="205"/>
  <c r="L9" i="205"/>
  <c r="L10" i="205"/>
  <c r="L11" i="205"/>
  <c r="L13" i="205"/>
  <c r="K26" i="205"/>
  <c r="K28" i="205" s="1"/>
  <c r="K17" i="205"/>
  <c r="K13" i="205"/>
  <c r="J26" i="205"/>
  <c r="J17" i="205"/>
  <c r="J13" i="205"/>
  <c r="I26" i="205"/>
  <c r="I17" i="205"/>
  <c r="I13" i="205"/>
  <c r="I58" i="203"/>
  <c r="I60" i="203" s="1"/>
  <c r="I18" i="203"/>
  <c r="I23" i="203" s="1"/>
  <c r="T7" i="144"/>
  <c r="AB7" i="144"/>
  <c r="AC7" i="144"/>
  <c r="AD7" i="144" s="1"/>
  <c r="L8" i="144"/>
  <c r="N8" i="144"/>
  <c r="P8" i="144"/>
  <c r="S8" i="144"/>
  <c r="J48" i="147"/>
  <c r="X8" i="144" s="1"/>
  <c r="Y8" i="144"/>
  <c r="AA8" i="144"/>
  <c r="AB8" i="144"/>
  <c r="J59" i="147"/>
  <c r="J42" i="147"/>
  <c r="J61" i="147"/>
  <c r="AE8" i="144" s="1"/>
  <c r="U7" i="144"/>
  <c r="V8" i="144"/>
  <c r="D8" i="144"/>
  <c r="E8" i="144"/>
  <c r="F8" i="144"/>
  <c r="G8" i="144"/>
  <c r="H8" i="144"/>
  <c r="J21" i="147"/>
  <c r="K8" i="144"/>
  <c r="T9" i="144"/>
  <c r="Y9" i="144"/>
  <c r="AA9" i="144"/>
  <c r="T10" i="144"/>
  <c r="AC10" i="144" s="1"/>
  <c r="AD10" i="144" s="1"/>
  <c r="AB11" i="144"/>
  <c r="AC11" i="144" s="1"/>
  <c r="AB12" i="144"/>
  <c r="AC12" i="144"/>
  <c r="L33" i="144"/>
  <c r="P33" i="144"/>
  <c r="Q33" i="144"/>
  <c r="R33" i="144"/>
  <c r="S33" i="144"/>
  <c r="Y33" i="144"/>
  <c r="Z33" i="144"/>
  <c r="AA33" i="144"/>
  <c r="L34" i="144"/>
  <c r="P34" i="144"/>
  <c r="Y34" i="144"/>
  <c r="AA34" i="144"/>
  <c r="AB34" i="144"/>
  <c r="T36" i="144"/>
  <c r="AB36" i="144"/>
  <c r="L37" i="144"/>
  <c r="Q37" i="144"/>
  <c r="R37" i="144"/>
  <c r="T37" i="144" s="1"/>
  <c r="Y37" i="144"/>
  <c r="AA37" i="144"/>
  <c r="AB37" i="144"/>
  <c r="T38" i="144"/>
  <c r="AB38" i="144"/>
  <c r="AC38" i="144"/>
  <c r="T39" i="144"/>
  <c r="AC39" i="144" s="1"/>
  <c r="L40" i="144"/>
  <c r="S40" i="144"/>
  <c r="T40" i="144"/>
  <c r="Y40" i="144"/>
  <c r="Z40" i="144"/>
  <c r="AA40" i="144"/>
  <c r="T41" i="144"/>
  <c r="Y41" i="144"/>
  <c r="Z41" i="144"/>
  <c r="AA41" i="144"/>
  <c r="Y42" i="144"/>
  <c r="Z42" i="144"/>
  <c r="AA42" i="144"/>
  <c r="L46" i="144"/>
  <c r="T46" i="144" s="1"/>
  <c r="Y46" i="144"/>
  <c r="AA46" i="144"/>
  <c r="T47" i="144"/>
  <c r="AB47" i="144"/>
  <c r="AC47" i="144" s="1"/>
  <c r="T48" i="144"/>
  <c r="AB48" i="144"/>
  <c r="AC48" i="144" s="1"/>
  <c r="AD48" i="144" s="1"/>
  <c r="L49" i="144"/>
  <c r="Q49" i="144"/>
  <c r="R49" i="144"/>
  <c r="S49" i="144"/>
  <c r="Y49" i="144"/>
  <c r="Z49" i="144"/>
  <c r="AA49" i="144"/>
  <c r="L50" i="144"/>
  <c r="Q50" i="144"/>
  <c r="R50" i="144"/>
  <c r="S50" i="144"/>
  <c r="Y50" i="144"/>
  <c r="Z50" i="144"/>
  <c r="AA50" i="144"/>
  <c r="T51" i="144"/>
  <c r="AB51" i="144"/>
  <c r="AC51" i="144"/>
  <c r="L52" i="144"/>
  <c r="Q52" i="144"/>
  <c r="R52" i="144"/>
  <c r="S52" i="144"/>
  <c r="Y52" i="144"/>
  <c r="AA52" i="144"/>
  <c r="AB52" i="144"/>
  <c r="L53" i="144"/>
  <c r="Q53" i="144"/>
  <c r="R53" i="144"/>
  <c r="S53" i="144"/>
  <c r="Y53" i="144"/>
  <c r="Z53" i="144"/>
  <c r="AA53" i="144"/>
  <c r="AB53" i="144" s="1"/>
  <c r="L54" i="144"/>
  <c r="M54" i="144"/>
  <c r="N54" i="144"/>
  <c r="O54" i="144"/>
  <c r="S54" i="144"/>
  <c r="Y54" i="144"/>
  <c r="AA54" i="144"/>
  <c r="L55" i="144"/>
  <c r="S55" i="144"/>
  <c r="T55" i="144"/>
  <c r="Z55" i="144"/>
  <c r="AA55" i="144"/>
  <c r="T56" i="144"/>
  <c r="AB56" i="144"/>
  <c r="L57" i="144"/>
  <c r="P57" i="144"/>
  <c r="Q57" i="144"/>
  <c r="R57" i="144"/>
  <c r="S57" i="144"/>
  <c r="T57" i="144"/>
  <c r="Y57" i="144"/>
  <c r="Z57" i="144"/>
  <c r="AA57" i="144"/>
  <c r="T58" i="144"/>
  <c r="AB58" i="144"/>
  <c r="AC58" i="144" s="1"/>
  <c r="AD58" i="144" s="1"/>
  <c r="T59" i="144"/>
  <c r="AB59" i="144"/>
  <c r="L60" i="144"/>
  <c r="P60" i="144"/>
  <c r="Q60" i="144"/>
  <c r="R60" i="144"/>
  <c r="S60" i="144"/>
  <c r="Y60" i="144"/>
  <c r="Z60" i="144"/>
  <c r="AA60" i="144"/>
  <c r="T61" i="144"/>
  <c r="U61" i="144" s="1"/>
  <c r="T62" i="144"/>
  <c r="AB62" i="144"/>
  <c r="T63" i="144"/>
  <c r="AB63" i="144"/>
  <c r="AC63" i="144"/>
  <c r="T64" i="144"/>
  <c r="AA64" i="144"/>
  <c r="AB64" i="144" s="1"/>
  <c r="T65" i="144"/>
  <c r="AC65" i="144"/>
  <c r="T66" i="144"/>
  <c r="AB66" i="144"/>
  <c r="AC66" i="144"/>
  <c r="T67" i="144"/>
  <c r="AB67" i="144"/>
  <c r="T68" i="144"/>
  <c r="AB68" i="144"/>
  <c r="AC68" i="144" s="1"/>
  <c r="T69" i="144"/>
  <c r="AC69" i="144"/>
  <c r="T6" i="144"/>
  <c r="AB6" i="144"/>
  <c r="AB28" i="3"/>
  <c r="AA28" i="3"/>
  <c r="Z28" i="3"/>
  <c r="AF28" i="3"/>
  <c r="T28" i="3"/>
  <c r="T28" i="211" s="1"/>
  <c r="Q28" i="3"/>
  <c r="Q28" i="211" s="1"/>
  <c r="M29" i="3"/>
  <c r="M29" i="211" s="1"/>
  <c r="M28" i="3"/>
  <c r="M28" i="211" s="1"/>
  <c r="W28" i="3"/>
  <c r="Y69" i="3"/>
  <c r="K69" i="3"/>
  <c r="F69" i="3"/>
  <c r="F69" i="211" s="1"/>
  <c r="E69" i="3"/>
  <c r="E69" i="211" s="1"/>
  <c r="C69" i="3"/>
  <c r="C69" i="211" s="1"/>
  <c r="I69" i="211" s="1"/>
  <c r="J69" i="211" s="1"/>
  <c r="I34" i="175"/>
  <c r="I36" i="175" s="1"/>
  <c r="I27" i="175"/>
  <c r="G31" i="173"/>
  <c r="Y66" i="211" s="1"/>
  <c r="K66" i="3"/>
  <c r="F66" i="3"/>
  <c r="F66" i="211" s="1"/>
  <c r="G66" i="3"/>
  <c r="G66" i="211" s="1"/>
  <c r="E66" i="3"/>
  <c r="E66" i="211" s="1"/>
  <c r="D66" i="3"/>
  <c r="D66" i="211" s="1"/>
  <c r="C66" i="3"/>
  <c r="C66" i="211" s="1"/>
  <c r="I46" i="172"/>
  <c r="I29" i="172"/>
  <c r="I48" i="172"/>
  <c r="K65" i="3"/>
  <c r="F65" i="3"/>
  <c r="F65" i="211" s="1"/>
  <c r="H65" i="3"/>
  <c r="H65" i="211" s="1"/>
  <c r="E65" i="3"/>
  <c r="E65" i="211" s="1"/>
  <c r="D65" i="3"/>
  <c r="D65" i="211" s="1"/>
  <c r="C65" i="3"/>
  <c r="C65" i="211" s="1"/>
  <c r="I45" i="171"/>
  <c r="I32" i="171"/>
  <c r="I47" i="171"/>
  <c r="AE64" i="144" s="1"/>
  <c r="V64" i="144"/>
  <c r="I20" i="171"/>
  <c r="K64" i="144" s="1"/>
  <c r="H64" i="144"/>
  <c r="C64" i="144"/>
  <c r="H20" i="171"/>
  <c r="K64" i="3"/>
  <c r="F64" i="3"/>
  <c r="F64" i="211" s="1"/>
  <c r="H64" i="3"/>
  <c r="H64" i="211" s="1"/>
  <c r="G64" i="3"/>
  <c r="G64" i="211" s="1"/>
  <c r="E64" i="3"/>
  <c r="E64" i="211" s="1"/>
  <c r="D64" i="3"/>
  <c r="D64" i="211" s="1"/>
  <c r="C64" i="3"/>
  <c r="C64" i="211" s="1"/>
  <c r="I38" i="170"/>
  <c r="I29" i="170"/>
  <c r="I40" i="170"/>
  <c r="K63" i="3"/>
  <c r="H63" i="3"/>
  <c r="H63" i="211" s="1"/>
  <c r="F63" i="3"/>
  <c r="F63" i="211" s="1"/>
  <c r="E63" i="3"/>
  <c r="E63" i="211" s="1"/>
  <c r="D63" i="3"/>
  <c r="D63" i="211" s="1"/>
  <c r="C63" i="3"/>
  <c r="C63" i="211" s="1"/>
  <c r="K62" i="3"/>
  <c r="F62" i="3"/>
  <c r="F62" i="211" s="1"/>
  <c r="H62" i="3"/>
  <c r="H62" i="211" s="1"/>
  <c r="G62" i="3"/>
  <c r="G62" i="211" s="1"/>
  <c r="E62" i="3"/>
  <c r="E62" i="211" s="1"/>
  <c r="C62" i="3"/>
  <c r="C62" i="211" s="1"/>
  <c r="I39" i="169"/>
  <c r="I27" i="169"/>
  <c r="I41" i="169"/>
  <c r="J39" i="169"/>
  <c r="J41" i="169" s="1"/>
  <c r="J27" i="169"/>
  <c r="K59" i="3"/>
  <c r="G59" i="3"/>
  <c r="G59" i="211" s="1"/>
  <c r="H59" i="3"/>
  <c r="H59" i="211" s="1"/>
  <c r="E59" i="3"/>
  <c r="E59" i="211" s="1"/>
  <c r="C59" i="3"/>
  <c r="C59" i="211" s="1"/>
  <c r="I61" i="168"/>
  <c r="I63" i="168" s="1"/>
  <c r="AE60" i="144" s="1"/>
  <c r="I40" i="168"/>
  <c r="V60" i="144" s="1"/>
  <c r="I24" i="168"/>
  <c r="K60" i="144"/>
  <c r="H60" i="144"/>
  <c r="G60" i="144"/>
  <c r="F60" i="144"/>
  <c r="E60" i="144"/>
  <c r="D60" i="144"/>
  <c r="C60" i="144"/>
  <c r="K61" i="168"/>
  <c r="K40" i="168"/>
  <c r="K63" i="168"/>
  <c r="H24" i="168"/>
  <c r="K60" i="3" s="1"/>
  <c r="H60" i="3"/>
  <c r="G60" i="3"/>
  <c r="F60" i="3"/>
  <c r="D60" i="3"/>
  <c r="D60" i="211" s="1"/>
  <c r="E60" i="3"/>
  <c r="C60" i="3"/>
  <c r="C60" i="211" s="1"/>
  <c r="I41" i="166"/>
  <c r="I43" i="166" s="1"/>
  <c r="I26" i="166"/>
  <c r="H31" i="166"/>
  <c r="Y58" i="211" s="1"/>
  <c r="Y58" i="3"/>
  <c r="K58" i="3"/>
  <c r="F58" i="3"/>
  <c r="F58" i="211" s="1"/>
  <c r="H58" i="3"/>
  <c r="H58" i="211" s="1"/>
  <c r="G58" i="3"/>
  <c r="G58" i="211" s="1"/>
  <c r="E58" i="3"/>
  <c r="E58" i="211" s="1"/>
  <c r="C58" i="3"/>
  <c r="C58" i="211" s="1"/>
  <c r="I54" i="165"/>
  <c r="I37" i="165"/>
  <c r="I56" i="165" s="1"/>
  <c r="AE57" i="144" s="1"/>
  <c r="V57" i="144"/>
  <c r="I19" i="165"/>
  <c r="K57" i="144" s="1"/>
  <c r="F57" i="144"/>
  <c r="H57" i="144"/>
  <c r="E57" i="144"/>
  <c r="D57" i="144"/>
  <c r="C57" i="144"/>
  <c r="K54" i="165"/>
  <c r="K37" i="165"/>
  <c r="L40" i="165"/>
  <c r="L41" i="165"/>
  <c r="L42" i="165"/>
  <c r="L43" i="165"/>
  <c r="L44" i="165"/>
  <c r="L45" i="165"/>
  <c r="L46" i="165"/>
  <c r="L54" i="165" s="1"/>
  <c r="L47" i="165"/>
  <c r="L48" i="165"/>
  <c r="L49" i="165"/>
  <c r="L50" i="165"/>
  <c r="L51" i="165"/>
  <c r="L52" i="165"/>
  <c r="L27" i="165"/>
  <c r="L28" i="165"/>
  <c r="L29" i="165"/>
  <c r="L30" i="165"/>
  <c r="L31" i="165"/>
  <c r="L32" i="165"/>
  <c r="L33" i="165"/>
  <c r="L34" i="165"/>
  <c r="L35" i="165"/>
  <c r="H24" i="165"/>
  <c r="L57" i="211" s="1"/>
  <c r="L57" i="3"/>
  <c r="H19" i="165"/>
  <c r="K57" i="3"/>
  <c r="H57" i="3"/>
  <c r="H57" i="211" s="1"/>
  <c r="F57" i="3"/>
  <c r="F57" i="211" s="1"/>
  <c r="G57" i="3"/>
  <c r="G57" i="211" s="1"/>
  <c r="E57" i="3"/>
  <c r="E57" i="211" s="1"/>
  <c r="D57" i="3"/>
  <c r="C57" i="3"/>
  <c r="I40" i="164"/>
  <c r="I31" i="164"/>
  <c r="I42" i="164"/>
  <c r="AE55" i="144"/>
  <c r="V55" i="144"/>
  <c r="I14" i="164"/>
  <c r="K55" i="144" s="1"/>
  <c r="E55" i="144"/>
  <c r="H14" i="164"/>
  <c r="K55" i="3"/>
  <c r="F55" i="3"/>
  <c r="F55" i="211" s="1"/>
  <c r="G55" i="3"/>
  <c r="G55" i="211" s="1"/>
  <c r="H55" i="3"/>
  <c r="H55" i="211" s="1"/>
  <c r="E55" i="3"/>
  <c r="E55" i="211" s="1"/>
  <c r="C55" i="3"/>
  <c r="C55" i="211" s="1"/>
  <c r="I56" i="163"/>
  <c r="I38" i="163"/>
  <c r="I45" i="163"/>
  <c r="I47" i="163"/>
  <c r="V54" i="144" s="1"/>
  <c r="I58" i="163"/>
  <c r="AE54" i="144" s="1"/>
  <c r="I15" i="163"/>
  <c r="I22" i="163"/>
  <c r="K54" i="144" s="1"/>
  <c r="F54" i="144"/>
  <c r="H54" i="144"/>
  <c r="E54" i="144"/>
  <c r="C54" i="144"/>
  <c r="K54" i="3"/>
  <c r="F54" i="3"/>
  <c r="G54" i="3"/>
  <c r="G54" i="211" s="1"/>
  <c r="H54" i="3"/>
  <c r="E54" i="3"/>
  <c r="C54" i="3"/>
  <c r="C54" i="211" s="1"/>
  <c r="J50" i="163"/>
  <c r="J56" i="163" s="1"/>
  <c r="J51" i="163"/>
  <c r="J52" i="163"/>
  <c r="J53" i="163"/>
  <c r="J54" i="163"/>
  <c r="J26" i="163"/>
  <c r="J27" i="163"/>
  <c r="J28" i="163"/>
  <c r="J29" i="163"/>
  <c r="J30" i="163"/>
  <c r="J31" i="163"/>
  <c r="J32" i="163"/>
  <c r="J33" i="163"/>
  <c r="J34" i="163"/>
  <c r="J35" i="163"/>
  <c r="J36" i="163"/>
  <c r="J41" i="163"/>
  <c r="J45" i="163" s="1"/>
  <c r="J42" i="163"/>
  <c r="J43" i="163"/>
  <c r="H47" i="162"/>
  <c r="H49" i="162" s="1"/>
  <c r="AE53" i="144" s="1"/>
  <c r="H35" i="162"/>
  <c r="V53" i="144" s="1"/>
  <c r="H22" i="162"/>
  <c r="K53" i="144"/>
  <c r="C53" i="144"/>
  <c r="H53" i="144"/>
  <c r="G53" i="144"/>
  <c r="F53" i="144"/>
  <c r="E53" i="144"/>
  <c r="J47" i="162"/>
  <c r="J35" i="162"/>
  <c r="J49" i="162"/>
  <c r="H53" i="3"/>
  <c r="H53" i="211" s="1"/>
  <c r="G53" i="3"/>
  <c r="G53" i="211" s="1"/>
  <c r="F53" i="3"/>
  <c r="F53" i="211" s="1"/>
  <c r="E53" i="3"/>
  <c r="E53" i="211" s="1"/>
  <c r="G22" i="162"/>
  <c r="K53" i="3"/>
  <c r="C53" i="3"/>
  <c r="H53" i="161"/>
  <c r="H37" i="161"/>
  <c r="V52" i="144" s="1"/>
  <c r="H24" i="161"/>
  <c r="K52" i="144"/>
  <c r="H52" i="144"/>
  <c r="F52" i="144"/>
  <c r="E52" i="144"/>
  <c r="D52" i="144"/>
  <c r="C52" i="144"/>
  <c r="J53" i="161"/>
  <c r="J55" i="161" s="1"/>
  <c r="J37" i="161"/>
  <c r="L52" i="3"/>
  <c r="H45" i="160"/>
  <c r="Y50" i="211" s="1"/>
  <c r="Y50" i="3"/>
  <c r="I56" i="160"/>
  <c r="I58" i="160" s="1"/>
  <c r="AE50" i="144" s="1"/>
  <c r="I41" i="160"/>
  <c r="V50" i="144" s="1"/>
  <c r="I24" i="160"/>
  <c r="K50" i="144" s="1"/>
  <c r="C50" i="144"/>
  <c r="D50" i="144"/>
  <c r="E50" i="144"/>
  <c r="F50" i="144"/>
  <c r="G50" i="144"/>
  <c r="H50" i="144"/>
  <c r="I50" i="144"/>
  <c r="J50" i="144" s="1"/>
  <c r="J51" i="144"/>
  <c r="K56" i="160"/>
  <c r="K58" i="160" s="1"/>
  <c r="K41" i="160"/>
  <c r="G54" i="159"/>
  <c r="G42" i="159"/>
  <c r="G56" i="159"/>
  <c r="AE49" i="144"/>
  <c r="V49" i="144"/>
  <c r="G27" i="159"/>
  <c r="K49" i="144" s="1"/>
  <c r="C49" i="144"/>
  <c r="F49" i="144"/>
  <c r="H49" i="144"/>
  <c r="E49" i="144"/>
  <c r="D49" i="144"/>
  <c r="I49" i="144" s="1"/>
  <c r="J49" i="144" s="1"/>
  <c r="I35" i="158"/>
  <c r="I37" i="158" s="1"/>
  <c r="I29" i="158"/>
  <c r="Y47" i="3"/>
  <c r="I45" i="156"/>
  <c r="I30" i="156"/>
  <c r="I24" i="156"/>
  <c r="I32" i="156"/>
  <c r="F46" i="144"/>
  <c r="I12" i="156"/>
  <c r="I17" i="156"/>
  <c r="K46" i="144"/>
  <c r="E46" i="144"/>
  <c r="H46" i="144"/>
  <c r="C46" i="144"/>
  <c r="I13" i="154"/>
  <c r="I20" i="154"/>
  <c r="I22" i="154" s="1"/>
  <c r="K43" i="144" s="1"/>
  <c r="F43" i="144"/>
  <c r="H43" i="144"/>
  <c r="E43" i="144"/>
  <c r="D43" i="144"/>
  <c r="C43" i="144"/>
  <c r="H36" i="154"/>
  <c r="H45" i="154"/>
  <c r="H47" i="154"/>
  <c r="W43" i="3" s="1"/>
  <c r="H54" i="154"/>
  <c r="H56" i="154" s="1"/>
  <c r="AB43" i="3"/>
  <c r="AA43" i="3"/>
  <c r="Z43" i="3"/>
  <c r="Q43" i="3"/>
  <c r="Q43" i="211" s="1"/>
  <c r="N43" i="3"/>
  <c r="N43" i="211" s="1"/>
  <c r="P43" i="3"/>
  <c r="P43" i="211" s="1"/>
  <c r="M43" i="3"/>
  <c r="M43" i="211" s="1"/>
  <c r="T43" i="3"/>
  <c r="T43" i="211" s="1"/>
  <c r="O43" i="3"/>
  <c r="O43" i="211" s="1"/>
  <c r="H13" i="154"/>
  <c r="H20" i="154"/>
  <c r="H22" i="154"/>
  <c r="K43" i="3"/>
  <c r="F43" i="3"/>
  <c r="H43" i="3"/>
  <c r="C43" i="3"/>
  <c r="C43" i="211" s="1"/>
  <c r="E43" i="3"/>
  <c r="D43" i="3"/>
  <c r="I36" i="155"/>
  <c r="I29" i="155"/>
  <c r="I38" i="155"/>
  <c r="G49" i="153"/>
  <c r="G51" i="153" s="1"/>
  <c r="AE42" i="144" s="1"/>
  <c r="G42" i="144"/>
  <c r="G22" i="153"/>
  <c r="K42" i="144" s="1"/>
  <c r="F42" i="144"/>
  <c r="H42" i="144"/>
  <c r="E42" i="144"/>
  <c r="C42" i="144"/>
  <c r="F49" i="153"/>
  <c r="F51" i="153" s="1"/>
  <c r="F33" i="153"/>
  <c r="AB42" i="3"/>
  <c r="AA42" i="3"/>
  <c r="Z42" i="3"/>
  <c r="W42" i="3"/>
  <c r="S42" i="3"/>
  <c r="S42" i="211" s="1"/>
  <c r="R42" i="3"/>
  <c r="R42" i="211" s="1"/>
  <c r="T42" i="3"/>
  <c r="M42" i="3"/>
  <c r="M42" i="211" s="1"/>
  <c r="F22" i="153"/>
  <c r="K42" i="3"/>
  <c r="F42" i="3"/>
  <c r="F42" i="211" s="1"/>
  <c r="H42" i="3"/>
  <c r="G42" i="3"/>
  <c r="G42" i="211" s="1"/>
  <c r="E42" i="3"/>
  <c r="D42" i="3"/>
  <c r="D42" i="211" s="1"/>
  <c r="C42" i="3"/>
  <c r="I52" i="152"/>
  <c r="I39" i="152"/>
  <c r="I54" i="152" s="1"/>
  <c r="AE41" i="144" s="1"/>
  <c r="I21" i="152"/>
  <c r="AB41" i="3"/>
  <c r="AA41" i="3"/>
  <c r="Z41" i="3"/>
  <c r="H43" i="152"/>
  <c r="Y41" i="211" s="1"/>
  <c r="Y41" i="3"/>
  <c r="W41" i="3"/>
  <c r="S41" i="3"/>
  <c r="S41" i="211" s="1"/>
  <c r="R41" i="3"/>
  <c r="R41" i="211" s="1"/>
  <c r="Q41" i="3"/>
  <c r="Q41" i="211" s="1"/>
  <c r="T41" i="3"/>
  <c r="T41" i="211" s="1"/>
  <c r="H25" i="152"/>
  <c r="L41" i="211" s="1"/>
  <c r="L41" i="3"/>
  <c r="M41" i="3"/>
  <c r="M41" i="211" s="1"/>
  <c r="U41" i="211" s="1"/>
  <c r="K41" i="3"/>
  <c r="F41" i="3"/>
  <c r="F41" i="211" s="1"/>
  <c r="H41" i="3"/>
  <c r="H41" i="211" s="1"/>
  <c r="G41" i="3"/>
  <c r="G41" i="211" s="1"/>
  <c r="E41" i="3"/>
  <c r="E41" i="211" s="1"/>
  <c r="D41" i="3"/>
  <c r="D41" i="211" s="1"/>
  <c r="C41" i="3"/>
  <c r="C41" i="211" s="1"/>
  <c r="I49" i="151"/>
  <c r="I51" i="151" s="1"/>
  <c r="AE40" i="144" s="1"/>
  <c r="I42" i="151"/>
  <c r="V40" i="144" s="1"/>
  <c r="I26" i="151"/>
  <c r="K40" i="144"/>
  <c r="F40" i="144"/>
  <c r="H40" i="144"/>
  <c r="E40" i="144"/>
  <c r="C40" i="144"/>
  <c r="H49" i="151"/>
  <c r="H42" i="151"/>
  <c r="H51" i="151" s="1"/>
  <c r="AB40" i="3"/>
  <c r="AA40" i="3"/>
  <c r="Z40" i="3"/>
  <c r="W40" i="3"/>
  <c r="S40" i="3"/>
  <c r="S40" i="211" s="1"/>
  <c r="R40" i="3"/>
  <c r="R40" i="211" s="1"/>
  <c r="M40" i="3"/>
  <c r="M40" i="211" s="1"/>
  <c r="T40" i="3"/>
  <c r="H26" i="151"/>
  <c r="K40" i="3"/>
  <c r="F40" i="3"/>
  <c r="H40" i="3"/>
  <c r="E40" i="3"/>
  <c r="C40" i="3"/>
  <c r="AF39" i="3"/>
  <c r="AB39" i="3"/>
  <c r="AA39" i="3"/>
  <c r="Z39" i="3"/>
  <c r="AC39" i="3" s="1"/>
  <c r="Y39" i="3"/>
  <c r="W39" i="3"/>
  <c r="R39" i="3"/>
  <c r="R39" i="211" s="1"/>
  <c r="M39" i="3"/>
  <c r="M39" i="211" s="1"/>
  <c r="T39" i="3"/>
  <c r="T39" i="211" s="1"/>
  <c r="K39" i="3"/>
  <c r="F39" i="3"/>
  <c r="F39" i="211" s="1"/>
  <c r="E39" i="3"/>
  <c r="E39" i="211" s="1"/>
  <c r="D39" i="3"/>
  <c r="D39" i="211" s="1"/>
  <c r="C39" i="3"/>
  <c r="C39" i="211" s="1"/>
  <c r="AF38" i="3"/>
  <c r="AB38" i="3"/>
  <c r="AA38" i="3"/>
  <c r="Z38" i="3"/>
  <c r="W38" i="3"/>
  <c r="T38" i="3"/>
  <c r="T38" i="211" s="1"/>
  <c r="S38" i="3"/>
  <c r="S38" i="211" s="1"/>
  <c r="R38" i="3"/>
  <c r="R38" i="211" s="1"/>
  <c r="M38" i="3"/>
  <c r="M38" i="211" s="1"/>
  <c r="K38" i="3"/>
  <c r="F38" i="3"/>
  <c r="F38" i="211" s="1"/>
  <c r="E38" i="3"/>
  <c r="E38" i="211" s="1"/>
  <c r="D38" i="3"/>
  <c r="D38" i="211" s="1"/>
  <c r="C38" i="3"/>
  <c r="C38" i="211" s="1"/>
  <c r="I49" i="148"/>
  <c r="I51" i="148" s="1"/>
  <c r="AE37" i="144" s="1"/>
  <c r="I38" i="148"/>
  <c r="V37" i="144" s="1"/>
  <c r="I21" i="148"/>
  <c r="K37" i="144"/>
  <c r="H37" i="144"/>
  <c r="G37" i="144"/>
  <c r="F37" i="144"/>
  <c r="E37" i="144"/>
  <c r="D37" i="144"/>
  <c r="C37" i="144"/>
  <c r="H49" i="148"/>
  <c r="H38" i="148"/>
  <c r="W37" i="3" s="1"/>
  <c r="H51" i="148"/>
  <c r="H41" i="198"/>
  <c r="H43" i="198" s="1"/>
  <c r="H32" i="198"/>
  <c r="AB37" i="3"/>
  <c r="AA37" i="3"/>
  <c r="Z37" i="3"/>
  <c r="S37" i="3"/>
  <c r="S37" i="211" s="1"/>
  <c r="R37" i="3"/>
  <c r="R37" i="211" s="1"/>
  <c r="T37" i="3"/>
  <c r="T37" i="211" s="1"/>
  <c r="Q37" i="3"/>
  <c r="Q37" i="211" s="1"/>
  <c r="M37" i="3"/>
  <c r="H26" i="148"/>
  <c r="H21" i="148"/>
  <c r="K37" i="3" s="1"/>
  <c r="F37" i="3"/>
  <c r="G37" i="3"/>
  <c r="H37" i="3"/>
  <c r="E37" i="3"/>
  <c r="E37" i="211" s="1"/>
  <c r="D37" i="3"/>
  <c r="D37" i="211" s="1"/>
  <c r="C37" i="3"/>
  <c r="C37" i="211" s="1"/>
  <c r="AB36" i="3"/>
  <c r="AA36" i="3"/>
  <c r="Z36" i="3"/>
  <c r="W36" i="3"/>
  <c r="T36" i="3"/>
  <c r="T36" i="211" s="1"/>
  <c r="P36" i="3"/>
  <c r="P36" i="211" s="1"/>
  <c r="N36" i="3"/>
  <c r="N36" i="211" s="1"/>
  <c r="O36" i="3"/>
  <c r="O36" i="211" s="1"/>
  <c r="Q36" i="3"/>
  <c r="Q36" i="211" s="1"/>
  <c r="M36" i="3"/>
  <c r="M36" i="211" s="1"/>
  <c r="L36" i="3"/>
  <c r="K36" i="3"/>
  <c r="F36" i="3"/>
  <c r="F36" i="211" s="1"/>
  <c r="H36" i="3"/>
  <c r="H36" i="211" s="1"/>
  <c r="G36" i="3"/>
  <c r="G36" i="211" s="1"/>
  <c r="E36" i="3"/>
  <c r="E36" i="211" s="1"/>
  <c r="D36" i="3"/>
  <c r="D36" i="211" s="1"/>
  <c r="C36" i="3"/>
  <c r="C36" i="211" s="1"/>
  <c r="AB35" i="3"/>
  <c r="Z35" i="3"/>
  <c r="W35" i="3"/>
  <c r="S35" i="3"/>
  <c r="S35" i="211" s="1"/>
  <c r="R35" i="3"/>
  <c r="R35" i="211" s="1"/>
  <c r="M35" i="3"/>
  <c r="M35" i="211" s="1"/>
  <c r="T35" i="3"/>
  <c r="T35" i="211" s="1"/>
  <c r="K35" i="3"/>
  <c r="F35" i="3"/>
  <c r="F35" i="211" s="1"/>
  <c r="H35" i="3"/>
  <c r="H35" i="211" s="1"/>
  <c r="E35" i="3"/>
  <c r="E35" i="211" s="1"/>
  <c r="C35" i="3"/>
  <c r="C35" i="211" s="1"/>
  <c r="I32" i="198"/>
  <c r="I43" i="198" s="1"/>
  <c r="AE34" i="144" s="1"/>
  <c r="I41" i="198"/>
  <c r="I16" i="198"/>
  <c r="K34" i="144"/>
  <c r="E34" i="144"/>
  <c r="G34" i="144"/>
  <c r="F34" i="144"/>
  <c r="D34" i="144"/>
  <c r="C34" i="144"/>
  <c r="AB34" i="3"/>
  <c r="AA34" i="3"/>
  <c r="Z34" i="3"/>
  <c r="AC34" i="3" s="1"/>
  <c r="W34" i="3"/>
  <c r="S34" i="3"/>
  <c r="S34" i="211" s="1"/>
  <c r="R34" i="3"/>
  <c r="R34" i="211" s="1"/>
  <c r="T34" i="3"/>
  <c r="T34" i="211" s="1"/>
  <c r="Q34" i="3"/>
  <c r="Q34" i="211" s="1"/>
  <c r="M34" i="3"/>
  <c r="M34" i="211" s="1"/>
  <c r="H21" i="198"/>
  <c r="L34" i="211" s="1"/>
  <c r="L34" i="3"/>
  <c r="H16" i="198"/>
  <c r="K34" i="3" s="1"/>
  <c r="F34" i="3"/>
  <c r="F34" i="211" s="1"/>
  <c r="H34" i="3"/>
  <c r="H34" i="211" s="1"/>
  <c r="G34" i="3"/>
  <c r="E34" i="3"/>
  <c r="D34" i="3"/>
  <c r="D34" i="211" s="1"/>
  <c r="C34" i="3"/>
  <c r="C34" i="211" s="1"/>
  <c r="I55" i="197"/>
  <c r="I57" i="197" s="1"/>
  <c r="AE33" i="144" s="1"/>
  <c r="I42" i="197"/>
  <c r="V33" i="144" s="1"/>
  <c r="C33" i="144"/>
  <c r="I26" i="197"/>
  <c r="K33" i="144"/>
  <c r="H33" i="144"/>
  <c r="G33" i="144"/>
  <c r="F33" i="144"/>
  <c r="E33" i="144"/>
  <c r="D33" i="144"/>
  <c r="H42" i="197"/>
  <c r="H55" i="197"/>
  <c r="H57" i="197"/>
  <c r="AF33" i="211" s="1"/>
  <c r="AB33" i="3"/>
  <c r="AA33" i="3"/>
  <c r="Z33" i="3"/>
  <c r="W33" i="3"/>
  <c r="S33" i="3"/>
  <c r="S33" i="211" s="1"/>
  <c r="R33" i="3"/>
  <c r="R33" i="211" s="1"/>
  <c r="T33" i="3"/>
  <c r="T33" i="211" s="1"/>
  <c r="Q33" i="3"/>
  <c r="M33" i="3"/>
  <c r="M33" i="211" s="1"/>
  <c r="L33" i="3"/>
  <c r="H26" i="197"/>
  <c r="K33" i="3"/>
  <c r="H33" i="3"/>
  <c r="G33" i="3"/>
  <c r="F33" i="3"/>
  <c r="F33" i="211" s="1"/>
  <c r="E33" i="3"/>
  <c r="E33" i="211" s="1"/>
  <c r="D33" i="3"/>
  <c r="D33" i="211" s="1"/>
  <c r="C33" i="3"/>
  <c r="C33" i="211" s="1"/>
  <c r="V31" i="144"/>
  <c r="I38" i="196"/>
  <c r="I29" i="196"/>
  <c r="I40" i="196"/>
  <c r="K31" i="144"/>
  <c r="H31" i="144"/>
  <c r="F31" i="144"/>
  <c r="E31" i="144"/>
  <c r="D31" i="144"/>
  <c r="C31" i="144"/>
  <c r="H65" i="196"/>
  <c r="H71" i="196"/>
  <c r="H73" i="196"/>
  <c r="H95" i="196" s="1"/>
  <c r="S31" i="3"/>
  <c r="S31" i="211" s="1"/>
  <c r="R31" i="3"/>
  <c r="R31" i="211" s="1"/>
  <c r="M31" i="3"/>
  <c r="M31" i="211" s="1"/>
  <c r="H38" i="196"/>
  <c r="H29" i="196"/>
  <c r="H40" i="196"/>
  <c r="K31" i="3"/>
  <c r="F31" i="3"/>
  <c r="F31" i="211" s="1"/>
  <c r="H31" i="3"/>
  <c r="H93" i="196"/>
  <c r="AB31" i="3"/>
  <c r="AA31" i="3"/>
  <c r="Z31" i="3"/>
  <c r="AC31" i="3" s="1"/>
  <c r="T31" i="3"/>
  <c r="T31" i="211" s="1"/>
  <c r="Z32" i="3"/>
  <c r="AA32" i="3"/>
  <c r="AB32" i="3"/>
  <c r="M32" i="3"/>
  <c r="M32" i="211" s="1"/>
  <c r="O32" i="3"/>
  <c r="O32" i="211" s="1"/>
  <c r="P32" i="3"/>
  <c r="P32" i="211" s="1"/>
  <c r="Q32" i="3"/>
  <c r="T32" i="3"/>
  <c r="T32" i="211" s="1"/>
  <c r="Y32" i="3"/>
  <c r="H45" i="196"/>
  <c r="L31" i="211" s="1"/>
  <c r="L31" i="3"/>
  <c r="E31" i="3"/>
  <c r="E31" i="211" s="1"/>
  <c r="D31" i="3"/>
  <c r="D31" i="211" s="1"/>
  <c r="C31" i="3"/>
  <c r="C31" i="211" s="1"/>
  <c r="AF32" i="3"/>
  <c r="W32" i="3"/>
  <c r="L32" i="3"/>
  <c r="K32" i="3"/>
  <c r="H32" i="3"/>
  <c r="H32" i="211" s="1"/>
  <c r="F32" i="3"/>
  <c r="F32" i="211" s="1"/>
  <c r="E32" i="3"/>
  <c r="E32" i="211" s="1"/>
  <c r="D32" i="3"/>
  <c r="D32" i="211" s="1"/>
  <c r="C32" i="3"/>
  <c r="C32" i="211" s="1"/>
  <c r="AF30" i="3"/>
  <c r="AB30" i="3"/>
  <c r="AA30" i="3"/>
  <c r="Z30" i="3"/>
  <c r="AC30" i="3" s="1"/>
  <c r="W30" i="3"/>
  <c r="S30" i="3"/>
  <c r="S30" i="211" s="1"/>
  <c r="R30" i="3"/>
  <c r="R30" i="211" s="1"/>
  <c r="T30" i="3"/>
  <c r="T30" i="211" s="1"/>
  <c r="M30" i="3"/>
  <c r="M30" i="211" s="1"/>
  <c r="K30" i="3"/>
  <c r="F30" i="3"/>
  <c r="F30" i="211" s="1"/>
  <c r="H30" i="3"/>
  <c r="H30" i="211" s="1"/>
  <c r="E30" i="3"/>
  <c r="E30" i="211" s="1"/>
  <c r="C30" i="3"/>
  <c r="C30" i="211" s="1"/>
  <c r="V29" i="144"/>
  <c r="I22" i="193"/>
  <c r="K29" i="144"/>
  <c r="F29" i="144"/>
  <c r="E29" i="144"/>
  <c r="H29" i="144"/>
  <c r="C29" i="144"/>
  <c r="H36" i="193"/>
  <c r="H53" i="193" s="1"/>
  <c r="H51" i="193"/>
  <c r="AB29" i="3"/>
  <c r="AA29" i="3"/>
  <c r="Z29" i="3"/>
  <c r="W29" i="3"/>
  <c r="S29" i="3"/>
  <c r="S29" i="211" s="1"/>
  <c r="R29" i="3"/>
  <c r="R29" i="211" s="1"/>
  <c r="T29" i="3"/>
  <c r="T29" i="211" s="1"/>
  <c r="E29" i="3"/>
  <c r="H22" i="193"/>
  <c r="K29" i="3"/>
  <c r="H29" i="3"/>
  <c r="H29" i="211" s="1"/>
  <c r="F29" i="3"/>
  <c r="F29" i="211" s="1"/>
  <c r="C29" i="3"/>
  <c r="I21" i="192"/>
  <c r="S28" i="3"/>
  <c r="S28" i="211" s="1"/>
  <c r="R28" i="3"/>
  <c r="R28" i="211" s="1"/>
  <c r="K28" i="3"/>
  <c r="F28" i="3"/>
  <c r="F28" i="211" s="1"/>
  <c r="G28" i="3"/>
  <c r="G28" i="211" s="1"/>
  <c r="H28" i="3"/>
  <c r="H28" i="211" s="1"/>
  <c r="E28" i="3"/>
  <c r="E28" i="211" s="1"/>
  <c r="D28" i="3"/>
  <c r="D28" i="211" s="1"/>
  <c r="C28" i="3"/>
  <c r="C28" i="211" s="1"/>
  <c r="V27" i="144"/>
  <c r="I15" i="191"/>
  <c r="K27" i="144"/>
  <c r="C27" i="144"/>
  <c r="E27" i="144"/>
  <c r="F27" i="144"/>
  <c r="H37" i="191"/>
  <c r="H39" i="191" s="1"/>
  <c r="AB27" i="3"/>
  <c r="AA27" i="3"/>
  <c r="Z27" i="3"/>
  <c r="W27" i="3"/>
  <c r="T27" i="3"/>
  <c r="T27" i="211" s="1"/>
  <c r="S27" i="3"/>
  <c r="S27" i="211" s="1"/>
  <c r="R27" i="3"/>
  <c r="R27" i="211" s="1"/>
  <c r="N27" i="3"/>
  <c r="N27" i="211" s="1"/>
  <c r="M27" i="3"/>
  <c r="M27" i="211" s="1"/>
  <c r="H15" i="191"/>
  <c r="K27" i="3"/>
  <c r="F27" i="3"/>
  <c r="F27" i="211" s="1"/>
  <c r="E27" i="3"/>
  <c r="C27" i="3"/>
  <c r="AF26" i="3"/>
  <c r="AB26" i="3"/>
  <c r="Z26" i="3"/>
  <c r="W26" i="3"/>
  <c r="T26" i="3"/>
  <c r="T26" i="211" s="1"/>
  <c r="Q26" i="3"/>
  <c r="Q26" i="211" s="1"/>
  <c r="N26" i="3"/>
  <c r="N26" i="211" s="1"/>
  <c r="M26" i="3"/>
  <c r="M26" i="211" s="1"/>
  <c r="K26" i="3"/>
  <c r="F26" i="3"/>
  <c r="F26" i="211" s="1"/>
  <c r="E26" i="3"/>
  <c r="E26" i="211" s="1"/>
  <c r="C26" i="3"/>
  <c r="C26" i="211" s="1"/>
  <c r="V25" i="144"/>
  <c r="I16" i="189"/>
  <c r="K25" i="144" s="1"/>
  <c r="F25" i="144"/>
  <c r="E25" i="144"/>
  <c r="D25" i="144"/>
  <c r="C25" i="144"/>
  <c r="H41" i="189"/>
  <c r="H34" i="189"/>
  <c r="W25" i="3" s="1"/>
  <c r="H43" i="189"/>
  <c r="AB25" i="3"/>
  <c r="AA25" i="3"/>
  <c r="Z25" i="3"/>
  <c r="T25" i="3"/>
  <c r="T25" i="211" s="1"/>
  <c r="R25" i="3"/>
  <c r="S25" i="3"/>
  <c r="S25" i="211" s="1"/>
  <c r="P25" i="3"/>
  <c r="P25" i="211" s="1"/>
  <c r="O25" i="3"/>
  <c r="O25" i="211" s="1"/>
  <c r="N25" i="3"/>
  <c r="N25" i="211" s="1"/>
  <c r="M25" i="3"/>
  <c r="M25" i="211" s="1"/>
  <c r="H16" i="189"/>
  <c r="K25" i="3"/>
  <c r="F25" i="3"/>
  <c r="F25" i="211" s="1"/>
  <c r="D25" i="3"/>
  <c r="D25" i="211" s="1"/>
  <c r="H25" i="3"/>
  <c r="H25" i="211" s="1"/>
  <c r="G25" i="3"/>
  <c r="G25" i="211" s="1"/>
  <c r="E25" i="3"/>
  <c r="E25" i="211" s="1"/>
  <c r="C25" i="3"/>
  <c r="AF24" i="3"/>
  <c r="AB24" i="3"/>
  <c r="AA24" i="3"/>
  <c r="Z24" i="3"/>
  <c r="W24" i="3"/>
  <c r="L24" i="3"/>
  <c r="N24" i="3"/>
  <c r="N24" i="211" s="1"/>
  <c r="Q24" i="3"/>
  <c r="Q24" i="211" s="1"/>
  <c r="M24" i="3"/>
  <c r="M24" i="211" s="1"/>
  <c r="U24" i="211" s="1"/>
  <c r="K24" i="3"/>
  <c r="F24" i="3"/>
  <c r="F24" i="211" s="1"/>
  <c r="G24" i="3"/>
  <c r="G24" i="211" s="1"/>
  <c r="E24" i="3"/>
  <c r="E24" i="211" s="1"/>
  <c r="C24" i="3"/>
  <c r="C24" i="211" s="1"/>
  <c r="V23" i="144"/>
  <c r="E23" i="144"/>
  <c r="I15" i="187"/>
  <c r="K23" i="144"/>
  <c r="H23" i="144"/>
  <c r="H23" i="211" s="1"/>
  <c r="C23" i="144"/>
  <c r="H41" i="187"/>
  <c r="H43" i="187" s="1"/>
  <c r="H24" i="187"/>
  <c r="AB23" i="3"/>
  <c r="AA23" i="3"/>
  <c r="Z23" i="3"/>
  <c r="W23" i="3"/>
  <c r="S23" i="3"/>
  <c r="S23" i="211" s="1"/>
  <c r="R23" i="3"/>
  <c r="R23" i="211" s="1"/>
  <c r="M23" i="3"/>
  <c r="M23" i="211" s="1"/>
  <c r="H15" i="187"/>
  <c r="K23" i="3"/>
  <c r="F23" i="3"/>
  <c r="F23" i="211" s="1"/>
  <c r="E23" i="3"/>
  <c r="E23" i="211" s="1"/>
  <c r="D23" i="3"/>
  <c r="D23" i="211" s="1"/>
  <c r="C23" i="3"/>
  <c r="C23" i="211" s="1"/>
  <c r="I23" i="211" s="1"/>
  <c r="V22" i="144"/>
  <c r="I26" i="186"/>
  <c r="K22" i="144"/>
  <c r="H22" i="144"/>
  <c r="G22" i="144"/>
  <c r="F22" i="144"/>
  <c r="E22" i="144"/>
  <c r="D22" i="144"/>
  <c r="C22" i="144"/>
  <c r="H46" i="186"/>
  <c r="H60" i="186"/>
  <c r="H62" i="186"/>
  <c r="AF22" i="211" s="1"/>
  <c r="AF22" i="3"/>
  <c r="AB22" i="3"/>
  <c r="AA22" i="3"/>
  <c r="Z22" i="3"/>
  <c r="Y22" i="3"/>
  <c r="W22" i="3"/>
  <c r="S22" i="3"/>
  <c r="S22" i="211" s="1"/>
  <c r="R22" i="3"/>
  <c r="R22" i="211" s="1"/>
  <c r="T22" i="3"/>
  <c r="T22" i="211" s="1"/>
  <c r="Q22" i="3"/>
  <c r="Q22" i="211" s="1"/>
  <c r="M22" i="3"/>
  <c r="M22" i="211" s="1"/>
  <c r="H33" i="186"/>
  <c r="F22" i="3"/>
  <c r="H26" i="186"/>
  <c r="K22" i="3"/>
  <c r="H22" i="3"/>
  <c r="H22" i="211" s="1"/>
  <c r="G22" i="3"/>
  <c r="G22" i="211" s="1"/>
  <c r="E22" i="3"/>
  <c r="E22" i="211" s="1"/>
  <c r="D22" i="3"/>
  <c r="C22" i="3"/>
  <c r="C22" i="211" s="1"/>
  <c r="V21" i="144"/>
  <c r="I13" i="185"/>
  <c r="K21" i="144"/>
  <c r="F21" i="144"/>
  <c r="H21" i="144"/>
  <c r="E21" i="144"/>
  <c r="C21" i="144"/>
  <c r="H35" i="185"/>
  <c r="H37" i="185" s="1"/>
  <c r="H28" i="185"/>
  <c r="AB21" i="3"/>
  <c r="AA21" i="3"/>
  <c r="Z21" i="3"/>
  <c r="W21" i="3"/>
  <c r="S21" i="3"/>
  <c r="S21" i="211" s="1"/>
  <c r="R21" i="3"/>
  <c r="R21" i="211" s="1"/>
  <c r="N21" i="3"/>
  <c r="N21" i="211" s="1"/>
  <c r="Q21" i="3"/>
  <c r="Q21" i="211" s="1"/>
  <c r="T21" i="3"/>
  <c r="T21" i="211" s="1"/>
  <c r="M21" i="3"/>
  <c r="M21" i="211" s="1"/>
  <c r="U21" i="211" s="1"/>
  <c r="H13" i="185"/>
  <c r="K21" i="3"/>
  <c r="F21" i="3"/>
  <c r="F21" i="211" s="1"/>
  <c r="H21" i="3"/>
  <c r="E21" i="3"/>
  <c r="D21" i="3"/>
  <c r="D21" i="211" s="1"/>
  <c r="C21" i="3"/>
  <c r="AB20" i="3"/>
  <c r="AA20" i="3"/>
  <c r="Z20" i="3"/>
  <c r="T20" i="3"/>
  <c r="T20" i="211" s="1"/>
  <c r="W20" i="3"/>
  <c r="S20" i="3"/>
  <c r="S20" i="211" s="1"/>
  <c r="R20" i="3"/>
  <c r="R20" i="211" s="1"/>
  <c r="M20" i="3"/>
  <c r="M20" i="211" s="1"/>
  <c r="U20" i="211" s="1"/>
  <c r="K20" i="3"/>
  <c r="E20" i="3"/>
  <c r="E20" i="211" s="1"/>
  <c r="C20" i="3"/>
  <c r="C20" i="211" s="1"/>
  <c r="AF17" i="3"/>
  <c r="AB17" i="3"/>
  <c r="AA17" i="3"/>
  <c r="Y17" i="3"/>
  <c r="Z17" i="3"/>
  <c r="T17" i="3"/>
  <c r="T17" i="211" s="1"/>
  <c r="W17" i="3"/>
  <c r="S17" i="3"/>
  <c r="S17" i="211" s="1"/>
  <c r="R17" i="3"/>
  <c r="R17" i="211" s="1"/>
  <c r="Q17" i="3"/>
  <c r="Q17" i="211" s="1"/>
  <c r="M17" i="3"/>
  <c r="M17" i="211" s="1"/>
  <c r="F17" i="3"/>
  <c r="F17" i="211" s="1"/>
  <c r="K17" i="3"/>
  <c r="H17" i="3"/>
  <c r="H17" i="211" s="1"/>
  <c r="D17" i="3"/>
  <c r="D17" i="211" s="1"/>
  <c r="C17" i="3"/>
  <c r="C17" i="211" s="1"/>
  <c r="K19" i="3"/>
  <c r="AF19" i="3"/>
  <c r="AB19" i="3"/>
  <c r="AA19" i="3"/>
  <c r="Z19" i="3"/>
  <c r="W19" i="3"/>
  <c r="S19" i="3"/>
  <c r="S19" i="211" s="1"/>
  <c r="R19" i="3"/>
  <c r="R19" i="211" s="1"/>
  <c r="N19" i="3"/>
  <c r="N19" i="211" s="1"/>
  <c r="T19" i="3"/>
  <c r="T19" i="211" s="1"/>
  <c r="Q19" i="3"/>
  <c r="Q19" i="211" s="1"/>
  <c r="M19" i="3"/>
  <c r="M19" i="211" s="1"/>
  <c r="F19" i="3"/>
  <c r="F19" i="211" s="1"/>
  <c r="H19" i="3"/>
  <c r="H19" i="211" s="1"/>
  <c r="E19" i="3"/>
  <c r="E19" i="211" s="1"/>
  <c r="D19" i="3"/>
  <c r="D19" i="211" s="1"/>
  <c r="C19" i="3"/>
  <c r="C19" i="211" s="1"/>
  <c r="AF18" i="3"/>
  <c r="Y18" i="3"/>
  <c r="AB18" i="3"/>
  <c r="Z18" i="3"/>
  <c r="W18" i="3"/>
  <c r="S18" i="3"/>
  <c r="S18" i="211" s="1"/>
  <c r="R18" i="3"/>
  <c r="R18" i="211" s="1"/>
  <c r="N18" i="3"/>
  <c r="N18" i="211" s="1"/>
  <c r="M18" i="3"/>
  <c r="M18" i="211" s="1"/>
  <c r="K18" i="3"/>
  <c r="F18" i="3"/>
  <c r="F18" i="211" s="1"/>
  <c r="H18" i="3"/>
  <c r="H18" i="211" s="1"/>
  <c r="E18" i="3"/>
  <c r="E18" i="211" s="1"/>
  <c r="C18" i="3"/>
  <c r="C18" i="211" s="1"/>
  <c r="AB16" i="3"/>
  <c r="AA16" i="3"/>
  <c r="Z16" i="3"/>
  <c r="W16" i="3"/>
  <c r="N16" i="3"/>
  <c r="N16" i="211" s="1"/>
  <c r="Q16" i="3"/>
  <c r="Q16" i="211" s="1"/>
  <c r="M16" i="3"/>
  <c r="M16" i="211" s="1"/>
  <c r="U16" i="211" s="1"/>
  <c r="K16" i="3"/>
  <c r="F16" i="3"/>
  <c r="F16" i="211" s="1"/>
  <c r="E16" i="3"/>
  <c r="E16" i="211" s="1"/>
  <c r="C16" i="3"/>
  <c r="C16" i="211" s="1"/>
  <c r="I16" i="211" s="1"/>
  <c r="J16" i="211" s="1"/>
  <c r="V15" i="144"/>
  <c r="H42" i="179"/>
  <c r="H55" i="179"/>
  <c r="H57" i="179"/>
  <c r="AF15" i="211" s="1"/>
  <c r="AF15" i="3"/>
  <c r="AB15" i="3"/>
  <c r="AA15" i="3"/>
  <c r="Z15" i="3"/>
  <c r="Y15" i="3"/>
  <c r="W15" i="3"/>
  <c r="R15" i="3"/>
  <c r="R15" i="211" s="1"/>
  <c r="S15" i="3"/>
  <c r="S15" i="211" s="1"/>
  <c r="T15" i="3"/>
  <c r="T15" i="211" s="1"/>
  <c r="Q15" i="3"/>
  <c r="Q15" i="211" s="1"/>
  <c r="M15" i="3"/>
  <c r="M15" i="211" s="1"/>
  <c r="L15" i="3"/>
  <c r="U11" i="3"/>
  <c r="AC11" i="3"/>
  <c r="AD11" i="3"/>
  <c r="U12" i="3"/>
  <c r="AC12" i="3"/>
  <c r="AD12" i="3" s="1"/>
  <c r="U13" i="3"/>
  <c r="AC13" i="3"/>
  <c r="AD13" i="3"/>
  <c r="AE9" i="144"/>
  <c r="V9" i="144"/>
  <c r="I42" i="147"/>
  <c r="I59" i="147"/>
  <c r="AB8" i="3"/>
  <c r="AA8" i="3"/>
  <c r="Z8" i="3"/>
  <c r="I48" i="147"/>
  <c r="Y8" i="211" s="1"/>
  <c r="P8" i="3"/>
  <c r="P8" i="211" s="1"/>
  <c r="P71" i="211" s="1"/>
  <c r="S8" i="3"/>
  <c r="S8" i="211" s="1"/>
  <c r="S71" i="211" s="1"/>
  <c r="O8" i="3"/>
  <c r="R8" i="3"/>
  <c r="R8" i="211" s="1"/>
  <c r="R71" i="211" s="1"/>
  <c r="T8" i="3"/>
  <c r="T8" i="211" s="1"/>
  <c r="T71" i="211" s="1"/>
  <c r="Q8" i="3"/>
  <c r="Q8" i="211" s="1"/>
  <c r="Q71" i="211" s="1"/>
  <c r="M8" i="3"/>
  <c r="L8" i="3"/>
  <c r="I21" i="147"/>
  <c r="K8" i="3"/>
  <c r="H8" i="3"/>
  <c r="H8" i="211" s="1"/>
  <c r="H71" i="211" s="1"/>
  <c r="G8" i="3"/>
  <c r="G8" i="211" s="1"/>
  <c r="G71" i="211" s="1"/>
  <c r="F8" i="3"/>
  <c r="F8" i="211" s="1"/>
  <c r="F71" i="211" s="1"/>
  <c r="E8" i="3"/>
  <c r="E8" i="211" s="1"/>
  <c r="E71" i="211" s="1"/>
  <c r="D8" i="3"/>
  <c r="D8" i="211" s="1"/>
  <c r="D71" i="211" s="1"/>
  <c r="C7" i="3"/>
  <c r="C7" i="211" s="1"/>
  <c r="J29" i="197"/>
  <c r="K93" i="196"/>
  <c r="K71" i="196"/>
  <c r="K65" i="196"/>
  <c r="K73" i="196" s="1"/>
  <c r="K95" i="196" s="1"/>
  <c r="K45" i="196"/>
  <c r="I45" i="196"/>
  <c r="J43" i="196"/>
  <c r="J45" i="196" s="1"/>
  <c r="K38" i="196"/>
  <c r="K29" i="196"/>
  <c r="K40" i="196"/>
  <c r="K22" i="193"/>
  <c r="I33" i="186"/>
  <c r="J29" i="186"/>
  <c r="J33" i="186" s="1"/>
  <c r="J30" i="186"/>
  <c r="K33" i="186"/>
  <c r="I31" i="182"/>
  <c r="I22" i="182"/>
  <c r="I33" i="182"/>
  <c r="K55" i="179"/>
  <c r="I27" i="176"/>
  <c r="I36" i="176" s="1"/>
  <c r="I34" i="176"/>
  <c r="I14" i="176"/>
  <c r="K41" i="198"/>
  <c r="K32" i="198"/>
  <c r="K21" i="198"/>
  <c r="J19" i="198"/>
  <c r="J21" i="198" s="1"/>
  <c r="I21" i="198"/>
  <c r="K16" i="198"/>
  <c r="K55" i="197"/>
  <c r="K57" i="197" s="1"/>
  <c r="K42" i="197"/>
  <c r="K26" i="197"/>
  <c r="L51" i="193"/>
  <c r="K51" i="193"/>
  <c r="K53" i="193" s="1"/>
  <c r="L36" i="193"/>
  <c r="L53" i="193" s="1"/>
  <c r="K36" i="193"/>
  <c r="L22" i="193"/>
  <c r="K60" i="186"/>
  <c r="K46" i="186"/>
  <c r="K26" i="186"/>
  <c r="I14" i="182"/>
  <c r="K42" i="179"/>
  <c r="K57" i="179" s="1"/>
  <c r="K25" i="179"/>
  <c r="K62" i="186"/>
  <c r="Y46" i="3"/>
  <c r="AC24" i="3"/>
  <c r="U24" i="3"/>
  <c r="AC25" i="3"/>
  <c r="AC26" i="3"/>
  <c r="AC27" i="3"/>
  <c r="AC28" i="3"/>
  <c r="U28" i="3"/>
  <c r="V28" i="3" s="1"/>
  <c r="AC29" i="3"/>
  <c r="U29" i="3"/>
  <c r="U30" i="3"/>
  <c r="AC35" i="3"/>
  <c r="AC33" i="3"/>
  <c r="U34" i="3"/>
  <c r="AC36" i="3"/>
  <c r="AC38" i="3"/>
  <c r="U38" i="3"/>
  <c r="AD38" i="3" s="1"/>
  <c r="AE38" i="3" s="1"/>
  <c r="U39" i="3"/>
  <c r="AD39" i="3"/>
  <c r="AE39" i="3"/>
  <c r="AC40" i="3"/>
  <c r="U40" i="3"/>
  <c r="V40" i="3" s="1"/>
  <c r="AC41" i="3"/>
  <c r="AC42" i="3"/>
  <c r="U42" i="3"/>
  <c r="V42" i="3"/>
  <c r="AC43" i="3"/>
  <c r="V39" i="3"/>
  <c r="I21" i="3"/>
  <c r="I22" i="3"/>
  <c r="J22" i="3" s="1"/>
  <c r="I23" i="3"/>
  <c r="J23" i="3"/>
  <c r="I24" i="3"/>
  <c r="J24" i="3" s="1"/>
  <c r="I25" i="3"/>
  <c r="J25" i="3"/>
  <c r="I26" i="3"/>
  <c r="J26" i="3"/>
  <c r="I30" i="3"/>
  <c r="J30" i="3"/>
  <c r="I32" i="3"/>
  <c r="J32" i="3" s="1"/>
  <c r="I31" i="3"/>
  <c r="I34" i="3"/>
  <c r="J34" i="3"/>
  <c r="I38" i="3"/>
  <c r="J38" i="3" s="1"/>
  <c r="I39" i="3"/>
  <c r="J39" i="3"/>
  <c r="I40" i="3"/>
  <c r="J40" i="3" s="1"/>
  <c r="I42" i="3"/>
  <c r="J42" i="3" s="1"/>
  <c r="I54" i="3"/>
  <c r="J54" i="3" s="1"/>
  <c r="I55" i="3"/>
  <c r="J55" i="3"/>
  <c r="I56" i="3"/>
  <c r="J56" i="3" s="1"/>
  <c r="I57" i="3"/>
  <c r="J57" i="3" s="1"/>
  <c r="I58" i="3"/>
  <c r="J58" i="3"/>
  <c r="I59" i="3"/>
  <c r="J59" i="3" s="1"/>
  <c r="I60" i="3"/>
  <c r="J60" i="3" s="1"/>
  <c r="I63" i="3"/>
  <c r="J63" i="3"/>
  <c r="I65" i="3"/>
  <c r="J65" i="3" s="1"/>
  <c r="L47" i="3"/>
  <c r="L46" i="3"/>
  <c r="L19" i="3"/>
  <c r="L71" i="3"/>
  <c r="I18" i="175"/>
  <c r="J42" i="168"/>
  <c r="I15" i="172"/>
  <c r="I19" i="170"/>
  <c r="J14" i="169"/>
  <c r="I14" i="169"/>
  <c r="J26" i="168"/>
  <c r="K24" i="168"/>
  <c r="I31" i="166"/>
  <c r="I15" i="166"/>
  <c r="J22" i="165"/>
  <c r="J24" i="165" s="1"/>
  <c r="J19" i="163"/>
  <c r="J20" i="163"/>
  <c r="J18" i="163"/>
  <c r="K24" i="165"/>
  <c r="I24" i="165"/>
  <c r="K19" i="165"/>
  <c r="L17" i="165"/>
  <c r="L16" i="165"/>
  <c r="L15" i="165"/>
  <c r="L14" i="165"/>
  <c r="L13" i="165"/>
  <c r="L12" i="165"/>
  <c r="L11" i="165"/>
  <c r="L10" i="165"/>
  <c r="L9" i="165"/>
  <c r="L19" i="165" s="1"/>
  <c r="L8" i="165"/>
  <c r="L7" i="165"/>
  <c r="J13" i="163"/>
  <c r="J12" i="163"/>
  <c r="J11" i="163"/>
  <c r="J10" i="163"/>
  <c r="J9" i="163"/>
  <c r="J8" i="163"/>
  <c r="J7" i="163"/>
  <c r="I26" i="161"/>
  <c r="K24" i="160"/>
  <c r="J22" i="162"/>
  <c r="J24" i="161"/>
  <c r="K45" i="160"/>
  <c r="I45" i="160"/>
  <c r="J44" i="160"/>
  <c r="J45" i="160" s="1"/>
  <c r="I20" i="158"/>
  <c r="I19" i="155"/>
  <c r="I43" i="152"/>
  <c r="I25" i="152"/>
  <c r="J41" i="151"/>
  <c r="I26" i="148"/>
  <c r="J24" i="148"/>
  <c r="J26" i="148" s="1"/>
  <c r="M59" i="147"/>
  <c r="M42" i="147"/>
  <c r="M61" i="147" s="1"/>
  <c r="L59" i="147"/>
  <c r="L42" i="147"/>
  <c r="L61" i="147"/>
  <c r="M21" i="147"/>
  <c r="M26" i="147" s="1"/>
  <c r="L21" i="147"/>
  <c r="L26" i="147"/>
  <c r="K24" i="147"/>
  <c r="J26" i="147"/>
  <c r="I26" i="147"/>
  <c r="I22" i="144"/>
  <c r="J22" i="144"/>
  <c r="I23" i="144"/>
  <c r="J23" i="144" s="1"/>
  <c r="I24" i="144"/>
  <c r="J24" i="144" s="1"/>
  <c r="I25" i="144"/>
  <c r="I26" i="144"/>
  <c r="J26" i="144"/>
  <c r="I28" i="144"/>
  <c r="J28" i="144" s="1"/>
  <c r="I29" i="144"/>
  <c r="J29" i="144" s="1"/>
  <c r="I30" i="144"/>
  <c r="J30" i="144"/>
  <c r="I32" i="144"/>
  <c r="J32" i="144" s="1"/>
  <c r="I31" i="144"/>
  <c r="I35" i="144"/>
  <c r="J35" i="144" s="1"/>
  <c r="I33" i="144"/>
  <c r="I34" i="144"/>
  <c r="J34" i="144" s="1"/>
  <c r="I36" i="144"/>
  <c r="J36" i="144"/>
  <c r="I38" i="144"/>
  <c r="J38" i="144"/>
  <c r="I39" i="144"/>
  <c r="J39" i="144" s="1"/>
  <c r="I40" i="144"/>
  <c r="J40" i="144"/>
  <c r="I41" i="144"/>
  <c r="J41" i="144" s="1"/>
  <c r="I42" i="144"/>
  <c r="J42" i="144"/>
  <c r="I45" i="144"/>
  <c r="J45" i="144" s="1"/>
  <c r="I46" i="144"/>
  <c r="J46" i="144" s="1"/>
  <c r="I47" i="144"/>
  <c r="J47" i="144"/>
  <c r="I48" i="144"/>
  <c r="J48" i="144"/>
  <c r="I55" i="144"/>
  <c r="J55" i="144" s="1"/>
  <c r="I56" i="144"/>
  <c r="I57" i="144"/>
  <c r="I58" i="144"/>
  <c r="J58" i="144"/>
  <c r="I59" i="144"/>
  <c r="J59" i="144" s="1"/>
  <c r="I60" i="144"/>
  <c r="J60" i="144" s="1"/>
  <c r="I61" i="144"/>
  <c r="J61" i="144"/>
  <c r="I62" i="144"/>
  <c r="J62" i="144"/>
  <c r="I63" i="144"/>
  <c r="J63" i="144" s="1"/>
  <c r="I64" i="144"/>
  <c r="J64" i="144" s="1"/>
  <c r="I65" i="144"/>
  <c r="J65" i="144"/>
  <c r="I66" i="144"/>
  <c r="J66" i="144"/>
  <c r="I67" i="144"/>
  <c r="J67" i="144" s="1"/>
  <c r="I68" i="144"/>
  <c r="J68" i="144" s="1"/>
  <c r="AB7" i="3"/>
  <c r="AA7" i="3"/>
  <c r="Z7" i="3"/>
  <c r="AC7" i="3"/>
  <c r="T7" i="3"/>
  <c r="T7" i="211" s="1"/>
  <c r="P7" i="3"/>
  <c r="P7" i="211" s="1"/>
  <c r="O7" i="3"/>
  <c r="O7" i="211" s="1"/>
  <c r="M7" i="3"/>
  <c r="M7" i="211" s="1"/>
  <c r="K7" i="3"/>
  <c r="H7" i="3"/>
  <c r="H7" i="211" s="1"/>
  <c r="F7" i="3"/>
  <c r="F7" i="211" s="1"/>
  <c r="E7" i="3"/>
  <c r="E7" i="211" s="1"/>
  <c r="H22" i="145"/>
  <c r="I42" i="145"/>
  <c r="I17" i="145"/>
  <c r="I22" i="145" s="1"/>
  <c r="I56" i="145"/>
  <c r="I58" i="145"/>
  <c r="U24" i="144"/>
  <c r="U56" i="144"/>
  <c r="U55" i="144"/>
  <c r="U47" i="144"/>
  <c r="U48" i="144"/>
  <c r="U51" i="144"/>
  <c r="AD51" i="144"/>
  <c r="U37" i="144"/>
  <c r="U29" i="144"/>
  <c r="U21" i="144"/>
  <c r="I21" i="144"/>
  <c r="J21" i="144" s="1"/>
  <c r="P71" i="144"/>
  <c r="H71" i="144"/>
  <c r="G71" i="144"/>
  <c r="E71" i="144"/>
  <c r="D71" i="144"/>
  <c r="C71" i="144"/>
  <c r="AC8" i="3"/>
  <c r="V14" i="3"/>
  <c r="AC15" i="3"/>
  <c r="U16" i="3"/>
  <c r="V16" i="3" s="1"/>
  <c r="U17" i="3"/>
  <c r="V17" i="3" s="1"/>
  <c r="U20" i="3"/>
  <c r="U21" i="3"/>
  <c r="V21" i="3" s="1"/>
  <c r="U22" i="3"/>
  <c r="U23" i="3"/>
  <c r="AE11" i="3"/>
  <c r="AC16" i="3"/>
  <c r="AC17" i="3"/>
  <c r="AC18" i="3"/>
  <c r="AC19" i="3"/>
  <c r="AC21" i="3"/>
  <c r="AD21" i="3" s="1"/>
  <c r="AC22" i="3"/>
  <c r="AD22" i="3" s="1"/>
  <c r="AE22" i="3" s="1"/>
  <c r="AC23" i="3"/>
  <c r="I16" i="3"/>
  <c r="J16" i="3" s="1"/>
  <c r="I69" i="3"/>
  <c r="J69" i="3" s="1"/>
  <c r="W71" i="144"/>
  <c r="O71" i="144"/>
  <c r="M71" i="144"/>
  <c r="I69" i="144"/>
  <c r="J69" i="144"/>
  <c r="AD66" i="144"/>
  <c r="U66" i="144"/>
  <c r="U63" i="144"/>
  <c r="U62" i="144"/>
  <c r="U58" i="144"/>
  <c r="U45" i="144"/>
  <c r="U40" i="144"/>
  <c r="AD39" i="144"/>
  <c r="U39" i="144"/>
  <c r="U38" i="144"/>
  <c r="U36" i="144"/>
  <c r="U32" i="144"/>
  <c r="U30" i="144"/>
  <c r="U20" i="144"/>
  <c r="I20" i="144"/>
  <c r="J20" i="144" s="1"/>
  <c r="U19" i="144"/>
  <c r="I19" i="144"/>
  <c r="J19" i="144" s="1"/>
  <c r="U17" i="144"/>
  <c r="U16" i="144"/>
  <c r="I12" i="144"/>
  <c r="J12" i="144"/>
  <c r="I11" i="144"/>
  <c r="J11" i="144" s="1"/>
  <c r="I10" i="144"/>
  <c r="J10" i="144" s="1"/>
  <c r="I9" i="144"/>
  <c r="J9" i="144" s="1"/>
  <c r="R71" i="144"/>
  <c r="Q71" i="144"/>
  <c r="N71" i="144"/>
  <c r="F71" i="144"/>
  <c r="I6" i="144"/>
  <c r="J6" i="144"/>
  <c r="U6" i="144"/>
  <c r="I7" i="144"/>
  <c r="J7" i="144"/>
  <c r="AD65" i="144"/>
  <c r="U65" i="144"/>
  <c r="U59" i="144"/>
  <c r="U67" i="144"/>
  <c r="U10" i="144"/>
  <c r="U35" i="144"/>
  <c r="AD69" i="144"/>
  <c r="U69" i="144"/>
  <c r="S71" i="3"/>
  <c r="Q71" i="3"/>
  <c r="M71" i="3"/>
  <c r="O71" i="3"/>
  <c r="T71" i="3"/>
  <c r="H71" i="3"/>
  <c r="C71" i="3"/>
  <c r="P71" i="3"/>
  <c r="F71" i="3"/>
  <c r="E71" i="3"/>
  <c r="D71" i="3"/>
  <c r="N71" i="3"/>
  <c r="X71" i="3"/>
  <c r="AD47" i="144"/>
  <c r="V13" i="3"/>
  <c r="U26" i="144"/>
  <c r="V12" i="3"/>
  <c r="V11" i="3"/>
  <c r="AD63" i="144"/>
  <c r="U18" i="144"/>
  <c r="AD11" i="144"/>
  <c r="U68" i="144"/>
  <c r="J15" i="163"/>
  <c r="J22" i="163" s="1"/>
  <c r="K54" i="211" s="1"/>
  <c r="S71" i="144"/>
  <c r="W7" i="3"/>
  <c r="AD12" i="144"/>
  <c r="AD38" i="144"/>
  <c r="U7" i="3"/>
  <c r="V7" i="3" s="1"/>
  <c r="V38" i="3"/>
  <c r="AD34" i="3"/>
  <c r="V34" i="3"/>
  <c r="AD30" i="3"/>
  <c r="AE30" i="3" s="1"/>
  <c r="V30" i="3"/>
  <c r="V29" i="3"/>
  <c r="AD24" i="3"/>
  <c r="AE24" i="3"/>
  <c r="V24" i="3"/>
  <c r="U23" i="144"/>
  <c r="AD23" i="3"/>
  <c r="V23" i="3"/>
  <c r="V22" i="3"/>
  <c r="V20" i="3"/>
  <c r="AD16" i="3"/>
  <c r="K40" i="209"/>
  <c r="P14" i="209"/>
  <c r="P65" i="209"/>
  <c r="Q58" i="209"/>
  <c r="P38" i="209"/>
  <c r="P19" i="209"/>
  <c r="P40" i="209"/>
  <c r="P18" i="209"/>
  <c r="Q18" i="209"/>
  <c r="L50" i="209"/>
  <c r="P50" i="209"/>
  <c r="P53" i="209"/>
  <c r="L53" i="209"/>
  <c r="L6" i="209"/>
  <c r="L64" i="209"/>
  <c r="P52" i="209"/>
  <c r="P15" i="209"/>
  <c r="P46" i="209"/>
  <c r="Q46" i="209" s="1"/>
  <c r="P10" i="209"/>
  <c r="L66" i="209"/>
  <c r="P57" i="209"/>
  <c r="K17" i="209"/>
  <c r="L17" i="209" s="1"/>
  <c r="K60" i="209"/>
  <c r="L60" i="209"/>
  <c r="P22" i="209"/>
  <c r="P17" i="209"/>
  <c r="P60" i="209"/>
  <c r="J25" i="144" l="1"/>
  <c r="I27" i="144"/>
  <c r="J27" i="144" s="1"/>
  <c r="J31" i="144"/>
  <c r="J33" i="144"/>
  <c r="I37" i="144"/>
  <c r="J37" i="144" s="1"/>
  <c r="I43" i="144"/>
  <c r="J43" i="144" s="1"/>
  <c r="I52" i="144"/>
  <c r="J52" i="144" s="1"/>
  <c r="I53" i="144"/>
  <c r="J53" i="144" s="1"/>
  <c r="I54" i="144"/>
  <c r="J54" i="144" s="1"/>
  <c r="J57" i="144"/>
  <c r="AC6" i="144"/>
  <c r="AD6" i="144" s="1"/>
  <c r="AC67" i="144"/>
  <c r="AD67" i="144" s="1"/>
  <c r="AC62" i="144"/>
  <c r="AD62" i="144" s="1"/>
  <c r="AB60" i="144"/>
  <c r="AC59" i="144"/>
  <c r="AD59" i="144" s="1"/>
  <c r="AB57" i="144"/>
  <c r="AC56" i="144"/>
  <c r="AD56" i="144" s="1"/>
  <c r="AB54" i="144"/>
  <c r="T54" i="144"/>
  <c r="U54" i="144" s="1"/>
  <c r="T53" i="144"/>
  <c r="U53" i="144" s="1"/>
  <c r="T50" i="144"/>
  <c r="Z71" i="144"/>
  <c r="T49" i="144"/>
  <c r="U49" i="144" s="1"/>
  <c r="AB46" i="144"/>
  <c r="AC46" i="144"/>
  <c r="AB42" i="144"/>
  <c r="AB41" i="144"/>
  <c r="AB40" i="144"/>
  <c r="AC40" i="144"/>
  <c r="AD40" i="144" s="1"/>
  <c r="AA71" i="144"/>
  <c r="AC36" i="144"/>
  <c r="AD36" i="144" s="1"/>
  <c r="T34" i="144"/>
  <c r="AC34" i="144" s="1"/>
  <c r="AD34" i="144" s="1"/>
  <c r="T33" i="144"/>
  <c r="U33" i="144" s="1"/>
  <c r="AB9" i="144"/>
  <c r="I8" i="144"/>
  <c r="J8" i="144" s="1"/>
  <c r="T8" i="144"/>
  <c r="AC8" i="144" s="1"/>
  <c r="AD8" i="144" s="1"/>
  <c r="H50" i="211"/>
  <c r="H49" i="211"/>
  <c r="F49" i="211"/>
  <c r="E46" i="211"/>
  <c r="S57" i="211"/>
  <c r="S50" i="211"/>
  <c r="J13" i="144"/>
  <c r="I44" i="144"/>
  <c r="J44" i="144" s="1"/>
  <c r="AC35" i="144"/>
  <c r="AD35" i="144" s="1"/>
  <c r="T31" i="144"/>
  <c r="U31" i="144" s="1"/>
  <c r="AB29" i="144"/>
  <c r="AC29" i="144"/>
  <c r="AD29" i="144" s="1"/>
  <c r="AB28" i="144"/>
  <c r="AB25" i="144"/>
  <c r="T25" i="144"/>
  <c r="AC23" i="144"/>
  <c r="AB15" i="144"/>
  <c r="AC13" i="144"/>
  <c r="AC45" i="144"/>
  <c r="AD45" i="144" s="1"/>
  <c r="AB44" i="144"/>
  <c r="T44" i="144"/>
  <c r="T43" i="144"/>
  <c r="U43" i="144" s="1"/>
  <c r="U7" i="211"/>
  <c r="V7" i="211" s="1"/>
  <c r="AD7" i="3"/>
  <c r="AD42" i="3"/>
  <c r="AD40" i="3"/>
  <c r="AD29" i="3"/>
  <c r="AA71" i="3"/>
  <c r="AB71" i="3"/>
  <c r="J21" i="3"/>
  <c r="AC32" i="3"/>
  <c r="U39" i="211"/>
  <c r="V39" i="211" s="1"/>
  <c r="I66" i="211"/>
  <c r="U28" i="211"/>
  <c r="AC9" i="3"/>
  <c r="AC14" i="3"/>
  <c r="AD14" i="3" s="1"/>
  <c r="AE14" i="3" s="1"/>
  <c r="J9" i="3"/>
  <c r="J51" i="3"/>
  <c r="I51" i="211"/>
  <c r="J51" i="211" s="1"/>
  <c r="AC67" i="3"/>
  <c r="U66" i="211"/>
  <c r="AC66" i="3"/>
  <c r="AC65" i="3"/>
  <c r="AC64" i="3"/>
  <c r="AC61" i="3"/>
  <c r="AC60" i="3"/>
  <c r="AC58" i="3"/>
  <c r="AC57" i="3"/>
  <c r="AC55" i="3"/>
  <c r="AD55" i="3" s="1"/>
  <c r="V54" i="3"/>
  <c r="AC52" i="3"/>
  <c r="AC49" i="3"/>
  <c r="AC48" i="3"/>
  <c r="AC47" i="3"/>
  <c r="AD47" i="3" s="1"/>
  <c r="AE47" i="3" s="1"/>
  <c r="U46" i="3"/>
  <c r="AC46" i="3"/>
  <c r="AD46" i="3" s="1"/>
  <c r="U44" i="211"/>
  <c r="AD47" i="211"/>
  <c r="AE47" i="211" s="1"/>
  <c r="AF43" i="211"/>
  <c r="AF43" i="3"/>
  <c r="J58" i="163"/>
  <c r="AD41" i="211"/>
  <c r="O6" i="211"/>
  <c r="U6" i="3"/>
  <c r="V6" i="3" s="1"/>
  <c r="I17" i="3"/>
  <c r="J17" i="3" s="1"/>
  <c r="M69" i="211"/>
  <c r="U69" i="3"/>
  <c r="V69" i="3" s="1"/>
  <c r="AD28" i="3"/>
  <c r="AE28" i="3" s="1"/>
  <c r="Z71" i="3"/>
  <c r="R71" i="3"/>
  <c r="U19" i="3"/>
  <c r="I37" i="3"/>
  <c r="J37" i="3" s="1"/>
  <c r="J31" i="3"/>
  <c r="U26" i="3"/>
  <c r="D22" i="211"/>
  <c r="U22" i="211"/>
  <c r="M37" i="211"/>
  <c r="U37" i="211" s="1"/>
  <c r="U37" i="3"/>
  <c r="V37" i="3" s="1"/>
  <c r="C61" i="211"/>
  <c r="I61" i="211" s="1"/>
  <c r="J61" i="211" s="1"/>
  <c r="I61" i="3"/>
  <c r="J61" i="3" s="1"/>
  <c r="AF52" i="211"/>
  <c r="AF52" i="3"/>
  <c r="AC57" i="144"/>
  <c r="AD57" i="144" s="1"/>
  <c r="AD17" i="3"/>
  <c r="AE17" i="3" s="1"/>
  <c r="U18" i="3"/>
  <c r="L71" i="144"/>
  <c r="I64" i="3"/>
  <c r="J64" i="3" s="1"/>
  <c r="I41" i="3"/>
  <c r="J41" i="3" s="1"/>
  <c r="I36" i="3"/>
  <c r="J36" i="3" s="1"/>
  <c r="I27" i="3"/>
  <c r="J27" i="3" s="1"/>
  <c r="I18" i="3"/>
  <c r="J18" i="3" s="1"/>
  <c r="W31" i="3"/>
  <c r="Q33" i="211"/>
  <c r="U33" i="3"/>
  <c r="AF33" i="3"/>
  <c r="AF34" i="211"/>
  <c r="AF34" i="3"/>
  <c r="AE34" i="3" s="1"/>
  <c r="AF40" i="211"/>
  <c r="AF40" i="3"/>
  <c r="H55" i="161"/>
  <c r="AE52" i="144" s="1"/>
  <c r="AC61" i="144"/>
  <c r="AD61" i="144" s="1"/>
  <c r="U50" i="144"/>
  <c r="L28" i="205"/>
  <c r="C71" i="211"/>
  <c r="I8" i="211"/>
  <c r="C45" i="211"/>
  <c r="I45" i="211" s="1"/>
  <c r="J45" i="211" s="1"/>
  <c r="I45" i="3"/>
  <c r="J45" i="3" s="1"/>
  <c r="AF31" i="211"/>
  <c r="AF31" i="3"/>
  <c r="I53" i="3"/>
  <c r="J53" i="3" s="1"/>
  <c r="I18" i="211"/>
  <c r="J18" i="211" s="1"/>
  <c r="AB49" i="144"/>
  <c r="AC49" i="144" s="1"/>
  <c r="AD49" i="144" s="1"/>
  <c r="I7" i="3"/>
  <c r="J7" i="3" s="1"/>
  <c r="AC20" i="3"/>
  <c r="I61" i="147"/>
  <c r="W8" i="3"/>
  <c r="AD20" i="211"/>
  <c r="AD21" i="211"/>
  <c r="AF25" i="211"/>
  <c r="AF25" i="3"/>
  <c r="Q32" i="211"/>
  <c r="U32" i="3"/>
  <c r="V32" i="3" s="1"/>
  <c r="AF42" i="211"/>
  <c r="AF42" i="3"/>
  <c r="AE42" i="3" s="1"/>
  <c r="V46" i="144"/>
  <c r="U46" i="144" s="1"/>
  <c r="I47" i="156"/>
  <c r="AE46" i="144" s="1"/>
  <c r="AD46" i="144" s="1"/>
  <c r="J38" i="163"/>
  <c r="J47" i="163" s="1"/>
  <c r="W54" i="211" s="1"/>
  <c r="L37" i="165"/>
  <c r="L56" i="165" s="1"/>
  <c r="K56" i="165"/>
  <c r="L48" i="205"/>
  <c r="L60" i="205" s="1"/>
  <c r="AF55" i="211"/>
  <c r="AF55" i="3"/>
  <c r="AD23" i="144"/>
  <c r="F43" i="211"/>
  <c r="L22" i="165"/>
  <c r="L24" i="165" s="1"/>
  <c r="I66" i="3"/>
  <c r="J66" i="3" s="1"/>
  <c r="I62" i="3"/>
  <c r="J62" i="3" s="1"/>
  <c r="I43" i="3"/>
  <c r="J43" i="3" s="1"/>
  <c r="I33" i="3"/>
  <c r="J33" i="3" s="1"/>
  <c r="I20" i="3"/>
  <c r="J20" i="3" s="1"/>
  <c r="U43" i="3"/>
  <c r="K43" i="198"/>
  <c r="AF23" i="211"/>
  <c r="AF23" i="3"/>
  <c r="AE23" i="3" s="1"/>
  <c r="V28" i="211"/>
  <c r="AD28" i="211"/>
  <c r="AB50" i="144"/>
  <c r="AC50" i="144" s="1"/>
  <c r="AD50" i="144" s="1"/>
  <c r="AC37" i="144"/>
  <c r="AD37" i="144" s="1"/>
  <c r="U8" i="144"/>
  <c r="C10" i="211"/>
  <c r="I10" i="211" s="1"/>
  <c r="I10" i="3"/>
  <c r="AF60" i="211"/>
  <c r="AF60" i="3"/>
  <c r="AE40" i="3"/>
  <c r="AD32" i="3"/>
  <c r="AE32" i="3" s="1"/>
  <c r="U8" i="3"/>
  <c r="AD8" i="3" s="1"/>
  <c r="U35" i="3"/>
  <c r="I8" i="3"/>
  <c r="J8" i="3" s="1"/>
  <c r="Y71" i="144"/>
  <c r="U57" i="144"/>
  <c r="I29" i="3"/>
  <c r="J29" i="3" s="1"/>
  <c r="U41" i="3"/>
  <c r="U31" i="3"/>
  <c r="I7" i="211"/>
  <c r="J7" i="211" s="1"/>
  <c r="Y8" i="3"/>
  <c r="AF29" i="211"/>
  <c r="AF29" i="3"/>
  <c r="AE29" i="3" s="1"/>
  <c r="AC37" i="3"/>
  <c r="N10" i="211"/>
  <c r="U10" i="3"/>
  <c r="V10" i="3" s="1"/>
  <c r="G15" i="211"/>
  <c r="I15" i="3"/>
  <c r="J15" i="3" s="1"/>
  <c r="AE55" i="3"/>
  <c r="D7" i="209"/>
  <c r="F7" i="209"/>
  <c r="AF16" i="211"/>
  <c r="R15" i="209"/>
  <c r="Q15" i="209" s="1"/>
  <c r="AF16" i="3"/>
  <c r="AE16" i="3" s="1"/>
  <c r="K31" i="211"/>
  <c r="H30" i="209"/>
  <c r="AF37" i="211"/>
  <c r="AF37" i="3"/>
  <c r="M45" i="211"/>
  <c r="U45" i="211" s="1"/>
  <c r="V45" i="211" s="1"/>
  <c r="U45" i="3"/>
  <c r="V45" i="3" s="1"/>
  <c r="V16" i="211"/>
  <c r="AD16" i="211"/>
  <c r="AE16" i="211" s="1"/>
  <c r="AC64" i="144"/>
  <c r="AD64" i="144" s="1"/>
  <c r="G71" i="3"/>
  <c r="U64" i="144"/>
  <c r="U15" i="3"/>
  <c r="V15" i="3" s="1"/>
  <c r="I35" i="3"/>
  <c r="J35" i="3" s="1"/>
  <c r="I28" i="3"/>
  <c r="J28" i="3" s="1"/>
  <c r="I19" i="3"/>
  <c r="J19" i="3" s="1"/>
  <c r="U36" i="3"/>
  <c r="M8" i="211"/>
  <c r="Y71" i="211"/>
  <c r="AF21" i="211"/>
  <c r="AF21" i="3"/>
  <c r="AE21" i="3" s="1"/>
  <c r="L22" i="211"/>
  <c r="L22" i="3"/>
  <c r="R25" i="211"/>
  <c r="U25" i="3"/>
  <c r="AF27" i="211"/>
  <c r="AF27" i="3"/>
  <c r="L37" i="211"/>
  <c r="L37" i="3"/>
  <c r="T60" i="144"/>
  <c r="AC54" i="144"/>
  <c r="AD54" i="144" s="1"/>
  <c r="AC53" i="144"/>
  <c r="AD53" i="144" s="1"/>
  <c r="T52" i="144"/>
  <c r="AD6" i="3"/>
  <c r="AE6" i="3" s="1"/>
  <c r="L5" i="209"/>
  <c r="AF54" i="211"/>
  <c r="R53" i="209"/>
  <c r="Q53" i="209" s="1"/>
  <c r="AF54" i="3"/>
  <c r="AE54" i="3" s="1"/>
  <c r="I17" i="211"/>
  <c r="J17" i="211" s="1"/>
  <c r="I20" i="211"/>
  <c r="I24" i="211"/>
  <c r="J24" i="211" s="1"/>
  <c r="U25" i="211"/>
  <c r="U26" i="211"/>
  <c r="C27" i="211"/>
  <c r="U27" i="211"/>
  <c r="U35" i="211"/>
  <c r="I39" i="211"/>
  <c r="H40" i="211"/>
  <c r="U43" i="211"/>
  <c r="H60" i="211"/>
  <c r="D52" i="211"/>
  <c r="AF68" i="211"/>
  <c r="AF68" i="3"/>
  <c r="AC68" i="3"/>
  <c r="U61" i="211"/>
  <c r="AF57" i="211"/>
  <c r="AF57" i="3"/>
  <c r="S49" i="211"/>
  <c r="F44" i="204"/>
  <c r="W8" i="211"/>
  <c r="K61" i="147"/>
  <c r="R7" i="209" s="1"/>
  <c r="I39" i="209"/>
  <c r="K39" i="209" s="1"/>
  <c r="J42" i="151"/>
  <c r="E27" i="211"/>
  <c r="C29" i="211"/>
  <c r="I30" i="211"/>
  <c r="H31" i="211"/>
  <c r="I31" i="211" s="1"/>
  <c r="J31" i="211" s="1"/>
  <c r="U33" i="211"/>
  <c r="F40" i="211"/>
  <c r="H42" i="211"/>
  <c r="H43" i="211"/>
  <c r="I58" i="211"/>
  <c r="J58" i="211" s="1"/>
  <c r="U29" i="211"/>
  <c r="U9" i="144"/>
  <c r="V11" i="211"/>
  <c r="AD11" i="211"/>
  <c r="C52" i="211"/>
  <c r="I52" i="3"/>
  <c r="J52" i="3" s="1"/>
  <c r="H46" i="211"/>
  <c r="R64" i="211"/>
  <c r="U64" i="211" s="1"/>
  <c r="U64" i="3"/>
  <c r="V64" i="3" s="1"/>
  <c r="T57" i="211"/>
  <c r="R49" i="211"/>
  <c r="U49" i="3"/>
  <c r="V49" i="3" s="1"/>
  <c r="N7" i="209"/>
  <c r="O7" i="209" s="1"/>
  <c r="K59" i="147"/>
  <c r="K21" i="211"/>
  <c r="H20" i="209"/>
  <c r="W23" i="211"/>
  <c r="M22" i="209"/>
  <c r="L22" i="209" s="1"/>
  <c r="K33" i="211"/>
  <c r="H32" i="209"/>
  <c r="AF39" i="211"/>
  <c r="R38" i="209"/>
  <c r="Q38" i="209" s="1"/>
  <c r="AF63" i="211"/>
  <c r="R62" i="209"/>
  <c r="K56" i="211"/>
  <c r="H55" i="209"/>
  <c r="J41" i="210"/>
  <c r="D28" i="209"/>
  <c r="U19" i="211"/>
  <c r="C21" i="211"/>
  <c r="U32" i="211"/>
  <c r="G33" i="211"/>
  <c r="H37" i="211"/>
  <c r="I38" i="211"/>
  <c r="J38" i="211" s="1"/>
  <c r="T40" i="211"/>
  <c r="E54" i="211"/>
  <c r="E60" i="211"/>
  <c r="I63" i="211"/>
  <c r="AB55" i="144"/>
  <c r="AC55" i="144" s="1"/>
  <c r="AD55" i="144" s="1"/>
  <c r="AB33" i="144"/>
  <c r="AC33" i="144" s="1"/>
  <c r="AD33" i="144" s="1"/>
  <c r="I28" i="205"/>
  <c r="U6" i="211"/>
  <c r="U10" i="211"/>
  <c r="K29" i="204"/>
  <c r="I44" i="204"/>
  <c r="K44" i="204" s="1"/>
  <c r="E15" i="211"/>
  <c r="C13" i="211"/>
  <c r="I13" i="211" s="1"/>
  <c r="I13" i="3"/>
  <c r="J13" i="3" s="1"/>
  <c r="H52" i="211"/>
  <c r="F50" i="211"/>
  <c r="AD69" i="3"/>
  <c r="R67" i="211"/>
  <c r="U67" i="3"/>
  <c r="S60" i="211"/>
  <c r="R50" i="211"/>
  <c r="U50" i="3"/>
  <c r="V50" i="3" s="1"/>
  <c r="AD44" i="211"/>
  <c r="AC21" i="144"/>
  <c r="AD21" i="144" s="1"/>
  <c r="AC16" i="144"/>
  <c r="AD16" i="144" s="1"/>
  <c r="K10" i="211"/>
  <c r="H9" i="209"/>
  <c r="K10" i="3"/>
  <c r="K71" i="3" s="1"/>
  <c r="K13" i="211"/>
  <c r="H12" i="209"/>
  <c r="K30" i="211"/>
  <c r="H29" i="209"/>
  <c r="D54" i="209"/>
  <c r="F54" i="209"/>
  <c r="O8" i="211"/>
  <c r="O71" i="211" s="1"/>
  <c r="U17" i="211"/>
  <c r="V24" i="211"/>
  <c r="AD24" i="211"/>
  <c r="AE24" i="211" s="1"/>
  <c r="H33" i="211"/>
  <c r="E34" i="211"/>
  <c r="U34" i="211"/>
  <c r="V34" i="144"/>
  <c r="I35" i="211"/>
  <c r="G37" i="211"/>
  <c r="U40" i="211"/>
  <c r="C42" i="211"/>
  <c r="C53" i="211"/>
  <c r="I53" i="211" s="1"/>
  <c r="J53" i="211" s="1"/>
  <c r="H54" i="211"/>
  <c r="I64" i="211"/>
  <c r="Y66" i="3"/>
  <c r="AC41" i="144"/>
  <c r="AD41" i="144" s="1"/>
  <c r="I6" i="3"/>
  <c r="U13" i="211"/>
  <c r="H48" i="178"/>
  <c r="C11" i="211"/>
  <c r="I11" i="211" s="1"/>
  <c r="J11" i="211" s="1"/>
  <c r="I11" i="3"/>
  <c r="J11" i="3" s="1"/>
  <c r="E50" i="211"/>
  <c r="R65" i="211"/>
  <c r="U65" i="3"/>
  <c r="V65" i="3" s="1"/>
  <c r="AD64" i="3"/>
  <c r="AE64" i="3" s="1"/>
  <c r="R60" i="211"/>
  <c r="U60" i="3"/>
  <c r="V60" i="3" s="1"/>
  <c r="U57" i="3"/>
  <c r="V57" i="3" s="1"/>
  <c r="AD49" i="3"/>
  <c r="AE49" i="3" s="1"/>
  <c r="I15" i="144"/>
  <c r="J15" i="144" s="1"/>
  <c r="W12" i="211"/>
  <c r="M11" i="209"/>
  <c r="L11" i="209" s="1"/>
  <c r="G30" i="177"/>
  <c r="W21" i="211"/>
  <c r="V21" i="211" s="1"/>
  <c r="M20" i="209"/>
  <c r="W22" i="211"/>
  <c r="M21" i="209"/>
  <c r="L21" i="209" s="1"/>
  <c r="J62" i="186"/>
  <c r="R21" i="209" s="1"/>
  <c r="P28" i="209"/>
  <c r="U15" i="211"/>
  <c r="U18" i="211"/>
  <c r="E21" i="211"/>
  <c r="C25" i="211"/>
  <c r="I25" i="211" s="1"/>
  <c r="I26" i="211"/>
  <c r="J26" i="211" s="1"/>
  <c r="E29" i="211"/>
  <c r="G34" i="211"/>
  <c r="F37" i="211"/>
  <c r="I37" i="211" s="1"/>
  <c r="C40" i="211"/>
  <c r="I41" i="211"/>
  <c r="T42" i="211"/>
  <c r="U42" i="211" s="1"/>
  <c r="D43" i="211"/>
  <c r="C57" i="211"/>
  <c r="F60" i="211"/>
  <c r="I59" i="211"/>
  <c r="J59" i="211" s="1"/>
  <c r="I62" i="211"/>
  <c r="J62" i="211" s="1"/>
  <c r="I65" i="211"/>
  <c r="J65" i="211" s="1"/>
  <c r="U12" i="211"/>
  <c r="U14" i="211"/>
  <c r="F52" i="211"/>
  <c r="C49" i="211"/>
  <c r="I49" i="3"/>
  <c r="J49" i="3" s="1"/>
  <c r="C47" i="211"/>
  <c r="I47" i="211" s="1"/>
  <c r="J47" i="211" s="1"/>
  <c r="I47" i="3"/>
  <c r="J47" i="3" s="1"/>
  <c r="M55" i="211"/>
  <c r="W46" i="3"/>
  <c r="V46" i="3" s="1"/>
  <c r="H47" i="156"/>
  <c r="T42" i="144"/>
  <c r="AB31" i="144"/>
  <c r="AB71" i="144" s="1"/>
  <c r="J26" i="186"/>
  <c r="C21" i="209"/>
  <c r="AD39" i="211"/>
  <c r="AE39" i="211" s="1"/>
  <c r="U27" i="3"/>
  <c r="I19" i="211"/>
  <c r="J19" i="211" s="1"/>
  <c r="H21" i="211"/>
  <c r="F22" i="211"/>
  <c r="I22" i="211" s="1"/>
  <c r="U23" i="211"/>
  <c r="I28" i="211"/>
  <c r="J28" i="211" s="1"/>
  <c r="U30" i="211"/>
  <c r="I32" i="211"/>
  <c r="J32" i="211" s="1"/>
  <c r="U31" i="211"/>
  <c r="I36" i="211"/>
  <c r="J36" i="211" s="1"/>
  <c r="U36" i="211"/>
  <c r="U38" i="211"/>
  <c r="E40" i="211"/>
  <c r="E42" i="211"/>
  <c r="E43" i="211"/>
  <c r="F54" i="211"/>
  <c r="I54" i="211" s="1"/>
  <c r="J54" i="211" s="1"/>
  <c r="I55" i="211"/>
  <c r="D57" i="211"/>
  <c r="G60" i="211"/>
  <c r="J28" i="205"/>
  <c r="M9" i="211"/>
  <c r="U9" i="211" s="1"/>
  <c r="V9" i="211" s="1"/>
  <c r="U9" i="3"/>
  <c r="V9" i="3" s="1"/>
  <c r="U58" i="211"/>
  <c r="V58" i="211" s="1"/>
  <c r="AF53" i="211"/>
  <c r="AF53" i="3"/>
  <c r="O51" i="211"/>
  <c r="U51" i="211" s="1"/>
  <c r="V51" i="211" s="1"/>
  <c r="U51" i="3"/>
  <c r="V51" i="3" s="1"/>
  <c r="AF50" i="3"/>
  <c r="AD50" i="3"/>
  <c r="E21" i="209"/>
  <c r="K41" i="211"/>
  <c r="H40" i="209"/>
  <c r="D45" i="209"/>
  <c r="F45" i="209"/>
  <c r="Q47" i="209"/>
  <c r="U69" i="211"/>
  <c r="AD66" i="211"/>
  <c r="N54" i="211"/>
  <c r="M52" i="211"/>
  <c r="AC43" i="144"/>
  <c r="AD43" i="144" s="1"/>
  <c r="P11" i="209"/>
  <c r="AF6" i="211"/>
  <c r="R5" i="209"/>
  <c r="AF11" i="211"/>
  <c r="R10" i="209"/>
  <c r="Q10" i="209" s="1"/>
  <c r="J25" i="179"/>
  <c r="C14" i="209"/>
  <c r="F20" i="209"/>
  <c r="G20" i="209" s="1"/>
  <c r="D20" i="209"/>
  <c r="P21" i="209"/>
  <c r="Q21" i="209" s="1"/>
  <c r="N26" i="209"/>
  <c r="O26" i="209" s="1"/>
  <c r="P26" i="209" s="1"/>
  <c r="D33" i="209"/>
  <c r="F33" i="209"/>
  <c r="K35" i="211"/>
  <c r="H34" i="209"/>
  <c r="F36" i="209"/>
  <c r="G36" i="209" s="1"/>
  <c r="D36" i="209"/>
  <c r="H49" i="153"/>
  <c r="N41" i="209"/>
  <c r="O41" i="209" s="1"/>
  <c r="P41" i="209" s="1"/>
  <c r="F42" i="209"/>
  <c r="D42" i="209"/>
  <c r="AF51" i="211"/>
  <c r="R50" i="209"/>
  <c r="Q50" i="209" s="1"/>
  <c r="W57" i="211"/>
  <c r="M56" i="209"/>
  <c r="D57" i="209"/>
  <c r="F57" i="209"/>
  <c r="D55" i="209"/>
  <c r="F55" i="209"/>
  <c r="G8" i="209"/>
  <c r="I6" i="211"/>
  <c r="J6" i="211" s="1"/>
  <c r="F15" i="211"/>
  <c r="I12" i="3"/>
  <c r="J12" i="3" s="1"/>
  <c r="I9" i="211"/>
  <c r="J9" i="211" s="1"/>
  <c r="E52" i="211"/>
  <c r="G50" i="211"/>
  <c r="I48" i="3"/>
  <c r="J48" i="3" s="1"/>
  <c r="F46" i="211"/>
  <c r="I67" i="211"/>
  <c r="J67" i="211" s="1"/>
  <c r="U62" i="3"/>
  <c r="T60" i="211"/>
  <c r="U59" i="211"/>
  <c r="V59" i="211" s="1"/>
  <c r="U58" i="3"/>
  <c r="V58" i="3" s="1"/>
  <c r="M54" i="211"/>
  <c r="M53" i="211"/>
  <c r="T50" i="211"/>
  <c r="T49" i="211"/>
  <c r="AC28" i="144"/>
  <c r="AD28" i="144" s="1"/>
  <c r="T22" i="144"/>
  <c r="T15" i="144"/>
  <c r="P61" i="209"/>
  <c r="Q61" i="209" s="1"/>
  <c r="P48" i="209"/>
  <c r="D6" i="209"/>
  <c r="F6" i="209"/>
  <c r="D15" i="209"/>
  <c r="F15" i="209"/>
  <c r="G15" i="209" s="1"/>
  <c r="D18" i="209"/>
  <c r="F18" i="209"/>
  <c r="G18" i="209" s="1"/>
  <c r="I20" i="209"/>
  <c r="K20" i="209" s="1"/>
  <c r="L20" i="209" s="1"/>
  <c r="J16" i="189"/>
  <c r="J34" i="189"/>
  <c r="I24" i="209"/>
  <c r="K24" i="209" s="1"/>
  <c r="D32" i="209"/>
  <c r="I32" i="209"/>
  <c r="K32" i="209" s="1"/>
  <c r="J55" i="197"/>
  <c r="P34" i="209"/>
  <c r="E41" i="209"/>
  <c r="C41" i="209"/>
  <c r="F51" i="209"/>
  <c r="D51" i="209"/>
  <c r="J19" i="165"/>
  <c r="E56" i="209"/>
  <c r="N67" i="209"/>
  <c r="O67" i="209" s="1"/>
  <c r="P67" i="209" s="1"/>
  <c r="J51" i="207"/>
  <c r="J53" i="207" s="1"/>
  <c r="R67" i="209" s="1"/>
  <c r="AD45" i="211"/>
  <c r="I15" i="211"/>
  <c r="I12" i="211"/>
  <c r="J12" i="211" s="1"/>
  <c r="D50" i="211"/>
  <c r="E49" i="211"/>
  <c r="I48" i="211"/>
  <c r="J48" i="211" s="1"/>
  <c r="C46" i="211"/>
  <c r="U68" i="3"/>
  <c r="V68" i="3" s="1"/>
  <c r="Q60" i="211"/>
  <c r="R57" i="211"/>
  <c r="T55" i="211"/>
  <c r="U55" i="211" s="1"/>
  <c r="T54" i="211"/>
  <c r="U53" i="3"/>
  <c r="V53" i="3" s="1"/>
  <c r="U52" i="3"/>
  <c r="V52" i="3" s="1"/>
  <c r="M49" i="211"/>
  <c r="U49" i="211" s="1"/>
  <c r="U48" i="3"/>
  <c r="V48" i="3" s="1"/>
  <c r="T27" i="144"/>
  <c r="AD13" i="144"/>
  <c r="P31" i="209"/>
  <c r="AF17" i="211"/>
  <c r="R16" i="209"/>
  <c r="Q16" i="209" s="1"/>
  <c r="W20" i="211"/>
  <c r="V20" i="211" s="1"/>
  <c r="M19" i="209"/>
  <c r="L19" i="209" s="1"/>
  <c r="G42" i="184"/>
  <c r="J37" i="185"/>
  <c r="R20" i="209" s="1"/>
  <c r="J15" i="187"/>
  <c r="J43" i="187"/>
  <c r="R22" i="209" s="1"/>
  <c r="Q22" i="209" s="1"/>
  <c r="E26" i="209"/>
  <c r="K36" i="209"/>
  <c r="N36" i="209"/>
  <c r="O36" i="209" s="1"/>
  <c r="P36" i="209" s="1"/>
  <c r="J49" i="148"/>
  <c r="P49" i="209"/>
  <c r="J40" i="168"/>
  <c r="K63" i="211"/>
  <c r="H62" i="209"/>
  <c r="I14" i="211"/>
  <c r="J14" i="211" s="1"/>
  <c r="C50" i="211"/>
  <c r="D49" i="211"/>
  <c r="I44" i="211"/>
  <c r="I67" i="3"/>
  <c r="J67" i="3" s="1"/>
  <c r="W55" i="3"/>
  <c r="V55" i="3" s="1"/>
  <c r="U67" i="211"/>
  <c r="V67" i="211" s="1"/>
  <c r="U66" i="3"/>
  <c r="U65" i="211"/>
  <c r="U63" i="3"/>
  <c r="V63" i="3" s="1"/>
  <c r="U62" i="211"/>
  <c r="V62" i="211" s="1"/>
  <c r="U61" i="3"/>
  <c r="V61" i="3" s="1"/>
  <c r="M60" i="211"/>
  <c r="U60" i="211" s="1"/>
  <c r="U59" i="3"/>
  <c r="Q57" i="211"/>
  <c r="T53" i="211"/>
  <c r="T52" i="211"/>
  <c r="M50" i="211"/>
  <c r="U50" i="211" s="1"/>
  <c r="U44" i="3"/>
  <c r="Q29" i="209"/>
  <c r="N12" i="209"/>
  <c r="O12" i="209" s="1"/>
  <c r="P12" i="209" s="1"/>
  <c r="J46" i="178"/>
  <c r="J42" i="179"/>
  <c r="P20" i="209"/>
  <c r="Q20" i="209" s="1"/>
  <c r="AF28" i="211"/>
  <c r="R27" i="209"/>
  <c r="Q27" i="209" s="1"/>
  <c r="J51" i="193"/>
  <c r="J36" i="209"/>
  <c r="J70" i="209" s="1"/>
  <c r="J38" i="148"/>
  <c r="K44" i="211"/>
  <c r="H43" i="209"/>
  <c r="W46" i="211"/>
  <c r="M45" i="209"/>
  <c r="L45" i="209" s="1"/>
  <c r="AF48" i="211"/>
  <c r="R47" i="209"/>
  <c r="H27" i="159"/>
  <c r="I59" i="209"/>
  <c r="K59" i="209" s="1"/>
  <c r="Q62" i="209"/>
  <c r="S68" i="211"/>
  <c r="U68" i="211" s="1"/>
  <c r="AD63" i="211"/>
  <c r="AE63" i="211" s="1"/>
  <c r="M57" i="211"/>
  <c r="U57" i="211" s="1"/>
  <c r="P54" i="211"/>
  <c r="S53" i="211"/>
  <c r="S52" i="211"/>
  <c r="M46" i="211"/>
  <c r="U46" i="211" s="1"/>
  <c r="H33" i="208"/>
  <c r="J28" i="178"/>
  <c r="F13" i="209"/>
  <c r="G13" i="209" s="1"/>
  <c r="D13" i="209"/>
  <c r="AF14" i="211"/>
  <c r="R13" i="209"/>
  <c r="Q13" i="209" s="1"/>
  <c r="K20" i="211"/>
  <c r="G18" i="184"/>
  <c r="H19" i="209" s="1"/>
  <c r="G19" i="209" s="1"/>
  <c r="J15" i="191"/>
  <c r="J36" i="193"/>
  <c r="C30" i="209"/>
  <c r="N30" i="209"/>
  <c r="O30" i="209" s="1"/>
  <c r="P30" i="209" s="1"/>
  <c r="G40" i="209"/>
  <c r="D59" i="209"/>
  <c r="I14" i="3"/>
  <c r="J14" i="3" s="1"/>
  <c r="I50" i="3"/>
  <c r="J50" i="3" s="1"/>
  <c r="I46" i="3"/>
  <c r="J46" i="3" s="1"/>
  <c r="I44" i="3"/>
  <c r="J44" i="3" s="1"/>
  <c r="O54" i="211"/>
  <c r="R53" i="211"/>
  <c r="R52" i="211"/>
  <c r="U48" i="211"/>
  <c r="U13" i="144"/>
  <c r="I53" i="207"/>
  <c r="AE68" i="144" s="1"/>
  <c r="P5" i="209"/>
  <c r="K21" i="147"/>
  <c r="I7" i="209"/>
  <c r="W10" i="211"/>
  <c r="H40" i="201"/>
  <c r="M9" i="209"/>
  <c r="L9" i="209" s="1"/>
  <c r="F12" i="209"/>
  <c r="D12" i="209"/>
  <c r="P23" i="209"/>
  <c r="Q23" i="209" s="1"/>
  <c r="E24" i="209"/>
  <c r="F24" i="209" s="1"/>
  <c r="I26" i="209"/>
  <c r="K26" i="209" s="1"/>
  <c r="H28" i="209"/>
  <c r="G28" i="209" s="1"/>
  <c r="K28" i="209"/>
  <c r="D31" i="209"/>
  <c r="F31" i="209"/>
  <c r="G31" i="209" s="1"/>
  <c r="R31" i="209"/>
  <c r="E32" i="209"/>
  <c r="F32" i="209" s="1"/>
  <c r="G32" i="209" s="1"/>
  <c r="K37" i="211"/>
  <c r="H36" i="209"/>
  <c r="J54" i="165"/>
  <c r="J56" i="165" s="1"/>
  <c r="R56" i="209" s="1"/>
  <c r="N56" i="209"/>
  <c r="O56" i="209" s="1"/>
  <c r="G59" i="209"/>
  <c r="F39" i="209"/>
  <c r="G39" i="209" s="1"/>
  <c r="H11" i="209"/>
  <c r="G11" i="209" s="1"/>
  <c r="M18" i="209"/>
  <c r="L18" i="209" s="1"/>
  <c r="M25" i="209"/>
  <c r="L25" i="209" s="1"/>
  <c r="J93" i="196"/>
  <c r="J65" i="196"/>
  <c r="J73" i="196" s="1"/>
  <c r="G34" i="209"/>
  <c r="D37" i="209"/>
  <c r="F37" i="209"/>
  <c r="G37" i="209" s="1"/>
  <c r="W41" i="211"/>
  <c r="V41" i="211" s="1"/>
  <c r="M40" i="209"/>
  <c r="L40" i="209" s="1"/>
  <c r="K43" i="211"/>
  <c r="H42" i="209"/>
  <c r="J45" i="154"/>
  <c r="J47" i="154"/>
  <c r="J24" i="160"/>
  <c r="C49" i="209"/>
  <c r="H54" i="159"/>
  <c r="H56" i="159" s="1"/>
  <c r="R48" i="209" s="1"/>
  <c r="I53" i="161"/>
  <c r="I55" i="161" s="1"/>
  <c r="R51" i="209" s="1"/>
  <c r="N51" i="209"/>
  <c r="O51" i="209" s="1"/>
  <c r="I54" i="209"/>
  <c r="K54" i="209" s="1"/>
  <c r="P64" i="209"/>
  <c r="Q64" i="209" s="1"/>
  <c r="AF67" i="211"/>
  <c r="R66" i="209"/>
  <c r="J37" i="207"/>
  <c r="K68" i="209"/>
  <c r="L68" i="209" s="1"/>
  <c r="D19" i="209"/>
  <c r="F16" i="209"/>
  <c r="G16" i="209" s="1"/>
  <c r="AD7" i="211"/>
  <c r="D10" i="209"/>
  <c r="F10" i="209"/>
  <c r="G10" i="209" s="1"/>
  <c r="C22" i="209"/>
  <c r="K40" i="211"/>
  <c r="H39" i="209"/>
  <c r="K44" i="209"/>
  <c r="W49" i="211"/>
  <c r="M48" i="209"/>
  <c r="L48" i="209" s="1"/>
  <c r="W52" i="211"/>
  <c r="M51" i="209"/>
  <c r="K55" i="211"/>
  <c r="H54" i="209"/>
  <c r="P54" i="209"/>
  <c r="N59" i="209"/>
  <c r="O59" i="209" s="1"/>
  <c r="P59" i="209" s="1"/>
  <c r="Q59" i="209" s="1"/>
  <c r="J61" i="168"/>
  <c r="J63" i="168" s="1"/>
  <c r="R59" i="209" s="1"/>
  <c r="W63" i="211"/>
  <c r="V63" i="211" s="1"/>
  <c r="M62" i="209"/>
  <c r="L62" i="209" s="1"/>
  <c r="G47" i="209"/>
  <c r="L47" i="209"/>
  <c r="J42" i="197"/>
  <c r="J51" i="151"/>
  <c r="R39" i="209" s="1"/>
  <c r="H22" i="153"/>
  <c r="I41" i="209"/>
  <c r="K41" i="209" s="1"/>
  <c r="C43" i="209"/>
  <c r="H29" i="204"/>
  <c r="I43" i="209"/>
  <c r="K43" i="209" s="1"/>
  <c r="C48" i="209"/>
  <c r="K60" i="211"/>
  <c r="H59" i="209"/>
  <c r="W66" i="211"/>
  <c r="V66" i="211" s="1"/>
  <c r="M65" i="209"/>
  <c r="L65" i="209" s="1"/>
  <c r="C67" i="209"/>
  <c r="F68" i="209"/>
  <c r="G68" i="209" s="1"/>
  <c r="D68" i="209"/>
  <c r="G64" i="209"/>
  <c r="AD33" i="211"/>
  <c r="AE33" i="211" s="1"/>
  <c r="AD37" i="211"/>
  <c r="AE37" i="211" s="1"/>
  <c r="F5" i="209"/>
  <c r="D5" i="209"/>
  <c r="M5" i="209"/>
  <c r="H6" i="209"/>
  <c r="F17" i="209"/>
  <c r="D17" i="209"/>
  <c r="R17" i="209"/>
  <c r="Q17" i="209" s="1"/>
  <c r="R29" i="209"/>
  <c r="K39" i="211"/>
  <c r="H38" i="209"/>
  <c r="H33" i="153"/>
  <c r="N43" i="209"/>
  <c r="O43" i="209" s="1"/>
  <c r="P43" i="209" s="1"/>
  <c r="H42" i="204"/>
  <c r="J12" i="156"/>
  <c r="J17" i="156" s="1"/>
  <c r="F50" i="209"/>
  <c r="G50" i="209" s="1"/>
  <c r="H52" i="209"/>
  <c r="I56" i="209"/>
  <c r="K56" i="209" s="1"/>
  <c r="L56" i="209" s="1"/>
  <c r="D61" i="209"/>
  <c r="F61" i="209"/>
  <c r="G61" i="209" s="1"/>
  <c r="E63" i="209"/>
  <c r="C63" i="209"/>
  <c r="G42" i="173"/>
  <c r="P66" i="209"/>
  <c r="H36" i="175"/>
  <c r="M23" i="209"/>
  <c r="L23" i="209" s="1"/>
  <c r="D26" i="209"/>
  <c r="F26" i="209"/>
  <c r="J27" i="191"/>
  <c r="J39" i="191" s="1"/>
  <c r="R26" i="209" s="1"/>
  <c r="K42" i="209"/>
  <c r="AF45" i="211"/>
  <c r="R44" i="209"/>
  <c r="I24" i="161"/>
  <c r="J45" i="171"/>
  <c r="D11" i="209"/>
  <c r="F56" i="209"/>
  <c r="I56" i="211"/>
  <c r="J56" i="211" s="1"/>
  <c r="AD51" i="211"/>
  <c r="AE51" i="211" s="1"/>
  <c r="AD62" i="211"/>
  <c r="AE62" i="211" s="1"/>
  <c r="H5" i="209"/>
  <c r="G45" i="146"/>
  <c r="F9" i="209"/>
  <c r="G9" i="209" s="1"/>
  <c r="D9" i="209"/>
  <c r="M10" i="209"/>
  <c r="L10" i="209" s="1"/>
  <c r="M16" i="209"/>
  <c r="L16" i="209" s="1"/>
  <c r="H17" i="209"/>
  <c r="F25" i="209"/>
  <c r="G25" i="209" s="1"/>
  <c r="D25" i="209"/>
  <c r="D29" i="209"/>
  <c r="F29" i="209"/>
  <c r="G29" i="209" s="1"/>
  <c r="N33" i="209"/>
  <c r="O33" i="209" s="1"/>
  <c r="P33" i="209" s="1"/>
  <c r="J32" i="198"/>
  <c r="W35" i="211"/>
  <c r="M34" i="209"/>
  <c r="L34" i="209" s="1"/>
  <c r="G30" i="199"/>
  <c r="R37" i="209"/>
  <c r="Q37" i="209" s="1"/>
  <c r="H54" i="152"/>
  <c r="J54" i="154"/>
  <c r="J45" i="156"/>
  <c r="J47" i="156" s="1"/>
  <c r="R45" i="209" s="1"/>
  <c r="Q45" i="209" s="1"/>
  <c r="I51" i="209"/>
  <c r="K51" i="209" s="1"/>
  <c r="L51" i="209" s="1"/>
  <c r="C52" i="209"/>
  <c r="I35" i="162"/>
  <c r="I49" i="162" s="1"/>
  <c r="R52" i="209" s="1"/>
  <c r="Q52" i="209" s="1"/>
  <c r="D53" i="209"/>
  <c r="F53" i="209"/>
  <c r="G53" i="209" s="1"/>
  <c r="I63" i="209"/>
  <c r="K63" i="209" s="1"/>
  <c r="K66" i="211"/>
  <c r="J66" i="211" s="1"/>
  <c r="H65" i="209"/>
  <c r="J24" i="207"/>
  <c r="K56" i="144"/>
  <c r="J56" i="144" s="1"/>
  <c r="I41" i="210"/>
  <c r="F23" i="209"/>
  <c r="G23" i="209" s="1"/>
  <c r="AD29" i="211"/>
  <c r="AE29" i="211" s="1"/>
  <c r="AD58" i="211"/>
  <c r="AE58" i="211" s="1"/>
  <c r="J16" i="198"/>
  <c r="M37" i="209"/>
  <c r="L37" i="209" s="1"/>
  <c r="J31" i="164"/>
  <c r="J42" i="164" s="1"/>
  <c r="R54" i="209" s="1"/>
  <c r="M58" i="209"/>
  <c r="L58" i="209" s="1"/>
  <c r="M61" i="209"/>
  <c r="L61" i="209" s="1"/>
  <c r="J41" i="198"/>
  <c r="J20" i="171"/>
  <c r="F65" i="209"/>
  <c r="F62" i="209"/>
  <c r="G62" i="209" s="1"/>
  <c r="F46" i="209"/>
  <c r="G46" i="209" s="1"/>
  <c r="F38" i="209"/>
  <c r="G38" i="209" s="1"/>
  <c r="D44" i="209"/>
  <c r="D60" i="209"/>
  <c r="G43" i="200"/>
  <c r="M38" i="209"/>
  <c r="L38" i="209" s="1"/>
  <c r="J41" i="160"/>
  <c r="J58" i="160" s="1"/>
  <c r="R49" i="209" s="1"/>
  <c r="H57" i="209"/>
  <c r="R57" i="209"/>
  <c r="Q57" i="209" s="1"/>
  <c r="R60" i="209"/>
  <c r="Q60" i="209" s="1"/>
  <c r="J32" i="171"/>
  <c r="M63" i="209" s="1"/>
  <c r="AD22" i="211"/>
  <c r="AE22" i="211" s="1"/>
  <c r="H35" i="209"/>
  <c r="G35" i="209" s="1"/>
  <c r="M47" i="209"/>
  <c r="J54" i="210"/>
  <c r="J64" i="210" s="1"/>
  <c r="AE56" i="3"/>
  <c r="AD56" i="211"/>
  <c r="AE56" i="211" s="1"/>
  <c r="V56" i="3"/>
  <c r="U41" i="144"/>
  <c r="U28" i="144"/>
  <c r="AC9" i="144"/>
  <c r="AD9" i="211"/>
  <c r="AE9" i="211" s="1"/>
  <c r="I71" i="144"/>
  <c r="AD67" i="211"/>
  <c r="AC71" i="211"/>
  <c r="AD60" i="211"/>
  <c r="AE60" i="211" s="1"/>
  <c r="J37" i="211" l="1"/>
  <c r="J35" i="211"/>
  <c r="J13" i="211"/>
  <c r="J20" i="211"/>
  <c r="V22" i="211"/>
  <c r="AD68" i="144"/>
  <c r="AE71" i="144"/>
  <c r="AC44" i="144"/>
  <c r="AD44" i="144" s="1"/>
  <c r="U44" i="144"/>
  <c r="AC25" i="144"/>
  <c r="AD25" i="144" s="1"/>
  <c r="U25" i="144"/>
  <c r="V44" i="3"/>
  <c r="AD44" i="3"/>
  <c r="V59" i="3"/>
  <c r="AD59" i="3"/>
  <c r="AE59" i="3" s="1"/>
  <c r="V66" i="3"/>
  <c r="AD66" i="3"/>
  <c r="V27" i="3"/>
  <c r="AD27" i="3"/>
  <c r="AE27" i="3" s="1"/>
  <c r="I43" i="211"/>
  <c r="J43" i="211" s="1"/>
  <c r="I34" i="211"/>
  <c r="V67" i="3"/>
  <c r="AD67" i="3"/>
  <c r="AE67" i="3" s="1"/>
  <c r="I60" i="211"/>
  <c r="J60" i="211" s="1"/>
  <c r="I33" i="211"/>
  <c r="J33" i="211" s="1"/>
  <c r="V36" i="3"/>
  <c r="AD36" i="3"/>
  <c r="Y71" i="3"/>
  <c r="J10" i="3"/>
  <c r="W71" i="3"/>
  <c r="AD20" i="3"/>
  <c r="AC71" i="3"/>
  <c r="V33" i="3"/>
  <c r="AD33" i="3"/>
  <c r="AE33" i="3" s="1"/>
  <c r="AD68" i="211"/>
  <c r="AE68" i="211" s="1"/>
  <c r="AD42" i="211"/>
  <c r="AE42" i="211" s="1"/>
  <c r="V64" i="211"/>
  <c r="AD64" i="211"/>
  <c r="AE64" i="211" s="1"/>
  <c r="W31" i="211"/>
  <c r="J95" i="196"/>
  <c r="R30" i="209" s="1"/>
  <c r="M30" i="209"/>
  <c r="L30" i="209" s="1"/>
  <c r="K46" i="211"/>
  <c r="H45" i="209"/>
  <c r="G45" i="209" s="1"/>
  <c r="K8" i="211"/>
  <c r="H7" i="209"/>
  <c r="K26" i="147"/>
  <c r="Q26" i="209"/>
  <c r="AD61" i="3"/>
  <c r="AE61" i="3" s="1"/>
  <c r="AD13" i="211"/>
  <c r="O70" i="209"/>
  <c r="AD25" i="211"/>
  <c r="AE25" i="211" s="1"/>
  <c r="AC60" i="144"/>
  <c r="AD60" i="144" s="1"/>
  <c r="U60" i="144"/>
  <c r="V35" i="3"/>
  <c r="AD35" i="3"/>
  <c r="F52" i="209"/>
  <c r="G52" i="209" s="1"/>
  <c r="D52" i="209"/>
  <c r="P42" i="209"/>
  <c r="D63" i="209"/>
  <c r="F63" i="209"/>
  <c r="G17" i="209"/>
  <c r="D22" i="209"/>
  <c r="F22" i="209"/>
  <c r="F70" i="209" s="1"/>
  <c r="G70" i="209" s="1"/>
  <c r="W68" i="211"/>
  <c r="V68" i="211" s="1"/>
  <c r="M67" i="209"/>
  <c r="L67" i="209" s="1"/>
  <c r="D49" i="209"/>
  <c r="F49" i="209"/>
  <c r="Q5" i="209"/>
  <c r="D30" i="209"/>
  <c r="F30" i="209"/>
  <c r="G30" i="209" s="1"/>
  <c r="J44" i="211"/>
  <c r="J51" i="148"/>
  <c r="R36" i="209" s="1"/>
  <c r="AC27" i="144"/>
  <c r="AD27" i="144" s="1"/>
  <c r="U27" i="144"/>
  <c r="AE45" i="211"/>
  <c r="AC22" i="144"/>
  <c r="AD22" i="144" s="1"/>
  <c r="U22" i="144"/>
  <c r="H51" i="153"/>
  <c r="R41" i="209" s="1"/>
  <c r="Q41" i="209" s="1"/>
  <c r="U52" i="211"/>
  <c r="AD36" i="211"/>
  <c r="V36" i="211"/>
  <c r="J6" i="3"/>
  <c r="I71" i="3"/>
  <c r="J71" i="3" s="1"/>
  <c r="AD40" i="211"/>
  <c r="AE40" i="211" s="1"/>
  <c r="AC31" i="144"/>
  <c r="AD31" i="144" s="1"/>
  <c r="AD65" i="3"/>
  <c r="AE65" i="3" s="1"/>
  <c r="J30" i="211"/>
  <c r="AD68" i="3"/>
  <c r="AE68" i="3" s="1"/>
  <c r="J39" i="211"/>
  <c r="K71" i="144"/>
  <c r="J71" i="144" s="1"/>
  <c r="V8" i="3"/>
  <c r="J10" i="211"/>
  <c r="AD10" i="3"/>
  <c r="AD15" i="3"/>
  <c r="AE15" i="3" s="1"/>
  <c r="AF66" i="211"/>
  <c r="R65" i="209"/>
  <c r="Q65" i="209" s="1"/>
  <c r="AF66" i="3"/>
  <c r="AE66" i="3" s="1"/>
  <c r="AD62" i="3"/>
  <c r="AE62" i="3" s="1"/>
  <c r="V62" i="3"/>
  <c r="F67" i="209"/>
  <c r="D67" i="209"/>
  <c r="W43" i="211"/>
  <c r="V43" i="211" s="1"/>
  <c r="M42" i="209"/>
  <c r="L42" i="209" s="1"/>
  <c r="K27" i="211"/>
  <c r="H26" i="209"/>
  <c r="W15" i="211"/>
  <c r="M14" i="209"/>
  <c r="L14" i="209" s="1"/>
  <c r="J57" i="179"/>
  <c r="R14" i="209" s="1"/>
  <c r="Q14" i="209" s="1"/>
  <c r="V49" i="211"/>
  <c r="AD49" i="211"/>
  <c r="AE49" i="211" s="1"/>
  <c r="P24" i="209"/>
  <c r="G6" i="209"/>
  <c r="AD55" i="211"/>
  <c r="AE55" i="211" s="1"/>
  <c r="J55" i="211"/>
  <c r="V31" i="211"/>
  <c r="AD31" i="211"/>
  <c r="AE31" i="211" s="1"/>
  <c r="U42" i="144"/>
  <c r="AC42" i="144"/>
  <c r="AD42" i="144" s="1"/>
  <c r="I57" i="211"/>
  <c r="J63" i="211"/>
  <c r="I46" i="211"/>
  <c r="V41" i="3"/>
  <c r="AD41" i="3"/>
  <c r="V43" i="3"/>
  <c r="AD43" i="3"/>
  <c r="AE43" i="3" s="1"/>
  <c r="AD45" i="3"/>
  <c r="AE45" i="3" s="1"/>
  <c r="AF8" i="211"/>
  <c r="AF8" i="3"/>
  <c r="AD52" i="3"/>
  <c r="AE52" i="3" s="1"/>
  <c r="AE8" i="3"/>
  <c r="AD51" i="3"/>
  <c r="AE51" i="3" s="1"/>
  <c r="Q30" i="209"/>
  <c r="W13" i="211"/>
  <c r="M12" i="209"/>
  <c r="L12" i="209" s="1"/>
  <c r="AD50" i="211"/>
  <c r="AE50" i="211" s="1"/>
  <c r="AF20" i="211"/>
  <c r="AE20" i="211" s="1"/>
  <c r="R19" i="209"/>
  <c r="Q19" i="209" s="1"/>
  <c r="AF20" i="3"/>
  <c r="AE20" i="3" s="1"/>
  <c r="D41" i="209"/>
  <c r="F41" i="209"/>
  <c r="AF44" i="211"/>
  <c r="AE44" i="211" s="1"/>
  <c r="AF44" i="3"/>
  <c r="AE44" i="3" s="1"/>
  <c r="AD48" i="3"/>
  <c r="AE48" i="3" s="1"/>
  <c r="V31" i="3"/>
  <c r="AD31" i="3"/>
  <c r="AE31" i="3" s="1"/>
  <c r="G26" i="209"/>
  <c r="F43" i="209"/>
  <c r="G43" i="209" s="1"/>
  <c r="D43" i="209"/>
  <c r="G12" i="209"/>
  <c r="AE67" i="211"/>
  <c r="U71" i="3"/>
  <c r="V71" i="3" s="1"/>
  <c r="K34" i="211"/>
  <c r="J34" i="211" s="1"/>
  <c r="H33" i="209"/>
  <c r="J56" i="154"/>
  <c r="R42" i="209" s="1"/>
  <c r="P56" i="209"/>
  <c r="Q56" i="209" s="1"/>
  <c r="V46" i="211"/>
  <c r="AD46" i="211"/>
  <c r="V65" i="211"/>
  <c r="AD65" i="211"/>
  <c r="AE65" i="211" s="1"/>
  <c r="Q67" i="209"/>
  <c r="W25" i="211"/>
  <c r="V25" i="211" s="1"/>
  <c r="M24" i="209"/>
  <c r="L24" i="209" s="1"/>
  <c r="AE66" i="211"/>
  <c r="AF46" i="211"/>
  <c r="AF46" i="3"/>
  <c r="AE46" i="3" s="1"/>
  <c r="I50" i="211"/>
  <c r="U34" i="144"/>
  <c r="V71" i="144"/>
  <c r="G54" i="209"/>
  <c r="I21" i="211"/>
  <c r="J21" i="211" s="1"/>
  <c r="W40" i="211"/>
  <c r="V40" i="211" s="1"/>
  <c r="M39" i="209"/>
  <c r="AD57" i="3"/>
  <c r="AE57" i="3" s="1"/>
  <c r="AD18" i="3"/>
  <c r="AE18" i="3" s="1"/>
  <c r="V18" i="3"/>
  <c r="AD26" i="3"/>
  <c r="AE26" i="3" s="1"/>
  <c r="V26" i="3"/>
  <c r="W53" i="211"/>
  <c r="M52" i="209"/>
  <c r="L52" i="209" s="1"/>
  <c r="W55" i="211"/>
  <c r="V55" i="211" s="1"/>
  <c r="M54" i="209"/>
  <c r="W34" i="211"/>
  <c r="M33" i="209"/>
  <c r="L33" i="209" s="1"/>
  <c r="J43" i="198"/>
  <c r="R33" i="209" s="1"/>
  <c r="Q33" i="209" s="1"/>
  <c r="V17" i="211"/>
  <c r="AD17" i="211"/>
  <c r="AE17" i="211" s="1"/>
  <c r="V32" i="211"/>
  <c r="AD32" i="211"/>
  <c r="AE32" i="211" s="1"/>
  <c r="W56" i="211"/>
  <c r="V56" i="211" s="1"/>
  <c r="M55" i="209"/>
  <c r="L55" i="209" s="1"/>
  <c r="J75" i="210"/>
  <c r="R55" i="209" s="1"/>
  <c r="Q55" i="209" s="1"/>
  <c r="W50" i="211"/>
  <c r="V50" i="211" s="1"/>
  <c r="M49" i="209"/>
  <c r="L49" i="209" s="1"/>
  <c r="G65" i="209"/>
  <c r="P63" i="209"/>
  <c r="L63" i="209"/>
  <c r="AF41" i="211"/>
  <c r="AE41" i="211" s="1"/>
  <c r="R40" i="209"/>
  <c r="Q40" i="209" s="1"/>
  <c r="AF41" i="3"/>
  <c r="AF7" i="211"/>
  <c r="R6" i="209"/>
  <c r="Q6" i="209" s="1"/>
  <c r="AF7" i="3"/>
  <c r="J47" i="171"/>
  <c r="R63" i="209" s="1"/>
  <c r="G5" i="209"/>
  <c r="K42" i="211"/>
  <c r="H41" i="209"/>
  <c r="AE7" i="211"/>
  <c r="L54" i="209"/>
  <c r="AF10" i="211"/>
  <c r="R9" i="209"/>
  <c r="Q9" i="209" s="1"/>
  <c r="AF10" i="3"/>
  <c r="V48" i="211"/>
  <c r="AD48" i="211"/>
  <c r="AE48" i="211" s="1"/>
  <c r="W37" i="211"/>
  <c r="V37" i="211" s="1"/>
  <c r="M36" i="209"/>
  <c r="L36" i="209" s="1"/>
  <c r="J48" i="178"/>
  <c r="R12" i="209" s="1"/>
  <c r="I49" i="211"/>
  <c r="K25" i="211"/>
  <c r="J25" i="211" s="1"/>
  <c r="H24" i="209"/>
  <c r="G24" i="209" s="1"/>
  <c r="Q48" i="209"/>
  <c r="U53" i="211"/>
  <c r="G55" i="209"/>
  <c r="D14" i="209"/>
  <c r="F14" i="209"/>
  <c r="C70" i="209"/>
  <c r="E70" i="209"/>
  <c r="V30" i="211"/>
  <c r="AD30" i="211"/>
  <c r="AE30" i="211" s="1"/>
  <c r="V14" i="211"/>
  <c r="AD14" i="211"/>
  <c r="AE14" i="211" s="1"/>
  <c r="AD58" i="3"/>
  <c r="AE58" i="3" s="1"/>
  <c r="V34" i="211"/>
  <c r="AD34" i="211"/>
  <c r="AE34" i="211" s="1"/>
  <c r="V19" i="211"/>
  <c r="AD19" i="211"/>
  <c r="AE19" i="211" s="1"/>
  <c r="I52" i="211"/>
  <c r="L39" i="209"/>
  <c r="P39" i="209"/>
  <c r="Q39" i="209" s="1"/>
  <c r="AD27" i="211"/>
  <c r="AE27" i="211" s="1"/>
  <c r="U52" i="144"/>
  <c r="AC52" i="144"/>
  <c r="AD52" i="144" s="1"/>
  <c r="AD37" i="3"/>
  <c r="AE37" i="3" s="1"/>
  <c r="AD53" i="3"/>
  <c r="AE53" i="3" s="1"/>
  <c r="AE28" i="211"/>
  <c r="V57" i="211"/>
  <c r="AD57" i="211"/>
  <c r="AE57" i="211" s="1"/>
  <c r="Q49" i="209"/>
  <c r="G51" i="209"/>
  <c r="AC15" i="144"/>
  <c r="AD15" i="144" s="1"/>
  <c r="U15" i="144"/>
  <c r="V38" i="211"/>
  <c r="AD38" i="211"/>
  <c r="AE38" i="211" s="1"/>
  <c r="K50" i="211"/>
  <c r="H49" i="209"/>
  <c r="K64" i="211"/>
  <c r="J64" i="211" s="1"/>
  <c r="H63" i="209"/>
  <c r="K52" i="211"/>
  <c r="H51" i="209"/>
  <c r="AF69" i="211"/>
  <c r="R68" i="209"/>
  <c r="AF69" i="3"/>
  <c r="Q54" i="209"/>
  <c r="L44" i="209"/>
  <c r="P44" i="209"/>
  <c r="Q44" i="209" s="1"/>
  <c r="P51" i="209"/>
  <c r="Q51" i="209" s="1"/>
  <c r="K49" i="211"/>
  <c r="H48" i="209"/>
  <c r="Q12" i="209"/>
  <c r="K57" i="211"/>
  <c r="H56" i="209"/>
  <c r="G56" i="209" s="1"/>
  <c r="U54" i="211"/>
  <c r="G33" i="209"/>
  <c r="K15" i="211"/>
  <c r="J15" i="211" s="1"/>
  <c r="H14" i="209"/>
  <c r="I42" i="211"/>
  <c r="F21" i="209"/>
  <c r="D21" i="209"/>
  <c r="V12" i="211"/>
  <c r="AD12" i="211"/>
  <c r="J41" i="211"/>
  <c r="V18" i="211"/>
  <c r="AD18" i="211"/>
  <c r="AE18" i="211" s="1"/>
  <c r="AF12" i="211"/>
  <c r="R11" i="209"/>
  <c r="Q11" i="209" s="1"/>
  <c r="AF12" i="3"/>
  <c r="AE12" i="3" s="1"/>
  <c r="AE69" i="3"/>
  <c r="V10" i="211"/>
  <c r="AD10" i="211"/>
  <c r="AE10" i="211" s="1"/>
  <c r="AD60" i="3"/>
  <c r="AE60" i="3" s="1"/>
  <c r="AE11" i="211"/>
  <c r="AD43" i="211"/>
  <c r="AE43" i="211" s="1"/>
  <c r="I27" i="211"/>
  <c r="J27" i="211" s="1"/>
  <c r="V25" i="3"/>
  <c r="AD25" i="3"/>
  <c r="AE25" i="3" s="1"/>
  <c r="M71" i="211"/>
  <c r="U8" i="211"/>
  <c r="G7" i="209"/>
  <c r="AE21" i="211"/>
  <c r="J8" i="211"/>
  <c r="AD63" i="3"/>
  <c r="AE63" i="3" s="1"/>
  <c r="D48" i="209"/>
  <c r="F48" i="209"/>
  <c r="G48" i="209" s="1"/>
  <c r="K23" i="211"/>
  <c r="J23" i="211" s="1"/>
  <c r="H22" i="209"/>
  <c r="H70" i="209" s="1"/>
  <c r="K68" i="211"/>
  <c r="J68" i="211" s="1"/>
  <c r="H67" i="209"/>
  <c r="W27" i="211"/>
  <c r="V27" i="211" s="1"/>
  <c r="M26" i="209"/>
  <c r="M70" i="209" s="1"/>
  <c r="W44" i="211"/>
  <c r="V44" i="211" s="1"/>
  <c r="H44" i="204"/>
  <c r="R43" i="209" s="1"/>
  <c r="Q43" i="209" s="1"/>
  <c r="M43" i="209"/>
  <c r="L43" i="209" s="1"/>
  <c r="W29" i="211"/>
  <c r="V29" i="211" s="1"/>
  <c r="J53" i="193"/>
  <c r="R28" i="209" s="1"/>
  <c r="Q28" i="209" s="1"/>
  <c r="M28" i="209"/>
  <c r="L28" i="209" s="1"/>
  <c r="Q36" i="209"/>
  <c r="P68" i="209"/>
  <c r="Q68" i="209" s="1"/>
  <c r="I29" i="211"/>
  <c r="J29" i="211" s="1"/>
  <c r="V35" i="211"/>
  <c r="AD35" i="211"/>
  <c r="T71" i="144"/>
  <c r="U71" i="144" s="1"/>
  <c r="W42" i="211"/>
  <c r="V42" i="211" s="1"/>
  <c r="M41" i="209"/>
  <c r="L41" i="209" s="1"/>
  <c r="AD59" i="211"/>
  <c r="AE59" i="211" s="1"/>
  <c r="AF36" i="211"/>
  <c r="R35" i="209"/>
  <c r="Q35" i="209" s="1"/>
  <c r="AF36" i="3"/>
  <c r="AE36" i="3" s="1"/>
  <c r="AF35" i="211"/>
  <c r="R34" i="209"/>
  <c r="Q34" i="209" s="1"/>
  <c r="AF35" i="3"/>
  <c r="Q66" i="209"/>
  <c r="W33" i="211"/>
  <c r="M32" i="209"/>
  <c r="L32" i="209" s="1"/>
  <c r="L26" i="209"/>
  <c r="K7" i="209"/>
  <c r="P7" i="209" s="1"/>
  <c r="I70" i="209"/>
  <c r="W60" i="211"/>
  <c r="V60" i="211" s="1"/>
  <c r="M59" i="209"/>
  <c r="L59" i="209" s="1"/>
  <c r="Q31" i="209"/>
  <c r="J57" i="197"/>
  <c r="R32" i="209" s="1"/>
  <c r="G57" i="209"/>
  <c r="G42" i="209"/>
  <c r="V69" i="211"/>
  <c r="AD69" i="211"/>
  <c r="AE69" i="211" s="1"/>
  <c r="AE50" i="3"/>
  <c r="V23" i="211"/>
  <c r="AD23" i="211"/>
  <c r="AE23" i="211" s="1"/>
  <c r="K22" i="211"/>
  <c r="J22" i="211" s="1"/>
  <c r="H21" i="209"/>
  <c r="I40" i="211"/>
  <c r="J40" i="211" s="1"/>
  <c r="V15" i="211"/>
  <c r="AD15" i="211"/>
  <c r="AE15" i="211" s="1"/>
  <c r="AF13" i="211"/>
  <c r="AF13" i="3"/>
  <c r="AE13" i="3" s="1"/>
  <c r="AD6" i="211"/>
  <c r="AE6" i="211" s="1"/>
  <c r="V6" i="211"/>
  <c r="P32" i="209"/>
  <c r="Q32" i="209" s="1"/>
  <c r="V33" i="211"/>
  <c r="J43" i="189"/>
  <c r="R24" i="209" s="1"/>
  <c r="V61" i="211"/>
  <c r="AD61" i="211"/>
  <c r="AE61" i="211" s="1"/>
  <c r="V26" i="211"/>
  <c r="AD26" i="211"/>
  <c r="AE26" i="211" s="1"/>
  <c r="AD9" i="3"/>
  <c r="V19" i="3"/>
  <c r="AD19" i="3"/>
  <c r="AE19" i="3" s="1"/>
  <c r="AD9" i="144"/>
  <c r="AE12" i="211" l="1"/>
  <c r="AF71" i="211"/>
  <c r="AE46" i="211"/>
  <c r="W71" i="211"/>
  <c r="V13" i="211"/>
  <c r="Q7" i="209"/>
  <c r="P70" i="209"/>
  <c r="J42" i="211"/>
  <c r="V53" i="211"/>
  <c r="AD53" i="211"/>
  <c r="AE53" i="211" s="1"/>
  <c r="Q24" i="209"/>
  <c r="V52" i="211"/>
  <c r="AD52" i="211"/>
  <c r="AE52" i="211" s="1"/>
  <c r="AC71" i="144"/>
  <c r="AD71" i="144" s="1"/>
  <c r="J52" i="211"/>
  <c r="AE41" i="3"/>
  <c r="R70" i="209"/>
  <c r="Q42" i="209"/>
  <c r="AE35" i="3"/>
  <c r="AE13" i="211"/>
  <c r="K71" i="211"/>
  <c r="V54" i="211"/>
  <c r="AD54" i="211"/>
  <c r="AE54" i="211" s="1"/>
  <c r="J49" i="211"/>
  <c r="J46" i="211"/>
  <c r="V8" i="211"/>
  <c r="AD8" i="211"/>
  <c r="U71" i="211"/>
  <c r="V71" i="211" s="1"/>
  <c r="G14" i="209"/>
  <c r="Q63" i="209"/>
  <c r="G67" i="209"/>
  <c r="I71" i="211"/>
  <c r="AE35" i="211"/>
  <c r="G22" i="209"/>
  <c r="AF71" i="3"/>
  <c r="AE7" i="3"/>
  <c r="G41" i="209"/>
  <c r="J57" i="211"/>
  <c r="AE36" i="211"/>
  <c r="G49" i="209"/>
  <c r="G63" i="209"/>
  <c r="L7" i="209"/>
  <c r="K70" i="209"/>
  <c r="L70" i="209" s="1"/>
  <c r="AE9" i="3"/>
  <c r="AD71" i="3"/>
  <c r="G21" i="209"/>
  <c r="J50" i="211"/>
  <c r="AE10" i="3"/>
  <c r="AE71" i="3" l="1"/>
  <c r="AE8" i="211"/>
  <c r="AD71" i="211"/>
  <c r="AE71" i="211" s="1"/>
  <c r="J71" i="211"/>
  <c r="Q70" i="209"/>
</calcChain>
</file>

<file path=xl/sharedStrings.xml><?xml version="1.0" encoding="utf-8"?>
<sst xmlns="http://schemas.openxmlformats.org/spreadsheetml/2006/main" count="2939" uniqueCount="815">
  <si>
    <t>Acadia Parish 2014 Statement of Net Assets</t>
  </si>
  <si>
    <t>Issued: December 31, 2014</t>
  </si>
  <si>
    <t>Primary Government</t>
  </si>
  <si>
    <t>Component Units</t>
  </si>
  <si>
    <t>ASSETS</t>
  </si>
  <si>
    <t>Cash</t>
  </si>
  <si>
    <t>Investments</t>
  </si>
  <si>
    <t>Taxes receivable</t>
  </si>
  <si>
    <t>Special assessments receivable</t>
  </si>
  <si>
    <t>Other receivables</t>
  </si>
  <si>
    <t>Due from other governmental entities</t>
  </si>
  <si>
    <t>Due from component units</t>
  </si>
  <si>
    <t>Capital assets:</t>
  </si>
  <si>
    <t>Non-depreciable</t>
  </si>
  <si>
    <t>Depreciable, net</t>
  </si>
  <si>
    <t>Total Assets</t>
  </si>
  <si>
    <t>Deferred Outflows of Resources</t>
  </si>
  <si>
    <t xml:space="preserve">Deferred loss on refunding </t>
  </si>
  <si>
    <t>Total assets and deferred outflows of resources</t>
  </si>
  <si>
    <t>Liabilities</t>
  </si>
  <si>
    <t>Accounts payable</t>
  </si>
  <si>
    <t>Retainage payable</t>
  </si>
  <si>
    <t>Accured liabilites and other payables</t>
  </si>
  <si>
    <t>Unearned revenues</t>
  </si>
  <si>
    <t>Accrued interest payable</t>
  </si>
  <si>
    <t>Due to primary government</t>
  </si>
  <si>
    <t>Long-term liabilities</t>
  </si>
  <si>
    <t>Portion due or payable within one year-</t>
  </si>
  <si>
    <t>Bonds payable</t>
  </si>
  <si>
    <t>Compensated absences</t>
  </si>
  <si>
    <t>Portion due or payable after one year-</t>
  </si>
  <si>
    <t>Landfill  closure and postclosure care</t>
  </si>
  <si>
    <t>costs liability</t>
  </si>
  <si>
    <t>Total Liabilities</t>
  </si>
  <si>
    <t>Unavailable revenue- special assessments</t>
  </si>
  <si>
    <t>NET ASSETS</t>
  </si>
  <si>
    <t>Investment in capital assets</t>
  </si>
  <si>
    <t>Restricted for:</t>
  </si>
  <si>
    <t>Debt service</t>
  </si>
  <si>
    <t>Capital projects</t>
  </si>
  <si>
    <t>Other purposes</t>
  </si>
  <si>
    <t>Unrestricted net position</t>
  </si>
  <si>
    <t>Total Net Assets</t>
  </si>
  <si>
    <t>Total Liabilities and Net Assets</t>
  </si>
  <si>
    <t>Allen Parish 2014 Statement of Net Assets</t>
  </si>
  <si>
    <t>Governmental Activities</t>
  </si>
  <si>
    <t>Cash and cash equivalents</t>
  </si>
  <si>
    <t>Receivables</t>
  </si>
  <si>
    <t>Due from other governments</t>
  </si>
  <si>
    <t>Inventory</t>
  </si>
  <si>
    <t>Prepaid assets</t>
  </si>
  <si>
    <t>Capital assets, net of accumulated depreciation</t>
  </si>
  <si>
    <t>LIABILITIES</t>
  </si>
  <si>
    <t xml:space="preserve">Accounts payable </t>
  </si>
  <si>
    <t>Unearned revenue</t>
  </si>
  <si>
    <t>Bonds payable - due within one year</t>
  </si>
  <si>
    <t>Compensated absences payable - due</t>
  </si>
  <si>
    <t>within one year</t>
  </si>
  <si>
    <t>OPEB obligations - due in more</t>
  </si>
  <si>
    <t>than one year</t>
  </si>
  <si>
    <t>Bonds payable - due in more than one year</t>
  </si>
  <si>
    <t>Invested in capital assets, net of related debt</t>
  </si>
  <si>
    <t>Equipment purchases</t>
  </si>
  <si>
    <t>Public safety</t>
  </si>
  <si>
    <t>Public works</t>
  </si>
  <si>
    <t>Health and welfare</t>
  </si>
  <si>
    <t>Culture and recreation</t>
  </si>
  <si>
    <t>Sanitation</t>
  </si>
  <si>
    <t>Other general government</t>
  </si>
  <si>
    <t>Unrestricted</t>
  </si>
  <si>
    <t>Ascension Parish 2014 Statement of Net Assets</t>
  </si>
  <si>
    <t>Component Unit</t>
  </si>
  <si>
    <t>Business-type Activities</t>
  </si>
  <si>
    <t>Total</t>
  </si>
  <si>
    <t>Current Assets</t>
  </si>
  <si>
    <t>Accounts receivable, net</t>
  </si>
  <si>
    <t>Internal balances</t>
  </si>
  <si>
    <t>Restricted assets</t>
  </si>
  <si>
    <t>Other assets</t>
  </si>
  <si>
    <t>Nondepreciable</t>
  </si>
  <si>
    <t>Deferred loss on refunding bonds, net</t>
  </si>
  <si>
    <t>Accounts payable and accrued liabilities</t>
  </si>
  <si>
    <t>Contracts payable</t>
  </si>
  <si>
    <t>Due to other goevernments</t>
  </si>
  <si>
    <t>Accrued payroll</t>
  </si>
  <si>
    <t>Customer deposits</t>
  </si>
  <si>
    <t>Sales tax rebate reserve</t>
  </si>
  <si>
    <t>Claims reserve</t>
  </si>
  <si>
    <t>Due within one year</t>
  </si>
  <si>
    <t>Due in more than one year</t>
  </si>
  <si>
    <t>Long-term payable</t>
  </si>
  <si>
    <t>Deferred Inflows of Resources</t>
  </si>
  <si>
    <t>Grant Advances</t>
  </si>
  <si>
    <t>Unearned Revenue</t>
  </si>
  <si>
    <t>Total deferred inflows of resources</t>
  </si>
  <si>
    <t>NET POSITION</t>
  </si>
  <si>
    <t>Net investment in capital assets</t>
  </si>
  <si>
    <t>Capital Projects</t>
  </si>
  <si>
    <t>External legal constraints</t>
  </si>
  <si>
    <t>Other Purposes</t>
  </si>
  <si>
    <t>Total Net Position</t>
  </si>
  <si>
    <t>Total Liabilities, deferred inflows of resources, and Net Assets</t>
  </si>
  <si>
    <t>Assumption Parish 2014 Statement of Net Assets</t>
  </si>
  <si>
    <t>Restricted investments</t>
  </si>
  <si>
    <t>LIABILITIES AND NET POSITION</t>
  </si>
  <si>
    <t>Salaries payable</t>
  </si>
  <si>
    <t>Compensated absences payable</t>
  </si>
  <si>
    <t>Other post-employment benefits payable</t>
  </si>
  <si>
    <t>Other liabilities</t>
  </si>
  <si>
    <t>Long-term liabilities:</t>
  </si>
  <si>
    <t>Restricted for revenue bond debt service and contingencies</t>
  </si>
  <si>
    <t>Avoyelles Parish 2014 Statement of Net Assets</t>
  </si>
  <si>
    <t>Cash and interest-bearing deposits</t>
  </si>
  <si>
    <t>Receivables, net</t>
  </si>
  <si>
    <t>Due from other governmental units</t>
  </si>
  <si>
    <t>Prepaid items</t>
  </si>
  <si>
    <t>Total Current Assets</t>
  </si>
  <si>
    <t>Non-current Assets:</t>
  </si>
  <si>
    <t>Land and construction in progress</t>
  </si>
  <si>
    <t>Capital assets, net</t>
  </si>
  <si>
    <t>Total Non-current Assets</t>
  </si>
  <si>
    <t>Current Liabilities:</t>
  </si>
  <si>
    <t xml:space="preserve">Accounts, salaries and other payables </t>
  </si>
  <si>
    <t>Total Current Liabilities</t>
  </si>
  <si>
    <t>Non-current Liabilities</t>
  </si>
  <si>
    <t xml:space="preserve">Unrestricted </t>
  </si>
  <si>
    <t>Beauregard Parish 2014 Statement of Net Assets</t>
  </si>
  <si>
    <t>Capital assets (net of accumulated depreciation):</t>
  </si>
  <si>
    <t>Land</t>
  </si>
  <si>
    <t>Buildings and improvements</t>
  </si>
  <si>
    <t>Furniture and equipment</t>
  </si>
  <si>
    <t>Infrastructure</t>
  </si>
  <si>
    <t>Construction in progress</t>
  </si>
  <si>
    <t>Accounts, salaries, and other payables</t>
  </si>
  <si>
    <t>Interest payable</t>
  </si>
  <si>
    <t>Bienville Parish 2014 Statement of Net Assets</t>
  </si>
  <si>
    <t>Wages and related payable</t>
  </si>
  <si>
    <t>Premium on bonds</t>
  </si>
  <si>
    <t>Deferred revenues</t>
  </si>
  <si>
    <t>Other post-employment benefits</t>
  </si>
  <si>
    <t>Bossier Parish 2014 Statement of Net Assets</t>
  </si>
  <si>
    <t>Business-Type Activities</t>
  </si>
  <si>
    <t>Restricted cash</t>
  </si>
  <si>
    <t>Prepaid expenses</t>
  </si>
  <si>
    <t>Capital assets, net:</t>
  </si>
  <si>
    <t>Depreciable (net)</t>
  </si>
  <si>
    <t xml:space="preserve">Current </t>
  </si>
  <si>
    <t>Accounts payable and accrued expenses</t>
  </si>
  <si>
    <t>Payable from restricted assets:</t>
  </si>
  <si>
    <t>Noncurrent liabilities</t>
  </si>
  <si>
    <t>Deferred Inflows of Resouces</t>
  </si>
  <si>
    <t>Unavailable revenue- property taxes</t>
  </si>
  <si>
    <t xml:space="preserve">Public safety </t>
  </si>
  <si>
    <t>Economic development</t>
  </si>
  <si>
    <t>Sewer operations</t>
  </si>
  <si>
    <t>Caddo Parish 2014 Statement of Net Assets</t>
  </si>
  <si>
    <t>Primary government</t>
  </si>
  <si>
    <t>Due from primary government</t>
  </si>
  <si>
    <t>Inventories</t>
  </si>
  <si>
    <t>Other capital assets, net of depreciation</t>
  </si>
  <si>
    <t>DEFERRED OUTFLOWS OF RESOURCES</t>
  </si>
  <si>
    <t>Total assets and deferred outlfows of resources</t>
  </si>
  <si>
    <t>Accrued liabilities</t>
  </si>
  <si>
    <t>Accrued insurance claims payable</t>
  </si>
  <si>
    <t>Due to component units</t>
  </si>
  <si>
    <t>Due to other governmental agencies</t>
  </si>
  <si>
    <t>Noncurrent liabilities:</t>
  </si>
  <si>
    <t>Deferred inflows of Resources</t>
  </si>
  <si>
    <t>Unavailable revenue- property taxes and assessments- service charges</t>
  </si>
  <si>
    <t>Total liabilities and deferred inflows of resources</t>
  </si>
  <si>
    <t>Criminal justice</t>
  </si>
  <si>
    <t>Highways, streets and drainage</t>
  </si>
  <si>
    <t>Building facilities</t>
  </si>
  <si>
    <t>Capital outlay</t>
  </si>
  <si>
    <t>Caldwell Parish 2014 Statement of Net Assets</t>
  </si>
  <si>
    <t>Due to other agencies</t>
  </si>
  <si>
    <t>Restricted</t>
  </si>
  <si>
    <t>Catahoula Parish 2014 Statement of Net Assets</t>
  </si>
  <si>
    <t>Fire District No. 1 Maintenance</t>
  </si>
  <si>
    <t>Cash restricted for debt service</t>
  </si>
  <si>
    <t>Cash restricted for capital project</t>
  </si>
  <si>
    <t>Certificates of indebtedness due within one year</t>
  </si>
  <si>
    <t>Certificates of indebtedness due in more than one</t>
  </si>
  <si>
    <t>DEFERRED INFLOWS</t>
  </si>
  <si>
    <t>Grant revenues pending</t>
  </si>
  <si>
    <t>Calcasieu Parish 2014 Statement of Net Assets</t>
  </si>
  <si>
    <t>Receivables (net of allowance for uncollectibles)</t>
  </si>
  <si>
    <t>Intergovernmental receivable</t>
  </si>
  <si>
    <t>Loan receivable</t>
  </si>
  <si>
    <t>Restricted assets:</t>
  </si>
  <si>
    <t>Receivables - net</t>
  </si>
  <si>
    <t>Deferred amount on refunding</t>
  </si>
  <si>
    <t>Accounts payable and other accrued liabilities</t>
  </si>
  <si>
    <t>Intergovernmental payable</t>
  </si>
  <si>
    <t>Liabilities payable from restricted assets</t>
  </si>
  <si>
    <t>DEFERRED INFLOWS OF RESOURCES</t>
  </si>
  <si>
    <t>Property taxes levied for the next fiscal year</t>
  </si>
  <si>
    <t>Capital improvement projects</t>
  </si>
  <si>
    <t>Cameron Parish 2014 Statement of Net Assets</t>
  </si>
  <si>
    <t>Inventory, at cost</t>
  </si>
  <si>
    <t>Other</t>
  </si>
  <si>
    <t>Due after one year</t>
  </si>
  <si>
    <t>Net position - restricted for:</t>
  </si>
  <si>
    <t>Judicial</t>
  </si>
  <si>
    <t>Tourism development</t>
  </si>
  <si>
    <t>Net position - unrestricted</t>
  </si>
  <si>
    <t>Claiborne Parish 2014 Statement of Net Assets</t>
  </si>
  <si>
    <t>Due from other agencies</t>
  </si>
  <si>
    <t>Deferred charges</t>
  </si>
  <si>
    <t>Deferred revenue</t>
  </si>
  <si>
    <t>Bonds payable within one year</t>
  </si>
  <si>
    <t>Bonds payable in more than one year</t>
  </si>
  <si>
    <t>General government</t>
  </si>
  <si>
    <t>General government - judicial</t>
  </si>
  <si>
    <t>Concordia Parish 2014 Statement of Net Assets</t>
  </si>
  <si>
    <t>Cash and cash equivalents - restricted</t>
  </si>
  <si>
    <t>Acounts Receivable</t>
  </si>
  <si>
    <t>Ad valorem taxes receivable, net</t>
  </si>
  <si>
    <t>Sales and use taxes receivable</t>
  </si>
  <si>
    <t>Severance taxes receivable</t>
  </si>
  <si>
    <t>Capital Assets</t>
  </si>
  <si>
    <t>Proptery and equipment, net</t>
  </si>
  <si>
    <t>Current liabilities:</t>
  </si>
  <si>
    <t>Accured payroll and benefits</t>
  </si>
  <si>
    <t>Sales tax bonds- due within one year</t>
  </si>
  <si>
    <t xml:space="preserve">Noncurrent liabilities: </t>
  </si>
  <si>
    <t>Sales tax bonds</t>
  </si>
  <si>
    <t>Special projects</t>
  </si>
  <si>
    <t>DeSoto Parish 2014 Statement of Net Assets</t>
  </si>
  <si>
    <t>Master Bank Overdrafts</t>
  </si>
  <si>
    <t>Deposit balances</t>
  </si>
  <si>
    <t>Advance from grantors</t>
  </si>
  <si>
    <t>Due to other governments</t>
  </si>
  <si>
    <t>Landfill post closure liability</t>
  </si>
  <si>
    <t>Other postemployment benefit obligation</t>
  </si>
  <si>
    <t>Restricted for Debt Service</t>
  </si>
  <si>
    <t>East Baton Rouge Parish 2014 Statement of Net Assets</t>
  </si>
  <si>
    <t>Cash and cash equivalents (note 3)</t>
  </si>
  <si>
    <t>Investments (note 3)</t>
  </si>
  <si>
    <t>Receivables--net (note 13)</t>
  </si>
  <si>
    <t>Due from other governments (note 11)</t>
  </si>
  <si>
    <t>Loans receivable</t>
  </si>
  <si>
    <t>Net pension asset</t>
  </si>
  <si>
    <t>Deferred amount  on refunding</t>
  </si>
  <si>
    <t>Deferred outflows on derivative instruments</t>
  </si>
  <si>
    <t>Deferred outflow for pension</t>
  </si>
  <si>
    <t>Total deferred outflows of resources</t>
  </si>
  <si>
    <t>Accounts payable and other current liabilities</t>
  </si>
  <si>
    <t>Accrued payables</t>
  </si>
  <si>
    <t>Deposits and escrow accounts</t>
  </si>
  <si>
    <t>Noncurrent liabilities (note 10):</t>
  </si>
  <si>
    <t xml:space="preserve">Deferred Inflows of Reources </t>
  </si>
  <si>
    <t>Resources received before the requirements</t>
  </si>
  <si>
    <t>Restricted for (note 14):</t>
  </si>
  <si>
    <t>Passenger facility charges</t>
  </si>
  <si>
    <t>East Carroll Parish 2014 Statement of Net Assets</t>
  </si>
  <si>
    <t>Capital assets not being depreciated</t>
  </si>
  <si>
    <t>Road maintenance</t>
  </si>
  <si>
    <t>Garbage</t>
  </si>
  <si>
    <t>Library</t>
  </si>
  <si>
    <t>Drainage</t>
  </si>
  <si>
    <t>Rural fire protection</t>
  </si>
  <si>
    <t>LSU/SU Extension</t>
  </si>
  <si>
    <t>Health unit</t>
  </si>
  <si>
    <t>Criminal Court</t>
  </si>
  <si>
    <t>Housing assistance payments</t>
  </si>
  <si>
    <t>East Feliciana Parish 2014 Statement of Net Assets</t>
  </si>
  <si>
    <t>Due from other funds</t>
  </si>
  <si>
    <t>Due from other governmental agencies</t>
  </si>
  <si>
    <t>Due to other funds</t>
  </si>
  <si>
    <t>Health unit operations/maintenance</t>
  </si>
  <si>
    <t>Homeland security/emergency preparedness</t>
  </si>
  <si>
    <t>Solid waste management</t>
  </si>
  <si>
    <t>Evangeline Parish 2014 Statement of Net Assets</t>
  </si>
  <si>
    <t>Cash overdraft</t>
  </si>
  <si>
    <t>Accounts and other payables</t>
  </si>
  <si>
    <t>Accrued interest</t>
  </si>
  <si>
    <t>Performance bonds payable</t>
  </si>
  <si>
    <t>Portion due within one year:</t>
  </si>
  <si>
    <t>Capital lease payable</t>
  </si>
  <si>
    <t>Bonds and certificates payable</t>
  </si>
  <si>
    <t>Portion due after one year:</t>
  </si>
  <si>
    <t>Sewer deposits payable</t>
  </si>
  <si>
    <t>Restricted for debt service</t>
  </si>
  <si>
    <t>Franklin Parish 2014 Statement of Net Assets</t>
  </si>
  <si>
    <t>Capital assets (net)</t>
  </si>
  <si>
    <t>Payroll withholding payable</t>
  </si>
  <si>
    <t>Capital leases payable</t>
  </si>
  <si>
    <t>Due to others (damage deposit)</t>
  </si>
  <si>
    <t>Net OPEB obligation</t>
  </si>
  <si>
    <t>Grant Parish 2014 Statement of Net Assets</t>
  </si>
  <si>
    <t>Receivables (net)</t>
  </si>
  <si>
    <t>Non depreciable capital assets</t>
  </si>
  <si>
    <t>Depreciable capital assets, net</t>
  </si>
  <si>
    <t>Deposits due others</t>
  </si>
  <si>
    <t>Notes payable:</t>
  </si>
  <si>
    <t>Restricted:</t>
  </si>
  <si>
    <t>Maintenance</t>
  </si>
  <si>
    <t>Construction</t>
  </si>
  <si>
    <t>Iberia Parish 2014 Statement of Net Assets</t>
  </si>
  <si>
    <t>Advance to component unit</t>
  </si>
  <si>
    <t>Investments in joint ventures</t>
  </si>
  <si>
    <t>Prepaid bond insurance</t>
  </si>
  <si>
    <t>Accrued expenses</t>
  </si>
  <si>
    <t>Contracts and retainage payable</t>
  </si>
  <si>
    <t>Due to component unit</t>
  </si>
  <si>
    <t>Advance from primary government</t>
  </si>
  <si>
    <t>Advances from grantors and others</t>
  </si>
  <si>
    <t>Deposits</t>
  </si>
  <si>
    <t>Other post employment benefits payable</t>
  </si>
  <si>
    <t>Nonexpendable</t>
  </si>
  <si>
    <t>Debt Service</t>
  </si>
  <si>
    <t>Tax dedications</t>
  </si>
  <si>
    <t>Iberville Parish 2014 Statement of Net Assets</t>
  </si>
  <si>
    <t>Total Component Units</t>
  </si>
  <si>
    <t>Capital assets (net of accumulated depreciation)</t>
  </si>
  <si>
    <t>Building and system</t>
  </si>
  <si>
    <t>Improvemetns other than building</t>
  </si>
  <si>
    <t>Machinery and equipment</t>
  </si>
  <si>
    <t>Matured bonds and interest payable</t>
  </si>
  <si>
    <t>Bank overdraft liability</t>
  </si>
  <si>
    <t>Other payables</t>
  </si>
  <si>
    <t>Other post employment benefits</t>
  </si>
  <si>
    <t>Due in one year</t>
  </si>
  <si>
    <t>Public building maintenance</t>
  </si>
  <si>
    <t>Solid waste</t>
  </si>
  <si>
    <t>Fire protection</t>
  </si>
  <si>
    <t>Emergency services</t>
  </si>
  <si>
    <t>Road Improvements</t>
  </si>
  <si>
    <t>Jackson Parish 2014 Statement of Net Assets</t>
  </si>
  <si>
    <t>Capital assets, net of depreciation</t>
  </si>
  <si>
    <t>Security deposits</t>
  </si>
  <si>
    <t>Road maintenance (Road, Sales tax and asphalt funds)</t>
  </si>
  <si>
    <t>Waste management</t>
  </si>
  <si>
    <t>Tourism</t>
  </si>
  <si>
    <t>Landfill closure</t>
  </si>
  <si>
    <t>Grant funds</t>
  </si>
  <si>
    <t>Grand jury and witness fees</t>
  </si>
  <si>
    <t>Jefferson Davis Parish 2014 Statement of Net Assets</t>
  </si>
  <si>
    <t>Restricted cash and cash equivalents</t>
  </si>
  <si>
    <t>Deferred bond issuance costs</t>
  </si>
  <si>
    <t>Liability for other post-employment benefits</t>
  </si>
  <si>
    <t>Current portion of bonds payable</t>
  </si>
  <si>
    <t>Current portion of capital leases payable</t>
  </si>
  <si>
    <t>Jefferson Parish 2014 Statement of Net Assets</t>
  </si>
  <si>
    <t>(amounts in thousands)</t>
  </si>
  <si>
    <t>Share of pooled assets</t>
  </si>
  <si>
    <t xml:space="preserve">Receivables, net of allowances for </t>
  </si>
  <si>
    <t>estimated uncollectibles:</t>
  </si>
  <si>
    <t>Interest</t>
  </si>
  <si>
    <t>Ad valorem tax</t>
  </si>
  <si>
    <t>Accounts</t>
  </si>
  <si>
    <t xml:space="preserve">Notes </t>
  </si>
  <si>
    <t>Mortgage loans</t>
  </si>
  <si>
    <t>Intergovernmental</t>
  </si>
  <si>
    <t>Noncurrent Assets</t>
  </si>
  <si>
    <t>Deposits and other assets</t>
  </si>
  <si>
    <t>Mortgage loans receivable</t>
  </si>
  <si>
    <t>Capital assets being depreciated, net</t>
  </si>
  <si>
    <t>Total Noncurrent Assets</t>
  </si>
  <si>
    <t>Deferred outflows of resources</t>
  </si>
  <si>
    <t>Deferred charges on bond issuance costs</t>
  </si>
  <si>
    <t>Total Deferred Outflows of Resources</t>
  </si>
  <si>
    <t>Current liabilities</t>
  </si>
  <si>
    <t>Accounts and contracts payable</t>
  </si>
  <si>
    <t>Claims and judgments payable</t>
  </si>
  <si>
    <t>Current portion of long term debt</t>
  </si>
  <si>
    <t>Accrued salaries payable</t>
  </si>
  <si>
    <t>Other payables and accruals</t>
  </si>
  <si>
    <t>Customers' deposits</t>
  </si>
  <si>
    <t>Total Noncurrent Liabilities</t>
  </si>
  <si>
    <t>Judges annuitles</t>
  </si>
  <si>
    <t>Transit</t>
  </si>
  <si>
    <t>Urban redevelopment and housing</t>
  </si>
  <si>
    <t>Pension benefits</t>
  </si>
  <si>
    <t>Lafayete Parish 2014 Statement of Net Assets</t>
  </si>
  <si>
    <t>Inventories, net</t>
  </si>
  <si>
    <t>Unamortized start-up costs</t>
  </si>
  <si>
    <t>Depreciable,net</t>
  </si>
  <si>
    <t>Deferred loss on bond refunding</t>
  </si>
  <si>
    <t xml:space="preserve">Accounts and other payables </t>
  </si>
  <si>
    <t>Portion due or payable within one year</t>
  </si>
  <si>
    <t>Portion due or payable after one year</t>
  </si>
  <si>
    <t>Property taxes</t>
  </si>
  <si>
    <t>Unrestricted (deficit)</t>
  </si>
  <si>
    <t>Lafourche Parish 2014 Statement of Net Assets</t>
  </si>
  <si>
    <t xml:space="preserve">Cash </t>
  </si>
  <si>
    <t xml:space="preserve"> </t>
  </si>
  <si>
    <t>Prepaids and other assets</t>
  </si>
  <si>
    <t>Depreciable</t>
  </si>
  <si>
    <t>Deferred charge on refunding</t>
  </si>
  <si>
    <t>Other current liabilities</t>
  </si>
  <si>
    <t>Due to other governmental units</t>
  </si>
  <si>
    <t>Net invested in capital assets</t>
  </si>
  <si>
    <t>LaSalle Parish 2014 Statement of Net Assets</t>
  </si>
  <si>
    <t>Prepaid lease payments</t>
  </si>
  <si>
    <t>Payroll payable</t>
  </si>
  <si>
    <t>Net OPEB obligations</t>
  </si>
  <si>
    <t>Long term liabilities:</t>
  </si>
  <si>
    <t>Lincoln Parish 2014 Statement of Net Assets</t>
  </si>
  <si>
    <t>Accounts receivable</t>
  </si>
  <si>
    <t>Due from other entities</t>
  </si>
  <si>
    <t>Non-Depreciable</t>
  </si>
  <si>
    <t>Due to other entities</t>
  </si>
  <si>
    <t>Due within one year:</t>
  </si>
  <si>
    <t>Due in more than one year:</t>
  </si>
  <si>
    <t>Unfunded postretirement:</t>
  </si>
  <si>
    <t>Benefit plan obligations</t>
  </si>
  <si>
    <t>Livingston Parish 2014 Statement of Net Assets</t>
  </si>
  <si>
    <t>Receivables, Net of Allowance</t>
  </si>
  <si>
    <t>Due from component unit</t>
  </si>
  <si>
    <t>Unamortized bond insurance premiums</t>
  </si>
  <si>
    <t>Capital assets</t>
  </si>
  <si>
    <t>Depreciable-net</t>
  </si>
  <si>
    <t>Deferred Amount on Refunding of Debt</t>
  </si>
  <si>
    <t>Total Assets and Deferred Outflows</t>
  </si>
  <si>
    <t>Due to component Units</t>
  </si>
  <si>
    <t>Accrued bond interest payable</t>
  </si>
  <si>
    <t>Non-current liabilities</t>
  </si>
  <si>
    <t>Grant</t>
  </si>
  <si>
    <t>Madison Parish 2014 Statement of Net Assets</t>
  </si>
  <si>
    <t>Accounts, salaries and other payables</t>
  </si>
  <si>
    <t>Garbage collection</t>
  </si>
  <si>
    <t>Drainage and roads</t>
  </si>
  <si>
    <t>Courthouse and jail</t>
  </si>
  <si>
    <t>Other special revenue funds</t>
  </si>
  <si>
    <t>Morehouse Parish 2014 Statement of Net Assets</t>
  </si>
  <si>
    <t>Bank overdrafts</t>
  </si>
  <si>
    <t>Payroll accruals and wothholdings</t>
  </si>
  <si>
    <t>Property Taxes</t>
  </si>
  <si>
    <t>Invested in capital assets</t>
  </si>
  <si>
    <t>Restricted for special revenue</t>
  </si>
  <si>
    <t>Natchitoches Parish 2014 Statement of Net Assets</t>
  </si>
  <si>
    <t>Revenue receivables</t>
  </si>
  <si>
    <t>Current Liabilities-</t>
  </si>
  <si>
    <t>Cash Overdraft</t>
  </si>
  <si>
    <t>Due to Other Governments</t>
  </si>
  <si>
    <t>Long-term Liabilities;</t>
  </si>
  <si>
    <t>Accrued Compensated Absences</t>
  </si>
  <si>
    <t>Other Post-Employment Benefit Obligation</t>
  </si>
  <si>
    <t>Total Long-term Liabilities</t>
  </si>
  <si>
    <t xml:space="preserve">Business-Type Activities </t>
  </si>
  <si>
    <t>Other Receivables</t>
  </si>
  <si>
    <t>Inventories at Cost</t>
  </si>
  <si>
    <t>Prepaid Expenses</t>
  </si>
  <si>
    <t>Restricted Assets</t>
  </si>
  <si>
    <t>Cash &amp; Cash Equivalents</t>
  </si>
  <si>
    <t>Capital assets-</t>
  </si>
  <si>
    <t>Buildings</t>
  </si>
  <si>
    <t xml:space="preserve">Machinery &amp; Equipment </t>
  </si>
  <si>
    <t>Vehicles</t>
  </si>
  <si>
    <t>Streets</t>
  </si>
  <si>
    <t xml:space="preserve">Other Infrastructure </t>
  </si>
  <si>
    <t>Construction in Progress</t>
  </si>
  <si>
    <t>Utility Plant &amp; System</t>
  </si>
  <si>
    <t>Accumulated Depreciation</t>
  </si>
  <si>
    <t>Accured Expenses</t>
  </si>
  <si>
    <t>Payable from Restriced Assets-</t>
  </si>
  <si>
    <t>Bond Principal</t>
  </si>
  <si>
    <t>Customer's Deposits</t>
  </si>
  <si>
    <t>Long-term Debt-</t>
  </si>
  <si>
    <t>Due Within One year</t>
  </si>
  <si>
    <t>Due in More than One Year</t>
  </si>
  <si>
    <t xml:space="preserve">Net OPEB Obligation </t>
  </si>
  <si>
    <t>Accured Employee Vacations</t>
  </si>
  <si>
    <t>Orleans Parish 2014 Statement of Net Assets</t>
  </si>
  <si>
    <t>Receivables (net of allowance for uncollectibles):</t>
  </si>
  <si>
    <t>Taxes</t>
  </si>
  <si>
    <t>Grantee loans</t>
  </si>
  <si>
    <t>Restricted cash and investments</t>
  </si>
  <si>
    <t>Taxes payable</t>
  </si>
  <si>
    <t>Accrued Interest Payable</t>
  </si>
  <si>
    <t>Long-term liabilities due within one year</t>
  </si>
  <si>
    <t>Long-term liabilities due in more than one year</t>
  </si>
  <si>
    <t>Unavailable Revenue</t>
  </si>
  <si>
    <t>Restricted for capital improvement</t>
  </si>
  <si>
    <t>Restricted for operating reserve</t>
  </si>
  <si>
    <t>Ouachita Parish 2014 Statement of Net Assets</t>
  </si>
  <si>
    <t>Investments, at market value</t>
  </si>
  <si>
    <t>Receivables:</t>
  </si>
  <si>
    <t>Ad valorem taxes</t>
  </si>
  <si>
    <t>Sales taxes</t>
  </si>
  <si>
    <t>Special assessments</t>
  </si>
  <si>
    <t>Trade receivables</t>
  </si>
  <si>
    <t>Due from other governmental</t>
  </si>
  <si>
    <t>Restricted assets-cash</t>
  </si>
  <si>
    <t>Deposits held</t>
  </si>
  <si>
    <t>Other noncurrent liabilities</t>
  </si>
  <si>
    <t>Capital improvements</t>
  </si>
  <si>
    <t>Insurance claims</t>
  </si>
  <si>
    <t>Plaquemines Parish 2014 Statement of Net Assets</t>
  </si>
  <si>
    <t>Receivables (net of allowaces for uncollectibles)</t>
  </si>
  <si>
    <t>Litigation and other contingencies</t>
  </si>
  <si>
    <t>Notes payable-long term</t>
  </si>
  <si>
    <t>Bonds payable-long term</t>
  </si>
  <si>
    <t>Total Non-current Liabilities</t>
  </si>
  <si>
    <t>Total Liabilities and Net Position</t>
  </si>
  <si>
    <t>Pointe Coupee Parish 2014 Statement of Net Assets</t>
  </si>
  <si>
    <t>Due from fiduciary funds</t>
  </si>
  <si>
    <t>Customer meter deposits</t>
  </si>
  <si>
    <t>Long term payables:</t>
  </si>
  <si>
    <t>Ad calorem received in advance</t>
  </si>
  <si>
    <t>Road construction and maintenance</t>
  </si>
  <si>
    <t>Rapides Parish 2014 Statement of Net Assets</t>
  </si>
  <si>
    <t>Nondepreciable:</t>
  </si>
  <si>
    <t>Depreciable:</t>
  </si>
  <si>
    <t>Furniture, equipment, and other</t>
  </si>
  <si>
    <t>Red River Parish 2014 Statement of Net Assets</t>
  </si>
  <si>
    <t>Prepaid expense</t>
  </si>
  <si>
    <t>Accounts payable and accured liabilities</t>
  </si>
  <si>
    <t>Compensated absences payable, net of current portion</t>
  </si>
  <si>
    <t>Sales tax dedicated for the maintenance of ambulances and the costs to provide services</t>
  </si>
  <si>
    <t>Dedicated property taxes for library services and construction</t>
  </si>
  <si>
    <t>Dedicated property taxes for health unit services and construction</t>
  </si>
  <si>
    <t>Richland Parish 2014 Statement of Net Assets</t>
  </si>
  <si>
    <t>Payroll accruals and wothholding</t>
  </si>
  <si>
    <t>Sabine Parish 2014 Statement of Net Assets</t>
  </si>
  <si>
    <t>Infrastructure:</t>
  </si>
  <si>
    <t>Roads</t>
  </si>
  <si>
    <t>Road right-of-way</t>
  </si>
  <si>
    <t>Bridges</t>
  </si>
  <si>
    <t>St. Bernard Parish 2014 Statement of Net Assets</t>
  </si>
  <si>
    <t>Investments--land held for sale</t>
  </si>
  <si>
    <t xml:space="preserve">Receivables </t>
  </si>
  <si>
    <t>Sales and use taxes</t>
  </si>
  <si>
    <t>Cable franchise fees</t>
  </si>
  <si>
    <t>Customer</t>
  </si>
  <si>
    <t>Unbilled charges</t>
  </si>
  <si>
    <t>Prepaids</t>
  </si>
  <si>
    <t>Restricted assets--cash and cash equivalents</t>
  </si>
  <si>
    <t>Loan and interest receivable</t>
  </si>
  <si>
    <t>Land, improvements and construction in progess</t>
  </si>
  <si>
    <t>Claims payable</t>
  </si>
  <si>
    <t>Salaries and payroll deductions payable</t>
  </si>
  <si>
    <t>Advance collections</t>
  </si>
  <si>
    <t>Certificates of indebtedness</t>
  </si>
  <si>
    <t>Long term non-cuttent liabilities</t>
  </si>
  <si>
    <t>Federal programs</t>
  </si>
  <si>
    <t>St. Charles Parish 2014 Statement of Net Assets</t>
  </si>
  <si>
    <t>Prepaid fees</t>
  </si>
  <si>
    <t>Plant and equipment</t>
  </si>
  <si>
    <t>Cash overdrafts</t>
  </si>
  <si>
    <t>Other liabilities and accruals</t>
  </si>
  <si>
    <t>Amounts due within one year</t>
  </si>
  <si>
    <t>Amounts due beyond one year</t>
  </si>
  <si>
    <t>Multi-employer Pension Liability</t>
  </si>
  <si>
    <t>Other non-current liabilities</t>
  </si>
  <si>
    <t>Advances</t>
  </si>
  <si>
    <t>Maintenance/operations</t>
  </si>
  <si>
    <t>Special Revenues</t>
  </si>
  <si>
    <t>St. Helena Parish 2014 Statement of Net Assets</t>
  </si>
  <si>
    <t>Discretely Presented Component Units</t>
  </si>
  <si>
    <t>St. Helena Parish Hospital Serv Dist 1 &amp; Subsidiary</t>
  </si>
  <si>
    <t>Water Works Dist No. 2 of St. Helena Parish</t>
  </si>
  <si>
    <t>Other Component Units</t>
  </si>
  <si>
    <t>Current Assets:</t>
  </si>
  <si>
    <t>Prepaid insurance and other assets</t>
  </si>
  <si>
    <t>Total current assets</t>
  </si>
  <si>
    <t>Total restricted assets</t>
  </si>
  <si>
    <t>Long term assets:</t>
  </si>
  <si>
    <t>Total long term assets</t>
  </si>
  <si>
    <t>Total capital assets</t>
  </si>
  <si>
    <t>Other accrued payables</t>
  </si>
  <si>
    <t>Accrued interest on long term indebtedness</t>
  </si>
  <si>
    <t>Current portion of long term indebtedness</t>
  </si>
  <si>
    <t>Capital leases</t>
  </si>
  <si>
    <t>Total current liabilities:</t>
  </si>
  <si>
    <t>Unfunded net other post employment benefit obligations</t>
  </si>
  <si>
    <t>Total long term liabilities</t>
  </si>
  <si>
    <t>St. James Parish 2014 Statement of Net Assets</t>
  </si>
  <si>
    <t>St. James Parish Hospital</t>
  </si>
  <si>
    <t>Notes receivable:</t>
  </si>
  <si>
    <t>Estimated third-party payor settlements</t>
  </si>
  <si>
    <t>Internal balance</t>
  </si>
  <si>
    <t>Held by trustee for debt service</t>
  </si>
  <si>
    <t>Internally designated for capital acquisition</t>
  </si>
  <si>
    <t>Other assets, net</t>
  </si>
  <si>
    <t xml:space="preserve">Deferred charge on refunding </t>
  </si>
  <si>
    <t>Highways and streets</t>
  </si>
  <si>
    <t>Group health insurance claims</t>
  </si>
  <si>
    <t>St. John the Baptist Parish 2014 Statement of Net Assets</t>
  </si>
  <si>
    <t>Receivables (net of allowances)</t>
  </si>
  <si>
    <t>Capital assets being depreciated</t>
  </si>
  <si>
    <t>(net of accumulated depreciation)</t>
  </si>
  <si>
    <t>Due within one yeear</t>
  </si>
  <si>
    <t>Special revenue</t>
  </si>
  <si>
    <t>Endowment</t>
  </si>
  <si>
    <t>St. Landry Parish 2014 Statement of Net Assets</t>
  </si>
  <si>
    <t>Prepaid expenditures</t>
  </si>
  <si>
    <t>Due from agency funds</t>
  </si>
  <si>
    <t>Noncurrent assets</t>
  </si>
  <si>
    <t>Cash and cash equivalents- restricted</t>
  </si>
  <si>
    <t>Investments-restricted</t>
  </si>
  <si>
    <t>Current</t>
  </si>
  <si>
    <t>Unamortized premium</t>
  </si>
  <si>
    <t>Due to agency funds</t>
  </si>
  <si>
    <t>Due primary government</t>
  </si>
  <si>
    <t xml:space="preserve">Noncurrent </t>
  </si>
  <si>
    <t>Restricted- roads</t>
  </si>
  <si>
    <t>Restricted-other</t>
  </si>
  <si>
    <t>St. Martin Parish 2014 Statement of Net Assets</t>
  </si>
  <si>
    <t>Cash and interest bearing deposits</t>
  </si>
  <si>
    <t>Bonds payable, due within one year</t>
  </si>
  <si>
    <t>Bonds payable, due in more than one year</t>
  </si>
  <si>
    <t>Capital leases payable, due within one year</t>
  </si>
  <si>
    <t>Capital leases payable, due in more than one year</t>
  </si>
  <si>
    <t>OPEB liability-due in more than one year</t>
  </si>
  <si>
    <t>St. Mary Parish 2014 Statement of Net Assets</t>
  </si>
  <si>
    <t>Issued: December 31, 2013</t>
  </si>
  <si>
    <t>Receivables (net of allowances for uncollectibles)</t>
  </si>
  <si>
    <t>Land and improvements</t>
  </si>
  <si>
    <t>Buildings, net of accumulated depreciation</t>
  </si>
  <si>
    <t xml:space="preserve">Improvements other than buildings, net of </t>
  </si>
  <si>
    <t>accumulated depreciation</t>
  </si>
  <si>
    <t xml:space="preserve">Equipment and furniture, net of accumulated </t>
  </si>
  <si>
    <t>depreciation</t>
  </si>
  <si>
    <t>Infrastructure, net of accumulated depreciation</t>
  </si>
  <si>
    <t xml:space="preserve">Gain on refunding </t>
  </si>
  <si>
    <t>Accrued interest payable</t>
  </si>
  <si>
    <t>Current portion of long-term debt</t>
  </si>
  <si>
    <t>Long term debt</t>
  </si>
  <si>
    <t>Landfill closure costs and post-closure care costs</t>
  </si>
  <si>
    <t>St.Tammany Parish 2014 Statement of Net Assets</t>
  </si>
  <si>
    <t>Due from primary government/component units</t>
  </si>
  <si>
    <t>Land. improvements and construction in progress</t>
  </si>
  <si>
    <t>Deferred charges on refunding</t>
  </si>
  <si>
    <t>Payable from restricted assets</t>
  </si>
  <si>
    <t>Due to primary government/component units</t>
  </si>
  <si>
    <t>Non-current liabilities:</t>
  </si>
  <si>
    <t>Capital projects</t>
  </si>
  <si>
    <t>Lighting districts</t>
  </si>
  <si>
    <t>Roads, bridges and drainage</t>
  </si>
  <si>
    <t>Tangipahoa Parish 2014 Statement of Net Assets</t>
  </si>
  <si>
    <t>Investment in certificates of deposit</t>
  </si>
  <si>
    <t>Receivebles, net</t>
  </si>
  <si>
    <t>Restricted assets- cash</t>
  </si>
  <si>
    <t>Prepaid insurance</t>
  </si>
  <si>
    <t>Due to volunteer fire departments</t>
  </si>
  <si>
    <t>Noncuurent liabilities:</t>
  </si>
  <si>
    <t>Postemployment healthcare benefits payable</t>
  </si>
  <si>
    <t>Deferred inflow of resources</t>
  </si>
  <si>
    <t>Total Deferred inflow of resources</t>
  </si>
  <si>
    <t>Debt service</t>
  </si>
  <si>
    <t>Terrebonne Parish 2014 Statement of Net Assets</t>
  </si>
  <si>
    <t>Investment in joint venture</t>
  </si>
  <si>
    <t>Unavailable revenue</t>
  </si>
  <si>
    <t>Grant Advancements</t>
  </si>
  <si>
    <t>General governments</t>
  </si>
  <si>
    <t>Streets and drainage</t>
  </si>
  <si>
    <t>Economic development and assistance</t>
  </si>
  <si>
    <t>Urban redevelopment and assistance</t>
  </si>
  <si>
    <t>Utilities</t>
  </si>
  <si>
    <t>Sewerage</t>
  </si>
  <si>
    <t>Tensas Parish 2014 Statement of Net Assets</t>
  </si>
  <si>
    <t>Amounts held by trustee for landfill closure</t>
  </si>
  <si>
    <t>and post-closure care costs</t>
  </si>
  <si>
    <t>Intergovernmental payables</t>
  </si>
  <si>
    <t>Union Parish 2014 Statement of Net Assets</t>
  </si>
  <si>
    <t>Certificates of indebtedness due in more than one year</t>
  </si>
  <si>
    <t>Public building revenue bonds due within one year</t>
  </si>
  <si>
    <t>Public building revenue bonds due in more than one year</t>
  </si>
  <si>
    <t>Landfill closure/postclosure care</t>
  </si>
  <si>
    <t>Restricted for landfill closure/postclosure care</t>
  </si>
  <si>
    <t>Vermillion Parish 2014 Statement of Net Assets</t>
  </si>
  <si>
    <t>Criminal Court Fund</t>
  </si>
  <si>
    <t>Tourist Commission</t>
  </si>
  <si>
    <t>Vernon Parish 2014 Statement of Net Assets</t>
  </si>
  <si>
    <t>Investments, at fair market value</t>
  </si>
  <si>
    <t>Receivebles</t>
  </si>
  <si>
    <t>Library book collection</t>
  </si>
  <si>
    <t>Employee benefits</t>
  </si>
  <si>
    <t>Washington Parish 2014 Statement of Net Assets</t>
  </si>
  <si>
    <t>FEMA receivable</t>
  </si>
  <si>
    <t>Notes receivable</t>
  </si>
  <si>
    <t>Equity in Choctaw Road Landfill</t>
  </si>
  <si>
    <t>Restricted other assets</t>
  </si>
  <si>
    <t xml:space="preserve">Capital assets </t>
  </si>
  <si>
    <t>Advanced revenue</t>
  </si>
  <si>
    <t>Due to FEMA</t>
  </si>
  <si>
    <t>OPEB liability</t>
  </si>
  <si>
    <t>Portion due within one year</t>
  </si>
  <si>
    <t>Portion due in more than one year</t>
  </si>
  <si>
    <t xml:space="preserve">Solid waste disposal </t>
  </si>
  <si>
    <t>Highways and bridges</t>
  </si>
  <si>
    <t>Webster Parish 2014 Statement of Net Assets</t>
  </si>
  <si>
    <t>Accounts payable vendors</t>
  </si>
  <si>
    <t>Accrued payroll liabilities</t>
  </si>
  <si>
    <t>Escrow payable</t>
  </si>
  <si>
    <t>Taxes paid under protest</t>
  </si>
  <si>
    <t>Solid waste collection, road and jail</t>
  </si>
  <si>
    <t>Road</t>
  </si>
  <si>
    <t>Courthouse and health unit</t>
  </si>
  <si>
    <t>DA salaries and benefits</t>
  </si>
  <si>
    <t>Criminal court</t>
  </si>
  <si>
    <t>Court reporter</t>
  </si>
  <si>
    <t>Grants</t>
  </si>
  <si>
    <t>West Baton Rouge Parish 2014 Statement of Net Assets</t>
  </si>
  <si>
    <t>Investments - restricted</t>
  </si>
  <si>
    <t>Grant advances</t>
  </si>
  <si>
    <t>Unavailable revenue - property taxes</t>
  </si>
  <si>
    <t>Poydras endowment</t>
  </si>
  <si>
    <t>West Carroll Parish 2014 Statement of Net Assets</t>
  </si>
  <si>
    <t>Deposits held in trust</t>
  </si>
  <si>
    <t>Landfill closure/post closure care</t>
  </si>
  <si>
    <t>Protested taxes held pending settlement</t>
  </si>
  <si>
    <t>Landfill closure/postclosure</t>
  </si>
  <si>
    <t>West Feliciana Parish 2014 Statement of Net Assets</t>
  </si>
  <si>
    <t>Issued: June 30, 2014</t>
  </si>
  <si>
    <t>Certificates of deposit</t>
  </si>
  <si>
    <t>Accouns receivable (net)</t>
  </si>
  <si>
    <t>Accrued expenses and other liabilities</t>
  </si>
  <si>
    <t>Recreation</t>
  </si>
  <si>
    <t>Winn Parish 2014 Statement of Net Assets</t>
  </si>
  <si>
    <t>Infrastructure - roads and bridges</t>
  </si>
  <si>
    <t>Deferred inflows- deferred revenues</t>
  </si>
  <si>
    <t>2014-SONA</t>
  </si>
  <si>
    <t>Assets:</t>
  </si>
  <si>
    <t>Liabilities:</t>
  </si>
  <si>
    <t xml:space="preserve">Non-Current/Long-Term Liabilities: </t>
  </si>
  <si>
    <t>Net Assets:</t>
  </si>
  <si>
    <t>Denotes Error Found in Statement</t>
  </si>
  <si>
    <t>Transfers</t>
  </si>
  <si>
    <t>Other Assets</t>
  </si>
  <si>
    <t>Total Assets (Sum)</t>
  </si>
  <si>
    <t>Accuracy</t>
  </si>
  <si>
    <t>Accounts Payable</t>
  </si>
  <si>
    <t>Compensated Absences Payable</t>
  </si>
  <si>
    <t>Bonds Payable Due within 1 Year</t>
  </si>
  <si>
    <t>Bonds Payable Due after 1 Year</t>
  </si>
  <si>
    <t>Government Transfers</t>
  </si>
  <si>
    <t>Payable within 1 Year</t>
  </si>
  <si>
    <t>Payable after 1 Year</t>
  </si>
  <si>
    <t>Other Liabilities</t>
  </si>
  <si>
    <t>Total Liabilities (Sum)</t>
  </si>
  <si>
    <t>Invested in Capital Assets, Net of Related Debt</t>
  </si>
  <si>
    <t>Unrestricted Assets</t>
  </si>
  <si>
    <t>Total Net Assets (Sum)</t>
  </si>
  <si>
    <t>Total Liabilites and Net Assets (Sum)</t>
  </si>
  <si>
    <t>Parish's Statement Not Available</t>
  </si>
  <si>
    <t>PARISH</t>
  </si>
  <si>
    <t>County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</si>
  <si>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</si>
  <si>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</si>
  <si>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</si>
  <si>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</si>
  <si>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</si>
  <si>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</si>
  <si>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</si>
  <si>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</si>
  <si>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</si>
  <si>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</si>
  <si>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</si>
  <si>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</si>
  <si>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</si>
  <si>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</si>
  <si>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</si>
  <si>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</si>
  <si>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</si>
  <si>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</si>
  <si>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</si>
  <si>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</si>
  <si>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Franklin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</si>
  <si>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</si>
  <si>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</si>
  <si>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</si>
  <si>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</si>
  <si>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</si>
  <si>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</si>
  <si>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</si>
  <si>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</si>
  <si>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</si>
  <si>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 xml:space="preserve">Livingston </t>
  </si>
  <si>
    <t>Madison</t>
  </si>
  <si>
    <t>Morehouse</t>
  </si>
  <si>
    <t>Natchitoches</t>
  </si>
  <si>
    <t>Orleans</t>
  </si>
  <si>
    <t>Ouachita</t>
  </si>
  <si>
    <t>Plaquemines</t>
  </si>
  <si>
    <t>Point Coupee</t>
  </si>
  <si>
    <t>Rapides</t>
  </si>
  <si>
    <t>Red River</t>
  </si>
  <si>
    <t>Richland</t>
  </si>
  <si>
    <t>Sabine</t>
  </si>
  <si>
    <t>St Bernard</t>
  </si>
  <si>
    <t>St Charles</t>
  </si>
  <si>
    <t>St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</si>
  <si>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</si>
  <si>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</si>
  <si>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</si>
  <si>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</si>
  <si>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</si>
  <si>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</si>
  <si>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</si>
  <si>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</si>
  <si>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</si>
  <si>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</si>
  <si>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</si>
  <si>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</si>
  <si>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</si>
  <si>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</si>
  <si>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</si>
  <si>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</si>
  <si>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</si>
  <si>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</si>
  <si>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Totals</t>
  </si>
  <si>
    <t>Test</t>
  </si>
  <si>
    <t xml:space="preserve">Deferred Inflows of Resources </t>
  </si>
  <si>
    <t>Cash (Current - Inventory)</t>
  </si>
  <si>
    <t>Non-Current</t>
  </si>
  <si>
    <t>Livingston</t>
  </si>
  <si>
    <t>Pointe Coupee</t>
  </si>
  <si>
    <t>St. Bernard</t>
  </si>
  <si>
    <t>St. Charles</t>
  </si>
  <si>
    <t>St. Helena</t>
  </si>
  <si>
    <t>Vermilion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</si>
</sst>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sz val="12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b/>
      <i/>
      <sz val="11"/>
      <name val="Arial Black"/>
      <family val="2"/>
    </font>
    <font>
      <b/>
      <sz val="12"/>
      <color indexed="8"/>
      <name val="Calibri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9"/>
      <name val="Calibri"/>
      <family val="2"/>
    </font>
    <font>
      <b/>
      <sz val="11"/>
      <color indexed="8"/>
      <name val="Arial"/>
      <family val="2"/>
    </font>
    <font>
      <b/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43" fontId="1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290">
    <xf numFmtId="0" fontId="0" fillId="0" borderId="0" xfId="0"/>
    <xf numFmtId="0" fontId="3" fillId="0" borderId="0" xfId="0" applyFont="1"/>
    <xf numFmtId="0" fontId="6" fillId="0" borderId="1" xfId="0" applyFont="1" applyBorder="1" applyAlignment="1">
      <alignment horizontal="center"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2" fillId="6" borderId="0" xfId="0" applyFont="1" applyFill="1"/>
    <xf numFmtId="0" fontId="2" fillId="4" borderId="0" xfId="0" applyFont="1" applyFill="1"/>
    <xf numFmtId="0" fontId="0" fillId="4" borderId="0" xfId="0" applyFill="1"/>
    <xf numFmtId="0" fontId="5" fillId="13" borderId="0" xfId="0" applyFont="1" applyFill="1"/>
    <xf numFmtId="0" fontId="5" fillId="14" borderId="0" xfId="0" applyFont="1" applyFill="1"/>
    <xf numFmtId="0" fontId="7" fillId="15" borderId="3" xfId="0" applyFont="1" applyFill="1" applyBorder="1"/>
    <xf numFmtId="0" fontId="0" fillId="15" borderId="4" xfId="0" applyFill="1" applyBorder="1"/>
    <xf numFmtId="0" fontId="0" fillId="0" borderId="5" xfId="0" applyBorder="1"/>
    <xf numFmtId="0" fontId="0" fillId="0" borderId="6" xfId="0" applyBorder="1"/>
    <xf numFmtId="0" fontId="0" fillId="16" borderId="4" xfId="0" applyFill="1" applyBorder="1"/>
    <xf numFmtId="0" fontId="0" fillId="13" borderId="0" xfId="0" applyFill="1"/>
    <xf numFmtId="0" fontId="0" fillId="13" borderId="4" xfId="0" applyFill="1" applyBorder="1"/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0" xfId="0" applyFont="1"/>
    <xf numFmtId="0" fontId="10" fillId="15" borderId="9" xfId="0" applyFont="1" applyFill="1" applyBorder="1"/>
    <xf numFmtId="0" fontId="0" fillId="15" borderId="0" xfId="0" applyFill="1"/>
    <xf numFmtId="0" fontId="0" fillId="17" borderId="7" xfId="0" applyFill="1" applyBorder="1"/>
    <xf numFmtId="0" fontId="0" fillId="17" borderId="8" xfId="0" applyFill="1" applyBorder="1"/>
    <xf numFmtId="0" fontId="0" fillId="16" borderId="0" xfId="0" applyFill="1"/>
    <xf numFmtId="0" fontId="10" fillId="16" borderId="0" xfId="0" applyFont="1" applyFill="1"/>
    <xf numFmtId="0" fontId="11" fillId="16" borderId="3" xfId="0" applyFont="1" applyFill="1" applyBorder="1"/>
    <xf numFmtId="0" fontId="0" fillId="16" borderId="10" xfId="0" applyFill="1" applyBorder="1"/>
    <xf numFmtId="0" fontId="0" fillId="18" borderId="11" xfId="0" applyFill="1" applyBorder="1"/>
    <xf numFmtId="0" fontId="10" fillId="13" borderId="2" xfId="0" applyFont="1" applyFill="1" applyBorder="1"/>
    <xf numFmtId="0" fontId="8" fillId="17" borderId="12" xfId="0" applyFon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9" fillId="2" borderId="10" xfId="0" applyFont="1" applyFill="1" applyBorder="1"/>
    <xf numFmtId="0" fontId="9" fillId="7" borderId="14" xfId="0" applyFont="1" applyFill="1" applyBorder="1"/>
    <xf numFmtId="0" fontId="9" fillId="3" borderId="14" xfId="0" applyFont="1" applyFill="1" applyBorder="1"/>
    <xf numFmtId="0" fontId="9" fillId="5" borderId="14" xfId="0" applyFont="1" applyFill="1" applyBorder="1"/>
    <xf numFmtId="0" fontId="9" fillId="4" borderId="14" xfId="0" applyFont="1" applyFill="1" applyBorder="1"/>
    <xf numFmtId="0" fontId="12" fillId="15" borderId="9" xfId="0" applyFont="1" applyFill="1" applyBorder="1"/>
    <xf numFmtId="0" fontId="13" fillId="17" borderId="15" xfId="0" applyFont="1" applyFill="1" applyBorder="1" applyAlignment="1">
      <alignment horizontal="center"/>
    </xf>
    <xf numFmtId="0" fontId="13" fillId="17" borderId="16" xfId="0" applyFont="1" applyFill="1" applyBorder="1" applyAlignment="1">
      <alignment horizontal="center"/>
    </xf>
    <xf numFmtId="0" fontId="9" fillId="7" borderId="10" xfId="0" applyFont="1" applyFill="1" applyBorder="1"/>
    <xf numFmtId="0" fontId="9" fillId="9" borderId="14" xfId="0" applyFont="1" applyFill="1" applyBorder="1"/>
    <xf numFmtId="0" fontId="9" fillId="8" borderId="14" xfId="0" applyFont="1" applyFill="1" applyBorder="1"/>
    <xf numFmtId="0" fontId="9" fillId="19" borderId="14" xfId="0" applyFont="1" applyFill="1" applyBorder="1"/>
    <xf numFmtId="0" fontId="9" fillId="2" borderId="14" xfId="0" applyFont="1" applyFill="1" applyBorder="1"/>
    <xf numFmtId="0" fontId="12" fillId="16" borderId="9" xfId="0" applyFont="1" applyFill="1" applyBorder="1"/>
    <xf numFmtId="0" fontId="0" fillId="13" borderId="9" xfId="0" applyFill="1" applyBorder="1"/>
    <xf numFmtId="0" fontId="9" fillId="10" borderId="14" xfId="0" applyFont="1" applyFill="1" applyBorder="1"/>
    <xf numFmtId="0" fontId="9" fillId="11" borderId="14" xfId="0" applyFont="1" applyFill="1" applyBorder="1"/>
    <xf numFmtId="0" fontId="9" fillId="12" borderId="3" xfId="0" applyFont="1" applyFill="1" applyBorder="1"/>
    <xf numFmtId="0" fontId="12" fillId="13" borderId="17" xfId="0" applyFont="1" applyFill="1" applyBorder="1"/>
    <xf numFmtId="0" fontId="12" fillId="13" borderId="2" xfId="0" applyFont="1" applyFill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applyFont="1"/>
    <xf numFmtId="0" fontId="1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5" fillId="0" borderId="0" xfId="0" applyNumberFormat="1" applyFont="1"/>
    <xf numFmtId="0" fontId="0" fillId="17" borderId="0" xfId="0" applyFill="1"/>
    <xf numFmtId="0" fontId="11" fillId="21" borderId="0" xfId="0" applyFont="1" applyFill="1"/>
    <xf numFmtId="0" fontId="5" fillId="21" borderId="0" xfId="0" applyFont="1" applyFill="1"/>
    <xf numFmtId="3" fontId="5" fillId="21" borderId="0" xfId="0" applyNumberFormat="1" applyFont="1" applyFill="1"/>
    <xf numFmtId="0" fontId="16" fillId="21" borderId="0" xfId="0" applyFont="1" applyFill="1" applyAlignment="1">
      <alignment horizontal="center"/>
    </xf>
    <xf numFmtId="3" fontId="5" fillId="21" borderId="0" xfId="0" applyNumberFormat="1" applyFont="1" applyFill="1" applyAlignment="1">
      <alignment horizontal="center"/>
    </xf>
    <xf numFmtId="3" fontId="5" fillId="9" borderId="0" xfId="0" applyNumberFormat="1" applyFont="1" applyFill="1" applyAlignment="1">
      <alignment horizontal="center"/>
    </xf>
    <xf numFmtId="0" fontId="9" fillId="23" borderId="14" xfId="0" applyFont="1" applyFill="1" applyBorder="1"/>
    <xf numFmtId="0" fontId="9" fillId="24" borderId="14" xfId="0" applyFont="1" applyFill="1" applyBorder="1"/>
    <xf numFmtId="0" fontId="0" fillId="22" borderId="0" xfId="0" applyFill="1"/>
    <xf numFmtId="0" fontId="0" fillId="22" borderId="5" xfId="0" applyFill="1" applyBorder="1"/>
    <xf numFmtId="0" fontId="0" fillId="22" borderId="7" xfId="0" applyFill="1" applyBorder="1"/>
    <xf numFmtId="0" fontId="13" fillId="22" borderId="15" xfId="0" applyFont="1" applyFill="1" applyBorder="1" applyAlignment="1">
      <alignment horizontal="center"/>
    </xf>
    <xf numFmtId="3" fontId="5" fillId="9" borderId="0" xfId="0" applyNumberFormat="1" applyFont="1" applyFill="1"/>
    <xf numFmtId="0" fontId="16" fillId="9" borderId="0" xfId="0" applyFont="1" applyFill="1" applyAlignment="1">
      <alignment horizontal="center"/>
    </xf>
    <xf numFmtId="37" fontId="6" fillId="0" borderId="0" xfId="0" applyNumberFormat="1" applyFont="1"/>
    <xf numFmtId="37" fontId="0" fillId="2" borderId="0" xfId="0" applyNumberFormat="1" applyFill="1"/>
    <xf numFmtId="37" fontId="0" fillId="3" borderId="0" xfId="0" applyNumberFormat="1" applyFill="1"/>
    <xf numFmtId="37" fontId="0" fillId="4" borderId="0" xfId="0" applyNumberFormat="1" applyFill="1"/>
    <xf numFmtId="37" fontId="0" fillId="5" borderId="0" xfId="0" applyNumberFormat="1" applyFill="1"/>
    <xf numFmtId="37" fontId="0" fillId="0" borderId="4" xfId="0" applyNumberFormat="1" applyBorder="1"/>
    <xf numFmtId="37" fontId="2" fillId="6" borderId="0" xfId="0" applyNumberFormat="1" applyFont="1" applyFill="1"/>
    <xf numFmtId="37" fontId="0" fillId="0" borderId="0" xfId="0" applyNumberFormat="1"/>
    <xf numFmtId="37" fontId="0" fillId="7" borderId="0" xfId="0" applyNumberFormat="1" applyFill="1"/>
    <xf numFmtId="37" fontId="0" fillId="8" borderId="0" xfId="0" applyNumberFormat="1" applyFill="1"/>
    <xf numFmtId="37" fontId="0" fillId="9" borderId="0" xfId="0" applyNumberFormat="1" applyFill="1"/>
    <xf numFmtId="37" fontId="2" fillId="4" borderId="0" xfId="0" applyNumberFormat="1" applyFont="1" applyFill="1"/>
    <xf numFmtId="37" fontId="0" fillId="10" borderId="0" xfId="0" applyNumberFormat="1" applyFill="1"/>
    <xf numFmtId="37" fontId="0" fillId="11" borderId="0" xfId="0" applyNumberFormat="1" applyFill="1"/>
    <xf numFmtId="37" fontId="0" fillId="24" borderId="0" xfId="0" applyNumberFormat="1" applyFill="1"/>
    <xf numFmtId="37" fontId="0" fillId="5" borderId="2" xfId="0" applyNumberFormat="1" applyFill="1" applyBorder="1"/>
    <xf numFmtId="37" fontId="0" fillId="19" borderId="0" xfId="0" applyNumberFormat="1" applyFill="1"/>
    <xf numFmtId="37" fontId="0" fillId="12" borderId="0" xfId="0" applyNumberFormat="1" applyFill="1"/>
    <xf numFmtId="37" fontId="5" fillId="25" borderId="0" xfId="0" applyNumberFormat="1" applyFont="1" applyFill="1"/>
    <xf numFmtId="37" fontId="5" fillId="10" borderId="0" xfId="0" applyNumberFormat="1" applyFont="1" applyFill="1"/>
    <xf numFmtId="37" fontId="0" fillId="23" borderId="0" xfId="0" applyNumberForma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7" fontId="6" fillId="0" borderId="2" xfId="0" applyNumberFormat="1" applyFont="1" applyBorder="1" applyAlignment="1">
      <alignment horizontal="center" wrapText="1"/>
    </xf>
    <xf numFmtId="37" fontId="2" fillId="0" borderId="0" xfId="0" applyNumberFormat="1" applyFont="1"/>
    <xf numFmtId="37" fontId="5" fillId="0" borderId="0" xfId="0" applyNumberFormat="1" applyFont="1"/>
    <xf numFmtId="0" fontId="2" fillId="26" borderId="0" xfId="0" applyFont="1" applyFill="1"/>
    <xf numFmtId="37" fontId="2" fillId="26" borderId="0" xfId="0" applyNumberFormat="1" applyFont="1" applyFill="1"/>
    <xf numFmtId="0" fontId="0" fillId="26" borderId="0" xfId="0" applyFill="1"/>
    <xf numFmtId="0" fontId="6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37" fontId="0" fillId="4" borderId="0" xfId="0" applyNumberFormat="1" applyFill="1" applyAlignment="1">
      <alignment horizontal="right"/>
    </xf>
    <xf numFmtId="0" fontId="4" fillId="26" borderId="0" xfId="0" applyFont="1" applyFill="1"/>
    <xf numFmtId="0" fontId="5" fillId="26" borderId="0" xfId="0" applyFont="1" applyFill="1"/>
    <xf numFmtId="3" fontId="0" fillId="26" borderId="0" xfId="0" applyNumberFormat="1" applyFill="1"/>
    <xf numFmtId="3" fontId="0" fillId="26" borderId="0" xfId="0" applyNumberFormat="1" applyFill="1" applyAlignment="1">
      <alignment horizontal="center"/>
    </xf>
    <xf numFmtId="3" fontId="5" fillId="26" borderId="0" xfId="0" applyNumberFormat="1" applyFont="1" applyFill="1"/>
    <xf numFmtId="3" fontId="8" fillId="27" borderId="0" xfId="0" applyNumberFormat="1" applyFont="1" applyFill="1" applyAlignment="1">
      <alignment horizontal="center"/>
    </xf>
    <xf numFmtId="37" fontId="0" fillId="23" borderId="0" xfId="0" applyNumberFormat="1" applyFill="1" applyAlignment="1">
      <alignment horizontal="right"/>
    </xf>
    <xf numFmtId="0" fontId="4" fillId="28" borderId="0" xfId="0" applyFont="1" applyFill="1"/>
    <xf numFmtId="0" fontId="5" fillId="28" borderId="0" xfId="0" applyFont="1" applyFill="1"/>
    <xf numFmtId="3" fontId="0" fillId="28" borderId="0" xfId="0" applyNumberFormat="1" applyFill="1"/>
    <xf numFmtId="3" fontId="0" fillId="28" borderId="0" xfId="0" applyNumberFormat="1" applyFill="1" applyAlignment="1">
      <alignment horizontal="center"/>
    </xf>
    <xf numFmtId="3" fontId="5" fillId="28" borderId="0" xfId="0" applyNumberFormat="1" applyFont="1" applyFill="1"/>
    <xf numFmtId="0" fontId="0" fillId="28" borderId="0" xfId="0" applyFill="1"/>
    <xf numFmtId="37" fontId="0" fillId="29" borderId="0" xfId="0" applyNumberFormat="1" applyFill="1"/>
    <xf numFmtId="37" fontId="0" fillId="0" borderId="2" xfId="0" applyNumberFormat="1" applyBorder="1"/>
    <xf numFmtId="37" fontId="0" fillId="9" borderId="0" xfId="0" applyNumberFormat="1" applyFill="1" applyAlignment="1">
      <alignment horizontal="right"/>
    </xf>
    <xf numFmtId="3" fontId="5" fillId="21" borderId="0" xfId="0" applyNumberFormat="1" applyFont="1" applyFill="1" applyAlignment="1">
      <alignment horizontal="right"/>
    </xf>
    <xf numFmtId="0" fontId="0" fillId="0" borderId="4" xfId="0" applyBorder="1"/>
    <xf numFmtId="0" fontId="2" fillId="30" borderId="0" xfId="0" applyFont="1" applyFill="1"/>
    <xf numFmtId="37" fontId="2" fillId="30" borderId="0" xfId="0" applyNumberFormat="1" applyFont="1" applyFill="1"/>
    <xf numFmtId="37" fontId="0" fillId="0" borderId="0" xfId="0" applyNumberFormat="1" applyAlignment="1">
      <alignment horizontal="right"/>
    </xf>
    <xf numFmtId="164" fontId="0" fillId="2" borderId="0" xfId="1" applyNumberFormat="1" applyFont="1" applyFill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0" borderId="0" xfId="1" applyNumberFormat="1" applyFont="1" applyFill="1"/>
    <xf numFmtId="164" fontId="0" fillId="5" borderId="0" xfId="1" applyNumberFormat="1" applyFont="1" applyFill="1"/>
    <xf numFmtId="164" fontId="0" fillId="0" borderId="0" xfId="1" applyNumberFormat="1" applyFont="1"/>
    <xf numFmtId="164" fontId="2" fillId="6" borderId="0" xfId="1" applyNumberFormat="1" applyFont="1" applyFill="1"/>
    <xf numFmtId="164" fontId="0" fillId="7" borderId="0" xfId="1" applyNumberFormat="1" applyFont="1" applyFill="1"/>
    <xf numFmtId="164" fontId="18" fillId="8" borderId="0" xfId="1" applyNumberFormat="1" applyFont="1" applyFill="1" applyBorder="1"/>
    <xf numFmtId="164" fontId="0" fillId="0" borderId="0" xfId="1" applyNumberFormat="1" applyFont="1" applyFill="1" applyBorder="1"/>
    <xf numFmtId="164" fontId="0" fillId="0" borderId="0" xfId="1" applyNumberFormat="1" applyFont="1" applyBorder="1"/>
    <xf numFmtId="164" fontId="2" fillId="4" borderId="0" xfId="1" applyNumberFormat="1" applyFont="1" applyFill="1"/>
    <xf numFmtId="164" fontId="0" fillId="10" borderId="0" xfId="1" applyNumberFormat="1" applyFont="1" applyFill="1"/>
    <xf numFmtId="164" fontId="0" fillId="11" borderId="0" xfId="1" applyNumberFormat="1" applyFont="1" applyFill="1"/>
    <xf numFmtId="164" fontId="0" fillId="12" borderId="0" xfId="1" applyNumberFormat="1" applyFont="1" applyFill="1" applyBorder="1"/>
    <xf numFmtId="164" fontId="0" fillId="0" borderId="4" xfId="1" applyNumberFormat="1" applyFont="1" applyBorder="1"/>
    <xf numFmtId="164" fontId="5" fillId="25" borderId="0" xfId="1" applyNumberFormat="1" applyFont="1" applyFill="1"/>
    <xf numFmtId="164" fontId="5" fillId="10" borderId="0" xfId="1" applyNumberFormat="1" applyFont="1" applyFill="1"/>
    <xf numFmtId="0" fontId="0" fillId="31" borderId="0" xfId="0" applyFill="1"/>
    <xf numFmtId="164" fontId="18" fillId="9" borderId="0" xfId="1" applyNumberFormat="1" applyFont="1" applyFill="1" applyBorder="1"/>
    <xf numFmtId="0" fontId="2" fillId="32" borderId="0" xfId="0" applyFont="1" applyFill="1"/>
    <xf numFmtId="37" fontId="2" fillId="32" borderId="0" xfId="0" applyNumberFormat="1" applyFont="1" applyFill="1"/>
    <xf numFmtId="37" fontId="0" fillId="7" borderId="0" xfId="0" applyNumberFormat="1" applyFill="1" applyAlignment="1">
      <alignment horizontal="right"/>
    </xf>
    <xf numFmtId="0" fontId="20" fillId="10" borderId="0" xfId="0" applyFont="1" applyFill="1"/>
    <xf numFmtId="0" fontId="17" fillId="0" borderId="2" xfId="0" applyFont="1" applyBorder="1" applyAlignment="1">
      <alignment vertical="center" wrapText="1"/>
    </xf>
    <xf numFmtId="0" fontId="17" fillId="0" borderId="2" xfId="0" applyFont="1" applyBorder="1"/>
    <xf numFmtId="0" fontId="20" fillId="19" borderId="0" xfId="0" applyFont="1" applyFill="1"/>
    <xf numFmtId="0" fontId="20" fillId="2" borderId="0" xfId="0" applyFont="1" applyFill="1"/>
    <xf numFmtId="0" fontId="20" fillId="4" borderId="0" xfId="0" applyFont="1" applyFill="1"/>
    <xf numFmtId="0" fontId="20" fillId="11" borderId="0" xfId="0" applyFont="1" applyFill="1"/>
    <xf numFmtId="0" fontId="20" fillId="0" borderId="0" xfId="0" applyFont="1"/>
    <xf numFmtId="0" fontId="2" fillId="0" borderId="2" xfId="0" applyFont="1" applyBorder="1" applyAlignment="1">
      <alignment wrapText="1"/>
    </xf>
    <xf numFmtId="37" fontId="0" fillId="29" borderId="0" xfId="0" applyNumberFormat="1" applyFill="1" applyAlignment="1">
      <alignment horizontal="right"/>
    </xf>
    <xf numFmtId="37" fontId="0" fillId="8" borderId="0" xfId="0" applyNumberFormat="1" applyFill="1" applyAlignment="1">
      <alignment horizontal="right"/>
    </xf>
    <xf numFmtId="0" fontId="0" fillId="0" borderId="2" xfId="0" applyBorder="1"/>
    <xf numFmtId="0" fontId="20" fillId="7" borderId="10" xfId="0" applyFont="1" applyFill="1" applyBorder="1"/>
    <xf numFmtId="0" fontId="21" fillId="7" borderId="0" xfId="0" applyFont="1" applyFill="1"/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7" fontId="2" fillId="0" borderId="4" xfId="0" applyNumberFormat="1" applyFont="1" applyBorder="1"/>
    <xf numFmtId="37" fontId="5" fillId="0" borderId="2" xfId="0" applyNumberFormat="1" applyFont="1" applyBorder="1" applyAlignment="1">
      <alignment horizontal="center" wrapText="1"/>
    </xf>
    <xf numFmtId="0" fontId="0" fillId="6" borderId="0" xfId="0" applyFill="1"/>
    <xf numFmtId="0" fontId="5" fillId="32" borderId="0" xfId="0" applyFont="1" applyFill="1"/>
    <xf numFmtId="37" fontId="5" fillId="32" borderId="0" xfId="0" applyNumberFormat="1" applyFont="1" applyFill="1"/>
    <xf numFmtId="37" fontId="0" fillId="12" borderId="2" xfId="0" applyNumberFormat="1" applyFill="1" applyBorder="1"/>
    <xf numFmtId="37" fontId="5" fillId="13" borderId="0" xfId="0" applyNumberFormat="1" applyFont="1" applyFill="1"/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0" fillId="5" borderId="0" xfId="0" applyFill="1"/>
    <xf numFmtId="0" fontId="22" fillId="13" borderId="9" xfId="0" applyFont="1" applyFill="1" applyBorder="1" applyAlignment="1">
      <alignment horizontal="center" vertical="center" wrapText="1"/>
    </xf>
    <xf numFmtId="3" fontId="24" fillId="0" borderId="0" xfId="0" applyNumberFormat="1" applyFont="1"/>
    <xf numFmtId="3" fontId="24" fillId="26" borderId="0" xfId="0" applyNumberFormat="1" applyFont="1" applyFill="1"/>
    <xf numFmtId="2" fontId="0" fillId="2" borderId="0" xfId="0" applyNumberFormat="1" applyFill="1"/>
    <xf numFmtId="2" fontId="0" fillId="3" borderId="0" xfId="0" applyNumberFormat="1" applyFill="1"/>
    <xf numFmtId="2" fontId="0" fillId="24" borderId="0" xfId="0" applyNumberFormat="1" applyFill="1"/>
    <xf numFmtId="2" fontId="0" fillId="5" borderId="2" xfId="0" applyNumberFormat="1" applyFill="1" applyBorder="1"/>
    <xf numFmtId="2" fontId="2" fillId="6" borderId="0" xfId="0" applyNumberFormat="1" applyFont="1" applyFill="1"/>
    <xf numFmtId="2" fontId="0" fillId="7" borderId="0" xfId="0" applyNumberFormat="1" applyFill="1"/>
    <xf numFmtId="2" fontId="0" fillId="23" borderId="0" xfId="0" applyNumberFormat="1" applyFill="1"/>
    <xf numFmtId="2" fontId="0" fillId="9" borderId="0" xfId="0" applyNumberFormat="1" applyFill="1"/>
    <xf numFmtId="2" fontId="0" fillId="0" borderId="4" xfId="0" applyNumberFormat="1" applyBorder="1"/>
    <xf numFmtId="2" fontId="2" fillId="4" borderId="0" xfId="0" applyNumberFormat="1" applyFont="1" applyFill="1"/>
    <xf numFmtId="2" fontId="0" fillId="0" borderId="0" xfId="0" applyNumberFormat="1"/>
    <xf numFmtId="2" fontId="0" fillId="10" borderId="0" xfId="0" applyNumberFormat="1" applyFill="1"/>
    <xf numFmtId="2" fontId="0" fillId="11" borderId="0" xfId="0" applyNumberFormat="1" applyFill="1"/>
    <xf numFmtId="2" fontId="0" fillId="12" borderId="0" xfId="0" applyNumberFormat="1" applyFill="1"/>
    <xf numFmtId="2" fontId="5" fillId="25" borderId="0" xfId="0" applyNumberFormat="1" applyFont="1" applyFill="1"/>
    <xf numFmtId="0" fontId="17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0" fillId="7" borderId="0" xfId="0" applyFont="1" applyFill="1"/>
    <xf numFmtId="37" fontId="2" fillId="0" borderId="2" xfId="0" applyNumberFormat="1" applyFont="1" applyBorder="1"/>
    <xf numFmtId="37" fontId="2" fillId="0" borderId="1" xfId="0" applyNumberFormat="1" applyFont="1" applyBorder="1"/>
    <xf numFmtId="2" fontId="2" fillId="0" borderId="0" xfId="0" applyNumberFormat="1" applyFont="1"/>
    <xf numFmtId="2" fontId="2" fillId="0" borderId="2" xfId="0" applyNumberFormat="1" applyFont="1" applyBorder="1"/>
    <xf numFmtId="0" fontId="5" fillId="0" borderId="1" xfId="0" applyFont="1" applyBorder="1" applyAlignment="1">
      <alignment horizontal="center" wrapText="1"/>
    </xf>
    <xf numFmtId="0" fontId="25" fillId="0" borderId="0" xfId="0" applyFont="1"/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7" fontId="0" fillId="28" borderId="0" xfId="0" applyNumberFormat="1" applyFill="1"/>
    <xf numFmtId="0" fontId="26" fillId="26" borderId="0" xfId="0" applyFont="1" applyFill="1"/>
    <xf numFmtId="0" fontId="27" fillId="26" borderId="0" xfId="0" applyFont="1" applyFill="1"/>
    <xf numFmtId="3" fontId="20" fillId="26" borderId="0" xfId="0" applyNumberFormat="1" applyFont="1" applyFill="1"/>
    <xf numFmtId="3" fontId="20" fillId="26" borderId="0" xfId="0" applyNumberFormat="1" applyFont="1" applyFill="1" applyAlignment="1">
      <alignment horizontal="center"/>
    </xf>
    <xf numFmtId="3" fontId="28" fillId="26" borderId="0" xfId="0" applyNumberFormat="1" applyFont="1" applyFill="1"/>
    <xf numFmtId="3" fontId="27" fillId="26" borderId="0" xfId="0" applyNumberFormat="1" applyFont="1" applyFill="1"/>
    <xf numFmtId="0" fontId="20" fillId="26" borderId="0" xfId="0" applyFont="1" applyFill="1"/>
    <xf numFmtId="0" fontId="26" fillId="0" borderId="0" xfId="0" applyFont="1"/>
    <xf numFmtId="0" fontId="27" fillId="0" borderId="0" xfId="0" applyFont="1"/>
    <xf numFmtId="3" fontId="20" fillId="0" borderId="0" xfId="0" applyNumberFormat="1" applyFont="1"/>
    <xf numFmtId="3" fontId="20" fillId="0" borderId="0" xfId="0" applyNumberFormat="1" applyFont="1" applyAlignment="1">
      <alignment horizontal="center"/>
    </xf>
    <xf numFmtId="3" fontId="28" fillId="0" borderId="0" xfId="0" applyNumberFormat="1" applyFont="1"/>
    <xf numFmtId="3" fontId="27" fillId="0" borderId="0" xfId="0" applyNumberFormat="1" applyFont="1"/>
    <xf numFmtId="37" fontId="5" fillId="14" borderId="0" xfId="0" applyNumberFormat="1" applyFont="1" applyFill="1"/>
    <xf numFmtId="37" fontId="0" fillId="26" borderId="0" xfId="0" applyNumberFormat="1" applyFill="1"/>
    <xf numFmtId="3" fontId="29" fillId="27" borderId="0" xfId="0" applyNumberFormat="1" applyFont="1" applyFill="1" applyAlignment="1">
      <alignment horizontal="center"/>
    </xf>
    <xf numFmtId="37" fontId="20" fillId="0" borderId="0" xfId="0" applyNumberFormat="1" applyFont="1"/>
    <xf numFmtId="0" fontId="2" fillId="13" borderId="9" xfId="0" applyFont="1" applyFill="1" applyBorder="1" applyAlignment="1">
      <alignment horizontal="center" wrapText="1"/>
    </xf>
    <xf numFmtId="37" fontId="0" fillId="33" borderId="0" xfId="0" applyNumberFormat="1" applyFill="1"/>
    <xf numFmtId="0" fontId="5" fillId="0" borderId="0" xfId="0" applyFont="1" applyAlignment="1">
      <alignment wrapText="1"/>
    </xf>
    <xf numFmtId="0" fontId="2" fillId="28" borderId="0" xfId="0" applyFont="1" applyFill="1"/>
    <xf numFmtId="3" fontId="8" fillId="26" borderId="0" xfId="0" applyNumberFormat="1" applyFont="1" applyFill="1" applyAlignment="1">
      <alignment horizontal="center"/>
    </xf>
    <xf numFmtId="0" fontId="23" fillId="26" borderId="0" xfId="0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0" fontId="0" fillId="32" borderId="0" xfId="0" applyFill="1"/>
    <xf numFmtId="37" fontId="0" fillId="32" borderId="0" xfId="0" applyNumberFormat="1" applyFill="1"/>
    <xf numFmtId="0" fontId="17" fillId="0" borderId="1" xfId="0" applyFont="1" applyBorder="1"/>
    <xf numFmtId="37" fontId="2" fillId="3" borderId="0" xfId="0" applyNumberFormat="1" applyFont="1" applyFill="1"/>
    <xf numFmtId="37" fontId="2" fillId="34" borderId="0" xfId="0" applyNumberFormat="1" applyFont="1" applyFill="1"/>
    <xf numFmtId="37" fontId="2" fillId="28" borderId="0" xfId="0" applyNumberFormat="1" applyFont="1" applyFill="1"/>
    <xf numFmtId="3" fontId="5" fillId="26" borderId="0" xfId="0" applyNumberFormat="1" applyFont="1" applyFill="1" applyAlignment="1">
      <alignment horizontal="center"/>
    </xf>
    <xf numFmtId="0" fontId="32" fillId="0" borderId="3" xfId="0" applyFont="1" applyBorder="1"/>
    <xf numFmtId="0" fontId="0" fillId="0" borderId="18" xfId="0" applyBorder="1"/>
    <xf numFmtId="0" fontId="25" fillId="0" borderId="0" xfId="0" applyFont="1" applyAlignment="1">
      <alignment horizontal="center"/>
    </xf>
    <xf numFmtId="0" fontId="10" fillId="0" borderId="9" xfId="0" applyFont="1" applyBorder="1"/>
    <xf numFmtId="0" fontId="0" fillId="0" borderId="7" xfId="0" applyBorder="1" applyAlignment="1">
      <alignment horizontal="center"/>
    </xf>
    <xf numFmtId="0" fontId="10" fillId="0" borderId="0" xfId="0" applyFont="1"/>
    <xf numFmtId="0" fontId="10" fillId="0" borderId="2" xfId="0" applyFont="1" applyBorder="1"/>
    <xf numFmtId="0" fontId="25" fillId="0" borderId="7" xfId="0" applyFont="1" applyBorder="1" applyAlignment="1">
      <alignment horizontal="center"/>
    </xf>
    <xf numFmtId="0" fontId="9" fillId="0" borderId="10" xfId="0" applyFont="1" applyBorder="1"/>
    <xf numFmtId="0" fontId="9" fillId="0" borderId="14" xfId="0" applyFont="1" applyBorder="1"/>
    <xf numFmtId="0" fontId="12" fillId="0" borderId="9" xfId="0" applyFont="1" applyBorder="1"/>
    <xf numFmtId="0" fontId="13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2" fillId="0" borderId="17" xfId="0" applyFont="1" applyBorder="1"/>
    <xf numFmtId="0" fontId="12" fillId="0" borderId="2" xfId="0" applyFont="1" applyBorder="1"/>
    <xf numFmtId="0" fontId="1" fillId="0" borderId="0" xfId="0" applyFont="1"/>
    <xf numFmtId="0" fontId="22" fillId="0" borderId="0" xfId="0" applyFont="1"/>
    <xf numFmtId="3" fontId="25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/>
    </xf>
    <xf numFmtId="164" fontId="2" fillId="0" borderId="0" xfId="1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14" fillId="20" borderId="5" xfId="0" applyFont="1" applyFill="1" applyBorder="1" applyAlignment="1">
      <alignment horizontal="center"/>
    </xf>
    <xf numFmtId="0" fontId="14" fillId="2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31" borderId="0" xfId="0" applyFont="1" applyFill="1"/>
    <xf numFmtId="0" fontId="5" fillId="31" borderId="0" xfId="0" applyFont="1" applyFill="1"/>
    <xf numFmtId="3" fontId="0" fillId="31" borderId="0" xfId="0" applyNumberFormat="1" applyFill="1"/>
    <xf numFmtId="3" fontId="0" fillId="31" borderId="0" xfId="0" applyNumberFormat="1" applyFill="1" applyAlignment="1">
      <alignment horizontal="center"/>
    </xf>
    <xf numFmtId="3" fontId="24" fillId="31" borderId="0" xfId="0" applyNumberFormat="1" applyFont="1" applyFill="1"/>
    <xf numFmtId="3" fontId="5" fillId="31" borderId="0" xfId="0" applyNumberFormat="1" applyFont="1" applyFill="1"/>
  </cellXfs>
  <cellStyles count="10">
    <cellStyle name="Comma" xfId="1" builtinId="3"/>
    <cellStyle name="Followed Hyperlink" xfId="5" builtinId="9" hidden="1"/>
    <cellStyle name="Followed Hyperlink" xfId="3" builtinId="9" hidden="1"/>
    <cellStyle name="Followed Hyperlink" xfId="9" builtinId="9" hidden="1"/>
    <cellStyle name="Followed Hyperlink" xfId="7" builtinId="9" hidden="1"/>
    <cellStyle name="Hyperlink" xfId="4" builtinId="8" hidden="1"/>
    <cellStyle name="Hyperlink" xfId="2" builtinId="8" hidden="1"/>
    <cellStyle name="Hyperlink" xfId="8" builtinId="8" hidden="1"/>
    <cellStyle name="Hyperlink" xfId="6" builtinId="8" hidden="1"/>
    <cellStyle name="Normal" xfId="0" builtinId="0"/>
  </cellStyles>
  <dxfs count="0"/>
  <tableStyles count="0" defaultTableStyle="TableStyleMedium9" defaultPivotStyle="PivotStyleLight16"/>
  <colors>
    <mruColors>
      <color rgb="FF33CCCC"/>
      <color rgb="FF339966"/>
      <color rgb="FF663300"/>
      <color rgb="FFCC99FF"/>
      <color rgb="FFFFCC00"/>
      <color rgb="FFFF9900"/>
      <color rgb="FF800080"/>
      <color rgb="FFFF6600"/>
      <color rgb="FF808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1.xml"/><Relationship Id="rId75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ssicarandazzo/Downloads/Louisiana%202014%20C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adia"/>
      <sheetName val="Allen"/>
      <sheetName val="Assumption"/>
      <sheetName val="Bienville"/>
      <sheetName val="Bossier"/>
      <sheetName val="Calcasieu"/>
      <sheetName val="Caldwell"/>
      <sheetName val="Cameron"/>
      <sheetName val="Catahoula"/>
      <sheetName val="Claiborne"/>
      <sheetName val="Concordia"/>
      <sheetName val="DeSoto"/>
      <sheetName val="East Baton Rouge"/>
      <sheetName val="East Carroll"/>
      <sheetName val="East Feliciana"/>
      <sheetName val="Evangeline"/>
      <sheetName val="Franklin"/>
      <sheetName val="Grant"/>
      <sheetName val="Iberia"/>
      <sheetName val="Iberville"/>
      <sheetName val="Jackson"/>
      <sheetName val="Jefferson Davis"/>
      <sheetName val="Jefferson"/>
      <sheetName val="Lafayette"/>
      <sheetName val="Lafourche"/>
      <sheetName val="LaSalle"/>
      <sheetName val="Cross Sectional"/>
      <sheetName val="Lincoln"/>
      <sheetName val="Livingston"/>
      <sheetName val="Madison"/>
      <sheetName val="Morehouse"/>
      <sheetName val="Natchitoches"/>
      <sheetName val="Orleans"/>
      <sheetName val="Ouachita"/>
      <sheetName val="Plaquemines"/>
      <sheetName val="Rapides"/>
      <sheetName val="Red River"/>
      <sheetName val="Richland"/>
      <sheetName val="Sabine"/>
      <sheetName val="St. Bernard"/>
      <sheetName val="St. Charles"/>
      <sheetName val="St. James"/>
      <sheetName val="St. John the Baptist"/>
      <sheetName val="St. Martin"/>
      <sheetName val="St. Tammany"/>
      <sheetName val="Tangipahoa"/>
      <sheetName val="Tensas"/>
      <sheetName val="St. Landry"/>
      <sheetName val="Terrebonne"/>
      <sheetName val="Vermillion"/>
      <sheetName val="Vernon"/>
      <sheetName val="Washington "/>
      <sheetName val="Webster"/>
      <sheetName val="West Baton Rouge"/>
      <sheetName val="West Carroll"/>
      <sheetName val="Win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32">
          <cell r="P32">
            <v>21051265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workbookViewId="0">
      <selection activeCell="H16" sqref="H16"/>
    </sheetView>
  </sheetViews>
  <sheetFormatPr defaultColWidth="8.85546875" defaultRowHeight="14.45"/>
  <cols>
    <col min="8" max="8" width="15.28515625" customWidth="1"/>
    <col min="9" max="9" width="13.42578125" customWidth="1"/>
    <col min="11" max="11" width="10.85546875" customWidth="1"/>
    <col min="14" max="14" width="10.7109375" bestFit="1" customWidth="1"/>
    <col min="16" max="16" width="12.42578125" customWidth="1"/>
  </cols>
  <sheetData>
    <row r="1" spans="1:9" ht="18.600000000000001">
      <c r="A1" s="1"/>
      <c r="B1" s="1"/>
      <c r="C1" s="267" t="s">
        <v>0</v>
      </c>
      <c r="D1" s="267"/>
      <c r="E1" s="267"/>
      <c r="F1" s="267"/>
      <c r="G1" s="267"/>
      <c r="H1" s="267"/>
      <c r="I1" s="97"/>
    </row>
    <row r="2" spans="1:9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</row>
    <row r="4" spans="1:9" ht="29.1">
      <c r="H4" s="105" t="s">
        <v>2</v>
      </c>
      <c r="I4" s="105" t="s">
        <v>3</v>
      </c>
    </row>
    <row r="5" spans="1:9">
      <c r="A5" s="3" t="s">
        <v>4</v>
      </c>
      <c r="D5" s="3"/>
      <c r="G5" s="4"/>
      <c r="H5" s="4"/>
      <c r="I5" s="4"/>
    </row>
    <row r="6" spans="1:9">
      <c r="A6" s="3"/>
      <c r="B6" s="5" t="s">
        <v>5</v>
      </c>
      <c r="D6" s="3"/>
      <c r="G6" s="4"/>
      <c r="H6" s="77">
        <v>8972007</v>
      </c>
      <c r="I6" s="76">
        <v>37066</v>
      </c>
    </row>
    <row r="7" spans="1:9">
      <c r="B7" t="s">
        <v>6</v>
      </c>
      <c r="H7" s="84">
        <v>7896569</v>
      </c>
      <c r="I7" s="83"/>
    </row>
    <row r="8" spans="1:9">
      <c r="B8" t="s">
        <v>7</v>
      </c>
      <c r="H8" s="78">
        <v>497168</v>
      </c>
      <c r="I8" s="83"/>
    </row>
    <row r="9" spans="1:9">
      <c r="B9" t="s">
        <v>8</v>
      </c>
      <c r="H9" s="78">
        <v>18188</v>
      </c>
      <c r="I9" s="83"/>
    </row>
    <row r="10" spans="1:9">
      <c r="B10" t="s">
        <v>9</v>
      </c>
      <c r="H10" s="78">
        <v>56204</v>
      </c>
      <c r="I10" s="83"/>
    </row>
    <row r="11" spans="1:9">
      <c r="B11" t="s">
        <v>10</v>
      </c>
      <c r="H11" s="90">
        <v>6041763</v>
      </c>
      <c r="I11" s="83">
        <v>33659</v>
      </c>
    </row>
    <row r="12" spans="1:9">
      <c r="B12" t="s">
        <v>11</v>
      </c>
      <c r="H12" s="90">
        <v>20249</v>
      </c>
      <c r="I12" s="83"/>
    </row>
    <row r="13" spans="1:9">
      <c r="B13" t="s">
        <v>12</v>
      </c>
      <c r="H13" s="83"/>
      <c r="I13" s="83"/>
    </row>
    <row r="14" spans="1:9">
      <c r="C14" t="s">
        <v>13</v>
      </c>
      <c r="H14" s="80">
        <v>1945511</v>
      </c>
      <c r="I14" s="83"/>
    </row>
    <row r="15" spans="1:9">
      <c r="C15" t="s">
        <v>14</v>
      </c>
      <c r="H15" s="80">
        <v>51047200</v>
      </c>
      <c r="I15" s="83"/>
    </row>
    <row r="16" spans="1:9">
      <c r="H16" s="81"/>
      <c r="I16" s="81"/>
    </row>
    <row r="17" spans="1:16">
      <c r="A17" s="5"/>
      <c r="B17" s="5"/>
      <c r="C17" s="6" t="s">
        <v>15</v>
      </c>
      <c r="D17" s="6"/>
      <c r="E17" s="6"/>
      <c r="F17" s="6"/>
      <c r="G17" s="6"/>
      <c r="H17" s="82">
        <f>SUM(H6:H15)</f>
        <v>76494859</v>
      </c>
      <c r="I17" s="82">
        <f t="shared" ref="I17" si="0">SUM(I6:I15)</f>
        <v>70725</v>
      </c>
    </row>
    <row r="18" spans="1:16">
      <c r="H18" s="83"/>
      <c r="I18" s="83"/>
    </row>
    <row r="19" spans="1:16">
      <c r="A19" s="5" t="s">
        <v>16</v>
      </c>
      <c r="I19" s="83"/>
      <c r="J19" s="83"/>
      <c r="K19" s="83"/>
      <c r="L19" s="83"/>
      <c r="M19" s="83"/>
      <c r="N19" s="83"/>
    </row>
    <row r="20" spans="1:16">
      <c r="B20" t="s">
        <v>17</v>
      </c>
      <c r="H20" s="59">
        <v>24822</v>
      </c>
      <c r="I20" s="122"/>
      <c r="J20" s="83"/>
      <c r="K20" s="83"/>
      <c r="L20" s="83"/>
      <c r="M20" s="83"/>
      <c r="N20" s="83"/>
    </row>
    <row r="21" spans="1:16">
      <c r="H21" s="125"/>
      <c r="I21" s="83"/>
      <c r="J21" s="83"/>
      <c r="K21" s="83"/>
      <c r="L21" s="83"/>
      <c r="M21" s="83"/>
      <c r="N21" s="83"/>
    </row>
    <row r="22" spans="1:16" s="5" customFormat="1">
      <c r="C22" s="126" t="s">
        <v>18</v>
      </c>
      <c r="D22" s="126"/>
      <c r="E22" s="126"/>
      <c r="F22" s="126"/>
      <c r="G22" s="126"/>
      <c r="H22" s="127">
        <f>H17+H20</f>
        <v>76519681</v>
      </c>
      <c r="I22" s="127">
        <f>I17+I20</f>
        <v>70725</v>
      </c>
      <c r="J22" s="100"/>
      <c r="K22" s="100"/>
      <c r="L22" s="100"/>
      <c r="M22" s="100"/>
      <c r="N22" s="100"/>
    </row>
    <row r="23" spans="1:16">
      <c r="I23" s="83"/>
      <c r="J23" s="83"/>
      <c r="K23" s="83"/>
      <c r="L23" s="83"/>
      <c r="M23" s="83"/>
      <c r="N23" s="83"/>
    </row>
    <row r="24" spans="1:16">
      <c r="A24" s="5" t="s">
        <v>19</v>
      </c>
      <c r="I24" s="83"/>
      <c r="J24" s="83"/>
      <c r="K24" s="83"/>
      <c r="L24" s="83"/>
      <c r="M24" s="83"/>
      <c r="N24" s="83"/>
    </row>
    <row r="25" spans="1:16">
      <c r="A25" s="5"/>
      <c r="B25" t="s">
        <v>20</v>
      </c>
      <c r="H25" s="84">
        <v>871484</v>
      </c>
      <c r="I25" s="83">
        <v>10260</v>
      </c>
      <c r="J25" s="83"/>
      <c r="K25" s="83"/>
      <c r="L25" s="83"/>
      <c r="M25" s="83"/>
      <c r="N25" s="83"/>
      <c r="P25" s="83"/>
    </row>
    <row r="26" spans="1:16">
      <c r="A26" s="5"/>
      <c r="B26" t="s">
        <v>21</v>
      </c>
      <c r="H26" s="84">
        <v>7879</v>
      </c>
      <c r="I26" s="83"/>
      <c r="J26" s="83"/>
      <c r="K26" s="83"/>
      <c r="L26" s="83"/>
      <c r="M26" s="83"/>
      <c r="N26" s="83"/>
    </row>
    <row r="27" spans="1:16">
      <c r="A27" s="5"/>
      <c r="B27" t="s">
        <v>22</v>
      </c>
      <c r="H27" s="84">
        <v>606926</v>
      </c>
      <c r="I27" s="83"/>
      <c r="J27" s="83"/>
      <c r="K27" s="83"/>
      <c r="L27" s="83"/>
      <c r="M27" s="83"/>
      <c r="N27" s="83"/>
    </row>
    <row r="28" spans="1:16">
      <c r="A28" s="5"/>
      <c r="B28" t="s">
        <v>23</v>
      </c>
      <c r="H28" s="79">
        <v>45000</v>
      </c>
      <c r="I28" s="83"/>
      <c r="J28" s="83"/>
      <c r="K28" s="83"/>
      <c r="L28" s="83"/>
      <c r="M28" s="83"/>
      <c r="N28" s="83"/>
    </row>
    <row r="29" spans="1:16">
      <c r="A29" s="5"/>
      <c r="B29" t="s">
        <v>24</v>
      </c>
      <c r="H29" s="84">
        <v>69355</v>
      </c>
      <c r="I29" s="83"/>
      <c r="J29" s="83"/>
      <c r="K29" s="83"/>
      <c r="L29" s="83"/>
      <c r="M29" s="83"/>
      <c r="N29" s="83"/>
    </row>
    <row r="30" spans="1:16">
      <c r="A30" s="5"/>
      <c r="B30" t="s">
        <v>25</v>
      </c>
      <c r="I30" s="83">
        <v>20249</v>
      </c>
      <c r="J30" s="83"/>
      <c r="K30" s="83"/>
      <c r="L30" s="83"/>
      <c r="M30" s="83"/>
      <c r="N30" s="83"/>
    </row>
    <row r="31" spans="1:16">
      <c r="A31" s="5"/>
      <c r="B31" t="s">
        <v>26</v>
      </c>
      <c r="I31" s="83"/>
      <c r="J31" s="83"/>
      <c r="K31" s="83"/>
      <c r="L31" s="83"/>
      <c r="M31" s="83"/>
      <c r="N31" s="83"/>
    </row>
    <row r="32" spans="1:16">
      <c r="C32" t="s">
        <v>27</v>
      </c>
      <c r="I32" s="83"/>
      <c r="J32" s="83"/>
      <c r="K32" s="83"/>
      <c r="L32" s="83"/>
      <c r="M32" s="83"/>
      <c r="N32" s="83"/>
    </row>
    <row r="33" spans="1:14">
      <c r="D33" t="s">
        <v>28</v>
      </c>
      <c r="H33" s="85">
        <v>1542435</v>
      </c>
      <c r="I33" s="83"/>
    </row>
    <row r="34" spans="1:14">
      <c r="D34" t="s">
        <v>29</v>
      </c>
      <c r="H34" s="123">
        <v>187122</v>
      </c>
      <c r="I34" s="83"/>
    </row>
    <row r="35" spans="1:14" ht="17.25" customHeight="1">
      <c r="C35" t="s">
        <v>30</v>
      </c>
      <c r="H35" s="128"/>
      <c r="I35" s="83"/>
    </row>
    <row r="36" spans="1:14" ht="15" customHeight="1">
      <c r="D36" t="s">
        <v>28</v>
      </c>
      <c r="H36" s="78">
        <v>11233348</v>
      </c>
      <c r="I36" s="83"/>
    </row>
    <row r="37" spans="1:14">
      <c r="D37" t="s">
        <v>29</v>
      </c>
      <c r="H37" s="123">
        <v>187122</v>
      </c>
      <c r="I37" s="83"/>
    </row>
    <row r="38" spans="1:14">
      <c r="D38" t="s">
        <v>31</v>
      </c>
      <c r="H38" s="128"/>
      <c r="I38" s="83"/>
    </row>
    <row r="39" spans="1:14">
      <c r="E39" t="s">
        <v>32</v>
      </c>
      <c r="H39" s="107">
        <v>7158993</v>
      </c>
      <c r="I39" s="83"/>
    </row>
    <row r="40" spans="1:14">
      <c r="H40" s="81"/>
      <c r="I40" s="81"/>
    </row>
    <row r="41" spans="1:14">
      <c r="H41" s="83"/>
      <c r="I41" s="83"/>
    </row>
    <row r="42" spans="1:14">
      <c r="D42" s="7" t="s">
        <v>33</v>
      </c>
      <c r="E42" s="8"/>
      <c r="F42" s="8"/>
      <c r="G42" s="8"/>
      <c r="H42" s="87">
        <f>SUM(H25:H39)</f>
        <v>21909664</v>
      </c>
      <c r="I42" s="87">
        <f>SUM(I25:I39)</f>
        <v>30509</v>
      </c>
    </row>
    <row r="43" spans="1:14">
      <c r="H43" s="83"/>
      <c r="I43" s="83"/>
    </row>
    <row r="44" spans="1:14">
      <c r="A44" s="5" t="s">
        <v>16</v>
      </c>
      <c r="I44" s="83"/>
      <c r="J44" s="83"/>
      <c r="K44" s="83"/>
      <c r="L44" s="83"/>
      <c r="M44" s="83"/>
      <c r="N44" s="83"/>
    </row>
    <row r="45" spans="1:14">
      <c r="B45" t="s">
        <v>34</v>
      </c>
      <c r="H45" s="59">
        <v>18188</v>
      </c>
      <c r="I45" s="122"/>
      <c r="J45" s="83"/>
      <c r="K45" s="83"/>
      <c r="L45" s="83"/>
      <c r="M45" s="83"/>
      <c r="N45" s="83"/>
    </row>
    <row r="46" spans="1:14">
      <c r="H46" s="125"/>
      <c r="I46" s="83"/>
      <c r="J46" s="83"/>
      <c r="K46" s="83"/>
      <c r="L46" s="83"/>
      <c r="M46" s="83"/>
      <c r="N46" s="83"/>
    </row>
    <row r="47" spans="1:14">
      <c r="H47" s="83"/>
      <c r="I47" s="83"/>
    </row>
    <row r="48" spans="1:14">
      <c r="A48" s="3" t="s">
        <v>35</v>
      </c>
      <c r="H48" s="83"/>
      <c r="I48" s="83"/>
    </row>
    <row r="49" spans="1:9">
      <c r="B49" t="s">
        <v>36</v>
      </c>
      <c r="H49" s="88">
        <v>40241750</v>
      </c>
      <c r="I49" s="83"/>
    </row>
    <row r="50" spans="1:9">
      <c r="B50" t="s">
        <v>37</v>
      </c>
      <c r="H50" s="83"/>
      <c r="I50" s="83"/>
    </row>
    <row r="51" spans="1:9">
      <c r="C51" t="s">
        <v>38</v>
      </c>
      <c r="H51" s="89">
        <v>1588110</v>
      </c>
      <c r="I51" s="83"/>
    </row>
    <row r="52" spans="1:9">
      <c r="C52" t="s">
        <v>39</v>
      </c>
      <c r="H52" s="89">
        <v>1246437</v>
      </c>
      <c r="I52" s="83"/>
    </row>
    <row r="53" spans="1:9">
      <c r="C53" t="s">
        <v>40</v>
      </c>
      <c r="H53" s="89">
        <v>6809787</v>
      </c>
      <c r="I53" s="83"/>
    </row>
    <row r="54" spans="1:9">
      <c r="B54" t="s">
        <v>41</v>
      </c>
      <c r="H54" s="93">
        <v>4705745</v>
      </c>
      <c r="I54" s="83">
        <v>40216</v>
      </c>
    </row>
    <row r="55" spans="1:9">
      <c r="H55" s="81"/>
      <c r="I55" s="81"/>
    </row>
    <row r="56" spans="1:9">
      <c r="A56" s="3"/>
      <c r="B56" s="3"/>
      <c r="C56" s="9" t="s">
        <v>42</v>
      </c>
      <c r="D56" s="9"/>
      <c r="E56" s="9"/>
      <c r="F56" s="9"/>
      <c r="G56" s="9"/>
      <c r="H56" s="94">
        <f>SUM(H49:H54)</f>
        <v>54591829</v>
      </c>
      <c r="I56" s="94">
        <f>SUM(I49:I54)</f>
        <v>40216</v>
      </c>
    </row>
    <row r="57" spans="1:9">
      <c r="H57" s="83"/>
      <c r="I57" s="83"/>
    </row>
    <row r="58" spans="1:9">
      <c r="A58" s="3"/>
      <c r="B58" s="3"/>
      <c r="C58" s="10" t="s">
        <v>43</v>
      </c>
      <c r="D58" s="10"/>
      <c r="E58" s="10"/>
      <c r="F58" s="10"/>
      <c r="G58" s="10"/>
      <c r="H58" s="95">
        <f>H56+H42</f>
        <v>76501493</v>
      </c>
      <c r="I58" s="95">
        <f>SUM(I56+I42)</f>
        <v>70725</v>
      </c>
    </row>
  </sheetData>
  <mergeCells count="2">
    <mergeCell ref="D2:H2"/>
    <mergeCell ref="C1:H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H47"/>
  <sheetViews>
    <sheetView workbookViewId="0">
      <selection activeCell="I22" sqref="I22"/>
    </sheetView>
  </sheetViews>
  <sheetFormatPr defaultColWidth="8.85546875" defaultRowHeight="14.45"/>
  <cols>
    <col min="7" max="7" width="15.85546875" customWidth="1"/>
  </cols>
  <sheetData>
    <row r="1" spans="1:7" ht="18.600000000000001">
      <c r="A1" s="1"/>
      <c r="B1" s="1"/>
      <c r="C1" s="268" t="s">
        <v>44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129">
        <v>14858366</v>
      </c>
    </row>
    <row r="7" spans="1:7">
      <c r="B7" t="s">
        <v>47</v>
      </c>
      <c r="G7" s="130">
        <v>6484761</v>
      </c>
    </row>
    <row r="8" spans="1:7">
      <c r="B8" t="s">
        <v>48</v>
      </c>
      <c r="G8" s="131">
        <v>313803</v>
      </c>
    </row>
    <row r="9" spans="1:7">
      <c r="B9" t="s">
        <v>49</v>
      </c>
      <c r="G9" s="132"/>
    </row>
    <row r="10" spans="1:7">
      <c r="B10" t="s">
        <v>50</v>
      </c>
      <c r="G10" s="133">
        <v>806735</v>
      </c>
    </row>
    <row r="11" spans="1:7">
      <c r="B11" t="s">
        <v>51</v>
      </c>
      <c r="G11" s="133">
        <v>9930994</v>
      </c>
    </row>
    <row r="12" spans="1:7">
      <c r="G12" s="134"/>
    </row>
    <row r="13" spans="1:7">
      <c r="A13" s="5"/>
      <c r="B13" s="6" t="s">
        <v>15</v>
      </c>
      <c r="C13" s="6"/>
      <c r="D13" s="6"/>
      <c r="E13" s="6"/>
      <c r="F13" s="6"/>
      <c r="G13" s="135">
        <f>SUM(G6:G11)</f>
        <v>32394659</v>
      </c>
    </row>
    <row r="14" spans="1:7">
      <c r="G14" s="134"/>
    </row>
    <row r="15" spans="1:7">
      <c r="A15" s="5" t="s">
        <v>52</v>
      </c>
      <c r="G15" s="134"/>
    </row>
    <row r="16" spans="1:7">
      <c r="A16" s="5"/>
      <c r="B16" t="s">
        <v>53</v>
      </c>
      <c r="G16" s="136">
        <v>626637</v>
      </c>
    </row>
    <row r="17" spans="1:8">
      <c r="B17" t="s">
        <v>24</v>
      </c>
      <c r="G17" s="136">
        <v>1476</v>
      </c>
    </row>
    <row r="18" spans="1:8">
      <c r="B18" t="s">
        <v>54</v>
      </c>
      <c r="G18" s="131">
        <v>48703</v>
      </c>
    </row>
    <row r="19" spans="1:8">
      <c r="B19" t="s">
        <v>55</v>
      </c>
      <c r="G19" s="137">
        <v>62000</v>
      </c>
    </row>
    <row r="20" spans="1:8">
      <c r="B20" t="s">
        <v>56</v>
      </c>
      <c r="G20" s="138"/>
    </row>
    <row r="21" spans="1:8">
      <c r="C21" t="s">
        <v>57</v>
      </c>
      <c r="G21" s="148">
        <v>26940</v>
      </c>
      <c r="H21" s="147"/>
    </row>
    <row r="22" spans="1:8">
      <c r="B22" t="s">
        <v>58</v>
      </c>
      <c r="G22" s="139"/>
    </row>
    <row r="23" spans="1:8">
      <c r="C23" t="s">
        <v>59</v>
      </c>
      <c r="G23" s="131">
        <v>1149691</v>
      </c>
      <c r="H23" s="147"/>
    </row>
    <row r="24" spans="1:8">
      <c r="B24" t="s">
        <v>60</v>
      </c>
      <c r="G24" s="130">
        <v>148000</v>
      </c>
    </row>
    <row r="25" spans="1:8">
      <c r="G25" s="139"/>
    </row>
    <row r="26" spans="1:8">
      <c r="C26" s="7" t="s">
        <v>33</v>
      </c>
      <c r="D26" s="8"/>
      <c r="E26" s="8"/>
      <c r="F26" s="8"/>
      <c r="G26" s="140">
        <f>SUM(G16:G24)</f>
        <v>2063447</v>
      </c>
    </row>
    <row r="27" spans="1:8">
      <c r="G27" s="134"/>
    </row>
    <row r="28" spans="1:8">
      <c r="A28" s="3" t="s">
        <v>35</v>
      </c>
      <c r="G28" s="134"/>
    </row>
    <row r="29" spans="1:8">
      <c r="B29" t="s">
        <v>61</v>
      </c>
      <c r="G29" s="141">
        <v>27191700</v>
      </c>
    </row>
    <row r="30" spans="1:8">
      <c r="B30" t="s">
        <v>37</v>
      </c>
      <c r="G30" s="132"/>
    </row>
    <row r="31" spans="1:8">
      <c r="C31" t="s">
        <v>49</v>
      </c>
      <c r="G31" s="142">
        <v>313803</v>
      </c>
    </row>
    <row r="32" spans="1:8">
      <c r="C32" t="s">
        <v>62</v>
      </c>
      <c r="G32" s="142">
        <v>324072</v>
      </c>
    </row>
    <row r="33" spans="1:7">
      <c r="C33" t="s">
        <v>63</v>
      </c>
      <c r="G33" s="142">
        <v>1810976</v>
      </c>
    </row>
    <row r="34" spans="1:7">
      <c r="C34" t="s">
        <v>64</v>
      </c>
      <c r="G34" s="142">
        <v>6392675</v>
      </c>
    </row>
    <row r="35" spans="1:7">
      <c r="C35" t="s">
        <v>65</v>
      </c>
      <c r="G35" s="142">
        <v>2463098</v>
      </c>
    </row>
    <row r="36" spans="1:7">
      <c r="C36" t="s">
        <v>66</v>
      </c>
      <c r="G36" s="142">
        <v>607692</v>
      </c>
    </row>
    <row r="37" spans="1:7">
      <c r="C37" t="s">
        <v>67</v>
      </c>
      <c r="G37" s="142">
        <v>3275003</v>
      </c>
    </row>
    <row r="38" spans="1:7">
      <c r="C38" t="s">
        <v>68</v>
      </c>
      <c r="G38" s="142">
        <v>136917</v>
      </c>
    </row>
    <row r="39" spans="1:7">
      <c r="C39" t="s">
        <v>39</v>
      </c>
      <c r="G39" s="142">
        <v>1275201</v>
      </c>
    </row>
    <row r="40" spans="1:7">
      <c r="C40" t="s">
        <v>38</v>
      </c>
      <c r="G40" s="142">
        <v>166216</v>
      </c>
    </row>
    <row r="41" spans="1:7">
      <c r="B41" t="s">
        <v>69</v>
      </c>
      <c r="G41" s="143">
        <v>3848367</v>
      </c>
    </row>
    <row r="42" spans="1:7">
      <c r="G42" s="144"/>
    </row>
    <row r="43" spans="1:7">
      <c r="A43" s="3"/>
      <c r="B43" s="9" t="s">
        <v>42</v>
      </c>
      <c r="C43" s="9"/>
      <c r="D43" s="9"/>
      <c r="E43" s="9"/>
      <c r="F43" s="9"/>
      <c r="G43" s="145">
        <f>SUM(G29:G41)</f>
        <v>47805720</v>
      </c>
    </row>
    <row r="44" spans="1:7">
      <c r="G44" s="134"/>
    </row>
    <row r="45" spans="1:7">
      <c r="A45" s="3"/>
      <c r="B45" s="10" t="s">
        <v>43</v>
      </c>
      <c r="C45" s="10"/>
      <c r="D45" s="10"/>
      <c r="E45" s="10"/>
      <c r="F45" s="10"/>
      <c r="G45" s="146">
        <f>SUM(G26+G43)</f>
        <v>49869167</v>
      </c>
    </row>
    <row r="46" spans="1:7">
      <c r="G46" s="134"/>
    </row>
    <row r="47" spans="1:7">
      <c r="G47" s="134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2"/>
  <sheetViews>
    <sheetView zoomScale="80" zoomScaleNormal="80" zoomScalePageLayoutView="80" workbookViewId="0">
      <selection activeCell="L4" sqref="L4:M4"/>
    </sheetView>
  </sheetViews>
  <sheetFormatPr defaultColWidth="8.85546875" defaultRowHeight="14.45"/>
  <cols>
    <col min="3" max="3" width="26.140625" customWidth="1"/>
    <col min="9" max="9" width="17" customWidth="1"/>
    <col min="10" max="11" width="16.42578125" customWidth="1"/>
    <col min="12" max="12" width="13.7109375" customWidth="1"/>
    <col min="13" max="13" width="14.140625" customWidth="1"/>
  </cols>
  <sheetData>
    <row r="1" spans="1:13" ht="18.600000000000001">
      <c r="A1" s="1"/>
      <c r="B1" s="1"/>
      <c r="C1" s="1"/>
      <c r="D1" s="268" t="s">
        <v>70</v>
      </c>
      <c r="E1" s="268"/>
      <c r="F1" s="268"/>
      <c r="G1" s="268"/>
      <c r="H1" s="268"/>
      <c r="I1" s="268"/>
      <c r="J1" s="97"/>
      <c r="K1" s="97"/>
    </row>
    <row r="2" spans="1:13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266"/>
      <c r="J2" s="98"/>
      <c r="K2" s="98"/>
    </row>
    <row r="4" spans="1:13">
      <c r="I4" s="269" t="s">
        <v>2</v>
      </c>
      <c r="J4" s="269"/>
      <c r="K4" s="207"/>
      <c r="L4" s="270" t="s">
        <v>71</v>
      </c>
      <c r="M4" s="270"/>
    </row>
    <row r="5" spans="1:13" ht="29.1">
      <c r="I5" s="99" t="s">
        <v>45</v>
      </c>
      <c r="J5" s="99" t="s">
        <v>72</v>
      </c>
      <c r="K5" s="99" t="s">
        <v>73</v>
      </c>
      <c r="L5" s="99" t="s">
        <v>45</v>
      </c>
      <c r="M5" s="99" t="s">
        <v>72</v>
      </c>
    </row>
    <row r="6" spans="1:13">
      <c r="A6" s="3" t="s">
        <v>4</v>
      </c>
      <c r="D6" s="3"/>
      <c r="H6" s="4"/>
      <c r="I6" s="76"/>
      <c r="J6" s="76"/>
      <c r="K6" s="76"/>
      <c r="L6" s="83"/>
      <c r="M6" s="83"/>
    </row>
    <row r="7" spans="1:13">
      <c r="A7" s="3"/>
      <c r="B7" s="5" t="s">
        <v>74</v>
      </c>
      <c r="D7" s="3"/>
      <c r="H7" s="4"/>
      <c r="I7" s="76"/>
      <c r="J7" s="76"/>
      <c r="K7" s="76"/>
      <c r="L7" s="83"/>
      <c r="M7" s="83"/>
    </row>
    <row r="8" spans="1:13">
      <c r="C8" t="s">
        <v>46</v>
      </c>
      <c r="I8" s="77">
        <v>42404828</v>
      </c>
      <c r="J8" s="83">
        <v>3686409</v>
      </c>
      <c r="K8" s="83">
        <f t="shared" ref="K8:K16" si="0">SUM(I8:J8)</f>
        <v>46091237</v>
      </c>
      <c r="L8" s="83">
        <v>30169983</v>
      </c>
      <c r="M8" s="83">
        <v>457571</v>
      </c>
    </row>
    <row r="9" spans="1:13">
      <c r="C9" t="s">
        <v>6</v>
      </c>
      <c r="I9" s="84">
        <v>93691087</v>
      </c>
      <c r="J9" s="83">
        <v>4127466</v>
      </c>
      <c r="K9" s="83">
        <f t="shared" si="0"/>
        <v>97818553</v>
      </c>
      <c r="L9" s="83">
        <v>4943491</v>
      </c>
      <c r="M9" s="83">
        <v>9681370</v>
      </c>
    </row>
    <row r="10" spans="1:13">
      <c r="C10" t="s">
        <v>75</v>
      </c>
      <c r="I10" s="78">
        <v>31751994</v>
      </c>
      <c r="J10" s="83">
        <v>211156</v>
      </c>
      <c r="K10" s="83">
        <f t="shared" si="0"/>
        <v>31963150</v>
      </c>
      <c r="L10" s="83">
        <v>3767692</v>
      </c>
      <c r="M10" s="83">
        <v>1153256</v>
      </c>
    </row>
    <row r="11" spans="1:13">
      <c r="C11" t="s">
        <v>48</v>
      </c>
      <c r="I11" s="90">
        <v>5021470</v>
      </c>
      <c r="J11" s="83">
        <v>104475</v>
      </c>
      <c r="K11" s="83">
        <f t="shared" si="0"/>
        <v>5125945</v>
      </c>
      <c r="L11" s="83">
        <v>1125619</v>
      </c>
      <c r="M11" s="83"/>
    </row>
    <row r="12" spans="1:13">
      <c r="C12" t="s">
        <v>76</v>
      </c>
      <c r="I12" s="79">
        <v>5</v>
      </c>
      <c r="J12" s="83">
        <v>-5</v>
      </c>
      <c r="K12" s="83">
        <f t="shared" si="0"/>
        <v>0</v>
      </c>
      <c r="L12" s="83"/>
      <c r="M12" s="83"/>
    </row>
    <row r="13" spans="1:13">
      <c r="C13" t="s">
        <v>50</v>
      </c>
      <c r="I13" s="79">
        <v>1008407</v>
      </c>
      <c r="J13" s="83">
        <v>281</v>
      </c>
      <c r="K13" s="83">
        <f t="shared" si="0"/>
        <v>1008688</v>
      </c>
      <c r="L13" s="83">
        <v>173484</v>
      </c>
      <c r="M13" s="83"/>
    </row>
    <row r="14" spans="1:13">
      <c r="C14" t="s">
        <v>49</v>
      </c>
      <c r="I14" s="83"/>
      <c r="J14" s="83">
        <v>22147</v>
      </c>
      <c r="K14" s="83">
        <f t="shared" si="0"/>
        <v>22147</v>
      </c>
      <c r="L14" s="83"/>
      <c r="M14" s="83">
        <v>240233</v>
      </c>
    </row>
    <row r="15" spans="1:13">
      <c r="C15" t="s">
        <v>77</v>
      </c>
      <c r="I15" s="83"/>
      <c r="J15" s="83">
        <v>36464</v>
      </c>
      <c r="K15" s="83">
        <f t="shared" si="0"/>
        <v>36464</v>
      </c>
      <c r="L15" s="83">
        <v>709316</v>
      </c>
      <c r="M15" s="83">
        <v>548502</v>
      </c>
    </row>
    <row r="16" spans="1:13">
      <c r="C16" t="s">
        <v>78</v>
      </c>
      <c r="I16" s="79">
        <v>97173</v>
      </c>
      <c r="J16" s="83"/>
      <c r="K16" s="83">
        <f t="shared" si="0"/>
        <v>97173</v>
      </c>
      <c r="L16" s="83">
        <v>6681</v>
      </c>
      <c r="M16" s="83">
        <v>116241</v>
      </c>
    </row>
    <row r="17" spans="1:13">
      <c r="C17" t="s">
        <v>12</v>
      </c>
      <c r="I17" s="83"/>
      <c r="J17" s="83"/>
      <c r="K17" s="83"/>
      <c r="L17" s="83"/>
      <c r="M17" s="83"/>
    </row>
    <row r="18" spans="1:13">
      <c r="E18" t="s">
        <v>79</v>
      </c>
      <c r="I18" s="80">
        <v>73100022</v>
      </c>
      <c r="J18" s="83">
        <v>941205</v>
      </c>
      <c r="K18" s="83">
        <f>SUM(I18:J18)</f>
        <v>74041227</v>
      </c>
      <c r="L18" s="83">
        <v>1945991</v>
      </c>
      <c r="M18" s="83">
        <v>110902</v>
      </c>
    </row>
    <row r="19" spans="1:13">
      <c r="E19" t="s">
        <v>14</v>
      </c>
      <c r="I19" s="91">
        <v>136464488</v>
      </c>
      <c r="J19" s="83">
        <v>9952083</v>
      </c>
      <c r="K19" s="83">
        <f>SUM(I19:J19)</f>
        <v>146416571</v>
      </c>
      <c r="L19" s="83">
        <v>11921812</v>
      </c>
      <c r="M19" s="83">
        <v>11753708</v>
      </c>
    </row>
    <row r="20" spans="1:13">
      <c r="I20" s="81"/>
      <c r="J20" s="81"/>
      <c r="K20" s="81"/>
      <c r="L20" s="81"/>
      <c r="M20" s="81"/>
    </row>
    <row r="21" spans="1:13">
      <c r="A21" s="5"/>
      <c r="B21" s="5"/>
      <c r="C21" s="6" t="s">
        <v>15</v>
      </c>
      <c r="D21" s="6"/>
      <c r="E21" s="6"/>
      <c r="F21" s="6"/>
      <c r="G21" s="6"/>
      <c r="H21" s="6"/>
      <c r="I21" s="82">
        <f>SUM(I8:I19)</f>
        <v>383539474</v>
      </c>
      <c r="J21" s="82">
        <f>SUM(J8:J19)</f>
        <v>19081681</v>
      </c>
      <c r="K21" s="82">
        <f>SUM(K8:K19)</f>
        <v>402621155</v>
      </c>
      <c r="L21" s="82">
        <f>SUM(L8:L19)</f>
        <v>54764069</v>
      </c>
      <c r="M21" s="82">
        <f>SUM(M7:M19)</f>
        <v>24061783</v>
      </c>
    </row>
    <row r="22" spans="1:13">
      <c r="I22" s="83"/>
      <c r="J22" s="83"/>
      <c r="K22" s="83"/>
      <c r="L22" s="83"/>
      <c r="M22" s="83"/>
    </row>
    <row r="23" spans="1:13">
      <c r="A23" s="5" t="s">
        <v>16</v>
      </c>
      <c r="I23" s="83"/>
      <c r="J23" s="83"/>
      <c r="K23" s="83"/>
      <c r="L23" s="83"/>
      <c r="M23" s="83"/>
    </row>
    <row r="24" spans="1:13">
      <c r="B24" t="s">
        <v>80</v>
      </c>
      <c r="I24" s="122">
        <v>294404</v>
      </c>
      <c r="J24" s="122">
        <v>0</v>
      </c>
      <c r="K24" s="122">
        <f>SUM(I24:J24)</f>
        <v>294404</v>
      </c>
      <c r="L24" s="122">
        <v>0</v>
      </c>
      <c r="M24" s="122">
        <v>0</v>
      </c>
    </row>
    <row r="25" spans="1:13">
      <c r="I25" s="83"/>
      <c r="J25" s="83"/>
      <c r="K25" s="83"/>
      <c r="L25" s="83"/>
      <c r="M25" s="83"/>
    </row>
    <row r="26" spans="1:13">
      <c r="C26" s="102" t="s">
        <v>18</v>
      </c>
      <c r="D26" s="102"/>
      <c r="E26" s="102"/>
      <c r="F26" s="102"/>
      <c r="G26" s="102"/>
      <c r="H26" s="102"/>
      <c r="I26" s="103">
        <f>SUM(I24+I21)</f>
        <v>383833878</v>
      </c>
      <c r="J26" s="103">
        <f>J21</f>
        <v>19081681</v>
      </c>
      <c r="K26" s="103">
        <f>K24+K21</f>
        <v>402915559</v>
      </c>
      <c r="L26" s="103">
        <f>L21</f>
        <v>54764069</v>
      </c>
      <c r="M26" s="103">
        <f>M21</f>
        <v>24061783</v>
      </c>
    </row>
    <row r="27" spans="1:13">
      <c r="I27" s="83"/>
      <c r="J27" s="83"/>
      <c r="K27" s="83"/>
      <c r="L27" s="83"/>
      <c r="M27" s="83"/>
    </row>
    <row r="28" spans="1:13">
      <c r="A28" s="5" t="s">
        <v>52</v>
      </c>
      <c r="I28" s="83"/>
      <c r="J28" s="83"/>
      <c r="K28" s="83"/>
      <c r="L28" s="83"/>
      <c r="M28" s="83"/>
    </row>
    <row r="29" spans="1:13">
      <c r="C29" t="s">
        <v>81</v>
      </c>
      <c r="I29" s="84">
        <v>3198900</v>
      </c>
      <c r="J29" s="83">
        <v>565558</v>
      </c>
      <c r="K29" s="83">
        <f>SUM(I29:J29)</f>
        <v>3764458</v>
      </c>
      <c r="L29" s="83">
        <v>3210186</v>
      </c>
      <c r="M29" s="83">
        <v>352605</v>
      </c>
    </row>
    <row r="30" spans="1:13">
      <c r="C30" t="s">
        <v>82</v>
      </c>
      <c r="I30" s="84">
        <v>3980044</v>
      </c>
      <c r="J30" s="83"/>
      <c r="K30" s="83">
        <f t="shared" ref="K30:K39" si="1">SUM(I30:J30)</f>
        <v>3980044</v>
      </c>
      <c r="L30" s="83"/>
      <c r="M30" s="83"/>
    </row>
    <row r="31" spans="1:13">
      <c r="C31" t="s">
        <v>83</v>
      </c>
      <c r="I31" s="96">
        <v>269707</v>
      </c>
      <c r="J31" s="83"/>
      <c r="K31" s="83">
        <f t="shared" si="1"/>
        <v>269707</v>
      </c>
      <c r="L31" s="83">
        <v>1136146</v>
      </c>
      <c r="M31" s="83"/>
    </row>
    <row r="32" spans="1:13">
      <c r="C32" t="s">
        <v>84</v>
      </c>
      <c r="H32" s="147"/>
      <c r="I32" s="131">
        <v>540668</v>
      </c>
      <c r="J32" s="83">
        <v>28220</v>
      </c>
      <c r="K32" s="83">
        <f t="shared" si="1"/>
        <v>568888</v>
      </c>
      <c r="L32" s="83"/>
      <c r="M32" s="83"/>
    </row>
    <row r="33" spans="1:13">
      <c r="C33" t="s">
        <v>85</v>
      </c>
      <c r="I33" s="83"/>
      <c r="J33" s="83">
        <v>36464</v>
      </c>
      <c r="K33" s="83">
        <f t="shared" si="1"/>
        <v>36464</v>
      </c>
      <c r="L33" s="83"/>
      <c r="M33" s="83">
        <v>43501</v>
      </c>
    </row>
    <row r="34" spans="1:13">
      <c r="C34" t="s">
        <v>86</v>
      </c>
      <c r="I34" s="79">
        <v>4524981</v>
      </c>
      <c r="J34" s="83"/>
      <c r="K34" s="83">
        <f t="shared" si="1"/>
        <v>4524981</v>
      </c>
      <c r="L34" s="83"/>
      <c r="M34" s="83"/>
    </row>
    <row r="35" spans="1:13">
      <c r="C35" t="s">
        <v>87</v>
      </c>
      <c r="I35" s="83"/>
      <c r="J35" s="83"/>
      <c r="K35" s="83">
        <f t="shared" si="1"/>
        <v>0</v>
      </c>
      <c r="L35" s="83"/>
      <c r="M35" s="83"/>
    </row>
    <row r="36" spans="1:13">
      <c r="D36" t="s">
        <v>88</v>
      </c>
      <c r="I36" s="85">
        <v>235409</v>
      </c>
      <c r="J36" s="83"/>
      <c r="K36" s="83">
        <f t="shared" si="1"/>
        <v>235409</v>
      </c>
      <c r="L36" s="83"/>
      <c r="M36" s="83"/>
    </row>
    <row r="37" spans="1:13">
      <c r="D37" t="s">
        <v>89</v>
      </c>
      <c r="I37" s="78">
        <v>667416</v>
      </c>
      <c r="J37" s="83"/>
      <c r="K37" s="83">
        <f t="shared" si="1"/>
        <v>667416</v>
      </c>
      <c r="L37" s="83"/>
      <c r="M37" s="83"/>
    </row>
    <row r="38" spans="1:13">
      <c r="C38" t="s">
        <v>90</v>
      </c>
      <c r="I38" s="83"/>
      <c r="J38" s="83"/>
      <c r="K38" s="83">
        <f t="shared" si="1"/>
        <v>0</v>
      </c>
      <c r="L38" s="83"/>
      <c r="M38" s="83"/>
    </row>
    <row r="39" spans="1:13">
      <c r="D39" t="s">
        <v>88</v>
      </c>
      <c r="I39" s="92">
        <v>4335000</v>
      </c>
      <c r="J39" s="83"/>
      <c r="K39" s="83">
        <f t="shared" si="1"/>
        <v>4335000</v>
      </c>
      <c r="L39" s="83">
        <v>551031</v>
      </c>
      <c r="M39" s="83">
        <v>176485</v>
      </c>
    </row>
    <row r="40" spans="1:13">
      <c r="D40" t="s">
        <v>89</v>
      </c>
      <c r="I40" s="77">
        <v>80612569</v>
      </c>
      <c r="J40" s="83"/>
      <c r="K40" s="83">
        <f>SUM(I40:J40)</f>
        <v>80612569</v>
      </c>
      <c r="L40" s="83">
        <v>6694058</v>
      </c>
      <c r="M40" s="83">
        <v>4766994</v>
      </c>
    </row>
    <row r="41" spans="1:13">
      <c r="I41" s="81"/>
      <c r="J41" s="81"/>
      <c r="K41" s="81"/>
      <c r="L41" s="81"/>
      <c r="M41" s="81"/>
    </row>
    <row r="42" spans="1:13">
      <c r="A42" s="5"/>
      <c r="B42" s="5"/>
      <c r="C42" s="5"/>
      <c r="D42" s="7" t="s">
        <v>33</v>
      </c>
      <c r="E42" s="7"/>
      <c r="F42" s="7"/>
      <c r="G42" s="7"/>
      <c r="H42" s="7"/>
      <c r="I42" s="87">
        <f>SUM(I29:I40)</f>
        <v>98364694</v>
      </c>
      <c r="J42" s="87">
        <f>SUM(J29:J40)</f>
        <v>630242</v>
      </c>
      <c r="K42" s="87">
        <f>SUM(K29:K40)</f>
        <v>98994936</v>
      </c>
      <c r="L42" s="87">
        <f>SUM(L29:L40)</f>
        <v>11591421</v>
      </c>
      <c r="M42" s="87">
        <f>SUM(M29:M40)</f>
        <v>5339585</v>
      </c>
    </row>
    <row r="43" spans="1:13">
      <c r="A43" s="5"/>
      <c r="B43" s="5"/>
      <c r="C43" s="5"/>
      <c r="D43" s="5"/>
      <c r="E43" s="5"/>
      <c r="F43" s="5"/>
      <c r="G43" s="5"/>
      <c r="H43" s="5"/>
      <c r="I43" s="100"/>
      <c r="J43" s="100"/>
      <c r="K43" s="100"/>
      <c r="L43" s="100"/>
      <c r="M43" s="100"/>
    </row>
    <row r="44" spans="1:13">
      <c r="A44" s="5" t="s">
        <v>91</v>
      </c>
      <c r="B44" s="5"/>
      <c r="C44" s="5"/>
      <c r="D44" s="5"/>
      <c r="E44" s="5"/>
      <c r="F44" s="5"/>
      <c r="G44" s="5"/>
      <c r="H44" s="5"/>
      <c r="I44" s="100"/>
      <c r="J44" s="100"/>
      <c r="K44" s="100"/>
      <c r="L44" s="100"/>
      <c r="M44" s="100"/>
    </row>
    <row r="45" spans="1:13">
      <c r="A45" s="5"/>
      <c r="B45" t="s">
        <v>92</v>
      </c>
      <c r="C45" s="5"/>
      <c r="D45" s="5"/>
      <c r="E45" s="5"/>
      <c r="F45" s="5"/>
      <c r="G45" s="5"/>
      <c r="H45" s="5"/>
      <c r="I45" s="83">
        <v>629856</v>
      </c>
      <c r="J45" s="83">
        <v>0</v>
      </c>
      <c r="K45" s="83">
        <f>SUM(I45:J45)</f>
        <v>629856</v>
      </c>
      <c r="L45" s="83">
        <v>0</v>
      </c>
      <c r="M45" s="83">
        <v>0</v>
      </c>
    </row>
    <row r="46" spans="1:13">
      <c r="A46" s="5"/>
      <c r="B46" t="s">
        <v>93</v>
      </c>
      <c r="C46" s="5"/>
      <c r="D46" s="5"/>
      <c r="E46" s="5"/>
      <c r="F46" s="5"/>
      <c r="G46" s="5"/>
      <c r="H46" s="5"/>
      <c r="I46" s="122">
        <v>0</v>
      </c>
      <c r="J46" s="122">
        <v>18770</v>
      </c>
      <c r="K46" s="122">
        <f>SUM(I46:J46)</f>
        <v>18770</v>
      </c>
      <c r="L46" s="122">
        <v>0</v>
      </c>
      <c r="M46" s="122">
        <v>0</v>
      </c>
    </row>
    <row r="47" spans="1:13">
      <c r="A47" s="5"/>
      <c r="C47" s="5"/>
      <c r="D47" s="5"/>
      <c r="E47" s="5"/>
      <c r="F47" s="5"/>
      <c r="G47" s="5"/>
      <c r="H47" s="5"/>
      <c r="I47" s="83"/>
      <c r="J47" s="83"/>
      <c r="K47" s="83"/>
      <c r="L47" s="83"/>
      <c r="M47" s="83"/>
    </row>
    <row r="48" spans="1:13">
      <c r="A48" s="5"/>
      <c r="B48" s="5"/>
      <c r="C48" s="5"/>
      <c r="D48" s="102" t="s">
        <v>94</v>
      </c>
      <c r="E48" s="102"/>
      <c r="F48" s="102"/>
      <c r="G48" s="102"/>
      <c r="H48" s="104"/>
      <c r="I48" s="103">
        <f>SUM(I45:I46)</f>
        <v>629856</v>
      </c>
      <c r="J48" s="103">
        <f>SUM(J45:J46)</f>
        <v>18770</v>
      </c>
      <c r="K48" s="103">
        <f>SUM(K45:K46)</f>
        <v>648626</v>
      </c>
      <c r="L48" s="103">
        <v>0</v>
      </c>
      <c r="M48" s="103">
        <v>0</v>
      </c>
    </row>
    <row r="49" spans="1:13">
      <c r="I49" s="83"/>
      <c r="J49" s="83"/>
      <c r="K49" s="83"/>
      <c r="L49" s="83"/>
      <c r="M49" s="83"/>
    </row>
    <row r="50" spans="1:13">
      <c r="A50" s="3" t="s">
        <v>95</v>
      </c>
      <c r="I50" s="83"/>
      <c r="J50" s="83"/>
      <c r="K50" s="83"/>
      <c r="L50" s="83"/>
      <c r="M50" s="83"/>
    </row>
    <row r="51" spans="1:13">
      <c r="B51" t="s">
        <v>96</v>
      </c>
      <c r="I51" s="88">
        <v>127427898</v>
      </c>
      <c r="J51" s="83">
        <v>10893288</v>
      </c>
      <c r="K51" s="83">
        <f>SUM(I51:J51)</f>
        <v>138321186</v>
      </c>
      <c r="L51" s="83">
        <v>12884726</v>
      </c>
      <c r="M51" s="83">
        <v>6921131</v>
      </c>
    </row>
    <row r="52" spans="1:13">
      <c r="B52" t="s">
        <v>37</v>
      </c>
      <c r="I52" s="83"/>
      <c r="J52" s="83"/>
      <c r="K52" s="83"/>
      <c r="L52" s="83"/>
      <c r="M52" s="83"/>
    </row>
    <row r="53" spans="1:13">
      <c r="C53" t="s">
        <v>97</v>
      </c>
      <c r="I53" s="89">
        <v>55001484</v>
      </c>
      <c r="J53" s="83"/>
      <c r="K53" s="83">
        <f t="shared" ref="K53:K57" si="2">SUM(I53:J53)</f>
        <v>55001484</v>
      </c>
      <c r="L53" s="83"/>
      <c r="M53" s="83"/>
    </row>
    <row r="54" spans="1:13">
      <c r="C54" t="s">
        <v>98</v>
      </c>
      <c r="I54" s="89">
        <v>77707027</v>
      </c>
      <c r="J54" s="83"/>
      <c r="K54" s="83">
        <f t="shared" si="2"/>
        <v>77707027</v>
      </c>
      <c r="L54" s="83"/>
      <c r="M54" s="83"/>
    </row>
    <row r="55" spans="1:13">
      <c r="C55" t="s">
        <v>38</v>
      </c>
      <c r="I55" s="89">
        <v>2519611</v>
      </c>
      <c r="J55" s="83"/>
      <c r="K55" s="83">
        <f t="shared" si="2"/>
        <v>2519611</v>
      </c>
      <c r="L55" s="83"/>
      <c r="M55" s="83">
        <v>505001</v>
      </c>
    </row>
    <row r="56" spans="1:13">
      <c r="C56" t="s">
        <v>99</v>
      </c>
      <c r="I56" s="83"/>
      <c r="J56" s="83"/>
      <c r="K56" s="83"/>
      <c r="L56" s="83">
        <v>2627035</v>
      </c>
      <c r="M56" s="83"/>
    </row>
    <row r="57" spans="1:13">
      <c r="B57" t="s">
        <v>69</v>
      </c>
      <c r="I57" s="93">
        <v>22183308</v>
      </c>
      <c r="J57" s="83">
        <v>7539381</v>
      </c>
      <c r="K57" s="83">
        <f t="shared" si="2"/>
        <v>29722689</v>
      </c>
      <c r="L57" s="83">
        <v>27660887</v>
      </c>
      <c r="M57" s="83">
        <v>11296066</v>
      </c>
    </row>
    <row r="58" spans="1:13">
      <c r="I58" s="81"/>
      <c r="J58" s="81"/>
      <c r="K58" s="81"/>
      <c r="L58" s="81"/>
      <c r="M58" s="81"/>
    </row>
    <row r="59" spans="1:13">
      <c r="A59" s="3"/>
      <c r="B59" s="3"/>
      <c r="C59" s="9" t="s">
        <v>100</v>
      </c>
      <c r="D59" s="9"/>
      <c r="E59" s="9"/>
      <c r="F59" s="9"/>
      <c r="G59" s="9"/>
      <c r="H59" s="9"/>
      <c r="I59" s="94">
        <f>SUM(I51:I57)</f>
        <v>284839328</v>
      </c>
      <c r="J59" s="94">
        <f>SUM(J51:J57)</f>
        <v>18432669</v>
      </c>
      <c r="K59" s="94">
        <f>SUM(K51:K57)</f>
        <v>303271997</v>
      </c>
      <c r="L59" s="94">
        <f>SUM(L51:L57)</f>
        <v>43172648</v>
      </c>
      <c r="M59" s="94">
        <f>SUM(M51:M57)</f>
        <v>18722198</v>
      </c>
    </row>
    <row r="60" spans="1:13">
      <c r="I60" s="83"/>
      <c r="J60" s="83"/>
      <c r="K60" s="83"/>
      <c r="L60" s="83"/>
      <c r="M60" s="83"/>
    </row>
    <row r="61" spans="1:13">
      <c r="A61" s="3"/>
      <c r="B61" s="3"/>
      <c r="C61" s="10" t="s">
        <v>101</v>
      </c>
      <c r="D61" s="10"/>
      <c r="E61" s="10"/>
      <c r="F61" s="10"/>
      <c r="G61" s="10"/>
      <c r="H61" s="10"/>
      <c r="I61" s="95">
        <f>SUM(I42+I59)</f>
        <v>383204022</v>
      </c>
      <c r="J61" s="95">
        <f>SUM(J59+J42+J48)</f>
        <v>19081681</v>
      </c>
      <c r="K61" s="95">
        <f>SUM(K42+K59+K48)</f>
        <v>402915559</v>
      </c>
      <c r="L61" s="95">
        <f>SUM(L59+L42)</f>
        <v>54764069</v>
      </c>
      <c r="M61" s="95">
        <f>SUM(M59+M42)</f>
        <v>24061783</v>
      </c>
    </row>
    <row r="62" spans="1:13">
      <c r="I62" s="83"/>
      <c r="J62" s="83"/>
      <c r="K62" s="83"/>
      <c r="L62" s="83"/>
      <c r="M62" s="83"/>
    </row>
  </sheetData>
  <mergeCells count="4">
    <mergeCell ref="D1:I1"/>
    <mergeCell ref="D2:I2"/>
    <mergeCell ref="I4:J4"/>
    <mergeCell ref="L4:M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>
      <selection activeCell="H7" sqref="H7"/>
    </sheetView>
  </sheetViews>
  <sheetFormatPr defaultColWidth="8.85546875" defaultRowHeight="14.45"/>
  <cols>
    <col min="1" max="1" width="3.28515625" customWidth="1"/>
    <col min="2" max="2" width="5.28515625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.42578125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68" t="s">
        <v>102</v>
      </c>
      <c r="E1" s="268"/>
      <c r="F1" s="268"/>
      <c r="G1" s="268"/>
      <c r="H1" s="268"/>
    </row>
    <row r="2" spans="1:10" ht="18.600000000000001">
      <c r="A2" s="1"/>
      <c r="B2" s="1"/>
      <c r="C2" s="1"/>
      <c r="D2" s="266" t="s">
        <v>1</v>
      </c>
      <c r="E2" s="266"/>
      <c r="F2" s="266"/>
      <c r="G2" s="266"/>
      <c r="H2" s="266"/>
    </row>
    <row r="4" spans="1:10" ht="29.1">
      <c r="H4" s="2" t="s">
        <v>2</v>
      </c>
      <c r="I4" s="160" t="s">
        <v>3</v>
      </c>
      <c r="J4" s="5"/>
    </row>
    <row r="5" spans="1:10">
      <c r="A5" s="3" t="s">
        <v>4</v>
      </c>
      <c r="D5" s="3"/>
      <c r="G5" s="4"/>
      <c r="H5" s="4"/>
    </row>
    <row r="6" spans="1:10">
      <c r="A6" s="3"/>
      <c r="B6" s="5" t="s">
        <v>74</v>
      </c>
      <c r="D6" s="3"/>
      <c r="G6" s="4"/>
      <c r="H6" s="76"/>
      <c r="I6" s="83"/>
    </row>
    <row r="7" spans="1:10">
      <c r="C7" t="s">
        <v>46</v>
      </c>
      <c r="H7" s="77">
        <v>2824757</v>
      </c>
      <c r="I7" s="83">
        <v>1215826</v>
      </c>
    </row>
    <row r="8" spans="1:10">
      <c r="C8" t="s">
        <v>6</v>
      </c>
      <c r="H8" s="84">
        <v>18123491</v>
      </c>
      <c r="I8" s="83">
        <v>3932994</v>
      </c>
    </row>
    <row r="9" spans="1:10">
      <c r="C9" t="s">
        <v>47</v>
      </c>
      <c r="H9" s="78">
        <v>5769470</v>
      </c>
      <c r="I9" s="83">
        <v>1510860</v>
      </c>
    </row>
    <row r="10" spans="1:10">
      <c r="C10" t="s">
        <v>78</v>
      </c>
      <c r="H10" s="83"/>
      <c r="I10" s="83">
        <v>260463</v>
      </c>
    </row>
    <row r="11" spans="1:10">
      <c r="C11" t="s">
        <v>103</v>
      </c>
      <c r="H11" s="83"/>
      <c r="I11" s="83">
        <v>3899610</v>
      </c>
    </row>
    <row r="12" spans="1:10">
      <c r="C12" t="s">
        <v>96</v>
      </c>
      <c r="H12" s="84">
        <v>42293964</v>
      </c>
      <c r="I12" s="83">
        <v>15878625</v>
      </c>
    </row>
    <row r="13" spans="1:10">
      <c r="H13" s="83"/>
      <c r="I13" s="81"/>
    </row>
    <row r="14" spans="1:10" s="5" customFormat="1">
      <c r="C14" s="6" t="s">
        <v>15</v>
      </c>
      <c r="D14" s="6"/>
      <c r="E14" s="6"/>
      <c r="F14" s="6"/>
      <c r="G14" s="6"/>
      <c r="H14" s="82">
        <f>SUM(H7:H12)</f>
        <v>69011682</v>
      </c>
      <c r="I14" s="82">
        <f>SUM(I7:I12)</f>
        <v>26698378</v>
      </c>
    </row>
    <row r="15" spans="1:10">
      <c r="H15" s="83"/>
      <c r="I15" s="83"/>
    </row>
    <row r="16" spans="1:10">
      <c r="A16" s="5" t="s">
        <v>104</v>
      </c>
      <c r="H16" s="83"/>
      <c r="I16" s="83"/>
    </row>
    <row r="17" spans="1:9">
      <c r="A17" s="5"/>
      <c r="B17" s="5" t="s">
        <v>19</v>
      </c>
      <c r="H17" s="83"/>
      <c r="I17" s="83"/>
    </row>
    <row r="18" spans="1:9">
      <c r="C18" t="s">
        <v>20</v>
      </c>
      <c r="H18" s="84">
        <v>554277</v>
      </c>
      <c r="I18" s="83">
        <v>704225</v>
      </c>
    </row>
    <row r="19" spans="1:9">
      <c r="C19" t="s">
        <v>105</v>
      </c>
      <c r="H19" s="84">
        <v>129885</v>
      </c>
      <c r="I19" s="83">
        <v>11722</v>
      </c>
    </row>
    <row r="20" spans="1:9">
      <c r="C20" t="s">
        <v>106</v>
      </c>
      <c r="H20" s="79">
        <v>163079</v>
      </c>
      <c r="I20" s="83">
        <v>29149</v>
      </c>
    </row>
    <row r="21" spans="1:9">
      <c r="C21" t="s">
        <v>107</v>
      </c>
      <c r="H21" s="84">
        <v>868870</v>
      </c>
      <c r="I21" s="83">
        <v>888799</v>
      </c>
    </row>
    <row r="22" spans="1:9">
      <c r="C22" t="s">
        <v>108</v>
      </c>
      <c r="H22" s="79">
        <v>422634</v>
      </c>
      <c r="I22" s="83">
        <v>335861</v>
      </c>
    </row>
    <row r="23" spans="1:9">
      <c r="C23" t="s">
        <v>109</v>
      </c>
      <c r="H23" s="83"/>
      <c r="I23" s="83"/>
    </row>
    <row r="24" spans="1:9">
      <c r="D24" t="s">
        <v>88</v>
      </c>
      <c r="H24" s="83"/>
      <c r="I24" s="83">
        <v>510000</v>
      </c>
    </row>
    <row r="25" spans="1:9">
      <c r="D25" t="s">
        <v>89</v>
      </c>
      <c r="H25" s="83"/>
      <c r="I25" s="83">
        <v>4800000</v>
      </c>
    </row>
    <row r="26" spans="1:9">
      <c r="H26" s="81"/>
      <c r="I26" s="81"/>
    </row>
    <row r="27" spans="1:9">
      <c r="D27" s="7" t="s">
        <v>33</v>
      </c>
      <c r="E27" s="8"/>
      <c r="F27" s="8"/>
      <c r="G27" s="8"/>
      <c r="H27" s="87">
        <f>SUM(H18:H25)</f>
        <v>2138745</v>
      </c>
      <c r="I27" s="87">
        <f>SUM(I18:I25)</f>
        <v>7279756</v>
      </c>
    </row>
    <row r="28" spans="1:9">
      <c r="H28" s="83"/>
      <c r="I28" s="83"/>
    </row>
    <row r="29" spans="1:9">
      <c r="A29" s="3" t="s">
        <v>35</v>
      </c>
      <c r="H29" s="83"/>
      <c r="I29" s="83"/>
    </row>
    <row r="30" spans="1:9">
      <c r="B30" t="s">
        <v>61</v>
      </c>
      <c r="H30" s="88">
        <v>42293964</v>
      </c>
      <c r="I30" s="83">
        <v>10568623</v>
      </c>
    </row>
    <row r="31" spans="1:9">
      <c r="B31" t="s">
        <v>110</v>
      </c>
      <c r="H31" s="20"/>
      <c r="I31" s="83">
        <v>3899380</v>
      </c>
    </row>
    <row r="32" spans="1:9">
      <c r="B32" t="s">
        <v>69</v>
      </c>
      <c r="H32" s="93">
        <v>24582973</v>
      </c>
      <c r="I32" s="83">
        <v>4950619</v>
      </c>
    </row>
    <row r="33" spans="3:9">
      <c r="H33" s="81"/>
      <c r="I33" s="81"/>
    </row>
    <row r="34" spans="3:9" s="3" customFormat="1">
      <c r="C34" s="9" t="s">
        <v>42</v>
      </c>
      <c r="D34" s="9"/>
      <c r="E34" s="9"/>
      <c r="F34" s="9"/>
      <c r="G34" s="9"/>
      <c r="H34" s="94">
        <f>SUM(H30:H32)</f>
        <v>66876937</v>
      </c>
      <c r="I34" s="94">
        <f>SUM(I29:I32)</f>
        <v>19418622</v>
      </c>
    </row>
    <row r="35" spans="3:9">
      <c r="H35" s="83"/>
      <c r="I35" s="83"/>
    </row>
    <row r="36" spans="3:9">
      <c r="C36" s="10" t="s">
        <v>43</v>
      </c>
      <c r="D36" s="10"/>
      <c r="E36" s="10"/>
      <c r="F36" s="10"/>
      <c r="G36" s="10"/>
      <c r="H36" s="95">
        <f>SUM(H27+H34)</f>
        <v>69015682</v>
      </c>
      <c r="I36" s="95">
        <f>SUM(I27+I34)</f>
        <v>26698378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zoomScale="80" zoomScaleNormal="80" zoomScalePageLayoutView="80" workbookViewId="0">
      <selection activeCell="I40" sqref="I40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" customWidth="1"/>
    <col min="8" max="8" width="17.140625" customWidth="1"/>
  </cols>
  <sheetData>
    <row r="1" spans="1:9" ht="18.75" customHeight="1">
      <c r="A1" s="1"/>
      <c r="B1" s="1"/>
      <c r="C1" s="1"/>
      <c r="D1" s="268" t="s">
        <v>111</v>
      </c>
      <c r="E1" s="268"/>
      <c r="F1" s="268"/>
      <c r="G1" s="268"/>
      <c r="H1" s="268"/>
    </row>
    <row r="2" spans="1:9" ht="15.75" customHeight="1">
      <c r="A2" s="1"/>
      <c r="B2" s="1"/>
      <c r="C2" s="1"/>
      <c r="D2" s="266" t="s">
        <v>1</v>
      </c>
      <c r="E2" s="266"/>
      <c r="F2" s="266"/>
      <c r="G2" s="266"/>
      <c r="H2" s="266"/>
    </row>
    <row r="4" spans="1:9" ht="31.5" customHeight="1">
      <c r="H4" s="105" t="s">
        <v>2</v>
      </c>
      <c r="I4" s="5"/>
    </row>
    <row r="5" spans="1:9">
      <c r="A5" s="3" t="s">
        <v>4</v>
      </c>
      <c r="D5" s="3"/>
      <c r="G5" s="4"/>
      <c r="H5" s="4"/>
    </row>
    <row r="6" spans="1:9">
      <c r="A6" s="3"/>
      <c r="B6" s="5" t="s">
        <v>74</v>
      </c>
      <c r="D6" s="3"/>
      <c r="G6" s="4"/>
      <c r="H6" s="76"/>
    </row>
    <row r="7" spans="1:9">
      <c r="C7" t="s">
        <v>112</v>
      </c>
      <c r="H7" s="77">
        <v>9443859</v>
      </c>
    </row>
    <row r="8" spans="1:9">
      <c r="C8" t="s">
        <v>113</v>
      </c>
      <c r="H8" s="78">
        <v>56433</v>
      </c>
    </row>
    <row r="9" spans="1:9">
      <c r="C9" t="s">
        <v>114</v>
      </c>
      <c r="H9" s="90">
        <v>2631894</v>
      </c>
    </row>
    <row r="10" spans="1:9">
      <c r="C10" t="s">
        <v>115</v>
      </c>
      <c r="H10" s="79">
        <v>148720</v>
      </c>
    </row>
    <row r="11" spans="1:9">
      <c r="H11" s="81"/>
    </row>
    <row r="12" spans="1:9" s="5" customFormat="1">
      <c r="C12" s="102" t="s">
        <v>116</v>
      </c>
      <c r="D12" s="102"/>
      <c r="E12" s="102"/>
      <c r="F12" s="102"/>
      <c r="G12" s="102"/>
      <c r="H12" s="103">
        <f>SUM(H7:H10)</f>
        <v>12280906</v>
      </c>
    </row>
    <row r="13" spans="1:9">
      <c r="H13" s="83"/>
    </row>
    <row r="14" spans="1:9" s="5" customFormat="1">
      <c r="B14" s="5" t="s">
        <v>117</v>
      </c>
      <c r="H14" s="100"/>
    </row>
    <row r="15" spans="1:9" s="5" customFormat="1">
      <c r="C15" t="s">
        <v>118</v>
      </c>
      <c r="H15" s="79">
        <v>590548</v>
      </c>
    </row>
    <row r="16" spans="1:9">
      <c r="C16" t="s">
        <v>119</v>
      </c>
      <c r="H16" s="80">
        <v>4599312</v>
      </c>
    </row>
    <row r="17" spans="1:8">
      <c r="H17" s="81"/>
    </row>
    <row r="18" spans="1:8" s="5" customFormat="1">
      <c r="C18" s="102" t="s">
        <v>120</v>
      </c>
      <c r="D18" s="102"/>
      <c r="E18" s="102"/>
      <c r="F18" s="102"/>
      <c r="G18" s="102"/>
      <c r="H18" s="103">
        <f>SUM(H14:H16)</f>
        <v>5189860</v>
      </c>
    </row>
    <row r="19" spans="1:8">
      <c r="H19" s="83"/>
    </row>
    <row r="20" spans="1:8" s="5" customFormat="1">
      <c r="C20" s="6" t="s">
        <v>15</v>
      </c>
      <c r="D20" s="6"/>
      <c r="E20" s="6"/>
      <c r="F20" s="6"/>
      <c r="G20" s="6"/>
      <c r="H20" s="82">
        <f>SUM(H12+H18)</f>
        <v>17470766</v>
      </c>
    </row>
    <row r="21" spans="1:8">
      <c r="H21" s="83"/>
    </row>
    <row r="22" spans="1:8">
      <c r="A22" s="5" t="s">
        <v>52</v>
      </c>
      <c r="H22" s="83"/>
    </row>
    <row r="23" spans="1:8" s="5" customFormat="1">
      <c r="B23" s="5" t="s">
        <v>121</v>
      </c>
      <c r="H23" s="100"/>
    </row>
    <row r="24" spans="1:8">
      <c r="C24" t="s">
        <v>122</v>
      </c>
      <c r="H24" s="84">
        <v>712402</v>
      </c>
    </row>
    <row r="25" spans="1:8">
      <c r="C25" t="s">
        <v>54</v>
      </c>
      <c r="H25" s="107">
        <v>36260</v>
      </c>
    </row>
    <row r="26" spans="1:8">
      <c r="H26" s="81"/>
    </row>
    <row r="27" spans="1:8">
      <c r="D27" s="102" t="s">
        <v>123</v>
      </c>
      <c r="E27" s="104"/>
      <c r="F27" s="104"/>
      <c r="G27" s="104"/>
      <c r="H27" s="103">
        <f>SUM(H24:H25)</f>
        <v>748662</v>
      </c>
    </row>
    <row r="28" spans="1:8">
      <c r="H28" s="83"/>
    </row>
    <row r="29" spans="1:8" s="5" customFormat="1">
      <c r="B29" s="5" t="s">
        <v>124</v>
      </c>
      <c r="H29" s="100"/>
    </row>
    <row r="30" spans="1:8">
      <c r="C30" t="s">
        <v>106</v>
      </c>
      <c r="H30" s="86">
        <v>99940</v>
      </c>
    </row>
    <row r="31" spans="1:8">
      <c r="H31" s="81"/>
    </row>
    <row r="32" spans="1:8">
      <c r="D32" s="7" t="s">
        <v>33</v>
      </c>
      <c r="E32" s="8"/>
      <c r="F32" s="8"/>
      <c r="G32" s="8"/>
      <c r="H32" s="87">
        <f>H30+H27</f>
        <v>848602</v>
      </c>
    </row>
    <row r="33" spans="1:8">
      <c r="H33" s="83"/>
    </row>
    <row r="34" spans="1:8">
      <c r="A34" s="3" t="s">
        <v>35</v>
      </c>
      <c r="H34" s="83"/>
    </row>
    <row r="35" spans="1:8">
      <c r="B35" t="s">
        <v>96</v>
      </c>
      <c r="H35" s="88">
        <v>5189860</v>
      </c>
    </row>
    <row r="36" spans="1:8">
      <c r="B36" t="s">
        <v>125</v>
      </c>
      <c r="H36" s="93">
        <v>11432304</v>
      </c>
    </row>
    <row r="37" spans="1:8">
      <c r="H37" s="81"/>
    </row>
    <row r="38" spans="1:8" s="3" customFormat="1">
      <c r="C38" s="9" t="s">
        <v>42</v>
      </c>
      <c r="D38" s="9"/>
      <c r="E38" s="9"/>
      <c r="F38" s="9"/>
      <c r="G38" s="9"/>
      <c r="H38" s="94">
        <f>SUM(H35:H36)</f>
        <v>16622164</v>
      </c>
    </row>
    <row r="39" spans="1:8">
      <c r="H39" s="83"/>
    </row>
    <row r="40" spans="1:8" s="3" customFormat="1">
      <c r="C40" s="10" t="s">
        <v>43</v>
      </c>
      <c r="D40" s="10"/>
      <c r="E40" s="10"/>
      <c r="F40" s="10"/>
      <c r="G40" s="10"/>
      <c r="H40" s="95">
        <f>H38+H32</f>
        <v>17470766</v>
      </c>
    </row>
    <row r="41" spans="1:8">
      <c r="H41" s="83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zoomScale="90" zoomScaleNormal="90" zoomScalePageLayoutView="90" workbookViewId="0">
      <selection activeCell="G6" sqref="G6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126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17545772</v>
      </c>
    </row>
    <row r="7" spans="1:7">
      <c r="B7" t="s">
        <v>47</v>
      </c>
      <c r="G7" s="78">
        <v>6974145</v>
      </c>
    </row>
    <row r="8" spans="1:7">
      <c r="B8" t="s">
        <v>49</v>
      </c>
      <c r="G8" s="79">
        <v>204510</v>
      </c>
    </row>
    <row r="9" spans="1:7">
      <c r="B9" t="s">
        <v>127</v>
      </c>
      <c r="G9" s="83"/>
    </row>
    <row r="10" spans="1:7">
      <c r="C10" t="s">
        <v>128</v>
      </c>
      <c r="G10" s="80">
        <v>688379</v>
      </c>
    </row>
    <row r="11" spans="1:7">
      <c r="C11" t="s">
        <v>129</v>
      </c>
      <c r="G11" s="80">
        <v>9185546</v>
      </c>
    </row>
    <row r="12" spans="1:7">
      <c r="C12" t="s">
        <v>130</v>
      </c>
      <c r="G12" s="80">
        <v>4096339</v>
      </c>
    </row>
    <row r="13" spans="1:7">
      <c r="C13" t="s">
        <v>131</v>
      </c>
      <c r="G13" s="80">
        <v>15391434</v>
      </c>
    </row>
    <row r="14" spans="1:7">
      <c r="C14" t="s">
        <v>132</v>
      </c>
      <c r="G14" s="91">
        <v>2175228</v>
      </c>
    </row>
    <row r="15" spans="1:7">
      <c r="G15" s="83"/>
    </row>
    <row r="16" spans="1:7">
      <c r="A16" s="5"/>
      <c r="B16" s="6" t="s">
        <v>15</v>
      </c>
      <c r="C16" s="6"/>
      <c r="D16" s="6"/>
      <c r="E16" s="6"/>
      <c r="F16" s="6"/>
      <c r="G16" s="82">
        <f>SUM(G6:G14)</f>
        <v>56261353</v>
      </c>
    </row>
    <row r="17" spans="1:7">
      <c r="G17" s="83"/>
    </row>
    <row r="18" spans="1:7">
      <c r="A18" s="5" t="s">
        <v>52</v>
      </c>
      <c r="G18" s="83"/>
    </row>
    <row r="19" spans="1:7">
      <c r="A19" s="5"/>
      <c r="B19" t="s">
        <v>133</v>
      </c>
      <c r="G19" s="84">
        <v>1028338</v>
      </c>
    </row>
    <row r="20" spans="1:7">
      <c r="B20" t="s">
        <v>134</v>
      </c>
      <c r="G20" s="84">
        <v>25763</v>
      </c>
    </row>
    <row r="21" spans="1:7">
      <c r="B21" t="s">
        <v>109</v>
      </c>
      <c r="G21" s="83"/>
    </row>
    <row r="22" spans="1:7">
      <c r="C22" t="s">
        <v>88</v>
      </c>
      <c r="G22" s="92">
        <v>553200</v>
      </c>
    </row>
    <row r="23" spans="1:7">
      <c r="C23" t="s">
        <v>89</v>
      </c>
      <c r="G23" s="77">
        <v>4845000</v>
      </c>
    </row>
    <row r="24" spans="1:7">
      <c r="G24" s="81"/>
    </row>
    <row r="25" spans="1:7">
      <c r="C25" s="7" t="s">
        <v>33</v>
      </c>
      <c r="D25" s="8"/>
      <c r="E25" s="8"/>
      <c r="F25" s="8"/>
      <c r="G25" s="87">
        <f>SUM(G19:G23)</f>
        <v>6452301</v>
      </c>
    </row>
    <row r="26" spans="1:7">
      <c r="G26" s="83"/>
    </row>
    <row r="27" spans="1:7">
      <c r="A27" s="3" t="s">
        <v>35</v>
      </c>
      <c r="G27" s="83"/>
    </row>
    <row r="28" spans="1:7">
      <c r="B28" t="s">
        <v>61</v>
      </c>
      <c r="G28" s="88">
        <v>26350226</v>
      </c>
    </row>
    <row r="29" spans="1:7">
      <c r="B29" t="s">
        <v>37</v>
      </c>
      <c r="G29" s="83"/>
    </row>
    <row r="30" spans="1:7">
      <c r="C30" t="s">
        <v>49</v>
      </c>
      <c r="G30" s="89">
        <v>204510</v>
      </c>
    </row>
    <row r="31" spans="1:7">
      <c r="C31" t="s">
        <v>62</v>
      </c>
      <c r="G31" s="89">
        <v>306908</v>
      </c>
    </row>
    <row r="32" spans="1:7">
      <c r="C32" t="s">
        <v>63</v>
      </c>
      <c r="G32" s="89">
        <v>1932609</v>
      </c>
    </row>
    <row r="33" spans="1:7">
      <c r="C33" t="s">
        <v>64</v>
      </c>
      <c r="G33" s="89">
        <v>6543000</v>
      </c>
    </row>
    <row r="34" spans="1:7">
      <c r="C34" t="s">
        <v>65</v>
      </c>
      <c r="G34" s="89">
        <v>2551297</v>
      </c>
    </row>
    <row r="35" spans="1:7">
      <c r="C35" t="s">
        <v>66</v>
      </c>
      <c r="G35" s="89">
        <v>536904</v>
      </c>
    </row>
    <row r="36" spans="1:7">
      <c r="C36" t="s">
        <v>67</v>
      </c>
      <c r="G36" s="89">
        <v>4491195</v>
      </c>
    </row>
    <row r="37" spans="1:7">
      <c r="C37" t="s">
        <v>68</v>
      </c>
      <c r="G37" s="89">
        <v>151475</v>
      </c>
    </row>
    <row r="38" spans="1:7">
      <c r="C38" t="s">
        <v>39</v>
      </c>
      <c r="G38" s="89">
        <v>3820546</v>
      </c>
    </row>
    <row r="39" spans="1:7">
      <c r="C39" t="s">
        <v>38</v>
      </c>
      <c r="G39" s="89">
        <v>149912</v>
      </c>
    </row>
    <row r="40" spans="1:7">
      <c r="B40" t="s">
        <v>69</v>
      </c>
      <c r="G40" s="93">
        <v>2770770</v>
      </c>
    </row>
    <row r="41" spans="1:7">
      <c r="G41" s="81"/>
    </row>
    <row r="42" spans="1:7">
      <c r="A42" s="3"/>
      <c r="B42" s="9" t="s">
        <v>42</v>
      </c>
      <c r="C42" s="9"/>
      <c r="D42" s="9"/>
      <c r="E42" s="9"/>
      <c r="F42" s="9"/>
      <c r="G42" s="94">
        <f>SUM(G28:G40)</f>
        <v>49809352</v>
      </c>
    </row>
    <row r="43" spans="1:7">
      <c r="G43" s="83"/>
    </row>
    <row r="44" spans="1:7">
      <c r="A44" s="3"/>
      <c r="B44" s="10" t="s">
        <v>43</v>
      </c>
      <c r="C44" s="10"/>
      <c r="D44" s="10"/>
      <c r="E44" s="10"/>
      <c r="F44" s="10"/>
      <c r="G44" s="95">
        <f>SUM(G25+G42)</f>
        <v>56261653</v>
      </c>
    </row>
    <row r="45" spans="1:7">
      <c r="G45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>
      <selection activeCell="G31" sqref="G31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135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17166902</v>
      </c>
    </row>
    <row r="7" spans="1:7">
      <c r="B7" t="s">
        <v>47</v>
      </c>
      <c r="G7" s="78">
        <v>5274448</v>
      </c>
    </row>
    <row r="8" spans="1:7">
      <c r="B8" t="s">
        <v>119</v>
      </c>
      <c r="G8" s="91">
        <v>22504607</v>
      </c>
    </row>
    <row r="9" spans="1:7">
      <c r="G9" s="83"/>
    </row>
    <row r="10" spans="1:7">
      <c r="A10" s="5"/>
      <c r="B10" s="6" t="s">
        <v>15</v>
      </c>
      <c r="C10" s="6"/>
      <c r="D10" s="6"/>
      <c r="E10" s="6"/>
      <c r="F10" s="6"/>
      <c r="G10" s="82">
        <f>SUM(G6:G8)</f>
        <v>44945957</v>
      </c>
    </row>
    <row r="11" spans="1:7">
      <c r="G11" s="83"/>
    </row>
    <row r="12" spans="1:7">
      <c r="A12" s="5" t="s">
        <v>52</v>
      </c>
      <c r="G12" s="83"/>
    </row>
    <row r="13" spans="1:7">
      <c r="A13" s="5"/>
      <c r="B13" t="s">
        <v>20</v>
      </c>
      <c r="G13" s="84">
        <v>210615</v>
      </c>
    </row>
    <row r="14" spans="1:7">
      <c r="B14" t="s">
        <v>136</v>
      </c>
      <c r="G14" s="84">
        <v>30252</v>
      </c>
    </row>
    <row r="15" spans="1:7">
      <c r="B15" t="s">
        <v>134</v>
      </c>
      <c r="G15" s="84">
        <v>136529</v>
      </c>
    </row>
    <row r="16" spans="1:7">
      <c r="B16" t="s">
        <v>28</v>
      </c>
      <c r="G16" s="85">
        <v>10365000</v>
      </c>
    </row>
    <row r="17" spans="1:7">
      <c r="B17" t="s">
        <v>137</v>
      </c>
      <c r="G17" s="79">
        <v>274509</v>
      </c>
    </row>
    <row r="18" spans="1:7">
      <c r="B18" t="s">
        <v>138</v>
      </c>
      <c r="G18" s="79">
        <v>70000</v>
      </c>
    </row>
    <row r="19" spans="1:7">
      <c r="B19" t="s">
        <v>106</v>
      </c>
      <c r="G19" s="86">
        <v>80615</v>
      </c>
    </row>
    <row r="20" spans="1:7">
      <c r="B20" t="s">
        <v>139</v>
      </c>
      <c r="G20" s="79">
        <v>1751911</v>
      </c>
    </row>
    <row r="21" spans="1:7">
      <c r="G21" s="81"/>
    </row>
    <row r="22" spans="1:7">
      <c r="C22" s="7" t="s">
        <v>33</v>
      </c>
      <c r="D22" s="8"/>
      <c r="E22" s="8"/>
      <c r="F22" s="8"/>
      <c r="G22" s="87">
        <f>SUM(G13:G20)</f>
        <v>12919431</v>
      </c>
    </row>
    <row r="23" spans="1:7">
      <c r="G23" s="83"/>
    </row>
    <row r="24" spans="1:7">
      <c r="A24" s="3" t="s">
        <v>35</v>
      </c>
      <c r="G24" s="83"/>
    </row>
    <row r="25" spans="1:7">
      <c r="B25" t="s">
        <v>61</v>
      </c>
      <c r="G25" s="88">
        <v>12139607</v>
      </c>
    </row>
    <row r="26" spans="1:7">
      <c r="B26" t="s">
        <v>69</v>
      </c>
      <c r="G26" s="93">
        <v>19886919</v>
      </c>
    </row>
    <row r="27" spans="1:7">
      <c r="G27" s="81"/>
    </row>
    <row r="28" spans="1:7">
      <c r="A28" s="3"/>
      <c r="B28" s="9" t="s">
        <v>42</v>
      </c>
      <c r="C28" s="9"/>
      <c r="D28" s="9"/>
      <c r="E28" s="9"/>
      <c r="F28" s="9"/>
      <c r="G28" s="94">
        <f>SUM(G25:G26)</f>
        <v>32026526</v>
      </c>
    </row>
    <row r="29" spans="1:7">
      <c r="G29" s="83"/>
    </row>
    <row r="30" spans="1:7">
      <c r="A30" s="3"/>
      <c r="B30" s="10" t="s">
        <v>43</v>
      </c>
      <c r="C30" s="10"/>
      <c r="D30" s="10"/>
      <c r="E30" s="10"/>
      <c r="F30" s="10"/>
      <c r="G30" s="95">
        <f>SUM(G22+G28)</f>
        <v>44945957</v>
      </c>
    </row>
    <row r="31" spans="1:7">
      <c r="G31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9"/>
  <sheetViews>
    <sheetView zoomScale="80" zoomScaleNormal="80" zoomScalePageLayoutView="80" workbookViewId="0">
      <selection activeCell="AC44" sqref="AC4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68" t="s">
        <v>140</v>
      </c>
      <c r="E1" s="268"/>
      <c r="F1" s="268"/>
      <c r="G1" s="268"/>
      <c r="H1" s="268"/>
      <c r="I1" s="97"/>
      <c r="J1" s="97"/>
    </row>
    <row r="2" spans="1:11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1" ht="15" customHeight="1">
      <c r="H4" s="271"/>
      <c r="I4" s="271"/>
      <c r="J4" s="271"/>
    </row>
    <row r="5" spans="1:11" ht="29.1">
      <c r="H5" s="105" t="s">
        <v>45</v>
      </c>
      <c r="I5" s="105" t="s">
        <v>141</v>
      </c>
      <c r="J5" s="105" t="s">
        <v>73</v>
      </c>
      <c r="K5" s="5"/>
    </row>
    <row r="6" spans="1:11">
      <c r="A6" s="3" t="s">
        <v>4</v>
      </c>
      <c r="D6" s="3"/>
      <c r="G6" s="4"/>
      <c r="H6" s="4"/>
      <c r="I6" s="4"/>
      <c r="J6" s="4"/>
    </row>
    <row r="7" spans="1:11">
      <c r="C7" t="s">
        <v>46</v>
      </c>
      <c r="H7" s="77">
        <v>40504142</v>
      </c>
      <c r="I7" s="83">
        <v>258697</v>
      </c>
      <c r="J7" s="83">
        <f t="shared" ref="J7:J9" si="0">SUM(H7:I7)</f>
        <v>40762839</v>
      </c>
    </row>
    <row r="8" spans="1:11">
      <c r="C8" t="s">
        <v>142</v>
      </c>
      <c r="H8" s="77">
        <v>4879227</v>
      </c>
      <c r="I8" s="83">
        <v>1081529</v>
      </c>
      <c r="J8" s="83">
        <f t="shared" si="0"/>
        <v>5960756</v>
      </c>
    </row>
    <row r="9" spans="1:11">
      <c r="C9" t="s">
        <v>6</v>
      </c>
      <c r="H9" s="200">
        <v>170335</v>
      </c>
      <c r="I9" s="83"/>
      <c r="J9" s="83">
        <f t="shared" si="0"/>
        <v>170335</v>
      </c>
    </row>
    <row r="10" spans="1:11">
      <c r="C10" t="s">
        <v>47</v>
      </c>
      <c r="H10" s="78">
        <v>23074512</v>
      </c>
      <c r="I10" s="83">
        <v>224210</v>
      </c>
      <c r="J10" s="83">
        <f>SUM(H10:I10)</f>
        <v>23298722</v>
      </c>
    </row>
    <row r="11" spans="1:11">
      <c r="C11" t="s">
        <v>143</v>
      </c>
      <c r="H11" s="79">
        <v>922606</v>
      </c>
      <c r="I11" s="83">
        <v>38252</v>
      </c>
      <c r="J11" s="83">
        <f>SUM(H11:I11)</f>
        <v>960858</v>
      </c>
    </row>
    <row r="12" spans="1:11">
      <c r="C12" t="s">
        <v>144</v>
      </c>
      <c r="H12" s="83"/>
      <c r="I12" s="83"/>
      <c r="J12" s="83"/>
    </row>
    <row r="13" spans="1:11">
      <c r="D13" t="s">
        <v>13</v>
      </c>
      <c r="H13" s="80">
        <v>19244357</v>
      </c>
      <c r="I13" s="83">
        <v>16269418</v>
      </c>
      <c r="J13" s="83">
        <f>SUM(H13:I13)</f>
        <v>35513775</v>
      </c>
    </row>
    <row r="14" spans="1:11">
      <c r="D14" t="s">
        <v>145</v>
      </c>
      <c r="H14" s="80">
        <v>265881743</v>
      </c>
      <c r="I14" s="83">
        <v>4609925</v>
      </c>
      <c r="J14" s="83">
        <f>SUM(H14:I14)</f>
        <v>270491668</v>
      </c>
    </row>
    <row r="15" spans="1:11">
      <c r="C15" t="s">
        <v>76</v>
      </c>
      <c r="H15" s="79">
        <v>8243332</v>
      </c>
      <c r="I15" s="83">
        <v>-8243332</v>
      </c>
      <c r="J15" s="83">
        <f>SUM(H15:I15)</f>
        <v>0</v>
      </c>
    </row>
    <row r="16" spans="1:11">
      <c r="H16" s="83"/>
      <c r="I16" s="83"/>
      <c r="J16" s="83"/>
    </row>
    <row r="17" spans="1:10" s="5" customFormat="1">
      <c r="C17" s="6" t="s">
        <v>15</v>
      </c>
      <c r="D17" s="6"/>
      <c r="E17" s="6"/>
      <c r="F17" s="6"/>
      <c r="G17" s="6"/>
      <c r="H17" s="82">
        <f>SUM(H7:H15)</f>
        <v>362920254</v>
      </c>
      <c r="I17" s="82">
        <f>SUM(I7:I15)</f>
        <v>14238699</v>
      </c>
      <c r="J17" s="82">
        <f>SUM(J7:J15)</f>
        <v>377158953</v>
      </c>
    </row>
    <row r="18" spans="1:10">
      <c r="H18" s="83"/>
      <c r="I18" s="83"/>
      <c r="J18" s="83"/>
    </row>
    <row r="19" spans="1:10">
      <c r="A19" s="5" t="s">
        <v>52</v>
      </c>
      <c r="H19" s="83"/>
      <c r="I19" s="83"/>
      <c r="J19" s="83"/>
    </row>
    <row r="20" spans="1:10">
      <c r="B20" s="5" t="s">
        <v>146</v>
      </c>
      <c r="C20" s="5"/>
      <c r="D20" s="5"/>
      <c r="E20" s="5"/>
      <c r="H20" s="83"/>
      <c r="I20" s="83"/>
      <c r="J20" s="83"/>
    </row>
    <row r="21" spans="1:10">
      <c r="A21" s="5"/>
      <c r="C21" t="s">
        <v>147</v>
      </c>
      <c r="H21" s="84">
        <v>5670884</v>
      </c>
      <c r="I21" s="83">
        <v>316283</v>
      </c>
      <c r="J21" s="83">
        <f t="shared" ref="J21" si="1">SUM(H21:I21)</f>
        <v>5987167</v>
      </c>
    </row>
    <row r="22" spans="1:10">
      <c r="C22" t="s">
        <v>148</v>
      </c>
      <c r="H22" s="83"/>
      <c r="I22" s="83"/>
      <c r="J22" s="83"/>
    </row>
    <row r="23" spans="1:10">
      <c r="D23" t="s">
        <v>85</v>
      </c>
      <c r="H23" s="83"/>
      <c r="I23" s="83">
        <v>112887</v>
      </c>
      <c r="J23" s="83">
        <f t="shared" ref="J23" si="2">SUM(H23:I23)</f>
        <v>112887</v>
      </c>
    </row>
    <row r="24" spans="1:10">
      <c r="B24" s="5" t="s">
        <v>149</v>
      </c>
      <c r="H24" s="83"/>
      <c r="I24" s="83"/>
      <c r="J24" s="83"/>
    </row>
    <row r="25" spans="1:10">
      <c r="C25" t="s">
        <v>88</v>
      </c>
      <c r="H25" s="92">
        <v>4998865</v>
      </c>
      <c r="I25" s="83">
        <v>80000</v>
      </c>
      <c r="J25" s="83">
        <f>SUM(H25:I25)</f>
        <v>5078865</v>
      </c>
    </row>
    <row r="26" spans="1:10">
      <c r="C26" t="s">
        <v>89</v>
      </c>
      <c r="H26" s="77">
        <v>56933777</v>
      </c>
      <c r="I26" s="83">
        <v>1662385</v>
      </c>
      <c r="J26" s="83">
        <f>SUM(H26:I26)</f>
        <v>58596162</v>
      </c>
    </row>
    <row r="27" spans="1:10">
      <c r="H27" s="81"/>
      <c r="I27" s="81"/>
      <c r="J27" s="81"/>
    </row>
    <row r="28" spans="1:10">
      <c r="D28" s="7" t="s">
        <v>33</v>
      </c>
      <c r="E28" s="8"/>
      <c r="F28" s="8"/>
      <c r="G28" s="8"/>
      <c r="H28" s="87">
        <f>SUM(H21+H23+H25+H26)</f>
        <v>67603526</v>
      </c>
      <c r="I28" s="87">
        <f t="shared" ref="I28:J28" si="3">SUM(I21+I23+I25+I26)</f>
        <v>2171555</v>
      </c>
      <c r="J28" s="87">
        <f t="shared" si="3"/>
        <v>69775081</v>
      </c>
    </row>
    <row r="29" spans="1:10">
      <c r="H29" s="83"/>
      <c r="I29" s="83"/>
      <c r="J29" s="83"/>
    </row>
    <row r="30" spans="1:10">
      <c r="A30" s="5" t="s">
        <v>150</v>
      </c>
      <c r="H30" s="83"/>
      <c r="I30" s="83"/>
      <c r="J30" s="83"/>
    </row>
    <row r="31" spans="1:10">
      <c r="C31" t="s">
        <v>151</v>
      </c>
      <c r="H31" s="122">
        <v>15065078</v>
      </c>
      <c r="I31" s="122"/>
      <c r="J31" s="122">
        <f>SUM(H31:I31)</f>
        <v>15065078</v>
      </c>
    </row>
    <row r="32" spans="1:10">
      <c r="H32" s="83"/>
      <c r="I32" s="83"/>
      <c r="J32" s="83"/>
    </row>
    <row r="33" spans="1:10">
      <c r="A33" s="3" t="s">
        <v>35</v>
      </c>
      <c r="H33" s="83"/>
      <c r="I33" s="83"/>
      <c r="J33" s="83"/>
    </row>
    <row r="34" spans="1:10">
      <c r="B34" t="s">
        <v>96</v>
      </c>
      <c r="H34" s="88">
        <v>234828358</v>
      </c>
      <c r="I34" s="83">
        <v>10893626</v>
      </c>
      <c r="J34" s="83">
        <f>SUM(H34:I34)</f>
        <v>245721984</v>
      </c>
    </row>
    <row r="35" spans="1:10">
      <c r="B35" t="s">
        <v>37</v>
      </c>
      <c r="H35" s="83"/>
      <c r="I35" s="83"/>
      <c r="J35" s="83"/>
    </row>
    <row r="36" spans="1:10">
      <c r="C36" t="s">
        <v>39</v>
      </c>
      <c r="H36" s="89">
        <v>10572534</v>
      </c>
      <c r="I36" s="83"/>
      <c r="J36" s="83">
        <f>SUM(H36:I36)</f>
        <v>10572534</v>
      </c>
    </row>
    <row r="37" spans="1:10">
      <c r="C37" t="s">
        <v>64</v>
      </c>
      <c r="H37" s="89">
        <v>1299267</v>
      </c>
      <c r="I37" s="83"/>
      <c r="J37" s="83">
        <f>SUM(H37:I37)</f>
        <v>1299267</v>
      </c>
    </row>
    <row r="38" spans="1:10">
      <c r="C38" t="s">
        <v>152</v>
      </c>
      <c r="H38" s="89">
        <v>1000587</v>
      </c>
      <c r="I38" s="83"/>
      <c r="J38" s="83">
        <f>SUM(H38:I38)</f>
        <v>1000587</v>
      </c>
    </row>
    <row r="39" spans="1:10">
      <c r="C39" t="s">
        <v>153</v>
      </c>
      <c r="H39" s="89">
        <v>110911</v>
      </c>
      <c r="I39" s="83"/>
      <c r="J39" s="83">
        <f t="shared" ref="J39:J42" si="4">SUM(H39)</f>
        <v>110911</v>
      </c>
    </row>
    <row r="40" spans="1:10">
      <c r="C40" t="s">
        <v>66</v>
      </c>
      <c r="H40" s="89">
        <v>5359731</v>
      </c>
      <c r="I40" s="83"/>
      <c r="J40" s="83">
        <f t="shared" si="4"/>
        <v>5359731</v>
      </c>
    </row>
    <row r="41" spans="1:10">
      <c r="C41" t="s">
        <v>38</v>
      </c>
      <c r="H41" s="89">
        <v>3470999</v>
      </c>
      <c r="I41" s="83"/>
      <c r="J41" s="83">
        <f t="shared" si="4"/>
        <v>3470999</v>
      </c>
    </row>
    <row r="42" spans="1:10">
      <c r="C42" t="s">
        <v>65</v>
      </c>
      <c r="H42" s="89">
        <v>2174851</v>
      </c>
      <c r="I42" s="83"/>
      <c r="J42" s="83">
        <f t="shared" si="4"/>
        <v>2174851</v>
      </c>
    </row>
    <row r="43" spans="1:10">
      <c r="C43" t="s">
        <v>154</v>
      </c>
      <c r="H43" s="89">
        <v>360910</v>
      </c>
      <c r="I43" s="83"/>
      <c r="J43" s="83">
        <f>SUM(H43:I43)</f>
        <v>360910</v>
      </c>
    </row>
    <row r="44" spans="1:10">
      <c r="B44" t="s">
        <v>69</v>
      </c>
      <c r="H44" s="93">
        <v>21073502</v>
      </c>
      <c r="I44" s="83">
        <v>1173518</v>
      </c>
      <c r="J44" s="83">
        <f>SUM(H44:I44)</f>
        <v>22247020</v>
      </c>
    </row>
    <row r="45" spans="1:10">
      <c r="H45" s="81"/>
      <c r="I45" s="81"/>
      <c r="J45" s="81"/>
    </row>
    <row r="46" spans="1:10" s="3" customFormat="1">
      <c r="C46" s="9" t="s">
        <v>42</v>
      </c>
      <c r="D46" s="9"/>
      <c r="E46" s="9"/>
      <c r="F46" s="9"/>
      <c r="G46" s="9"/>
      <c r="H46" s="94">
        <f>SUM(H34:H44)</f>
        <v>280251650</v>
      </c>
      <c r="I46" s="94">
        <f>SUM(I34:I44)</f>
        <v>12067144</v>
      </c>
      <c r="J46" s="94">
        <f>SUM(J34:J44)</f>
        <v>292318794</v>
      </c>
    </row>
    <row r="47" spans="1:10">
      <c r="H47" s="83"/>
      <c r="I47" s="83"/>
      <c r="J47" s="83"/>
    </row>
    <row r="48" spans="1:10" s="3" customFormat="1">
      <c r="C48" s="10" t="s">
        <v>43</v>
      </c>
      <c r="D48" s="10"/>
      <c r="E48" s="10"/>
      <c r="F48" s="10"/>
      <c r="G48" s="10"/>
      <c r="H48" s="95">
        <f>SUM(H46+H31+H28)</f>
        <v>362920254</v>
      </c>
      <c r="I48" s="95">
        <f t="shared" ref="I48:J48" si="5">SUM(I46+I31+I28)</f>
        <v>14238699</v>
      </c>
      <c r="J48" s="95">
        <f t="shared" si="5"/>
        <v>377158953</v>
      </c>
    </row>
    <row r="49" spans="8:10">
      <c r="H49" s="83"/>
      <c r="I49" s="83"/>
      <c r="J49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1"/>
  <sheetViews>
    <sheetView zoomScale="80" zoomScaleNormal="80" zoomScalePageLayoutView="80" workbookViewId="0">
      <selection activeCell="X44" sqref="X44"/>
    </sheetView>
  </sheetViews>
  <sheetFormatPr defaultColWidth="8.85546875" defaultRowHeight="14.45"/>
  <cols>
    <col min="1" max="1" width="3.28515625" customWidth="1"/>
    <col min="2" max="2" width="3" customWidth="1"/>
    <col min="3" max="3" width="18.42578125" customWidth="1"/>
    <col min="4" max="4" width="2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5.7109375" customWidth="1"/>
  </cols>
  <sheetData>
    <row r="1" spans="1:10" ht="18.75" customHeight="1">
      <c r="A1" s="1"/>
      <c r="B1" s="1"/>
      <c r="C1" s="1"/>
      <c r="D1" s="268" t="s">
        <v>155</v>
      </c>
      <c r="E1" s="268"/>
      <c r="F1" s="268"/>
      <c r="G1" s="268"/>
      <c r="H1" s="268"/>
    </row>
    <row r="2" spans="1:10" ht="15.75" customHeight="1">
      <c r="A2" s="1"/>
      <c r="B2" s="1"/>
      <c r="C2" s="1"/>
      <c r="D2" s="266" t="s">
        <v>1</v>
      </c>
      <c r="E2" s="266"/>
      <c r="F2" s="266"/>
      <c r="G2" s="266"/>
      <c r="H2" s="266"/>
    </row>
    <row r="4" spans="1:10" ht="14.25" customHeight="1">
      <c r="H4" s="211"/>
    </row>
    <row r="5" spans="1:10" ht="31.5" customHeight="1">
      <c r="H5" s="105" t="s">
        <v>156</v>
      </c>
      <c r="I5" s="106" t="s">
        <v>3</v>
      </c>
      <c r="J5" s="5"/>
    </row>
    <row r="6" spans="1:10">
      <c r="A6" s="3" t="s">
        <v>4</v>
      </c>
      <c r="D6" s="3"/>
      <c r="G6" s="4"/>
      <c r="H6" s="4"/>
    </row>
    <row r="7" spans="1:10">
      <c r="C7" t="s">
        <v>46</v>
      </c>
      <c r="H7" s="77">
        <v>15950171</v>
      </c>
      <c r="I7" s="83">
        <v>13698250</v>
      </c>
    </row>
    <row r="8" spans="1:10">
      <c r="C8" t="s">
        <v>6</v>
      </c>
      <c r="H8" s="84">
        <v>119354639</v>
      </c>
      <c r="I8" s="83">
        <v>5477656</v>
      </c>
    </row>
    <row r="9" spans="1:10">
      <c r="C9" t="s">
        <v>113</v>
      </c>
      <c r="H9" s="78">
        <v>56915285</v>
      </c>
      <c r="I9" s="83">
        <v>15284875</v>
      </c>
    </row>
    <row r="10" spans="1:10">
      <c r="C10" t="s">
        <v>48</v>
      </c>
      <c r="H10" s="90">
        <v>3504844</v>
      </c>
      <c r="I10" s="83">
        <v>847274</v>
      </c>
    </row>
    <row r="11" spans="1:10">
      <c r="C11" t="s">
        <v>157</v>
      </c>
      <c r="H11" s="121"/>
      <c r="I11" s="83">
        <v>571302</v>
      </c>
    </row>
    <row r="12" spans="1:10">
      <c r="C12" t="s">
        <v>158</v>
      </c>
      <c r="H12" s="79">
        <v>97808</v>
      </c>
      <c r="I12" s="83">
        <v>364398</v>
      </c>
    </row>
    <row r="13" spans="1:10">
      <c r="C13" t="s">
        <v>78</v>
      </c>
      <c r="H13" s="79">
        <v>116149</v>
      </c>
      <c r="I13" s="83">
        <v>9975946</v>
      </c>
    </row>
    <row r="14" spans="1:10">
      <c r="C14" t="s">
        <v>12</v>
      </c>
      <c r="H14" s="83"/>
      <c r="I14" s="83"/>
    </row>
    <row r="15" spans="1:10">
      <c r="D15" t="s">
        <v>118</v>
      </c>
      <c r="H15" s="80">
        <v>20514314</v>
      </c>
      <c r="I15" s="83">
        <v>7473191</v>
      </c>
    </row>
    <row r="16" spans="1:10">
      <c r="D16" t="s">
        <v>159</v>
      </c>
      <c r="H16" s="91">
        <v>183428797</v>
      </c>
      <c r="I16" s="83">
        <v>35403414</v>
      </c>
    </row>
    <row r="17" spans="1:9">
      <c r="H17" s="83"/>
      <c r="I17" s="81"/>
    </row>
    <row r="18" spans="1:9" s="5" customFormat="1">
      <c r="C18" s="6" t="s">
        <v>15</v>
      </c>
      <c r="D18" s="6"/>
      <c r="E18" s="6"/>
      <c r="F18" s="6"/>
      <c r="G18" s="6"/>
      <c r="H18" s="82">
        <f>SUM(H7:H16)</f>
        <v>399882007</v>
      </c>
      <c r="I18" s="82">
        <f>SUM(I7:I16)</f>
        <v>89096306</v>
      </c>
    </row>
    <row r="19" spans="1:9">
      <c r="H19" s="83"/>
      <c r="I19" s="83"/>
    </row>
    <row r="20" spans="1:9">
      <c r="A20" s="5" t="s">
        <v>160</v>
      </c>
      <c r="H20" s="83"/>
      <c r="I20" s="83"/>
    </row>
    <row r="21" spans="1:9">
      <c r="C21" t="s">
        <v>80</v>
      </c>
      <c r="H21" s="122">
        <v>146667</v>
      </c>
      <c r="I21" s="122">
        <v>151285</v>
      </c>
    </row>
    <row r="22" spans="1:9">
      <c r="H22" s="83"/>
      <c r="I22" s="83"/>
    </row>
    <row r="23" spans="1:9">
      <c r="E23" s="102" t="s">
        <v>161</v>
      </c>
      <c r="F23" s="102"/>
      <c r="G23" s="102"/>
      <c r="H23" s="103">
        <f>H21+H18</f>
        <v>400028674</v>
      </c>
      <c r="I23" s="103">
        <f>I21+I18</f>
        <v>89247591</v>
      </c>
    </row>
    <row r="24" spans="1:9">
      <c r="H24" s="83"/>
      <c r="I24" s="83"/>
    </row>
    <row r="25" spans="1:9">
      <c r="A25" s="5" t="s">
        <v>52</v>
      </c>
      <c r="H25" s="83"/>
      <c r="I25" s="83"/>
    </row>
    <row r="26" spans="1:9">
      <c r="C26" t="s">
        <v>20</v>
      </c>
      <c r="H26" s="84">
        <v>2890397</v>
      </c>
      <c r="I26" s="83">
        <v>3145936</v>
      </c>
    </row>
    <row r="27" spans="1:9">
      <c r="C27" t="s">
        <v>162</v>
      </c>
      <c r="H27" s="84">
        <v>918576</v>
      </c>
      <c r="I27" s="83">
        <v>1171920</v>
      </c>
    </row>
    <row r="28" spans="1:9">
      <c r="C28" t="s">
        <v>24</v>
      </c>
      <c r="H28" s="84">
        <v>489926</v>
      </c>
      <c r="I28" s="83">
        <v>29614</v>
      </c>
    </row>
    <row r="29" spans="1:9">
      <c r="C29" t="s">
        <v>21</v>
      </c>
      <c r="H29" s="84">
        <v>353334</v>
      </c>
      <c r="I29" s="83"/>
    </row>
    <row r="30" spans="1:9">
      <c r="C30" t="s">
        <v>163</v>
      </c>
      <c r="H30" s="84">
        <v>641458</v>
      </c>
      <c r="I30" s="83">
        <v>414000</v>
      </c>
    </row>
    <row r="31" spans="1:9">
      <c r="C31" t="s">
        <v>164</v>
      </c>
      <c r="H31" s="96">
        <v>520956</v>
      </c>
      <c r="I31" s="83"/>
    </row>
    <row r="32" spans="1:9">
      <c r="C32" t="s">
        <v>165</v>
      </c>
      <c r="H32" s="96">
        <v>118146</v>
      </c>
      <c r="I32" s="83">
        <v>368089</v>
      </c>
    </row>
    <row r="33" spans="1:9">
      <c r="C33" t="s">
        <v>54</v>
      </c>
      <c r="H33" s="79">
        <v>35478</v>
      </c>
      <c r="I33" s="83">
        <v>49709</v>
      </c>
    </row>
    <row r="34" spans="1:9">
      <c r="C34" t="s">
        <v>166</v>
      </c>
      <c r="H34" s="83"/>
      <c r="I34" s="83"/>
    </row>
    <row r="35" spans="1:9">
      <c r="D35" t="s">
        <v>88</v>
      </c>
      <c r="H35" s="92">
        <v>3114529</v>
      </c>
      <c r="I35" s="83">
        <v>3334350</v>
      </c>
    </row>
    <row r="36" spans="1:9">
      <c r="D36" t="s">
        <v>89</v>
      </c>
      <c r="H36" s="77">
        <v>40226768</v>
      </c>
      <c r="I36" s="83">
        <v>28163537</v>
      </c>
    </row>
    <row r="37" spans="1:9">
      <c r="H37" s="81"/>
      <c r="I37" s="81"/>
    </row>
    <row r="38" spans="1:9">
      <c r="D38" s="7" t="s">
        <v>33</v>
      </c>
      <c r="E38" s="8"/>
      <c r="F38" s="8"/>
      <c r="G38" s="8"/>
      <c r="H38" s="87">
        <f>SUM(H26:H36)</f>
        <v>49309568</v>
      </c>
      <c r="I38" s="87">
        <f>SUM(I26:I36)</f>
        <v>36677155</v>
      </c>
    </row>
    <row r="39" spans="1:9">
      <c r="D39" s="5"/>
      <c r="H39" s="100"/>
      <c r="I39" s="100"/>
    </row>
    <row r="40" spans="1:9">
      <c r="A40" s="5" t="s">
        <v>167</v>
      </c>
      <c r="D40" s="5"/>
      <c r="H40" s="100"/>
      <c r="I40" s="100"/>
    </row>
    <row r="41" spans="1:9">
      <c r="C41" t="s">
        <v>168</v>
      </c>
      <c r="D41" s="5"/>
      <c r="H41" s="201"/>
      <c r="I41" s="201">
        <v>1787930</v>
      </c>
    </row>
    <row r="42" spans="1:9">
      <c r="D42" s="5"/>
      <c r="H42" s="100"/>
      <c r="I42" s="100"/>
    </row>
    <row r="43" spans="1:9">
      <c r="D43" s="149" t="s">
        <v>169</v>
      </c>
      <c r="E43" s="238"/>
      <c r="F43" s="238"/>
      <c r="G43" s="238"/>
      <c r="H43" s="239">
        <f>SUM(H41+H38)</f>
        <v>49309568</v>
      </c>
      <c r="I43" s="239">
        <f>SUM(I41+I38)</f>
        <v>38465085</v>
      </c>
    </row>
    <row r="44" spans="1:9">
      <c r="A44" s="3" t="s">
        <v>35</v>
      </c>
      <c r="H44" s="83"/>
      <c r="I44" s="83"/>
    </row>
    <row r="45" spans="1:9">
      <c r="B45" t="s">
        <v>96</v>
      </c>
      <c r="H45" s="88">
        <v>172306406</v>
      </c>
      <c r="I45" s="83">
        <v>24635594</v>
      </c>
    </row>
    <row r="46" spans="1:9">
      <c r="B46" t="s">
        <v>37</v>
      </c>
      <c r="H46" s="83"/>
      <c r="I46" s="83"/>
    </row>
    <row r="47" spans="1:9">
      <c r="C47" t="s">
        <v>170</v>
      </c>
      <c r="H47" s="89">
        <v>14884859</v>
      </c>
      <c r="I47" s="83"/>
    </row>
    <row r="48" spans="1:9">
      <c r="C48" t="s">
        <v>65</v>
      </c>
      <c r="H48" s="89">
        <v>4844635</v>
      </c>
      <c r="I48" s="83"/>
    </row>
    <row r="49" spans="2:9">
      <c r="C49" t="s">
        <v>171</v>
      </c>
      <c r="H49" s="89">
        <v>31807558</v>
      </c>
      <c r="I49" s="83"/>
    </row>
    <row r="50" spans="2:9">
      <c r="C50" t="s">
        <v>172</v>
      </c>
      <c r="H50" s="89">
        <v>9088900</v>
      </c>
      <c r="I50" s="83"/>
    </row>
    <row r="51" spans="2:9">
      <c r="C51" t="s">
        <v>67</v>
      </c>
      <c r="H51" s="89">
        <v>22312030</v>
      </c>
      <c r="I51" s="83"/>
    </row>
    <row r="52" spans="2:9">
      <c r="C52" t="s">
        <v>66</v>
      </c>
      <c r="H52" s="89">
        <v>24743537</v>
      </c>
      <c r="I52" s="83"/>
    </row>
    <row r="53" spans="2:9">
      <c r="C53" t="s">
        <v>153</v>
      </c>
      <c r="H53" s="89">
        <v>926745</v>
      </c>
      <c r="I53" s="83">
        <v>7175000</v>
      </c>
    </row>
    <row r="54" spans="2:9">
      <c r="C54" t="s">
        <v>38</v>
      </c>
      <c r="H54" s="89">
        <v>2981838</v>
      </c>
      <c r="I54" s="83">
        <v>2029696</v>
      </c>
    </row>
    <row r="55" spans="2:9">
      <c r="C55" t="s">
        <v>173</v>
      </c>
      <c r="H55" s="83"/>
      <c r="I55" s="83">
        <v>2220180</v>
      </c>
    </row>
    <row r="56" spans="2:9">
      <c r="B56" t="s">
        <v>69</v>
      </c>
      <c r="H56" s="93">
        <v>66822598</v>
      </c>
      <c r="I56" s="83">
        <v>14722036</v>
      </c>
    </row>
    <row r="57" spans="2:9">
      <c r="H57" s="81"/>
      <c r="I57" s="81"/>
    </row>
    <row r="58" spans="2:9" s="3" customFormat="1">
      <c r="C58" s="9" t="s">
        <v>42</v>
      </c>
      <c r="D58" s="9"/>
      <c r="E58" s="9"/>
      <c r="F58" s="9"/>
      <c r="G58" s="9"/>
      <c r="H58" s="94">
        <f>SUM(H45:H56)</f>
        <v>350719106</v>
      </c>
      <c r="I58" s="94">
        <f>SUM(I45:I56)</f>
        <v>50782506</v>
      </c>
    </row>
    <row r="59" spans="2:9">
      <c r="H59" s="83"/>
      <c r="I59" s="83"/>
    </row>
    <row r="60" spans="2:9" s="3" customFormat="1">
      <c r="C60" s="10" t="s">
        <v>43</v>
      </c>
      <c r="D60" s="10"/>
      <c r="E60" s="10"/>
      <c r="F60" s="10"/>
      <c r="G60" s="10"/>
      <c r="H60" s="95">
        <f>SUM(H38+H58)</f>
        <v>400028674</v>
      </c>
      <c r="I60" s="95">
        <f>SUM(I58+I38)</f>
        <v>87459661</v>
      </c>
    </row>
    <row r="61" spans="2:9">
      <c r="H61" s="83"/>
      <c r="I61" s="83"/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workbookViewId="0">
      <selection activeCell="G26" sqref="G26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174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7860568</v>
      </c>
    </row>
    <row r="7" spans="1:7">
      <c r="B7" t="s">
        <v>47</v>
      </c>
      <c r="G7" s="78">
        <v>1821397</v>
      </c>
    </row>
    <row r="8" spans="1:7">
      <c r="B8" t="s">
        <v>51</v>
      </c>
      <c r="G8" s="91">
        <v>14109112</v>
      </c>
    </row>
    <row r="9" spans="1:7">
      <c r="G9" s="83"/>
    </row>
    <row r="10" spans="1:7">
      <c r="A10" s="5"/>
      <c r="B10" s="6" t="s">
        <v>15</v>
      </c>
      <c r="C10" s="6"/>
      <c r="D10" s="6"/>
      <c r="E10" s="6"/>
      <c r="F10" s="6"/>
      <c r="G10" s="82">
        <f>SUM(G6:G8)</f>
        <v>23791077</v>
      </c>
    </row>
    <row r="11" spans="1:7">
      <c r="G11" s="83"/>
    </row>
    <row r="12" spans="1:7">
      <c r="A12" s="5" t="s">
        <v>52</v>
      </c>
      <c r="G12" s="83"/>
    </row>
    <row r="13" spans="1:7">
      <c r="A13" s="5"/>
      <c r="B13" t="s">
        <v>133</v>
      </c>
      <c r="G13" s="84">
        <v>244089</v>
      </c>
    </row>
    <row r="14" spans="1:7">
      <c r="B14" t="s">
        <v>175</v>
      </c>
      <c r="G14" s="96">
        <v>57698</v>
      </c>
    </row>
    <row r="15" spans="1:7">
      <c r="B15" t="s">
        <v>106</v>
      </c>
      <c r="G15" s="86">
        <v>119522</v>
      </c>
    </row>
    <row r="16" spans="1:7">
      <c r="G16" s="81"/>
    </row>
    <row r="17" spans="1:7">
      <c r="C17" s="7" t="s">
        <v>33</v>
      </c>
      <c r="D17" s="8"/>
      <c r="E17" s="8"/>
      <c r="F17" s="8"/>
      <c r="G17" s="87">
        <f>SUM(G13:G15)</f>
        <v>421309</v>
      </c>
    </row>
    <row r="18" spans="1:7">
      <c r="G18" s="83"/>
    </row>
    <row r="19" spans="1:7">
      <c r="A19" s="3" t="s">
        <v>35</v>
      </c>
      <c r="G19" s="83"/>
    </row>
    <row r="20" spans="1:7">
      <c r="B20" t="s">
        <v>96</v>
      </c>
      <c r="G20" s="88">
        <v>14109112</v>
      </c>
    </row>
    <row r="21" spans="1:7">
      <c r="B21" t="s">
        <v>176</v>
      </c>
      <c r="G21" s="89">
        <v>6856564</v>
      </c>
    </row>
    <row r="22" spans="1:7">
      <c r="B22" t="s">
        <v>69</v>
      </c>
      <c r="G22" s="93">
        <v>2404092</v>
      </c>
    </row>
    <row r="23" spans="1:7">
      <c r="G23" s="81"/>
    </row>
    <row r="24" spans="1:7">
      <c r="A24" s="3"/>
      <c r="B24" s="9" t="s">
        <v>42</v>
      </c>
      <c r="C24" s="9"/>
      <c r="D24" s="9"/>
      <c r="E24" s="9"/>
      <c r="F24" s="9"/>
      <c r="G24" s="94">
        <f>SUM(G20:G22)</f>
        <v>23369768</v>
      </c>
    </row>
    <row r="25" spans="1:7">
      <c r="G25" s="83"/>
    </row>
    <row r="26" spans="1:7">
      <c r="A26" s="3"/>
      <c r="B26" s="10" t="s">
        <v>43</v>
      </c>
      <c r="C26" s="10"/>
      <c r="D26" s="10"/>
      <c r="E26" s="10"/>
      <c r="F26" s="10"/>
      <c r="G26" s="95">
        <f>SUM(G17+G24)</f>
        <v>23791077</v>
      </c>
    </row>
    <row r="27" spans="1:7">
      <c r="G27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4"/>
  <sheetViews>
    <sheetView workbookViewId="0">
      <selection activeCell="J40" sqref="J40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5.7109375" customWidth="1"/>
  </cols>
  <sheetData>
    <row r="1" spans="1:10" ht="18.75" customHeight="1">
      <c r="A1" s="1"/>
      <c r="B1" s="1"/>
      <c r="C1" s="1"/>
      <c r="D1" s="268" t="s">
        <v>177</v>
      </c>
      <c r="E1" s="268"/>
      <c r="F1" s="268"/>
      <c r="G1" s="268"/>
      <c r="H1" s="268"/>
    </row>
    <row r="2" spans="1:10" ht="18.600000000000001">
      <c r="A2" s="1"/>
      <c r="B2" s="1"/>
      <c r="C2" s="1"/>
      <c r="D2" s="266" t="s">
        <v>1</v>
      </c>
      <c r="E2" s="266"/>
      <c r="F2" s="266"/>
      <c r="G2" s="266"/>
      <c r="H2" s="266"/>
    </row>
    <row r="4" spans="1:10">
      <c r="H4" s="211"/>
      <c r="I4" s="177" t="s">
        <v>3</v>
      </c>
    </row>
    <row r="5" spans="1:10" ht="29.1">
      <c r="H5" s="105" t="s">
        <v>45</v>
      </c>
      <c r="I5" s="106" t="s">
        <v>178</v>
      </c>
      <c r="J5" s="5"/>
    </row>
    <row r="6" spans="1:10">
      <c r="A6" s="3" t="s">
        <v>4</v>
      </c>
      <c r="D6" s="3"/>
      <c r="G6" s="4"/>
      <c r="H6" s="4"/>
    </row>
    <row r="7" spans="1:10">
      <c r="C7" t="s">
        <v>46</v>
      </c>
      <c r="H7" s="77">
        <v>2290596</v>
      </c>
      <c r="I7" s="83">
        <v>104637</v>
      </c>
    </row>
    <row r="8" spans="1:10">
      <c r="C8" t="s">
        <v>179</v>
      </c>
      <c r="H8" s="77">
        <v>26325</v>
      </c>
      <c r="I8" s="83"/>
    </row>
    <row r="9" spans="1:10">
      <c r="C9" t="s">
        <v>180</v>
      </c>
      <c r="H9" s="83"/>
      <c r="I9" s="83"/>
    </row>
    <row r="10" spans="1:10">
      <c r="C10" t="s">
        <v>47</v>
      </c>
      <c r="H10" s="78">
        <v>1411486</v>
      </c>
      <c r="I10" s="83">
        <v>14594</v>
      </c>
    </row>
    <row r="11" spans="1:10">
      <c r="C11" t="s">
        <v>78</v>
      </c>
      <c r="H11" s="79">
        <v>81766</v>
      </c>
      <c r="I11" s="83"/>
    </row>
    <row r="12" spans="1:10">
      <c r="C12" t="s">
        <v>51</v>
      </c>
      <c r="H12" s="91">
        <v>5862816</v>
      </c>
      <c r="I12" s="83">
        <v>88616</v>
      </c>
    </row>
    <row r="13" spans="1:10">
      <c r="H13" s="83"/>
      <c r="I13" s="81"/>
    </row>
    <row r="14" spans="1:10" s="5" customFormat="1">
      <c r="C14" s="6" t="s">
        <v>15</v>
      </c>
      <c r="D14" s="6"/>
      <c r="E14" s="6"/>
      <c r="F14" s="6"/>
      <c r="G14" s="6"/>
      <c r="H14" s="82">
        <f>SUM(H7:H12)</f>
        <v>9672989</v>
      </c>
      <c r="I14" s="82">
        <f>SUM(I7:I12)</f>
        <v>207847</v>
      </c>
    </row>
    <row r="15" spans="1:10">
      <c r="H15" s="83"/>
      <c r="I15" s="83"/>
    </row>
    <row r="16" spans="1:10">
      <c r="A16" s="5" t="s">
        <v>52</v>
      </c>
      <c r="H16" s="83"/>
      <c r="I16" s="83"/>
    </row>
    <row r="17" spans="1:9">
      <c r="C17" t="s">
        <v>133</v>
      </c>
      <c r="H17" s="84">
        <v>144719</v>
      </c>
      <c r="I17" s="83">
        <v>526</v>
      </c>
    </row>
    <row r="18" spans="1:9">
      <c r="C18" t="s">
        <v>29</v>
      </c>
      <c r="H18" s="86">
        <v>32033</v>
      </c>
      <c r="I18" s="83"/>
    </row>
    <row r="19" spans="1:9">
      <c r="C19" t="s">
        <v>181</v>
      </c>
      <c r="H19" s="92">
        <v>104000</v>
      </c>
      <c r="I19" s="83"/>
    </row>
    <row r="20" spans="1:9">
      <c r="C20" t="s">
        <v>182</v>
      </c>
      <c r="H20" s="77">
        <v>272000</v>
      </c>
      <c r="I20" s="83"/>
    </row>
    <row r="21" spans="1:9">
      <c r="H21" s="81"/>
      <c r="I21" s="81"/>
    </row>
    <row r="22" spans="1:9">
      <c r="D22" s="7" t="s">
        <v>33</v>
      </c>
      <c r="E22" s="8"/>
      <c r="F22" s="8"/>
      <c r="G22" s="8"/>
      <c r="H22" s="87">
        <f>SUM(H17:H20)</f>
        <v>552752</v>
      </c>
      <c r="I22" s="87">
        <f>SUM(I17:I20)</f>
        <v>526</v>
      </c>
    </row>
    <row r="23" spans="1:9">
      <c r="H23" s="83"/>
      <c r="I23" s="83"/>
    </row>
    <row r="24" spans="1:9">
      <c r="A24" s="5" t="s">
        <v>183</v>
      </c>
      <c r="H24" s="83"/>
      <c r="I24" s="83"/>
    </row>
    <row r="25" spans="1:9">
      <c r="C25" t="s">
        <v>184</v>
      </c>
      <c r="H25" s="122">
        <v>14777</v>
      </c>
      <c r="I25" s="122"/>
    </row>
    <row r="26" spans="1:9">
      <c r="H26" s="83"/>
      <c r="I26" s="83"/>
    </row>
    <row r="27" spans="1:9">
      <c r="A27" s="3" t="s">
        <v>35</v>
      </c>
      <c r="H27" s="83"/>
      <c r="I27" s="83"/>
    </row>
    <row r="28" spans="1:9">
      <c r="B28" t="s">
        <v>96</v>
      </c>
      <c r="H28" s="88">
        <v>5750215</v>
      </c>
      <c r="I28" s="83">
        <v>88616</v>
      </c>
    </row>
    <row r="29" spans="1:9">
      <c r="B29" t="s">
        <v>41</v>
      </c>
      <c r="H29" s="93">
        <v>3220628</v>
      </c>
      <c r="I29" s="83">
        <v>118705</v>
      </c>
    </row>
    <row r="30" spans="1:9">
      <c r="H30" s="81"/>
      <c r="I30" s="81"/>
    </row>
    <row r="31" spans="1:9" s="3" customFormat="1">
      <c r="C31" s="9" t="s">
        <v>42</v>
      </c>
      <c r="D31" s="9"/>
      <c r="E31" s="9"/>
      <c r="F31" s="9"/>
      <c r="G31" s="9"/>
      <c r="H31" s="94">
        <f>SUM(H28:H29)</f>
        <v>8970843</v>
      </c>
      <c r="I31" s="94">
        <f>SUM(I28:I29)</f>
        <v>207321</v>
      </c>
    </row>
    <row r="32" spans="1:9">
      <c r="H32" s="83"/>
      <c r="I32" s="83"/>
    </row>
    <row r="33" spans="3:9" s="3" customFormat="1">
      <c r="C33" s="10" t="s">
        <v>43</v>
      </c>
      <c r="D33" s="10"/>
      <c r="E33" s="10"/>
      <c r="F33" s="10"/>
      <c r="G33" s="10"/>
      <c r="H33" s="95">
        <f>SUM(H22+H31+H25)</f>
        <v>9538372</v>
      </c>
      <c r="I33" s="95">
        <f>SUM(I31+I22)</f>
        <v>207847</v>
      </c>
    </row>
    <row r="34" spans="3:9">
      <c r="H34" s="83"/>
      <c r="I34" s="83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8"/>
  <sheetViews>
    <sheetView zoomScale="80" zoomScaleNormal="80" zoomScalePageLayoutView="80" workbookViewId="0">
      <selection activeCell="H58" sqref="H58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  <col min="11" max="11" width="17.28515625" customWidth="1"/>
  </cols>
  <sheetData>
    <row r="1" spans="1:11" ht="18.75" customHeight="1">
      <c r="A1" s="1"/>
      <c r="B1" s="1"/>
      <c r="C1" s="1"/>
      <c r="D1" s="268" t="s">
        <v>185</v>
      </c>
      <c r="E1" s="268"/>
      <c r="F1" s="268"/>
      <c r="G1" s="268"/>
      <c r="H1" s="268"/>
      <c r="I1" s="97"/>
      <c r="J1" s="97"/>
    </row>
    <row r="2" spans="1:11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1" ht="14.25" customHeight="1">
      <c r="H4" s="272" t="s">
        <v>2</v>
      </c>
      <c r="I4" s="272"/>
      <c r="J4" s="272"/>
      <c r="K4" s="199"/>
    </row>
    <row r="5" spans="1:11" ht="31.5" customHeight="1">
      <c r="H5" s="105" t="s">
        <v>45</v>
      </c>
      <c r="I5" s="105" t="s">
        <v>141</v>
      </c>
      <c r="J5" s="105" t="s">
        <v>73</v>
      </c>
      <c r="K5" s="106" t="s">
        <v>71</v>
      </c>
    </row>
    <row r="6" spans="1:11">
      <c r="A6" s="3" t="s">
        <v>4</v>
      </c>
      <c r="D6" s="3"/>
      <c r="G6" s="4"/>
      <c r="H6" s="4"/>
      <c r="I6" s="4"/>
      <c r="J6" s="4"/>
    </row>
    <row r="7" spans="1:11">
      <c r="C7" t="s">
        <v>46</v>
      </c>
      <c r="H7" s="77">
        <v>58437555</v>
      </c>
      <c r="I7" s="83">
        <v>313815</v>
      </c>
      <c r="J7" s="83">
        <f t="shared" ref="J7:J23" si="0">SUM(H7:I7)</f>
        <v>58751370</v>
      </c>
      <c r="K7" s="83">
        <v>43640254</v>
      </c>
    </row>
    <row r="8" spans="1:11">
      <c r="C8" t="s">
        <v>6</v>
      </c>
      <c r="H8" s="84">
        <v>208827036</v>
      </c>
      <c r="I8" s="83">
        <v>971149</v>
      </c>
      <c r="J8" s="83">
        <f t="shared" si="0"/>
        <v>209798185</v>
      </c>
      <c r="K8" s="83">
        <v>48040669</v>
      </c>
    </row>
    <row r="9" spans="1:11">
      <c r="C9" t="s">
        <v>186</v>
      </c>
      <c r="H9" s="78">
        <v>54814781</v>
      </c>
      <c r="I9" s="83">
        <v>458456</v>
      </c>
      <c r="J9" s="83">
        <f t="shared" si="0"/>
        <v>55273237</v>
      </c>
      <c r="K9" s="83">
        <v>64038752</v>
      </c>
    </row>
    <row r="10" spans="1:11">
      <c r="C10" t="s">
        <v>187</v>
      </c>
      <c r="H10" s="78">
        <v>2785381</v>
      </c>
      <c r="I10" s="83"/>
      <c r="J10" s="83">
        <f t="shared" si="0"/>
        <v>2785381</v>
      </c>
      <c r="K10" s="83">
        <v>1774669</v>
      </c>
    </row>
    <row r="11" spans="1:11">
      <c r="C11" t="s">
        <v>11</v>
      </c>
      <c r="H11" s="90">
        <v>27125</v>
      </c>
      <c r="I11" s="83">
        <v>52541</v>
      </c>
      <c r="J11" s="83">
        <f t="shared" si="0"/>
        <v>79666</v>
      </c>
      <c r="K11" s="83"/>
    </row>
    <row r="12" spans="1:11">
      <c r="C12" t="s">
        <v>157</v>
      </c>
      <c r="H12" s="83"/>
      <c r="I12" s="83"/>
      <c r="J12" s="83">
        <f t="shared" si="0"/>
        <v>0</v>
      </c>
      <c r="K12" s="83">
        <v>58216</v>
      </c>
    </row>
    <row r="13" spans="1:11">
      <c r="C13" t="s">
        <v>188</v>
      </c>
      <c r="H13" s="78">
        <v>33189</v>
      </c>
      <c r="I13" s="83"/>
      <c r="J13" s="83">
        <f t="shared" si="0"/>
        <v>33189</v>
      </c>
      <c r="K13" s="83"/>
    </row>
    <row r="14" spans="1:11">
      <c r="C14" t="s">
        <v>115</v>
      </c>
      <c r="H14" s="79">
        <v>236100</v>
      </c>
      <c r="I14" s="83">
        <v>20099</v>
      </c>
      <c r="J14" s="83">
        <f t="shared" si="0"/>
        <v>256199</v>
      </c>
      <c r="K14" s="83">
        <v>1756410</v>
      </c>
    </row>
    <row r="15" spans="1:11">
      <c r="C15" t="s">
        <v>49</v>
      </c>
      <c r="H15" s="79">
        <v>1175401</v>
      </c>
      <c r="I15" s="83"/>
      <c r="J15" s="83">
        <f t="shared" si="0"/>
        <v>1175401</v>
      </c>
      <c r="K15" s="83">
        <v>1940603</v>
      </c>
    </row>
    <row r="16" spans="1:11">
      <c r="C16" t="s">
        <v>78</v>
      </c>
      <c r="H16" s="83"/>
      <c r="I16" s="83">
        <v>320</v>
      </c>
      <c r="J16" s="83">
        <f t="shared" si="0"/>
        <v>320</v>
      </c>
      <c r="K16" s="83">
        <v>222243</v>
      </c>
    </row>
    <row r="17" spans="1:11">
      <c r="C17" t="s">
        <v>189</v>
      </c>
      <c r="H17" s="83"/>
      <c r="I17" s="83"/>
      <c r="J17" s="83"/>
      <c r="K17" s="83"/>
    </row>
    <row r="18" spans="1:11">
      <c r="D18" t="s">
        <v>46</v>
      </c>
      <c r="H18" s="83"/>
      <c r="I18" s="83">
        <v>11173</v>
      </c>
      <c r="J18" s="83">
        <f t="shared" si="0"/>
        <v>11173</v>
      </c>
      <c r="K18" s="83">
        <v>5437563</v>
      </c>
    </row>
    <row r="19" spans="1:11">
      <c r="D19" t="s">
        <v>6</v>
      </c>
      <c r="H19" s="83"/>
      <c r="I19" s="83">
        <v>222206</v>
      </c>
      <c r="J19" s="83">
        <f t="shared" si="0"/>
        <v>222206</v>
      </c>
      <c r="K19" s="83">
        <v>7040297</v>
      </c>
    </row>
    <row r="20" spans="1:11">
      <c r="D20" t="s">
        <v>190</v>
      </c>
      <c r="H20" s="83"/>
      <c r="I20" s="83">
        <v>189350</v>
      </c>
      <c r="J20" s="83">
        <f t="shared" si="0"/>
        <v>189350</v>
      </c>
      <c r="K20" s="83">
        <v>3013281</v>
      </c>
    </row>
    <row r="21" spans="1:11">
      <c r="C21" t="s">
        <v>12</v>
      </c>
      <c r="H21" s="83"/>
      <c r="I21" s="83"/>
      <c r="J21" s="83"/>
      <c r="K21" s="83"/>
    </row>
    <row r="22" spans="1:11">
      <c r="D22" t="s">
        <v>13</v>
      </c>
      <c r="H22" s="80">
        <v>420818629</v>
      </c>
      <c r="I22" s="83">
        <v>252770</v>
      </c>
      <c r="J22" s="83">
        <f t="shared" si="0"/>
        <v>421071399</v>
      </c>
      <c r="K22" s="83">
        <v>38320566</v>
      </c>
    </row>
    <row r="23" spans="1:11">
      <c r="D23" t="s">
        <v>14</v>
      </c>
      <c r="H23" s="91">
        <v>97989562</v>
      </c>
      <c r="I23" s="83">
        <v>8819750</v>
      </c>
      <c r="J23" s="83">
        <f t="shared" si="0"/>
        <v>106809312</v>
      </c>
      <c r="K23" s="83">
        <v>210376526</v>
      </c>
    </row>
    <row r="24" spans="1:11">
      <c r="H24" s="83"/>
      <c r="I24" s="81"/>
      <c r="J24" s="81"/>
      <c r="K24" s="81"/>
    </row>
    <row r="25" spans="1:11">
      <c r="A25" s="5"/>
      <c r="B25" s="5"/>
      <c r="C25" s="6" t="s">
        <v>15</v>
      </c>
      <c r="D25" s="6"/>
      <c r="E25" s="6"/>
      <c r="F25" s="6"/>
      <c r="G25" s="6"/>
      <c r="H25" s="82">
        <f>SUM(H7:H23)</f>
        <v>845144759</v>
      </c>
      <c r="I25" s="82">
        <f>SUM(I7:I23)</f>
        <v>11311629</v>
      </c>
      <c r="J25" s="82">
        <f>SUM(J7:J23)</f>
        <v>856456388</v>
      </c>
      <c r="K25" s="82">
        <f>SUM(K7:K23)</f>
        <v>425660049</v>
      </c>
    </row>
    <row r="26" spans="1:11">
      <c r="H26" s="83"/>
      <c r="I26" s="83"/>
      <c r="J26" s="83"/>
      <c r="K26" s="83"/>
    </row>
    <row r="27" spans="1:11">
      <c r="A27" s="5" t="s">
        <v>160</v>
      </c>
      <c r="H27" s="83"/>
      <c r="I27" s="83"/>
      <c r="J27" s="83"/>
      <c r="K27" s="83"/>
    </row>
    <row r="28" spans="1:11">
      <c r="C28" t="s">
        <v>191</v>
      </c>
      <c r="H28" s="122"/>
      <c r="I28" s="122"/>
      <c r="J28" s="122"/>
      <c r="K28" s="122">
        <v>65281</v>
      </c>
    </row>
    <row r="29" spans="1:11">
      <c r="H29" s="83"/>
      <c r="I29" s="83"/>
      <c r="J29" s="83"/>
      <c r="K29" s="83"/>
    </row>
    <row r="30" spans="1:11">
      <c r="A30" s="5" t="s">
        <v>52</v>
      </c>
      <c r="H30" s="83"/>
      <c r="I30" s="83"/>
      <c r="J30" s="83"/>
      <c r="K30" s="83"/>
    </row>
    <row r="31" spans="1:11">
      <c r="C31" t="s">
        <v>192</v>
      </c>
      <c r="H31" s="84">
        <v>7910576</v>
      </c>
      <c r="I31" s="83">
        <v>103090</v>
      </c>
      <c r="J31" s="83">
        <f t="shared" ref="J31:J37" si="1">SUM(H31:I31)</f>
        <v>8013666</v>
      </c>
      <c r="K31" s="83">
        <v>10957145</v>
      </c>
    </row>
    <row r="32" spans="1:11">
      <c r="C32" t="s">
        <v>193</v>
      </c>
      <c r="H32" s="84">
        <v>3573549</v>
      </c>
      <c r="I32" s="83"/>
      <c r="J32" s="83">
        <f t="shared" si="1"/>
        <v>3573549</v>
      </c>
      <c r="K32" s="83">
        <v>1128353</v>
      </c>
    </row>
    <row r="33" spans="1:11">
      <c r="C33" t="s">
        <v>25</v>
      </c>
      <c r="H33" s="83"/>
      <c r="I33" s="83"/>
      <c r="J33" s="83">
        <f t="shared" si="1"/>
        <v>0</v>
      </c>
      <c r="K33" s="83">
        <v>79666</v>
      </c>
    </row>
    <row r="34" spans="1:11">
      <c r="C34" t="s">
        <v>164</v>
      </c>
      <c r="H34" s="96">
        <v>58216</v>
      </c>
      <c r="I34" s="83"/>
      <c r="J34" s="83">
        <f t="shared" si="1"/>
        <v>58216</v>
      </c>
      <c r="K34" s="83"/>
    </row>
    <row r="35" spans="1:11">
      <c r="C35" t="s">
        <v>54</v>
      </c>
      <c r="H35" s="79">
        <v>1089097</v>
      </c>
      <c r="I35" s="83"/>
      <c r="J35" s="83">
        <f t="shared" si="1"/>
        <v>1089097</v>
      </c>
      <c r="K35" s="83">
        <v>105362</v>
      </c>
    </row>
    <row r="36" spans="1:11">
      <c r="C36" t="s">
        <v>108</v>
      </c>
      <c r="H36" s="79">
        <v>371818</v>
      </c>
      <c r="I36" s="83"/>
      <c r="J36" s="83">
        <f t="shared" si="1"/>
        <v>371818</v>
      </c>
      <c r="K36" s="83">
        <v>326547</v>
      </c>
    </row>
    <row r="37" spans="1:11">
      <c r="C37" t="s">
        <v>194</v>
      </c>
      <c r="H37" s="83"/>
      <c r="I37" s="83">
        <v>122470</v>
      </c>
      <c r="J37" s="83">
        <f t="shared" si="1"/>
        <v>122470</v>
      </c>
      <c r="K37" s="83">
        <v>791128</v>
      </c>
    </row>
    <row r="38" spans="1:11">
      <c r="C38" t="s">
        <v>166</v>
      </c>
      <c r="H38" s="83"/>
      <c r="I38" s="83"/>
      <c r="J38" s="83"/>
      <c r="K38" s="83"/>
    </row>
    <row r="39" spans="1:11">
      <c r="D39" t="s">
        <v>88</v>
      </c>
      <c r="H39" s="92">
        <v>2707932</v>
      </c>
      <c r="I39" s="83">
        <v>41626</v>
      </c>
      <c r="J39" s="83">
        <f t="shared" ref="J39" si="2">SUM(H39:I39)</f>
        <v>2749558</v>
      </c>
      <c r="K39" s="83">
        <v>8459117</v>
      </c>
    </row>
    <row r="40" spans="1:11">
      <c r="D40" t="s">
        <v>89</v>
      </c>
      <c r="H40" s="77">
        <v>7467672</v>
      </c>
      <c r="I40" s="83">
        <v>274460</v>
      </c>
      <c r="J40" s="83">
        <f>SUM(H40:I40)</f>
        <v>7742132</v>
      </c>
      <c r="K40" s="83">
        <v>50270434</v>
      </c>
    </row>
    <row r="41" spans="1:11">
      <c r="H41" s="81"/>
      <c r="I41" s="81"/>
      <c r="J41" s="81"/>
      <c r="K41" s="81"/>
    </row>
    <row r="42" spans="1:11">
      <c r="D42" s="7" t="s">
        <v>33</v>
      </c>
      <c r="E42" s="8"/>
      <c r="F42" s="8"/>
      <c r="G42" s="8"/>
      <c r="H42" s="87">
        <f>SUM(H31:H40)</f>
        <v>23178860</v>
      </c>
      <c r="I42" s="87">
        <f>SUM(I31:I40)</f>
        <v>541646</v>
      </c>
      <c r="J42" s="87">
        <f>SUM(J31:J40)</f>
        <v>23720506</v>
      </c>
      <c r="K42" s="87">
        <f>SUM(K31:K40)</f>
        <v>72117752</v>
      </c>
    </row>
    <row r="43" spans="1:11">
      <c r="H43" s="83"/>
      <c r="I43" s="83"/>
      <c r="J43" s="83"/>
      <c r="K43" s="83"/>
    </row>
    <row r="44" spans="1:11">
      <c r="A44" s="5" t="s">
        <v>195</v>
      </c>
      <c r="H44" s="83"/>
      <c r="I44" s="83"/>
      <c r="J44" s="83"/>
      <c r="K44" s="83"/>
    </row>
    <row r="45" spans="1:11">
      <c r="C45" t="s">
        <v>196</v>
      </c>
      <c r="H45" s="122">
        <v>47096091</v>
      </c>
      <c r="I45" s="122"/>
      <c r="J45" s="122">
        <f>SUM(H45:I45)</f>
        <v>47096091</v>
      </c>
      <c r="K45" s="122">
        <v>21173199</v>
      </c>
    </row>
    <row r="46" spans="1:11">
      <c r="H46" s="83"/>
      <c r="I46" s="83"/>
      <c r="J46" s="83"/>
      <c r="K46" s="83"/>
    </row>
    <row r="47" spans="1:11">
      <c r="A47" s="3" t="s">
        <v>35</v>
      </c>
      <c r="H47" s="83"/>
      <c r="I47" s="83"/>
      <c r="J47" s="83"/>
      <c r="K47" s="83"/>
    </row>
    <row r="48" spans="1:11">
      <c r="B48" t="s">
        <v>96</v>
      </c>
      <c r="H48" s="88">
        <v>518808191</v>
      </c>
      <c r="I48" s="83">
        <v>8756434</v>
      </c>
      <c r="J48" s="83">
        <f>SUM(H48:I48)</f>
        <v>527564625</v>
      </c>
      <c r="K48" s="83">
        <v>215742765</v>
      </c>
    </row>
    <row r="49" spans="1:11" s="3" customFormat="1">
      <c r="A49"/>
      <c r="B49" t="s">
        <v>37</v>
      </c>
      <c r="C49"/>
      <c r="D49"/>
      <c r="E49"/>
      <c r="F49"/>
      <c r="G49"/>
      <c r="H49" s="83"/>
      <c r="I49" s="83"/>
      <c r="J49" s="83"/>
      <c r="K49" s="83"/>
    </row>
    <row r="50" spans="1:11" s="3" customFormat="1">
      <c r="A50"/>
      <c r="B50"/>
      <c r="C50" t="s">
        <v>38</v>
      </c>
      <c r="D50"/>
      <c r="E50"/>
      <c r="F50"/>
      <c r="G50"/>
      <c r="H50" s="83"/>
      <c r="I50" s="83">
        <v>305212</v>
      </c>
      <c r="J50" s="83">
        <f t="shared" ref="J50:J51" si="3">SUM(H50:I50)</f>
        <v>305212</v>
      </c>
      <c r="K50" s="83">
        <v>3170314</v>
      </c>
    </row>
    <row r="51" spans="1:11" s="3" customFormat="1">
      <c r="A51"/>
      <c r="B51"/>
      <c r="C51" t="s">
        <v>98</v>
      </c>
      <c r="D51"/>
      <c r="E51"/>
      <c r="F51"/>
      <c r="G51"/>
      <c r="H51" s="89">
        <v>111932288</v>
      </c>
      <c r="I51" s="83"/>
      <c r="J51" s="83">
        <f t="shared" si="3"/>
        <v>111932288</v>
      </c>
      <c r="K51" s="83"/>
    </row>
    <row r="52" spans="1:11">
      <c r="C52" t="s">
        <v>197</v>
      </c>
      <c r="H52" s="89">
        <v>66075687</v>
      </c>
      <c r="I52" s="83"/>
      <c r="J52" s="83">
        <f>SUM(H52:I52)</f>
        <v>66075687</v>
      </c>
      <c r="K52" s="83">
        <v>1880666</v>
      </c>
    </row>
    <row r="53" spans="1:11" s="3" customFormat="1">
      <c r="A53"/>
      <c r="B53" t="s">
        <v>69</v>
      </c>
      <c r="C53"/>
      <c r="D53"/>
      <c r="E53"/>
      <c r="F53"/>
      <c r="G53"/>
      <c r="H53" s="93">
        <v>78053642</v>
      </c>
      <c r="I53" s="83">
        <v>1708337</v>
      </c>
      <c r="J53" s="83">
        <v>79761979</v>
      </c>
      <c r="K53" s="83">
        <v>111640634</v>
      </c>
    </row>
    <row r="54" spans="1:11">
      <c r="H54" s="81"/>
      <c r="I54" s="81"/>
      <c r="J54" s="81"/>
      <c r="K54" s="81"/>
    </row>
    <row r="55" spans="1:11">
      <c r="A55" s="3"/>
      <c r="B55" s="3"/>
      <c r="C55" s="9" t="s">
        <v>42</v>
      </c>
      <c r="D55" s="9"/>
      <c r="E55" s="9"/>
      <c r="F55" s="9"/>
      <c r="G55" s="9"/>
      <c r="H55" s="94">
        <f>SUM(H48:H53)</f>
        <v>774869808</v>
      </c>
      <c r="I55" s="94">
        <f>SUM(I48:I53)</f>
        <v>10769983</v>
      </c>
      <c r="J55" s="94">
        <f t="shared" ref="J55:K55" si="4">SUM(J48:J53)</f>
        <v>785639791</v>
      </c>
      <c r="K55" s="94">
        <f t="shared" si="4"/>
        <v>332434379</v>
      </c>
    </row>
    <row r="56" spans="1:11">
      <c r="H56" s="83"/>
      <c r="I56" s="83"/>
      <c r="J56" s="83"/>
      <c r="K56" s="83"/>
    </row>
    <row r="57" spans="1:11">
      <c r="A57" s="3"/>
      <c r="B57" s="3"/>
      <c r="C57" s="10" t="s">
        <v>43</v>
      </c>
      <c r="D57" s="10"/>
      <c r="E57" s="10"/>
      <c r="F57" s="10"/>
      <c r="G57" s="10"/>
      <c r="H57" s="95">
        <f>SUM(H42+H55+H45)</f>
        <v>845144759</v>
      </c>
      <c r="I57" s="95">
        <f t="shared" ref="I57:K57" si="5">SUM(I42+I55+I45)</f>
        <v>11311629</v>
      </c>
      <c r="J57" s="95">
        <f t="shared" si="5"/>
        <v>856456388</v>
      </c>
      <c r="K57" s="95">
        <f t="shared" si="5"/>
        <v>425725330</v>
      </c>
    </row>
    <row r="58" spans="1:11">
      <c r="H58" s="83"/>
      <c r="I58" s="83"/>
      <c r="J58" s="83"/>
      <c r="K58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0"/>
  <sheetViews>
    <sheetView workbookViewId="0">
      <selection activeCell="J33" sqref="J33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198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5</v>
      </c>
      <c r="G6" s="77">
        <v>28467308</v>
      </c>
    </row>
    <row r="7" spans="1:7">
      <c r="B7" t="s">
        <v>113</v>
      </c>
      <c r="G7" s="78">
        <v>16614795</v>
      </c>
    </row>
    <row r="8" spans="1:7">
      <c r="B8" t="s">
        <v>199</v>
      </c>
      <c r="G8" s="79">
        <v>1822766</v>
      </c>
    </row>
    <row r="9" spans="1:7">
      <c r="B9" t="s">
        <v>200</v>
      </c>
      <c r="G9" s="79">
        <v>146710</v>
      </c>
    </row>
    <row r="10" spans="1:7">
      <c r="B10" t="s">
        <v>51</v>
      </c>
      <c r="G10" s="91">
        <v>123967765</v>
      </c>
    </row>
    <row r="11" spans="1:7">
      <c r="G11" s="83"/>
    </row>
    <row r="12" spans="1:7">
      <c r="A12" s="5"/>
      <c r="B12" s="6" t="s">
        <v>15</v>
      </c>
      <c r="C12" s="6"/>
      <c r="D12" s="6"/>
      <c r="E12" s="6"/>
      <c r="F12" s="6"/>
      <c r="G12" s="82">
        <f>SUM(G6:G10)</f>
        <v>171019344</v>
      </c>
    </row>
    <row r="13" spans="1:7">
      <c r="G13" s="83"/>
    </row>
    <row r="14" spans="1:7">
      <c r="A14" s="5" t="s">
        <v>52</v>
      </c>
      <c r="G14" s="83"/>
    </row>
    <row r="15" spans="1:7">
      <c r="A15" s="5"/>
      <c r="B15" t="s">
        <v>133</v>
      </c>
      <c r="G15" s="84">
        <v>3869415</v>
      </c>
    </row>
    <row r="16" spans="1:7">
      <c r="B16" t="s">
        <v>175</v>
      </c>
      <c r="G16" s="96">
        <v>2623074</v>
      </c>
    </row>
    <row r="17" spans="1:7">
      <c r="B17" t="s">
        <v>54</v>
      </c>
      <c r="G17" s="79">
        <v>17231</v>
      </c>
    </row>
    <row r="18" spans="1:7">
      <c r="B18" t="s">
        <v>134</v>
      </c>
      <c r="G18" s="84">
        <v>72342</v>
      </c>
    </row>
    <row r="19" spans="1:7">
      <c r="B19" t="s">
        <v>109</v>
      </c>
      <c r="G19" s="83"/>
    </row>
    <row r="20" spans="1:7">
      <c r="C20" t="s">
        <v>88</v>
      </c>
      <c r="G20" s="92">
        <v>1420448</v>
      </c>
    </row>
    <row r="21" spans="1:7">
      <c r="C21" t="s">
        <v>201</v>
      </c>
      <c r="G21" s="77">
        <v>4202746</v>
      </c>
    </row>
    <row r="22" spans="1:7">
      <c r="G22" s="81"/>
    </row>
    <row r="23" spans="1:7">
      <c r="C23" s="7" t="s">
        <v>33</v>
      </c>
      <c r="D23" s="8"/>
      <c r="E23" s="8"/>
      <c r="F23" s="8"/>
      <c r="G23" s="87">
        <f>SUM(G15:G21)</f>
        <v>12205256</v>
      </c>
    </row>
    <row r="24" spans="1:7">
      <c r="G24" s="83"/>
    </row>
    <row r="25" spans="1:7">
      <c r="A25" s="5" t="s">
        <v>195</v>
      </c>
      <c r="G25" s="122"/>
    </row>
    <row r="26" spans="1:7">
      <c r="G26" s="83"/>
    </row>
    <row r="27" spans="1:7">
      <c r="A27" s="3" t="s">
        <v>35</v>
      </c>
      <c r="G27" s="83"/>
    </row>
    <row r="28" spans="1:7">
      <c r="B28" t="s">
        <v>96</v>
      </c>
      <c r="G28" s="88">
        <v>118625621</v>
      </c>
    </row>
    <row r="29" spans="1:7">
      <c r="B29" t="s">
        <v>202</v>
      </c>
      <c r="G29" s="83"/>
    </row>
    <row r="30" spans="1:7">
      <c r="C30" t="s">
        <v>203</v>
      </c>
      <c r="G30" s="89">
        <v>58817</v>
      </c>
    </row>
    <row r="31" spans="1:7">
      <c r="C31" t="s">
        <v>38</v>
      </c>
      <c r="G31" s="89">
        <v>999067</v>
      </c>
    </row>
    <row r="32" spans="1:7">
      <c r="C32" t="s">
        <v>204</v>
      </c>
      <c r="G32" s="89">
        <v>39983</v>
      </c>
    </row>
    <row r="33" spans="1:7">
      <c r="C33" t="s">
        <v>158</v>
      </c>
      <c r="G33" s="89">
        <v>1822766</v>
      </c>
    </row>
    <row r="34" spans="1:7">
      <c r="C34" t="s">
        <v>143</v>
      </c>
      <c r="G34" s="89">
        <v>146710</v>
      </c>
    </row>
    <row r="35" spans="1:7">
      <c r="B35" t="s">
        <v>205</v>
      </c>
      <c r="G35" s="93">
        <v>37121124</v>
      </c>
    </row>
    <row r="36" spans="1:7">
      <c r="G36" s="83"/>
    </row>
    <row r="37" spans="1:7">
      <c r="A37" s="3"/>
      <c r="B37" s="9" t="s">
        <v>42</v>
      </c>
      <c r="C37" s="9"/>
      <c r="D37" s="9"/>
      <c r="E37" s="9"/>
      <c r="F37" s="9"/>
      <c r="G37" s="94">
        <f>SUM(G28:G35)</f>
        <v>158814088</v>
      </c>
    </row>
    <row r="38" spans="1:7">
      <c r="G38" s="83"/>
    </row>
    <row r="39" spans="1:7">
      <c r="A39" s="3"/>
      <c r="B39" s="10" t="s">
        <v>43</v>
      </c>
      <c r="C39" s="10"/>
      <c r="D39" s="10"/>
      <c r="E39" s="10"/>
      <c r="F39" s="10"/>
      <c r="G39" s="95">
        <f>SUM(G23+G37)</f>
        <v>171019344</v>
      </c>
    </row>
    <row r="40" spans="1:7">
      <c r="G40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9"/>
  <sheetViews>
    <sheetView workbookViewId="0">
      <selection activeCell="K36" sqref="K36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206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6269126</v>
      </c>
    </row>
    <row r="7" spans="1:7">
      <c r="B7" t="s">
        <v>6</v>
      </c>
      <c r="G7" s="84">
        <v>797211</v>
      </c>
    </row>
    <row r="8" spans="1:7">
      <c r="B8" t="s">
        <v>47</v>
      </c>
      <c r="G8" s="78">
        <v>3084505</v>
      </c>
    </row>
    <row r="9" spans="1:7">
      <c r="B9" t="s">
        <v>207</v>
      </c>
      <c r="G9" s="79">
        <v>22416</v>
      </c>
    </row>
    <row r="10" spans="1:7">
      <c r="B10" t="s">
        <v>208</v>
      </c>
      <c r="G10" s="79">
        <v>107283</v>
      </c>
    </row>
    <row r="11" spans="1:7">
      <c r="B11" t="s">
        <v>51</v>
      </c>
      <c r="G11" s="91">
        <v>8219499</v>
      </c>
    </row>
    <row r="12" spans="1:7">
      <c r="G12" s="83"/>
    </row>
    <row r="13" spans="1:7">
      <c r="A13" s="5"/>
      <c r="B13" s="6" t="s">
        <v>15</v>
      </c>
      <c r="C13" s="6"/>
      <c r="D13" s="6"/>
      <c r="E13" s="6"/>
      <c r="F13" s="6"/>
      <c r="G13" s="82">
        <f>SUM(G6:G11)</f>
        <v>18500040</v>
      </c>
    </row>
    <row r="14" spans="1:7">
      <c r="G14" s="83"/>
    </row>
    <row r="15" spans="1:7">
      <c r="A15" s="5" t="s">
        <v>52</v>
      </c>
      <c r="G15" s="83"/>
    </row>
    <row r="16" spans="1:7">
      <c r="A16" s="5"/>
      <c r="B16" t="s">
        <v>133</v>
      </c>
      <c r="G16" s="84">
        <v>446867</v>
      </c>
    </row>
    <row r="17" spans="1:7">
      <c r="B17" t="s">
        <v>175</v>
      </c>
      <c r="G17" s="96">
        <v>14025</v>
      </c>
    </row>
    <row r="18" spans="1:7">
      <c r="B18" t="s">
        <v>209</v>
      </c>
      <c r="G18" s="79">
        <v>15626</v>
      </c>
    </row>
    <row r="19" spans="1:7">
      <c r="B19" t="s">
        <v>106</v>
      </c>
      <c r="G19" s="86">
        <v>57248</v>
      </c>
    </row>
    <row r="20" spans="1:7">
      <c r="B20" t="s">
        <v>210</v>
      </c>
      <c r="G20" s="92">
        <v>155000</v>
      </c>
    </row>
    <row r="21" spans="1:7">
      <c r="B21" t="s">
        <v>211</v>
      </c>
      <c r="G21" s="77">
        <v>1545000</v>
      </c>
    </row>
    <row r="22" spans="1:7">
      <c r="G22" s="81"/>
    </row>
    <row r="23" spans="1:7">
      <c r="C23" s="7" t="s">
        <v>33</v>
      </c>
      <c r="D23" s="8"/>
      <c r="E23" s="8"/>
      <c r="F23" s="8"/>
      <c r="G23" s="87">
        <f>SUM(G16:G21)</f>
        <v>2233766</v>
      </c>
    </row>
    <row r="24" spans="1:7">
      <c r="G24" s="83"/>
    </row>
    <row r="25" spans="1:7">
      <c r="A25" s="3" t="s">
        <v>35</v>
      </c>
      <c r="G25" s="83"/>
    </row>
    <row r="26" spans="1:7">
      <c r="B26" t="s">
        <v>96</v>
      </c>
      <c r="G26" s="88">
        <v>6362770</v>
      </c>
    </row>
    <row r="27" spans="1:7">
      <c r="B27" t="s">
        <v>37</v>
      </c>
      <c r="G27" s="83"/>
    </row>
    <row r="28" spans="1:7">
      <c r="C28" t="s">
        <v>212</v>
      </c>
      <c r="G28" s="89">
        <v>471359</v>
      </c>
    </row>
    <row r="29" spans="1:7">
      <c r="C29" t="s">
        <v>213</v>
      </c>
      <c r="G29" s="89">
        <v>165209</v>
      </c>
    </row>
    <row r="30" spans="1:7">
      <c r="C30" t="s">
        <v>64</v>
      </c>
      <c r="G30" s="89">
        <v>2721807</v>
      </c>
    </row>
    <row r="31" spans="1:7">
      <c r="C31" t="s">
        <v>63</v>
      </c>
      <c r="G31" s="89">
        <v>273907</v>
      </c>
    </row>
    <row r="32" spans="1:7">
      <c r="C32" t="s">
        <v>65</v>
      </c>
      <c r="G32" s="89">
        <v>257550</v>
      </c>
    </row>
    <row r="33" spans="1:7">
      <c r="C33" t="s">
        <v>66</v>
      </c>
      <c r="G33" s="89">
        <v>1394279</v>
      </c>
    </row>
    <row r="34" spans="1:7">
      <c r="B34" t="s">
        <v>69</v>
      </c>
      <c r="G34" s="93">
        <v>4619394</v>
      </c>
    </row>
    <row r="35" spans="1:7">
      <c r="G35" s="83"/>
    </row>
    <row r="36" spans="1:7">
      <c r="A36" s="3"/>
      <c r="B36" s="9" t="s">
        <v>42</v>
      </c>
      <c r="C36" s="9"/>
      <c r="D36" s="9"/>
      <c r="E36" s="9"/>
      <c r="F36" s="9"/>
      <c r="G36" s="94">
        <f>SUM(G26:G34)</f>
        <v>16266275</v>
      </c>
    </row>
    <row r="37" spans="1:7">
      <c r="G37" s="83"/>
    </row>
    <row r="38" spans="1:7">
      <c r="A38" s="3"/>
      <c r="B38" s="10" t="s">
        <v>43</v>
      </c>
      <c r="C38" s="10"/>
      <c r="D38" s="10"/>
      <c r="E38" s="10"/>
      <c r="F38" s="10"/>
      <c r="G38" s="95">
        <f>SUM(G23+G36)</f>
        <v>18500041</v>
      </c>
    </row>
    <row r="39" spans="1:7">
      <c r="G39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3"/>
  <sheetViews>
    <sheetView workbookViewId="0">
      <selection activeCell="G17" sqref="G17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214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A6" s="3"/>
      <c r="B6" s="5" t="s">
        <v>74</v>
      </c>
      <c r="C6" s="3"/>
      <c r="F6" s="4"/>
      <c r="G6" s="4"/>
    </row>
    <row r="7" spans="1:7">
      <c r="B7" t="s">
        <v>46</v>
      </c>
      <c r="G7" s="77">
        <v>7138217</v>
      </c>
    </row>
    <row r="8" spans="1:7">
      <c r="B8" t="s">
        <v>215</v>
      </c>
      <c r="G8" s="77">
        <v>2563431</v>
      </c>
    </row>
    <row r="9" spans="1:7">
      <c r="B9" t="s">
        <v>216</v>
      </c>
      <c r="G9" s="78">
        <v>167238</v>
      </c>
    </row>
    <row r="10" spans="1:7">
      <c r="B10" t="s">
        <v>217</v>
      </c>
      <c r="G10" s="78">
        <v>1599471</v>
      </c>
    </row>
    <row r="11" spans="1:7">
      <c r="B11" t="s">
        <v>218</v>
      </c>
      <c r="G11" s="78">
        <v>257934</v>
      </c>
    </row>
    <row r="12" spans="1:7">
      <c r="B12" t="s">
        <v>219</v>
      </c>
      <c r="G12" s="78">
        <v>143713</v>
      </c>
    </row>
    <row r="13" spans="1:7">
      <c r="G13" s="83"/>
    </row>
    <row r="14" spans="1:7">
      <c r="A14" s="5"/>
      <c r="B14" s="6" t="s">
        <v>15</v>
      </c>
      <c r="C14" s="6"/>
      <c r="D14" s="6"/>
      <c r="E14" s="6"/>
      <c r="F14" s="6"/>
      <c r="G14" s="82">
        <f>SUM(G7:G12)</f>
        <v>11870004</v>
      </c>
    </row>
    <row r="15" spans="1:7">
      <c r="A15" s="5"/>
      <c r="B15" s="5"/>
      <c r="C15" s="5"/>
      <c r="D15" s="5"/>
      <c r="E15" s="5"/>
      <c r="F15" s="5"/>
      <c r="G15" s="100"/>
    </row>
    <row r="16" spans="1:7">
      <c r="A16" s="5"/>
      <c r="B16" s="5" t="s">
        <v>220</v>
      </c>
      <c r="C16" s="5"/>
      <c r="D16" s="5"/>
      <c r="E16" s="5"/>
      <c r="F16" s="5"/>
      <c r="G16" s="100"/>
    </row>
    <row r="17" spans="1:7">
      <c r="A17" s="5"/>
      <c r="B17" t="s">
        <v>221</v>
      </c>
      <c r="C17" s="5"/>
      <c r="D17" s="5"/>
      <c r="E17" s="5"/>
      <c r="F17" s="5"/>
      <c r="G17" s="201">
        <v>10215629</v>
      </c>
    </row>
    <row r="18" spans="1:7">
      <c r="A18" s="5"/>
      <c r="C18" s="5"/>
      <c r="D18" s="5"/>
      <c r="E18" s="5"/>
      <c r="F18" s="5"/>
      <c r="G18" s="202">
        <f>SUM(G14+G17)</f>
        <v>22085633</v>
      </c>
    </row>
    <row r="19" spans="1:7">
      <c r="G19" s="83"/>
    </row>
    <row r="20" spans="1:7">
      <c r="A20" s="5" t="s">
        <v>52</v>
      </c>
      <c r="G20" s="83"/>
    </row>
    <row r="21" spans="1:7">
      <c r="A21" s="5"/>
      <c r="B21" s="5" t="s">
        <v>222</v>
      </c>
      <c r="G21" s="83"/>
    </row>
    <row r="22" spans="1:7">
      <c r="C22" t="s">
        <v>20</v>
      </c>
      <c r="G22" s="84">
        <v>175950</v>
      </c>
    </row>
    <row r="23" spans="1:7">
      <c r="C23" t="s">
        <v>134</v>
      </c>
      <c r="G23" s="84">
        <v>237717</v>
      </c>
    </row>
    <row r="24" spans="1:7">
      <c r="C24" t="s">
        <v>223</v>
      </c>
      <c r="G24" s="79">
        <v>83974</v>
      </c>
    </row>
    <row r="25" spans="1:7">
      <c r="C25" t="s">
        <v>224</v>
      </c>
      <c r="G25" s="92">
        <v>390767</v>
      </c>
    </row>
    <row r="26" spans="1:7">
      <c r="G26" s="202">
        <f>SUM(G22:G25)</f>
        <v>888408</v>
      </c>
    </row>
    <row r="27" spans="1:7">
      <c r="G27" s="83"/>
    </row>
    <row r="28" spans="1:7">
      <c r="B28" s="5" t="s">
        <v>225</v>
      </c>
      <c r="G28" s="83"/>
    </row>
    <row r="29" spans="1:7">
      <c r="C29" t="s">
        <v>226</v>
      </c>
      <c r="G29" s="77">
        <v>9013491</v>
      </c>
    </row>
    <row r="30" spans="1:7">
      <c r="G30" s="81"/>
    </row>
    <row r="31" spans="1:7">
      <c r="C31" s="7" t="s">
        <v>33</v>
      </c>
      <c r="D31" s="8"/>
      <c r="E31" s="8"/>
      <c r="F31" s="8"/>
      <c r="G31" s="87">
        <f>SUM(G29+G26)</f>
        <v>9901899</v>
      </c>
    </row>
    <row r="32" spans="1:7">
      <c r="G32" s="83"/>
    </row>
    <row r="33" spans="1:7">
      <c r="A33" s="3" t="s">
        <v>35</v>
      </c>
      <c r="G33" s="83"/>
    </row>
    <row r="34" spans="1:7">
      <c r="B34" t="s">
        <v>96</v>
      </c>
      <c r="G34" s="88">
        <v>1120455</v>
      </c>
    </row>
    <row r="35" spans="1:7">
      <c r="B35" t="s">
        <v>37</v>
      </c>
      <c r="G35" s="83"/>
    </row>
    <row r="36" spans="1:7">
      <c r="C36" t="s">
        <v>38</v>
      </c>
      <c r="G36" s="89">
        <v>2643431</v>
      </c>
    </row>
    <row r="37" spans="1:7">
      <c r="C37" t="s">
        <v>227</v>
      </c>
      <c r="G37" s="89">
        <v>5376698</v>
      </c>
    </row>
    <row r="38" spans="1:7">
      <c r="B38" t="s">
        <v>69</v>
      </c>
      <c r="G38" s="93">
        <v>3043150</v>
      </c>
    </row>
    <row r="39" spans="1:7">
      <c r="G39" s="81"/>
    </row>
    <row r="40" spans="1:7">
      <c r="A40" s="3"/>
      <c r="B40" s="9" t="s">
        <v>42</v>
      </c>
      <c r="C40" s="9"/>
      <c r="D40" s="9"/>
      <c r="E40" s="9"/>
      <c r="F40" s="9"/>
      <c r="G40" s="94">
        <f>SUM(G34:G38)</f>
        <v>12183734</v>
      </c>
    </row>
    <row r="41" spans="1:7">
      <c r="G41" s="83"/>
    </row>
    <row r="42" spans="1:7">
      <c r="A42" s="3"/>
      <c r="B42" s="10" t="s">
        <v>43</v>
      </c>
      <c r="C42" s="10"/>
      <c r="D42" s="10"/>
      <c r="E42" s="10"/>
      <c r="F42" s="10"/>
      <c r="G42" s="95">
        <f>SUM(G31+G40)</f>
        <v>22085633</v>
      </c>
    </row>
    <row r="43" spans="1:7">
      <c r="G43" s="83"/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8"/>
  <sheetViews>
    <sheetView workbookViewId="0">
      <selection activeCell="J35" sqref="J35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68" t="s">
        <v>228</v>
      </c>
      <c r="E1" s="268"/>
      <c r="F1" s="268"/>
      <c r="G1" s="268"/>
      <c r="H1" s="268"/>
      <c r="I1" s="97"/>
      <c r="J1" s="97"/>
    </row>
    <row r="2" spans="1:11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1">
      <c r="H4" s="273" t="s">
        <v>2</v>
      </c>
      <c r="I4" s="273"/>
      <c r="J4" s="273"/>
    </row>
    <row r="5" spans="1:11" ht="29.1">
      <c r="H5" s="105" t="s">
        <v>45</v>
      </c>
      <c r="I5" s="105" t="s">
        <v>141</v>
      </c>
      <c r="J5" s="105" t="s">
        <v>73</v>
      </c>
      <c r="K5" s="5"/>
    </row>
    <row r="6" spans="1:11">
      <c r="A6" s="3" t="s">
        <v>4</v>
      </c>
      <c r="D6" s="3"/>
      <c r="G6" s="4"/>
      <c r="H6" s="4"/>
      <c r="I6" s="4"/>
      <c r="J6" s="4"/>
    </row>
    <row r="7" spans="1:11">
      <c r="C7" t="s">
        <v>46</v>
      </c>
      <c r="H7" s="77">
        <v>13162797</v>
      </c>
      <c r="I7" s="83">
        <v>228</v>
      </c>
      <c r="J7" s="83">
        <f t="shared" ref="J7:J8" si="0">SUM(H7:I7)</f>
        <v>13163025</v>
      </c>
    </row>
    <row r="8" spans="1:11">
      <c r="C8" t="s">
        <v>6</v>
      </c>
      <c r="H8" s="84">
        <v>20355526</v>
      </c>
      <c r="I8" s="83"/>
      <c r="J8" s="83">
        <f t="shared" si="0"/>
        <v>20355526</v>
      </c>
    </row>
    <row r="9" spans="1:11">
      <c r="C9" t="s">
        <v>186</v>
      </c>
      <c r="H9" s="78">
        <v>13659168</v>
      </c>
      <c r="I9" s="83">
        <v>3256</v>
      </c>
      <c r="J9" s="83">
        <f>SUM(H9:I9)</f>
        <v>13662424</v>
      </c>
    </row>
    <row r="10" spans="1:11">
      <c r="C10" t="s">
        <v>49</v>
      </c>
      <c r="H10" s="79">
        <v>38185</v>
      </c>
      <c r="I10" s="83"/>
      <c r="J10" s="83">
        <f>SUM(H10:I10)</f>
        <v>38185</v>
      </c>
    </row>
    <row r="11" spans="1:11">
      <c r="C11" t="s">
        <v>119</v>
      </c>
      <c r="H11" s="80">
        <v>73781725</v>
      </c>
      <c r="I11" s="83">
        <v>10175</v>
      </c>
      <c r="J11" s="83">
        <f>SUM(H11:I11)</f>
        <v>73791900</v>
      </c>
    </row>
    <row r="12" spans="1:11">
      <c r="H12" s="81"/>
      <c r="I12" s="81"/>
      <c r="J12" s="81"/>
    </row>
    <row r="13" spans="1:11" s="5" customFormat="1">
      <c r="C13" s="6" t="s">
        <v>15</v>
      </c>
      <c r="D13" s="6"/>
      <c r="E13" s="6"/>
      <c r="F13" s="6"/>
      <c r="G13" s="6"/>
      <c r="H13" s="82">
        <f>SUM(H7:H11)</f>
        <v>120997401</v>
      </c>
      <c r="I13" s="82">
        <f>SUM(I7:I11)</f>
        <v>13659</v>
      </c>
      <c r="J13" s="82">
        <f>SUM(J7:J11)</f>
        <v>121011060</v>
      </c>
    </row>
    <row r="14" spans="1:11">
      <c r="H14" s="83"/>
      <c r="I14" s="83"/>
      <c r="J14" s="83"/>
    </row>
    <row r="15" spans="1:11">
      <c r="A15" s="5" t="s">
        <v>52</v>
      </c>
      <c r="H15" s="83"/>
      <c r="I15" s="83"/>
      <c r="J15" s="83"/>
    </row>
    <row r="16" spans="1:11">
      <c r="A16" s="5"/>
      <c r="C16" t="s">
        <v>20</v>
      </c>
      <c r="H16" s="84">
        <v>1106355</v>
      </c>
      <c r="I16" s="83">
        <v>1500</v>
      </c>
      <c r="J16" s="83">
        <f t="shared" ref="J16:J23" si="1">SUM(H16:I16)</f>
        <v>1107855</v>
      </c>
    </row>
    <row r="17" spans="1:10">
      <c r="A17" s="5"/>
      <c r="C17" t="s">
        <v>229</v>
      </c>
      <c r="H17" s="79">
        <v>55314</v>
      </c>
      <c r="I17" s="83"/>
      <c r="J17" s="83">
        <f t="shared" si="1"/>
        <v>55314</v>
      </c>
    </row>
    <row r="18" spans="1:10">
      <c r="C18" t="s">
        <v>230</v>
      </c>
      <c r="H18" s="79">
        <v>1800</v>
      </c>
      <c r="I18" s="83">
        <v>270</v>
      </c>
      <c r="J18" s="83">
        <f t="shared" si="1"/>
        <v>2070</v>
      </c>
    </row>
    <row r="19" spans="1:10">
      <c r="C19" t="s">
        <v>231</v>
      </c>
      <c r="H19" s="79">
        <v>22885</v>
      </c>
      <c r="I19" s="83"/>
      <c r="J19" s="83">
        <f t="shared" si="1"/>
        <v>22885</v>
      </c>
    </row>
    <row r="20" spans="1:10">
      <c r="C20" t="s">
        <v>232</v>
      </c>
      <c r="H20" s="96">
        <v>207897</v>
      </c>
      <c r="I20" s="83"/>
      <c r="J20" s="83">
        <f t="shared" si="1"/>
        <v>207897</v>
      </c>
    </row>
    <row r="21" spans="1:10">
      <c r="C21" t="s">
        <v>233</v>
      </c>
      <c r="H21" s="79">
        <v>2298127</v>
      </c>
      <c r="I21" s="83"/>
      <c r="J21" s="83">
        <f t="shared" si="1"/>
        <v>2298127</v>
      </c>
    </row>
    <row r="22" spans="1:10">
      <c r="C22" t="s">
        <v>29</v>
      </c>
      <c r="H22" s="86">
        <v>307960</v>
      </c>
      <c r="I22" s="83"/>
      <c r="J22" s="83">
        <f t="shared" si="1"/>
        <v>307960</v>
      </c>
    </row>
    <row r="23" spans="1:10">
      <c r="C23" t="s">
        <v>234</v>
      </c>
      <c r="H23" s="79">
        <v>2932408</v>
      </c>
      <c r="I23" s="83"/>
      <c r="J23" s="83">
        <f t="shared" si="1"/>
        <v>2932408</v>
      </c>
    </row>
    <row r="24" spans="1:10">
      <c r="C24" t="s">
        <v>109</v>
      </c>
      <c r="H24" s="83"/>
      <c r="I24" s="83"/>
      <c r="J24" s="83"/>
    </row>
    <row r="25" spans="1:10">
      <c r="D25" t="s">
        <v>88</v>
      </c>
      <c r="H25" s="92">
        <v>5326</v>
      </c>
      <c r="I25" s="83"/>
      <c r="J25" s="83">
        <f>SUM(H25:I25)</f>
        <v>5326</v>
      </c>
    </row>
    <row r="26" spans="1:10">
      <c r="D26" t="s">
        <v>89</v>
      </c>
      <c r="H26" s="77">
        <v>450</v>
      </c>
      <c r="I26" s="83"/>
      <c r="J26" s="83">
        <f>SUM(H26:I26)</f>
        <v>450</v>
      </c>
    </row>
    <row r="27" spans="1:10">
      <c r="H27" s="81"/>
      <c r="I27" s="81"/>
      <c r="J27" s="81"/>
    </row>
    <row r="28" spans="1:10">
      <c r="D28" s="7" t="s">
        <v>33</v>
      </c>
      <c r="E28" s="8"/>
      <c r="F28" s="8"/>
      <c r="G28" s="8"/>
      <c r="H28" s="87">
        <f>SUM(H16:H26)</f>
        <v>6938522</v>
      </c>
      <c r="I28" s="87">
        <f t="shared" ref="I28:J28" si="2">SUM(I16:I26)</f>
        <v>1770</v>
      </c>
      <c r="J28" s="87">
        <f t="shared" si="2"/>
        <v>6940292</v>
      </c>
    </row>
    <row r="29" spans="1:10">
      <c r="H29" s="83"/>
      <c r="I29" s="83"/>
      <c r="J29" s="83"/>
    </row>
    <row r="30" spans="1:10">
      <c r="A30" s="3" t="s">
        <v>35</v>
      </c>
      <c r="H30" s="83"/>
      <c r="I30" s="83"/>
      <c r="J30" s="83"/>
    </row>
    <row r="31" spans="1:10">
      <c r="B31" t="s">
        <v>96</v>
      </c>
      <c r="H31" s="88">
        <v>73775949</v>
      </c>
      <c r="I31" s="83">
        <v>10175</v>
      </c>
      <c r="J31" s="83">
        <f>SUM(H31:I31)</f>
        <v>73786124</v>
      </c>
    </row>
    <row r="32" spans="1:10">
      <c r="B32" t="s">
        <v>235</v>
      </c>
      <c r="H32" s="158">
        <v>5776</v>
      </c>
      <c r="I32" s="83"/>
      <c r="J32" s="83">
        <f>SUM(H32:I32)</f>
        <v>5776</v>
      </c>
    </row>
    <row r="33" spans="2:10">
      <c r="B33" t="s">
        <v>69</v>
      </c>
      <c r="H33" s="93">
        <v>40277154</v>
      </c>
      <c r="I33" s="83">
        <v>1714</v>
      </c>
      <c r="J33" s="83">
        <f>SUM(H33:I33)</f>
        <v>40278868</v>
      </c>
    </row>
    <row r="34" spans="2:10">
      <c r="H34" s="81"/>
      <c r="I34" s="81"/>
      <c r="J34" s="81"/>
    </row>
    <row r="35" spans="2:10" s="3" customFormat="1">
      <c r="C35" s="9" t="s">
        <v>42</v>
      </c>
      <c r="D35" s="9"/>
      <c r="E35" s="9"/>
      <c r="F35" s="9"/>
      <c r="G35" s="9"/>
      <c r="H35" s="94">
        <f>SUM(H31:H33)</f>
        <v>114058879</v>
      </c>
      <c r="I35" s="94">
        <f>SUM(I31:I33)</f>
        <v>11889</v>
      </c>
      <c r="J35" s="94">
        <f>SUM(J31:J33)</f>
        <v>114070768</v>
      </c>
    </row>
    <row r="36" spans="2:10">
      <c r="H36" s="83"/>
      <c r="I36" s="83"/>
      <c r="J36" s="83"/>
    </row>
    <row r="37" spans="2:10" s="3" customFormat="1">
      <c r="C37" s="10" t="s">
        <v>43</v>
      </c>
      <c r="D37" s="10"/>
      <c r="E37" s="10"/>
      <c r="F37" s="10"/>
      <c r="G37" s="10"/>
      <c r="H37" s="95">
        <f>SUM(H35+H28)</f>
        <v>120997401</v>
      </c>
      <c r="I37" s="95">
        <f>SUM(I35+I28)</f>
        <v>13659</v>
      </c>
      <c r="J37" s="95">
        <f>SUM(J35+J28)</f>
        <v>121011060</v>
      </c>
    </row>
    <row r="38" spans="2:10">
      <c r="H38" s="83"/>
      <c r="I38" s="83"/>
      <c r="J38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3"/>
  <sheetViews>
    <sheetView topLeftCell="A17" workbookViewId="0">
      <selection activeCell="L57" sqref="L5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  <col min="11" max="11" width="17.28515625" customWidth="1"/>
  </cols>
  <sheetData>
    <row r="1" spans="1:11" ht="18.75" customHeight="1">
      <c r="A1" s="1"/>
      <c r="B1" s="1"/>
      <c r="C1" s="1"/>
      <c r="D1" s="268" t="s">
        <v>236</v>
      </c>
      <c r="E1" s="268"/>
      <c r="F1" s="268"/>
      <c r="G1" s="268"/>
      <c r="H1" s="268"/>
      <c r="I1" s="97"/>
      <c r="J1" s="97"/>
    </row>
    <row r="2" spans="1:11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1" ht="14.25" customHeight="1">
      <c r="H4" s="269" t="s">
        <v>2</v>
      </c>
      <c r="I4" s="269"/>
      <c r="J4" s="269"/>
      <c r="K4" s="199"/>
    </row>
    <row r="5" spans="1:11" ht="31.5" customHeight="1">
      <c r="H5" s="105" t="s">
        <v>45</v>
      </c>
      <c r="I5" s="105" t="s">
        <v>141</v>
      </c>
      <c r="J5" s="105" t="s">
        <v>73</v>
      </c>
      <c r="K5" s="106" t="s">
        <v>71</v>
      </c>
    </row>
    <row r="6" spans="1:11">
      <c r="A6" s="3" t="s">
        <v>4</v>
      </c>
      <c r="D6" s="3"/>
      <c r="G6" s="4"/>
      <c r="H6" s="4"/>
      <c r="I6" s="4"/>
      <c r="J6" s="4"/>
    </row>
    <row r="7" spans="1:11">
      <c r="A7" s="3"/>
      <c r="B7" s="5" t="s">
        <v>74</v>
      </c>
      <c r="D7" s="3"/>
      <c r="G7" s="4"/>
      <c r="H7" s="76"/>
      <c r="I7" s="76"/>
      <c r="J7" s="76"/>
      <c r="K7" s="83"/>
    </row>
    <row r="8" spans="1:11">
      <c r="C8" t="s">
        <v>237</v>
      </c>
      <c r="H8" s="77">
        <v>192939199</v>
      </c>
      <c r="I8" s="83">
        <v>88246830</v>
      </c>
      <c r="J8" s="83">
        <f t="shared" ref="J8:J24" si="0">SUM(H8:I8)</f>
        <v>281186029</v>
      </c>
      <c r="K8" s="83">
        <v>20082173</v>
      </c>
    </row>
    <row r="9" spans="1:11">
      <c r="C9" t="s">
        <v>238</v>
      </c>
      <c r="H9" s="84">
        <v>188791227</v>
      </c>
      <c r="I9" s="83">
        <v>98538697</v>
      </c>
      <c r="J9" s="83">
        <f t="shared" si="0"/>
        <v>287329924</v>
      </c>
      <c r="K9" s="83"/>
    </row>
    <row r="10" spans="1:11">
      <c r="C10" t="s">
        <v>239</v>
      </c>
      <c r="H10" s="78">
        <v>53255487</v>
      </c>
      <c r="I10" s="83">
        <v>16172998</v>
      </c>
      <c r="J10" s="83">
        <f t="shared" si="0"/>
        <v>69428485</v>
      </c>
      <c r="K10" s="83">
        <v>17183849</v>
      </c>
    </row>
    <row r="11" spans="1:11">
      <c r="C11" t="s">
        <v>240</v>
      </c>
      <c r="H11" s="90">
        <v>84764697</v>
      </c>
      <c r="I11" s="83">
        <v>5304530</v>
      </c>
      <c r="J11" s="83">
        <f t="shared" si="0"/>
        <v>90069227</v>
      </c>
      <c r="K11" s="83">
        <v>2446711</v>
      </c>
    </row>
    <row r="12" spans="1:11">
      <c r="C12" t="s">
        <v>115</v>
      </c>
      <c r="H12" s="79">
        <v>681554</v>
      </c>
      <c r="I12" s="83">
        <v>255888</v>
      </c>
      <c r="J12" s="83">
        <f t="shared" si="0"/>
        <v>937442</v>
      </c>
      <c r="K12" s="83">
        <v>172487</v>
      </c>
    </row>
    <row r="13" spans="1:11">
      <c r="C13" t="s">
        <v>241</v>
      </c>
      <c r="H13" s="78">
        <v>3614676</v>
      </c>
      <c r="I13" s="83"/>
      <c r="J13" s="83">
        <f t="shared" si="0"/>
        <v>3614676</v>
      </c>
      <c r="K13" s="83">
        <v>1719373</v>
      </c>
    </row>
    <row r="14" spans="1:11">
      <c r="C14" t="s">
        <v>49</v>
      </c>
      <c r="H14" s="79">
        <v>833178</v>
      </c>
      <c r="I14" s="83">
        <v>118566</v>
      </c>
      <c r="J14" s="83">
        <f t="shared" si="0"/>
        <v>951744</v>
      </c>
      <c r="K14" s="83">
        <v>5335339</v>
      </c>
    </row>
    <row r="15" spans="1:11">
      <c r="C15" t="s">
        <v>242</v>
      </c>
      <c r="H15" s="83"/>
      <c r="I15" s="83"/>
      <c r="J15" s="83"/>
      <c r="K15" s="83">
        <v>456737</v>
      </c>
    </row>
    <row r="16" spans="1:11">
      <c r="C16" t="s">
        <v>78</v>
      </c>
      <c r="H16" s="83"/>
      <c r="I16" s="83"/>
      <c r="J16" s="83"/>
      <c r="K16" s="83"/>
    </row>
    <row r="17" spans="1:11">
      <c r="C17" t="s">
        <v>189</v>
      </c>
      <c r="H17" s="83"/>
      <c r="I17" s="83"/>
      <c r="J17" s="83"/>
      <c r="K17" s="83"/>
    </row>
    <row r="18" spans="1:11">
      <c r="D18" t="s">
        <v>237</v>
      </c>
      <c r="H18" s="83"/>
      <c r="I18" s="83">
        <v>215032849</v>
      </c>
      <c r="J18" s="83">
        <f t="shared" si="0"/>
        <v>215032849</v>
      </c>
      <c r="K18" s="83">
        <v>11958469</v>
      </c>
    </row>
    <row r="19" spans="1:11">
      <c r="D19" t="s">
        <v>238</v>
      </c>
      <c r="H19" s="83"/>
      <c r="I19" s="83">
        <v>277525563</v>
      </c>
      <c r="J19" s="83">
        <f t="shared" si="0"/>
        <v>277525563</v>
      </c>
      <c r="K19" s="83"/>
    </row>
    <row r="20" spans="1:11">
      <c r="D20" t="s">
        <v>239</v>
      </c>
      <c r="H20" s="83"/>
      <c r="I20" s="83">
        <v>280765</v>
      </c>
      <c r="J20" s="83">
        <f t="shared" si="0"/>
        <v>280765</v>
      </c>
      <c r="K20" s="83"/>
    </row>
    <row r="21" spans="1:11">
      <c r="D21" t="s">
        <v>115</v>
      </c>
      <c r="H21" s="83"/>
      <c r="I21" s="83">
        <v>6637</v>
      </c>
      <c r="J21" s="83">
        <f t="shared" si="0"/>
        <v>6637</v>
      </c>
      <c r="K21" s="83"/>
    </row>
    <row r="22" spans="1:11">
      <c r="C22" t="s">
        <v>12</v>
      </c>
      <c r="H22" s="83"/>
      <c r="I22" s="83"/>
      <c r="J22" s="83"/>
      <c r="K22" s="83"/>
    </row>
    <row r="23" spans="1:11">
      <c r="D23" t="s">
        <v>13</v>
      </c>
      <c r="H23" s="80">
        <v>208882220</v>
      </c>
      <c r="I23" s="83">
        <v>264648985</v>
      </c>
      <c r="J23" s="83">
        <f t="shared" si="0"/>
        <v>473531205</v>
      </c>
      <c r="K23" s="83">
        <v>350523</v>
      </c>
    </row>
    <row r="24" spans="1:11">
      <c r="D24" t="s">
        <v>14</v>
      </c>
      <c r="H24" s="91">
        <v>669766158</v>
      </c>
      <c r="I24" s="83">
        <v>1515753639</v>
      </c>
      <c r="J24" s="83">
        <f t="shared" si="0"/>
        <v>2185519797</v>
      </c>
      <c r="K24" s="83">
        <v>109555466</v>
      </c>
    </row>
    <row r="25" spans="1:11">
      <c r="H25" s="83"/>
      <c r="I25" s="81"/>
      <c r="J25" s="81"/>
      <c r="K25" s="81"/>
    </row>
    <row r="26" spans="1:11">
      <c r="A26" s="5"/>
      <c r="B26" s="5"/>
      <c r="C26" s="6" t="s">
        <v>15</v>
      </c>
      <c r="D26" s="6"/>
      <c r="E26" s="6"/>
      <c r="F26" s="6"/>
      <c r="G26" s="6"/>
      <c r="H26" s="82">
        <f>SUM(H8:H24)</f>
        <v>1403528396</v>
      </c>
      <c r="I26" s="82">
        <f>SUM(I8:I24)</f>
        <v>2481885947</v>
      </c>
      <c r="J26" s="82">
        <f>SUM(J8:J24)</f>
        <v>3885414343</v>
      </c>
      <c r="K26" s="82">
        <f>SUM(K8:K24)</f>
        <v>169261127</v>
      </c>
    </row>
    <row r="27" spans="1:11">
      <c r="A27" s="5"/>
      <c r="B27" s="5"/>
      <c r="C27" s="5"/>
      <c r="D27" s="5"/>
      <c r="E27" s="5"/>
      <c r="F27" s="5"/>
      <c r="G27" s="5"/>
      <c r="H27" s="100"/>
      <c r="I27" s="100"/>
      <c r="J27" s="100"/>
      <c r="K27" s="100"/>
    </row>
    <row r="28" spans="1:11">
      <c r="A28" s="5" t="s">
        <v>16</v>
      </c>
      <c r="B28" s="5"/>
      <c r="C28" s="5"/>
      <c r="D28" s="5"/>
      <c r="E28" s="5"/>
      <c r="F28" s="5"/>
      <c r="G28" s="5"/>
      <c r="H28" s="100"/>
      <c r="I28" s="100"/>
      <c r="J28" s="100"/>
      <c r="K28" s="100"/>
    </row>
    <row r="29" spans="1:11">
      <c r="A29" s="5"/>
      <c r="B29" t="s">
        <v>243</v>
      </c>
      <c r="C29" s="5"/>
      <c r="D29" s="5"/>
      <c r="E29" s="5"/>
      <c r="F29" s="5"/>
      <c r="G29" s="5"/>
      <c r="H29" s="83">
        <v>5548137</v>
      </c>
      <c r="I29" s="83">
        <v>42943956</v>
      </c>
      <c r="J29" s="83">
        <f>SUM(H29:I29)</f>
        <v>48492093</v>
      </c>
      <c r="K29" s="83">
        <v>0</v>
      </c>
    </row>
    <row r="30" spans="1:11">
      <c r="A30" s="5"/>
      <c r="B30" t="s">
        <v>244</v>
      </c>
      <c r="C30" s="5"/>
      <c r="D30" s="5"/>
      <c r="E30" s="5"/>
      <c r="F30" s="5"/>
      <c r="G30" s="5"/>
      <c r="H30" s="83">
        <v>15294792</v>
      </c>
      <c r="I30" s="83">
        <v>87643226</v>
      </c>
      <c r="J30" s="83">
        <f>SUM(H30:I30)</f>
        <v>102938018</v>
      </c>
      <c r="K30" s="83">
        <v>0</v>
      </c>
    </row>
    <row r="31" spans="1:11">
      <c r="A31" s="5"/>
      <c r="B31" t="s">
        <v>245</v>
      </c>
      <c r="C31" s="5"/>
      <c r="D31" s="5"/>
      <c r="E31" s="5"/>
      <c r="F31" s="5"/>
      <c r="G31" s="5"/>
      <c r="H31" s="122"/>
      <c r="I31" s="122"/>
      <c r="J31" s="122"/>
      <c r="K31" s="122">
        <v>239993</v>
      </c>
    </row>
    <row r="32" spans="1:11">
      <c r="A32" s="5"/>
      <c r="C32" s="5"/>
      <c r="D32" s="5"/>
      <c r="E32" s="5"/>
      <c r="F32" s="5"/>
      <c r="G32" s="5"/>
      <c r="H32" s="83"/>
      <c r="I32" s="83"/>
      <c r="J32" s="83"/>
      <c r="K32" s="83"/>
    </row>
    <row r="33" spans="1:11">
      <c r="C33" s="102" t="s">
        <v>246</v>
      </c>
      <c r="D33" s="104"/>
      <c r="E33" s="104"/>
      <c r="F33" s="104"/>
      <c r="G33" s="104"/>
      <c r="H33" s="103">
        <f t="shared" ref="H33:J33" si="1">SUM(H29:H31)</f>
        <v>20842929</v>
      </c>
      <c r="I33" s="103">
        <f t="shared" si="1"/>
        <v>130587182</v>
      </c>
      <c r="J33" s="103">
        <f t="shared" si="1"/>
        <v>151430111</v>
      </c>
      <c r="K33" s="103">
        <f>SUM(K29:K31)</f>
        <v>239993</v>
      </c>
    </row>
    <row r="34" spans="1:11">
      <c r="H34" s="83"/>
      <c r="I34" s="83"/>
      <c r="J34" s="83"/>
      <c r="K34" s="83"/>
    </row>
    <row r="35" spans="1:11">
      <c r="A35" s="5" t="s">
        <v>52</v>
      </c>
      <c r="H35" s="83"/>
      <c r="I35" s="83"/>
      <c r="J35" s="83"/>
      <c r="K35" s="83"/>
    </row>
    <row r="36" spans="1:11">
      <c r="C36" t="s">
        <v>247</v>
      </c>
      <c r="H36" s="84">
        <v>43709310</v>
      </c>
      <c r="I36" s="83">
        <v>54839795</v>
      </c>
      <c r="J36" s="83">
        <f t="shared" ref="J36:J40" si="2">SUM(H36:I36)</f>
        <v>98549105</v>
      </c>
      <c r="K36" s="83">
        <v>2603986</v>
      </c>
    </row>
    <row r="37" spans="1:11">
      <c r="C37" t="s">
        <v>232</v>
      </c>
      <c r="H37" s="96">
        <v>7697870</v>
      </c>
      <c r="I37" s="83"/>
      <c r="J37" s="83">
        <f t="shared" si="2"/>
        <v>7697870</v>
      </c>
      <c r="K37" s="83">
        <v>189696</v>
      </c>
    </row>
    <row r="38" spans="1:11">
      <c r="C38" t="s">
        <v>248</v>
      </c>
      <c r="H38" s="79">
        <v>16640784</v>
      </c>
      <c r="I38" s="83">
        <v>23230251</v>
      </c>
      <c r="J38" s="83">
        <f t="shared" si="2"/>
        <v>39871035</v>
      </c>
      <c r="K38" s="83">
        <v>2738092</v>
      </c>
    </row>
    <row r="39" spans="1:11">
      <c r="C39" t="s">
        <v>54</v>
      </c>
      <c r="H39" s="79">
        <v>1063162</v>
      </c>
      <c r="I39" s="83">
        <v>1321484</v>
      </c>
      <c r="J39" s="83">
        <f t="shared" si="2"/>
        <v>2384646</v>
      </c>
      <c r="K39" s="83"/>
    </row>
    <row r="40" spans="1:11">
      <c r="C40" t="s">
        <v>249</v>
      </c>
      <c r="H40" s="79">
        <v>18143567</v>
      </c>
      <c r="I40" s="83"/>
      <c r="J40" s="83">
        <f t="shared" si="2"/>
        <v>18143567</v>
      </c>
      <c r="K40" s="83"/>
    </row>
    <row r="41" spans="1:11">
      <c r="C41" t="s">
        <v>108</v>
      </c>
      <c r="H41" s="83"/>
      <c r="I41" s="83"/>
      <c r="J41" s="83"/>
      <c r="K41" s="83">
        <v>67022</v>
      </c>
    </row>
    <row r="42" spans="1:11">
      <c r="C42" t="s">
        <v>250</v>
      </c>
      <c r="H42" s="83"/>
      <c r="I42" s="83"/>
      <c r="J42" s="83"/>
      <c r="K42" s="83"/>
    </row>
    <row r="43" spans="1:11">
      <c r="D43" t="s">
        <v>88</v>
      </c>
      <c r="H43" s="92">
        <v>30338476</v>
      </c>
      <c r="I43" s="83">
        <v>14982026</v>
      </c>
      <c r="J43" s="83">
        <f t="shared" ref="J43" si="3">SUM(H43:I43)</f>
        <v>45320502</v>
      </c>
      <c r="K43" s="83">
        <v>3321919</v>
      </c>
    </row>
    <row r="44" spans="1:11">
      <c r="D44" t="s">
        <v>89</v>
      </c>
      <c r="H44" s="77">
        <v>698794643</v>
      </c>
      <c r="I44" s="83">
        <v>1634951737</v>
      </c>
      <c r="J44" s="83">
        <f>SUM(H44:I44)</f>
        <v>2333746380</v>
      </c>
      <c r="K44" s="83">
        <v>118067670</v>
      </c>
    </row>
    <row r="45" spans="1:11">
      <c r="H45" s="81"/>
      <c r="I45" s="81"/>
      <c r="J45" s="81"/>
      <c r="K45" s="81"/>
    </row>
    <row r="46" spans="1:11">
      <c r="D46" s="7" t="s">
        <v>33</v>
      </c>
      <c r="E46" s="8"/>
      <c r="F46" s="8"/>
      <c r="G46" s="8"/>
      <c r="H46" s="87">
        <f>SUM(H36:H44)</f>
        <v>816387812</v>
      </c>
      <c r="I46" s="87">
        <f>SUM(I36:I44)</f>
        <v>1729325293</v>
      </c>
      <c r="J46" s="87">
        <f>SUM(J36:J44)</f>
        <v>2545713105</v>
      </c>
      <c r="K46" s="87">
        <f>SUM(K36:K44)</f>
        <v>126988385</v>
      </c>
    </row>
    <row r="47" spans="1:11">
      <c r="H47" s="83"/>
      <c r="I47" s="83"/>
      <c r="J47" s="83"/>
      <c r="K47" s="83"/>
    </row>
    <row r="48" spans="1:11">
      <c r="A48" s="5" t="s">
        <v>251</v>
      </c>
      <c r="H48" s="83"/>
      <c r="I48" s="83"/>
      <c r="J48" s="83"/>
      <c r="K48" s="83"/>
    </row>
    <row r="49" spans="1:11">
      <c r="B49" t="s">
        <v>252</v>
      </c>
      <c r="H49" s="83">
        <v>351292</v>
      </c>
      <c r="I49" s="83">
        <v>0</v>
      </c>
      <c r="J49" s="83">
        <f>SUM(H49:I49)</f>
        <v>351292</v>
      </c>
      <c r="K49" s="83">
        <v>0</v>
      </c>
    </row>
    <row r="50" spans="1:11">
      <c r="H50" s="81"/>
      <c r="I50" s="81"/>
      <c r="J50" s="81"/>
      <c r="K50" s="81"/>
    </row>
    <row r="51" spans="1:11">
      <c r="A51" s="3" t="s">
        <v>35</v>
      </c>
      <c r="H51" s="83"/>
      <c r="I51" s="83"/>
      <c r="J51" s="83"/>
      <c r="K51" s="83"/>
    </row>
    <row r="52" spans="1:11">
      <c r="B52" t="s">
        <v>96</v>
      </c>
      <c r="H52" s="88">
        <v>650424770</v>
      </c>
      <c r="I52" s="83">
        <v>668570688</v>
      </c>
      <c r="J52" s="83">
        <f>SUM(H52:I52)</f>
        <v>1318995458</v>
      </c>
      <c r="K52" s="83">
        <v>16536348</v>
      </c>
    </row>
    <row r="53" spans="1:11" s="3" customFormat="1">
      <c r="A53"/>
      <c r="B53" t="s">
        <v>253</v>
      </c>
      <c r="C53"/>
      <c r="D53"/>
      <c r="E53"/>
      <c r="F53"/>
      <c r="G53"/>
      <c r="H53" s="83"/>
      <c r="I53" s="83"/>
      <c r="J53" s="83"/>
      <c r="K53" s="83"/>
    </row>
    <row r="54" spans="1:11" s="3" customFormat="1">
      <c r="A54"/>
      <c r="B54"/>
      <c r="C54" t="s">
        <v>39</v>
      </c>
      <c r="D54"/>
      <c r="E54"/>
      <c r="F54"/>
      <c r="G54"/>
      <c r="H54" s="89">
        <v>81679016</v>
      </c>
      <c r="I54" s="83">
        <v>8873538</v>
      </c>
      <c r="J54" s="83">
        <f t="shared" ref="J54:J57" si="4">SUM(H54:I54)</f>
        <v>90552554</v>
      </c>
      <c r="K54" s="83"/>
    </row>
    <row r="55" spans="1:11" s="3" customFormat="1">
      <c r="A55"/>
      <c r="B55"/>
      <c r="C55" t="s">
        <v>38</v>
      </c>
      <c r="D55"/>
      <c r="E55"/>
      <c r="F55"/>
      <c r="G55"/>
      <c r="H55" s="89">
        <v>8949390</v>
      </c>
      <c r="I55" s="83">
        <v>73175963</v>
      </c>
      <c r="J55" s="83">
        <f t="shared" si="4"/>
        <v>82125353</v>
      </c>
      <c r="K55" s="83">
        <v>12116805</v>
      </c>
    </row>
    <row r="56" spans="1:11" s="3" customFormat="1">
      <c r="A56"/>
      <c r="B56"/>
      <c r="C56" t="s">
        <v>254</v>
      </c>
      <c r="D56"/>
      <c r="E56"/>
      <c r="F56"/>
      <c r="G56"/>
      <c r="H56" s="83"/>
      <c r="I56" s="83">
        <v>389690</v>
      </c>
      <c r="J56" s="83">
        <f t="shared" si="4"/>
        <v>389690</v>
      </c>
      <c r="K56" s="83"/>
    </row>
    <row r="57" spans="1:11">
      <c r="C57" t="s">
        <v>98</v>
      </c>
      <c r="H57" s="89">
        <v>105284345</v>
      </c>
      <c r="I57" s="83">
        <v>78050000</v>
      </c>
      <c r="J57" s="83">
        <f t="shared" si="4"/>
        <v>183334345</v>
      </c>
      <c r="K57" s="83">
        <v>7294843</v>
      </c>
    </row>
    <row r="58" spans="1:11" s="3" customFormat="1">
      <c r="A58"/>
      <c r="B58" t="s">
        <v>69</v>
      </c>
      <c r="C58"/>
      <c r="D58"/>
      <c r="E58"/>
      <c r="F58"/>
      <c r="G58"/>
      <c r="H58" s="93">
        <v>-238705300</v>
      </c>
      <c r="I58" s="83">
        <v>54087957</v>
      </c>
      <c r="J58" s="83">
        <f>SUM(H58:I58)</f>
        <v>-184617343</v>
      </c>
      <c r="K58" s="83">
        <v>6564739</v>
      </c>
    </row>
    <row r="59" spans="1:11">
      <c r="H59" s="81"/>
      <c r="I59" s="81"/>
      <c r="J59" s="81"/>
      <c r="K59" s="81"/>
    </row>
    <row r="60" spans="1:11">
      <c r="A60" s="3"/>
      <c r="B60" s="3"/>
      <c r="C60" s="9" t="s">
        <v>42</v>
      </c>
      <c r="D60" s="9"/>
      <c r="E60" s="9"/>
      <c r="F60" s="9"/>
      <c r="G60" s="9"/>
      <c r="H60" s="94">
        <f>SUM(H52:H58)</f>
        <v>607632221</v>
      </c>
      <c r="I60" s="94">
        <f>SUM(I52:I58)</f>
        <v>883147836</v>
      </c>
      <c r="J60" s="94">
        <f>SUM(J52:J58)</f>
        <v>1490780057</v>
      </c>
      <c r="K60" s="94">
        <f>SUM(K51:K58)</f>
        <v>42512735</v>
      </c>
    </row>
    <row r="61" spans="1:11">
      <c r="H61" s="83"/>
      <c r="I61" s="83"/>
      <c r="J61" s="83"/>
      <c r="K61" s="83"/>
    </row>
    <row r="62" spans="1:11">
      <c r="A62" s="3"/>
      <c r="B62" s="3"/>
      <c r="C62" s="10" t="s">
        <v>43</v>
      </c>
      <c r="D62" s="10"/>
      <c r="E62" s="10"/>
      <c r="F62" s="10"/>
      <c r="G62" s="10"/>
      <c r="H62" s="95">
        <f>SUM(H46+H60+H49)</f>
        <v>1424371325</v>
      </c>
      <c r="I62" s="95">
        <f t="shared" ref="I62:K62" si="5">SUM(I46+I60+I49)</f>
        <v>2612473129</v>
      </c>
      <c r="J62" s="95">
        <f t="shared" si="5"/>
        <v>4036844454</v>
      </c>
      <c r="K62" s="95">
        <f t="shared" si="5"/>
        <v>169501120</v>
      </c>
    </row>
    <row r="63" spans="1:11">
      <c r="H63" s="83"/>
      <c r="I63" s="83"/>
      <c r="J63" s="83"/>
      <c r="K63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4"/>
  <sheetViews>
    <sheetView topLeftCell="B1" workbookViewId="0">
      <selection activeCell="I44" sqref="I4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68" t="s">
        <v>255</v>
      </c>
      <c r="E1" s="268"/>
      <c r="F1" s="268"/>
      <c r="G1" s="268"/>
      <c r="H1" s="268"/>
      <c r="I1" s="97"/>
      <c r="J1" s="97"/>
    </row>
    <row r="2" spans="1:11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1">
      <c r="H4" s="273" t="s">
        <v>2</v>
      </c>
      <c r="I4" s="273"/>
      <c r="J4" s="273"/>
    </row>
    <row r="5" spans="1:11" ht="29.1">
      <c r="H5" s="105" t="s">
        <v>45</v>
      </c>
      <c r="I5" s="105" t="s">
        <v>141</v>
      </c>
      <c r="J5" s="105" t="s">
        <v>73</v>
      </c>
      <c r="K5" s="5"/>
    </row>
    <row r="6" spans="1:11">
      <c r="A6" s="3" t="s">
        <v>4</v>
      </c>
      <c r="D6" s="3"/>
      <c r="G6" s="4"/>
      <c r="H6" s="4"/>
      <c r="I6" s="4"/>
      <c r="J6" s="4"/>
    </row>
    <row r="7" spans="1:11">
      <c r="C7" t="s">
        <v>46</v>
      </c>
      <c r="H7" s="77">
        <v>2275206</v>
      </c>
      <c r="I7" s="83">
        <v>21246</v>
      </c>
      <c r="J7" s="83">
        <f t="shared" ref="J7:J8" si="0">SUM(H7:I7)</f>
        <v>2296452</v>
      </c>
    </row>
    <row r="8" spans="1:11">
      <c r="C8" t="s">
        <v>6</v>
      </c>
      <c r="H8" s="84">
        <v>773667</v>
      </c>
      <c r="I8" s="83"/>
      <c r="J8" s="83">
        <f t="shared" si="0"/>
        <v>773667</v>
      </c>
    </row>
    <row r="9" spans="1:11">
      <c r="C9" t="s">
        <v>47</v>
      </c>
      <c r="H9" s="78">
        <v>2551513</v>
      </c>
      <c r="I9" s="83">
        <v>997</v>
      </c>
      <c r="J9" s="83">
        <f>SUM(H9:I9)</f>
        <v>2552510</v>
      </c>
    </row>
    <row r="10" spans="1:11">
      <c r="C10" t="s">
        <v>115</v>
      </c>
      <c r="H10" s="83"/>
      <c r="I10" s="83">
        <v>1903</v>
      </c>
      <c r="J10" s="83">
        <f>SUM(H10:I10)</f>
        <v>1903</v>
      </c>
    </row>
    <row r="11" spans="1:11">
      <c r="C11" t="s">
        <v>215</v>
      </c>
      <c r="H11" s="83"/>
      <c r="I11" s="83">
        <v>9119</v>
      </c>
      <c r="J11" s="83">
        <f>SUM(H11:I11)</f>
        <v>9119</v>
      </c>
    </row>
    <row r="12" spans="1:11">
      <c r="C12" t="s">
        <v>256</v>
      </c>
      <c r="H12" s="80">
        <v>2573398</v>
      </c>
      <c r="I12" s="83"/>
      <c r="J12" s="83">
        <f>SUM(H12:I12)</f>
        <v>2573398</v>
      </c>
    </row>
    <row r="13" spans="1:11">
      <c r="C13" t="s">
        <v>51</v>
      </c>
      <c r="H13" s="80">
        <v>3785585</v>
      </c>
      <c r="I13" s="83"/>
      <c r="J13" s="83">
        <f>SUM(H13:I13)</f>
        <v>3785585</v>
      </c>
    </row>
    <row r="14" spans="1:11">
      <c r="H14" s="81"/>
      <c r="I14" s="81"/>
      <c r="J14" s="81"/>
    </row>
    <row r="15" spans="1:11" s="5" customFormat="1">
      <c r="C15" s="6" t="s">
        <v>15</v>
      </c>
      <c r="D15" s="6"/>
      <c r="E15" s="6"/>
      <c r="F15" s="6"/>
      <c r="G15" s="6"/>
      <c r="H15" s="82">
        <f>SUM(H7:H13)</f>
        <v>11959369</v>
      </c>
      <c r="I15" s="82">
        <f>SUM(I7:I13)</f>
        <v>33265</v>
      </c>
      <c r="J15" s="82">
        <f>SUM(J7:J13)</f>
        <v>11992634</v>
      </c>
    </row>
    <row r="16" spans="1:11">
      <c r="H16" s="83"/>
      <c r="I16" s="83"/>
      <c r="J16" s="83"/>
    </row>
    <row r="17" spans="1:10">
      <c r="A17" s="5" t="s">
        <v>52</v>
      </c>
      <c r="H17" s="83"/>
      <c r="I17" s="83"/>
      <c r="J17" s="83"/>
    </row>
    <row r="18" spans="1:10">
      <c r="A18" s="5"/>
      <c r="C18" t="s">
        <v>20</v>
      </c>
      <c r="H18" s="84">
        <v>207657</v>
      </c>
      <c r="I18" s="83">
        <v>676</v>
      </c>
      <c r="J18" s="83">
        <f t="shared" ref="J18:J19" si="1">SUM(H18:I18)</f>
        <v>208333</v>
      </c>
    </row>
    <row r="19" spans="1:10">
      <c r="C19" t="s">
        <v>134</v>
      </c>
      <c r="H19" s="84">
        <v>5987</v>
      </c>
      <c r="I19" s="83"/>
      <c r="J19" s="83">
        <f t="shared" si="1"/>
        <v>5987</v>
      </c>
    </row>
    <row r="20" spans="1:10">
      <c r="C20" t="s">
        <v>109</v>
      </c>
      <c r="H20" s="83"/>
      <c r="I20" s="83"/>
      <c r="J20" s="83"/>
    </row>
    <row r="21" spans="1:10">
      <c r="D21" t="s">
        <v>88</v>
      </c>
      <c r="H21" s="92">
        <v>154753</v>
      </c>
      <c r="I21" s="83">
        <v>275</v>
      </c>
      <c r="J21" s="83">
        <f>SUM(H21:I21)</f>
        <v>155028</v>
      </c>
    </row>
    <row r="22" spans="1:10">
      <c r="D22" t="s">
        <v>89</v>
      </c>
      <c r="H22" s="77">
        <v>457009</v>
      </c>
      <c r="I22" s="83"/>
      <c r="J22" s="83">
        <f>SUM(H22:I22)</f>
        <v>457009</v>
      </c>
    </row>
    <row r="23" spans="1:10">
      <c r="H23" s="83"/>
      <c r="I23" s="83"/>
      <c r="J23" s="83"/>
    </row>
    <row r="24" spans="1:10">
      <c r="D24" s="7" t="s">
        <v>33</v>
      </c>
      <c r="E24" s="8"/>
      <c r="F24" s="8"/>
      <c r="G24" s="8"/>
      <c r="H24" s="87">
        <f>SUM(H18:H22)</f>
        <v>825406</v>
      </c>
      <c r="I24" s="87">
        <f>SUM(I18:I22)</f>
        <v>951</v>
      </c>
      <c r="J24" s="87">
        <f>SUM(J18:J22)</f>
        <v>826357</v>
      </c>
    </row>
    <row r="25" spans="1:10">
      <c r="H25" s="83"/>
      <c r="I25" s="83"/>
      <c r="J25" s="83"/>
    </row>
    <row r="26" spans="1:10">
      <c r="A26" s="3" t="s">
        <v>35</v>
      </c>
      <c r="H26" s="83"/>
      <c r="I26" s="83"/>
      <c r="J26" s="83"/>
    </row>
    <row r="27" spans="1:10">
      <c r="B27" t="s">
        <v>96</v>
      </c>
      <c r="H27" s="88">
        <v>5755524</v>
      </c>
      <c r="I27" s="83"/>
      <c r="J27" s="83">
        <f>SUM(H27:I27)</f>
        <v>5755524</v>
      </c>
    </row>
    <row r="28" spans="1:10">
      <c r="B28" t="s">
        <v>37</v>
      </c>
      <c r="H28" s="83"/>
      <c r="I28" s="83"/>
      <c r="J28" s="83"/>
    </row>
    <row r="29" spans="1:10">
      <c r="C29" t="s">
        <v>38</v>
      </c>
      <c r="H29" s="89">
        <v>95165</v>
      </c>
      <c r="I29" s="83"/>
      <c r="J29" s="83">
        <f>SUM(H29:I29)</f>
        <v>95165</v>
      </c>
    </row>
    <row r="30" spans="1:10">
      <c r="C30" t="s">
        <v>257</v>
      </c>
      <c r="H30" s="89">
        <v>1372893</v>
      </c>
      <c r="I30" s="83"/>
      <c r="J30" s="83">
        <f>SUM(H30:I30)</f>
        <v>1372893</v>
      </c>
    </row>
    <row r="31" spans="1:10">
      <c r="C31" t="s">
        <v>258</v>
      </c>
      <c r="H31" s="89">
        <v>537606</v>
      </c>
      <c r="I31" s="83"/>
      <c r="J31" s="83">
        <f t="shared" ref="J31:J38" si="2">SUM(H31:I31)</f>
        <v>537606</v>
      </c>
    </row>
    <row r="32" spans="1:10">
      <c r="C32" t="s">
        <v>259</v>
      </c>
      <c r="H32" s="89">
        <v>618729</v>
      </c>
      <c r="I32" s="83"/>
      <c r="J32" s="83">
        <f t="shared" si="2"/>
        <v>618729</v>
      </c>
    </row>
    <row r="33" spans="2:10">
      <c r="C33" t="s">
        <v>260</v>
      </c>
      <c r="H33" s="89">
        <v>681845</v>
      </c>
      <c r="I33" s="83"/>
      <c r="J33" s="83">
        <f t="shared" si="2"/>
        <v>681845</v>
      </c>
    </row>
    <row r="34" spans="2:10">
      <c r="C34" t="s">
        <v>261</v>
      </c>
      <c r="H34" s="89">
        <v>425053</v>
      </c>
      <c r="I34" s="83"/>
      <c r="J34" s="83">
        <f t="shared" si="2"/>
        <v>425053</v>
      </c>
    </row>
    <row r="35" spans="2:10">
      <c r="C35" t="s">
        <v>262</v>
      </c>
      <c r="H35" s="89">
        <v>200984</v>
      </c>
      <c r="I35" s="83"/>
      <c r="J35" s="83">
        <f t="shared" si="2"/>
        <v>200984</v>
      </c>
    </row>
    <row r="36" spans="2:10">
      <c r="C36" t="s">
        <v>263</v>
      </c>
      <c r="H36" s="89">
        <v>604006</v>
      </c>
      <c r="I36" s="83"/>
      <c r="J36" s="83">
        <f t="shared" si="2"/>
        <v>604006</v>
      </c>
    </row>
    <row r="37" spans="2:10">
      <c r="C37" t="s">
        <v>264</v>
      </c>
      <c r="H37" s="89">
        <v>28298</v>
      </c>
      <c r="I37" s="83"/>
      <c r="J37" s="83">
        <f t="shared" si="2"/>
        <v>28298</v>
      </c>
    </row>
    <row r="38" spans="2:10">
      <c r="C38" t="s">
        <v>265</v>
      </c>
      <c r="H38" s="83"/>
      <c r="I38" s="83">
        <v>9119</v>
      </c>
      <c r="J38" s="83">
        <f t="shared" si="2"/>
        <v>9119</v>
      </c>
    </row>
    <row r="39" spans="2:10">
      <c r="B39" t="s">
        <v>69</v>
      </c>
      <c r="H39" s="93">
        <v>813860</v>
      </c>
      <c r="I39" s="83">
        <v>23195</v>
      </c>
      <c r="J39" s="83">
        <f>SUM(H39:I39)</f>
        <v>837055</v>
      </c>
    </row>
    <row r="40" spans="2:10">
      <c r="H40" s="81"/>
      <c r="I40" s="81"/>
      <c r="J40" s="81"/>
    </row>
    <row r="41" spans="2:10" s="3" customFormat="1">
      <c r="C41" s="9" t="s">
        <v>42</v>
      </c>
      <c r="D41" s="9"/>
      <c r="E41" s="9"/>
      <c r="F41" s="9"/>
      <c r="G41" s="9"/>
      <c r="H41" s="94">
        <f>SUM(H27:H39)</f>
        <v>11133963</v>
      </c>
      <c r="I41" s="94">
        <f>SUM(I27:I39)</f>
        <v>32314</v>
      </c>
      <c r="J41" s="94">
        <f>SUM(J27:J39)</f>
        <v>11166277</v>
      </c>
    </row>
    <row r="42" spans="2:10">
      <c r="H42" s="83"/>
      <c r="I42" s="83"/>
      <c r="J42" s="83"/>
    </row>
    <row r="43" spans="2:10" s="3" customFormat="1">
      <c r="C43" s="10" t="s">
        <v>43</v>
      </c>
      <c r="D43" s="10"/>
      <c r="E43" s="10"/>
      <c r="F43" s="10"/>
      <c r="G43" s="10"/>
      <c r="H43" s="95">
        <f>SUM(H41+H24)</f>
        <v>11959369</v>
      </c>
      <c r="I43" s="95">
        <f>SUM(I41+I24)</f>
        <v>33265</v>
      </c>
      <c r="J43" s="95">
        <f>SUM(J41+J24)</f>
        <v>11992634</v>
      </c>
    </row>
    <row r="44" spans="2:10">
      <c r="H44" s="83"/>
      <c r="I44" s="83"/>
      <c r="J44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9"/>
  <sheetViews>
    <sheetView workbookViewId="0">
      <selection activeCell="G6" sqref="G6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266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183">
        <v>5002609.6100000003</v>
      </c>
    </row>
    <row r="7" spans="1:7">
      <c r="B7" t="s">
        <v>113</v>
      </c>
      <c r="G7" s="184">
        <v>1124824.82</v>
      </c>
    </row>
    <row r="8" spans="1:7">
      <c r="B8" t="s">
        <v>267</v>
      </c>
      <c r="G8" s="185">
        <v>1831042.5</v>
      </c>
    </row>
    <row r="9" spans="1:7">
      <c r="B9" t="s">
        <v>268</v>
      </c>
      <c r="G9" s="185">
        <v>91971.96</v>
      </c>
    </row>
    <row r="10" spans="1:7">
      <c r="B10" t="s">
        <v>119</v>
      </c>
      <c r="G10" s="186">
        <v>12861749.24</v>
      </c>
    </row>
    <row r="11" spans="1:7">
      <c r="G11" s="83"/>
    </row>
    <row r="12" spans="1:7">
      <c r="A12" s="5"/>
      <c r="B12" s="6" t="s">
        <v>15</v>
      </c>
      <c r="C12" s="6"/>
      <c r="D12" s="6"/>
      <c r="E12" s="6"/>
      <c r="F12" s="6"/>
      <c r="G12" s="187">
        <f>SUM(G6:G10)</f>
        <v>20912198.130000003</v>
      </c>
    </row>
    <row r="13" spans="1:7">
      <c r="A13" s="5"/>
      <c r="B13" s="5"/>
      <c r="C13" s="5"/>
      <c r="D13" s="5"/>
      <c r="E13" s="5"/>
      <c r="F13" s="5"/>
      <c r="G13" s="203"/>
    </row>
    <row r="14" spans="1:7">
      <c r="A14" s="5" t="s">
        <v>160</v>
      </c>
      <c r="B14" s="5"/>
      <c r="C14" s="5"/>
      <c r="D14" s="5"/>
      <c r="E14" s="5"/>
      <c r="F14" s="5"/>
      <c r="G14" s="203"/>
    </row>
    <row r="15" spans="1:7">
      <c r="A15" s="5"/>
      <c r="B15" s="5"/>
      <c r="C15" s="5"/>
      <c r="D15" s="5"/>
      <c r="E15" s="5"/>
      <c r="F15" s="5"/>
      <c r="G15" s="204"/>
    </row>
    <row r="16" spans="1:7">
      <c r="G16" s="83"/>
    </row>
    <row r="17" spans="1:7">
      <c r="A17" s="5" t="s">
        <v>52</v>
      </c>
      <c r="G17" s="83"/>
    </row>
    <row r="18" spans="1:7">
      <c r="A18" s="5"/>
      <c r="B18" t="s">
        <v>20</v>
      </c>
      <c r="G18" s="188">
        <v>735676.08</v>
      </c>
    </row>
    <row r="19" spans="1:7">
      <c r="B19" t="s">
        <v>269</v>
      </c>
      <c r="G19" s="189">
        <v>1464267.57</v>
      </c>
    </row>
    <row r="20" spans="1:7">
      <c r="B20" t="s">
        <v>165</v>
      </c>
      <c r="G20" s="189">
        <v>2729.05</v>
      </c>
    </row>
    <row r="21" spans="1:7">
      <c r="B21" t="s">
        <v>29</v>
      </c>
      <c r="G21" s="190">
        <v>13428</v>
      </c>
    </row>
    <row r="22" spans="1:7">
      <c r="G22" s="191"/>
    </row>
    <row r="23" spans="1:7">
      <c r="C23" s="7" t="s">
        <v>33</v>
      </c>
      <c r="D23" s="8"/>
      <c r="E23" s="8"/>
      <c r="F23" s="8"/>
      <c r="G23" s="192">
        <f>SUM(G18:G21)</f>
        <v>2216100.6999999997</v>
      </c>
    </row>
    <row r="24" spans="1:7">
      <c r="C24" s="5"/>
      <c r="G24" s="203"/>
    </row>
    <row r="25" spans="1:7">
      <c r="A25" s="5" t="s">
        <v>160</v>
      </c>
      <c r="C25" s="5"/>
      <c r="G25" s="203"/>
    </row>
    <row r="26" spans="1:7">
      <c r="A26" s="5"/>
      <c r="C26" s="5"/>
      <c r="G26" s="204"/>
    </row>
    <row r="27" spans="1:7">
      <c r="G27" s="193"/>
    </row>
    <row r="28" spans="1:7">
      <c r="A28" s="3" t="s">
        <v>35</v>
      </c>
      <c r="G28" s="83"/>
    </row>
    <row r="29" spans="1:7">
      <c r="B29" t="s">
        <v>96</v>
      </c>
      <c r="G29" s="194">
        <v>12861749.24</v>
      </c>
    </row>
    <row r="30" spans="1:7">
      <c r="B30" t="s">
        <v>37</v>
      </c>
      <c r="G30" s="193"/>
    </row>
    <row r="31" spans="1:7">
      <c r="C31" t="s">
        <v>270</v>
      </c>
      <c r="G31" s="195">
        <v>872066</v>
      </c>
    </row>
    <row r="32" spans="1:7">
      <c r="C32" t="s">
        <v>271</v>
      </c>
      <c r="G32" s="195">
        <v>47484.38</v>
      </c>
    </row>
    <row r="33" spans="1:7">
      <c r="C33" t="s">
        <v>272</v>
      </c>
      <c r="G33" s="195">
        <v>3938013.98</v>
      </c>
    </row>
    <row r="34" spans="1:7">
      <c r="B34" t="s">
        <v>69</v>
      </c>
      <c r="G34" s="196">
        <v>976786.83</v>
      </c>
    </row>
    <row r="35" spans="1:7">
      <c r="G35" s="191"/>
    </row>
    <row r="36" spans="1:7">
      <c r="A36" s="3"/>
      <c r="B36" s="9" t="s">
        <v>42</v>
      </c>
      <c r="C36" s="9"/>
      <c r="D36" s="9"/>
      <c r="E36" s="9"/>
      <c r="F36" s="9"/>
      <c r="G36" s="197">
        <f>SUM(G29:G34)</f>
        <v>18696100.43</v>
      </c>
    </row>
    <row r="37" spans="1:7">
      <c r="G37" s="83"/>
    </row>
    <row r="38" spans="1:7">
      <c r="A38" s="3"/>
      <c r="B38" s="10" t="s">
        <v>43</v>
      </c>
      <c r="C38" s="10"/>
      <c r="D38" s="10"/>
      <c r="E38" s="10"/>
      <c r="F38" s="10"/>
      <c r="G38" s="95">
        <f>G36+G23</f>
        <v>20912201.129999999</v>
      </c>
    </row>
    <row r="39" spans="1:7">
      <c r="G39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4"/>
  <sheetViews>
    <sheetView topLeftCell="A4" zoomScale="90" zoomScaleNormal="90" zoomScalePageLayoutView="90" workbookViewId="0">
      <selection activeCell="I7" sqref="I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68" t="s">
        <v>273</v>
      </c>
      <c r="E1" s="268"/>
      <c r="F1" s="268"/>
      <c r="G1" s="268"/>
      <c r="H1" s="268"/>
      <c r="I1" s="97"/>
      <c r="J1" s="97"/>
    </row>
    <row r="2" spans="1:11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1" ht="15" customHeight="1">
      <c r="H4" s="273" t="s">
        <v>2</v>
      </c>
      <c r="I4" s="273"/>
      <c r="J4" s="273"/>
    </row>
    <row r="5" spans="1:11" ht="29.1">
      <c r="H5" s="105" t="s">
        <v>45</v>
      </c>
      <c r="I5" s="105" t="s">
        <v>141</v>
      </c>
      <c r="J5" s="105" t="s">
        <v>73</v>
      </c>
      <c r="K5" s="5"/>
    </row>
    <row r="6" spans="1:11">
      <c r="A6" s="3" t="s">
        <v>4</v>
      </c>
      <c r="D6" s="3"/>
      <c r="G6" s="4"/>
      <c r="H6" s="4"/>
      <c r="I6" s="4"/>
      <c r="J6" s="4"/>
    </row>
    <row r="7" spans="1:11">
      <c r="C7" t="s">
        <v>112</v>
      </c>
      <c r="H7" s="77">
        <v>11515168</v>
      </c>
      <c r="I7" s="83">
        <v>85541</v>
      </c>
      <c r="J7" s="83">
        <f t="shared" ref="J7" si="0">SUM(H7:I7)</f>
        <v>11600709</v>
      </c>
    </row>
    <row r="8" spans="1:11">
      <c r="C8" t="s">
        <v>113</v>
      </c>
      <c r="H8" s="78">
        <v>12345</v>
      </c>
      <c r="I8" s="83">
        <v>18998</v>
      </c>
      <c r="J8" s="83">
        <f>SUM(H8:I8)</f>
        <v>31343</v>
      </c>
    </row>
    <row r="9" spans="1:11">
      <c r="C9" t="s">
        <v>114</v>
      </c>
      <c r="H9" s="90">
        <v>6225622</v>
      </c>
      <c r="I9" s="83"/>
      <c r="J9" s="83">
        <f>SUM(H9:I9)</f>
        <v>6225622</v>
      </c>
    </row>
    <row r="10" spans="1:11">
      <c r="C10" t="s">
        <v>78</v>
      </c>
      <c r="H10" s="79">
        <v>5000</v>
      </c>
      <c r="I10" s="83"/>
      <c r="J10" s="83">
        <f>SUM(H10:I10)</f>
        <v>5000</v>
      </c>
    </row>
    <row r="11" spans="1:11">
      <c r="C11" t="s">
        <v>189</v>
      </c>
      <c r="H11" s="83"/>
      <c r="I11" s="83"/>
      <c r="J11" s="83"/>
    </row>
    <row r="12" spans="1:11">
      <c r="D12" t="s">
        <v>112</v>
      </c>
      <c r="H12" s="83"/>
      <c r="I12" s="83">
        <v>20844</v>
      </c>
      <c r="J12" s="83">
        <f>SUM(I12)</f>
        <v>20844</v>
      </c>
    </row>
    <row r="13" spans="1:11">
      <c r="D13" t="s">
        <v>6</v>
      </c>
      <c r="H13" s="84">
        <v>28105054</v>
      </c>
      <c r="I13" s="83"/>
      <c r="J13" s="83">
        <f>SUM(H13:I13)</f>
        <v>28105054</v>
      </c>
    </row>
    <row r="14" spans="1:11">
      <c r="C14" t="s">
        <v>119</v>
      </c>
      <c r="H14" s="80">
        <v>25647365</v>
      </c>
      <c r="I14" s="83">
        <v>261965</v>
      </c>
      <c r="J14" s="83">
        <f>SUM(H14:I14)</f>
        <v>25909330</v>
      </c>
    </row>
    <row r="15" spans="1:11">
      <c r="H15" s="81"/>
      <c r="I15" s="81"/>
      <c r="J15" s="81"/>
    </row>
    <row r="16" spans="1:11" s="5" customFormat="1">
      <c r="C16" s="6" t="s">
        <v>15</v>
      </c>
      <c r="D16" s="6"/>
      <c r="E16" s="6"/>
      <c r="F16" s="6"/>
      <c r="G16" s="6"/>
      <c r="H16" s="82">
        <f>SUM(H7:H14)</f>
        <v>71510554</v>
      </c>
      <c r="I16" s="82">
        <f t="shared" ref="I16:J16" si="1">SUM(I7:I14)</f>
        <v>387348</v>
      </c>
      <c r="J16" s="82">
        <f t="shared" si="1"/>
        <v>71897902</v>
      </c>
    </row>
    <row r="17" spans="1:10">
      <c r="H17" s="83"/>
      <c r="I17" s="83"/>
      <c r="J17" s="83"/>
    </row>
    <row r="18" spans="1:10">
      <c r="A18" s="5" t="s">
        <v>52</v>
      </c>
      <c r="H18" s="83"/>
      <c r="I18" s="83"/>
      <c r="J18" s="83"/>
    </row>
    <row r="19" spans="1:10">
      <c r="A19" s="5"/>
      <c r="C19" t="s">
        <v>274</v>
      </c>
      <c r="H19" s="79">
        <v>7145</v>
      </c>
      <c r="I19" s="83"/>
      <c r="J19" s="83">
        <f t="shared" ref="J19:J28" si="2">SUM(H19:I19)</f>
        <v>7145</v>
      </c>
    </row>
    <row r="20" spans="1:10">
      <c r="C20" t="s">
        <v>275</v>
      </c>
      <c r="H20" s="84">
        <v>2809470</v>
      </c>
      <c r="I20" s="83">
        <v>10998</v>
      </c>
      <c r="J20" s="83">
        <f t="shared" si="2"/>
        <v>2820468</v>
      </c>
    </row>
    <row r="21" spans="1:10">
      <c r="C21" t="s">
        <v>276</v>
      </c>
      <c r="H21" s="84">
        <v>114296</v>
      </c>
      <c r="I21" s="83"/>
      <c r="J21" s="83">
        <f t="shared" si="2"/>
        <v>114296</v>
      </c>
    </row>
    <row r="22" spans="1:10">
      <c r="C22" t="s">
        <v>277</v>
      </c>
      <c r="H22" s="84">
        <v>307818</v>
      </c>
      <c r="I22" s="83"/>
      <c r="J22" s="83">
        <f t="shared" si="2"/>
        <v>307818</v>
      </c>
    </row>
    <row r="23" spans="1:10">
      <c r="C23" t="s">
        <v>54</v>
      </c>
      <c r="H23" s="79">
        <v>329789</v>
      </c>
      <c r="I23" s="83">
        <v>1438</v>
      </c>
      <c r="J23" s="83">
        <f t="shared" si="2"/>
        <v>331227</v>
      </c>
    </row>
    <row r="24" spans="1:10">
      <c r="C24" t="s">
        <v>166</v>
      </c>
      <c r="H24" s="83"/>
      <c r="I24" s="83"/>
      <c r="J24" s="83"/>
    </row>
    <row r="25" spans="1:10">
      <c r="D25" t="s">
        <v>278</v>
      </c>
      <c r="H25" s="83"/>
      <c r="I25" s="83"/>
      <c r="J25" s="83"/>
    </row>
    <row r="26" spans="1:10">
      <c r="E26" t="s">
        <v>106</v>
      </c>
      <c r="H26" s="86">
        <v>2955</v>
      </c>
      <c r="I26" s="83"/>
      <c r="J26" s="83">
        <f>SUM(H26:I26)</f>
        <v>2955</v>
      </c>
    </row>
    <row r="27" spans="1:10">
      <c r="E27" t="s">
        <v>279</v>
      </c>
      <c r="H27" s="92">
        <v>2338</v>
      </c>
      <c r="I27" s="83"/>
      <c r="J27" s="83">
        <f t="shared" si="2"/>
        <v>2338</v>
      </c>
    </row>
    <row r="28" spans="1:10">
      <c r="E28" t="s">
        <v>280</v>
      </c>
      <c r="H28" s="85">
        <v>234000</v>
      </c>
      <c r="I28" s="83">
        <v>1916</v>
      </c>
      <c r="J28" s="83">
        <f t="shared" si="2"/>
        <v>235916</v>
      </c>
    </row>
    <row r="29" spans="1:10">
      <c r="D29" t="s">
        <v>281</v>
      </c>
      <c r="H29" s="83"/>
      <c r="I29" s="83"/>
      <c r="J29" s="83"/>
    </row>
    <row r="30" spans="1:10">
      <c r="E30" t="s">
        <v>282</v>
      </c>
      <c r="H30" s="77">
        <v>11062</v>
      </c>
      <c r="I30" s="83">
        <v>11700</v>
      </c>
      <c r="J30" s="83">
        <f t="shared" ref="J30:J32" si="3">SUM(H30:I30)</f>
        <v>22762</v>
      </c>
    </row>
    <row r="31" spans="1:10">
      <c r="E31" t="s">
        <v>106</v>
      </c>
      <c r="H31" s="86">
        <v>68625</v>
      </c>
      <c r="I31" s="83"/>
      <c r="J31" s="83">
        <f t="shared" si="3"/>
        <v>68625</v>
      </c>
    </row>
    <row r="32" spans="1:10">
      <c r="E32" t="s">
        <v>280</v>
      </c>
      <c r="H32" s="78">
        <v>31605866</v>
      </c>
      <c r="I32" s="83">
        <v>57806</v>
      </c>
      <c r="J32" s="83">
        <f t="shared" si="3"/>
        <v>31663672</v>
      </c>
    </row>
    <row r="33" spans="1:10">
      <c r="H33" s="81"/>
      <c r="I33" s="81"/>
      <c r="J33" s="81"/>
    </row>
    <row r="34" spans="1:10">
      <c r="D34" s="7" t="s">
        <v>33</v>
      </c>
      <c r="E34" s="8"/>
      <c r="F34" s="8"/>
      <c r="G34" s="8"/>
      <c r="H34" s="87">
        <f>SUM(H19:H32)</f>
        <v>35493364</v>
      </c>
      <c r="I34" s="87">
        <f>SUM(I19:I32)</f>
        <v>83858</v>
      </c>
      <c r="J34" s="87">
        <f>SUM(J19:J32)</f>
        <v>35577222</v>
      </c>
    </row>
    <row r="35" spans="1:10">
      <c r="H35" s="83"/>
      <c r="I35" s="83"/>
      <c r="J35" s="83"/>
    </row>
    <row r="36" spans="1:10">
      <c r="A36" s="3" t="s">
        <v>35</v>
      </c>
      <c r="H36" s="83"/>
      <c r="I36" s="83"/>
      <c r="J36" s="83"/>
    </row>
    <row r="37" spans="1:10">
      <c r="B37" t="s">
        <v>96</v>
      </c>
      <c r="H37" s="88">
        <v>22677823</v>
      </c>
      <c r="I37" s="83">
        <v>204159</v>
      </c>
      <c r="J37" s="83">
        <f>SUM(H37:I37)</f>
        <v>22881982</v>
      </c>
    </row>
    <row r="38" spans="1:10">
      <c r="B38" t="s">
        <v>283</v>
      </c>
      <c r="H38" s="89">
        <v>126351</v>
      </c>
      <c r="I38" s="83">
        <v>7228</v>
      </c>
      <c r="J38" s="83">
        <f>SUM(H38:I38)</f>
        <v>133579</v>
      </c>
    </row>
    <row r="39" spans="1:10">
      <c r="B39" t="s">
        <v>69</v>
      </c>
      <c r="H39" s="93">
        <v>13213016</v>
      </c>
      <c r="I39" s="83">
        <v>92103</v>
      </c>
      <c r="J39" s="83">
        <f>SUM(H39:I39)</f>
        <v>13305119</v>
      </c>
    </row>
    <row r="40" spans="1:10">
      <c r="H40" s="81"/>
      <c r="I40" s="81"/>
      <c r="J40" s="81"/>
    </row>
    <row r="41" spans="1:10" s="3" customFormat="1">
      <c r="C41" s="9" t="s">
        <v>42</v>
      </c>
      <c r="D41" s="9"/>
      <c r="E41" s="9"/>
      <c r="F41" s="9"/>
      <c r="G41" s="9"/>
      <c r="H41" s="94">
        <f>SUM(H37:H39)</f>
        <v>36017190</v>
      </c>
      <c r="I41" s="94">
        <f>SUM(I37:I39)</f>
        <v>303490</v>
      </c>
      <c r="J41" s="94">
        <f>SUM(J37:J39)</f>
        <v>36320680</v>
      </c>
    </row>
    <row r="42" spans="1:10">
      <c r="H42" s="83"/>
      <c r="I42" s="83"/>
      <c r="J42" s="83"/>
    </row>
    <row r="43" spans="1:10" s="3" customFormat="1">
      <c r="C43" s="10" t="s">
        <v>43</v>
      </c>
      <c r="D43" s="10"/>
      <c r="E43" s="10"/>
      <c r="F43" s="10"/>
      <c r="G43" s="10"/>
      <c r="H43" s="95">
        <f>SUM(H41+H34)</f>
        <v>71510554</v>
      </c>
      <c r="I43" s="95">
        <f t="shared" ref="I43:J43" si="4">SUM(I41+I34)</f>
        <v>387348</v>
      </c>
      <c r="J43" s="95">
        <f t="shared" si="4"/>
        <v>71897902</v>
      </c>
    </row>
    <row r="44" spans="1:10">
      <c r="H44" s="83"/>
      <c r="I44" s="83"/>
      <c r="J44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9"/>
  <sheetViews>
    <sheetView workbookViewId="0">
      <selection activeCell="G26" sqref="G26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284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8560372</v>
      </c>
    </row>
    <row r="7" spans="1:7">
      <c r="B7" t="s">
        <v>47</v>
      </c>
      <c r="G7" s="78">
        <v>3796748</v>
      </c>
    </row>
    <row r="8" spans="1:7">
      <c r="B8" t="s">
        <v>285</v>
      </c>
      <c r="G8" s="91">
        <v>18743780</v>
      </c>
    </row>
    <row r="9" spans="1:7">
      <c r="G9" s="83"/>
    </row>
    <row r="10" spans="1:7">
      <c r="A10" s="5"/>
      <c r="B10" s="6" t="s">
        <v>15</v>
      </c>
      <c r="C10" s="6"/>
      <c r="D10" s="6"/>
      <c r="E10" s="6"/>
      <c r="F10" s="6"/>
      <c r="G10" s="82">
        <f>SUM(G6:G8)</f>
        <v>31100900</v>
      </c>
    </row>
    <row r="11" spans="1:7">
      <c r="G11" s="83"/>
    </row>
    <row r="12" spans="1:7">
      <c r="A12" s="5" t="s">
        <v>52</v>
      </c>
      <c r="G12" s="83"/>
    </row>
    <row r="13" spans="1:7">
      <c r="A13" s="5"/>
      <c r="B13" t="s">
        <v>20</v>
      </c>
      <c r="G13" s="84">
        <v>497630</v>
      </c>
    </row>
    <row r="14" spans="1:7">
      <c r="B14" t="s">
        <v>286</v>
      </c>
      <c r="G14" s="84">
        <v>67733</v>
      </c>
    </row>
    <row r="15" spans="1:7">
      <c r="B15" t="s">
        <v>106</v>
      </c>
      <c r="G15" s="86">
        <v>103567</v>
      </c>
    </row>
    <row r="16" spans="1:7">
      <c r="B16" t="s">
        <v>287</v>
      </c>
      <c r="G16" s="84">
        <v>70000</v>
      </c>
    </row>
    <row r="17" spans="1:7">
      <c r="B17" t="s">
        <v>288</v>
      </c>
      <c r="G17" s="96">
        <v>132000</v>
      </c>
    </row>
    <row r="18" spans="1:7">
      <c r="B18" t="s">
        <v>289</v>
      </c>
      <c r="G18" s="79">
        <v>1433906</v>
      </c>
    </row>
    <row r="19" spans="1:7">
      <c r="G19" s="81"/>
    </row>
    <row r="20" spans="1:7">
      <c r="C20" s="7" t="s">
        <v>33</v>
      </c>
      <c r="D20" s="8"/>
      <c r="E20" s="8"/>
      <c r="F20" s="8"/>
      <c r="G20" s="87">
        <f>SUM(G13:G18)</f>
        <v>2304836</v>
      </c>
    </row>
    <row r="21" spans="1:7">
      <c r="G21" s="83"/>
    </row>
    <row r="22" spans="1:7">
      <c r="A22" s="3" t="s">
        <v>35</v>
      </c>
      <c r="G22" s="83"/>
    </row>
    <row r="23" spans="1:7">
      <c r="B23" t="s">
        <v>61</v>
      </c>
      <c r="G23" s="88">
        <v>18541780</v>
      </c>
    </row>
    <row r="24" spans="1:7">
      <c r="B24" t="s">
        <v>69</v>
      </c>
      <c r="G24" s="93">
        <v>10254284</v>
      </c>
    </row>
    <row r="25" spans="1:7">
      <c r="G25" s="81"/>
    </row>
    <row r="26" spans="1:7">
      <c r="A26" s="3"/>
      <c r="B26" s="9" t="s">
        <v>42</v>
      </c>
      <c r="C26" s="9"/>
      <c r="D26" s="9"/>
      <c r="E26" s="9"/>
      <c r="F26" s="9"/>
      <c r="G26" s="94">
        <f>SUM(G23:G24)</f>
        <v>28796064</v>
      </c>
    </row>
    <row r="27" spans="1:7">
      <c r="G27" s="83"/>
    </row>
    <row r="28" spans="1:7">
      <c r="A28" s="3"/>
      <c r="B28" s="10" t="s">
        <v>43</v>
      </c>
      <c r="C28" s="10"/>
      <c r="D28" s="10"/>
      <c r="E28" s="10"/>
      <c r="F28" s="10"/>
      <c r="G28" s="95">
        <f>SUM(G20+G26)</f>
        <v>31100900</v>
      </c>
    </row>
    <row r="29" spans="1:7">
      <c r="G29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40"/>
  <sheetViews>
    <sheetView zoomScale="80" zoomScaleNormal="80" zoomScalePageLayoutView="80" workbookViewId="0">
      <selection activeCell="M20" sqref="M20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68" t="s">
        <v>290</v>
      </c>
      <c r="E1" s="268"/>
      <c r="F1" s="268"/>
      <c r="G1" s="268"/>
      <c r="H1" s="268"/>
      <c r="I1" s="97"/>
      <c r="J1" s="97"/>
    </row>
    <row r="2" spans="1:11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1">
      <c r="H4" s="273" t="s">
        <v>2</v>
      </c>
      <c r="I4" s="273"/>
      <c r="J4" s="273"/>
    </row>
    <row r="5" spans="1:11" ht="29.1">
      <c r="H5" s="105" t="s">
        <v>45</v>
      </c>
      <c r="I5" s="105" t="s">
        <v>141</v>
      </c>
      <c r="J5" s="105" t="s">
        <v>73</v>
      </c>
      <c r="K5" s="5"/>
    </row>
    <row r="6" spans="1:11">
      <c r="A6" s="3" t="s">
        <v>4</v>
      </c>
      <c r="D6" s="3"/>
      <c r="G6" s="4"/>
      <c r="H6" s="4"/>
      <c r="I6" s="4"/>
      <c r="J6" s="4"/>
    </row>
    <row r="7" spans="1:11">
      <c r="C7" t="s">
        <v>46</v>
      </c>
      <c r="H7" s="77">
        <v>1797180</v>
      </c>
      <c r="I7" s="83">
        <v>466152</v>
      </c>
      <c r="J7" s="83">
        <f t="shared" ref="J7" si="0">SUM(H7:I7)</f>
        <v>2263332</v>
      </c>
    </row>
    <row r="8" spans="1:11">
      <c r="C8" t="s">
        <v>291</v>
      </c>
      <c r="H8" s="78">
        <v>1472672</v>
      </c>
      <c r="I8" s="83">
        <v>88420</v>
      </c>
      <c r="J8" s="83">
        <f>SUM(H8:I8)</f>
        <v>1561092</v>
      </c>
    </row>
    <row r="9" spans="1:11">
      <c r="C9" t="s">
        <v>12</v>
      </c>
      <c r="H9" s="83"/>
      <c r="I9" s="83"/>
      <c r="J9" s="83"/>
    </row>
    <row r="10" spans="1:11">
      <c r="D10" t="s">
        <v>292</v>
      </c>
      <c r="H10" s="83"/>
      <c r="I10" s="83"/>
      <c r="J10" s="83"/>
    </row>
    <row r="11" spans="1:11">
      <c r="E11" t="s">
        <v>132</v>
      </c>
      <c r="H11" s="80">
        <v>60410</v>
      </c>
      <c r="I11" s="83"/>
      <c r="J11" s="83">
        <f>SUM(H11:I11)</f>
        <v>60410</v>
      </c>
    </row>
    <row r="12" spans="1:11">
      <c r="E12" t="s">
        <v>128</v>
      </c>
      <c r="H12" s="80">
        <v>203250</v>
      </c>
      <c r="I12" s="83"/>
      <c r="J12" s="83">
        <f>SUM(H12:I12)</f>
        <v>203250</v>
      </c>
    </row>
    <row r="13" spans="1:11">
      <c r="D13" t="s">
        <v>293</v>
      </c>
      <c r="H13" s="80">
        <v>5577373</v>
      </c>
      <c r="I13" s="83">
        <v>349237</v>
      </c>
      <c r="J13" s="83">
        <f>SUM(H13:I13)</f>
        <v>5926610</v>
      </c>
    </row>
    <row r="14" spans="1:11">
      <c r="H14" s="81"/>
      <c r="I14" s="81"/>
      <c r="J14" s="81"/>
    </row>
    <row r="15" spans="1:11" s="5" customFormat="1">
      <c r="C15" s="6" t="s">
        <v>15</v>
      </c>
      <c r="D15" s="6"/>
      <c r="E15" s="6"/>
      <c r="F15" s="6"/>
      <c r="G15" s="6"/>
      <c r="H15" s="82">
        <f>SUM(H7:H13)</f>
        <v>9110885</v>
      </c>
      <c r="I15" s="82">
        <f>SUM(I7:I13)</f>
        <v>903809</v>
      </c>
      <c r="J15" s="82">
        <f>SUM(J7:J13)</f>
        <v>10014694</v>
      </c>
    </row>
    <row r="16" spans="1:11">
      <c r="H16" s="83"/>
      <c r="I16" s="83"/>
      <c r="J16" s="83"/>
    </row>
    <row r="17" spans="1:10">
      <c r="A17" s="5" t="s">
        <v>52</v>
      </c>
      <c r="H17" s="83"/>
      <c r="I17" s="83"/>
      <c r="J17" s="83"/>
    </row>
    <row r="18" spans="1:10">
      <c r="A18" s="5"/>
      <c r="C18" t="s">
        <v>275</v>
      </c>
      <c r="H18" s="84">
        <v>527147</v>
      </c>
      <c r="I18" s="83">
        <v>41378</v>
      </c>
      <c r="J18" s="83">
        <f>SUM(H18:I18)</f>
        <v>568525</v>
      </c>
    </row>
    <row r="19" spans="1:10">
      <c r="C19" t="s">
        <v>294</v>
      </c>
      <c r="H19" s="83"/>
      <c r="I19" s="83">
        <v>77981</v>
      </c>
      <c r="J19" s="83">
        <f t="shared" ref="J19:J24" si="1">SUM(H19:I19)</f>
        <v>77981</v>
      </c>
    </row>
    <row r="20" spans="1:10">
      <c r="C20" t="s">
        <v>23</v>
      </c>
      <c r="H20" s="79">
        <v>17112</v>
      </c>
      <c r="I20" s="83"/>
      <c r="J20" s="83">
        <f t="shared" si="1"/>
        <v>17112</v>
      </c>
    </row>
    <row r="21" spans="1:10">
      <c r="C21" t="s">
        <v>109</v>
      </c>
      <c r="H21" s="83"/>
      <c r="I21" s="83"/>
      <c r="J21" s="83"/>
    </row>
    <row r="22" spans="1:10">
      <c r="D22" t="s">
        <v>29</v>
      </c>
      <c r="H22" s="86">
        <v>44833</v>
      </c>
      <c r="I22" s="83">
        <v>9609</v>
      </c>
      <c r="J22" s="83">
        <f t="shared" si="1"/>
        <v>54442</v>
      </c>
    </row>
    <row r="23" spans="1:10">
      <c r="D23" t="s">
        <v>295</v>
      </c>
      <c r="H23" s="83"/>
      <c r="I23" s="83"/>
      <c r="J23" s="83"/>
    </row>
    <row r="24" spans="1:10">
      <c r="E24" t="s">
        <v>88</v>
      </c>
      <c r="H24" s="92">
        <v>95211</v>
      </c>
      <c r="I24" s="83"/>
      <c r="J24" s="83">
        <f t="shared" si="1"/>
        <v>95211</v>
      </c>
    </row>
    <row r="25" spans="1:10">
      <c r="E25" t="s">
        <v>89</v>
      </c>
      <c r="H25" s="77">
        <v>247461</v>
      </c>
      <c r="I25" s="83"/>
      <c r="J25" s="83">
        <f>SUM(H25:I25)</f>
        <v>247461</v>
      </c>
    </row>
    <row r="26" spans="1:10">
      <c r="H26" s="83"/>
      <c r="I26" s="83"/>
      <c r="J26" s="83"/>
    </row>
    <row r="27" spans="1:10">
      <c r="D27" s="7" t="s">
        <v>33</v>
      </c>
      <c r="E27" s="8"/>
      <c r="F27" s="8"/>
      <c r="G27" s="8"/>
      <c r="H27" s="87">
        <v>931764</v>
      </c>
      <c r="I27" s="87">
        <f>SUM(I18:I25)</f>
        <v>128968</v>
      </c>
      <c r="J27" s="87">
        <f>SUM(J18:J25)</f>
        <v>1060732</v>
      </c>
    </row>
    <row r="28" spans="1:10">
      <c r="H28" s="83"/>
      <c r="I28" s="83"/>
      <c r="J28" s="83"/>
    </row>
    <row r="29" spans="1:10">
      <c r="A29" s="3" t="s">
        <v>35</v>
      </c>
      <c r="H29" s="83"/>
      <c r="I29" s="83"/>
      <c r="J29" s="83"/>
    </row>
    <row r="30" spans="1:10">
      <c r="B30" t="s">
        <v>61</v>
      </c>
      <c r="H30" s="88">
        <v>5498361</v>
      </c>
      <c r="I30" s="83">
        <v>349237</v>
      </c>
      <c r="J30" s="83">
        <f>SUM(H30:I30)</f>
        <v>5847598</v>
      </c>
    </row>
    <row r="31" spans="1:10">
      <c r="B31" t="s">
        <v>296</v>
      </c>
      <c r="H31" s="83"/>
      <c r="I31" s="83"/>
      <c r="J31" s="83"/>
    </row>
    <row r="32" spans="1:10">
      <c r="C32" t="s">
        <v>297</v>
      </c>
      <c r="H32" s="89">
        <v>1839813</v>
      </c>
      <c r="I32" s="83"/>
      <c r="J32" s="83">
        <f>SUM(H32:I32)</f>
        <v>1839813</v>
      </c>
    </row>
    <row r="33" spans="2:10">
      <c r="C33" t="s">
        <v>203</v>
      </c>
      <c r="H33" s="89">
        <v>25525</v>
      </c>
      <c r="I33" s="83"/>
      <c r="J33" s="83">
        <f>SUM(H33:I33)</f>
        <v>25525</v>
      </c>
    </row>
    <row r="34" spans="2:10">
      <c r="C34" t="s">
        <v>298</v>
      </c>
      <c r="H34" s="89">
        <v>51676</v>
      </c>
      <c r="I34" s="83"/>
      <c r="J34" s="83">
        <f t="shared" ref="J34" si="2">SUM(H34:I34)</f>
        <v>51676</v>
      </c>
    </row>
    <row r="35" spans="2:10">
      <c r="B35" t="s">
        <v>69</v>
      </c>
      <c r="H35" s="93">
        <v>763746</v>
      </c>
      <c r="I35" s="83">
        <v>425604</v>
      </c>
      <c r="J35" s="83">
        <f>SUM(H35:I35)</f>
        <v>1189350</v>
      </c>
    </row>
    <row r="36" spans="2:10">
      <c r="H36" s="81"/>
      <c r="I36" s="81"/>
      <c r="J36" s="81"/>
    </row>
    <row r="37" spans="2:10" s="3" customFormat="1">
      <c r="C37" s="9" t="s">
        <v>42</v>
      </c>
      <c r="D37" s="9"/>
      <c r="E37" s="9"/>
      <c r="F37" s="9"/>
      <c r="G37" s="9"/>
      <c r="H37" s="94">
        <f>SUM(H30:H35)</f>
        <v>8179121</v>
      </c>
      <c r="I37" s="94">
        <f>SUM(I30:I35)</f>
        <v>774841</v>
      </c>
      <c r="J37" s="94">
        <f>SUM(J30:J35)</f>
        <v>8953962</v>
      </c>
    </row>
    <row r="38" spans="2:10">
      <c r="H38" s="83"/>
      <c r="I38" s="83"/>
      <c r="J38" s="83"/>
    </row>
    <row r="39" spans="2:10" s="3" customFormat="1">
      <c r="C39" s="10" t="s">
        <v>43</v>
      </c>
      <c r="D39" s="10"/>
      <c r="E39" s="10"/>
      <c r="F39" s="10"/>
      <c r="G39" s="10"/>
      <c r="H39" s="95">
        <f>SUM(H37+H27)</f>
        <v>9110885</v>
      </c>
      <c r="I39" s="95">
        <f>SUM(I37+I27)</f>
        <v>903809</v>
      </c>
      <c r="J39" s="95">
        <f>SUM(J37+J27)</f>
        <v>10014694</v>
      </c>
    </row>
    <row r="40" spans="2:10">
      <c r="H40" s="83"/>
      <c r="I40" s="83"/>
      <c r="J40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56"/>
  <sheetViews>
    <sheetView zoomScale="70" zoomScaleNormal="70" zoomScalePageLayoutView="70" workbookViewId="0">
      <selection activeCell="H46" sqref="H46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7.7109375" customWidth="1"/>
  </cols>
  <sheetData>
    <row r="1" spans="1:10" ht="18.75" customHeight="1">
      <c r="A1" s="1"/>
      <c r="B1" s="1"/>
      <c r="C1" s="1"/>
      <c r="D1" s="268" t="s">
        <v>299</v>
      </c>
      <c r="E1" s="268"/>
      <c r="F1" s="268"/>
      <c r="G1" s="268"/>
      <c r="H1" s="268"/>
    </row>
    <row r="2" spans="1:10" ht="15.75" customHeight="1">
      <c r="A2" s="1"/>
      <c r="B2" s="1"/>
      <c r="C2" s="1"/>
      <c r="D2" s="266" t="s">
        <v>1</v>
      </c>
      <c r="E2" s="266"/>
      <c r="F2" s="266"/>
      <c r="G2" s="266"/>
      <c r="H2" s="266"/>
    </row>
    <row r="4" spans="1:10" ht="31.5" customHeight="1">
      <c r="H4" s="205" t="s">
        <v>2</v>
      </c>
    </row>
    <row r="5" spans="1:10" ht="31.5" customHeight="1">
      <c r="H5" s="2" t="s">
        <v>45</v>
      </c>
      <c r="I5" s="106" t="s">
        <v>3</v>
      </c>
      <c r="J5" s="5"/>
    </row>
    <row r="6" spans="1:10">
      <c r="A6" s="3" t="s">
        <v>4</v>
      </c>
      <c r="D6" s="3"/>
      <c r="G6" s="4"/>
      <c r="H6" s="4"/>
    </row>
    <row r="7" spans="1:10">
      <c r="C7" t="s">
        <v>112</v>
      </c>
      <c r="H7" s="77">
        <v>41860020</v>
      </c>
      <c r="I7" s="83">
        <v>50012752</v>
      </c>
    </row>
    <row r="8" spans="1:10">
      <c r="C8" t="s">
        <v>6</v>
      </c>
      <c r="H8" s="84">
        <v>72229</v>
      </c>
      <c r="I8" s="83"/>
    </row>
    <row r="9" spans="1:10">
      <c r="C9" t="s">
        <v>113</v>
      </c>
      <c r="H9" s="78">
        <v>8148320</v>
      </c>
      <c r="I9" s="83">
        <v>10661648</v>
      </c>
    </row>
    <row r="10" spans="1:10">
      <c r="C10" t="s">
        <v>300</v>
      </c>
      <c r="H10" s="79">
        <v>1813645</v>
      </c>
      <c r="I10" s="83"/>
    </row>
    <row r="11" spans="1:10">
      <c r="C11" t="s">
        <v>268</v>
      </c>
      <c r="H11" s="90">
        <v>3826329</v>
      </c>
      <c r="I11" s="83">
        <v>1109307</v>
      </c>
    </row>
    <row r="12" spans="1:10">
      <c r="C12" t="s">
        <v>157</v>
      </c>
      <c r="H12" s="121"/>
      <c r="I12" s="83">
        <v>699043</v>
      </c>
    </row>
    <row r="13" spans="1:10">
      <c r="C13" t="s">
        <v>158</v>
      </c>
      <c r="H13" s="83"/>
      <c r="I13" s="83">
        <v>1829268</v>
      </c>
    </row>
    <row r="14" spans="1:10">
      <c r="C14" t="s">
        <v>115</v>
      </c>
      <c r="H14" s="83"/>
      <c r="I14" s="83">
        <v>690228</v>
      </c>
    </row>
    <row r="15" spans="1:10">
      <c r="C15" t="s">
        <v>301</v>
      </c>
      <c r="H15" s="83"/>
      <c r="I15" s="83">
        <v>343738</v>
      </c>
    </row>
    <row r="16" spans="1:10">
      <c r="C16" t="s">
        <v>77</v>
      </c>
      <c r="H16" s="83"/>
      <c r="I16" s="83">
        <v>3604141</v>
      </c>
    </row>
    <row r="17" spans="1:9">
      <c r="C17" t="s">
        <v>12</v>
      </c>
      <c r="H17" s="83"/>
      <c r="I17" s="83"/>
    </row>
    <row r="18" spans="1:9">
      <c r="D18" t="s">
        <v>13</v>
      </c>
      <c r="H18" s="80">
        <v>7506786</v>
      </c>
      <c r="I18" s="83">
        <v>10114835</v>
      </c>
    </row>
    <row r="19" spans="1:9">
      <c r="D19" t="s">
        <v>14</v>
      </c>
      <c r="H19" s="91">
        <v>86713962</v>
      </c>
      <c r="I19" s="83">
        <v>67336603</v>
      </c>
    </row>
    <row r="20" spans="1:9">
      <c r="H20" s="83"/>
      <c r="I20" s="81"/>
    </row>
    <row r="21" spans="1:9" s="5" customFormat="1">
      <c r="C21" s="6" t="s">
        <v>15</v>
      </c>
      <c r="D21" s="6"/>
      <c r="E21" s="6"/>
      <c r="F21" s="6"/>
      <c r="G21" s="6"/>
      <c r="H21" s="82">
        <f>SUM(H7:H19)</f>
        <v>149941291</v>
      </c>
      <c r="I21" s="82">
        <f>SUM(I7:I19)</f>
        <v>146401563</v>
      </c>
    </row>
    <row r="22" spans="1:9" s="5" customFormat="1">
      <c r="H22" s="100"/>
      <c r="I22" s="100"/>
    </row>
    <row r="23" spans="1:9" s="5" customFormat="1">
      <c r="A23" s="5" t="s">
        <v>160</v>
      </c>
      <c r="H23" s="100"/>
      <c r="I23" s="100"/>
    </row>
    <row r="24" spans="1:9" s="5" customFormat="1">
      <c r="B24" t="s">
        <v>302</v>
      </c>
      <c r="H24" s="100"/>
      <c r="I24" s="100"/>
    </row>
    <row r="25" spans="1:9">
      <c r="H25" s="83"/>
      <c r="I25" s="83"/>
    </row>
    <row r="26" spans="1:9">
      <c r="A26" s="5" t="s">
        <v>52</v>
      </c>
      <c r="H26" s="83"/>
      <c r="I26" s="83"/>
    </row>
    <row r="27" spans="1:9">
      <c r="C27" t="s">
        <v>20</v>
      </c>
      <c r="H27" s="84">
        <v>970975</v>
      </c>
      <c r="I27" s="83">
        <v>2757772</v>
      </c>
    </row>
    <row r="28" spans="1:9">
      <c r="C28" t="s">
        <v>303</v>
      </c>
      <c r="H28" s="84">
        <v>221930</v>
      </c>
      <c r="I28" s="83">
        <v>7088119</v>
      </c>
    </row>
    <row r="29" spans="1:9">
      <c r="C29" t="s">
        <v>304</v>
      </c>
      <c r="H29" s="84">
        <v>567425</v>
      </c>
      <c r="I29" s="83">
        <v>520118</v>
      </c>
    </row>
    <row r="30" spans="1:9">
      <c r="C30" t="s">
        <v>165</v>
      </c>
      <c r="H30" s="96">
        <v>361954</v>
      </c>
      <c r="I30" s="83">
        <v>204273</v>
      </c>
    </row>
    <row r="31" spans="1:9">
      <c r="C31" t="s">
        <v>305</v>
      </c>
      <c r="H31" s="96">
        <v>699043</v>
      </c>
      <c r="I31" s="83"/>
    </row>
    <row r="32" spans="1:9">
      <c r="C32" t="s">
        <v>306</v>
      </c>
      <c r="H32" s="83"/>
      <c r="I32" s="83">
        <v>1813645</v>
      </c>
    </row>
    <row r="33" spans="1:9">
      <c r="C33" t="s">
        <v>307</v>
      </c>
      <c r="H33" s="79">
        <v>126545</v>
      </c>
      <c r="I33" s="83">
        <v>92170</v>
      </c>
    </row>
    <row r="34" spans="1:9">
      <c r="C34" t="s">
        <v>308</v>
      </c>
      <c r="H34" s="83"/>
      <c r="I34" s="83">
        <v>329200</v>
      </c>
    </row>
    <row r="35" spans="1:9">
      <c r="C35" t="s">
        <v>24</v>
      </c>
      <c r="H35" s="84">
        <v>38674</v>
      </c>
      <c r="I35" s="83">
        <v>238123</v>
      </c>
    </row>
    <row r="36" spans="1:9">
      <c r="C36" t="s">
        <v>109</v>
      </c>
      <c r="H36" s="83"/>
      <c r="I36" s="83"/>
    </row>
    <row r="37" spans="1:9">
      <c r="D37" t="s">
        <v>309</v>
      </c>
      <c r="H37" s="79">
        <v>4495880</v>
      </c>
      <c r="I37" s="83">
        <v>1872648</v>
      </c>
    </row>
    <row r="38" spans="1:9">
      <c r="D38" t="s">
        <v>88</v>
      </c>
      <c r="H38" s="92">
        <v>1680344</v>
      </c>
      <c r="I38" s="83">
        <v>3633893</v>
      </c>
    </row>
    <row r="39" spans="1:9">
      <c r="D39" t="s">
        <v>89</v>
      </c>
      <c r="H39" s="77">
        <v>8169937</v>
      </c>
      <c r="I39" s="83">
        <v>41369087</v>
      </c>
    </row>
    <row r="40" spans="1:9">
      <c r="H40" s="81"/>
      <c r="I40" s="81"/>
    </row>
    <row r="41" spans="1:9">
      <c r="D41" s="7" t="s">
        <v>33</v>
      </c>
      <c r="E41" s="8"/>
      <c r="F41" s="8"/>
      <c r="G41" s="8"/>
      <c r="H41" s="87">
        <f>SUM(H27:H39)</f>
        <v>17332707</v>
      </c>
      <c r="I41" s="87">
        <f>SUM(I27:I39)</f>
        <v>59919048</v>
      </c>
    </row>
    <row r="42" spans="1:9">
      <c r="H42" s="83"/>
      <c r="I42" s="83"/>
    </row>
    <row r="43" spans="1:9">
      <c r="A43" s="3" t="s">
        <v>35</v>
      </c>
      <c r="H43" s="83"/>
      <c r="I43" s="83"/>
    </row>
    <row r="44" spans="1:9">
      <c r="B44" t="s">
        <v>96</v>
      </c>
      <c r="H44" s="88">
        <v>83346072</v>
      </c>
      <c r="I44" s="83">
        <v>55003983</v>
      </c>
    </row>
    <row r="45" spans="1:9">
      <c r="B45" t="s">
        <v>176</v>
      </c>
      <c r="H45" s="83"/>
      <c r="I45" s="83"/>
    </row>
    <row r="46" spans="1:9">
      <c r="C46" t="s">
        <v>310</v>
      </c>
      <c r="H46" s="89">
        <v>68863</v>
      </c>
      <c r="I46" s="83"/>
    </row>
    <row r="47" spans="1:9">
      <c r="C47" t="s">
        <v>39</v>
      </c>
      <c r="H47" s="89">
        <v>397649</v>
      </c>
      <c r="I47" s="83"/>
    </row>
    <row r="48" spans="1:9">
      <c r="C48" t="s">
        <v>311</v>
      </c>
      <c r="H48" s="89">
        <v>651511</v>
      </c>
      <c r="I48" s="83"/>
    </row>
    <row r="49" spans="2:9">
      <c r="C49" t="s">
        <v>312</v>
      </c>
      <c r="H49" s="89">
        <v>27356660</v>
      </c>
      <c r="I49" s="83">
        <v>5615183</v>
      </c>
    </row>
    <row r="50" spans="2:9">
      <c r="C50" t="s">
        <v>200</v>
      </c>
      <c r="H50" s="89">
        <v>48874</v>
      </c>
      <c r="I50" s="83">
        <v>8253788</v>
      </c>
    </row>
    <row r="51" spans="2:9">
      <c r="B51" t="s">
        <v>69</v>
      </c>
      <c r="H51" s="93">
        <v>20738955</v>
      </c>
      <c r="I51" s="83">
        <v>17694690</v>
      </c>
    </row>
    <row r="52" spans="2:9">
      <c r="H52" s="81"/>
      <c r="I52" s="81"/>
    </row>
    <row r="53" spans="2:9" s="3" customFormat="1">
      <c r="C53" s="9" t="s">
        <v>42</v>
      </c>
      <c r="D53" s="9"/>
      <c r="E53" s="9"/>
      <c r="F53" s="9"/>
      <c r="G53" s="9"/>
      <c r="H53" s="94">
        <f>SUM(H44:H51)</f>
        <v>132608584</v>
      </c>
      <c r="I53" s="94">
        <f>SUM(I44:I51)</f>
        <v>86567644</v>
      </c>
    </row>
    <row r="54" spans="2:9">
      <c r="H54" s="83"/>
      <c r="I54" s="83"/>
    </row>
    <row r="55" spans="2:9" s="3" customFormat="1">
      <c r="C55" s="10" t="s">
        <v>43</v>
      </c>
      <c r="D55" s="10"/>
      <c r="E55" s="10"/>
      <c r="F55" s="10"/>
      <c r="G55" s="10"/>
      <c r="H55" s="95">
        <f>SUM(H41+H53)</f>
        <v>149941291</v>
      </c>
      <c r="I55" s="95">
        <f>SUM(I53+I41)</f>
        <v>146486692</v>
      </c>
    </row>
    <row r="56" spans="2:9">
      <c r="H56" s="83"/>
      <c r="I56" s="83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54"/>
  <sheetViews>
    <sheetView zoomScale="80" zoomScaleNormal="80" zoomScalePageLayoutView="80" workbookViewId="0">
      <selection activeCell="H51" sqref="H51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1" width="17.140625" customWidth="1"/>
    <col min="12" max="12" width="17.28515625" customWidth="1"/>
  </cols>
  <sheetData>
    <row r="1" spans="1:13" ht="18.75" customHeight="1">
      <c r="A1" s="1"/>
      <c r="B1" s="1"/>
      <c r="C1" s="1"/>
      <c r="D1" s="268" t="s">
        <v>313</v>
      </c>
      <c r="E1" s="268"/>
      <c r="F1" s="268"/>
      <c r="G1" s="268"/>
      <c r="H1" s="268"/>
      <c r="I1" s="97"/>
      <c r="J1" s="97"/>
      <c r="K1" s="97"/>
    </row>
    <row r="2" spans="1:13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  <c r="K2" s="98"/>
    </row>
    <row r="4" spans="1:13" ht="14.25" customHeight="1">
      <c r="H4" s="273" t="s">
        <v>2</v>
      </c>
      <c r="I4" s="273"/>
      <c r="J4" s="273"/>
      <c r="K4" s="273" t="s">
        <v>314</v>
      </c>
      <c r="L4" s="273"/>
    </row>
    <row r="5" spans="1:13" ht="31.5" customHeight="1">
      <c r="H5" s="105" t="s">
        <v>45</v>
      </c>
      <c r="I5" s="105" t="s">
        <v>141</v>
      </c>
      <c r="J5" s="105" t="s">
        <v>73</v>
      </c>
      <c r="K5" s="105" t="s">
        <v>45</v>
      </c>
      <c r="L5" s="198" t="s">
        <v>72</v>
      </c>
      <c r="M5" s="5"/>
    </row>
    <row r="6" spans="1:13">
      <c r="A6" s="3" t="s">
        <v>4</v>
      </c>
      <c r="D6" s="3"/>
      <c r="G6" s="4"/>
      <c r="H6" s="4"/>
      <c r="I6" s="4"/>
      <c r="J6" s="4"/>
      <c r="K6" s="4"/>
    </row>
    <row r="7" spans="1:13">
      <c r="A7" s="3"/>
      <c r="B7" s="5" t="s">
        <v>74</v>
      </c>
      <c r="D7" s="3"/>
      <c r="G7" s="4"/>
      <c r="H7" s="76"/>
      <c r="I7" s="76"/>
      <c r="J7" s="76"/>
      <c r="K7" s="76"/>
      <c r="L7" s="83"/>
    </row>
    <row r="8" spans="1:13">
      <c r="C8" t="s">
        <v>46</v>
      </c>
      <c r="H8" s="77">
        <v>23827413</v>
      </c>
      <c r="I8" s="83">
        <v>2675951</v>
      </c>
      <c r="J8" s="83">
        <f>SUM(H8:I8)</f>
        <v>26503364</v>
      </c>
      <c r="K8" s="83">
        <v>1886128</v>
      </c>
      <c r="L8" s="83">
        <v>631857</v>
      </c>
    </row>
    <row r="9" spans="1:13">
      <c r="C9" t="s">
        <v>186</v>
      </c>
      <c r="H9" s="78">
        <v>10119866</v>
      </c>
      <c r="I9" s="83">
        <v>1016909</v>
      </c>
      <c r="J9" s="83">
        <f>SUM(H9:I9)</f>
        <v>11136775</v>
      </c>
      <c r="K9" s="83">
        <v>3523868</v>
      </c>
      <c r="L9" s="83">
        <v>194625</v>
      </c>
    </row>
    <row r="10" spans="1:13">
      <c r="C10" t="s">
        <v>158</v>
      </c>
      <c r="H10" s="83"/>
      <c r="I10" s="83">
        <v>135857</v>
      </c>
      <c r="J10" s="83">
        <f>SUM(H10:I10)</f>
        <v>135857</v>
      </c>
      <c r="K10" s="83"/>
      <c r="L10" s="83"/>
    </row>
    <row r="11" spans="1:13">
      <c r="C11" t="s">
        <v>115</v>
      </c>
      <c r="H11" s="79">
        <v>560586</v>
      </c>
      <c r="I11" s="83"/>
      <c r="J11" s="83">
        <f>SUM(H11:I11)</f>
        <v>560586</v>
      </c>
      <c r="K11" s="83"/>
      <c r="L11" s="83">
        <v>15379</v>
      </c>
    </row>
    <row r="12" spans="1:13">
      <c r="C12" t="s">
        <v>78</v>
      </c>
      <c r="H12" s="79">
        <v>48880</v>
      </c>
      <c r="I12" s="83">
        <v>336524</v>
      </c>
      <c r="J12" s="83">
        <f>SUM(H12:I12)</f>
        <v>385404</v>
      </c>
      <c r="K12" s="83">
        <v>103379</v>
      </c>
      <c r="L12" s="83">
        <v>35161</v>
      </c>
    </row>
    <row r="13" spans="1:13">
      <c r="C13" t="s">
        <v>77</v>
      </c>
      <c r="H13" s="83"/>
      <c r="I13" s="83"/>
      <c r="J13" s="83"/>
      <c r="K13" s="83"/>
      <c r="L13" s="83"/>
    </row>
    <row r="14" spans="1:13">
      <c r="D14" t="s">
        <v>46</v>
      </c>
      <c r="H14" s="77">
        <v>100000</v>
      </c>
      <c r="I14" s="83">
        <v>542690</v>
      </c>
      <c r="J14" s="83">
        <f>SUM(H14:I14)</f>
        <v>642690</v>
      </c>
      <c r="K14" s="83"/>
      <c r="L14" s="83">
        <v>728625</v>
      </c>
    </row>
    <row r="15" spans="1:13">
      <c r="C15" t="s">
        <v>315</v>
      </c>
      <c r="H15" s="83"/>
      <c r="I15" s="83"/>
      <c r="J15" s="83"/>
      <c r="K15" s="83"/>
      <c r="L15" s="83"/>
    </row>
    <row r="16" spans="1:13">
      <c r="D16" t="s">
        <v>128</v>
      </c>
      <c r="H16" s="80">
        <v>3105380</v>
      </c>
      <c r="I16" s="83">
        <v>193511</v>
      </c>
      <c r="J16" s="83">
        <f>SUM(H16:I16)</f>
        <v>3298891</v>
      </c>
      <c r="K16" s="83">
        <v>435740</v>
      </c>
      <c r="L16" s="83"/>
    </row>
    <row r="17" spans="1:12">
      <c r="D17" t="s">
        <v>316</v>
      </c>
      <c r="H17" s="80">
        <v>30995324</v>
      </c>
      <c r="I17" s="83">
        <v>9708202</v>
      </c>
      <c r="J17" s="83">
        <f>SUM(H17:I17)</f>
        <v>40703526</v>
      </c>
      <c r="K17" s="83">
        <v>934316</v>
      </c>
      <c r="L17" s="83">
        <v>1718008</v>
      </c>
    </row>
    <row r="18" spans="1:12">
      <c r="D18" t="s">
        <v>317</v>
      </c>
      <c r="H18" s="80">
        <v>55191369</v>
      </c>
      <c r="I18" s="83"/>
      <c r="J18" s="83">
        <f>SUM(H18:I18)</f>
        <v>55191369</v>
      </c>
      <c r="K18" s="83">
        <v>409009</v>
      </c>
      <c r="L18" s="83">
        <v>3304798</v>
      </c>
    </row>
    <row r="19" spans="1:12">
      <c r="D19" t="s">
        <v>318</v>
      </c>
      <c r="H19" s="80">
        <v>3776825</v>
      </c>
      <c r="I19" s="83">
        <v>336997</v>
      </c>
      <c r="J19" s="83">
        <f>SUM(H19:I19)</f>
        <v>4113822</v>
      </c>
      <c r="K19" s="83">
        <v>378370</v>
      </c>
      <c r="L19" s="83">
        <v>1283032</v>
      </c>
    </row>
    <row r="20" spans="1:12">
      <c r="D20" t="s">
        <v>132</v>
      </c>
      <c r="H20" s="91">
        <v>22208945</v>
      </c>
      <c r="I20" s="83">
        <v>687059</v>
      </c>
      <c r="J20" s="83">
        <f>SUM(H20:I20)</f>
        <v>22896004</v>
      </c>
      <c r="K20" s="83"/>
      <c r="L20" s="83"/>
    </row>
    <row r="21" spans="1:12">
      <c r="H21" s="83"/>
      <c r="I21" s="81"/>
      <c r="J21" s="81"/>
      <c r="K21" s="81"/>
      <c r="L21" s="81"/>
    </row>
    <row r="22" spans="1:12" s="5" customFormat="1">
      <c r="C22" s="6" t="s">
        <v>15</v>
      </c>
      <c r="D22" s="6"/>
      <c r="E22" s="6"/>
      <c r="F22" s="6"/>
      <c r="G22" s="6"/>
      <c r="H22" s="82">
        <f>SUM(H8:H20)</f>
        <v>149934588</v>
      </c>
      <c r="I22" s="82">
        <f>SUM(I8:I20)</f>
        <v>15633700</v>
      </c>
      <c r="J22" s="82">
        <f>SUM(J8:J20)</f>
        <v>165568288</v>
      </c>
      <c r="K22" s="82">
        <f>SUM(K8:K20)</f>
        <v>7670810</v>
      </c>
      <c r="L22" s="82">
        <f>SUM(L8:L20)</f>
        <v>7911485</v>
      </c>
    </row>
    <row r="23" spans="1:12">
      <c r="H23" s="83"/>
      <c r="I23" s="83"/>
      <c r="J23" s="83"/>
      <c r="K23" s="83"/>
      <c r="L23" s="83"/>
    </row>
    <row r="24" spans="1:12">
      <c r="A24" s="5" t="s">
        <v>52</v>
      </c>
      <c r="H24" s="83"/>
      <c r="I24" s="83"/>
      <c r="J24" s="83"/>
      <c r="K24" s="83"/>
      <c r="L24" s="83"/>
    </row>
    <row r="25" spans="1:12">
      <c r="A25" s="5"/>
      <c r="C25" t="s">
        <v>247</v>
      </c>
      <c r="H25" s="84">
        <v>2819108</v>
      </c>
      <c r="I25" s="83">
        <v>523848</v>
      </c>
      <c r="J25" s="83">
        <f t="shared" ref="J25:J30" si="0">SUM(H25:I25)</f>
        <v>3342956</v>
      </c>
      <c r="K25" s="83">
        <v>110341</v>
      </c>
      <c r="L25" s="83">
        <v>68945</v>
      </c>
    </row>
    <row r="26" spans="1:12">
      <c r="C26" t="s">
        <v>319</v>
      </c>
      <c r="H26" s="83"/>
      <c r="I26" s="83"/>
      <c r="J26" s="83">
        <f t="shared" si="0"/>
        <v>0</v>
      </c>
      <c r="K26" s="83"/>
      <c r="L26" s="83"/>
    </row>
    <row r="27" spans="1:12">
      <c r="C27" t="s">
        <v>24</v>
      </c>
      <c r="H27" s="83"/>
      <c r="I27" s="83"/>
      <c r="J27" s="83">
        <f t="shared" si="0"/>
        <v>0</v>
      </c>
      <c r="K27" s="83"/>
      <c r="L27" s="83"/>
    </row>
    <row r="28" spans="1:12">
      <c r="C28" t="s">
        <v>320</v>
      </c>
      <c r="H28" s="83"/>
      <c r="I28" s="83"/>
      <c r="J28" s="83">
        <f t="shared" si="0"/>
        <v>0</v>
      </c>
      <c r="K28" s="83"/>
      <c r="L28" s="83"/>
    </row>
    <row r="29" spans="1:12">
      <c r="C29" t="s">
        <v>321</v>
      </c>
      <c r="H29" s="84">
        <v>1220993</v>
      </c>
      <c r="I29" s="83"/>
      <c r="J29" s="83">
        <f t="shared" si="0"/>
        <v>1220993</v>
      </c>
      <c r="K29" s="83">
        <v>204216</v>
      </c>
      <c r="L29" s="83"/>
    </row>
    <row r="30" spans="1:12">
      <c r="C30" t="s">
        <v>194</v>
      </c>
      <c r="H30" s="83"/>
      <c r="I30" s="83">
        <v>291777</v>
      </c>
      <c r="J30" s="83">
        <f t="shared" si="0"/>
        <v>291777</v>
      </c>
      <c r="K30" s="83"/>
      <c r="L30" s="83">
        <v>217963</v>
      </c>
    </row>
    <row r="31" spans="1:12">
      <c r="C31" t="s">
        <v>166</v>
      </c>
      <c r="H31" s="83"/>
      <c r="I31" s="83"/>
      <c r="J31" s="83"/>
      <c r="K31" s="83"/>
      <c r="L31" s="83"/>
    </row>
    <row r="32" spans="1:12">
      <c r="D32" t="s">
        <v>322</v>
      </c>
      <c r="H32" s="79">
        <v>535622</v>
      </c>
      <c r="I32" s="83"/>
      <c r="J32" s="83">
        <f>SUM(H32:I32)</f>
        <v>535622</v>
      </c>
      <c r="K32" s="83">
        <v>79851</v>
      </c>
      <c r="L32" s="83"/>
    </row>
    <row r="33" spans="1:12">
      <c r="D33" t="s">
        <v>323</v>
      </c>
      <c r="H33" s="92">
        <v>1104609</v>
      </c>
      <c r="I33" s="83">
        <v>55000</v>
      </c>
      <c r="J33" s="83">
        <f>SUM(H33:I33)</f>
        <v>1159609</v>
      </c>
      <c r="K33" s="83">
        <v>9000</v>
      </c>
      <c r="L33" s="83"/>
    </row>
    <row r="34" spans="1:12">
      <c r="D34" t="s">
        <v>89</v>
      </c>
      <c r="H34" s="77">
        <v>16076384</v>
      </c>
      <c r="I34" s="83">
        <v>490000</v>
      </c>
      <c r="J34" s="83">
        <f>SUM(H34:I34)</f>
        <v>16566384</v>
      </c>
      <c r="K34" s="83">
        <v>297042</v>
      </c>
      <c r="L34" s="83">
        <v>3260174</v>
      </c>
    </row>
    <row r="35" spans="1:12">
      <c r="H35" s="81"/>
      <c r="I35" s="81"/>
      <c r="J35" s="81"/>
      <c r="K35" s="81"/>
      <c r="L35" s="81"/>
    </row>
    <row r="36" spans="1:12">
      <c r="D36" s="7" t="s">
        <v>33</v>
      </c>
      <c r="E36" s="8"/>
      <c r="F36" s="8"/>
      <c r="G36" s="8"/>
      <c r="H36" s="87">
        <f>SUM(H25:H34)</f>
        <v>21756716</v>
      </c>
      <c r="I36" s="87">
        <f>SUM(I25:I34)</f>
        <v>1360625</v>
      </c>
      <c r="J36" s="87">
        <f>SUM(J25:J34)</f>
        <v>23117341</v>
      </c>
      <c r="K36" s="87">
        <f>SUM(K25:K34)</f>
        <v>700450</v>
      </c>
      <c r="L36" s="87">
        <f>SUM(L25:L34)</f>
        <v>3547082</v>
      </c>
    </row>
    <row r="37" spans="1:12">
      <c r="H37" s="83"/>
      <c r="I37" s="83"/>
      <c r="J37" s="83"/>
      <c r="K37" s="83"/>
      <c r="L37" s="83"/>
    </row>
    <row r="38" spans="1:12">
      <c r="A38" s="3" t="s">
        <v>35</v>
      </c>
      <c r="H38" s="83"/>
      <c r="I38" s="83"/>
      <c r="J38" s="83"/>
      <c r="K38" s="83"/>
      <c r="L38" s="83"/>
    </row>
    <row r="39" spans="1:12">
      <c r="B39" t="s">
        <v>61</v>
      </c>
      <c r="H39" s="88">
        <v>97712719</v>
      </c>
      <c r="I39" s="83">
        <v>10380769</v>
      </c>
      <c r="J39" s="83">
        <f>SUM(H39:I39)</f>
        <v>108093488</v>
      </c>
      <c r="K39" s="83">
        <v>2121508</v>
      </c>
      <c r="L39" s="83">
        <v>2986823</v>
      </c>
    </row>
    <row r="40" spans="1:12">
      <c r="B40" t="s">
        <v>37</v>
      </c>
      <c r="H40" s="83"/>
      <c r="I40" s="83"/>
      <c r="J40" s="83"/>
      <c r="K40" s="83"/>
      <c r="L40" s="83"/>
    </row>
    <row r="41" spans="1:12">
      <c r="C41" t="s">
        <v>324</v>
      </c>
      <c r="H41" s="89">
        <v>2046146</v>
      </c>
      <c r="I41" s="83"/>
      <c r="J41" s="83">
        <f t="shared" ref="J41:J49" si="1">SUM(H41:I41)</f>
        <v>2046146</v>
      </c>
      <c r="K41" s="83"/>
      <c r="L41" s="83"/>
    </row>
    <row r="42" spans="1:12">
      <c r="C42" t="s">
        <v>260</v>
      </c>
      <c r="H42" s="89">
        <v>3209288</v>
      </c>
      <c r="I42" s="83"/>
      <c r="J42" s="83">
        <f t="shared" si="1"/>
        <v>3209288</v>
      </c>
      <c r="K42" s="83"/>
      <c r="L42" s="83"/>
    </row>
    <row r="43" spans="1:12">
      <c r="C43" t="s">
        <v>325</v>
      </c>
      <c r="H43" s="89">
        <v>3474754</v>
      </c>
      <c r="I43" s="83"/>
      <c r="J43" s="83">
        <f t="shared" si="1"/>
        <v>3474754</v>
      </c>
      <c r="K43" s="83"/>
      <c r="L43" s="83"/>
    </row>
    <row r="44" spans="1:12">
      <c r="C44" t="s">
        <v>326</v>
      </c>
      <c r="H44" s="89">
        <v>3015608</v>
      </c>
      <c r="I44" s="83"/>
      <c r="J44" s="83">
        <f t="shared" si="1"/>
        <v>3015608</v>
      </c>
      <c r="K44" s="83"/>
      <c r="L44" s="83"/>
    </row>
    <row r="45" spans="1:12">
      <c r="C45" t="s">
        <v>327</v>
      </c>
      <c r="H45" s="89">
        <v>579675</v>
      </c>
      <c r="I45" s="83"/>
      <c r="J45" s="83">
        <f t="shared" si="1"/>
        <v>579675</v>
      </c>
      <c r="K45" s="83"/>
      <c r="L45" s="83"/>
    </row>
    <row r="46" spans="1:12">
      <c r="C46" t="s">
        <v>38</v>
      </c>
      <c r="H46" s="89">
        <v>2396427</v>
      </c>
      <c r="I46" s="83"/>
      <c r="J46" s="83">
        <f t="shared" si="1"/>
        <v>2396427</v>
      </c>
      <c r="K46" s="83"/>
      <c r="L46" s="83">
        <v>470390</v>
      </c>
    </row>
    <row r="47" spans="1:12">
      <c r="C47" t="s">
        <v>328</v>
      </c>
      <c r="H47" s="89">
        <v>4253042</v>
      </c>
      <c r="I47" s="83"/>
      <c r="J47" s="83">
        <f t="shared" si="1"/>
        <v>4253042</v>
      </c>
      <c r="K47" s="83"/>
      <c r="L47" s="83"/>
    </row>
    <row r="48" spans="1:12">
      <c r="C48" t="s">
        <v>200</v>
      </c>
      <c r="H48" s="89">
        <v>6848730</v>
      </c>
      <c r="I48" s="83">
        <v>247661</v>
      </c>
      <c r="J48" s="83">
        <f t="shared" si="1"/>
        <v>7096391</v>
      </c>
      <c r="K48" s="83"/>
      <c r="L48" s="83"/>
    </row>
    <row r="49" spans="2:12">
      <c r="B49" t="s">
        <v>69</v>
      </c>
      <c r="H49" s="93">
        <v>4641483</v>
      </c>
      <c r="I49" s="83">
        <v>3644645</v>
      </c>
      <c r="J49" s="83">
        <f t="shared" si="1"/>
        <v>8286128</v>
      </c>
      <c r="K49" s="83">
        <v>4848852</v>
      </c>
      <c r="L49" s="83">
        <v>907190</v>
      </c>
    </row>
    <row r="50" spans="2:12">
      <c r="H50" s="81"/>
      <c r="I50" s="81"/>
      <c r="J50" s="81"/>
      <c r="K50" s="81"/>
      <c r="L50" s="81"/>
    </row>
    <row r="51" spans="2:12" s="3" customFormat="1">
      <c r="C51" s="9" t="s">
        <v>42</v>
      </c>
      <c r="D51" s="9"/>
      <c r="E51" s="9"/>
      <c r="F51" s="9"/>
      <c r="G51" s="9"/>
      <c r="H51" s="94">
        <f>SUM(H39:H49)</f>
        <v>128177872</v>
      </c>
      <c r="I51" s="94">
        <f>SUM(I39:I49)</f>
        <v>14273075</v>
      </c>
      <c r="J51" s="94">
        <f>SUM(J39:J49)</f>
        <v>142450947</v>
      </c>
      <c r="K51" s="94">
        <f>SUM(K39:K49)</f>
        <v>6970360</v>
      </c>
      <c r="L51" s="94">
        <f>SUM(L38:L49)</f>
        <v>4364403</v>
      </c>
    </row>
    <row r="52" spans="2:12">
      <c r="H52" s="83"/>
      <c r="I52" s="83"/>
      <c r="J52" s="83"/>
      <c r="K52" s="83"/>
      <c r="L52" s="83"/>
    </row>
    <row r="53" spans="2:12" s="3" customFormat="1">
      <c r="C53" s="10" t="s">
        <v>43</v>
      </c>
      <c r="D53" s="10"/>
      <c r="E53" s="10"/>
      <c r="F53" s="10"/>
      <c r="G53" s="10"/>
      <c r="H53" s="95">
        <f>SUM(H36+H51)</f>
        <v>149934588</v>
      </c>
      <c r="I53" s="95">
        <f>SUM(I36+I51)</f>
        <v>15633700</v>
      </c>
      <c r="J53" s="95">
        <f>SUM(J36+J51)</f>
        <v>165568288</v>
      </c>
      <c r="K53" s="95">
        <f>SUM(K36+K51)</f>
        <v>7670810</v>
      </c>
      <c r="L53" s="95">
        <f>SUM(L36+L51)</f>
        <v>7911485</v>
      </c>
    </row>
    <row r="54" spans="2:12">
      <c r="H54" s="83"/>
      <c r="I54" s="83"/>
      <c r="J54" s="83"/>
      <c r="K54" s="83"/>
      <c r="L54" s="83"/>
    </row>
  </sheetData>
  <mergeCells count="4">
    <mergeCell ref="D1:H1"/>
    <mergeCell ref="D2:H2"/>
    <mergeCell ref="H4:J4"/>
    <mergeCell ref="K4:L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0"/>
  <sheetViews>
    <sheetView workbookViewId="0">
      <selection activeCell="J28" sqref="J28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329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9298920</v>
      </c>
    </row>
    <row r="7" spans="1:7">
      <c r="B7" t="s">
        <v>47</v>
      </c>
      <c r="G7" s="78">
        <v>4981192</v>
      </c>
    </row>
    <row r="8" spans="1:7">
      <c r="B8" t="s">
        <v>115</v>
      </c>
      <c r="G8" s="79">
        <v>75502</v>
      </c>
    </row>
    <row r="9" spans="1:7">
      <c r="B9" t="s">
        <v>12</v>
      </c>
      <c r="G9" s="83"/>
    </row>
    <row r="10" spans="1:7">
      <c r="C10" t="s">
        <v>118</v>
      </c>
      <c r="G10" s="80">
        <v>459821</v>
      </c>
    </row>
    <row r="11" spans="1:7">
      <c r="C11" t="s">
        <v>330</v>
      </c>
      <c r="G11" s="91">
        <v>15991533</v>
      </c>
    </row>
    <row r="12" spans="1:7">
      <c r="G12" s="83"/>
    </row>
    <row r="13" spans="1:7">
      <c r="A13" s="5"/>
      <c r="B13" s="6" t="s">
        <v>15</v>
      </c>
      <c r="C13" s="6"/>
      <c r="D13" s="6"/>
      <c r="E13" s="6"/>
      <c r="F13" s="6"/>
      <c r="G13" s="82">
        <f>SUM(G6:G11)</f>
        <v>30806968</v>
      </c>
    </row>
    <row r="14" spans="1:7">
      <c r="G14" s="83"/>
    </row>
    <row r="15" spans="1:7">
      <c r="A15" s="5" t="s">
        <v>52</v>
      </c>
      <c r="G15" s="83"/>
    </row>
    <row r="16" spans="1:7">
      <c r="A16" s="5"/>
      <c r="B16" t="s">
        <v>133</v>
      </c>
      <c r="G16" s="84">
        <v>310576</v>
      </c>
    </row>
    <row r="17" spans="1:7">
      <c r="B17" t="s">
        <v>331</v>
      </c>
      <c r="G17" s="79">
        <v>30799</v>
      </c>
    </row>
    <row r="18" spans="1:7">
      <c r="B18" t="s">
        <v>109</v>
      </c>
      <c r="G18" s="83"/>
    </row>
    <row r="19" spans="1:7">
      <c r="C19" t="s">
        <v>88</v>
      </c>
      <c r="G19" s="92">
        <v>110115</v>
      </c>
    </row>
    <row r="20" spans="1:7">
      <c r="C20" t="s">
        <v>89</v>
      </c>
      <c r="G20" s="77">
        <v>491865</v>
      </c>
    </row>
    <row r="21" spans="1:7">
      <c r="G21" s="81"/>
    </row>
    <row r="22" spans="1:7">
      <c r="C22" s="7" t="s">
        <v>33</v>
      </c>
      <c r="D22" s="8"/>
      <c r="E22" s="8"/>
      <c r="F22" s="8"/>
      <c r="G22" s="87">
        <f>SUM(G16:G20)</f>
        <v>943355</v>
      </c>
    </row>
    <row r="23" spans="1:7">
      <c r="G23" s="83"/>
    </row>
    <row r="24" spans="1:7">
      <c r="A24" s="3" t="s">
        <v>35</v>
      </c>
      <c r="G24" s="83"/>
    </row>
    <row r="25" spans="1:7">
      <c r="B25" t="s">
        <v>96</v>
      </c>
      <c r="G25" s="88">
        <v>16451354</v>
      </c>
    </row>
    <row r="26" spans="1:7">
      <c r="B26" t="s">
        <v>37</v>
      </c>
      <c r="G26" s="83"/>
    </row>
    <row r="27" spans="1:7">
      <c r="C27" t="s">
        <v>332</v>
      </c>
      <c r="G27" s="89">
        <v>5981278</v>
      </c>
    </row>
    <row r="28" spans="1:7">
      <c r="C28" t="s">
        <v>333</v>
      </c>
      <c r="G28" s="89">
        <v>1368834</v>
      </c>
    </row>
    <row r="29" spans="1:7">
      <c r="C29" t="s">
        <v>259</v>
      </c>
      <c r="G29" s="89">
        <v>1955864</v>
      </c>
    </row>
    <row r="30" spans="1:7">
      <c r="C30" t="s">
        <v>263</v>
      </c>
      <c r="G30" s="89">
        <v>232347</v>
      </c>
    </row>
    <row r="31" spans="1:7">
      <c r="C31" t="s">
        <v>334</v>
      </c>
      <c r="G31" s="89">
        <v>58802</v>
      </c>
    </row>
    <row r="32" spans="1:7">
      <c r="C32" t="s">
        <v>335</v>
      </c>
      <c r="G32" s="89">
        <v>551480</v>
      </c>
    </row>
    <row r="33" spans="1:7">
      <c r="C33" t="s">
        <v>336</v>
      </c>
      <c r="G33" s="89">
        <v>31741</v>
      </c>
    </row>
    <row r="34" spans="1:7">
      <c r="C34" t="s">
        <v>337</v>
      </c>
      <c r="G34" s="89">
        <v>10559</v>
      </c>
    </row>
    <row r="35" spans="1:7">
      <c r="B35" t="s">
        <v>69</v>
      </c>
      <c r="G35" s="93">
        <v>3188354</v>
      </c>
    </row>
    <row r="36" spans="1:7">
      <c r="G36" s="81"/>
    </row>
    <row r="37" spans="1:7">
      <c r="A37" s="3"/>
      <c r="B37" s="9" t="s">
        <v>42</v>
      </c>
      <c r="C37" s="9"/>
      <c r="D37" s="9"/>
      <c r="E37" s="9"/>
      <c r="F37" s="9"/>
      <c r="G37" s="94">
        <f>SUM(G25:G35)</f>
        <v>29830613</v>
      </c>
    </row>
    <row r="38" spans="1:7">
      <c r="G38" s="83"/>
    </row>
    <row r="39" spans="1:7">
      <c r="A39" s="3"/>
      <c r="B39" s="10" t="s">
        <v>43</v>
      </c>
      <c r="C39" s="10"/>
      <c r="D39" s="10"/>
      <c r="E39" s="10"/>
      <c r="F39" s="10"/>
      <c r="G39" s="95">
        <f>SUM(G22+G37)</f>
        <v>30773968</v>
      </c>
    </row>
    <row r="40" spans="1:7">
      <c r="G40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48"/>
  <sheetViews>
    <sheetView zoomScale="90" zoomScaleNormal="90" zoomScalePageLayoutView="90" workbookViewId="0">
      <selection activeCell="G48" sqref="G48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338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19914802</v>
      </c>
    </row>
    <row r="7" spans="1:7">
      <c r="B7" t="s">
        <v>6</v>
      </c>
      <c r="G7" s="84">
        <v>2112204</v>
      </c>
    </row>
    <row r="8" spans="1:7">
      <c r="B8" t="s">
        <v>47</v>
      </c>
      <c r="G8" s="78">
        <v>1464881</v>
      </c>
    </row>
    <row r="9" spans="1:7">
      <c r="B9" t="s">
        <v>115</v>
      </c>
      <c r="G9" s="79">
        <v>78534</v>
      </c>
    </row>
    <row r="10" spans="1:7">
      <c r="B10" t="s">
        <v>339</v>
      </c>
      <c r="G10" s="77">
        <v>2707659</v>
      </c>
    </row>
    <row r="11" spans="1:7">
      <c r="B11" t="s">
        <v>285</v>
      </c>
      <c r="G11" s="91">
        <v>33983534</v>
      </c>
    </row>
    <row r="12" spans="1:7">
      <c r="G12" s="83"/>
    </row>
    <row r="13" spans="1:7">
      <c r="A13" s="5"/>
      <c r="B13" s="6" t="s">
        <v>15</v>
      </c>
      <c r="C13" s="6"/>
      <c r="D13" s="6"/>
      <c r="E13" s="6"/>
      <c r="F13" s="6"/>
      <c r="G13" s="82">
        <f>SUM(G6:G11)</f>
        <v>60261614</v>
      </c>
    </row>
    <row r="14" spans="1:7">
      <c r="G14" s="83"/>
    </row>
    <row r="15" spans="1:7">
      <c r="A15" s="5" t="s">
        <v>160</v>
      </c>
      <c r="G15" s="83"/>
    </row>
    <row r="16" spans="1:7">
      <c r="B16" t="s">
        <v>340</v>
      </c>
      <c r="G16" s="122">
        <v>71146</v>
      </c>
    </row>
    <row r="17" spans="1:14">
      <c r="G17" s="83"/>
    </row>
    <row r="18" spans="1:14">
      <c r="A18" s="5" t="s">
        <v>52</v>
      </c>
      <c r="G18" s="83"/>
    </row>
    <row r="19" spans="1:14">
      <c r="A19" s="5"/>
      <c r="B19" t="s">
        <v>133</v>
      </c>
      <c r="G19" s="84">
        <v>619781</v>
      </c>
    </row>
    <row r="20" spans="1:14">
      <c r="A20" s="5"/>
      <c r="B20" t="s">
        <v>82</v>
      </c>
      <c r="G20" s="84">
        <v>161303</v>
      </c>
    </row>
    <row r="21" spans="1:14">
      <c r="A21" s="5"/>
      <c r="B21" t="s">
        <v>294</v>
      </c>
      <c r="G21" s="96">
        <v>550500</v>
      </c>
    </row>
    <row r="22" spans="1:14">
      <c r="A22" s="5"/>
      <c r="B22" t="s">
        <v>108</v>
      </c>
      <c r="G22" s="79">
        <v>140</v>
      </c>
    </row>
    <row r="23" spans="1:14">
      <c r="A23" s="5"/>
      <c r="B23" t="s">
        <v>24</v>
      </c>
      <c r="G23" s="84">
        <v>282268</v>
      </c>
    </row>
    <row r="24" spans="1:14">
      <c r="A24" s="5"/>
      <c r="B24" t="s">
        <v>341</v>
      </c>
      <c r="G24" s="79">
        <v>2078060</v>
      </c>
    </row>
    <row r="25" spans="1:14">
      <c r="B25" t="s">
        <v>342</v>
      </c>
      <c r="G25" s="85">
        <v>956000</v>
      </c>
    </row>
    <row r="26" spans="1:14">
      <c r="B26" t="s">
        <v>343</v>
      </c>
      <c r="G26" s="84">
        <v>141267</v>
      </c>
    </row>
    <row r="27" spans="1:14">
      <c r="B27" t="s">
        <v>287</v>
      </c>
      <c r="G27" s="84">
        <v>784193</v>
      </c>
    </row>
    <row r="28" spans="1:14">
      <c r="B28" t="s">
        <v>28</v>
      </c>
      <c r="G28" s="78">
        <v>14714000</v>
      </c>
    </row>
    <row r="29" spans="1:14">
      <c r="G29" s="81"/>
    </row>
    <row r="30" spans="1:14">
      <c r="C30" s="7" t="s">
        <v>33</v>
      </c>
      <c r="D30" s="8"/>
      <c r="E30" s="8"/>
      <c r="F30" s="8"/>
      <c r="G30" s="87">
        <f>SUM(G19:G28)</f>
        <v>20287512</v>
      </c>
    </row>
    <row r="31" spans="1:14">
      <c r="G31" s="83"/>
    </row>
    <row r="32" spans="1:14">
      <c r="A32" s="5" t="s">
        <v>195</v>
      </c>
      <c r="G32" s="83"/>
      <c r="H32" s="206"/>
      <c r="I32" s="206"/>
      <c r="J32" s="206"/>
      <c r="K32" s="206"/>
      <c r="L32" s="206"/>
      <c r="M32" s="206"/>
      <c r="N32" s="206"/>
    </row>
    <row r="33" spans="1:14">
      <c r="B33" t="s">
        <v>138</v>
      </c>
      <c r="G33" s="122">
        <v>509597</v>
      </c>
      <c r="H33" s="206"/>
      <c r="I33" s="206"/>
      <c r="J33" s="206"/>
      <c r="K33" s="206"/>
      <c r="L33" s="206"/>
      <c r="M33" s="206"/>
      <c r="N33" s="206"/>
    </row>
    <row r="34" spans="1:14">
      <c r="G34" s="83"/>
    </row>
    <row r="35" spans="1:14">
      <c r="A35" s="3" t="s">
        <v>35</v>
      </c>
      <c r="G35" s="83"/>
    </row>
    <row r="36" spans="1:14">
      <c r="B36" t="s">
        <v>96</v>
      </c>
      <c r="G36" s="88">
        <v>17105806</v>
      </c>
    </row>
    <row r="37" spans="1:14">
      <c r="B37" t="s">
        <v>37</v>
      </c>
      <c r="G37" s="83"/>
    </row>
    <row r="38" spans="1:14">
      <c r="C38" t="s">
        <v>63</v>
      </c>
      <c r="G38" s="89">
        <v>4888543</v>
      </c>
    </row>
    <row r="39" spans="1:14">
      <c r="C39" t="s">
        <v>64</v>
      </c>
      <c r="G39" s="89">
        <v>8158420</v>
      </c>
    </row>
    <row r="40" spans="1:14">
      <c r="C40" t="s">
        <v>65</v>
      </c>
      <c r="G40" s="89">
        <v>376920</v>
      </c>
    </row>
    <row r="41" spans="1:14">
      <c r="C41" t="s">
        <v>38</v>
      </c>
      <c r="G41" s="89">
        <v>2657652</v>
      </c>
    </row>
    <row r="42" spans="1:14">
      <c r="C42" t="s">
        <v>68</v>
      </c>
      <c r="G42" s="89">
        <v>1340505</v>
      </c>
    </row>
    <row r="43" spans="1:14">
      <c r="B43" t="s">
        <v>69</v>
      </c>
      <c r="G43" s="93">
        <v>5007805</v>
      </c>
    </row>
    <row r="44" spans="1:14">
      <c r="G44" s="81"/>
    </row>
    <row r="45" spans="1:14">
      <c r="A45" s="3"/>
      <c r="B45" s="9" t="s">
        <v>42</v>
      </c>
      <c r="C45" s="9"/>
      <c r="D45" s="9"/>
      <c r="E45" s="9"/>
      <c r="F45" s="9"/>
      <c r="G45" s="94">
        <f>SUM(G36:G43)</f>
        <v>39535651</v>
      </c>
    </row>
    <row r="46" spans="1:14">
      <c r="G46" s="83"/>
    </row>
    <row r="47" spans="1:14">
      <c r="A47" s="3"/>
      <c r="B47" s="10" t="s">
        <v>43</v>
      </c>
      <c r="C47" s="10"/>
      <c r="D47" s="10"/>
      <c r="E47" s="10"/>
      <c r="F47" s="10"/>
      <c r="G47" s="95">
        <f>SUM(G30+G45+G33)</f>
        <v>60332760</v>
      </c>
    </row>
    <row r="48" spans="1:14">
      <c r="G48" s="83"/>
    </row>
  </sheetData>
  <mergeCells count="2">
    <mergeCell ref="C1:G1"/>
    <mergeCell ref="C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96"/>
  <sheetViews>
    <sheetView topLeftCell="A16" zoomScale="60" zoomScaleNormal="60" zoomScalePageLayoutView="60" workbookViewId="0">
      <selection activeCell="I73" sqref="I73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  <col min="11" max="11" width="17.28515625" customWidth="1"/>
  </cols>
  <sheetData>
    <row r="1" spans="1:12" ht="18.600000000000001">
      <c r="A1" s="1"/>
      <c r="B1" s="1"/>
      <c r="C1" s="1"/>
      <c r="D1" s="268" t="s">
        <v>344</v>
      </c>
      <c r="E1" s="268"/>
      <c r="F1" s="268"/>
      <c r="G1" s="268"/>
      <c r="H1" s="268"/>
      <c r="I1" s="97"/>
      <c r="J1" s="97"/>
    </row>
    <row r="2" spans="1:12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3" spans="1:12">
      <c r="G3" t="s">
        <v>345</v>
      </c>
    </row>
    <row r="5" spans="1:12" ht="15" customHeight="1">
      <c r="H5" s="273" t="s">
        <v>2</v>
      </c>
      <c r="I5" s="273"/>
      <c r="J5" s="273"/>
      <c r="K5" s="199"/>
    </row>
    <row r="6" spans="1:12" ht="29.1">
      <c r="H6" s="105" t="s">
        <v>45</v>
      </c>
      <c r="I6" s="105" t="s">
        <v>141</v>
      </c>
      <c r="J6" s="105" t="s">
        <v>73</v>
      </c>
      <c r="K6" s="160" t="s">
        <v>71</v>
      </c>
      <c r="L6" s="5"/>
    </row>
    <row r="7" spans="1:12">
      <c r="A7" s="3" t="s">
        <v>4</v>
      </c>
      <c r="D7" s="3"/>
      <c r="G7" s="4"/>
      <c r="H7" s="4"/>
      <c r="I7" s="4"/>
      <c r="J7" s="4"/>
    </row>
    <row r="8" spans="1:12">
      <c r="A8" s="3"/>
      <c r="B8" s="5" t="s">
        <v>74</v>
      </c>
      <c r="D8" s="3"/>
      <c r="G8" s="4"/>
      <c r="H8" s="76"/>
      <c r="I8" s="76"/>
      <c r="J8" s="76"/>
      <c r="K8" s="83"/>
    </row>
    <row r="9" spans="1:12">
      <c r="C9" t="s">
        <v>46</v>
      </c>
      <c r="H9" s="77">
        <v>4986</v>
      </c>
      <c r="I9" s="83">
        <v>2624</v>
      </c>
      <c r="J9" s="83">
        <f>SUM(H9:I9)</f>
        <v>7610</v>
      </c>
      <c r="K9" s="83">
        <v>22493</v>
      </c>
    </row>
    <row r="10" spans="1:12">
      <c r="C10" t="s">
        <v>6</v>
      </c>
      <c r="H10" s="84">
        <v>73761</v>
      </c>
      <c r="I10" s="83"/>
      <c r="J10" s="83">
        <f t="shared" ref="J10" si="0">SUM(H10:I10)</f>
        <v>73761</v>
      </c>
      <c r="K10" s="83">
        <v>94049</v>
      </c>
    </row>
    <row r="11" spans="1:12">
      <c r="C11" t="s">
        <v>346</v>
      </c>
      <c r="H11" s="79">
        <v>503630</v>
      </c>
      <c r="I11" s="83">
        <v>18337</v>
      </c>
      <c r="J11" s="83">
        <f>SUM(H11:I11)</f>
        <v>521967</v>
      </c>
      <c r="K11" s="83"/>
    </row>
    <row r="12" spans="1:12">
      <c r="C12" t="s">
        <v>347</v>
      </c>
      <c r="H12" s="83"/>
      <c r="I12" s="83"/>
      <c r="J12" s="83"/>
      <c r="K12" s="83"/>
    </row>
    <row r="13" spans="1:12">
      <c r="D13" t="s">
        <v>348</v>
      </c>
      <c r="H13" s="83"/>
      <c r="I13" s="83"/>
      <c r="J13" s="83"/>
      <c r="K13" s="83"/>
    </row>
    <row r="14" spans="1:12">
      <c r="D14" t="s">
        <v>349</v>
      </c>
      <c r="H14" s="78">
        <v>51</v>
      </c>
      <c r="I14" s="83"/>
      <c r="J14" s="83">
        <f>SUM(H14:I14)</f>
        <v>51</v>
      </c>
      <c r="K14" s="83">
        <v>202</v>
      </c>
    </row>
    <row r="15" spans="1:12">
      <c r="D15" t="s">
        <v>350</v>
      </c>
      <c r="H15" s="78">
        <v>196362</v>
      </c>
      <c r="I15" s="83">
        <v>9233</v>
      </c>
      <c r="J15" s="83">
        <f>SUM(H15:I15)</f>
        <v>205595</v>
      </c>
      <c r="K15" s="83"/>
    </row>
    <row r="16" spans="1:12">
      <c r="D16" t="s">
        <v>351</v>
      </c>
      <c r="H16" s="78">
        <v>5362</v>
      </c>
      <c r="I16" s="83">
        <v>6026</v>
      </c>
      <c r="J16" s="83">
        <f>SUM(H16:I16)</f>
        <v>11388</v>
      </c>
      <c r="K16" s="83">
        <v>88844</v>
      </c>
    </row>
    <row r="17" spans="2:11">
      <c r="D17" t="s">
        <v>352</v>
      </c>
      <c r="H17" s="83"/>
      <c r="I17" s="83"/>
      <c r="J17" s="83"/>
      <c r="K17" s="83">
        <v>7991</v>
      </c>
    </row>
    <row r="18" spans="2:11">
      <c r="D18" t="s">
        <v>353</v>
      </c>
      <c r="H18" s="83"/>
      <c r="I18" s="83"/>
      <c r="J18" s="83"/>
      <c r="K18" s="83"/>
    </row>
    <row r="19" spans="2:11">
      <c r="D19" t="s">
        <v>354</v>
      </c>
      <c r="H19" s="78">
        <v>62965</v>
      </c>
      <c r="I19" s="83">
        <v>13</v>
      </c>
      <c r="J19" s="83">
        <f>SUM(H19:I19)</f>
        <v>62978</v>
      </c>
      <c r="K19" s="83">
        <v>1607</v>
      </c>
    </row>
    <row r="20" spans="2:11">
      <c r="D20" t="s">
        <v>200</v>
      </c>
      <c r="H20" s="83"/>
      <c r="I20" s="83"/>
      <c r="J20" s="83"/>
      <c r="K20" s="83">
        <v>11541</v>
      </c>
    </row>
    <row r="21" spans="2:11">
      <c r="C21" t="s">
        <v>158</v>
      </c>
      <c r="H21" s="79">
        <v>3423</v>
      </c>
      <c r="I21" s="83">
        <v>7883</v>
      </c>
      <c r="J21" s="83">
        <f>SUM(H21:I21)</f>
        <v>11306</v>
      </c>
      <c r="K21" s="83">
        <v>16484</v>
      </c>
    </row>
    <row r="22" spans="2:11">
      <c r="C22" t="s">
        <v>115</v>
      </c>
      <c r="H22" s="83"/>
      <c r="I22" s="83"/>
      <c r="J22" s="83"/>
      <c r="K22" s="83">
        <v>19821</v>
      </c>
    </row>
    <row r="23" spans="2:11">
      <c r="C23" t="s">
        <v>189</v>
      </c>
      <c r="H23" s="83"/>
      <c r="I23" s="83"/>
      <c r="J23" s="83"/>
      <c r="K23" s="83"/>
    </row>
    <row r="24" spans="2:11">
      <c r="D24" t="s">
        <v>46</v>
      </c>
      <c r="H24" s="83"/>
      <c r="I24" s="83">
        <v>2275</v>
      </c>
      <c r="J24" s="83">
        <f>SUM(I24)</f>
        <v>2275</v>
      </c>
      <c r="K24" s="83"/>
    </row>
    <row r="25" spans="2:11">
      <c r="D25" t="s">
        <v>6</v>
      </c>
      <c r="H25" s="83"/>
      <c r="I25" s="83">
        <v>15687</v>
      </c>
      <c r="J25" s="83">
        <f>SUM(H25:I25)</f>
        <v>15687</v>
      </c>
      <c r="K25" s="83">
        <v>206184</v>
      </c>
    </row>
    <row r="26" spans="2:11">
      <c r="D26" t="s">
        <v>346</v>
      </c>
      <c r="H26" s="83"/>
      <c r="I26" s="83">
        <v>50475</v>
      </c>
      <c r="J26" s="83">
        <f>SUM(H26:I26)</f>
        <v>50475</v>
      </c>
      <c r="K26" s="83"/>
    </row>
    <row r="27" spans="2:11">
      <c r="D27" t="s">
        <v>47</v>
      </c>
      <c r="H27" s="83"/>
      <c r="I27" s="83">
        <v>13495</v>
      </c>
      <c r="J27" s="83">
        <f>SUM(H27:I27)</f>
        <v>13495</v>
      </c>
      <c r="K27" s="83"/>
    </row>
    <row r="28" spans="2:11">
      <c r="H28" s="81"/>
      <c r="I28" s="81"/>
      <c r="J28" s="81"/>
      <c r="K28" s="81"/>
    </row>
    <row r="29" spans="2:11" s="5" customFormat="1">
      <c r="C29" s="102" t="s">
        <v>116</v>
      </c>
      <c r="D29" s="102"/>
      <c r="E29" s="102"/>
      <c r="F29" s="102"/>
      <c r="G29" s="102"/>
      <c r="H29" s="103">
        <f>SUM(H9:H27)</f>
        <v>850540</v>
      </c>
      <c r="I29" s="103">
        <f>SUM(I9:I27)</f>
        <v>126048</v>
      </c>
      <c r="J29" s="103">
        <f>SUM(J9:J27)</f>
        <v>976588</v>
      </c>
      <c r="K29" s="103">
        <f>SUM(K9:K27)</f>
        <v>469216</v>
      </c>
    </row>
    <row r="30" spans="2:11">
      <c r="H30" s="83"/>
      <c r="I30" s="83"/>
      <c r="J30" s="83"/>
      <c r="K30" s="83"/>
    </row>
    <row r="31" spans="2:11" s="5" customFormat="1">
      <c r="B31" s="5" t="s">
        <v>355</v>
      </c>
      <c r="H31" s="100"/>
      <c r="I31" s="100"/>
      <c r="J31" s="100"/>
      <c r="K31" s="100"/>
    </row>
    <row r="32" spans="2:11">
      <c r="C32" t="s">
        <v>189</v>
      </c>
      <c r="H32" s="83"/>
      <c r="I32" s="83"/>
      <c r="J32" s="83"/>
      <c r="K32" s="83"/>
    </row>
    <row r="33" spans="1:11">
      <c r="D33" t="s">
        <v>356</v>
      </c>
      <c r="H33" s="79">
        <v>8427</v>
      </c>
      <c r="I33" s="83"/>
      <c r="J33" s="83">
        <f>SUM(H33:I33)</f>
        <v>8427</v>
      </c>
      <c r="K33" s="83">
        <v>26025</v>
      </c>
    </row>
    <row r="34" spans="1:11">
      <c r="C34" t="s">
        <v>357</v>
      </c>
      <c r="H34" s="83"/>
      <c r="I34" s="83"/>
      <c r="J34" s="83">
        <f t="shared" ref="J34:J36" si="1">SUM(H34:I34)</f>
        <v>0</v>
      </c>
      <c r="K34" s="83">
        <v>48456</v>
      </c>
    </row>
    <row r="35" spans="1:11">
      <c r="C35" t="s">
        <v>256</v>
      </c>
      <c r="H35" s="80">
        <v>233702</v>
      </c>
      <c r="I35" s="83">
        <v>19347</v>
      </c>
      <c r="J35" s="83">
        <f t="shared" si="1"/>
        <v>253049</v>
      </c>
      <c r="K35" s="83"/>
    </row>
    <row r="36" spans="1:11">
      <c r="C36" t="s">
        <v>358</v>
      </c>
      <c r="H36" s="80">
        <v>992761</v>
      </c>
      <c r="I36" s="83">
        <v>527411</v>
      </c>
      <c r="J36" s="83">
        <f t="shared" si="1"/>
        <v>1520172</v>
      </c>
      <c r="K36" s="83">
        <v>379084</v>
      </c>
    </row>
    <row r="37" spans="1:11">
      <c r="H37" s="81"/>
      <c r="I37" s="81"/>
      <c r="J37" s="81"/>
      <c r="K37" s="81"/>
    </row>
    <row r="38" spans="1:11" s="5" customFormat="1">
      <c r="C38" s="102" t="s">
        <v>359</v>
      </c>
      <c r="D38" s="102"/>
      <c r="E38" s="102"/>
      <c r="F38" s="102"/>
      <c r="G38" s="102"/>
      <c r="H38" s="103">
        <f>SUM(H31:H36)</f>
        <v>1234890</v>
      </c>
      <c r="I38" s="103">
        <f>SUM(I31:I36)</f>
        <v>546758</v>
      </c>
      <c r="J38" s="103">
        <f t="shared" ref="J38:K38" si="2">SUM(J31:J36)</f>
        <v>1781648</v>
      </c>
      <c r="K38" s="103">
        <f t="shared" si="2"/>
        <v>453565</v>
      </c>
    </row>
    <row r="39" spans="1:11">
      <c r="H39" s="83"/>
      <c r="I39" s="83"/>
      <c r="J39" s="83"/>
      <c r="K39" s="83"/>
    </row>
    <row r="40" spans="1:11" s="5" customFormat="1">
      <c r="C40" s="6" t="s">
        <v>15</v>
      </c>
      <c r="D40" s="6"/>
      <c r="E40" s="6"/>
      <c r="F40" s="6"/>
      <c r="G40" s="6"/>
      <c r="H40" s="82">
        <f>SUM(H38+H29)</f>
        <v>2085430</v>
      </c>
      <c r="I40" s="82">
        <f>SUM(I38+I29)</f>
        <v>672806</v>
      </c>
      <c r="J40" s="82">
        <f>SUM(J29+J38)</f>
        <v>2758236</v>
      </c>
      <c r="K40" s="82">
        <f>SUM(K29+K38)</f>
        <v>922781</v>
      </c>
    </row>
    <row r="41" spans="1:11">
      <c r="H41" s="83"/>
      <c r="I41" s="83"/>
      <c r="J41" s="83"/>
      <c r="K41" s="83"/>
    </row>
    <row r="42" spans="1:11" s="5" customFormat="1">
      <c r="B42" s="5" t="s">
        <v>360</v>
      </c>
      <c r="H42" s="100"/>
      <c r="I42" s="100"/>
      <c r="J42" s="100"/>
      <c r="K42" s="100"/>
    </row>
    <row r="43" spans="1:11">
      <c r="C43" t="s">
        <v>361</v>
      </c>
      <c r="H43" s="83">
        <v>8143</v>
      </c>
      <c r="I43" s="83"/>
      <c r="J43" s="83">
        <f>SUM(H43:I43)</f>
        <v>8143</v>
      </c>
      <c r="K43" s="83"/>
    </row>
    <row r="44" spans="1:11">
      <c r="H44" s="81"/>
      <c r="I44" s="81"/>
      <c r="J44" s="81"/>
      <c r="K44" s="81"/>
    </row>
    <row r="45" spans="1:11" s="5" customFormat="1">
      <c r="C45" s="102" t="s">
        <v>362</v>
      </c>
      <c r="D45" s="102"/>
      <c r="E45" s="102"/>
      <c r="F45" s="102"/>
      <c r="G45" s="102"/>
      <c r="H45" s="103">
        <f>H43</f>
        <v>8143</v>
      </c>
      <c r="I45" s="103">
        <f t="shared" ref="I45:K45" si="3">I43</f>
        <v>0</v>
      </c>
      <c r="J45" s="103">
        <f t="shared" si="3"/>
        <v>8143</v>
      </c>
      <c r="K45" s="103">
        <f t="shared" si="3"/>
        <v>0</v>
      </c>
    </row>
    <row r="46" spans="1:11">
      <c r="H46" s="83"/>
      <c r="I46" s="83"/>
      <c r="J46" s="83"/>
      <c r="K46" s="83"/>
    </row>
    <row r="47" spans="1:11">
      <c r="A47" s="5" t="s">
        <v>52</v>
      </c>
      <c r="H47" s="83"/>
      <c r="I47" s="83"/>
      <c r="J47" s="83"/>
      <c r="K47" s="83"/>
    </row>
    <row r="48" spans="1:11">
      <c r="B48" s="5" t="s">
        <v>363</v>
      </c>
      <c r="C48" s="5"/>
      <c r="D48" s="5"/>
      <c r="E48" s="5"/>
      <c r="H48" s="83"/>
      <c r="I48" s="83"/>
      <c r="J48" s="83"/>
      <c r="K48" s="83"/>
    </row>
    <row r="49" spans="1:11">
      <c r="A49" s="5"/>
      <c r="C49" t="s">
        <v>364</v>
      </c>
      <c r="H49" s="84">
        <v>27719</v>
      </c>
      <c r="I49" s="83">
        <v>481</v>
      </c>
      <c r="J49" s="83">
        <f t="shared" ref="J49:J57" si="4">SUM(H49:I49)</f>
        <v>28200</v>
      </c>
      <c r="K49" s="83">
        <v>30493</v>
      </c>
    </row>
    <row r="50" spans="1:11">
      <c r="C50" t="s">
        <v>365</v>
      </c>
      <c r="H50" s="84">
        <v>5994</v>
      </c>
      <c r="I50" s="83"/>
      <c r="J50" s="83">
        <f t="shared" si="4"/>
        <v>5994</v>
      </c>
      <c r="K50" s="83"/>
    </row>
    <row r="51" spans="1:11">
      <c r="C51" t="s">
        <v>193</v>
      </c>
      <c r="H51" s="84">
        <v>2397</v>
      </c>
      <c r="I51" s="83"/>
      <c r="J51" s="83">
        <f t="shared" si="4"/>
        <v>2397</v>
      </c>
      <c r="K51" s="83"/>
    </row>
    <row r="52" spans="1:11">
      <c r="C52" t="s">
        <v>366</v>
      </c>
      <c r="H52" s="92">
        <v>31521</v>
      </c>
      <c r="I52" s="83">
        <v>1114</v>
      </c>
      <c r="J52" s="83">
        <f t="shared" si="4"/>
        <v>32635</v>
      </c>
      <c r="K52" s="83">
        <v>8458</v>
      </c>
    </row>
    <row r="53" spans="1:11">
      <c r="C53" t="s">
        <v>308</v>
      </c>
      <c r="H53" s="79">
        <v>56</v>
      </c>
      <c r="I53" s="83"/>
      <c r="J53" s="83">
        <f t="shared" si="4"/>
        <v>56</v>
      </c>
      <c r="K53" s="83"/>
    </row>
    <row r="54" spans="1:11">
      <c r="C54" t="s">
        <v>367</v>
      </c>
      <c r="H54" s="84">
        <v>1383</v>
      </c>
      <c r="I54" s="83"/>
      <c r="J54" s="83">
        <f t="shared" si="4"/>
        <v>1383</v>
      </c>
      <c r="K54" s="83"/>
    </row>
    <row r="55" spans="1:11">
      <c r="C55" t="s">
        <v>24</v>
      </c>
      <c r="H55" s="84">
        <v>1357</v>
      </c>
      <c r="I55" s="83"/>
      <c r="J55" s="83">
        <f>SUM(H55:I55)</f>
        <v>1357</v>
      </c>
      <c r="K55" s="83">
        <v>2138</v>
      </c>
    </row>
    <row r="56" spans="1:11">
      <c r="C56" t="s">
        <v>368</v>
      </c>
      <c r="H56" s="84">
        <v>6019</v>
      </c>
      <c r="I56" s="83">
        <v>4634</v>
      </c>
      <c r="J56" s="83">
        <f t="shared" si="4"/>
        <v>10653</v>
      </c>
      <c r="K56" s="83">
        <v>44017</v>
      </c>
    </row>
    <row r="57" spans="1:11">
      <c r="C57" t="s">
        <v>54</v>
      </c>
      <c r="H57" s="79">
        <v>198684</v>
      </c>
      <c r="I57" s="83">
        <v>9245</v>
      </c>
      <c r="J57" s="83">
        <f t="shared" si="4"/>
        <v>207929</v>
      </c>
      <c r="K57" s="83">
        <v>13</v>
      </c>
    </row>
    <row r="58" spans="1:11">
      <c r="C58" t="s">
        <v>148</v>
      </c>
      <c r="H58" s="83"/>
      <c r="I58" s="83"/>
      <c r="J58" s="83"/>
      <c r="K58" s="83"/>
    </row>
    <row r="59" spans="1:11">
      <c r="D59" t="s">
        <v>20</v>
      </c>
      <c r="H59" s="83"/>
      <c r="I59" s="83">
        <v>867</v>
      </c>
      <c r="J59" s="83">
        <f t="shared" ref="J59:J63" si="5">SUM(H59:I59)</f>
        <v>867</v>
      </c>
      <c r="K59" s="83"/>
    </row>
    <row r="60" spans="1:11">
      <c r="D60" t="s">
        <v>21</v>
      </c>
      <c r="H60" s="83"/>
      <c r="I60" s="83">
        <v>507</v>
      </c>
      <c r="J60" s="83">
        <f t="shared" si="5"/>
        <v>507</v>
      </c>
      <c r="K60" s="83"/>
    </row>
    <row r="61" spans="1:11">
      <c r="D61" t="s">
        <v>24</v>
      </c>
      <c r="H61" s="83"/>
      <c r="I61" s="83"/>
      <c r="J61" s="83">
        <f t="shared" si="5"/>
        <v>0</v>
      </c>
      <c r="K61" s="83">
        <v>8621</v>
      </c>
    </row>
    <row r="62" spans="1:11">
      <c r="D62" t="s">
        <v>321</v>
      </c>
      <c r="H62" s="83"/>
      <c r="I62" s="83"/>
      <c r="J62" s="83">
        <f t="shared" si="5"/>
        <v>0</v>
      </c>
      <c r="K62" s="83"/>
    </row>
    <row r="63" spans="1:11">
      <c r="D63" t="s">
        <v>54</v>
      </c>
      <c r="H63" s="83"/>
      <c r="I63" s="83">
        <v>11028</v>
      </c>
      <c r="J63" s="83">
        <f t="shared" si="5"/>
        <v>11028</v>
      </c>
      <c r="K63" s="83"/>
    </row>
    <row r="64" spans="1:11">
      <c r="H64" s="81"/>
      <c r="I64" s="81"/>
      <c r="J64" s="81"/>
      <c r="K64" s="81"/>
    </row>
    <row r="65" spans="1:11">
      <c r="D65" s="102" t="s">
        <v>123</v>
      </c>
      <c r="E65" s="104"/>
      <c r="F65" s="104"/>
      <c r="G65" s="104"/>
      <c r="H65" s="103">
        <f>SUM(H49:H63)</f>
        <v>275130</v>
      </c>
      <c r="I65" s="103">
        <f>SUM(I49:I63)</f>
        <v>27876</v>
      </c>
      <c r="J65" s="103">
        <f>SUM(J49:J63)</f>
        <v>303006</v>
      </c>
      <c r="K65" s="103">
        <f>SUM(K49:K63)</f>
        <v>93740</v>
      </c>
    </row>
    <row r="66" spans="1:11">
      <c r="H66" s="83"/>
      <c r="I66" s="83"/>
      <c r="J66" s="83"/>
      <c r="K66" s="83"/>
    </row>
    <row r="67" spans="1:11">
      <c r="B67" t="s">
        <v>149</v>
      </c>
      <c r="H67" s="83"/>
      <c r="I67" s="83"/>
      <c r="J67" s="83"/>
      <c r="K67" s="83"/>
    </row>
    <row r="68" spans="1:11">
      <c r="C68" t="s">
        <v>369</v>
      </c>
      <c r="H68" s="83"/>
      <c r="I68" s="83">
        <v>9081</v>
      </c>
      <c r="J68" s="83">
        <f>SUM(H68:I68)</f>
        <v>9081</v>
      </c>
      <c r="K68" s="83"/>
    </row>
    <row r="69" spans="1:11">
      <c r="C69" t="s">
        <v>89</v>
      </c>
      <c r="H69" s="77">
        <v>433561</v>
      </c>
      <c r="I69" s="83">
        <v>8957</v>
      </c>
      <c r="J69" s="83">
        <f>SUM(H69:I69)</f>
        <v>442518</v>
      </c>
      <c r="K69" s="83">
        <v>376980</v>
      </c>
    </row>
    <row r="70" spans="1:11">
      <c r="H70" s="81"/>
      <c r="I70" s="81"/>
      <c r="J70" s="81"/>
      <c r="K70" s="81"/>
    </row>
    <row r="71" spans="1:11">
      <c r="D71" s="102" t="s">
        <v>370</v>
      </c>
      <c r="E71" s="104"/>
      <c r="F71" s="104"/>
      <c r="G71" s="104"/>
      <c r="H71" s="103">
        <f>SUM(H67:H69)</f>
        <v>433561</v>
      </c>
      <c r="I71" s="103">
        <f>SUM(I68:I69)</f>
        <v>18038</v>
      </c>
      <c r="J71" s="103">
        <f>SUM(J67:J69)</f>
        <v>451599</v>
      </c>
      <c r="K71" s="103">
        <f>SUM(K67:K69)</f>
        <v>376980</v>
      </c>
    </row>
    <row r="72" spans="1:11">
      <c r="H72" s="83"/>
      <c r="I72" s="83"/>
      <c r="J72" s="83"/>
      <c r="K72" s="83"/>
    </row>
    <row r="73" spans="1:11">
      <c r="D73" s="7" t="s">
        <v>33</v>
      </c>
      <c r="E73" s="8"/>
      <c r="F73" s="8"/>
      <c r="G73" s="8"/>
      <c r="H73" s="87">
        <f>SUM(H65+H71)</f>
        <v>708691</v>
      </c>
      <c r="I73" s="87">
        <f>SUM(I71+I65)</f>
        <v>45914</v>
      </c>
      <c r="J73" s="87">
        <f>SUM(J71+J65)</f>
        <v>754605</v>
      </c>
      <c r="K73" s="87">
        <f>SUM(K65+K71)</f>
        <v>470720</v>
      </c>
    </row>
    <row r="74" spans="1:11">
      <c r="H74" s="83"/>
      <c r="I74" s="83"/>
      <c r="J74" s="83"/>
      <c r="K74" s="83"/>
    </row>
    <row r="75" spans="1:11">
      <c r="A75" s="3" t="s">
        <v>35</v>
      </c>
      <c r="H75" s="83"/>
      <c r="I75" s="83"/>
      <c r="J75" s="83"/>
      <c r="K75" s="83"/>
    </row>
    <row r="76" spans="1:11">
      <c r="B76" t="s">
        <v>96</v>
      </c>
      <c r="H76" s="88">
        <v>877954</v>
      </c>
      <c r="I76" s="83">
        <v>536687</v>
      </c>
      <c r="J76" s="83">
        <f>SUM(H76:I76)</f>
        <v>1414641</v>
      </c>
      <c r="K76" s="83">
        <v>90261</v>
      </c>
    </row>
    <row r="77" spans="1:11">
      <c r="B77" t="s">
        <v>37</v>
      </c>
      <c r="H77" s="83"/>
      <c r="I77" s="83"/>
      <c r="J77" s="83"/>
      <c r="K77" s="83"/>
    </row>
    <row r="78" spans="1:11">
      <c r="C78" t="s">
        <v>371</v>
      </c>
      <c r="H78" s="89">
        <v>1861</v>
      </c>
      <c r="I78" s="83"/>
      <c r="J78" s="83">
        <f>SUM(H78:I78)</f>
        <v>1861</v>
      </c>
      <c r="K78" s="83"/>
    </row>
    <row r="79" spans="1:11">
      <c r="C79" t="s">
        <v>212</v>
      </c>
      <c r="H79" s="89">
        <v>1470</v>
      </c>
      <c r="I79" s="83"/>
      <c r="J79" s="83">
        <f>SUM(H79:I79)</f>
        <v>1470</v>
      </c>
      <c r="K79" s="83"/>
    </row>
    <row r="80" spans="1:11">
      <c r="C80" t="s">
        <v>152</v>
      </c>
      <c r="H80" s="89">
        <v>40348</v>
      </c>
      <c r="I80" s="83"/>
      <c r="J80" s="83">
        <f>SUM(H80:I80)</f>
        <v>40348</v>
      </c>
      <c r="K80" s="83"/>
    </row>
    <row r="81" spans="2:11">
      <c r="C81" t="s">
        <v>64</v>
      </c>
      <c r="H81" s="89">
        <v>37967</v>
      </c>
      <c r="I81" s="83"/>
      <c r="J81" s="83">
        <f t="shared" ref="J81:J86" si="6">SUM(H81)</f>
        <v>37967</v>
      </c>
      <c r="K81" s="83"/>
    </row>
    <row r="82" spans="2:11">
      <c r="C82" t="s">
        <v>372</v>
      </c>
      <c r="H82" s="89">
        <v>21529</v>
      </c>
      <c r="I82" s="83"/>
      <c r="J82" s="83">
        <f t="shared" si="6"/>
        <v>21529</v>
      </c>
      <c r="K82" s="83"/>
    </row>
    <row r="83" spans="2:11">
      <c r="C83" t="s">
        <v>65</v>
      </c>
      <c r="H83" s="89">
        <v>6120</v>
      </c>
      <c r="I83" s="83"/>
      <c r="J83" s="83">
        <f t="shared" si="6"/>
        <v>6120</v>
      </c>
      <c r="K83" s="83"/>
    </row>
    <row r="84" spans="2:11">
      <c r="C84" t="s">
        <v>66</v>
      </c>
      <c r="H84" s="89">
        <v>52795</v>
      </c>
      <c r="I84" s="83"/>
      <c r="J84" s="83">
        <f t="shared" si="6"/>
        <v>52795</v>
      </c>
      <c r="K84" s="83"/>
    </row>
    <row r="85" spans="2:11">
      <c r="C85" t="s">
        <v>153</v>
      </c>
      <c r="H85" s="89">
        <v>4021</v>
      </c>
      <c r="I85" s="83"/>
      <c r="J85" s="83">
        <f t="shared" si="6"/>
        <v>4021</v>
      </c>
      <c r="K85" s="83"/>
    </row>
    <row r="86" spans="2:11">
      <c r="C86" t="s">
        <v>373</v>
      </c>
      <c r="H86" s="89">
        <v>1464</v>
      </c>
      <c r="I86" s="83"/>
      <c r="J86" s="83">
        <f t="shared" si="6"/>
        <v>1464</v>
      </c>
      <c r="K86" s="83">
        <v>11654</v>
      </c>
    </row>
    <row r="87" spans="2:11">
      <c r="C87" t="s">
        <v>298</v>
      </c>
      <c r="H87" s="89">
        <v>226518</v>
      </c>
      <c r="I87" s="83">
        <v>51997</v>
      </c>
      <c r="J87" s="83">
        <f>SUM(H87:I87)</f>
        <v>278515</v>
      </c>
      <c r="K87" s="83"/>
    </row>
    <row r="88" spans="2:11">
      <c r="C88" t="s">
        <v>38</v>
      </c>
      <c r="H88" s="83"/>
      <c r="I88" s="83">
        <v>138</v>
      </c>
      <c r="J88" s="83">
        <f>SUM(H88:I88)</f>
        <v>138</v>
      </c>
      <c r="K88" s="83">
        <v>86808</v>
      </c>
    </row>
    <row r="89" spans="2:11">
      <c r="C89" t="s">
        <v>365</v>
      </c>
      <c r="H89" s="89">
        <v>4898</v>
      </c>
      <c r="I89" s="83"/>
      <c r="J89" s="83">
        <f>SUM(H89:I89)</f>
        <v>4898</v>
      </c>
      <c r="K89" s="83"/>
    </row>
    <row r="90" spans="2:11">
      <c r="C90" t="s">
        <v>374</v>
      </c>
      <c r="H90" s="89">
        <v>528</v>
      </c>
      <c r="I90" s="83"/>
      <c r="J90" s="83">
        <v>528</v>
      </c>
      <c r="K90" s="83"/>
    </row>
    <row r="91" spans="2:11">
      <c r="B91" t="s">
        <v>69</v>
      </c>
      <c r="H91" s="93">
        <v>107409</v>
      </c>
      <c r="I91" s="83">
        <v>38070</v>
      </c>
      <c r="J91" s="83">
        <f>SUM(H91:I91)</f>
        <v>145479</v>
      </c>
      <c r="K91" s="83">
        <v>263338</v>
      </c>
    </row>
    <row r="92" spans="2:11">
      <c r="H92" s="81"/>
      <c r="I92" s="81"/>
      <c r="J92" s="81"/>
      <c r="K92" s="81"/>
    </row>
    <row r="93" spans="2:11" s="3" customFormat="1">
      <c r="C93" s="9" t="s">
        <v>42</v>
      </c>
      <c r="D93" s="9"/>
      <c r="E93" s="9"/>
      <c r="F93" s="9"/>
      <c r="G93" s="9"/>
      <c r="H93" s="94">
        <f>SUM(H76:H91)</f>
        <v>1384882</v>
      </c>
      <c r="I93" s="94">
        <f>SUM(I76:I91)</f>
        <v>626892</v>
      </c>
      <c r="J93" s="94">
        <f>SUM(J76:J91)</f>
        <v>2011774</v>
      </c>
      <c r="K93" s="94">
        <f>SUM(K75:K91)</f>
        <v>452061</v>
      </c>
    </row>
    <row r="94" spans="2:11">
      <c r="H94" s="83"/>
      <c r="I94" s="83"/>
      <c r="J94" s="83"/>
      <c r="K94" s="83"/>
    </row>
    <row r="95" spans="2:11" s="3" customFormat="1">
      <c r="C95" s="10" t="s">
        <v>43</v>
      </c>
      <c r="D95" s="10"/>
      <c r="E95" s="10"/>
      <c r="F95" s="10"/>
      <c r="G95" s="10"/>
      <c r="H95" s="95">
        <f>SUM(H73+H93)</f>
        <v>2093573</v>
      </c>
      <c r="I95" s="95">
        <f>SUM(I73+I93)</f>
        <v>672806</v>
      </c>
      <c r="J95" s="95">
        <f>SUM(J73+J93)</f>
        <v>2766379</v>
      </c>
      <c r="K95" s="95">
        <f>SUM(K73+K93)</f>
        <v>922781</v>
      </c>
    </row>
    <row r="96" spans="2:11">
      <c r="H96" s="83"/>
      <c r="I96" s="83"/>
      <c r="J96" s="83"/>
      <c r="K96" s="83"/>
    </row>
  </sheetData>
  <mergeCells count="3">
    <mergeCell ref="D1:H1"/>
    <mergeCell ref="D2:H2"/>
    <mergeCell ref="H5:J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58"/>
  <sheetViews>
    <sheetView zoomScale="60" zoomScaleNormal="60" zoomScalePageLayoutView="60" workbookViewId="0">
      <selection activeCell="I49" sqref="I49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20" customWidth="1"/>
    <col min="10" max="10" width="19.42578125" customWidth="1"/>
    <col min="11" max="11" width="17.28515625" customWidth="1"/>
  </cols>
  <sheetData>
    <row r="1" spans="1:12" ht="18.75" customHeight="1">
      <c r="A1" s="1"/>
      <c r="B1" s="1"/>
      <c r="C1" s="1"/>
      <c r="D1" s="268" t="s">
        <v>375</v>
      </c>
      <c r="E1" s="268"/>
      <c r="F1" s="268"/>
      <c r="G1" s="268"/>
      <c r="H1" s="268"/>
      <c r="I1" s="97"/>
      <c r="J1" s="97"/>
    </row>
    <row r="2" spans="1:12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2" ht="14.25" customHeight="1">
      <c r="H4" s="273" t="s">
        <v>2</v>
      </c>
      <c r="I4" s="273"/>
      <c r="J4" s="273"/>
    </row>
    <row r="5" spans="1:12" ht="31.5" customHeight="1">
      <c r="H5" s="2" t="s">
        <v>45</v>
      </c>
      <c r="I5" s="2" t="s">
        <v>141</v>
      </c>
      <c r="J5" s="2" t="s">
        <v>73</v>
      </c>
      <c r="K5" s="160" t="s">
        <v>71</v>
      </c>
      <c r="L5" s="5"/>
    </row>
    <row r="6" spans="1:12">
      <c r="A6" s="3" t="s">
        <v>4</v>
      </c>
      <c r="D6" s="3"/>
      <c r="G6" s="4"/>
      <c r="H6" s="4"/>
      <c r="I6" s="4"/>
      <c r="J6" s="4"/>
    </row>
    <row r="7" spans="1:12">
      <c r="C7" t="s">
        <v>112</v>
      </c>
      <c r="H7" s="77">
        <v>7721845</v>
      </c>
      <c r="I7" s="83">
        <v>2848461</v>
      </c>
      <c r="J7" s="83">
        <f t="shared" ref="J7:J9" si="0">SUM(H7:I7)</f>
        <v>10570306</v>
      </c>
      <c r="K7" s="83">
        <v>50132926</v>
      </c>
    </row>
    <row r="8" spans="1:12">
      <c r="C8" t="s">
        <v>6</v>
      </c>
      <c r="H8" s="84">
        <v>278852022</v>
      </c>
      <c r="I8" s="83">
        <v>16027117</v>
      </c>
      <c r="J8" s="83">
        <f t="shared" si="0"/>
        <v>294879139</v>
      </c>
      <c r="K8" s="83">
        <v>16338139</v>
      </c>
    </row>
    <row r="9" spans="1:12">
      <c r="C9" t="s">
        <v>113</v>
      </c>
      <c r="H9" s="78">
        <v>2270885</v>
      </c>
      <c r="I9" s="83">
        <v>27658362</v>
      </c>
      <c r="J9" s="83">
        <f t="shared" si="0"/>
        <v>29929247</v>
      </c>
      <c r="K9" s="83">
        <v>2002495</v>
      </c>
    </row>
    <row r="10" spans="1:12">
      <c r="C10" t="s">
        <v>76</v>
      </c>
      <c r="H10" s="79">
        <v>3559213</v>
      </c>
      <c r="I10" s="83">
        <v>-3559213</v>
      </c>
      <c r="J10" s="83">
        <f t="shared" ref="J10:J15" si="1">SUM(H10:I10)</f>
        <v>0</v>
      </c>
      <c r="K10" s="83"/>
    </row>
    <row r="11" spans="1:12">
      <c r="C11" t="s">
        <v>157</v>
      </c>
      <c r="H11" s="83"/>
      <c r="I11" s="83"/>
      <c r="J11" s="83">
        <f t="shared" si="1"/>
        <v>0</v>
      </c>
      <c r="K11" s="83">
        <v>73188</v>
      </c>
    </row>
    <row r="12" spans="1:12">
      <c r="C12" t="s">
        <v>11</v>
      </c>
      <c r="H12" s="90">
        <v>177735</v>
      </c>
      <c r="I12" s="83">
        <v>1879</v>
      </c>
      <c r="J12" s="83">
        <f t="shared" si="1"/>
        <v>179614</v>
      </c>
      <c r="K12" s="83"/>
    </row>
    <row r="13" spans="1:12">
      <c r="C13" t="s">
        <v>268</v>
      </c>
      <c r="H13" s="90">
        <v>18499918</v>
      </c>
      <c r="I13" s="83">
        <v>3456198</v>
      </c>
      <c r="J13" s="83">
        <f t="shared" si="1"/>
        <v>21956116</v>
      </c>
      <c r="K13" s="83">
        <v>7986272</v>
      </c>
    </row>
    <row r="14" spans="1:12">
      <c r="C14" t="s">
        <v>376</v>
      </c>
      <c r="H14" s="79">
        <v>419825</v>
      </c>
      <c r="I14" s="83">
        <v>31932260</v>
      </c>
      <c r="J14" s="83">
        <f t="shared" si="1"/>
        <v>32352085</v>
      </c>
      <c r="K14" s="83">
        <v>218586</v>
      </c>
    </row>
    <row r="15" spans="1:12">
      <c r="C15" t="s">
        <v>115</v>
      </c>
      <c r="H15" s="79">
        <v>149592</v>
      </c>
      <c r="I15" s="83">
        <v>293411</v>
      </c>
      <c r="J15" s="83">
        <f t="shared" si="1"/>
        <v>443003</v>
      </c>
      <c r="K15" s="83">
        <v>378702</v>
      </c>
    </row>
    <row r="16" spans="1:12">
      <c r="C16" t="s">
        <v>78</v>
      </c>
      <c r="H16" s="83"/>
      <c r="I16" s="83"/>
      <c r="J16" s="83"/>
      <c r="K16" s="83">
        <v>1346182</v>
      </c>
    </row>
    <row r="17" spans="1:11">
      <c r="C17" t="s">
        <v>189</v>
      </c>
      <c r="H17" s="83"/>
      <c r="I17" s="83"/>
      <c r="J17" s="83"/>
      <c r="K17" s="83"/>
    </row>
    <row r="18" spans="1:11">
      <c r="D18" t="s">
        <v>5</v>
      </c>
      <c r="H18" s="83"/>
      <c r="I18" s="83">
        <v>8101700</v>
      </c>
      <c r="J18" s="83">
        <f>SUM(H18:I18)</f>
        <v>8101700</v>
      </c>
      <c r="K18" s="83">
        <v>3981944</v>
      </c>
    </row>
    <row r="19" spans="1:11">
      <c r="D19" t="s">
        <v>6</v>
      </c>
      <c r="H19" s="83"/>
      <c r="I19" s="83">
        <v>209339409</v>
      </c>
      <c r="J19" s="83">
        <v>209339409</v>
      </c>
      <c r="K19" s="83">
        <v>20708601</v>
      </c>
    </row>
    <row r="20" spans="1:11">
      <c r="D20" t="s">
        <v>47</v>
      </c>
      <c r="H20" s="83"/>
      <c r="I20" s="83">
        <v>111938</v>
      </c>
      <c r="J20" s="83">
        <f>SUM(H20:I20)</f>
        <v>111938</v>
      </c>
      <c r="K20" s="83">
        <v>44820</v>
      </c>
    </row>
    <row r="21" spans="1:11">
      <c r="C21" t="s">
        <v>377</v>
      </c>
      <c r="H21" s="83"/>
      <c r="I21" s="83">
        <v>1960661</v>
      </c>
      <c r="J21" s="83">
        <f>SUM(H21:I21)</f>
        <v>1960661</v>
      </c>
      <c r="K21" s="83"/>
    </row>
    <row r="22" spans="1:11">
      <c r="C22" t="s">
        <v>12</v>
      </c>
      <c r="H22" s="83"/>
      <c r="I22" s="83"/>
      <c r="J22" s="83"/>
      <c r="K22" s="83"/>
    </row>
    <row r="23" spans="1:11">
      <c r="D23" t="s">
        <v>13</v>
      </c>
      <c r="H23" s="80">
        <v>70197995</v>
      </c>
      <c r="I23" s="83">
        <v>66232170</v>
      </c>
      <c r="J23" s="83">
        <f>SUM(H23:I23)</f>
        <v>136430165</v>
      </c>
      <c r="K23" s="83">
        <v>29146560</v>
      </c>
    </row>
    <row r="24" spans="1:11">
      <c r="D24" t="s">
        <v>378</v>
      </c>
      <c r="H24" s="91">
        <v>517241758</v>
      </c>
      <c r="I24" s="83">
        <v>662632316</v>
      </c>
      <c r="J24" s="83">
        <f>SUM(H24:I24)</f>
        <v>1179874074</v>
      </c>
      <c r="K24" s="83">
        <v>90812166</v>
      </c>
    </row>
    <row r="25" spans="1:11">
      <c r="H25" s="83"/>
      <c r="I25" s="81"/>
      <c r="J25" s="81"/>
      <c r="K25" s="81"/>
    </row>
    <row r="26" spans="1:11" s="5" customFormat="1">
      <c r="C26" s="6" t="s">
        <v>15</v>
      </c>
      <c r="D26" s="6"/>
      <c r="E26" s="6"/>
      <c r="F26" s="6"/>
      <c r="G26" s="6"/>
      <c r="H26" s="82">
        <f>SUM(H7:H24)</f>
        <v>899090788</v>
      </c>
      <c r="I26" s="82">
        <f>SUM(I7:I24)</f>
        <v>1027036669</v>
      </c>
      <c r="J26" s="82">
        <f>SUM(J7:J24)</f>
        <v>1926127457</v>
      </c>
      <c r="K26" s="82">
        <f>SUM(K7:K24)</f>
        <v>223170581</v>
      </c>
    </row>
    <row r="27" spans="1:11" s="5" customFormat="1">
      <c r="H27" s="100"/>
      <c r="I27" s="100"/>
      <c r="J27" s="100"/>
      <c r="K27" s="100"/>
    </row>
    <row r="28" spans="1:11" s="5" customFormat="1">
      <c r="A28" s="5" t="s">
        <v>160</v>
      </c>
      <c r="H28" s="100"/>
      <c r="I28" s="100"/>
      <c r="J28" s="100"/>
      <c r="K28" s="100"/>
    </row>
    <row r="29" spans="1:11" s="5" customFormat="1">
      <c r="B29" s="5" t="s">
        <v>379</v>
      </c>
      <c r="H29" s="201">
        <v>10285862</v>
      </c>
      <c r="I29" s="201">
        <v>11427508</v>
      </c>
      <c r="J29" s="201">
        <f>SUM(H29:I29)</f>
        <v>21713370</v>
      </c>
      <c r="K29" s="201">
        <v>24771</v>
      </c>
    </row>
    <row r="30" spans="1:11" s="5" customFormat="1">
      <c r="H30" s="83"/>
      <c r="I30" s="100"/>
      <c r="J30" s="100"/>
      <c r="K30" s="100"/>
    </row>
    <row r="31" spans="1:11">
      <c r="A31" s="5" t="s">
        <v>52</v>
      </c>
      <c r="H31" s="83"/>
      <c r="I31" s="83"/>
      <c r="J31" s="83"/>
      <c r="K31" s="83"/>
    </row>
    <row r="32" spans="1:11">
      <c r="A32" s="5"/>
      <c r="C32" t="s">
        <v>380</v>
      </c>
      <c r="H32" s="84">
        <v>3505182</v>
      </c>
      <c r="I32" s="83">
        <v>6433320</v>
      </c>
      <c r="J32" s="83">
        <f t="shared" ref="J32:J33" si="2">SUM(H32:I32)</f>
        <v>9938502</v>
      </c>
      <c r="K32" s="83">
        <v>4651833</v>
      </c>
    </row>
    <row r="33" spans="1:11">
      <c r="C33" t="s">
        <v>25</v>
      </c>
      <c r="H33" s="83"/>
      <c r="I33" s="83"/>
      <c r="J33" s="83">
        <f t="shared" si="2"/>
        <v>0</v>
      </c>
      <c r="K33" s="83">
        <v>179614</v>
      </c>
    </row>
    <row r="34" spans="1:11">
      <c r="C34" t="s">
        <v>164</v>
      </c>
      <c r="H34" s="96">
        <v>73188</v>
      </c>
      <c r="I34" s="83"/>
      <c r="J34" s="83">
        <f>SUM(H34:I34)</f>
        <v>73188</v>
      </c>
      <c r="K34" s="83"/>
    </row>
    <row r="35" spans="1:11">
      <c r="C35" t="s">
        <v>165</v>
      </c>
      <c r="H35" s="96">
        <v>714973</v>
      </c>
      <c r="I35" s="83"/>
      <c r="J35" s="83">
        <f>SUM(H35:I35)</f>
        <v>714973</v>
      </c>
      <c r="K35" s="83">
        <v>4507</v>
      </c>
    </row>
    <row r="36" spans="1:11">
      <c r="C36" t="s">
        <v>54</v>
      </c>
      <c r="H36" s="79">
        <v>281108</v>
      </c>
      <c r="I36" s="83">
        <v>2989</v>
      </c>
      <c r="J36" s="83">
        <f>SUM(H36:I36)</f>
        <v>284097</v>
      </c>
      <c r="K36" s="83">
        <v>2513461</v>
      </c>
    </row>
    <row r="37" spans="1:11">
      <c r="C37" t="s">
        <v>85</v>
      </c>
      <c r="H37" s="83"/>
      <c r="I37" s="83">
        <v>8151514</v>
      </c>
      <c r="J37" s="83">
        <f>SUM(H37:I37)</f>
        <v>8151514</v>
      </c>
      <c r="K37" s="83">
        <v>101171</v>
      </c>
    </row>
    <row r="38" spans="1:11">
      <c r="C38" t="s">
        <v>109</v>
      </c>
      <c r="H38" s="83"/>
      <c r="I38" s="83"/>
      <c r="J38" s="83"/>
      <c r="K38" s="83"/>
    </row>
    <row r="39" spans="1:11">
      <c r="D39" t="s">
        <v>381</v>
      </c>
      <c r="H39" s="92">
        <v>34417905</v>
      </c>
      <c r="I39" s="83">
        <v>5045582</v>
      </c>
      <c r="J39" s="83">
        <f>SUM(H39:I39)</f>
        <v>39463487</v>
      </c>
      <c r="K39" s="83">
        <v>7960162</v>
      </c>
    </row>
    <row r="40" spans="1:11">
      <c r="D40" t="s">
        <v>382</v>
      </c>
      <c r="H40" s="77">
        <v>409431497</v>
      </c>
      <c r="I40" s="83">
        <v>494865322</v>
      </c>
      <c r="J40" s="83">
        <f>SUM(H40:I40)</f>
        <v>904296819</v>
      </c>
      <c r="K40" s="83">
        <v>22626084</v>
      </c>
    </row>
    <row r="41" spans="1:11">
      <c r="H41" s="81"/>
      <c r="I41" s="81"/>
      <c r="J41" s="81"/>
      <c r="K41" s="81"/>
    </row>
    <row r="42" spans="1:11">
      <c r="D42" s="7" t="s">
        <v>33</v>
      </c>
      <c r="E42" s="8"/>
      <c r="F42" s="8"/>
      <c r="G42" s="8"/>
      <c r="H42" s="87">
        <f>SUM(H32:H40)</f>
        <v>448423853</v>
      </c>
      <c r="I42" s="87">
        <f>SUM(I32:I40)</f>
        <v>514498727</v>
      </c>
      <c r="J42" s="87">
        <f>SUM(J32:J40)</f>
        <v>962922580</v>
      </c>
      <c r="K42" s="87">
        <f>SUM(K32:K40)</f>
        <v>38036832</v>
      </c>
    </row>
    <row r="43" spans="1:11">
      <c r="D43" s="5"/>
      <c r="H43" s="100"/>
      <c r="I43" s="100"/>
      <c r="J43" s="100"/>
      <c r="K43" s="100"/>
    </row>
    <row r="44" spans="1:11">
      <c r="A44" s="5" t="s">
        <v>195</v>
      </c>
      <c r="D44" s="5"/>
      <c r="H44" s="100"/>
      <c r="I44" s="100"/>
      <c r="J44" s="100"/>
      <c r="K44" s="100"/>
    </row>
    <row r="45" spans="1:11">
      <c r="A45" t="s">
        <v>383</v>
      </c>
      <c r="D45" s="5"/>
      <c r="H45" s="201"/>
      <c r="I45" s="201"/>
      <c r="J45" s="201"/>
      <c r="K45" s="201">
        <v>2008404</v>
      </c>
    </row>
    <row r="46" spans="1:11">
      <c r="H46" s="83"/>
      <c r="I46" s="83"/>
      <c r="J46" s="83"/>
      <c r="K46" s="83"/>
    </row>
    <row r="47" spans="1:11">
      <c r="A47" s="3" t="s">
        <v>35</v>
      </c>
      <c r="H47" s="83"/>
      <c r="I47" s="83"/>
      <c r="J47" s="83"/>
      <c r="K47" s="83"/>
    </row>
    <row r="48" spans="1:11">
      <c r="B48" t="s">
        <v>96</v>
      </c>
      <c r="H48" s="88">
        <v>311019205</v>
      </c>
      <c r="I48" s="83">
        <v>311982121</v>
      </c>
      <c r="J48" s="83">
        <f t="shared" ref="J48:J50" si="3">SUM(H48:I48)</f>
        <v>623001326</v>
      </c>
      <c r="K48" s="83">
        <v>118654045</v>
      </c>
    </row>
    <row r="49" spans="2:11">
      <c r="B49" t="s">
        <v>37</v>
      </c>
      <c r="H49" s="83"/>
      <c r="I49" s="83"/>
      <c r="J49" s="83">
        <f t="shared" si="3"/>
        <v>0</v>
      </c>
      <c r="K49" s="83"/>
    </row>
    <row r="50" spans="2:11">
      <c r="C50" t="s">
        <v>39</v>
      </c>
      <c r="H50" s="89">
        <v>82813637</v>
      </c>
      <c r="I50" s="83"/>
      <c r="J50" s="83">
        <f t="shared" si="3"/>
        <v>82813637</v>
      </c>
      <c r="K50" s="83">
        <v>4476066</v>
      </c>
    </row>
    <row r="51" spans="2:11">
      <c r="C51" t="s">
        <v>38</v>
      </c>
      <c r="H51" s="89">
        <v>46408778</v>
      </c>
      <c r="I51" s="83">
        <v>133086432</v>
      </c>
      <c r="J51" s="83">
        <f>SUM(H51:I51)</f>
        <v>179495210</v>
      </c>
      <c r="K51" s="83">
        <v>4385366</v>
      </c>
    </row>
    <row r="52" spans="2:11">
      <c r="C52" t="s">
        <v>200</v>
      </c>
      <c r="H52" s="89">
        <v>45252830</v>
      </c>
      <c r="I52" s="83"/>
      <c r="J52" s="83">
        <f>SUM(H52:I52)</f>
        <v>45252830</v>
      </c>
      <c r="K52" s="83">
        <v>620855</v>
      </c>
    </row>
    <row r="53" spans="2:11">
      <c r="B53" t="s">
        <v>384</v>
      </c>
      <c r="H53" s="93">
        <v>-10964684</v>
      </c>
      <c r="I53" s="83">
        <v>77912897</v>
      </c>
      <c r="J53" s="83">
        <f>SUM(H53:I53)</f>
        <v>66948213</v>
      </c>
      <c r="K53" s="83">
        <v>72656539</v>
      </c>
    </row>
    <row r="54" spans="2:11">
      <c r="H54" s="81"/>
      <c r="I54" s="81"/>
      <c r="J54" s="81"/>
      <c r="K54" s="81"/>
    </row>
    <row r="55" spans="2:11" s="3" customFormat="1">
      <c r="C55" s="9" t="s">
        <v>42</v>
      </c>
      <c r="D55" s="9"/>
      <c r="E55" s="9"/>
      <c r="F55" s="9"/>
      <c r="G55" s="9"/>
      <c r="H55" s="94">
        <f>SUM(H48:H53)</f>
        <v>474529766</v>
      </c>
      <c r="I55" s="94">
        <f>SUM(I48:I53)</f>
        <v>522981450</v>
      </c>
      <c r="J55" s="94">
        <f>SUM(J48:J53)</f>
        <v>997511216</v>
      </c>
      <c r="K55" s="94">
        <f>SUM(K47:K53)</f>
        <v>200792871</v>
      </c>
    </row>
    <row r="56" spans="2:11">
      <c r="H56" s="83"/>
      <c r="I56" s="83"/>
      <c r="J56" s="83"/>
      <c r="K56" s="83"/>
    </row>
    <row r="57" spans="2:11" s="3" customFormat="1">
      <c r="C57" s="10" t="s">
        <v>43</v>
      </c>
      <c r="D57" s="10"/>
      <c r="E57" s="10"/>
      <c r="F57" s="10"/>
      <c r="G57" s="10"/>
      <c r="H57" s="95">
        <f>SUM(H42+H55)</f>
        <v>922953619</v>
      </c>
      <c r="I57" s="95">
        <f>SUM(I55+I42)</f>
        <v>1037480177</v>
      </c>
      <c r="J57" s="95">
        <f>SUM(J55+J42)</f>
        <v>1960433796</v>
      </c>
      <c r="K57" s="95">
        <f>SUM(K55+K42)</f>
        <v>238829703</v>
      </c>
    </row>
    <row r="58" spans="2:11">
      <c r="H58" s="83"/>
      <c r="I58" s="83"/>
      <c r="J58" s="83"/>
      <c r="K58" s="83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4"/>
  <sheetViews>
    <sheetView zoomScale="70" zoomScaleNormal="70" zoomScalePageLayoutView="70" workbookViewId="0">
      <selection activeCell="H44" sqref="H4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  <col min="11" max="11" width="17.28515625" customWidth="1"/>
  </cols>
  <sheetData>
    <row r="1" spans="1:12" ht="18.600000000000001">
      <c r="A1" s="1"/>
      <c r="B1" s="1"/>
      <c r="C1" s="1"/>
      <c r="D1" s="268" t="s">
        <v>385</v>
      </c>
      <c r="E1" s="268"/>
      <c r="F1" s="268"/>
      <c r="G1" s="268"/>
      <c r="H1" s="268"/>
      <c r="I1" s="97"/>
      <c r="J1" s="97"/>
    </row>
    <row r="2" spans="1:12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2" ht="15" customHeight="1">
      <c r="H4" s="273" t="s">
        <v>2</v>
      </c>
      <c r="I4" s="273"/>
      <c r="J4" s="273"/>
      <c r="K4" s="160" t="s">
        <v>71</v>
      </c>
    </row>
    <row r="5" spans="1:12" ht="29.1">
      <c r="H5" s="105" t="s">
        <v>45</v>
      </c>
      <c r="I5" s="105" t="s">
        <v>141</v>
      </c>
      <c r="J5" s="105" t="s">
        <v>73</v>
      </c>
      <c r="K5" s="208" t="s">
        <v>73</v>
      </c>
      <c r="L5" s="5"/>
    </row>
    <row r="6" spans="1:12">
      <c r="A6" s="3" t="s">
        <v>4</v>
      </c>
      <c r="D6" s="3"/>
      <c r="G6" s="4"/>
      <c r="H6" s="4"/>
      <c r="I6" s="4"/>
      <c r="J6" s="4"/>
    </row>
    <row r="7" spans="1:12">
      <c r="C7" t="s">
        <v>386</v>
      </c>
      <c r="H7" s="77">
        <v>20213397</v>
      </c>
      <c r="I7" s="83"/>
      <c r="J7" s="83">
        <f>SUM(H7:I7)</f>
        <v>20213397</v>
      </c>
      <c r="K7" s="83">
        <v>213552743</v>
      </c>
    </row>
    <row r="8" spans="1:12">
      <c r="C8" t="s">
        <v>6</v>
      </c>
      <c r="H8" s="84">
        <v>22534040</v>
      </c>
      <c r="I8" s="83"/>
      <c r="J8" s="83">
        <f>SUM(H8:I8)</f>
        <v>22534040</v>
      </c>
      <c r="K8" s="83">
        <v>21165841</v>
      </c>
    </row>
    <row r="9" spans="1:12">
      <c r="A9" t="s">
        <v>387</v>
      </c>
      <c r="C9" t="s">
        <v>47</v>
      </c>
      <c r="H9" s="78">
        <v>2766041</v>
      </c>
      <c r="I9" s="83">
        <v>18174</v>
      </c>
      <c r="J9" s="83">
        <f>SUM(H9:I9)</f>
        <v>2784215</v>
      </c>
      <c r="K9" s="83">
        <v>36339765</v>
      </c>
    </row>
    <row r="10" spans="1:12">
      <c r="C10" t="s">
        <v>114</v>
      </c>
      <c r="H10" s="90">
        <v>30663568</v>
      </c>
      <c r="I10" s="83"/>
      <c r="J10" s="83">
        <f>SUM(H10:I10)</f>
        <v>30663568</v>
      </c>
      <c r="K10" s="83"/>
    </row>
    <row r="11" spans="1:12">
      <c r="C11" t="s">
        <v>388</v>
      </c>
      <c r="H11" s="79">
        <v>2779853</v>
      </c>
      <c r="I11" s="83"/>
      <c r="J11" s="83">
        <f>SUM(H11:I11)</f>
        <v>2779853</v>
      </c>
      <c r="K11" s="83">
        <v>20080601</v>
      </c>
    </row>
    <row r="12" spans="1:12">
      <c r="C12" t="s">
        <v>12</v>
      </c>
      <c r="H12" s="83"/>
      <c r="I12" s="83"/>
      <c r="J12" s="83"/>
      <c r="K12" s="83"/>
    </row>
    <row r="13" spans="1:12">
      <c r="D13" t="s">
        <v>13</v>
      </c>
      <c r="H13" s="80">
        <v>39812853</v>
      </c>
      <c r="I13" s="83"/>
      <c r="J13" s="83">
        <f>SUM(H13:I13)</f>
        <v>39812853</v>
      </c>
      <c r="K13" s="83">
        <v>29927075</v>
      </c>
    </row>
    <row r="14" spans="1:12">
      <c r="D14" t="s">
        <v>389</v>
      </c>
      <c r="H14" s="80">
        <v>56399643</v>
      </c>
      <c r="I14" s="83">
        <v>2762073</v>
      </c>
      <c r="J14" s="83">
        <f>SUM(H14:I14)</f>
        <v>59161716</v>
      </c>
      <c r="K14" s="83">
        <v>211712535</v>
      </c>
    </row>
    <row r="15" spans="1:12">
      <c r="H15" s="81"/>
      <c r="I15" s="81"/>
      <c r="J15" s="81"/>
      <c r="K15" s="81"/>
    </row>
    <row r="16" spans="1:12" s="5" customFormat="1">
      <c r="C16" s="6" t="s">
        <v>15</v>
      </c>
      <c r="D16" s="6"/>
      <c r="E16" s="6"/>
      <c r="F16" s="6"/>
      <c r="G16" s="6"/>
      <c r="H16" s="82">
        <f>SUM(H7:H14)</f>
        <v>175169395</v>
      </c>
      <c r="I16" s="82">
        <f>SUM(I7:I14)</f>
        <v>2780247</v>
      </c>
      <c r="J16" s="82">
        <f>SUM(J7:J14)</f>
        <v>177949642</v>
      </c>
      <c r="K16" s="82">
        <f>SUM(K7:K14)</f>
        <v>532778560</v>
      </c>
    </row>
    <row r="17" spans="1:11">
      <c r="H17" s="83"/>
      <c r="I17" s="83"/>
      <c r="J17" s="83"/>
      <c r="K17" s="83"/>
    </row>
    <row r="18" spans="1:11" s="5" customFormat="1">
      <c r="B18" s="5" t="s">
        <v>360</v>
      </c>
      <c r="H18" s="100"/>
      <c r="I18" s="100"/>
      <c r="J18" s="100"/>
      <c r="K18" s="100"/>
    </row>
    <row r="19" spans="1:11">
      <c r="C19" t="s">
        <v>390</v>
      </c>
      <c r="H19" s="83">
        <v>998036</v>
      </c>
      <c r="I19" s="83"/>
      <c r="J19" s="83">
        <f>SUM(H19:I19)</f>
        <v>998036</v>
      </c>
      <c r="K19" s="83"/>
    </row>
    <row r="20" spans="1:11">
      <c r="H20" s="81"/>
      <c r="I20" s="81"/>
      <c r="J20" s="81"/>
      <c r="K20" s="81"/>
    </row>
    <row r="21" spans="1:11" s="5" customFormat="1">
      <c r="C21" s="102" t="s">
        <v>362</v>
      </c>
      <c r="D21" s="102"/>
      <c r="E21" s="102"/>
      <c r="F21" s="102"/>
      <c r="G21" s="102"/>
      <c r="H21" s="103">
        <f>H19</f>
        <v>998036</v>
      </c>
      <c r="I21" s="103">
        <f t="shared" ref="I21:K21" si="0">I19</f>
        <v>0</v>
      </c>
      <c r="J21" s="103">
        <f t="shared" si="0"/>
        <v>998036</v>
      </c>
      <c r="K21" s="103">
        <f t="shared" si="0"/>
        <v>0</v>
      </c>
    </row>
    <row r="22" spans="1:11">
      <c r="H22" s="83"/>
      <c r="I22" s="83"/>
      <c r="J22" s="83"/>
      <c r="K22" s="83"/>
    </row>
    <row r="23" spans="1:11">
      <c r="A23" s="5" t="s">
        <v>52</v>
      </c>
      <c r="H23" s="83"/>
      <c r="I23" s="83"/>
      <c r="J23" s="83"/>
      <c r="K23" s="83"/>
    </row>
    <row r="24" spans="1:11">
      <c r="A24" s="5"/>
      <c r="C24" t="s">
        <v>147</v>
      </c>
      <c r="H24" s="84">
        <v>5646947</v>
      </c>
      <c r="I24" s="83">
        <v>27127</v>
      </c>
      <c r="J24" s="83">
        <f t="shared" ref="J24:J30" si="1">SUM(H24:I24)</f>
        <v>5674074</v>
      </c>
      <c r="K24" s="83">
        <v>18113211</v>
      </c>
    </row>
    <row r="25" spans="1:11">
      <c r="C25" t="s">
        <v>391</v>
      </c>
      <c r="H25" s="79">
        <v>468146</v>
      </c>
      <c r="I25" s="83"/>
      <c r="J25" s="83">
        <f t="shared" si="1"/>
        <v>468146</v>
      </c>
      <c r="K25" s="83">
        <v>4632620</v>
      </c>
    </row>
    <row r="26" spans="1:11">
      <c r="C26" t="s">
        <v>24</v>
      </c>
      <c r="H26" s="84">
        <v>595935</v>
      </c>
      <c r="I26" s="83"/>
      <c r="J26" s="83">
        <f>SUM(H26:I26)</f>
        <v>595935</v>
      </c>
      <c r="K26" s="83"/>
    </row>
    <row r="27" spans="1:11">
      <c r="C27" t="s">
        <v>392</v>
      </c>
      <c r="H27" s="96">
        <v>933144</v>
      </c>
      <c r="I27" s="83">
        <v>211687</v>
      </c>
      <c r="J27" s="83">
        <f t="shared" si="1"/>
        <v>1144831</v>
      </c>
      <c r="K27" s="83"/>
    </row>
    <row r="28" spans="1:11">
      <c r="C28" t="s">
        <v>26</v>
      </c>
      <c r="H28" s="83"/>
      <c r="I28" s="83"/>
      <c r="J28" s="83">
        <f t="shared" si="1"/>
        <v>0</v>
      </c>
      <c r="K28" s="83"/>
    </row>
    <row r="29" spans="1:11">
      <c r="D29" t="s">
        <v>88</v>
      </c>
      <c r="H29" s="92">
        <v>2495013</v>
      </c>
      <c r="I29" s="83"/>
      <c r="J29" s="83">
        <f t="shared" si="1"/>
        <v>2495013</v>
      </c>
      <c r="K29" s="83">
        <v>2854918</v>
      </c>
    </row>
    <row r="30" spans="1:11">
      <c r="D30" t="s">
        <v>89</v>
      </c>
      <c r="H30" s="77">
        <v>43892757</v>
      </c>
      <c r="I30" s="83"/>
      <c r="J30" s="83">
        <f t="shared" si="1"/>
        <v>43892757</v>
      </c>
      <c r="K30" s="83">
        <v>26120342</v>
      </c>
    </row>
    <row r="31" spans="1:11">
      <c r="H31" s="81"/>
      <c r="I31" s="81"/>
      <c r="J31" s="81"/>
      <c r="K31" s="81"/>
    </row>
    <row r="32" spans="1:11">
      <c r="D32" s="7" t="s">
        <v>33</v>
      </c>
      <c r="E32" s="8"/>
      <c r="F32" s="8"/>
      <c r="G32" s="8"/>
      <c r="H32" s="87">
        <f>SUM(H24:H30)</f>
        <v>54031942</v>
      </c>
      <c r="I32" s="87">
        <f>SUM(I24:I30)</f>
        <v>238814</v>
      </c>
      <c r="J32" s="87">
        <f>SUM(J24:J30)</f>
        <v>54270756</v>
      </c>
      <c r="K32" s="87">
        <f>SUM(K24:K30)</f>
        <v>51721091</v>
      </c>
    </row>
    <row r="33" spans="1:11">
      <c r="H33" s="83"/>
      <c r="I33" s="83"/>
      <c r="J33" s="83"/>
      <c r="K33" s="83"/>
    </row>
    <row r="34" spans="1:11">
      <c r="A34" s="3" t="s">
        <v>35</v>
      </c>
      <c r="H34" s="83"/>
      <c r="I34" s="83"/>
      <c r="J34" s="83"/>
      <c r="K34" s="83"/>
    </row>
    <row r="35" spans="1:11">
      <c r="B35" t="s">
        <v>393</v>
      </c>
      <c r="H35" s="88">
        <v>40588502</v>
      </c>
      <c r="I35" s="83">
        <v>2762073</v>
      </c>
      <c r="J35" s="83">
        <f>SUM(H35:I35)</f>
        <v>43350575</v>
      </c>
      <c r="K35" s="83">
        <v>215082552</v>
      </c>
    </row>
    <row r="36" spans="1:11">
      <c r="B36" t="s">
        <v>37</v>
      </c>
      <c r="H36" s="83"/>
      <c r="I36" s="83"/>
      <c r="J36" s="83"/>
      <c r="K36" s="83"/>
    </row>
    <row r="37" spans="1:11">
      <c r="C37" t="s">
        <v>39</v>
      </c>
      <c r="H37" s="89">
        <v>12449084</v>
      </c>
      <c r="I37" s="83"/>
      <c r="J37" s="83">
        <f>SUM(H37:I37)</f>
        <v>12449084</v>
      </c>
      <c r="K37" s="83">
        <v>4158197</v>
      </c>
    </row>
    <row r="38" spans="1:11">
      <c r="C38" t="s">
        <v>38</v>
      </c>
      <c r="H38" s="89">
        <v>6338397</v>
      </c>
      <c r="I38" s="83"/>
      <c r="J38" s="83">
        <f>SUM(H38:I38)</f>
        <v>6338397</v>
      </c>
      <c r="K38" s="83">
        <v>3622326</v>
      </c>
    </row>
    <row r="39" spans="1:11">
      <c r="B39" t="s">
        <v>384</v>
      </c>
      <c r="H39" s="93">
        <v>62759506</v>
      </c>
      <c r="I39" s="83">
        <v>-220640</v>
      </c>
      <c r="J39" s="83">
        <f>SUM(H39:I39)</f>
        <v>62538866</v>
      </c>
      <c r="K39" s="83">
        <v>258194394</v>
      </c>
    </row>
    <row r="40" spans="1:11">
      <c r="H40" s="81"/>
      <c r="I40" s="81"/>
      <c r="J40" s="81"/>
      <c r="K40" s="81"/>
    </row>
    <row r="41" spans="1:11" s="3" customFormat="1">
      <c r="C41" s="9" t="s">
        <v>42</v>
      </c>
      <c r="D41" s="9"/>
      <c r="E41" s="9"/>
      <c r="F41" s="9"/>
      <c r="G41" s="9"/>
      <c r="H41" s="94">
        <f>SUM(H35:H39)</f>
        <v>122135489</v>
      </c>
      <c r="I41" s="94">
        <f>SUM(I35:I39)</f>
        <v>2541433</v>
      </c>
      <c r="J41" s="94">
        <f>SUM(J35:J39)</f>
        <v>124676922</v>
      </c>
      <c r="K41" s="94">
        <f>SUM(K34:K39)</f>
        <v>481057469</v>
      </c>
    </row>
    <row r="42" spans="1:11">
      <c r="H42" s="83"/>
      <c r="I42" s="83"/>
      <c r="J42" s="83"/>
      <c r="K42" s="83"/>
    </row>
    <row r="43" spans="1:11" s="3" customFormat="1">
      <c r="C43" s="10" t="s">
        <v>43</v>
      </c>
      <c r="D43" s="10"/>
      <c r="E43" s="10"/>
      <c r="F43" s="10"/>
      <c r="G43" s="10"/>
      <c r="H43" s="95">
        <f>SUM(H41+H32)</f>
        <v>176167431</v>
      </c>
      <c r="I43" s="95">
        <f>SUM(I32+I41)</f>
        <v>2780247</v>
      </c>
      <c r="J43" s="95">
        <f>SUM(J32+J41)</f>
        <v>178947678</v>
      </c>
      <c r="K43" s="95">
        <f>SUM(K41+K32)</f>
        <v>532778560</v>
      </c>
    </row>
    <row r="44" spans="1:11">
      <c r="H44" s="83"/>
      <c r="I44" s="83"/>
      <c r="J44" s="83"/>
      <c r="K44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31"/>
  <sheetViews>
    <sheetView workbookViewId="0">
      <selection activeCell="G12" sqref="G12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394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2562628</v>
      </c>
    </row>
    <row r="7" spans="1:7">
      <c r="B7" t="s">
        <v>47</v>
      </c>
      <c r="G7" s="78">
        <v>4667182</v>
      </c>
    </row>
    <row r="8" spans="1:7">
      <c r="B8" t="s">
        <v>395</v>
      </c>
      <c r="G8" s="79">
        <v>12440</v>
      </c>
    </row>
    <row r="9" spans="1:7">
      <c r="B9" t="s">
        <v>285</v>
      </c>
      <c r="G9" s="91">
        <v>7095343</v>
      </c>
    </row>
    <row r="10" spans="1:7">
      <c r="G10" s="83"/>
    </row>
    <row r="11" spans="1:7">
      <c r="A11" s="5"/>
      <c r="B11" s="6" t="s">
        <v>15</v>
      </c>
      <c r="C11" s="6"/>
      <c r="D11" s="6"/>
      <c r="E11" s="6"/>
      <c r="F11" s="6"/>
      <c r="G11" s="82">
        <f>SUM(G6:G9)</f>
        <v>14337593</v>
      </c>
    </row>
    <row r="12" spans="1:7">
      <c r="G12" s="83"/>
    </row>
    <row r="13" spans="1:7">
      <c r="A13" s="5" t="s">
        <v>52</v>
      </c>
      <c r="G13" s="83"/>
    </row>
    <row r="14" spans="1:7">
      <c r="A14" s="5"/>
      <c r="B14" t="s">
        <v>274</v>
      </c>
      <c r="G14" s="79">
        <v>733382</v>
      </c>
    </row>
    <row r="15" spans="1:7">
      <c r="A15" s="5"/>
      <c r="B15" t="s">
        <v>20</v>
      </c>
      <c r="G15" s="84">
        <v>1157501</v>
      </c>
    </row>
    <row r="16" spans="1:7">
      <c r="A16" s="5"/>
      <c r="B16" t="s">
        <v>396</v>
      </c>
      <c r="G16" s="84">
        <v>49332</v>
      </c>
    </row>
    <row r="17" spans="1:7">
      <c r="A17" s="5"/>
      <c r="B17" t="s">
        <v>397</v>
      </c>
      <c r="G17" s="79">
        <v>88421</v>
      </c>
    </row>
    <row r="18" spans="1:7">
      <c r="A18" s="5"/>
      <c r="B18" t="s">
        <v>398</v>
      </c>
      <c r="G18" s="83"/>
    </row>
    <row r="19" spans="1:7">
      <c r="A19" s="5"/>
      <c r="C19" t="s">
        <v>88</v>
      </c>
      <c r="G19" s="92">
        <v>113744</v>
      </c>
    </row>
    <row r="20" spans="1:7">
      <c r="C20" t="s">
        <v>89</v>
      </c>
      <c r="G20" s="77">
        <v>300699</v>
      </c>
    </row>
    <row r="21" spans="1:7">
      <c r="G21" s="81"/>
    </row>
    <row r="22" spans="1:7">
      <c r="C22" s="7" t="s">
        <v>33</v>
      </c>
      <c r="D22" s="8"/>
      <c r="E22" s="8"/>
      <c r="F22" s="8"/>
      <c r="G22" s="87">
        <f>SUM(G14:G20)</f>
        <v>2443079</v>
      </c>
    </row>
    <row r="23" spans="1:7">
      <c r="G23" s="83"/>
    </row>
    <row r="24" spans="1:7">
      <c r="A24" s="3" t="s">
        <v>35</v>
      </c>
      <c r="G24" s="83"/>
    </row>
    <row r="25" spans="1:7">
      <c r="B25" t="s">
        <v>61</v>
      </c>
      <c r="G25" s="88">
        <v>6680900</v>
      </c>
    </row>
    <row r="26" spans="1:7">
      <c r="B26" t="s">
        <v>69</v>
      </c>
      <c r="G26" s="93">
        <v>5213614</v>
      </c>
    </row>
    <row r="27" spans="1:7">
      <c r="G27" s="81"/>
    </row>
    <row r="28" spans="1:7">
      <c r="A28" s="3"/>
      <c r="B28" s="9" t="s">
        <v>42</v>
      </c>
      <c r="C28" s="9"/>
      <c r="D28" s="9"/>
      <c r="E28" s="9"/>
      <c r="F28" s="9"/>
      <c r="G28" s="94">
        <f>SUM(G25:G26)</f>
        <v>11894514</v>
      </c>
    </row>
    <row r="29" spans="1:7">
      <c r="G29" s="83"/>
    </row>
    <row r="30" spans="1:7">
      <c r="A30" s="3"/>
      <c r="B30" s="10" t="s">
        <v>43</v>
      </c>
      <c r="C30" s="10"/>
      <c r="D30" s="10"/>
      <c r="E30" s="10"/>
      <c r="F30" s="10"/>
      <c r="G30" s="95">
        <f>SUM(G22+G28)</f>
        <v>14337593</v>
      </c>
    </row>
    <row r="31" spans="1:7">
      <c r="G31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4"/>
  <sheetViews>
    <sheetView workbookViewId="0">
      <selection activeCell="H29" sqref="H29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399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5</v>
      </c>
      <c r="G6" s="77">
        <v>9467885</v>
      </c>
    </row>
    <row r="7" spans="1:7">
      <c r="B7" t="s">
        <v>6</v>
      </c>
      <c r="G7" s="84">
        <v>22471496</v>
      </c>
    </row>
    <row r="8" spans="1:7">
      <c r="B8" t="s">
        <v>400</v>
      </c>
      <c r="G8" s="78">
        <v>7666006</v>
      </c>
    </row>
    <row r="9" spans="1:7">
      <c r="B9" t="s">
        <v>401</v>
      </c>
      <c r="G9" s="90">
        <v>813998</v>
      </c>
    </row>
    <row r="10" spans="1:7">
      <c r="B10" t="s">
        <v>49</v>
      </c>
      <c r="G10" s="79">
        <v>11582</v>
      </c>
    </row>
    <row r="11" spans="1:7">
      <c r="B11" t="s">
        <v>12</v>
      </c>
      <c r="G11" s="83"/>
    </row>
    <row r="12" spans="1:7">
      <c r="C12" t="s">
        <v>402</v>
      </c>
      <c r="G12" s="80">
        <v>1775786</v>
      </c>
    </row>
    <row r="13" spans="1:7">
      <c r="C13" t="s">
        <v>389</v>
      </c>
      <c r="G13" s="91">
        <v>21184623</v>
      </c>
    </row>
    <row r="14" spans="1:7">
      <c r="G14" s="83"/>
    </row>
    <row r="15" spans="1:7">
      <c r="A15" s="5"/>
      <c r="B15" s="6" t="s">
        <v>15</v>
      </c>
      <c r="C15" s="6"/>
      <c r="D15" s="6"/>
      <c r="E15" s="6"/>
      <c r="F15" s="6"/>
      <c r="G15" s="82">
        <f>SUM(G6:G13)</f>
        <v>63391376</v>
      </c>
    </row>
    <row r="16" spans="1:7">
      <c r="G16" s="83"/>
    </row>
    <row r="17" spans="1:7">
      <c r="A17" s="5" t="s">
        <v>160</v>
      </c>
      <c r="G17" s="83"/>
    </row>
    <row r="18" spans="1:7">
      <c r="B18" t="s">
        <v>143</v>
      </c>
      <c r="G18" s="122">
        <v>7819</v>
      </c>
    </row>
    <row r="19" spans="1:7">
      <c r="G19" s="83"/>
    </row>
    <row r="20" spans="1:7">
      <c r="A20" s="5" t="s">
        <v>52</v>
      </c>
      <c r="G20" s="83"/>
    </row>
    <row r="21" spans="1:7">
      <c r="A21" s="5"/>
      <c r="B21" t="s">
        <v>20</v>
      </c>
      <c r="G21" s="84">
        <v>1255073</v>
      </c>
    </row>
    <row r="22" spans="1:7">
      <c r="A22" s="5"/>
      <c r="B22" t="s">
        <v>403</v>
      </c>
      <c r="G22" s="96">
        <v>720960</v>
      </c>
    </row>
    <row r="23" spans="1:7">
      <c r="A23" s="5"/>
      <c r="B23" t="s">
        <v>166</v>
      </c>
      <c r="G23" s="83"/>
    </row>
    <row r="24" spans="1:7">
      <c r="A24" s="5"/>
      <c r="C24" t="s">
        <v>404</v>
      </c>
      <c r="G24" s="83"/>
    </row>
    <row r="25" spans="1:7">
      <c r="A25" s="5"/>
      <c r="D25" t="s">
        <v>28</v>
      </c>
      <c r="G25" s="85">
        <v>487000</v>
      </c>
    </row>
    <row r="26" spans="1:7">
      <c r="A26" s="5"/>
      <c r="C26" t="s">
        <v>405</v>
      </c>
      <c r="G26" s="83"/>
    </row>
    <row r="27" spans="1:7">
      <c r="D27" t="s">
        <v>29</v>
      </c>
      <c r="G27" s="86">
        <v>107370</v>
      </c>
    </row>
    <row r="28" spans="1:7">
      <c r="D28" t="s">
        <v>28</v>
      </c>
      <c r="G28" s="78">
        <v>2989000</v>
      </c>
    </row>
    <row r="29" spans="1:7">
      <c r="C29" t="s">
        <v>406</v>
      </c>
      <c r="G29" s="83"/>
    </row>
    <row r="30" spans="1:7">
      <c r="D30" t="s">
        <v>407</v>
      </c>
      <c r="G30" s="79">
        <v>1677068</v>
      </c>
    </row>
    <row r="31" spans="1:7">
      <c r="G31" s="81"/>
    </row>
    <row r="32" spans="1:7">
      <c r="C32" s="7" t="s">
        <v>33</v>
      </c>
      <c r="D32" s="8"/>
      <c r="E32" s="8"/>
      <c r="F32" s="8"/>
      <c r="G32" s="87">
        <f>SUM(G21:G30)</f>
        <v>7236471</v>
      </c>
    </row>
    <row r="33" spans="1:7">
      <c r="G33" s="83"/>
    </row>
    <row r="34" spans="1:7">
      <c r="A34" s="3" t="s">
        <v>35</v>
      </c>
      <c r="G34" s="83"/>
    </row>
    <row r="35" spans="1:7">
      <c r="B35" t="s">
        <v>96</v>
      </c>
      <c r="G35" s="88">
        <v>22960409</v>
      </c>
    </row>
    <row r="36" spans="1:7">
      <c r="B36" t="s">
        <v>37</v>
      </c>
      <c r="G36" s="83"/>
    </row>
    <row r="37" spans="1:7">
      <c r="C37" t="s">
        <v>39</v>
      </c>
      <c r="G37" s="89">
        <v>1987642</v>
      </c>
    </row>
    <row r="38" spans="1:7">
      <c r="C38" t="s">
        <v>38</v>
      </c>
      <c r="G38" s="89">
        <v>1022397</v>
      </c>
    </row>
    <row r="39" spans="1:7">
      <c r="B39" t="s">
        <v>69</v>
      </c>
      <c r="G39" s="93">
        <v>30192276</v>
      </c>
    </row>
    <row r="40" spans="1:7">
      <c r="G40" s="81"/>
    </row>
    <row r="41" spans="1:7">
      <c r="A41" s="3"/>
      <c r="B41" s="9" t="s">
        <v>42</v>
      </c>
      <c r="C41" s="9"/>
      <c r="D41" s="9"/>
      <c r="E41" s="9"/>
      <c r="F41" s="9"/>
      <c r="G41" s="94">
        <f>SUM(G35:G39)</f>
        <v>56162724</v>
      </c>
    </row>
    <row r="42" spans="1:7">
      <c r="G42" s="83"/>
    </row>
    <row r="43" spans="1:7">
      <c r="A43" s="3"/>
      <c r="B43" s="10" t="s">
        <v>43</v>
      </c>
      <c r="C43" s="10"/>
      <c r="D43" s="10"/>
      <c r="E43" s="10"/>
      <c r="F43" s="10"/>
      <c r="G43" s="95">
        <f>SUM(G32+G41)</f>
        <v>63399195</v>
      </c>
    </row>
    <row r="44" spans="1:7">
      <c r="G44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51"/>
  <sheetViews>
    <sheetView zoomScale="70" zoomScaleNormal="70" zoomScalePageLayoutView="70" workbookViewId="0">
      <selection activeCell="K55" sqref="K55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710937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68" t="s">
        <v>408</v>
      </c>
      <c r="E1" s="268"/>
      <c r="F1" s="268"/>
      <c r="G1" s="268"/>
      <c r="H1" s="268"/>
      <c r="I1" s="97"/>
    </row>
    <row r="2" spans="1:11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</row>
    <row r="4" spans="1:11" ht="31.5" customHeight="1">
      <c r="H4" s="105" t="s">
        <v>45</v>
      </c>
      <c r="I4" s="105" t="s">
        <v>141</v>
      </c>
      <c r="J4" s="106" t="s">
        <v>73</v>
      </c>
      <c r="K4" s="5"/>
    </row>
    <row r="5" spans="1:11">
      <c r="A5" s="3" t="s">
        <v>4</v>
      </c>
      <c r="D5" s="3"/>
      <c r="G5" s="4"/>
      <c r="H5" s="4"/>
      <c r="I5" s="4"/>
    </row>
    <row r="6" spans="1:11">
      <c r="C6" t="s">
        <v>46</v>
      </c>
      <c r="H6" s="77">
        <v>9725487</v>
      </c>
      <c r="I6" s="83">
        <v>270166</v>
      </c>
      <c r="J6" s="83">
        <f t="shared" ref="J6:J16" si="0">SUM(H6:I6)</f>
        <v>9995653</v>
      </c>
    </row>
    <row r="7" spans="1:11">
      <c r="C7" t="s">
        <v>6</v>
      </c>
      <c r="H7" s="84">
        <v>3408123</v>
      </c>
      <c r="I7" s="83"/>
      <c r="J7" s="83">
        <f>SUM(H7:I7)</f>
        <v>3408123</v>
      </c>
    </row>
    <row r="8" spans="1:11">
      <c r="C8" t="s">
        <v>409</v>
      </c>
      <c r="H8" s="78">
        <v>913933</v>
      </c>
      <c r="I8" s="83">
        <v>12935</v>
      </c>
      <c r="J8" s="83">
        <f t="shared" si="0"/>
        <v>926868</v>
      </c>
    </row>
    <row r="9" spans="1:11">
      <c r="C9" t="s">
        <v>49</v>
      </c>
      <c r="H9" s="79">
        <v>227265</v>
      </c>
      <c r="I9" s="83"/>
      <c r="J9" s="83">
        <f>SUM(H9:I9)</f>
        <v>227265</v>
      </c>
    </row>
    <row r="10" spans="1:11">
      <c r="C10" t="s">
        <v>76</v>
      </c>
      <c r="H10" s="79">
        <v>22383</v>
      </c>
      <c r="I10" s="83">
        <v>-22383</v>
      </c>
      <c r="J10" s="83">
        <f t="shared" si="0"/>
        <v>0</v>
      </c>
    </row>
    <row r="11" spans="1:11">
      <c r="C11" t="s">
        <v>48</v>
      </c>
      <c r="H11" s="90">
        <v>11547592</v>
      </c>
      <c r="I11" s="83"/>
      <c r="J11" s="83">
        <f t="shared" si="0"/>
        <v>11547592</v>
      </c>
    </row>
    <row r="12" spans="1:11">
      <c r="C12" t="s">
        <v>410</v>
      </c>
      <c r="H12" s="90">
        <v>1116951</v>
      </c>
      <c r="I12" s="83"/>
      <c r="J12" s="83">
        <f>SUM(H12:I12)</f>
        <v>1116951</v>
      </c>
    </row>
    <row r="13" spans="1:11">
      <c r="C13" t="s">
        <v>411</v>
      </c>
      <c r="H13" s="79">
        <v>348050</v>
      </c>
      <c r="I13" s="83"/>
      <c r="J13" s="83">
        <f>SUM(H13:I13)</f>
        <v>348050</v>
      </c>
    </row>
    <row r="14" spans="1:11">
      <c r="C14" t="s">
        <v>115</v>
      </c>
      <c r="H14" s="79">
        <v>440288</v>
      </c>
      <c r="I14" s="83">
        <v>670</v>
      </c>
      <c r="J14" s="83">
        <f>SUM(H14:I14)</f>
        <v>440958</v>
      </c>
    </row>
    <row r="15" spans="1:11">
      <c r="C15" t="s">
        <v>77</v>
      </c>
      <c r="H15" s="83"/>
      <c r="I15" s="83"/>
      <c r="J15" s="83"/>
    </row>
    <row r="16" spans="1:11">
      <c r="D16" t="s">
        <v>5</v>
      </c>
      <c r="H16" s="77">
        <v>8774594</v>
      </c>
      <c r="I16" s="83">
        <v>92481</v>
      </c>
      <c r="J16" s="83">
        <f t="shared" si="0"/>
        <v>8867075</v>
      </c>
    </row>
    <row r="17" spans="1:10">
      <c r="C17" t="s">
        <v>412</v>
      </c>
      <c r="H17" s="83"/>
      <c r="I17" s="83"/>
      <c r="J17" s="83"/>
    </row>
    <row r="18" spans="1:10">
      <c r="D18" t="s">
        <v>13</v>
      </c>
      <c r="H18" s="80">
        <v>11551218</v>
      </c>
      <c r="I18" s="83">
        <v>64362</v>
      </c>
      <c r="J18" s="83">
        <f>SUM(H18:I18)</f>
        <v>11615580</v>
      </c>
    </row>
    <row r="19" spans="1:10">
      <c r="D19" t="s">
        <v>413</v>
      </c>
      <c r="H19" s="91">
        <v>131785254</v>
      </c>
      <c r="I19" s="83">
        <v>7811640</v>
      </c>
      <c r="J19" s="83">
        <f>SUM(H19:I19)</f>
        <v>139596894</v>
      </c>
    </row>
    <row r="20" spans="1:10">
      <c r="H20" s="83"/>
      <c r="I20" s="81"/>
      <c r="J20" s="81"/>
    </row>
    <row r="21" spans="1:10" s="5" customFormat="1">
      <c r="C21" s="6" t="s">
        <v>15</v>
      </c>
      <c r="D21" s="6"/>
      <c r="E21" s="6"/>
      <c r="F21" s="6"/>
      <c r="G21" s="6"/>
      <c r="H21" s="82">
        <f>SUM(H6:H19)</f>
        <v>179861138</v>
      </c>
      <c r="I21" s="82">
        <f>SUM(I6:I19)</f>
        <v>8229871</v>
      </c>
      <c r="J21" s="82">
        <f>SUM(J6:J19)</f>
        <v>188091009</v>
      </c>
    </row>
    <row r="22" spans="1:10">
      <c r="H22" s="83"/>
      <c r="I22" s="83"/>
      <c r="J22" s="83"/>
    </row>
    <row r="23" spans="1:10">
      <c r="B23" s="5" t="s">
        <v>16</v>
      </c>
      <c r="H23" s="83"/>
      <c r="I23" s="83"/>
      <c r="J23" s="83"/>
    </row>
    <row r="24" spans="1:10">
      <c r="C24" t="s">
        <v>414</v>
      </c>
      <c r="H24" s="83">
        <v>4057845</v>
      </c>
      <c r="I24" s="83"/>
      <c r="J24" s="83">
        <f>SUM(H24:I24)</f>
        <v>4057845</v>
      </c>
    </row>
    <row r="25" spans="1:10">
      <c r="H25" s="81"/>
      <c r="I25" s="81"/>
      <c r="J25" s="81"/>
    </row>
    <row r="26" spans="1:10">
      <c r="E26" s="149" t="s">
        <v>415</v>
      </c>
      <c r="F26" s="149"/>
      <c r="G26" s="149"/>
      <c r="H26" s="150">
        <f>SUM(H24)</f>
        <v>4057845</v>
      </c>
      <c r="I26" s="150">
        <f t="shared" ref="I26:J26" si="1">SUM(I24)</f>
        <v>0</v>
      </c>
      <c r="J26" s="150">
        <f t="shared" si="1"/>
        <v>4057845</v>
      </c>
    </row>
    <row r="27" spans="1:10">
      <c r="H27" s="83"/>
      <c r="I27" s="83"/>
      <c r="J27" s="83"/>
    </row>
    <row r="28" spans="1:10">
      <c r="A28" s="5" t="s">
        <v>52</v>
      </c>
      <c r="H28" s="83"/>
      <c r="I28" s="83"/>
      <c r="J28" s="83"/>
    </row>
    <row r="29" spans="1:10">
      <c r="C29" t="s">
        <v>147</v>
      </c>
      <c r="H29" s="84">
        <v>3799345</v>
      </c>
      <c r="I29" s="83">
        <v>23046</v>
      </c>
      <c r="J29" s="83">
        <f>SUM(H29:I29)</f>
        <v>3822391</v>
      </c>
    </row>
    <row r="30" spans="1:10">
      <c r="C30" t="s">
        <v>232</v>
      </c>
      <c r="H30" s="114">
        <v>503302</v>
      </c>
      <c r="I30" s="83"/>
      <c r="J30" s="83">
        <f>SUM(H30:I30)</f>
        <v>503302</v>
      </c>
    </row>
    <row r="31" spans="1:10">
      <c r="C31" t="s">
        <v>416</v>
      </c>
      <c r="H31" s="114">
        <v>136508</v>
      </c>
      <c r="I31" s="83"/>
      <c r="J31" s="83">
        <f>SUM(H31:I31)</f>
        <v>136508</v>
      </c>
    </row>
    <row r="32" spans="1:10">
      <c r="C32" t="s">
        <v>23</v>
      </c>
      <c r="H32" s="79">
        <v>19700</v>
      </c>
      <c r="I32" s="83"/>
      <c r="J32" s="83">
        <f>SUM(H32:I32)</f>
        <v>19700</v>
      </c>
    </row>
    <row r="33" spans="1:10">
      <c r="C33" t="s">
        <v>417</v>
      </c>
      <c r="H33" s="84">
        <v>1069109</v>
      </c>
      <c r="I33" s="83">
        <v>2546</v>
      </c>
      <c r="J33" s="83">
        <f>SUM(H33:I33)</f>
        <v>1071655</v>
      </c>
    </row>
    <row r="34" spans="1:10">
      <c r="C34" t="s">
        <v>418</v>
      </c>
      <c r="H34" s="83"/>
      <c r="I34" s="83"/>
      <c r="J34" s="83"/>
    </row>
    <row r="35" spans="1:10">
      <c r="E35" t="s">
        <v>88</v>
      </c>
      <c r="H35" s="92">
        <v>6948051</v>
      </c>
      <c r="I35" s="83">
        <v>92489</v>
      </c>
      <c r="J35" s="83">
        <f>SUM(H35:I35)</f>
        <v>7040540</v>
      </c>
    </row>
    <row r="36" spans="1:10">
      <c r="E36" t="s">
        <v>89</v>
      </c>
      <c r="H36" s="77">
        <v>79109380</v>
      </c>
      <c r="I36" s="83">
        <v>2401440</v>
      </c>
      <c r="J36" s="83">
        <f>SUM(H36:I36)</f>
        <v>81510820</v>
      </c>
    </row>
    <row r="37" spans="1:10">
      <c r="H37" s="81"/>
      <c r="I37" s="81"/>
      <c r="J37" s="81"/>
    </row>
    <row r="38" spans="1:10">
      <c r="D38" s="7" t="s">
        <v>33</v>
      </c>
      <c r="E38" s="8"/>
      <c r="F38" s="8"/>
      <c r="G38" s="8"/>
      <c r="H38" s="87">
        <f>SUM(H29:H36)</f>
        <v>91585395</v>
      </c>
      <c r="I38" s="87">
        <f>SUM(I29:I36)</f>
        <v>2519521</v>
      </c>
      <c r="J38" s="87">
        <f>SUM(J29:J36)</f>
        <v>94104916</v>
      </c>
    </row>
    <row r="39" spans="1:10">
      <c r="H39" s="83"/>
      <c r="I39" s="83"/>
      <c r="J39" s="83"/>
    </row>
    <row r="40" spans="1:10">
      <c r="A40" s="3" t="s">
        <v>35</v>
      </c>
      <c r="H40" s="83"/>
      <c r="I40" s="83"/>
      <c r="J40" s="83"/>
    </row>
    <row r="41" spans="1:10">
      <c r="B41" t="s">
        <v>96</v>
      </c>
      <c r="H41" s="152">
        <v>57658796</v>
      </c>
      <c r="I41" s="83">
        <v>5383440</v>
      </c>
      <c r="J41" s="83">
        <f>SUM(H41:I41)</f>
        <v>63042236</v>
      </c>
    </row>
    <row r="42" spans="1:10">
      <c r="B42" t="s">
        <v>37</v>
      </c>
      <c r="H42" s="83"/>
      <c r="I42" s="83"/>
      <c r="J42" s="83"/>
    </row>
    <row r="43" spans="1:10">
      <c r="C43" t="s">
        <v>298</v>
      </c>
      <c r="H43" s="89">
        <v>2452531</v>
      </c>
      <c r="I43" s="83"/>
      <c r="J43" s="83">
        <f t="shared" ref="J43:J47" si="2">SUM(H43:I43)</f>
        <v>2452531</v>
      </c>
    </row>
    <row r="44" spans="1:10">
      <c r="C44" t="s">
        <v>264</v>
      </c>
      <c r="H44" s="89">
        <v>91894</v>
      </c>
      <c r="I44" s="83"/>
      <c r="J44" s="83">
        <f t="shared" si="2"/>
        <v>91894</v>
      </c>
    </row>
    <row r="45" spans="1:10">
      <c r="C45" t="s">
        <v>311</v>
      </c>
      <c r="H45" s="89">
        <v>8524255</v>
      </c>
      <c r="I45" s="83"/>
      <c r="J45" s="83">
        <f t="shared" si="2"/>
        <v>8524255</v>
      </c>
    </row>
    <row r="46" spans="1:10">
      <c r="C46" t="s">
        <v>419</v>
      </c>
      <c r="H46" s="89">
        <v>90364</v>
      </c>
      <c r="I46" s="83"/>
      <c r="J46" s="83">
        <f t="shared" si="2"/>
        <v>90364</v>
      </c>
    </row>
    <row r="47" spans="1:10">
      <c r="B47" t="s">
        <v>69</v>
      </c>
      <c r="H47" s="93">
        <v>22515748</v>
      </c>
      <c r="I47" s="83">
        <v>326910</v>
      </c>
      <c r="J47" s="83">
        <f t="shared" si="2"/>
        <v>22842658</v>
      </c>
    </row>
    <row r="48" spans="1:10">
      <c r="H48" s="81"/>
      <c r="I48" s="81"/>
      <c r="J48" s="81"/>
    </row>
    <row r="49" spans="3:10" s="3" customFormat="1">
      <c r="C49" s="9" t="s">
        <v>100</v>
      </c>
      <c r="D49" s="9"/>
      <c r="E49" s="9"/>
      <c r="F49" s="9"/>
      <c r="G49" s="9"/>
      <c r="H49" s="94">
        <f>SUM(H41:H47)</f>
        <v>91333588</v>
      </c>
      <c r="I49" s="94">
        <f>SUM(I41:I47)</f>
        <v>5710350</v>
      </c>
      <c r="J49" s="94">
        <f>SUM(J40:J47)</f>
        <v>97043938</v>
      </c>
    </row>
    <row r="50" spans="3:10">
      <c r="H50" s="83"/>
      <c r="I50" s="83"/>
      <c r="J50" s="83"/>
    </row>
    <row r="51" spans="3:10">
      <c r="C51" s="10" t="s">
        <v>43</v>
      </c>
      <c r="D51" s="10"/>
      <c r="E51" s="10"/>
      <c r="F51" s="10"/>
      <c r="G51" s="10"/>
      <c r="H51" s="95">
        <f>H49+H38</f>
        <v>182918983</v>
      </c>
      <c r="I51" s="95">
        <f t="shared" ref="I51:J51" si="3">I49+I38</f>
        <v>8229871</v>
      </c>
      <c r="J51" s="95">
        <f t="shared" si="3"/>
        <v>191148854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4"/>
  <sheetViews>
    <sheetView zoomScale="90" zoomScaleNormal="90" zoomScalePageLayoutView="90" workbookViewId="0">
      <selection activeCell="B34" sqref="B34:G34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420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3" spans="1:7">
      <c r="G3" t="s">
        <v>2</v>
      </c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6060133</v>
      </c>
    </row>
    <row r="7" spans="1:7">
      <c r="B7" t="s">
        <v>6</v>
      </c>
      <c r="G7" s="84">
        <v>2972442</v>
      </c>
    </row>
    <row r="8" spans="1:7">
      <c r="B8" t="s">
        <v>291</v>
      </c>
      <c r="G8" s="78">
        <v>5117727</v>
      </c>
    </row>
    <row r="9" spans="1:7">
      <c r="B9" t="s">
        <v>119</v>
      </c>
      <c r="G9" s="91">
        <v>8087139</v>
      </c>
    </row>
    <row r="10" spans="1:7">
      <c r="G10" s="83"/>
    </row>
    <row r="11" spans="1:7">
      <c r="A11" s="5"/>
      <c r="B11" s="6" t="s">
        <v>15</v>
      </c>
      <c r="C11" s="6"/>
      <c r="D11" s="6"/>
      <c r="E11" s="6"/>
      <c r="F11" s="6"/>
      <c r="G11" s="82">
        <f>SUM(G6:G9)</f>
        <v>22237441</v>
      </c>
    </row>
    <row r="12" spans="1:7">
      <c r="G12" s="83"/>
    </row>
    <row r="13" spans="1:7">
      <c r="A13" s="5" t="s">
        <v>52</v>
      </c>
      <c r="G13" s="83"/>
    </row>
    <row r="14" spans="1:7">
      <c r="A14" s="5"/>
      <c r="B14" t="s">
        <v>421</v>
      </c>
      <c r="G14" s="84">
        <v>263534</v>
      </c>
    </row>
    <row r="15" spans="1:7">
      <c r="A15" s="5"/>
      <c r="B15" t="s">
        <v>109</v>
      </c>
      <c r="G15" s="83"/>
    </row>
    <row r="16" spans="1:7">
      <c r="A16" s="5"/>
      <c r="C16" t="s">
        <v>88</v>
      </c>
      <c r="G16" s="92">
        <v>36567</v>
      </c>
    </row>
    <row r="17" spans="1:7">
      <c r="A17" s="5"/>
      <c r="C17" t="s">
        <v>89</v>
      </c>
      <c r="G17" s="77">
        <v>536212</v>
      </c>
    </row>
    <row r="18" spans="1:7">
      <c r="G18" s="83"/>
    </row>
    <row r="19" spans="1:7">
      <c r="C19" s="7" t="s">
        <v>33</v>
      </c>
      <c r="D19" s="8"/>
      <c r="E19" s="8"/>
      <c r="F19" s="8"/>
      <c r="G19" s="87">
        <f>SUM(G14:G17)</f>
        <v>836313</v>
      </c>
    </row>
    <row r="20" spans="1:7">
      <c r="G20" s="83"/>
    </row>
    <row r="21" spans="1:7">
      <c r="A21" s="3" t="s">
        <v>35</v>
      </c>
      <c r="G21" s="83"/>
    </row>
    <row r="22" spans="1:7">
      <c r="B22" t="s">
        <v>61</v>
      </c>
      <c r="G22" s="88">
        <v>8004701</v>
      </c>
    </row>
    <row r="23" spans="1:7">
      <c r="B23" t="s">
        <v>37</v>
      </c>
      <c r="G23" s="83"/>
    </row>
    <row r="24" spans="1:7">
      <c r="C24" t="s">
        <v>259</v>
      </c>
      <c r="G24" s="89">
        <v>1374366</v>
      </c>
    </row>
    <row r="25" spans="1:7">
      <c r="C25" t="s">
        <v>422</v>
      </c>
      <c r="G25" s="89">
        <v>1373412</v>
      </c>
    </row>
    <row r="26" spans="1:7">
      <c r="C26" t="s">
        <v>263</v>
      </c>
      <c r="G26" s="89">
        <v>1223132</v>
      </c>
    </row>
    <row r="27" spans="1:7">
      <c r="C27" t="s">
        <v>423</v>
      </c>
      <c r="G27" s="89">
        <v>1782562</v>
      </c>
    </row>
    <row r="28" spans="1:7">
      <c r="C28" t="s">
        <v>424</v>
      </c>
      <c r="G28" s="89">
        <v>5802905</v>
      </c>
    </row>
    <row r="29" spans="1:7">
      <c r="C29" t="s">
        <v>425</v>
      </c>
      <c r="G29" s="89">
        <v>1713590</v>
      </c>
    </row>
    <row r="30" spans="1:7">
      <c r="B30" t="s">
        <v>69</v>
      </c>
      <c r="G30" s="93">
        <v>126460</v>
      </c>
    </row>
    <row r="31" spans="1:7">
      <c r="G31" s="81"/>
    </row>
    <row r="32" spans="1:7">
      <c r="A32" s="3"/>
      <c r="B32" s="9" t="s">
        <v>100</v>
      </c>
      <c r="C32" s="9"/>
      <c r="D32" s="9"/>
      <c r="E32" s="9"/>
      <c r="F32" s="9"/>
      <c r="G32" s="94">
        <f>SUM(G22:G30)</f>
        <v>21401128</v>
      </c>
    </row>
    <row r="33" spans="2:7">
      <c r="G33" s="83"/>
    </row>
    <row r="34" spans="2:7">
      <c r="B34" s="10" t="s">
        <v>43</v>
      </c>
      <c r="C34" s="10"/>
      <c r="D34" s="10"/>
      <c r="E34" s="10"/>
      <c r="F34" s="10"/>
      <c r="G34" s="95">
        <f>G32+G19</f>
        <v>22237441</v>
      </c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4"/>
  <sheetViews>
    <sheetView workbookViewId="0">
      <selection activeCell="I15" sqref="I15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426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5</v>
      </c>
      <c r="G6" s="77">
        <v>4184992</v>
      </c>
    </row>
    <row r="7" spans="1:7">
      <c r="B7" t="s">
        <v>6</v>
      </c>
      <c r="G7" s="84">
        <v>540000</v>
      </c>
    </row>
    <row r="8" spans="1:7">
      <c r="B8" t="s">
        <v>47</v>
      </c>
      <c r="G8" s="78">
        <v>2375399</v>
      </c>
    </row>
    <row r="9" spans="1:7">
      <c r="B9" t="s">
        <v>12</v>
      </c>
      <c r="G9" s="83"/>
    </row>
    <row r="10" spans="1:7">
      <c r="C10" t="s">
        <v>128</v>
      </c>
      <c r="G10" s="80">
        <v>778626</v>
      </c>
    </row>
    <row r="11" spans="1:7">
      <c r="C11" t="s">
        <v>159</v>
      </c>
      <c r="G11" s="91">
        <v>12615791</v>
      </c>
    </row>
    <row r="12" spans="1:7">
      <c r="G12" s="83"/>
    </row>
    <row r="13" spans="1:7">
      <c r="A13" s="5"/>
      <c r="B13" s="6" t="s">
        <v>15</v>
      </c>
      <c r="C13" s="6"/>
      <c r="D13" s="6"/>
      <c r="E13" s="6"/>
      <c r="F13" s="6"/>
      <c r="G13" s="82">
        <f>SUM(G6:G11)</f>
        <v>20494808</v>
      </c>
    </row>
    <row r="14" spans="1:7">
      <c r="G14" s="83"/>
    </row>
    <row r="15" spans="1:7">
      <c r="A15" s="5" t="s">
        <v>52</v>
      </c>
      <c r="G15" s="83"/>
    </row>
    <row r="16" spans="1:7">
      <c r="A16" s="5"/>
      <c r="B16" t="s">
        <v>427</v>
      </c>
      <c r="G16" s="79">
        <v>2120878</v>
      </c>
    </row>
    <row r="17" spans="1:7">
      <c r="B17" t="s">
        <v>20</v>
      </c>
      <c r="G17" s="84">
        <v>250637</v>
      </c>
    </row>
    <row r="18" spans="1:7">
      <c r="B18" t="s">
        <v>428</v>
      </c>
      <c r="G18" s="84">
        <v>27645</v>
      </c>
    </row>
    <row r="19" spans="1:7">
      <c r="B19" t="s">
        <v>109</v>
      </c>
      <c r="G19" s="83"/>
    </row>
    <row r="20" spans="1:7">
      <c r="C20" t="s">
        <v>88</v>
      </c>
      <c r="G20" s="92">
        <v>37425</v>
      </c>
    </row>
    <row r="21" spans="1:7">
      <c r="G21" s="81"/>
    </row>
    <row r="22" spans="1:7">
      <c r="C22" s="7" t="s">
        <v>33</v>
      </c>
      <c r="D22" s="8"/>
      <c r="E22" s="8"/>
      <c r="F22" s="8"/>
      <c r="G22" s="87">
        <f>SUM(G16:G20)</f>
        <v>2436585</v>
      </c>
    </row>
    <row r="23" spans="1:7">
      <c r="G23" s="83"/>
    </row>
    <row r="24" spans="1:7">
      <c r="A24" s="5" t="s">
        <v>91</v>
      </c>
      <c r="G24" s="83"/>
    </row>
    <row r="25" spans="1:7">
      <c r="B25" t="s">
        <v>429</v>
      </c>
      <c r="G25" s="83">
        <v>2092447</v>
      </c>
    </row>
    <row r="26" spans="1:7">
      <c r="G26" s="83"/>
    </row>
    <row r="27" spans="1:7">
      <c r="A27" s="3" t="s">
        <v>95</v>
      </c>
      <c r="G27" s="83"/>
    </row>
    <row r="28" spans="1:7">
      <c r="B28" t="s">
        <v>430</v>
      </c>
      <c r="G28" s="88">
        <v>13394417</v>
      </c>
    </row>
    <row r="29" spans="1:7">
      <c r="B29" t="s">
        <v>431</v>
      </c>
      <c r="G29" s="89">
        <v>4444717</v>
      </c>
    </row>
    <row r="30" spans="1:7">
      <c r="B30" t="s">
        <v>384</v>
      </c>
      <c r="G30" s="93">
        <v>-1873358</v>
      </c>
    </row>
    <row r="31" spans="1:7">
      <c r="G31" s="81"/>
    </row>
    <row r="32" spans="1:7">
      <c r="A32" s="3"/>
      <c r="B32" s="9" t="s">
        <v>100</v>
      </c>
      <c r="C32" s="9"/>
      <c r="D32" s="9"/>
      <c r="E32" s="9"/>
      <c r="F32" s="9"/>
      <c r="G32" s="94">
        <f>SUM(G28:G30)</f>
        <v>15965776</v>
      </c>
    </row>
    <row r="33" spans="2:7">
      <c r="G33" s="83"/>
    </row>
    <row r="34" spans="2:7">
      <c r="B34" s="10" t="s">
        <v>43</v>
      </c>
      <c r="C34" s="10"/>
      <c r="D34" s="10"/>
      <c r="E34" s="10"/>
      <c r="F34" s="10"/>
      <c r="G34" s="95">
        <f>G32+G22</f>
        <v>18402361</v>
      </c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41"/>
  <sheetViews>
    <sheetView zoomScale="70" zoomScaleNormal="70" zoomScalePageLayoutView="70" workbookViewId="0">
      <selection activeCell="K41" sqref="K41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" customWidth="1"/>
    <col min="8" max="8" width="17.140625" customWidth="1"/>
  </cols>
  <sheetData>
    <row r="1" spans="1:8" ht="18.75" customHeight="1">
      <c r="A1" s="1"/>
      <c r="B1" s="1"/>
      <c r="C1" s="1"/>
      <c r="D1" s="268" t="s">
        <v>432</v>
      </c>
      <c r="E1" s="268"/>
      <c r="F1" s="268"/>
      <c r="G1" s="268"/>
      <c r="H1" s="268"/>
    </row>
    <row r="2" spans="1:8" ht="15.75" customHeight="1">
      <c r="A2" s="1"/>
      <c r="B2" s="1"/>
      <c r="C2" s="1"/>
      <c r="D2" s="266" t="s">
        <v>1</v>
      </c>
      <c r="E2" s="266"/>
      <c r="F2" s="266"/>
      <c r="G2" s="266"/>
      <c r="H2" s="266"/>
    </row>
    <row r="4" spans="1:8" ht="40.5" customHeight="1">
      <c r="H4" s="105" t="s">
        <v>45</v>
      </c>
    </row>
    <row r="5" spans="1:8">
      <c r="A5" s="3" t="s">
        <v>4</v>
      </c>
      <c r="D5" s="3"/>
      <c r="G5" s="4"/>
      <c r="H5" s="4"/>
    </row>
    <row r="6" spans="1:8">
      <c r="A6" s="3"/>
      <c r="B6" s="5" t="s">
        <v>74</v>
      </c>
      <c r="D6" s="3"/>
      <c r="G6" s="4"/>
      <c r="H6" s="76"/>
    </row>
    <row r="7" spans="1:8">
      <c r="C7" t="s">
        <v>46</v>
      </c>
      <c r="H7" s="77">
        <v>7337945</v>
      </c>
    </row>
    <row r="8" spans="1:8">
      <c r="C8" t="s">
        <v>433</v>
      </c>
      <c r="H8" s="78">
        <v>6092207</v>
      </c>
    </row>
    <row r="9" spans="1:8">
      <c r="H9" s="83"/>
    </row>
    <row r="10" spans="1:8" s="5" customFormat="1">
      <c r="C10" s="102" t="s">
        <v>15</v>
      </c>
      <c r="D10" s="102"/>
      <c r="E10" s="102"/>
      <c r="F10" s="102"/>
      <c r="G10" s="102"/>
      <c r="H10" s="103">
        <f>SUM(H7:H8)</f>
        <v>13430152</v>
      </c>
    </row>
    <row r="11" spans="1:8">
      <c r="H11" s="83"/>
    </row>
    <row r="12" spans="1:8">
      <c r="H12" s="83"/>
    </row>
    <row r="13" spans="1:8" s="5" customFormat="1">
      <c r="B13" s="5" t="s">
        <v>355</v>
      </c>
      <c r="H13" s="100"/>
    </row>
    <row r="14" spans="1:8">
      <c r="C14" t="s">
        <v>412</v>
      </c>
      <c r="H14" s="80">
        <v>10548209</v>
      </c>
    </row>
    <row r="15" spans="1:8">
      <c r="H15" s="83"/>
    </row>
    <row r="16" spans="1:8" s="5" customFormat="1">
      <c r="C16" s="102" t="s">
        <v>15</v>
      </c>
      <c r="D16" s="102"/>
      <c r="E16" s="102"/>
      <c r="F16" s="102"/>
      <c r="G16" s="102"/>
      <c r="H16" s="103">
        <f>H14+H10</f>
        <v>23978361</v>
      </c>
    </row>
    <row r="17" spans="1:8">
      <c r="H17" s="83"/>
    </row>
    <row r="18" spans="1:8">
      <c r="A18" s="5" t="s">
        <v>52</v>
      </c>
      <c r="H18" s="83"/>
    </row>
    <row r="19" spans="1:8">
      <c r="A19" s="5"/>
      <c r="B19" s="5" t="s">
        <v>434</v>
      </c>
      <c r="H19" s="128"/>
    </row>
    <row r="20" spans="1:8">
      <c r="A20" s="5"/>
      <c r="B20" s="5"/>
      <c r="C20" t="s">
        <v>435</v>
      </c>
      <c r="H20" s="107">
        <v>10015</v>
      </c>
    </row>
    <row r="21" spans="1:8">
      <c r="C21" t="s">
        <v>20</v>
      </c>
      <c r="H21" s="84">
        <v>564289</v>
      </c>
    </row>
    <row r="22" spans="1:8">
      <c r="C22" t="s">
        <v>84</v>
      </c>
      <c r="H22" s="151">
        <v>75976</v>
      </c>
    </row>
    <row r="23" spans="1:8">
      <c r="C23" t="s">
        <v>436</v>
      </c>
      <c r="H23" s="157">
        <v>834223</v>
      </c>
    </row>
    <row r="24" spans="1:8">
      <c r="H24" s="83"/>
    </row>
    <row r="25" spans="1:8">
      <c r="D25" s="102" t="s">
        <v>123</v>
      </c>
      <c r="E25" s="104"/>
      <c r="F25" s="104"/>
      <c r="G25" s="104"/>
      <c r="H25" s="103">
        <f>SUM(H19:H23)</f>
        <v>1484503</v>
      </c>
    </row>
    <row r="26" spans="1:8" ht="15.75" customHeight="1">
      <c r="H26" s="83"/>
    </row>
    <row r="27" spans="1:8" ht="15.75" customHeight="1">
      <c r="B27" s="5" t="s">
        <v>437</v>
      </c>
      <c r="H27" s="83"/>
    </row>
    <row r="28" spans="1:8" ht="15.75" customHeight="1">
      <c r="B28" s="5"/>
      <c r="C28" t="s">
        <v>438</v>
      </c>
      <c r="H28" s="79">
        <v>134639</v>
      </c>
    </row>
    <row r="29" spans="1:8" ht="15.75" customHeight="1">
      <c r="C29" t="s">
        <v>439</v>
      </c>
      <c r="H29" s="79">
        <v>653106</v>
      </c>
    </row>
    <row r="30" spans="1:8" ht="15.75" customHeight="1">
      <c r="H30" s="83"/>
    </row>
    <row r="31" spans="1:8" s="5" customFormat="1" ht="15.75" customHeight="1">
      <c r="D31" s="102" t="s">
        <v>440</v>
      </c>
      <c r="E31" s="102"/>
      <c r="F31" s="102"/>
      <c r="G31" s="102"/>
      <c r="H31" s="103">
        <f>SUM(H28:H29)</f>
        <v>787745</v>
      </c>
    </row>
    <row r="32" spans="1:8" s="5" customFormat="1" ht="15.75" customHeight="1">
      <c r="H32" s="100"/>
    </row>
    <row r="33" spans="1:8" s="5" customFormat="1" ht="15.75" customHeight="1">
      <c r="D33" s="102"/>
      <c r="E33" s="102" t="s">
        <v>33</v>
      </c>
      <c r="F33" s="102"/>
      <c r="G33" s="102"/>
      <c r="H33" s="103">
        <f>H31+H25</f>
        <v>2272248</v>
      </c>
    </row>
    <row r="34" spans="1:8" ht="15.75" customHeight="1">
      <c r="H34" s="83"/>
    </row>
    <row r="35" spans="1:8">
      <c r="A35" s="3" t="s">
        <v>95</v>
      </c>
      <c r="H35" s="83"/>
    </row>
    <row r="36" spans="1:8">
      <c r="B36" t="s">
        <v>96</v>
      </c>
      <c r="H36" s="88">
        <v>10548209</v>
      </c>
    </row>
    <row r="37" spans="1:8">
      <c r="B37" t="s">
        <v>69</v>
      </c>
      <c r="H37" s="93">
        <v>11157904</v>
      </c>
    </row>
    <row r="38" spans="1:8">
      <c r="H38" s="83"/>
    </row>
    <row r="39" spans="1:8" s="3" customFormat="1">
      <c r="C39" s="9" t="s">
        <v>100</v>
      </c>
      <c r="D39" s="9"/>
      <c r="E39" s="9"/>
      <c r="F39" s="9"/>
      <c r="G39" s="9"/>
      <c r="H39" s="94">
        <f>SUM(H36:H37)</f>
        <v>21706113</v>
      </c>
    </row>
    <row r="40" spans="1:8">
      <c r="H40" s="83"/>
    </row>
    <row r="41" spans="1:8">
      <c r="C41" s="10" t="s">
        <v>43</v>
      </c>
      <c r="D41" s="10"/>
      <c r="E41" s="10"/>
      <c r="F41" s="10"/>
      <c r="G41" s="10"/>
      <c r="H41" s="95">
        <f>H39+H25</f>
        <v>23190616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1"/>
  <sheetViews>
    <sheetView zoomScale="70" zoomScaleNormal="70" zoomScalePageLayoutView="70" workbookViewId="0">
      <selection activeCell="M4" sqref="M4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8.28515625" customWidth="1"/>
    <col min="10" max="10" width="17.140625" customWidth="1"/>
  </cols>
  <sheetData>
    <row r="1" spans="1:10" ht="18.75" customHeight="1">
      <c r="A1" s="1"/>
      <c r="B1" s="1"/>
      <c r="C1" s="1"/>
      <c r="D1" s="268" t="s">
        <v>432</v>
      </c>
      <c r="E1" s="268"/>
      <c r="F1" s="268"/>
      <c r="G1" s="268"/>
      <c r="H1" s="268"/>
    </row>
    <row r="2" spans="1:10" ht="15.75" customHeight="1">
      <c r="A2" s="1"/>
      <c r="B2" s="1"/>
      <c r="C2" s="1"/>
      <c r="D2" s="266" t="s">
        <v>1</v>
      </c>
      <c r="E2" s="266"/>
      <c r="F2" s="266"/>
      <c r="G2" s="266"/>
      <c r="H2" s="266"/>
    </row>
    <row r="4" spans="1:10" ht="40.5" customHeight="1">
      <c r="H4" s="105" t="s">
        <v>45</v>
      </c>
      <c r="I4" s="153" t="s">
        <v>441</v>
      </c>
      <c r="J4" s="154" t="s">
        <v>73</v>
      </c>
    </row>
    <row r="5" spans="1:10">
      <c r="A5" s="3" t="s">
        <v>4</v>
      </c>
      <c r="D5" s="3"/>
      <c r="G5" s="4"/>
      <c r="H5" s="4"/>
    </row>
    <row r="6" spans="1:10">
      <c r="A6" s="3"/>
      <c r="B6" s="5" t="s">
        <v>74</v>
      </c>
      <c r="D6" s="3"/>
      <c r="G6" s="4"/>
      <c r="H6" s="76"/>
    </row>
    <row r="7" spans="1:10">
      <c r="C7" t="s">
        <v>46</v>
      </c>
      <c r="H7" s="77">
        <v>28619219</v>
      </c>
      <c r="I7">
        <v>4396086</v>
      </c>
      <c r="J7" s="83">
        <f>SUM(H7:I7)</f>
        <v>33015305</v>
      </c>
    </row>
    <row r="8" spans="1:10">
      <c r="C8" t="s">
        <v>433</v>
      </c>
      <c r="H8" s="78">
        <v>2081947</v>
      </c>
      <c r="I8">
        <v>4072402</v>
      </c>
      <c r="J8" s="83">
        <f t="shared" ref="J8:J24" si="0">SUM(H8:I8)</f>
        <v>6154349</v>
      </c>
    </row>
    <row r="9" spans="1:10">
      <c r="C9" t="s">
        <v>442</v>
      </c>
      <c r="H9" s="159"/>
      <c r="J9" s="83">
        <f t="shared" si="0"/>
        <v>0</v>
      </c>
    </row>
    <row r="10" spans="1:10">
      <c r="C10" t="s">
        <v>443</v>
      </c>
      <c r="H10" s="79">
        <v>28871</v>
      </c>
      <c r="I10">
        <v>1374428</v>
      </c>
      <c r="J10" s="83">
        <f t="shared" si="0"/>
        <v>1403299</v>
      </c>
    </row>
    <row r="11" spans="1:10">
      <c r="C11" t="s">
        <v>444</v>
      </c>
      <c r="H11" s="79">
        <v>10990</v>
      </c>
      <c r="I11">
        <v>84948</v>
      </c>
      <c r="J11" s="83">
        <f t="shared" si="0"/>
        <v>95938</v>
      </c>
    </row>
    <row r="12" spans="1:10">
      <c r="C12" t="s">
        <v>445</v>
      </c>
      <c r="H12" s="83"/>
      <c r="J12" s="83">
        <f t="shared" si="0"/>
        <v>0</v>
      </c>
    </row>
    <row r="13" spans="1:10">
      <c r="D13" t="s">
        <v>446</v>
      </c>
      <c r="H13" s="83"/>
      <c r="J13" s="83">
        <f t="shared" si="0"/>
        <v>0</v>
      </c>
    </row>
    <row r="14" spans="1:10">
      <c r="C14" s="5" t="s">
        <v>447</v>
      </c>
      <c r="H14" s="83"/>
      <c r="J14" s="83">
        <f t="shared" si="0"/>
        <v>0</v>
      </c>
    </row>
    <row r="15" spans="1:10">
      <c r="D15" t="s">
        <v>128</v>
      </c>
      <c r="H15" s="80">
        <v>7633862</v>
      </c>
      <c r="I15">
        <v>758408</v>
      </c>
      <c r="J15" s="83">
        <f t="shared" si="0"/>
        <v>8392270</v>
      </c>
    </row>
    <row r="16" spans="1:10">
      <c r="D16" t="s">
        <v>448</v>
      </c>
      <c r="H16" s="80">
        <v>16656061</v>
      </c>
      <c r="I16">
        <v>1899439</v>
      </c>
      <c r="J16" s="83">
        <f t="shared" si="0"/>
        <v>18555500</v>
      </c>
    </row>
    <row r="17" spans="1:10">
      <c r="D17" t="s">
        <v>449</v>
      </c>
      <c r="H17" s="80">
        <v>2743172</v>
      </c>
      <c r="I17">
        <v>10140956</v>
      </c>
      <c r="J17" s="83">
        <f t="shared" si="0"/>
        <v>12884128</v>
      </c>
    </row>
    <row r="18" spans="1:10">
      <c r="D18" t="s">
        <v>450</v>
      </c>
      <c r="H18" s="80">
        <v>5516668</v>
      </c>
      <c r="I18">
        <v>1493423</v>
      </c>
      <c r="J18" s="83">
        <f t="shared" si="0"/>
        <v>7010091</v>
      </c>
    </row>
    <row r="19" spans="1:10">
      <c r="D19" t="s">
        <v>78</v>
      </c>
      <c r="H19" s="80">
        <v>905568</v>
      </c>
      <c r="I19">
        <v>310366</v>
      </c>
      <c r="J19" s="83">
        <f t="shared" si="0"/>
        <v>1215934</v>
      </c>
    </row>
    <row r="20" spans="1:10">
      <c r="D20" t="s">
        <v>451</v>
      </c>
      <c r="H20" s="80">
        <v>92561315</v>
      </c>
      <c r="J20" s="83">
        <f t="shared" si="0"/>
        <v>92561315</v>
      </c>
    </row>
    <row r="21" spans="1:10">
      <c r="D21" t="s">
        <v>452</v>
      </c>
      <c r="H21" s="80">
        <v>11191156</v>
      </c>
      <c r="J21" s="83">
        <f t="shared" si="0"/>
        <v>11191156</v>
      </c>
    </row>
    <row r="22" spans="1:10">
      <c r="D22" t="s">
        <v>453</v>
      </c>
      <c r="H22" s="80">
        <v>1688203</v>
      </c>
      <c r="J22" s="83">
        <f t="shared" si="0"/>
        <v>1688203</v>
      </c>
    </row>
    <row r="23" spans="1:10">
      <c r="D23" t="s">
        <v>454</v>
      </c>
      <c r="H23" s="83"/>
      <c r="J23" s="83">
        <f t="shared" si="0"/>
        <v>0</v>
      </c>
    </row>
    <row r="24" spans="1:10">
      <c r="D24" t="s">
        <v>455</v>
      </c>
      <c r="H24" s="80">
        <v>-102602577</v>
      </c>
      <c r="J24" s="83">
        <f t="shared" si="0"/>
        <v>-102602577</v>
      </c>
    </row>
    <row r="25" spans="1:10">
      <c r="H25" s="83"/>
      <c r="J25" s="83"/>
    </row>
    <row r="26" spans="1:10" s="5" customFormat="1">
      <c r="C26" s="102" t="s">
        <v>15</v>
      </c>
      <c r="D26" s="102"/>
      <c r="E26" s="102"/>
      <c r="F26" s="102"/>
      <c r="G26" s="102"/>
      <c r="H26" s="103">
        <f>SUM(H7:H24)</f>
        <v>67034455</v>
      </c>
      <c r="I26" s="103">
        <f t="shared" ref="I26:J26" si="1">SUM(I7:I24)</f>
        <v>24530456</v>
      </c>
      <c r="J26" s="103">
        <f t="shared" si="1"/>
        <v>91564911</v>
      </c>
    </row>
    <row r="27" spans="1:10">
      <c r="H27" s="83"/>
    </row>
    <row r="28" spans="1:10">
      <c r="A28" s="5" t="s">
        <v>52</v>
      </c>
      <c r="H28" s="83"/>
    </row>
    <row r="29" spans="1:10">
      <c r="A29" s="5"/>
      <c r="C29" t="s">
        <v>274</v>
      </c>
      <c r="H29" s="107">
        <v>1234953</v>
      </c>
      <c r="J29" s="83">
        <f>SUM(H29:I29)</f>
        <v>1234953</v>
      </c>
    </row>
    <row r="30" spans="1:10">
      <c r="C30" t="s">
        <v>20</v>
      </c>
      <c r="H30" s="84">
        <v>776327</v>
      </c>
      <c r="I30">
        <v>1866255</v>
      </c>
      <c r="J30" s="83">
        <f t="shared" ref="J30:J41" si="2">SUM(H30:I30)</f>
        <v>2642582</v>
      </c>
    </row>
    <row r="31" spans="1:10">
      <c r="C31" t="s">
        <v>84</v>
      </c>
      <c r="H31" s="151">
        <v>216533</v>
      </c>
      <c r="I31">
        <v>69861</v>
      </c>
      <c r="J31" s="83">
        <f t="shared" si="2"/>
        <v>286394</v>
      </c>
    </row>
    <row r="32" spans="1:10">
      <c r="C32" t="s">
        <v>456</v>
      </c>
      <c r="H32" s="84">
        <v>1066501</v>
      </c>
      <c r="I32">
        <v>18527</v>
      </c>
      <c r="J32" s="83">
        <f t="shared" si="2"/>
        <v>1085028</v>
      </c>
    </row>
    <row r="33" spans="1:10">
      <c r="C33" t="s">
        <v>457</v>
      </c>
      <c r="H33" s="128"/>
      <c r="J33" s="83"/>
    </row>
    <row r="34" spans="1:10">
      <c r="D34" t="s">
        <v>458</v>
      </c>
      <c r="H34" s="20"/>
      <c r="I34">
        <v>1185000</v>
      </c>
      <c r="J34" s="83">
        <f t="shared" si="2"/>
        <v>1185000</v>
      </c>
    </row>
    <row r="35" spans="1:10">
      <c r="D35" t="s">
        <v>459</v>
      </c>
      <c r="H35" s="20"/>
      <c r="I35">
        <v>828561</v>
      </c>
      <c r="J35" s="83">
        <f t="shared" si="2"/>
        <v>828561</v>
      </c>
    </row>
    <row r="36" spans="1:10">
      <c r="C36" t="s">
        <v>460</v>
      </c>
      <c r="H36" s="128"/>
      <c r="J36" s="83">
        <f t="shared" si="2"/>
        <v>0</v>
      </c>
    </row>
    <row r="37" spans="1:10">
      <c r="D37" t="s">
        <v>461</v>
      </c>
      <c r="H37" s="155">
        <v>408096</v>
      </c>
      <c r="J37" s="83">
        <f t="shared" si="2"/>
        <v>408096</v>
      </c>
    </row>
    <row r="38" spans="1:10">
      <c r="D38" t="s">
        <v>462</v>
      </c>
      <c r="H38" s="156">
        <v>3883262</v>
      </c>
      <c r="J38" s="83">
        <f t="shared" si="2"/>
        <v>3883262</v>
      </c>
    </row>
    <row r="39" spans="1:10">
      <c r="C39" t="s">
        <v>463</v>
      </c>
      <c r="H39" s="157">
        <v>647980</v>
      </c>
      <c r="I39">
        <v>193531</v>
      </c>
      <c r="J39" s="83">
        <f t="shared" si="2"/>
        <v>841511</v>
      </c>
    </row>
    <row r="40" spans="1:10">
      <c r="C40" t="s">
        <v>464</v>
      </c>
      <c r="H40" s="157">
        <v>2056016</v>
      </c>
      <c r="I40">
        <v>560912</v>
      </c>
      <c r="J40" s="83">
        <f t="shared" si="2"/>
        <v>2616928</v>
      </c>
    </row>
    <row r="41" spans="1:10">
      <c r="H41" s="83"/>
      <c r="J41" s="83">
        <f t="shared" si="2"/>
        <v>0</v>
      </c>
    </row>
    <row r="42" spans="1:10">
      <c r="D42" s="102" t="s">
        <v>123</v>
      </c>
      <c r="E42" s="104"/>
      <c r="F42" s="104"/>
      <c r="G42" s="104"/>
      <c r="H42" s="103">
        <f>SUM(H29:H40)</f>
        <v>10289668</v>
      </c>
      <c r="I42" s="103">
        <f>SUM(I29:I40)</f>
        <v>4722647</v>
      </c>
      <c r="J42" s="103">
        <f>SUM(J29:J40)</f>
        <v>15012315</v>
      </c>
    </row>
    <row r="43" spans="1:10" ht="15.75" customHeight="1">
      <c r="H43" s="83"/>
    </row>
    <row r="44" spans="1:10">
      <c r="A44" s="3" t="s">
        <v>95</v>
      </c>
      <c r="H44" s="83"/>
    </row>
    <row r="45" spans="1:10">
      <c r="B45" t="s">
        <v>96</v>
      </c>
      <c r="H45" s="88">
        <v>32002070</v>
      </c>
      <c r="I45">
        <v>41908967</v>
      </c>
      <c r="J45" s="83">
        <f>SUM(H45:I45)</f>
        <v>73911037</v>
      </c>
    </row>
    <row r="46" spans="1:10">
      <c r="B46" t="s">
        <v>235</v>
      </c>
      <c r="H46" s="158">
        <v>4291358</v>
      </c>
      <c r="I46">
        <v>1185000</v>
      </c>
      <c r="J46" s="83">
        <f t="shared" ref="J46" si="3">SUM(H46:I46)</f>
        <v>5476358</v>
      </c>
    </row>
    <row r="47" spans="1:10">
      <c r="B47" t="s">
        <v>69</v>
      </c>
      <c r="H47" s="93">
        <v>20451359</v>
      </c>
      <c r="I47">
        <v>27117378</v>
      </c>
      <c r="J47" s="83">
        <f>SUM(H47:I47)</f>
        <v>47568737</v>
      </c>
    </row>
    <row r="48" spans="1:10">
      <c r="H48" s="83"/>
    </row>
    <row r="49" spans="3:10" s="3" customFormat="1">
      <c r="C49" s="9" t="s">
        <v>100</v>
      </c>
      <c r="D49" s="9"/>
      <c r="E49" s="9"/>
      <c r="F49" s="9"/>
      <c r="G49" s="9"/>
      <c r="H49" s="94">
        <f>SUM(H45:H47)</f>
        <v>56744787</v>
      </c>
      <c r="I49" s="94">
        <f t="shared" ref="I49:J49" si="4">SUM(I45:I47)</f>
        <v>70211345</v>
      </c>
      <c r="J49" s="94">
        <f t="shared" si="4"/>
        <v>126956132</v>
      </c>
    </row>
    <row r="50" spans="3:10">
      <c r="H50" s="83"/>
    </row>
    <row r="51" spans="3:10">
      <c r="C51" s="10" t="s">
        <v>43</v>
      </c>
      <c r="D51" s="10"/>
      <c r="E51" s="10"/>
      <c r="F51" s="10"/>
      <c r="G51" s="10"/>
      <c r="H51" s="95">
        <f>H49+H42</f>
        <v>67034455</v>
      </c>
      <c r="I51" s="95">
        <f t="shared" ref="I51:J51" si="5">I49+I42</f>
        <v>74933992</v>
      </c>
      <c r="J51" s="95">
        <f t="shared" si="5"/>
        <v>141968447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54"/>
  <sheetViews>
    <sheetView zoomScale="80" zoomScaleNormal="80" zoomScalePageLayoutView="80" workbookViewId="0">
      <selection activeCell="C54" sqref="C54:I54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68" t="s">
        <v>465</v>
      </c>
      <c r="E1" s="268"/>
      <c r="F1" s="268"/>
      <c r="G1" s="268"/>
      <c r="H1" s="268"/>
    </row>
    <row r="2" spans="1:10" ht="15.75" customHeight="1">
      <c r="A2" s="1"/>
      <c r="B2" s="1"/>
      <c r="C2" s="1"/>
      <c r="D2" s="266" t="s">
        <v>1</v>
      </c>
      <c r="E2" s="266"/>
      <c r="F2" s="266"/>
      <c r="G2" s="266"/>
      <c r="H2" s="266"/>
    </row>
    <row r="4" spans="1:10" ht="14.25" customHeight="1">
      <c r="H4" s="207" t="s">
        <v>2</v>
      </c>
    </row>
    <row r="5" spans="1:10" ht="31.5" customHeight="1">
      <c r="H5" s="2" t="s">
        <v>45</v>
      </c>
      <c r="I5" s="160" t="s">
        <v>71</v>
      </c>
      <c r="J5" s="5"/>
    </row>
    <row r="6" spans="1:10">
      <c r="A6" s="3" t="s">
        <v>4</v>
      </c>
      <c r="D6" s="3"/>
      <c r="G6" s="4"/>
      <c r="H6" s="4"/>
    </row>
    <row r="7" spans="1:10">
      <c r="C7" t="s">
        <v>46</v>
      </c>
      <c r="H7" s="77">
        <v>91036</v>
      </c>
      <c r="I7" s="83">
        <v>121383</v>
      </c>
    </row>
    <row r="8" spans="1:10">
      <c r="C8" t="s">
        <v>6</v>
      </c>
      <c r="H8" s="84">
        <v>190025</v>
      </c>
      <c r="I8" s="83">
        <v>58245</v>
      </c>
    </row>
    <row r="9" spans="1:10">
      <c r="C9" t="s">
        <v>466</v>
      </c>
      <c r="H9" s="83"/>
      <c r="I9" s="83"/>
    </row>
    <row r="10" spans="1:10">
      <c r="D10" t="s">
        <v>467</v>
      </c>
      <c r="H10" s="78">
        <v>32593</v>
      </c>
      <c r="I10" s="83">
        <v>8660</v>
      </c>
    </row>
    <row r="11" spans="1:10">
      <c r="D11" t="s">
        <v>351</v>
      </c>
      <c r="H11" s="78">
        <v>14605</v>
      </c>
      <c r="I11" s="83">
        <v>31297</v>
      </c>
    </row>
    <row r="12" spans="1:10">
      <c r="D12" t="s">
        <v>349</v>
      </c>
      <c r="H12" s="121"/>
      <c r="I12" s="83">
        <v>42</v>
      </c>
    </row>
    <row r="13" spans="1:10">
      <c r="D13" t="s">
        <v>468</v>
      </c>
      <c r="H13" s="78">
        <v>658</v>
      </c>
      <c r="I13" s="83">
        <v>44246</v>
      </c>
    </row>
    <row r="14" spans="1:10">
      <c r="D14" t="s">
        <v>200</v>
      </c>
      <c r="H14" s="159"/>
      <c r="I14" s="83">
        <v>12020</v>
      </c>
    </row>
    <row r="15" spans="1:10">
      <c r="C15" t="s">
        <v>11</v>
      </c>
      <c r="H15" s="90">
        <v>14890</v>
      </c>
      <c r="I15" s="83"/>
    </row>
    <row r="16" spans="1:10">
      <c r="C16" t="s">
        <v>48</v>
      </c>
      <c r="H16" s="90">
        <v>56538</v>
      </c>
      <c r="I16" s="83">
        <v>2743</v>
      </c>
    </row>
    <row r="17" spans="1:9">
      <c r="C17" t="s">
        <v>78</v>
      </c>
      <c r="H17" s="79">
        <v>15</v>
      </c>
      <c r="I17" s="83">
        <v>40181</v>
      </c>
    </row>
    <row r="18" spans="1:9">
      <c r="C18" t="s">
        <v>469</v>
      </c>
      <c r="H18" s="83"/>
      <c r="I18" s="83">
        <v>304698</v>
      </c>
    </row>
    <row r="19" spans="1:9">
      <c r="C19" t="s">
        <v>315</v>
      </c>
      <c r="H19" s="91">
        <v>1595680</v>
      </c>
      <c r="I19" s="83">
        <v>3207656</v>
      </c>
    </row>
    <row r="20" spans="1:9">
      <c r="H20" s="83"/>
      <c r="I20" s="81"/>
    </row>
    <row r="21" spans="1:9" s="5" customFormat="1">
      <c r="C21" s="6" t="s">
        <v>15</v>
      </c>
      <c r="D21" s="6"/>
      <c r="E21" s="6"/>
      <c r="F21" s="6"/>
      <c r="G21" s="6"/>
      <c r="H21" s="82">
        <f>SUM(H7:H19)</f>
        <v>1996040</v>
      </c>
      <c r="I21" s="82">
        <f>SUM(I7:I19)</f>
        <v>3831171</v>
      </c>
    </row>
    <row r="22" spans="1:9">
      <c r="H22" s="83"/>
      <c r="I22" s="83"/>
    </row>
    <row r="23" spans="1:9">
      <c r="A23" s="5" t="s">
        <v>16</v>
      </c>
      <c r="H23" s="83"/>
      <c r="I23" s="83"/>
    </row>
    <row r="24" spans="1:9">
      <c r="B24" t="s">
        <v>379</v>
      </c>
      <c r="H24" s="122">
        <v>6435</v>
      </c>
      <c r="I24" s="122">
        <v>22601</v>
      </c>
    </row>
    <row r="25" spans="1:9">
      <c r="C25" s="102" t="s">
        <v>246</v>
      </c>
      <c r="D25" s="102"/>
      <c r="E25" s="102"/>
      <c r="F25" s="102"/>
      <c r="G25" s="102"/>
      <c r="H25" s="103">
        <f>H24</f>
        <v>6435</v>
      </c>
      <c r="I25" s="103">
        <f>I24</f>
        <v>22601</v>
      </c>
    </row>
    <row r="26" spans="1:9">
      <c r="H26" s="83"/>
      <c r="I26" s="83"/>
    </row>
    <row r="27" spans="1:9">
      <c r="A27" s="5" t="s">
        <v>52</v>
      </c>
      <c r="H27" s="83"/>
      <c r="I27" s="83"/>
    </row>
    <row r="28" spans="1:9">
      <c r="C28" t="s">
        <v>20</v>
      </c>
      <c r="H28" s="84">
        <v>76891</v>
      </c>
      <c r="I28" s="83">
        <v>58988</v>
      </c>
    </row>
    <row r="29" spans="1:9">
      <c r="C29" t="s">
        <v>21</v>
      </c>
      <c r="H29" s="84">
        <v>3658</v>
      </c>
      <c r="I29" s="83">
        <v>7946</v>
      </c>
    </row>
    <row r="30" spans="1:9">
      <c r="C30" t="s">
        <v>303</v>
      </c>
      <c r="H30" s="79">
        <v>676</v>
      </c>
      <c r="I30" s="83">
        <v>36352</v>
      </c>
    </row>
    <row r="31" spans="1:9">
      <c r="C31" t="s">
        <v>470</v>
      </c>
      <c r="H31" s="84">
        <v>6337</v>
      </c>
      <c r="I31" s="83"/>
    </row>
    <row r="32" spans="1:9">
      <c r="C32" t="s">
        <v>471</v>
      </c>
      <c r="H32" s="84">
        <v>6654</v>
      </c>
      <c r="I32" s="83">
        <v>14016</v>
      </c>
    </row>
    <row r="33" spans="1:9">
      <c r="C33" t="s">
        <v>164</v>
      </c>
      <c r="H33" s="96">
        <v>7146</v>
      </c>
      <c r="I33" s="83"/>
    </row>
    <row r="34" spans="1:9">
      <c r="C34" t="s">
        <v>232</v>
      </c>
      <c r="H34" s="96">
        <v>12557</v>
      </c>
      <c r="I34" s="83">
        <v>31722</v>
      </c>
    </row>
    <row r="35" spans="1:9">
      <c r="C35" t="s">
        <v>194</v>
      </c>
      <c r="H35" s="83"/>
      <c r="I35" s="83">
        <v>18844</v>
      </c>
    </row>
    <row r="36" spans="1:9">
      <c r="C36" t="s">
        <v>472</v>
      </c>
      <c r="H36" s="92">
        <v>104932</v>
      </c>
      <c r="I36" s="83">
        <v>51651</v>
      </c>
    </row>
    <row r="37" spans="1:9">
      <c r="C37" t="s">
        <v>473</v>
      </c>
      <c r="H37" s="77">
        <v>1481068</v>
      </c>
      <c r="I37" s="83">
        <v>996165</v>
      </c>
    </row>
    <row r="38" spans="1:9">
      <c r="H38" s="81"/>
      <c r="I38" s="81"/>
    </row>
    <row r="39" spans="1:9">
      <c r="D39" s="7" t="s">
        <v>33</v>
      </c>
      <c r="E39" s="8"/>
      <c r="F39" s="8"/>
      <c r="G39" s="8"/>
      <c r="H39" s="87">
        <f>SUM(H28:H37)</f>
        <v>1699919</v>
      </c>
      <c r="I39" s="87">
        <f>SUM(I28:I37)</f>
        <v>1215684</v>
      </c>
    </row>
    <row r="40" spans="1:9">
      <c r="H40" s="83"/>
      <c r="I40" s="83"/>
    </row>
    <row r="41" spans="1:9">
      <c r="A41" s="5" t="s">
        <v>91</v>
      </c>
      <c r="H41" s="83"/>
      <c r="I41" s="83"/>
    </row>
    <row r="42" spans="1:9">
      <c r="B42" t="s">
        <v>474</v>
      </c>
      <c r="H42" s="122">
        <v>6687</v>
      </c>
      <c r="I42" s="122">
        <v>4890</v>
      </c>
    </row>
    <row r="43" spans="1:9">
      <c r="C43" s="102" t="s">
        <v>94</v>
      </c>
      <c r="D43" s="102"/>
      <c r="E43" s="102"/>
      <c r="F43" s="102"/>
      <c r="G43" s="102"/>
      <c r="H43" s="103">
        <f>H42</f>
        <v>6687</v>
      </c>
      <c r="I43" s="103">
        <f>I42</f>
        <v>4890</v>
      </c>
    </row>
    <row r="44" spans="1:9">
      <c r="H44" s="83"/>
      <c r="I44" s="83"/>
    </row>
    <row r="45" spans="1:9">
      <c r="A45" s="3" t="s">
        <v>95</v>
      </c>
      <c r="H45" s="83"/>
      <c r="I45" s="83"/>
    </row>
    <row r="46" spans="1:9">
      <c r="B46" t="s">
        <v>96</v>
      </c>
      <c r="H46" s="88">
        <v>936247</v>
      </c>
      <c r="I46" s="83">
        <v>2482767</v>
      </c>
    </row>
    <row r="47" spans="1:9">
      <c r="B47" t="s">
        <v>283</v>
      </c>
      <c r="H47" s="89">
        <v>73516</v>
      </c>
      <c r="I47" s="83">
        <v>79715</v>
      </c>
    </row>
    <row r="48" spans="1:9">
      <c r="B48" t="s">
        <v>475</v>
      </c>
      <c r="H48" s="89">
        <v>51081</v>
      </c>
      <c r="I48" s="83">
        <v>127076</v>
      </c>
    </row>
    <row r="49" spans="2:9">
      <c r="B49" t="s">
        <v>476</v>
      </c>
      <c r="H49" s="83"/>
      <c r="I49" s="83">
        <v>15479</v>
      </c>
    </row>
    <row r="50" spans="2:9">
      <c r="B50" t="s">
        <v>384</v>
      </c>
      <c r="H50" s="93">
        <v>-764975</v>
      </c>
      <c r="I50" s="83">
        <v>-71839</v>
      </c>
    </row>
    <row r="51" spans="2:9">
      <c r="H51" s="81"/>
      <c r="I51" s="81"/>
    </row>
    <row r="52" spans="2:9" s="3" customFormat="1">
      <c r="C52" s="9" t="s">
        <v>100</v>
      </c>
      <c r="D52" s="9"/>
      <c r="E52" s="9"/>
      <c r="F52" s="9"/>
      <c r="G52" s="9"/>
      <c r="H52" s="94">
        <f>SUM(H46:H50)</f>
        <v>295869</v>
      </c>
      <c r="I52" s="94">
        <f>SUM(I45:I50)</f>
        <v>2633198</v>
      </c>
    </row>
    <row r="53" spans="2:9">
      <c r="H53" s="83"/>
      <c r="I53" s="83"/>
    </row>
    <row r="54" spans="2:9">
      <c r="C54" s="10" t="s">
        <v>43</v>
      </c>
      <c r="D54" s="10"/>
      <c r="E54" s="10"/>
      <c r="F54" s="10"/>
      <c r="G54" s="10"/>
      <c r="H54" s="95">
        <f>H52+H39</f>
        <v>1995788</v>
      </c>
      <c r="I54" s="95">
        <f>I52+I39</f>
        <v>3848882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1"/>
  <sheetViews>
    <sheetView zoomScale="80" zoomScaleNormal="80" zoomScalePageLayoutView="80" workbookViewId="0">
      <selection activeCell="C51" sqref="C51:H51"/>
    </sheetView>
  </sheetViews>
  <sheetFormatPr defaultColWidth="8.85546875" defaultRowHeight="14.45"/>
  <cols>
    <col min="1" max="1" width="3.42578125" customWidth="1"/>
    <col min="2" max="2" width="4.140625" customWidth="1"/>
    <col min="5" max="5" width="21" customWidth="1"/>
    <col min="6" max="6" width="13.42578125" customWidth="1"/>
    <col min="7" max="7" width="16.28515625" customWidth="1"/>
    <col min="8" max="8" width="13.85546875" customWidth="1"/>
  </cols>
  <sheetData>
    <row r="1" spans="1:8" ht="18.600000000000001">
      <c r="A1" s="1"/>
      <c r="B1" s="1"/>
      <c r="C1" s="1" t="s">
        <v>477</v>
      </c>
      <c r="D1" s="1"/>
      <c r="E1" s="97"/>
      <c r="F1" s="97"/>
      <c r="G1" s="97"/>
    </row>
    <row r="2" spans="1:8" ht="18.600000000000001">
      <c r="A2" s="1"/>
      <c r="B2" s="1"/>
      <c r="C2" s="1"/>
      <c r="D2" s="266" t="s">
        <v>1</v>
      </c>
      <c r="E2" s="266"/>
      <c r="F2" s="266"/>
      <c r="G2" s="98"/>
    </row>
    <row r="4" spans="1:8">
      <c r="F4" s="274"/>
      <c r="G4" s="274"/>
    </row>
    <row r="5" spans="1:8" ht="29.1">
      <c r="F5" s="105" t="s">
        <v>45</v>
      </c>
      <c r="G5" s="105" t="s">
        <v>141</v>
      </c>
      <c r="H5" s="106" t="s">
        <v>73</v>
      </c>
    </row>
    <row r="6" spans="1:8">
      <c r="A6" s="3" t="s">
        <v>4</v>
      </c>
      <c r="D6" s="3"/>
      <c r="F6" s="4"/>
      <c r="G6" s="4"/>
    </row>
    <row r="7" spans="1:8">
      <c r="B7" t="s">
        <v>46</v>
      </c>
      <c r="F7" s="77">
        <v>37300264</v>
      </c>
      <c r="G7" s="83">
        <v>78223</v>
      </c>
      <c r="H7" s="83">
        <f>SUM(F7:G7)</f>
        <v>37378487</v>
      </c>
    </row>
    <row r="8" spans="1:8">
      <c r="B8" t="s">
        <v>478</v>
      </c>
      <c r="F8" s="84">
        <v>25766100</v>
      </c>
      <c r="G8" s="83"/>
      <c r="H8" s="83">
        <f t="shared" ref="H8:H20" si="0">SUM(F8:G8)</f>
        <v>25766100</v>
      </c>
    </row>
    <row r="9" spans="1:8">
      <c r="B9" t="s">
        <v>479</v>
      </c>
      <c r="F9" s="121"/>
      <c r="G9" s="83"/>
      <c r="H9" s="83"/>
    </row>
    <row r="10" spans="1:8">
      <c r="C10" t="s">
        <v>480</v>
      </c>
      <c r="F10" s="78">
        <v>32242138</v>
      </c>
      <c r="G10" s="83"/>
      <c r="H10" s="83">
        <f t="shared" si="0"/>
        <v>32242138</v>
      </c>
    </row>
    <row r="11" spans="1:8">
      <c r="C11" t="s">
        <v>481</v>
      </c>
      <c r="F11" s="78">
        <v>2660019</v>
      </c>
      <c r="G11" s="83"/>
      <c r="H11" s="83">
        <f t="shared" si="0"/>
        <v>2660019</v>
      </c>
    </row>
    <row r="12" spans="1:8">
      <c r="C12" t="s">
        <v>482</v>
      </c>
      <c r="F12" s="78">
        <v>162436</v>
      </c>
      <c r="G12" s="83"/>
      <c r="H12" s="83">
        <f t="shared" si="0"/>
        <v>162436</v>
      </c>
    </row>
    <row r="13" spans="1:8">
      <c r="C13" t="s">
        <v>483</v>
      </c>
      <c r="F13" s="78">
        <v>979346</v>
      </c>
      <c r="G13" s="83">
        <v>24586</v>
      </c>
      <c r="H13" s="83">
        <f t="shared" si="0"/>
        <v>1003932</v>
      </c>
    </row>
    <row r="14" spans="1:8">
      <c r="C14" t="s">
        <v>200</v>
      </c>
      <c r="F14" s="83"/>
      <c r="G14" s="83">
        <v>15380</v>
      </c>
      <c r="H14" s="83">
        <f t="shared" si="0"/>
        <v>15380</v>
      </c>
    </row>
    <row r="15" spans="1:8">
      <c r="B15" t="s">
        <v>484</v>
      </c>
      <c r="F15" s="90">
        <v>3664640</v>
      </c>
      <c r="G15" s="83">
        <v>2181</v>
      </c>
      <c r="H15" s="83">
        <f t="shared" si="0"/>
        <v>3666821</v>
      </c>
    </row>
    <row r="16" spans="1:8">
      <c r="B16" t="s">
        <v>76</v>
      </c>
      <c r="F16" s="79">
        <v>84661</v>
      </c>
      <c r="G16" s="83">
        <v>-84661</v>
      </c>
      <c r="H16" s="83">
        <f t="shared" si="0"/>
        <v>0</v>
      </c>
    </row>
    <row r="17" spans="1:8">
      <c r="B17" t="s">
        <v>143</v>
      </c>
      <c r="F17" s="79">
        <v>326720</v>
      </c>
      <c r="G17" s="83"/>
      <c r="H17" s="83">
        <f t="shared" si="0"/>
        <v>326720</v>
      </c>
    </row>
    <row r="18" spans="1:8">
      <c r="B18" t="s">
        <v>158</v>
      </c>
      <c r="F18" s="79">
        <v>539675</v>
      </c>
      <c r="G18" s="83"/>
      <c r="H18" s="83">
        <f t="shared" si="0"/>
        <v>539675</v>
      </c>
    </row>
    <row r="19" spans="1:8">
      <c r="B19" t="s">
        <v>485</v>
      </c>
      <c r="F19" s="83"/>
      <c r="G19" s="83">
        <v>58502</v>
      </c>
      <c r="H19" s="83">
        <f t="shared" si="0"/>
        <v>58502</v>
      </c>
    </row>
    <row r="20" spans="1:8">
      <c r="B20" t="s">
        <v>119</v>
      </c>
      <c r="F20" s="91">
        <v>180966576</v>
      </c>
      <c r="G20" s="83">
        <v>2570352</v>
      </c>
      <c r="H20" s="83">
        <f t="shared" si="0"/>
        <v>183536928</v>
      </c>
    </row>
    <row r="21" spans="1:8">
      <c r="F21" s="83"/>
      <c r="G21" s="81"/>
      <c r="H21" s="81"/>
    </row>
    <row r="22" spans="1:8">
      <c r="A22" s="5"/>
      <c r="B22" s="5"/>
      <c r="C22" s="6" t="s">
        <v>15</v>
      </c>
      <c r="D22" s="6"/>
      <c r="E22" s="6"/>
      <c r="F22" s="82">
        <f>SUM(F7:F20)</f>
        <v>284692575</v>
      </c>
      <c r="G22" s="82">
        <f>SUM(G7:G20)</f>
        <v>2664563</v>
      </c>
      <c r="H22" s="82">
        <f>SUM(H7:H20)</f>
        <v>287357138</v>
      </c>
    </row>
    <row r="23" spans="1:8">
      <c r="F23" s="83"/>
      <c r="G23" s="83"/>
      <c r="H23" s="83"/>
    </row>
    <row r="24" spans="1:8">
      <c r="A24" s="5" t="s">
        <v>52</v>
      </c>
      <c r="F24" s="83"/>
      <c r="G24" s="83"/>
      <c r="H24" s="83"/>
    </row>
    <row r="25" spans="1:8">
      <c r="B25" t="s">
        <v>147</v>
      </c>
      <c r="F25" s="151">
        <v>6536200</v>
      </c>
      <c r="G25" s="83">
        <v>24093</v>
      </c>
      <c r="H25" s="83">
        <f>SUM(F25:G25)</f>
        <v>6560293</v>
      </c>
    </row>
    <row r="26" spans="1:8">
      <c r="B26" t="s">
        <v>23</v>
      </c>
      <c r="F26" s="79">
        <v>1019255</v>
      </c>
      <c r="G26" s="83"/>
      <c r="H26" s="83">
        <f t="shared" ref="H26:H30" si="1">SUM(F26:G26)</f>
        <v>1019255</v>
      </c>
    </row>
    <row r="27" spans="1:8">
      <c r="B27" t="s">
        <v>486</v>
      </c>
      <c r="F27" s="79">
        <v>235293</v>
      </c>
      <c r="G27" s="83"/>
      <c r="H27" s="83">
        <f t="shared" si="1"/>
        <v>235293</v>
      </c>
    </row>
    <row r="28" spans="1:8">
      <c r="B28" t="s">
        <v>26</v>
      </c>
      <c r="F28" s="83"/>
      <c r="G28" s="83"/>
      <c r="H28" s="83"/>
    </row>
    <row r="29" spans="1:8">
      <c r="C29" t="s">
        <v>88</v>
      </c>
      <c r="D29" s="5"/>
      <c r="F29" s="92">
        <v>1421391</v>
      </c>
      <c r="G29" s="83">
        <v>25000</v>
      </c>
      <c r="H29" s="83">
        <f t="shared" si="1"/>
        <v>1446391</v>
      </c>
    </row>
    <row r="30" spans="1:8">
      <c r="A30" s="5"/>
      <c r="B30" s="5"/>
      <c r="C30" t="s">
        <v>89</v>
      </c>
      <c r="D30" s="5"/>
      <c r="E30" s="5"/>
      <c r="F30" s="77">
        <v>7731868</v>
      </c>
      <c r="G30" s="83">
        <v>376000</v>
      </c>
      <c r="H30" s="83">
        <f t="shared" si="1"/>
        <v>8107868</v>
      </c>
    </row>
    <row r="31" spans="1:8">
      <c r="A31" s="5"/>
      <c r="B31" t="s">
        <v>487</v>
      </c>
      <c r="D31" s="5"/>
      <c r="E31" s="5"/>
      <c r="F31" s="83"/>
      <c r="G31" s="83">
        <v>2556</v>
      </c>
      <c r="H31" s="83">
        <f>SUM(F31:G31)</f>
        <v>2556</v>
      </c>
    </row>
    <row r="32" spans="1:8">
      <c r="F32" s="81"/>
      <c r="G32" s="81"/>
      <c r="H32" s="81"/>
    </row>
    <row r="33" spans="1:8">
      <c r="D33" s="7" t="s">
        <v>33</v>
      </c>
      <c r="E33" s="8"/>
      <c r="F33" s="87">
        <f>SUM(F25:F31)</f>
        <v>16944007</v>
      </c>
      <c r="G33" s="87">
        <f t="shared" ref="G33:H33" si="2">SUM(G25:G31)</f>
        <v>427649</v>
      </c>
      <c r="H33" s="87">
        <f t="shared" si="2"/>
        <v>17371656</v>
      </c>
    </row>
    <row r="34" spans="1:8">
      <c r="F34" s="83"/>
      <c r="G34" s="83"/>
      <c r="H34" s="83"/>
    </row>
    <row r="35" spans="1:8">
      <c r="A35" s="3" t="s">
        <v>95</v>
      </c>
      <c r="F35" s="83"/>
      <c r="G35" s="83"/>
      <c r="H35" s="83"/>
    </row>
    <row r="36" spans="1:8">
      <c r="B36" t="s">
        <v>96</v>
      </c>
      <c r="F36" s="88">
        <v>180966576</v>
      </c>
      <c r="G36" s="83">
        <v>2169352</v>
      </c>
      <c r="H36" s="83">
        <f>SUM(F36:G36)</f>
        <v>183135928</v>
      </c>
    </row>
    <row r="37" spans="1:8">
      <c r="B37" t="s">
        <v>37</v>
      </c>
      <c r="F37" s="83"/>
      <c r="G37" s="83"/>
      <c r="H37" s="83"/>
    </row>
    <row r="38" spans="1:8">
      <c r="C38" t="s">
        <v>64</v>
      </c>
      <c r="F38" s="89">
        <v>7023933</v>
      </c>
      <c r="G38" s="83"/>
      <c r="H38" s="83">
        <f t="shared" ref="H38:H47" si="3">SUM(F38:G38)</f>
        <v>7023933</v>
      </c>
    </row>
    <row r="39" spans="1:8">
      <c r="C39" t="s">
        <v>63</v>
      </c>
      <c r="F39" s="89">
        <v>43191674</v>
      </c>
      <c r="G39" s="83"/>
      <c r="H39" s="83">
        <f t="shared" si="3"/>
        <v>43191674</v>
      </c>
    </row>
    <row r="40" spans="1:8">
      <c r="C40" t="s">
        <v>65</v>
      </c>
      <c r="F40" s="89">
        <v>5112412</v>
      </c>
      <c r="G40" s="83"/>
      <c r="H40" s="83">
        <f t="shared" si="3"/>
        <v>5112412</v>
      </c>
    </row>
    <row r="41" spans="1:8">
      <c r="C41" t="s">
        <v>66</v>
      </c>
      <c r="F41" s="89">
        <v>11189533</v>
      </c>
      <c r="G41" s="83"/>
      <c r="H41" s="83">
        <f t="shared" si="3"/>
        <v>11189533</v>
      </c>
    </row>
    <row r="42" spans="1:8">
      <c r="C42" t="s">
        <v>153</v>
      </c>
      <c r="F42" s="89">
        <v>743934</v>
      </c>
      <c r="G42" s="83"/>
      <c r="H42" s="83">
        <f t="shared" si="3"/>
        <v>743934</v>
      </c>
    </row>
    <row r="43" spans="1:8">
      <c r="C43" t="s">
        <v>203</v>
      </c>
      <c r="F43" s="89">
        <v>1480125</v>
      </c>
      <c r="G43" s="83"/>
      <c r="H43" s="83">
        <f t="shared" si="3"/>
        <v>1480125</v>
      </c>
    </row>
    <row r="44" spans="1:8">
      <c r="C44" t="s">
        <v>38</v>
      </c>
      <c r="F44" s="89">
        <v>96037</v>
      </c>
      <c r="G44" s="83">
        <v>58502</v>
      </c>
      <c r="H44" s="83">
        <f t="shared" si="3"/>
        <v>154539</v>
      </c>
    </row>
    <row r="45" spans="1:8">
      <c r="C45" t="s">
        <v>488</v>
      </c>
      <c r="F45" s="89">
        <v>8066222</v>
      </c>
      <c r="G45" s="83"/>
      <c r="H45" s="83">
        <f t="shared" si="3"/>
        <v>8066222</v>
      </c>
    </row>
    <row r="46" spans="1:8">
      <c r="C46" t="s">
        <v>489</v>
      </c>
      <c r="F46" s="89">
        <v>6073825</v>
      </c>
      <c r="G46" s="83"/>
      <c r="H46" s="83">
        <f t="shared" si="3"/>
        <v>6073825</v>
      </c>
    </row>
    <row r="47" spans="1:8">
      <c r="B47" t="s">
        <v>69</v>
      </c>
      <c r="F47" s="93">
        <v>3804300</v>
      </c>
      <c r="G47" s="83">
        <v>9060</v>
      </c>
      <c r="H47" s="83">
        <f t="shared" si="3"/>
        <v>3813360</v>
      </c>
    </row>
    <row r="48" spans="1:8">
      <c r="F48" s="81"/>
      <c r="G48" s="81"/>
      <c r="H48" s="81"/>
    </row>
    <row r="49" spans="1:8">
      <c r="A49" s="3"/>
      <c r="B49" s="3"/>
      <c r="C49" s="9" t="s">
        <v>100</v>
      </c>
      <c r="D49" s="9"/>
      <c r="E49" s="9"/>
      <c r="F49" s="94">
        <f>SUM(F36:F47)</f>
        <v>267748571</v>
      </c>
      <c r="G49" s="94">
        <f>SUM(G36:G47)</f>
        <v>2236914</v>
      </c>
      <c r="H49" s="94">
        <f>SUM(H35:H47)</f>
        <v>269985485</v>
      </c>
    </row>
    <row r="50" spans="1:8">
      <c r="F50" s="83"/>
      <c r="G50" s="83"/>
      <c r="H50" s="83"/>
    </row>
    <row r="51" spans="1:8">
      <c r="C51" s="10" t="s">
        <v>43</v>
      </c>
      <c r="D51" s="10"/>
      <c r="E51" s="10"/>
      <c r="F51" s="227">
        <f>F49+F33</f>
        <v>284692578</v>
      </c>
      <c r="G51" s="227">
        <f t="shared" ref="G51:H51" si="4">G49+G33</f>
        <v>2664563</v>
      </c>
      <c r="H51" s="227">
        <f t="shared" si="4"/>
        <v>287357141</v>
      </c>
    </row>
  </sheetData>
  <mergeCells count="2">
    <mergeCell ref="D2:F2"/>
    <mergeCell ref="F4:G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57"/>
  <sheetViews>
    <sheetView zoomScale="70" zoomScaleNormal="70" zoomScalePageLayoutView="70" workbookViewId="0">
      <selection activeCell="J56" sqref="J56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8.7109375" customWidth="1"/>
    <col min="10" max="10" width="17.28515625" customWidth="1"/>
  </cols>
  <sheetData>
    <row r="1" spans="1:11" ht="18.75" customHeight="1">
      <c r="A1" s="1"/>
      <c r="B1" s="1"/>
      <c r="C1" s="1"/>
      <c r="D1" s="268" t="s">
        <v>490</v>
      </c>
      <c r="E1" s="268"/>
      <c r="F1" s="268"/>
      <c r="G1" s="268"/>
      <c r="H1" s="268"/>
      <c r="I1" s="97"/>
    </row>
    <row r="2" spans="1:11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</row>
    <row r="4" spans="1:11" ht="31.5" customHeight="1">
      <c r="H4" s="105" t="s">
        <v>45</v>
      </c>
      <c r="I4" s="105" t="s">
        <v>141</v>
      </c>
      <c r="J4" s="106" t="s">
        <v>73</v>
      </c>
      <c r="K4" s="5"/>
    </row>
    <row r="5" spans="1:11">
      <c r="A5" s="3" t="s">
        <v>4</v>
      </c>
      <c r="D5" s="3"/>
      <c r="G5" s="4"/>
      <c r="H5" s="4"/>
      <c r="I5" s="4"/>
    </row>
    <row r="6" spans="1:11">
      <c r="A6" s="3"/>
      <c r="B6" s="5" t="s">
        <v>74</v>
      </c>
      <c r="D6" s="3"/>
      <c r="G6" s="4"/>
      <c r="H6" s="76"/>
      <c r="I6" s="76"/>
      <c r="J6" s="83"/>
    </row>
    <row r="7" spans="1:11">
      <c r="C7" t="s">
        <v>46</v>
      </c>
      <c r="H7" s="77">
        <v>113364903</v>
      </c>
      <c r="I7" s="83">
        <v>266738</v>
      </c>
      <c r="J7" s="83">
        <f>SUM(H7:I7)</f>
        <v>113631641</v>
      </c>
    </row>
    <row r="8" spans="1:11">
      <c r="C8" t="s">
        <v>6</v>
      </c>
      <c r="H8" s="84">
        <v>4716345</v>
      </c>
      <c r="I8" s="83"/>
      <c r="J8" s="83">
        <f t="shared" ref="J8:J10" si="0">SUM(H8:I8)</f>
        <v>4716345</v>
      </c>
    </row>
    <row r="9" spans="1:11">
      <c r="C9" t="s">
        <v>491</v>
      </c>
      <c r="H9" s="78">
        <v>71277195</v>
      </c>
      <c r="I9" s="83">
        <v>4353695</v>
      </c>
      <c r="J9" s="83">
        <f t="shared" si="0"/>
        <v>75630890</v>
      </c>
    </row>
    <row r="10" spans="1:11">
      <c r="C10" t="s">
        <v>76</v>
      </c>
      <c r="H10" s="83"/>
      <c r="I10" s="83"/>
      <c r="J10" s="83">
        <f t="shared" si="0"/>
        <v>0</v>
      </c>
    </row>
    <row r="11" spans="1:11">
      <c r="C11" t="s">
        <v>115</v>
      </c>
      <c r="H11" s="79">
        <v>1640560</v>
      </c>
      <c r="I11" s="83">
        <v>4104</v>
      </c>
      <c r="J11" s="83">
        <f>SUM(H11:I11)</f>
        <v>1644664</v>
      </c>
    </row>
    <row r="12" spans="1:11">
      <c r="H12" s="81"/>
      <c r="I12" s="81"/>
      <c r="J12" s="81"/>
    </row>
    <row r="13" spans="1:11" s="5" customFormat="1">
      <c r="C13" s="102" t="s">
        <v>116</v>
      </c>
      <c r="D13" s="102"/>
      <c r="E13" s="102"/>
      <c r="F13" s="102"/>
      <c r="G13" s="102"/>
      <c r="H13" s="103">
        <f>SUM(H7:H11)</f>
        <v>190999003</v>
      </c>
      <c r="I13" s="103">
        <f>SUM(I7:I12)</f>
        <v>4624537</v>
      </c>
      <c r="J13" s="103">
        <f>SUM(J7:J11)</f>
        <v>195623540</v>
      </c>
    </row>
    <row r="14" spans="1:11">
      <c r="H14" s="83"/>
      <c r="I14" s="83"/>
      <c r="J14" s="83"/>
    </row>
    <row r="15" spans="1:11" s="5" customFormat="1">
      <c r="B15" s="5" t="s">
        <v>117</v>
      </c>
      <c r="H15" s="100"/>
      <c r="I15" s="100"/>
      <c r="J15" s="100"/>
    </row>
    <row r="16" spans="1:11" s="5" customFormat="1">
      <c r="C16" t="s">
        <v>76</v>
      </c>
      <c r="H16" s="79">
        <v>2073727</v>
      </c>
      <c r="I16" s="83">
        <v>-2073727</v>
      </c>
      <c r="J16" s="83">
        <f>SUM(H16:I16)</f>
        <v>0</v>
      </c>
    </row>
    <row r="17" spans="1:10">
      <c r="C17" t="s">
        <v>51</v>
      </c>
      <c r="H17" s="80">
        <v>312070406</v>
      </c>
      <c r="I17" s="83">
        <v>75746403</v>
      </c>
      <c r="J17" s="83">
        <f>SUM(H17:I17)</f>
        <v>387816809</v>
      </c>
    </row>
    <row r="18" spans="1:10">
      <c r="C18" t="s">
        <v>256</v>
      </c>
      <c r="H18" s="80">
        <v>160855080</v>
      </c>
      <c r="I18" s="83">
        <v>27764347</v>
      </c>
      <c r="J18" s="83">
        <f>SUM(H18:I18)</f>
        <v>188619427</v>
      </c>
    </row>
    <row r="19" spans="1:10">
      <c r="H19" s="81"/>
      <c r="I19" s="81"/>
      <c r="J19" s="81"/>
    </row>
    <row r="20" spans="1:10" s="5" customFormat="1">
      <c r="C20" s="102" t="s">
        <v>120</v>
      </c>
      <c r="D20" s="102"/>
      <c r="E20" s="102"/>
      <c r="F20" s="102"/>
      <c r="G20" s="102"/>
      <c r="H20" s="103">
        <f>SUM(H15:H18)</f>
        <v>474999213</v>
      </c>
      <c r="I20" s="103">
        <f>SUM(I15:I18)</f>
        <v>101437023</v>
      </c>
      <c r="J20" s="103">
        <f>SUM(J15:J18)</f>
        <v>576436236</v>
      </c>
    </row>
    <row r="21" spans="1:10">
      <c r="H21" s="83"/>
      <c r="I21" s="83"/>
      <c r="J21" s="83"/>
    </row>
    <row r="22" spans="1:10" s="5" customFormat="1">
      <c r="C22" s="6" t="s">
        <v>15</v>
      </c>
      <c r="D22" s="6"/>
      <c r="E22" s="6"/>
      <c r="F22" s="6"/>
      <c r="G22" s="6"/>
      <c r="H22" s="82">
        <f>SUM(H13+H20)</f>
        <v>665998216</v>
      </c>
      <c r="I22" s="82">
        <f>SUM(I13+I20)</f>
        <v>106061560</v>
      </c>
      <c r="J22" s="82">
        <f>SUM(J13+J20)</f>
        <v>772059776</v>
      </c>
    </row>
    <row r="23" spans="1:10">
      <c r="H23" s="83"/>
      <c r="I23" s="83"/>
      <c r="J23" s="83"/>
    </row>
    <row r="24" spans="1:10">
      <c r="A24" s="5" t="s">
        <v>52</v>
      </c>
      <c r="H24" s="83"/>
      <c r="I24" s="83"/>
      <c r="J24" s="83"/>
    </row>
    <row r="25" spans="1:10" s="5" customFormat="1">
      <c r="B25" s="5" t="s">
        <v>121</v>
      </c>
      <c r="H25" s="100"/>
      <c r="I25" s="100"/>
      <c r="J25" s="100"/>
    </row>
    <row r="26" spans="1:10">
      <c r="A26" s="5"/>
      <c r="C26" t="s">
        <v>274</v>
      </c>
      <c r="H26" s="161"/>
      <c r="I26" s="83">
        <v>5444208</v>
      </c>
      <c r="J26" s="83">
        <f t="shared" ref="J26:J34" si="1">SUM(H26:I26)</f>
        <v>5444208</v>
      </c>
    </row>
    <row r="27" spans="1:10">
      <c r="C27" t="s">
        <v>122</v>
      </c>
      <c r="H27" s="84">
        <v>11081312</v>
      </c>
      <c r="I27" s="83">
        <v>220782</v>
      </c>
      <c r="J27" s="83">
        <f t="shared" si="1"/>
        <v>11302094</v>
      </c>
    </row>
    <row r="28" spans="1:10">
      <c r="C28" t="s">
        <v>28</v>
      </c>
      <c r="H28" s="162">
        <v>3725000</v>
      </c>
      <c r="I28" s="83"/>
      <c r="J28" s="83">
        <f t="shared" si="1"/>
        <v>3725000</v>
      </c>
    </row>
    <row r="29" spans="1:10">
      <c r="C29" t="s">
        <v>287</v>
      </c>
      <c r="H29" s="151">
        <v>29467</v>
      </c>
      <c r="I29" s="83"/>
      <c r="J29" s="83">
        <f t="shared" si="1"/>
        <v>29467</v>
      </c>
    </row>
    <row r="30" spans="1:10">
      <c r="C30" t="s">
        <v>23</v>
      </c>
      <c r="H30" s="107">
        <v>4944703</v>
      </c>
      <c r="I30" s="83"/>
      <c r="J30" s="83">
        <f t="shared" si="1"/>
        <v>4944703</v>
      </c>
    </row>
    <row r="31" spans="1:10">
      <c r="C31" t="s">
        <v>24</v>
      </c>
      <c r="H31" s="151">
        <v>2340925</v>
      </c>
      <c r="I31" s="83"/>
      <c r="J31" s="83">
        <f t="shared" si="1"/>
        <v>2340925</v>
      </c>
    </row>
    <row r="32" spans="1:10">
      <c r="C32" t="s">
        <v>106</v>
      </c>
      <c r="H32" s="123">
        <v>1091878</v>
      </c>
      <c r="I32" s="83">
        <v>34115</v>
      </c>
      <c r="J32" s="83">
        <f t="shared" si="1"/>
        <v>1125993</v>
      </c>
    </row>
    <row r="33" spans="2:10">
      <c r="C33" t="s">
        <v>294</v>
      </c>
      <c r="H33" s="96">
        <v>33275</v>
      </c>
      <c r="I33" s="83"/>
      <c r="J33" s="83">
        <f>SUM(H33:I33)</f>
        <v>33275</v>
      </c>
    </row>
    <row r="34" spans="2:10">
      <c r="C34" t="s">
        <v>200</v>
      </c>
      <c r="H34" s="79">
        <v>733000</v>
      </c>
      <c r="I34" s="83">
        <v>414888</v>
      </c>
      <c r="J34" s="83">
        <f t="shared" si="1"/>
        <v>1147888</v>
      </c>
    </row>
    <row r="35" spans="2:10">
      <c r="H35" s="81"/>
      <c r="I35" s="81"/>
      <c r="J35" s="81"/>
    </row>
    <row r="36" spans="2:10">
      <c r="D36" s="102" t="s">
        <v>123</v>
      </c>
      <c r="E36" s="104"/>
      <c r="F36" s="104"/>
      <c r="G36" s="104"/>
      <c r="H36" s="103">
        <f>SUM(H27:H34)</f>
        <v>23979560</v>
      </c>
      <c r="I36" s="103">
        <f>SUM(I26:I34)</f>
        <v>6113993</v>
      </c>
      <c r="J36" s="103">
        <f>SUM(J26:J34)</f>
        <v>30093553</v>
      </c>
    </row>
    <row r="37" spans="2:10">
      <c r="H37" s="83"/>
      <c r="I37" s="83"/>
      <c r="J37" s="83"/>
    </row>
    <row r="38" spans="2:10" s="5" customFormat="1">
      <c r="B38" s="5" t="s">
        <v>124</v>
      </c>
      <c r="H38" s="100"/>
      <c r="I38" s="100"/>
      <c r="J38" s="100"/>
    </row>
    <row r="39" spans="2:10" s="5" customFormat="1">
      <c r="C39" t="s">
        <v>492</v>
      </c>
      <c r="H39" s="79">
        <v>3964423</v>
      </c>
      <c r="I39" s="100"/>
      <c r="J39" s="83">
        <f t="shared" ref="J39:J41" si="2">SUM(H39:I39)</f>
        <v>3964423</v>
      </c>
    </row>
    <row r="40" spans="2:10" s="5" customFormat="1">
      <c r="C40" t="s">
        <v>287</v>
      </c>
      <c r="H40" s="84">
        <v>78073</v>
      </c>
      <c r="I40" s="100"/>
      <c r="J40" s="83">
        <f t="shared" si="2"/>
        <v>78073</v>
      </c>
    </row>
    <row r="41" spans="2:10" s="5" customFormat="1">
      <c r="C41" t="s">
        <v>493</v>
      </c>
      <c r="H41" s="78">
        <v>2989446</v>
      </c>
      <c r="I41" s="100"/>
      <c r="J41" s="83">
        <f t="shared" si="2"/>
        <v>2989446</v>
      </c>
    </row>
    <row r="42" spans="2:10">
      <c r="C42" t="s">
        <v>494</v>
      </c>
      <c r="H42" s="78">
        <v>117680000</v>
      </c>
      <c r="I42" s="83"/>
      <c r="J42" s="83">
        <f>SUM(H42:I42)</f>
        <v>117680000</v>
      </c>
    </row>
    <row r="43" spans="2:10">
      <c r="C43" t="s">
        <v>107</v>
      </c>
      <c r="H43" s="84">
        <v>21448731</v>
      </c>
      <c r="I43" s="83">
        <v>766302</v>
      </c>
      <c r="J43" s="83">
        <f>SUM(H43:I43)</f>
        <v>22215033</v>
      </c>
    </row>
    <row r="44" spans="2:10">
      <c r="H44" s="81"/>
      <c r="I44" s="81"/>
      <c r="J44" s="81"/>
    </row>
    <row r="45" spans="2:10">
      <c r="D45" s="102" t="s">
        <v>495</v>
      </c>
      <c r="E45" s="104"/>
      <c r="F45" s="104"/>
      <c r="G45" s="104"/>
      <c r="H45" s="103">
        <f>SUM(H39:H43)</f>
        <v>146160673</v>
      </c>
      <c r="I45" s="103">
        <f t="shared" ref="I45:J45" si="3">SUM(I39:I43)</f>
        <v>766302</v>
      </c>
      <c r="J45" s="103">
        <f t="shared" si="3"/>
        <v>146926975</v>
      </c>
    </row>
    <row r="46" spans="2:10">
      <c r="H46" s="83"/>
      <c r="I46" s="83"/>
      <c r="J46" s="83"/>
    </row>
    <row r="47" spans="2:10">
      <c r="D47" s="7" t="s">
        <v>33</v>
      </c>
      <c r="E47" s="8"/>
      <c r="F47" s="8"/>
      <c r="G47" s="8"/>
      <c r="H47" s="87">
        <f>SUM(H36+H45)</f>
        <v>170140233</v>
      </c>
      <c r="I47" s="87">
        <f>SUM(I45+I36)</f>
        <v>6880295</v>
      </c>
      <c r="J47" s="87">
        <f>SUM(J36+J45)</f>
        <v>177020528</v>
      </c>
    </row>
    <row r="48" spans="2:10">
      <c r="H48" s="83"/>
      <c r="I48" s="83"/>
      <c r="J48" s="83"/>
    </row>
    <row r="49" spans="1:10">
      <c r="A49" s="3" t="s">
        <v>95</v>
      </c>
      <c r="H49" s="83"/>
      <c r="I49" s="83"/>
      <c r="J49" s="83"/>
    </row>
    <row r="50" spans="1:10">
      <c r="B50" t="s">
        <v>430</v>
      </c>
      <c r="H50" s="88">
        <v>351520486</v>
      </c>
      <c r="I50" s="83">
        <v>103510750</v>
      </c>
      <c r="J50" s="83">
        <f>SUM(H50:I50)</f>
        <v>455031236</v>
      </c>
    </row>
    <row r="51" spans="1:10">
      <c r="B51" t="s">
        <v>176</v>
      </c>
      <c r="H51" s="89">
        <v>96356871</v>
      </c>
      <c r="I51" s="83"/>
      <c r="J51" s="83">
        <f>SUM(H51:I51)</f>
        <v>96356871</v>
      </c>
    </row>
    <row r="52" spans="1:10">
      <c r="B52" t="s">
        <v>384</v>
      </c>
      <c r="H52" s="93">
        <v>47980626</v>
      </c>
      <c r="I52" s="83">
        <v>-4329485</v>
      </c>
      <c r="J52" s="83">
        <f t="shared" ref="J52" si="4">SUM(H52:I52)</f>
        <v>43651141</v>
      </c>
    </row>
    <row r="53" spans="1:10">
      <c r="H53" s="81"/>
      <c r="I53" s="81"/>
      <c r="J53" s="81"/>
    </row>
    <row r="54" spans="1:10" s="3" customFormat="1">
      <c r="C54" s="9" t="s">
        <v>100</v>
      </c>
      <c r="D54" s="9"/>
      <c r="E54" s="9"/>
      <c r="F54" s="9"/>
      <c r="G54" s="9"/>
      <c r="H54" s="94">
        <f>SUM(H50:H52)</f>
        <v>495857983</v>
      </c>
      <c r="I54" s="94">
        <f>SUM(I50:I52)</f>
        <v>99181265</v>
      </c>
      <c r="J54" s="94">
        <f>SUM(J49:J52)</f>
        <v>595039248</v>
      </c>
    </row>
    <row r="55" spans="1:10">
      <c r="H55" s="83"/>
      <c r="I55" s="83"/>
      <c r="J55" s="83"/>
    </row>
    <row r="56" spans="1:10" s="3" customFormat="1">
      <c r="C56" s="10" t="s">
        <v>496</v>
      </c>
      <c r="D56" s="10"/>
      <c r="E56" s="10"/>
      <c r="F56" s="10"/>
      <c r="G56" s="10"/>
      <c r="H56" s="95">
        <f>SUM(H47+H54)</f>
        <v>665998216</v>
      </c>
      <c r="I56" s="95">
        <f>SUM(I54+I47)</f>
        <v>106061560</v>
      </c>
      <c r="J56" s="95">
        <f>SUM(J54+J47)</f>
        <v>772059776</v>
      </c>
    </row>
    <row r="57" spans="1:10">
      <c r="H57" s="83"/>
      <c r="I57" s="83"/>
      <c r="J57" s="83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44"/>
  <sheetViews>
    <sheetView zoomScale="80" zoomScaleNormal="80" zoomScalePageLayoutView="80" workbookViewId="0">
      <selection activeCell="K23" sqref="K23"/>
    </sheetView>
  </sheetViews>
  <sheetFormatPr defaultColWidth="8.85546875" defaultRowHeight="14.45"/>
  <cols>
    <col min="1" max="1" width="3.42578125" customWidth="1"/>
    <col min="2" max="2" width="4.140625" customWidth="1"/>
    <col min="5" max="5" width="17.42578125" customWidth="1"/>
    <col min="6" max="6" width="13.42578125" customWidth="1"/>
    <col min="7" max="7" width="16.28515625" customWidth="1"/>
    <col min="8" max="8" width="11.42578125" customWidth="1"/>
    <col min="9" max="9" width="14.140625" customWidth="1"/>
    <col min="10" max="10" width="15" customWidth="1"/>
    <col min="11" max="11" width="11.85546875" customWidth="1"/>
  </cols>
  <sheetData>
    <row r="1" spans="1:11" ht="18.600000000000001">
      <c r="A1" s="1"/>
      <c r="B1" s="1"/>
      <c r="C1" s="1" t="s">
        <v>497</v>
      </c>
      <c r="D1" s="1"/>
      <c r="E1" s="97"/>
      <c r="F1" s="97"/>
      <c r="G1" s="97"/>
    </row>
    <row r="2" spans="1:11" ht="18.600000000000001">
      <c r="A2" s="1"/>
      <c r="B2" s="1"/>
      <c r="C2" s="1"/>
      <c r="D2" s="266" t="s">
        <v>1</v>
      </c>
      <c r="E2" s="266"/>
      <c r="F2" s="266"/>
      <c r="G2" s="98"/>
    </row>
    <row r="4" spans="1:11">
      <c r="F4" s="269" t="s">
        <v>2</v>
      </c>
      <c r="G4" s="269"/>
      <c r="H4" s="163"/>
      <c r="I4" s="269" t="s">
        <v>3</v>
      </c>
      <c r="J4" s="269"/>
      <c r="K4" s="163"/>
    </row>
    <row r="5" spans="1:11" ht="33.75" customHeight="1">
      <c r="F5" s="105" t="s">
        <v>45</v>
      </c>
      <c r="G5" s="105" t="s">
        <v>141</v>
      </c>
      <c r="H5" s="106" t="s">
        <v>73</v>
      </c>
      <c r="I5" s="105" t="s">
        <v>45</v>
      </c>
      <c r="J5" s="105" t="s">
        <v>141</v>
      </c>
      <c r="K5" s="240" t="s">
        <v>73</v>
      </c>
    </row>
    <row r="6" spans="1:11">
      <c r="A6" s="3" t="s">
        <v>4</v>
      </c>
      <c r="D6" s="3"/>
      <c r="F6" s="4"/>
      <c r="G6" s="4"/>
      <c r="I6" s="4"/>
      <c r="J6" s="4"/>
    </row>
    <row r="7" spans="1:11">
      <c r="B7" t="s">
        <v>46</v>
      </c>
      <c r="F7" s="77">
        <v>2279603</v>
      </c>
      <c r="G7" s="83">
        <v>792371</v>
      </c>
      <c r="H7" s="83">
        <f>SUM(F7:G7)</f>
        <v>3071974</v>
      </c>
      <c r="I7" s="83">
        <v>4429806</v>
      </c>
      <c r="J7" s="83">
        <v>5067971</v>
      </c>
      <c r="K7" s="83">
        <f>SUM(I7:J7)</f>
        <v>9497777</v>
      </c>
    </row>
    <row r="8" spans="1:11">
      <c r="B8" t="s">
        <v>6</v>
      </c>
      <c r="F8" s="84">
        <v>706925</v>
      </c>
      <c r="G8" s="83"/>
      <c r="H8" s="83">
        <f t="shared" ref="H8:H17" si="0">SUM(F8:G8)</f>
        <v>706925</v>
      </c>
      <c r="I8" s="83">
        <v>11314015</v>
      </c>
      <c r="J8" s="83">
        <v>14679094</v>
      </c>
      <c r="K8" s="83">
        <f t="shared" ref="K8:K17" si="1">SUM(I8:J8)</f>
        <v>25993109</v>
      </c>
    </row>
    <row r="9" spans="1:11">
      <c r="B9" t="s">
        <v>75</v>
      </c>
      <c r="F9" s="78">
        <v>3308824</v>
      </c>
      <c r="G9" s="83">
        <v>690527</v>
      </c>
      <c r="H9" s="83">
        <f t="shared" si="0"/>
        <v>3999351</v>
      </c>
      <c r="I9" s="83">
        <v>3645141</v>
      </c>
      <c r="J9" s="83">
        <v>3434763</v>
      </c>
      <c r="K9" s="83">
        <f t="shared" si="1"/>
        <v>7079904</v>
      </c>
    </row>
    <row r="10" spans="1:11">
      <c r="B10" t="s">
        <v>48</v>
      </c>
      <c r="F10" s="232">
        <v>700786</v>
      </c>
      <c r="G10" s="83">
        <v>56040</v>
      </c>
      <c r="H10" s="83">
        <f t="shared" si="0"/>
        <v>756826</v>
      </c>
      <c r="I10" s="83">
        <v>339567</v>
      </c>
      <c r="J10" s="83">
        <v>152189</v>
      </c>
      <c r="K10" s="83">
        <f t="shared" si="1"/>
        <v>491756</v>
      </c>
    </row>
    <row r="11" spans="1:11">
      <c r="B11" t="s">
        <v>498</v>
      </c>
      <c r="F11" s="232">
        <v>239026</v>
      </c>
      <c r="G11" s="83"/>
      <c r="H11" s="83">
        <f t="shared" si="0"/>
        <v>239026</v>
      </c>
      <c r="I11" s="83"/>
      <c r="J11" s="83"/>
      <c r="K11" s="83">
        <f t="shared" si="1"/>
        <v>0</v>
      </c>
    </row>
    <row r="12" spans="1:11">
      <c r="B12" t="s">
        <v>76</v>
      </c>
      <c r="F12" s="79">
        <v>62650</v>
      </c>
      <c r="G12" s="83">
        <v>-62650</v>
      </c>
      <c r="H12" s="83">
        <f t="shared" si="0"/>
        <v>0</v>
      </c>
      <c r="I12" s="83"/>
      <c r="J12" s="83"/>
      <c r="K12" s="83">
        <f t="shared" si="1"/>
        <v>0</v>
      </c>
    </row>
    <row r="13" spans="1:11">
      <c r="B13" t="s">
        <v>115</v>
      </c>
      <c r="F13" s="79">
        <v>90147</v>
      </c>
      <c r="G13" s="83">
        <v>1136</v>
      </c>
      <c r="H13" s="83">
        <f t="shared" si="0"/>
        <v>91283</v>
      </c>
      <c r="I13" s="83">
        <v>133931</v>
      </c>
      <c r="J13" s="83">
        <v>678255</v>
      </c>
      <c r="K13" s="83">
        <f t="shared" si="1"/>
        <v>812186</v>
      </c>
    </row>
    <row r="14" spans="1:11">
      <c r="B14" t="s">
        <v>78</v>
      </c>
      <c r="F14" s="79">
        <v>13366</v>
      </c>
      <c r="G14" s="83">
        <v>15966</v>
      </c>
      <c r="H14" s="83">
        <f t="shared" si="0"/>
        <v>29332</v>
      </c>
      <c r="I14" s="83">
        <v>28127</v>
      </c>
      <c r="J14" s="83">
        <v>540</v>
      </c>
      <c r="K14" s="83">
        <f t="shared" si="1"/>
        <v>28667</v>
      </c>
    </row>
    <row r="15" spans="1:11">
      <c r="A15" s="5"/>
      <c r="B15" t="s">
        <v>12</v>
      </c>
      <c r="C15" s="5"/>
      <c r="D15" s="5"/>
      <c r="E15" s="5"/>
      <c r="F15" s="100"/>
      <c r="G15" s="100"/>
      <c r="H15" s="83">
        <f t="shared" si="0"/>
        <v>0</v>
      </c>
      <c r="I15" s="100"/>
      <c r="J15" s="100"/>
      <c r="K15" s="83">
        <f t="shared" si="1"/>
        <v>0</v>
      </c>
    </row>
    <row r="16" spans="1:11">
      <c r="C16" t="s">
        <v>13</v>
      </c>
      <c r="F16" s="80">
        <v>1460171</v>
      </c>
      <c r="G16" s="83">
        <v>45233</v>
      </c>
      <c r="H16" s="83">
        <f t="shared" si="0"/>
        <v>1505404</v>
      </c>
      <c r="I16" s="83">
        <v>1313808</v>
      </c>
      <c r="J16" s="83">
        <v>5248953</v>
      </c>
      <c r="K16" s="83">
        <f t="shared" si="1"/>
        <v>6562761</v>
      </c>
    </row>
    <row r="17" spans="1:11">
      <c r="C17" t="s">
        <v>14</v>
      </c>
      <c r="F17" s="91">
        <v>15541863</v>
      </c>
      <c r="G17" s="83">
        <v>2061224</v>
      </c>
      <c r="H17" s="83">
        <f t="shared" si="0"/>
        <v>17603087</v>
      </c>
      <c r="I17" s="122">
        <v>12908626</v>
      </c>
      <c r="J17" s="83">
        <v>23988537</v>
      </c>
      <c r="K17" s="83">
        <f t="shared" si="1"/>
        <v>36897163</v>
      </c>
    </row>
    <row r="18" spans="1:11">
      <c r="F18" s="83"/>
      <c r="G18" s="81"/>
      <c r="H18" s="81"/>
      <c r="I18" s="83"/>
      <c r="J18" s="81"/>
    </row>
    <row r="19" spans="1:11">
      <c r="A19" s="5"/>
      <c r="B19" s="5"/>
      <c r="C19" s="6" t="s">
        <v>15</v>
      </c>
      <c r="D19" s="6"/>
      <c r="E19" s="6"/>
      <c r="F19" s="82">
        <f>SUM(F7:F17)</f>
        <v>24403361</v>
      </c>
      <c r="G19" s="82">
        <f t="shared" ref="G19:J19" si="2">SUM(G7:G17)</f>
        <v>3599847</v>
      </c>
      <c r="H19" s="82">
        <f t="shared" si="2"/>
        <v>28003208</v>
      </c>
      <c r="I19" s="82">
        <f t="shared" si="2"/>
        <v>34113021</v>
      </c>
      <c r="J19" s="82">
        <f t="shared" si="2"/>
        <v>53250302</v>
      </c>
      <c r="K19" s="82">
        <f>SUM(I19:J20)</f>
        <v>87363323</v>
      </c>
    </row>
    <row r="20" spans="1:11">
      <c r="F20" s="83"/>
      <c r="G20" s="83"/>
      <c r="H20" s="83"/>
      <c r="I20" s="83"/>
      <c r="J20" s="83"/>
    </row>
    <row r="21" spans="1:11">
      <c r="A21" s="5" t="s">
        <v>52</v>
      </c>
      <c r="F21" s="128"/>
      <c r="G21" s="83"/>
      <c r="H21" s="83"/>
      <c r="I21" s="83"/>
      <c r="J21" s="83"/>
    </row>
    <row r="22" spans="1:11">
      <c r="B22" t="s">
        <v>81</v>
      </c>
      <c r="F22" s="151">
        <v>1058577</v>
      </c>
      <c r="G22" s="83">
        <v>319400</v>
      </c>
      <c r="H22" s="83">
        <f>SUM(F22:G22)</f>
        <v>1377977</v>
      </c>
      <c r="I22" s="83">
        <v>706987</v>
      </c>
      <c r="J22" s="83">
        <v>2102604</v>
      </c>
      <c r="K22" s="83">
        <f>SUM(I22:J22)</f>
        <v>2809591</v>
      </c>
    </row>
    <row r="23" spans="1:11">
      <c r="B23" t="s">
        <v>232</v>
      </c>
      <c r="F23" s="96">
        <v>476736</v>
      </c>
      <c r="G23" s="83"/>
      <c r="H23" s="83">
        <f t="shared" ref="H23:H27" si="3">SUM(F23:G23)</f>
        <v>476736</v>
      </c>
      <c r="I23" s="128">
        <v>8849</v>
      </c>
      <c r="J23" s="83">
        <v>177350</v>
      </c>
      <c r="K23" s="83">
        <f t="shared" ref="K23:K27" si="4">SUM(I23:J23)</f>
        <v>186199</v>
      </c>
    </row>
    <row r="24" spans="1:11">
      <c r="B24" t="s">
        <v>499</v>
      </c>
      <c r="F24" s="121"/>
      <c r="G24" s="83">
        <v>780178</v>
      </c>
      <c r="H24" s="83">
        <f t="shared" si="3"/>
        <v>780178</v>
      </c>
      <c r="I24" s="83"/>
      <c r="J24" s="83">
        <v>310443</v>
      </c>
      <c r="K24" s="83">
        <f t="shared" si="4"/>
        <v>310443</v>
      </c>
    </row>
    <row r="25" spans="1:11">
      <c r="B25" t="s">
        <v>500</v>
      </c>
      <c r="F25" s="83"/>
      <c r="G25" s="83"/>
      <c r="H25" s="83">
        <f t="shared" si="3"/>
        <v>0</v>
      </c>
      <c r="I25" s="83"/>
      <c r="J25" s="83"/>
      <c r="K25" s="83">
        <f t="shared" si="4"/>
        <v>0</v>
      </c>
    </row>
    <row r="26" spans="1:11">
      <c r="C26" t="s">
        <v>88</v>
      </c>
      <c r="D26" s="5"/>
      <c r="F26" s="92">
        <v>443736</v>
      </c>
      <c r="G26" s="83">
        <v>93220</v>
      </c>
      <c r="H26" s="83">
        <v>536956</v>
      </c>
      <c r="I26" s="83">
        <v>465764</v>
      </c>
      <c r="J26" s="83">
        <v>228729</v>
      </c>
      <c r="K26" s="83">
        <f t="shared" si="4"/>
        <v>694493</v>
      </c>
    </row>
    <row r="27" spans="1:11">
      <c r="A27" s="5"/>
      <c r="B27" s="5"/>
      <c r="C27" t="s">
        <v>89</v>
      </c>
      <c r="D27" s="5"/>
      <c r="E27" s="5"/>
      <c r="F27" s="77">
        <v>7635201</v>
      </c>
      <c r="G27" s="83">
        <v>456941</v>
      </c>
      <c r="H27" s="83">
        <f t="shared" si="3"/>
        <v>8092142</v>
      </c>
      <c r="I27" s="83">
        <v>3897020</v>
      </c>
      <c r="J27" s="83">
        <v>7146607</v>
      </c>
      <c r="K27" s="122">
        <f t="shared" si="4"/>
        <v>11043627</v>
      </c>
    </row>
    <row r="28" spans="1:11">
      <c r="F28" s="81"/>
      <c r="G28" s="81"/>
      <c r="H28" s="81"/>
      <c r="I28" s="81"/>
      <c r="J28" s="81"/>
    </row>
    <row r="29" spans="1:11">
      <c r="D29" s="7" t="s">
        <v>33</v>
      </c>
      <c r="E29" s="8"/>
      <c r="F29" s="87">
        <f>SUM(F22:F27)</f>
        <v>9614250</v>
      </c>
      <c r="G29" s="87">
        <f t="shared" ref="G29:H29" si="5">SUM(G22:G27)</f>
        <v>1649739</v>
      </c>
      <c r="H29" s="87">
        <f t="shared" si="5"/>
        <v>11263989</v>
      </c>
      <c r="I29" s="87">
        <f>SUM(I22:I27)</f>
        <v>5078620</v>
      </c>
      <c r="J29" s="87">
        <f>SUM(J22:J27)</f>
        <v>9965733</v>
      </c>
      <c r="K29" s="87">
        <f>SUM(I29:J29)</f>
        <v>15044353</v>
      </c>
    </row>
    <row r="30" spans="1:11">
      <c r="F30" s="83"/>
      <c r="G30" s="83"/>
      <c r="H30" s="83"/>
      <c r="I30" s="83"/>
      <c r="J30" s="83"/>
    </row>
    <row r="31" spans="1:11">
      <c r="A31" s="5" t="s">
        <v>91</v>
      </c>
      <c r="F31" s="83"/>
      <c r="G31" s="83"/>
      <c r="H31" s="83"/>
      <c r="I31" s="83"/>
      <c r="J31" s="83"/>
    </row>
    <row r="32" spans="1:11">
      <c r="B32" t="s">
        <v>501</v>
      </c>
      <c r="F32" s="122"/>
      <c r="G32" s="122">
        <v>0</v>
      </c>
      <c r="H32" s="122">
        <f>SUM(F32:G32)</f>
        <v>0</v>
      </c>
      <c r="I32" s="122">
        <v>1038523</v>
      </c>
      <c r="J32" s="122">
        <v>0</v>
      </c>
      <c r="K32" s="122">
        <f>SUM(I32:J32)</f>
        <v>1038523</v>
      </c>
    </row>
    <row r="33" spans="1:11">
      <c r="F33" s="83"/>
      <c r="G33" s="83"/>
      <c r="H33" s="83"/>
      <c r="I33" s="83"/>
      <c r="J33" s="83"/>
    </row>
    <row r="34" spans="1:11">
      <c r="A34" s="3" t="s">
        <v>35</v>
      </c>
      <c r="F34" s="83"/>
      <c r="G34" s="83"/>
      <c r="H34" s="83"/>
      <c r="I34" s="83"/>
      <c r="J34" s="83"/>
    </row>
    <row r="35" spans="1:11">
      <c r="B35" t="s">
        <v>61</v>
      </c>
      <c r="F35" s="88">
        <v>8923097</v>
      </c>
      <c r="G35" s="83">
        <v>1556296</v>
      </c>
      <c r="H35" s="83">
        <f t="shared" ref="H35:H40" si="6">SUM(F35:G35)</f>
        <v>10479393</v>
      </c>
      <c r="I35" s="83">
        <v>11607710</v>
      </c>
      <c r="J35" s="83">
        <v>21563440</v>
      </c>
      <c r="K35" s="83">
        <f>SUM(I35:J35)</f>
        <v>33171150</v>
      </c>
    </row>
    <row r="36" spans="1:11">
      <c r="B36" t="s">
        <v>37</v>
      </c>
      <c r="F36" s="83"/>
      <c r="G36" s="83"/>
      <c r="H36" s="83"/>
      <c r="I36" s="83"/>
      <c r="J36" s="83"/>
      <c r="K36" s="83"/>
    </row>
    <row r="37" spans="1:11">
      <c r="C37" t="s">
        <v>502</v>
      </c>
      <c r="F37" s="89">
        <v>613294</v>
      </c>
      <c r="G37" s="83"/>
      <c r="H37" s="83">
        <f t="shared" si="6"/>
        <v>613294</v>
      </c>
      <c r="I37" s="83"/>
      <c r="J37" s="83"/>
      <c r="K37" s="83">
        <f t="shared" ref="K37:K44" si="7">SUM(I37:J37)</f>
        <v>0</v>
      </c>
    </row>
    <row r="38" spans="1:11">
      <c r="C38" t="s">
        <v>38</v>
      </c>
      <c r="F38" s="89">
        <v>2196694</v>
      </c>
      <c r="G38" s="83">
        <v>35563</v>
      </c>
      <c r="H38" s="83">
        <f t="shared" si="6"/>
        <v>2232257</v>
      </c>
      <c r="I38" s="83">
        <v>155773</v>
      </c>
      <c r="J38" s="83">
        <v>443025</v>
      </c>
      <c r="K38" s="83">
        <f t="shared" si="7"/>
        <v>598798</v>
      </c>
    </row>
    <row r="39" spans="1:11">
      <c r="C39" t="s">
        <v>40</v>
      </c>
      <c r="F39" s="83"/>
      <c r="G39" s="83"/>
      <c r="H39" s="83">
        <f t="shared" si="6"/>
        <v>0</v>
      </c>
      <c r="I39" s="83">
        <v>721976</v>
      </c>
      <c r="J39" s="83"/>
      <c r="K39" s="83">
        <f t="shared" si="7"/>
        <v>721976</v>
      </c>
    </row>
    <row r="40" spans="1:11">
      <c r="B40" t="s">
        <v>69</v>
      </c>
      <c r="F40" s="93">
        <v>3056026</v>
      </c>
      <c r="G40" s="83">
        <v>358249</v>
      </c>
      <c r="H40" s="83">
        <f t="shared" si="6"/>
        <v>3414275</v>
      </c>
      <c r="I40" s="83">
        <v>15510419</v>
      </c>
      <c r="J40" s="83">
        <v>21278104</v>
      </c>
      <c r="K40" s="122">
        <f t="shared" si="7"/>
        <v>36788523</v>
      </c>
    </row>
    <row r="41" spans="1:11">
      <c r="F41" s="81"/>
      <c r="G41" s="81"/>
      <c r="H41" s="81"/>
      <c r="I41" s="81"/>
      <c r="J41" s="81"/>
      <c r="K41" s="83"/>
    </row>
    <row r="42" spans="1:11">
      <c r="A42" s="3"/>
      <c r="B42" s="3"/>
      <c r="C42" s="9" t="s">
        <v>42</v>
      </c>
      <c r="D42" s="9"/>
      <c r="E42" s="9"/>
      <c r="F42" s="94">
        <f>SUM(F35:F40)</f>
        <v>14789111</v>
      </c>
      <c r="G42" s="94">
        <f>SUM(G35:G40)</f>
        <v>1950108</v>
      </c>
      <c r="H42" s="94">
        <f>SUM(H34:H40)</f>
        <v>16739219</v>
      </c>
      <c r="I42" s="94">
        <f>SUM(I35:I40)</f>
        <v>27995878</v>
      </c>
      <c r="J42" s="94">
        <f>SUM(J35:J40)</f>
        <v>43284569</v>
      </c>
      <c r="K42" s="242">
        <f t="shared" si="7"/>
        <v>71280447</v>
      </c>
    </row>
    <row r="43" spans="1:11">
      <c r="F43" s="83"/>
      <c r="G43" s="83"/>
      <c r="H43" s="83"/>
      <c r="I43" s="83"/>
      <c r="J43" s="83"/>
      <c r="K43" s="83"/>
    </row>
    <row r="44" spans="1:11">
      <c r="A44" s="3"/>
      <c r="B44" s="3"/>
      <c r="C44" s="10" t="s">
        <v>43</v>
      </c>
      <c r="D44" s="10"/>
      <c r="E44" s="10"/>
      <c r="F44" s="95">
        <f>SUM(F29+F42+F32)</f>
        <v>24403361</v>
      </c>
      <c r="G44" s="95">
        <f t="shared" ref="G44:J44" si="8">SUM(G29+G42+G32)</f>
        <v>3599847</v>
      </c>
      <c r="H44" s="95">
        <f t="shared" si="8"/>
        <v>28003208</v>
      </c>
      <c r="I44" s="95">
        <f t="shared" si="8"/>
        <v>34113021</v>
      </c>
      <c r="J44" s="95">
        <f t="shared" si="8"/>
        <v>53250302</v>
      </c>
      <c r="K44" s="241">
        <f t="shared" si="7"/>
        <v>87363323</v>
      </c>
    </row>
  </sheetData>
  <mergeCells count="3">
    <mergeCell ref="D2:F2"/>
    <mergeCell ref="F4:G4"/>
    <mergeCell ref="I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38"/>
  <sheetViews>
    <sheetView zoomScale="80" zoomScaleNormal="80" zoomScalePageLayoutView="80" workbookViewId="0">
      <selection activeCell="F43" sqref="F43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425781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68" t="s">
        <v>503</v>
      </c>
      <c r="E1" s="268"/>
      <c r="F1" s="268"/>
      <c r="G1" s="268"/>
      <c r="H1" s="268"/>
    </row>
    <row r="2" spans="1:10" ht="18.600000000000001">
      <c r="A2" s="1"/>
      <c r="B2" s="1"/>
      <c r="C2" s="1"/>
      <c r="D2" s="266" t="s">
        <v>1</v>
      </c>
      <c r="E2" s="266"/>
      <c r="F2" s="266"/>
      <c r="G2" s="266"/>
      <c r="H2" s="266"/>
    </row>
    <row r="4" spans="1:10">
      <c r="H4" s="211"/>
    </row>
    <row r="5" spans="1:10">
      <c r="H5" s="105">
        <v>2014</v>
      </c>
      <c r="I5" s="106">
        <v>2013</v>
      </c>
      <c r="J5" s="5"/>
    </row>
    <row r="6" spans="1:10">
      <c r="A6" s="3" t="s">
        <v>4</v>
      </c>
      <c r="D6" s="3"/>
      <c r="G6" s="4"/>
      <c r="H6" s="4"/>
    </row>
    <row r="7" spans="1:10">
      <c r="C7" t="s">
        <v>46</v>
      </c>
      <c r="H7" s="77">
        <v>51085465</v>
      </c>
      <c r="I7" s="83">
        <v>50024032</v>
      </c>
    </row>
    <row r="8" spans="1:10">
      <c r="C8" t="s">
        <v>47</v>
      </c>
      <c r="H8" s="78">
        <v>22832720</v>
      </c>
      <c r="I8" s="83">
        <v>22585071</v>
      </c>
    </row>
    <row r="9" spans="1:10">
      <c r="C9" t="s">
        <v>78</v>
      </c>
      <c r="H9" s="79">
        <v>516</v>
      </c>
      <c r="I9" s="83">
        <v>492</v>
      </c>
    </row>
    <row r="10" spans="1:10">
      <c r="C10" t="s">
        <v>127</v>
      </c>
      <c r="H10" s="121"/>
      <c r="I10" s="83"/>
    </row>
    <row r="11" spans="1:10">
      <c r="D11" t="s">
        <v>504</v>
      </c>
      <c r="H11" s="83"/>
      <c r="I11" s="83"/>
    </row>
    <row r="12" spans="1:10">
      <c r="E12" t="s">
        <v>128</v>
      </c>
      <c r="H12" s="80">
        <v>1991998</v>
      </c>
      <c r="I12" s="83">
        <v>1689373</v>
      </c>
    </row>
    <row r="13" spans="1:10">
      <c r="E13" t="s">
        <v>132</v>
      </c>
      <c r="H13" s="80">
        <v>4503009</v>
      </c>
      <c r="I13" s="83">
        <v>1375268</v>
      </c>
    </row>
    <row r="14" spans="1:10">
      <c r="D14" t="s">
        <v>505</v>
      </c>
      <c r="H14" s="83"/>
      <c r="I14" s="83"/>
    </row>
    <row r="15" spans="1:10">
      <c r="E15" t="s">
        <v>129</v>
      </c>
      <c r="H15" s="80">
        <v>10023028</v>
      </c>
      <c r="I15" s="83">
        <v>10856728</v>
      </c>
    </row>
    <row r="16" spans="1:10">
      <c r="E16" t="s">
        <v>506</v>
      </c>
      <c r="H16" s="80">
        <v>8034400</v>
      </c>
      <c r="I16" s="83">
        <v>7063409</v>
      </c>
    </row>
    <row r="17" spans="1:9">
      <c r="E17" t="s">
        <v>131</v>
      </c>
      <c r="H17" s="91">
        <v>29558510</v>
      </c>
      <c r="I17" s="83">
        <v>30119389</v>
      </c>
    </row>
    <row r="18" spans="1:9">
      <c r="H18" s="83"/>
      <c r="I18" s="81"/>
    </row>
    <row r="19" spans="1:9" s="5" customFormat="1">
      <c r="C19" s="6" t="s">
        <v>15</v>
      </c>
      <c r="D19" s="6"/>
      <c r="E19" s="6"/>
      <c r="F19" s="6"/>
      <c r="G19" s="6"/>
      <c r="H19" s="82">
        <f>SUM(H7:H17)</f>
        <v>128029646</v>
      </c>
      <c r="I19" s="82">
        <f>SUM(I7:I17)</f>
        <v>123713762</v>
      </c>
    </row>
    <row r="20" spans="1:9">
      <c r="H20" s="83"/>
      <c r="I20" s="83"/>
    </row>
    <row r="21" spans="1:9">
      <c r="A21" s="5" t="s">
        <v>52</v>
      </c>
      <c r="H21" s="83"/>
      <c r="I21" s="83"/>
    </row>
    <row r="22" spans="1:9">
      <c r="C22" t="s">
        <v>133</v>
      </c>
      <c r="H22" s="84">
        <v>916265</v>
      </c>
      <c r="I22" s="83">
        <v>1276458</v>
      </c>
    </row>
    <row r="23" spans="1:9">
      <c r="C23" t="s">
        <v>138</v>
      </c>
      <c r="H23" s="79">
        <v>632212</v>
      </c>
      <c r="I23" s="83">
        <v>1693311</v>
      </c>
    </row>
    <row r="24" spans="1:9">
      <c r="C24" t="s">
        <v>134</v>
      </c>
      <c r="H24" s="84">
        <v>881344</v>
      </c>
      <c r="I24" s="83">
        <v>1097664</v>
      </c>
    </row>
    <row r="25" spans="1:9">
      <c r="C25" t="s">
        <v>109</v>
      </c>
      <c r="H25" s="83"/>
      <c r="I25" s="83"/>
    </row>
    <row r="26" spans="1:9">
      <c r="D26" t="s">
        <v>88</v>
      </c>
      <c r="H26" s="92">
        <v>1660074</v>
      </c>
      <c r="I26" s="83">
        <v>1649430</v>
      </c>
    </row>
    <row r="27" spans="1:9">
      <c r="D27" t="s">
        <v>89</v>
      </c>
      <c r="H27" s="77">
        <v>53531400</v>
      </c>
      <c r="I27" s="83">
        <v>48762251</v>
      </c>
    </row>
    <row r="28" spans="1:9">
      <c r="H28" s="81"/>
      <c r="I28" s="81"/>
    </row>
    <row r="29" spans="1:9">
      <c r="D29" s="7" t="s">
        <v>33</v>
      </c>
      <c r="E29" s="8"/>
      <c r="F29" s="8"/>
      <c r="G29" s="8"/>
      <c r="H29" s="87">
        <f>SUM(H22:H27)</f>
        <v>57621295</v>
      </c>
      <c r="I29" s="87">
        <f>SUM(I22:I27)</f>
        <v>54479114</v>
      </c>
    </row>
    <row r="30" spans="1:9">
      <c r="H30" s="83"/>
      <c r="I30" s="83"/>
    </row>
    <row r="31" spans="1:9">
      <c r="A31" s="3" t="s">
        <v>35</v>
      </c>
      <c r="H31" s="83"/>
      <c r="I31" s="83"/>
    </row>
    <row r="32" spans="1:9">
      <c r="B32" t="s">
        <v>61</v>
      </c>
      <c r="H32" s="88">
        <v>26878874</v>
      </c>
      <c r="I32" s="83">
        <v>24889814</v>
      </c>
    </row>
    <row r="33" spans="2:9">
      <c r="B33" t="s">
        <v>283</v>
      </c>
      <c r="H33" s="89">
        <v>3296487</v>
      </c>
      <c r="I33" s="83">
        <v>2945708</v>
      </c>
    </row>
    <row r="34" spans="2:9">
      <c r="B34" t="s">
        <v>69</v>
      </c>
      <c r="H34" s="93">
        <v>40232989</v>
      </c>
      <c r="I34" s="83">
        <v>41399125</v>
      </c>
    </row>
    <row r="35" spans="2:9">
      <c r="H35" s="81"/>
      <c r="I35" s="81"/>
    </row>
    <row r="36" spans="2:9" s="3" customFormat="1">
      <c r="C36" s="9" t="s">
        <v>100</v>
      </c>
      <c r="D36" s="9"/>
      <c r="E36" s="9"/>
      <c r="F36" s="9"/>
      <c r="G36" s="9"/>
      <c r="H36" s="94">
        <f>SUM(H32:H34)</f>
        <v>70408350</v>
      </c>
      <c r="I36" s="94">
        <f>SUM(I31:I34)</f>
        <v>69234647</v>
      </c>
    </row>
    <row r="37" spans="2:9">
      <c r="H37" s="83"/>
      <c r="I37" s="83"/>
    </row>
    <row r="38" spans="2:9">
      <c r="C38" s="10" t="s">
        <v>43</v>
      </c>
      <c r="D38" s="10"/>
      <c r="E38" s="10"/>
      <c r="F38" s="227"/>
      <c r="G38" s="227"/>
      <c r="H38" s="227">
        <f>H36+H29</f>
        <v>128029645</v>
      </c>
      <c r="I38" s="227">
        <f>I36+I29</f>
        <v>123713761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48"/>
  <sheetViews>
    <sheetView zoomScale="70" zoomScaleNormal="70" zoomScalePageLayoutView="70" workbookViewId="0">
      <selection activeCell="C47" sqref="C47:J47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51.42578125" customWidth="1"/>
    <col min="8" max="8" width="17.140625" customWidth="1"/>
    <col min="9" max="9" width="19.85546875" customWidth="1"/>
    <col min="10" max="10" width="17.28515625" customWidth="1"/>
  </cols>
  <sheetData>
    <row r="1" spans="1:11" ht="18.75" customHeight="1">
      <c r="A1" s="1"/>
      <c r="B1" s="1"/>
      <c r="C1" s="1"/>
      <c r="D1" s="268" t="s">
        <v>507</v>
      </c>
      <c r="E1" s="268"/>
      <c r="F1" s="268"/>
      <c r="G1" s="268"/>
      <c r="H1" s="268"/>
      <c r="I1" s="97"/>
    </row>
    <row r="2" spans="1:11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</row>
    <row r="4" spans="1:11" ht="31.5" customHeight="1">
      <c r="H4" s="105" t="s">
        <v>45</v>
      </c>
      <c r="I4" s="105" t="s">
        <v>141</v>
      </c>
      <c r="J4" s="106" t="s">
        <v>73</v>
      </c>
      <c r="K4" s="5"/>
    </row>
    <row r="5" spans="1:11">
      <c r="A5" s="3" t="s">
        <v>4</v>
      </c>
      <c r="D5" s="3"/>
      <c r="G5" s="4"/>
      <c r="H5" s="4"/>
      <c r="I5" s="4"/>
    </row>
    <row r="6" spans="1:11">
      <c r="A6" s="3"/>
      <c r="B6" s="5" t="s">
        <v>74</v>
      </c>
      <c r="D6" s="3"/>
      <c r="G6" s="4"/>
      <c r="H6" s="76"/>
      <c r="I6" s="76"/>
      <c r="J6" s="83"/>
    </row>
    <row r="7" spans="1:11">
      <c r="C7" t="s">
        <v>46</v>
      </c>
      <c r="H7" s="77">
        <v>12519211</v>
      </c>
      <c r="I7" s="83">
        <v>100126</v>
      </c>
      <c r="J7" s="83">
        <f>SUM(H7:I7)</f>
        <v>12619337</v>
      </c>
    </row>
    <row r="8" spans="1:11">
      <c r="C8" t="s">
        <v>6</v>
      </c>
      <c r="H8" s="84">
        <v>19054888</v>
      </c>
      <c r="I8" s="83"/>
      <c r="J8" s="83">
        <f t="shared" ref="J8:J9" si="0">SUM(H8:I8)</f>
        <v>19054888</v>
      </c>
    </row>
    <row r="9" spans="1:11">
      <c r="C9" t="s">
        <v>47</v>
      </c>
      <c r="H9" s="78">
        <v>4424485</v>
      </c>
      <c r="I9" s="83">
        <v>3082</v>
      </c>
      <c r="J9" s="83">
        <f t="shared" si="0"/>
        <v>4427567</v>
      </c>
    </row>
    <row r="10" spans="1:11">
      <c r="C10" t="s">
        <v>508</v>
      </c>
      <c r="H10" s="79">
        <v>18353</v>
      </c>
      <c r="I10" s="83"/>
      <c r="J10" s="83">
        <f>SUM(H10:I10)</f>
        <v>18353</v>
      </c>
    </row>
    <row r="11" spans="1:11">
      <c r="H11" s="81"/>
      <c r="I11" s="81"/>
      <c r="J11" s="81"/>
    </row>
    <row r="12" spans="1:11" s="5" customFormat="1">
      <c r="C12" s="102" t="s">
        <v>116</v>
      </c>
      <c r="D12" s="102"/>
      <c r="E12" s="102"/>
      <c r="F12" s="102"/>
      <c r="G12" s="102"/>
      <c r="H12" s="103">
        <f>SUM(H7:H10)</f>
        <v>36016937</v>
      </c>
      <c r="I12" s="103">
        <f>SUM(I7:I11)</f>
        <v>103208</v>
      </c>
      <c r="J12" s="103">
        <f>SUM(J7:J10)</f>
        <v>36120145</v>
      </c>
    </row>
    <row r="13" spans="1:11">
      <c r="H13" s="83"/>
      <c r="I13" s="83"/>
      <c r="J13" s="83"/>
    </row>
    <row r="14" spans="1:11" s="5" customFormat="1">
      <c r="B14" s="5" t="s">
        <v>117</v>
      </c>
      <c r="H14" s="100"/>
      <c r="I14" s="100"/>
      <c r="J14" s="100"/>
    </row>
    <row r="15" spans="1:11">
      <c r="C15" t="s">
        <v>51</v>
      </c>
      <c r="H15" s="80">
        <v>15298294</v>
      </c>
      <c r="I15" s="83">
        <v>262880</v>
      </c>
      <c r="J15" s="83">
        <v>15561174</v>
      </c>
    </row>
    <row r="16" spans="1:11">
      <c r="H16" s="81"/>
      <c r="I16" s="81"/>
      <c r="J16" s="81"/>
    </row>
    <row r="17" spans="1:10" s="5" customFormat="1">
      <c r="C17" s="6" t="s">
        <v>15</v>
      </c>
      <c r="D17" s="6"/>
      <c r="E17" s="6"/>
      <c r="F17" s="6"/>
      <c r="G17" s="6"/>
      <c r="H17" s="82">
        <f>SUM(H12+H15)</f>
        <v>51315231</v>
      </c>
      <c r="I17" s="82">
        <f t="shared" ref="I17:J17" si="1">SUM(I12+I15)</f>
        <v>366088</v>
      </c>
      <c r="J17" s="82">
        <f t="shared" si="1"/>
        <v>51681319</v>
      </c>
    </row>
    <row r="18" spans="1:10">
      <c r="H18" s="83"/>
      <c r="I18" s="83"/>
      <c r="J18" s="83"/>
    </row>
    <row r="19" spans="1:10">
      <c r="A19" s="5" t="s">
        <v>52</v>
      </c>
      <c r="H19" s="83"/>
      <c r="I19" s="83"/>
      <c r="J19" s="83"/>
    </row>
    <row r="20" spans="1:10" s="5" customFormat="1">
      <c r="B20" s="5" t="s">
        <v>121</v>
      </c>
      <c r="H20" s="100"/>
      <c r="I20" s="100"/>
      <c r="J20" s="100"/>
    </row>
    <row r="21" spans="1:10" s="5" customFormat="1">
      <c r="C21" t="s">
        <v>509</v>
      </c>
      <c r="H21" s="164">
        <v>723013</v>
      </c>
      <c r="I21" s="83">
        <v>1738</v>
      </c>
      <c r="J21" s="83">
        <f>SUM(H21:I21)</f>
        <v>724751</v>
      </c>
    </row>
    <row r="22" spans="1:10">
      <c r="A22" s="5"/>
      <c r="C22" t="s">
        <v>106</v>
      </c>
      <c r="H22" s="123">
        <v>52750</v>
      </c>
      <c r="I22" s="83"/>
      <c r="J22" s="83">
        <f>SUM(H22:I22)</f>
        <v>52750</v>
      </c>
    </row>
    <row r="23" spans="1:10">
      <c r="H23" s="81"/>
      <c r="I23" s="81"/>
      <c r="J23" s="81"/>
    </row>
    <row r="24" spans="1:10">
      <c r="D24" s="102" t="s">
        <v>123</v>
      </c>
      <c r="E24" s="104"/>
      <c r="F24" s="104"/>
      <c r="G24" s="104"/>
      <c r="H24" s="103">
        <f>SUM(H21:H22)</f>
        <v>775763</v>
      </c>
      <c r="I24" s="103">
        <f t="shared" ref="I24:J24" si="2">SUM(I21:I22)</f>
        <v>1738</v>
      </c>
      <c r="J24" s="103">
        <f t="shared" si="2"/>
        <v>777501</v>
      </c>
    </row>
    <row r="25" spans="1:10">
      <c r="H25" s="83"/>
      <c r="I25" s="83"/>
      <c r="J25" s="83"/>
    </row>
    <row r="26" spans="1:10" s="5" customFormat="1">
      <c r="B26" s="5" t="s">
        <v>124</v>
      </c>
      <c r="H26" s="100"/>
      <c r="I26" s="100"/>
      <c r="J26" s="100"/>
    </row>
    <row r="27" spans="1:10" s="5" customFormat="1">
      <c r="C27" t="s">
        <v>510</v>
      </c>
      <c r="H27" s="86">
        <v>17758</v>
      </c>
      <c r="I27" s="100"/>
      <c r="J27" s="83">
        <f t="shared" ref="J27" si="3">SUM(H27:I27)</f>
        <v>17758</v>
      </c>
    </row>
    <row r="28" spans="1:10">
      <c r="C28" t="s">
        <v>107</v>
      </c>
      <c r="H28" s="84">
        <v>139351</v>
      </c>
      <c r="I28" s="83"/>
      <c r="J28" s="83">
        <f>SUM(H28:I28)</f>
        <v>139351</v>
      </c>
    </row>
    <row r="29" spans="1:10">
      <c r="H29" s="81"/>
      <c r="I29" s="81"/>
      <c r="J29" s="81"/>
    </row>
    <row r="30" spans="1:10">
      <c r="D30" s="102" t="s">
        <v>495</v>
      </c>
      <c r="E30" s="104"/>
      <c r="F30" s="104"/>
      <c r="G30" s="104"/>
      <c r="H30" s="103">
        <f>SUM(H27:H28)</f>
        <v>157109</v>
      </c>
      <c r="I30" s="103">
        <f>SUM(I27:I28)</f>
        <v>0</v>
      </c>
      <c r="J30" s="103">
        <f>SUM(J27:J28)</f>
        <v>157109</v>
      </c>
    </row>
    <row r="31" spans="1:10">
      <c r="H31" s="83"/>
      <c r="I31" s="83"/>
      <c r="J31" s="83"/>
    </row>
    <row r="32" spans="1:10">
      <c r="D32" s="7" t="s">
        <v>33</v>
      </c>
      <c r="E32" s="8"/>
      <c r="F32" s="8"/>
      <c r="G32" s="8"/>
      <c r="H32" s="87">
        <f>SUM(H24+H30)</f>
        <v>932872</v>
      </c>
      <c r="I32" s="87">
        <f>SUM(I30+I24)</f>
        <v>1738</v>
      </c>
      <c r="J32" s="87">
        <f>SUM(J24+J30)</f>
        <v>934610</v>
      </c>
    </row>
    <row r="33" spans="1:10">
      <c r="H33" s="83"/>
      <c r="I33" s="83"/>
      <c r="J33" s="83"/>
    </row>
    <row r="34" spans="1:10">
      <c r="A34" s="5" t="s">
        <v>195</v>
      </c>
      <c r="H34" s="83"/>
      <c r="I34" s="83"/>
      <c r="J34" s="83"/>
    </row>
    <row r="35" spans="1:10">
      <c r="H35" s="83"/>
      <c r="I35" s="83"/>
      <c r="J35" s="83"/>
    </row>
    <row r="36" spans="1:10">
      <c r="A36" s="3" t="s">
        <v>95</v>
      </c>
      <c r="H36" s="83"/>
      <c r="I36" s="83"/>
      <c r="J36" s="83"/>
    </row>
    <row r="37" spans="1:10">
      <c r="B37" t="s">
        <v>96</v>
      </c>
      <c r="H37" s="88">
        <v>15298294</v>
      </c>
      <c r="I37" s="83">
        <v>262880</v>
      </c>
      <c r="J37" s="83">
        <f t="shared" ref="J37:J43" si="4">SUM(H37:I37)</f>
        <v>15561174</v>
      </c>
    </row>
    <row r="38" spans="1:10">
      <c r="B38" t="s">
        <v>37</v>
      </c>
      <c r="H38" s="83"/>
      <c r="I38" s="83"/>
      <c r="J38" s="83"/>
    </row>
    <row r="39" spans="1:10">
      <c r="C39" t="s">
        <v>511</v>
      </c>
      <c r="H39" s="89">
        <v>7062267</v>
      </c>
      <c r="I39" s="83"/>
      <c r="J39" s="83">
        <f t="shared" si="4"/>
        <v>7062267</v>
      </c>
    </row>
    <row r="40" spans="1:10">
      <c r="C40" t="s">
        <v>512</v>
      </c>
      <c r="H40" s="89">
        <v>3829412</v>
      </c>
      <c r="I40" s="83"/>
      <c r="J40" s="83">
        <f t="shared" si="4"/>
        <v>3829412</v>
      </c>
    </row>
    <row r="41" spans="1:10">
      <c r="C41" t="s">
        <v>513</v>
      </c>
      <c r="H41" s="89">
        <v>1961059</v>
      </c>
      <c r="I41" s="83"/>
      <c r="J41" s="83">
        <f t="shared" si="4"/>
        <v>1961059</v>
      </c>
    </row>
    <row r="42" spans="1:10">
      <c r="C42" t="s">
        <v>98</v>
      </c>
      <c r="H42" s="89">
        <v>481881</v>
      </c>
      <c r="I42" s="83"/>
      <c r="J42" s="83">
        <f t="shared" si="4"/>
        <v>481881</v>
      </c>
    </row>
    <row r="43" spans="1:10">
      <c r="B43" t="s">
        <v>69</v>
      </c>
      <c r="H43" s="93">
        <v>21749446</v>
      </c>
      <c r="I43" s="83">
        <v>101470</v>
      </c>
      <c r="J43" s="83">
        <f t="shared" si="4"/>
        <v>21850916</v>
      </c>
    </row>
    <row r="44" spans="1:10">
      <c r="H44" s="81"/>
      <c r="I44" s="81"/>
      <c r="J44" s="81"/>
    </row>
    <row r="45" spans="1:10" s="3" customFormat="1">
      <c r="C45" s="9" t="s">
        <v>42</v>
      </c>
      <c r="D45" s="9"/>
      <c r="E45" s="9"/>
      <c r="F45" s="9"/>
      <c r="G45" s="9"/>
      <c r="H45" s="94">
        <f>SUM(H37:H43)</f>
        <v>50382359</v>
      </c>
      <c r="I45" s="94">
        <f t="shared" ref="I45:J45" si="5">SUM(I37:I43)</f>
        <v>364350</v>
      </c>
      <c r="J45" s="94">
        <f t="shared" si="5"/>
        <v>50746709</v>
      </c>
    </row>
    <row r="46" spans="1:10">
      <c r="H46" s="83"/>
      <c r="I46" s="83"/>
      <c r="J46" s="83"/>
    </row>
    <row r="47" spans="1:10" s="3" customFormat="1">
      <c r="C47" s="10" t="s">
        <v>43</v>
      </c>
      <c r="D47" s="10"/>
      <c r="E47" s="10"/>
      <c r="F47" s="10"/>
      <c r="G47" s="10"/>
      <c r="H47" s="95">
        <f>SUM(H32+H45)</f>
        <v>51315231</v>
      </c>
      <c r="I47" s="95">
        <f>SUM(I45+I32)</f>
        <v>366088</v>
      </c>
      <c r="J47" s="95">
        <f>SUM(J45+J32)</f>
        <v>51681319</v>
      </c>
    </row>
    <row r="48" spans="1:10">
      <c r="H48" s="83"/>
      <c r="I48" s="83"/>
      <c r="J48" s="83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0"/>
  <sheetViews>
    <sheetView workbookViewId="0">
      <selection activeCell="B30" sqref="B30:G30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514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5</v>
      </c>
      <c r="G6" s="77">
        <v>8156413</v>
      </c>
    </row>
    <row r="7" spans="1:7">
      <c r="B7" t="s">
        <v>47</v>
      </c>
      <c r="G7" s="78">
        <v>2837396</v>
      </c>
    </row>
    <row r="8" spans="1:7">
      <c r="B8" t="s">
        <v>12</v>
      </c>
      <c r="G8" s="83"/>
    </row>
    <row r="9" spans="1:7">
      <c r="C9" t="s">
        <v>128</v>
      </c>
      <c r="G9" s="80">
        <v>300273</v>
      </c>
    </row>
    <row r="10" spans="1:7">
      <c r="C10" t="s">
        <v>159</v>
      </c>
      <c r="G10" s="91">
        <v>2325795</v>
      </c>
    </row>
    <row r="11" spans="1:7">
      <c r="G11" s="83"/>
    </row>
    <row r="12" spans="1:7">
      <c r="A12" s="5"/>
      <c r="B12" s="6" t="s">
        <v>15</v>
      </c>
      <c r="C12" s="6"/>
      <c r="D12" s="6"/>
      <c r="E12" s="6"/>
      <c r="F12" s="6"/>
      <c r="G12" s="82">
        <f>SUM(G6:G10)</f>
        <v>13619877</v>
      </c>
    </row>
    <row r="13" spans="1:7">
      <c r="G13" s="83"/>
    </row>
    <row r="14" spans="1:7">
      <c r="A14" s="5" t="s">
        <v>52</v>
      </c>
      <c r="G14" s="83"/>
    </row>
    <row r="15" spans="1:7">
      <c r="A15" s="5"/>
      <c r="B15" t="s">
        <v>20</v>
      </c>
      <c r="G15" s="165">
        <v>391719</v>
      </c>
    </row>
    <row r="16" spans="1:7">
      <c r="B16" t="s">
        <v>515</v>
      </c>
      <c r="G16" s="84">
        <v>62400</v>
      </c>
    </row>
    <row r="17" spans="1:7">
      <c r="G17" s="81"/>
    </row>
    <row r="18" spans="1:7">
      <c r="C18" s="7" t="s">
        <v>33</v>
      </c>
      <c r="D18" s="8"/>
      <c r="E18" s="8"/>
      <c r="F18" s="8"/>
      <c r="G18" s="87">
        <f>SUM(G15:G16)</f>
        <v>454119</v>
      </c>
    </row>
    <row r="19" spans="1:7">
      <c r="G19" s="83"/>
    </row>
    <row r="20" spans="1:7">
      <c r="A20" s="5" t="s">
        <v>195</v>
      </c>
      <c r="G20" s="83"/>
    </row>
    <row r="21" spans="1:7">
      <c r="B21" t="s">
        <v>383</v>
      </c>
      <c r="G21" s="122">
        <v>2667511</v>
      </c>
    </row>
    <row r="22" spans="1:7">
      <c r="G22" s="83"/>
    </row>
    <row r="23" spans="1:7">
      <c r="A23" s="3" t="s">
        <v>95</v>
      </c>
      <c r="G23" s="83"/>
    </row>
    <row r="24" spans="1:7">
      <c r="B24" t="s">
        <v>430</v>
      </c>
      <c r="G24" s="88">
        <v>2626068</v>
      </c>
    </row>
    <row r="25" spans="1:7">
      <c r="B25" t="s">
        <v>431</v>
      </c>
      <c r="G25" s="89">
        <v>6125046</v>
      </c>
    </row>
    <row r="26" spans="1:7">
      <c r="B26" t="s">
        <v>69</v>
      </c>
      <c r="G26" s="93">
        <v>1747133</v>
      </c>
    </row>
    <row r="27" spans="1:7">
      <c r="G27" s="81"/>
    </row>
    <row r="28" spans="1:7">
      <c r="A28" s="3"/>
      <c r="B28" s="9" t="s">
        <v>100</v>
      </c>
      <c r="C28" s="9"/>
      <c r="D28" s="9"/>
      <c r="E28" s="9"/>
      <c r="F28" s="9"/>
      <c r="G28" s="94">
        <f>SUM(G24:G26)</f>
        <v>10498247</v>
      </c>
    </row>
    <row r="29" spans="1:7">
      <c r="G29" s="83"/>
    </row>
    <row r="30" spans="1:7">
      <c r="B30" s="10" t="s">
        <v>43</v>
      </c>
      <c r="C30" s="10"/>
      <c r="D30" s="10"/>
      <c r="E30" s="10"/>
      <c r="F30" s="10"/>
      <c r="G30" s="95">
        <f>G28+G18</f>
        <v>10952366</v>
      </c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37"/>
  <sheetViews>
    <sheetView workbookViewId="0">
      <selection activeCell="C37" sqref="C37:I37"/>
    </sheetView>
  </sheetViews>
  <sheetFormatPr defaultColWidth="8.85546875" defaultRowHeight="14.45"/>
  <cols>
    <col min="1" max="1" width="3.28515625" customWidth="1"/>
    <col min="2" max="2" width="3" customWidth="1"/>
    <col min="3" max="3" width="3.28515625" customWidth="1"/>
    <col min="4" max="4" width="4.28515625" customWidth="1"/>
    <col min="5" max="5" width="5.42578125" customWidth="1"/>
    <col min="6" max="6" width="12.4257812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68" t="s">
        <v>516</v>
      </c>
      <c r="E1" s="268"/>
      <c r="F1" s="268"/>
      <c r="G1" s="268"/>
      <c r="H1" s="268"/>
    </row>
    <row r="2" spans="1:10" ht="18.600000000000001">
      <c r="A2" s="1"/>
      <c r="B2" s="1"/>
      <c r="C2" s="1"/>
      <c r="D2" s="266" t="s">
        <v>1</v>
      </c>
      <c r="E2" s="266"/>
      <c r="F2" s="266"/>
      <c r="G2" s="266"/>
      <c r="H2" s="266"/>
    </row>
    <row r="3" spans="1:10" ht="18.600000000000001">
      <c r="A3" s="1"/>
      <c r="B3" s="1"/>
      <c r="C3" s="1"/>
      <c r="D3" s="98"/>
      <c r="E3" s="98"/>
      <c r="F3" s="98"/>
      <c r="G3" s="98"/>
      <c r="H3" s="98"/>
    </row>
    <row r="5" spans="1:10">
      <c r="H5" s="105">
        <v>2014</v>
      </c>
      <c r="I5" s="106">
        <v>2013</v>
      </c>
      <c r="J5" s="5"/>
    </row>
    <row r="6" spans="1:10">
      <c r="A6" s="3" t="s">
        <v>4</v>
      </c>
      <c r="D6" s="3"/>
      <c r="G6" s="4"/>
      <c r="H6" s="4"/>
    </row>
    <row r="7" spans="1:10">
      <c r="C7" t="s">
        <v>46</v>
      </c>
      <c r="H7" s="77">
        <v>9360736</v>
      </c>
      <c r="I7" s="83">
        <v>8931765</v>
      </c>
    </row>
    <row r="8" spans="1:10">
      <c r="C8" t="s">
        <v>47</v>
      </c>
      <c r="H8" s="78">
        <v>3889321</v>
      </c>
      <c r="I8" s="83">
        <v>3916001</v>
      </c>
    </row>
    <row r="9" spans="1:10">
      <c r="C9" t="s">
        <v>127</v>
      </c>
      <c r="H9" s="121"/>
      <c r="I9" s="83"/>
    </row>
    <row r="10" spans="1:10">
      <c r="E10" t="s">
        <v>128</v>
      </c>
      <c r="H10" s="80">
        <v>639576</v>
      </c>
      <c r="I10" s="83">
        <v>639576</v>
      </c>
    </row>
    <row r="11" spans="1:10">
      <c r="E11" t="s">
        <v>132</v>
      </c>
      <c r="H11" s="80">
        <v>2281793</v>
      </c>
      <c r="I11" s="83">
        <v>540422</v>
      </c>
    </row>
    <row r="12" spans="1:10">
      <c r="E12" t="s">
        <v>129</v>
      </c>
      <c r="H12" s="80">
        <v>2199290</v>
      </c>
      <c r="I12" s="83">
        <v>1720235</v>
      </c>
    </row>
    <row r="13" spans="1:10">
      <c r="E13" t="s">
        <v>318</v>
      </c>
      <c r="H13" s="80">
        <v>2943475</v>
      </c>
      <c r="I13" s="83">
        <v>3069475</v>
      </c>
    </row>
    <row r="14" spans="1:10">
      <c r="E14" t="s">
        <v>506</v>
      </c>
      <c r="H14" s="80">
        <v>12573</v>
      </c>
      <c r="I14" s="83">
        <v>15328</v>
      </c>
    </row>
    <row r="15" spans="1:10">
      <c r="E15" t="s">
        <v>517</v>
      </c>
      <c r="H15" s="83"/>
      <c r="I15" s="83"/>
    </row>
    <row r="16" spans="1:10">
      <c r="F16" t="s">
        <v>518</v>
      </c>
      <c r="H16" s="80">
        <v>1123833</v>
      </c>
      <c r="I16" s="83">
        <v>1849947</v>
      </c>
    </row>
    <row r="17" spans="1:9">
      <c r="F17" t="s">
        <v>519</v>
      </c>
      <c r="H17" s="80">
        <v>995977</v>
      </c>
      <c r="I17" s="83">
        <v>991177</v>
      </c>
    </row>
    <row r="18" spans="1:9">
      <c r="F18" t="s">
        <v>520</v>
      </c>
      <c r="H18" s="91">
        <v>3681027</v>
      </c>
      <c r="I18" s="83">
        <v>3769263</v>
      </c>
    </row>
    <row r="19" spans="1:9">
      <c r="H19" s="83"/>
      <c r="I19" s="81"/>
    </row>
    <row r="20" spans="1:9" s="5" customFormat="1">
      <c r="C20" s="6" t="s">
        <v>15</v>
      </c>
      <c r="D20" s="6"/>
      <c r="E20" s="6"/>
      <c r="F20" s="6"/>
      <c r="G20" s="6"/>
      <c r="H20" s="82">
        <f>SUM(H7:H18)</f>
        <v>27127601</v>
      </c>
      <c r="I20" s="82">
        <f>SUM(I7:I18)</f>
        <v>25443189</v>
      </c>
    </row>
    <row r="21" spans="1:9">
      <c r="H21" s="83"/>
      <c r="I21" s="83"/>
    </row>
    <row r="22" spans="1:9">
      <c r="A22" s="5" t="s">
        <v>52</v>
      </c>
      <c r="H22" s="83"/>
      <c r="I22" s="83"/>
    </row>
    <row r="23" spans="1:9">
      <c r="C23" t="s">
        <v>133</v>
      </c>
      <c r="H23" s="84">
        <v>477050</v>
      </c>
      <c r="I23" s="83">
        <v>752592</v>
      </c>
    </row>
    <row r="24" spans="1:9">
      <c r="C24" t="s">
        <v>134</v>
      </c>
      <c r="H24" s="84">
        <v>6775</v>
      </c>
      <c r="I24" s="83">
        <v>12512</v>
      </c>
    </row>
    <row r="25" spans="1:9">
      <c r="C25" t="s">
        <v>109</v>
      </c>
      <c r="H25" s="83"/>
      <c r="I25" s="83"/>
    </row>
    <row r="26" spans="1:9">
      <c r="D26" t="s">
        <v>88</v>
      </c>
      <c r="H26" s="92">
        <v>351017</v>
      </c>
      <c r="I26" s="83">
        <v>372094</v>
      </c>
    </row>
    <row r="27" spans="1:9">
      <c r="D27" t="s">
        <v>89</v>
      </c>
      <c r="H27" s="77">
        <v>952478</v>
      </c>
      <c r="I27" s="83">
        <v>910569</v>
      </c>
    </row>
    <row r="28" spans="1:9">
      <c r="H28" s="81"/>
      <c r="I28" s="81"/>
    </row>
    <row r="29" spans="1:9">
      <c r="D29" s="7" t="s">
        <v>33</v>
      </c>
      <c r="E29" s="8"/>
      <c r="F29" s="8"/>
      <c r="G29" s="8"/>
      <c r="H29" s="87">
        <f>SUM(H23:H27)</f>
        <v>1787320</v>
      </c>
      <c r="I29" s="87">
        <f>SUM(I23:I27)</f>
        <v>2047767</v>
      </c>
    </row>
    <row r="30" spans="1:9">
      <c r="H30" s="83"/>
      <c r="I30" s="83"/>
    </row>
    <row r="31" spans="1:9">
      <c r="A31" s="3" t="s">
        <v>95</v>
      </c>
      <c r="H31" s="83"/>
      <c r="I31" s="83"/>
    </row>
    <row r="32" spans="1:9">
      <c r="B32" t="s">
        <v>61</v>
      </c>
      <c r="H32" s="88">
        <v>13520414</v>
      </c>
      <c r="I32" s="83">
        <v>11935674</v>
      </c>
    </row>
    <row r="33" spans="2:9">
      <c r="B33" t="s">
        <v>69</v>
      </c>
      <c r="H33" s="93">
        <v>11819867</v>
      </c>
      <c r="I33" s="83">
        <v>11459748</v>
      </c>
    </row>
    <row r="34" spans="2:9">
      <c r="H34" s="81"/>
      <c r="I34" s="81"/>
    </row>
    <row r="35" spans="2:9" s="3" customFormat="1">
      <c r="C35" s="9" t="s">
        <v>100</v>
      </c>
      <c r="D35" s="9"/>
      <c r="E35" s="9"/>
      <c r="F35" s="9"/>
      <c r="G35" s="9"/>
      <c r="H35" s="94">
        <f>SUM(H32:H33)</f>
        <v>25340281</v>
      </c>
      <c r="I35" s="94">
        <f>SUM(I31:I33)</f>
        <v>23395422</v>
      </c>
    </row>
    <row r="36" spans="2:9">
      <c r="H36" s="83"/>
      <c r="I36" s="83"/>
    </row>
    <row r="37" spans="2:9">
      <c r="C37" s="10" t="s">
        <v>43</v>
      </c>
      <c r="D37" s="10"/>
      <c r="E37" s="10"/>
      <c r="F37" s="10"/>
      <c r="G37" s="10"/>
      <c r="H37" s="95">
        <f>H35+H29</f>
        <v>27127601</v>
      </c>
      <c r="I37" s="95">
        <f>I35+I29</f>
        <v>25443189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56"/>
  <sheetViews>
    <sheetView zoomScale="80" zoomScaleNormal="80" zoomScalePageLayoutView="80" workbookViewId="0">
      <selection activeCell="C56" sqref="C56:H56"/>
    </sheetView>
  </sheetViews>
  <sheetFormatPr defaultColWidth="8.85546875" defaultRowHeight="14.45"/>
  <cols>
    <col min="1" max="1" width="3.42578125" customWidth="1"/>
    <col min="2" max="2" width="4.140625" customWidth="1"/>
    <col min="3" max="3" width="13.7109375" customWidth="1"/>
    <col min="5" max="5" width="21" customWidth="1"/>
    <col min="6" max="6" width="13.42578125" customWidth="1"/>
    <col min="7" max="7" width="16.28515625" customWidth="1"/>
    <col min="8" max="8" width="12.85546875" customWidth="1"/>
  </cols>
  <sheetData>
    <row r="1" spans="1:8" ht="18.600000000000001">
      <c r="A1" s="1"/>
      <c r="B1" s="1"/>
      <c r="C1" s="1" t="s">
        <v>521</v>
      </c>
      <c r="D1" s="1"/>
      <c r="E1" s="97"/>
      <c r="F1" s="97"/>
      <c r="G1" s="97"/>
    </row>
    <row r="2" spans="1:8" ht="18.600000000000001">
      <c r="A2" s="1"/>
      <c r="B2" s="1"/>
      <c r="C2" s="1"/>
      <c r="D2" s="266" t="s">
        <v>1</v>
      </c>
      <c r="E2" s="266"/>
      <c r="F2" s="266"/>
      <c r="G2" s="98"/>
    </row>
    <row r="4" spans="1:8">
      <c r="F4" s="274"/>
      <c r="G4" s="274"/>
    </row>
    <row r="5" spans="1:8" ht="29.1">
      <c r="F5" s="105" t="s">
        <v>45</v>
      </c>
      <c r="G5" s="105" t="s">
        <v>141</v>
      </c>
      <c r="H5" s="106" t="s">
        <v>73</v>
      </c>
    </row>
    <row r="6" spans="1:8">
      <c r="A6" s="3" t="s">
        <v>4</v>
      </c>
      <c r="D6" s="3"/>
      <c r="F6" s="4"/>
      <c r="G6" s="4"/>
    </row>
    <row r="7" spans="1:8">
      <c r="B7" t="s">
        <v>46</v>
      </c>
      <c r="F7" s="77">
        <v>35522122</v>
      </c>
      <c r="G7" s="83">
        <v>4274873</v>
      </c>
      <c r="H7" s="83">
        <f>SUM(F7:G7)</f>
        <v>39796995</v>
      </c>
    </row>
    <row r="8" spans="1:8">
      <c r="B8" t="s">
        <v>6</v>
      </c>
      <c r="F8" s="84">
        <v>1065661</v>
      </c>
      <c r="G8" s="83"/>
      <c r="H8" s="83">
        <f t="shared" ref="H8:H25" si="0">SUM(F8:G8)</f>
        <v>1065661</v>
      </c>
    </row>
    <row r="9" spans="1:8">
      <c r="B9" t="s">
        <v>522</v>
      </c>
      <c r="F9" s="84">
        <v>4229000</v>
      </c>
      <c r="G9" s="83"/>
      <c r="H9" s="83">
        <f t="shared" si="0"/>
        <v>4229000</v>
      </c>
    </row>
    <row r="10" spans="1:8">
      <c r="B10" t="s">
        <v>523</v>
      </c>
      <c r="F10" s="121"/>
      <c r="G10" s="83"/>
      <c r="H10" s="83">
        <f t="shared" si="0"/>
        <v>0</v>
      </c>
    </row>
    <row r="11" spans="1:8">
      <c r="C11" t="s">
        <v>524</v>
      </c>
      <c r="F11" s="78">
        <v>2629527</v>
      </c>
      <c r="G11" s="83">
        <v>657382</v>
      </c>
      <c r="H11" s="83">
        <f t="shared" si="0"/>
        <v>3286909</v>
      </c>
    </row>
    <row r="12" spans="1:8">
      <c r="C12" t="s">
        <v>383</v>
      </c>
      <c r="F12" s="78">
        <v>13179754</v>
      </c>
      <c r="G12" s="83"/>
      <c r="H12" s="83">
        <f t="shared" si="0"/>
        <v>13179754</v>
      </c>
    </row>
    <row r="13" spans="1:8">
      <c r="C13" t="s">
        <v>525</v>
      </c>
      <c r="F13" s="78">
        <v>92741</v>
      </c>
      <c r="G13" s="83"/>
      <c r="H13" s="83">
        <f t="shared" si="0"/>
        <v>92741</v>
      </c>
    </row>
    <row r="14" spans="1:8">
      <c r="C14" t="s">
        <v>526</v>
      </c>
      <c r="F14" s="83"/>
      <c r="G14" s="83">
        <v>304054</v>
      </c>
      <c r="H14" s="83">
        <f t="shared" si="0"/>
        <v>304054</v>
      </c>
    </row>
    <row r="15" spans="1:8">
      <c r="C15" t="s">
        <v>354</v>
      </c>
      <c r="F15" s="78">
        <v>22465426</v>
      </c>
      <c r="G15" s="83"/>
      <c r="H15" s="83">
        <f t="shared" si="0"/>
        <v>22465426</v>
      </c>
    </row>
    <row r="16" spans="1:8">
      <c r="C16" t="s">
        <v>200</v>
      </c>
      <c r="F16" s="78">
        <v>1047399</v>
      </c>
      <c r="G16" s="83">
        <v>11006</v>
      </c>
      <c r="H16" s="83">
        <f t="shared" si="0"/>
        <v>1058405</v>
      </c>
    </row>
    <row r="17" spans="1:8">
      <c r="B17" t="s">
        <v>527</v>
      </c>
      <c r="F17" s="83"/>
      <c r="G17" s="83">
        <v>581796</v>
      </c>
      <c r="H17" s="83">
        <f t="shared" si="0"/>
        <v>581796</v>
      </c>
    </row>
    <row r="18" spans="1:8">
      <c r="B18" t="s">
        <v>76</v>
      </c>
      <c r="F18" s="79">
        <v>-3031265</v>
      </c>
      <c r="G18" s="83">
        <v>3031265</v>
      </c>
      <c r="H18" s="83">
        <f t="shared" si="0"/>
        <v>0</v>
      </c>
    </row>
    <row r="19" spans="1:8">
      <c r="B19" t="s">
        <v>528</v>
      </c>
      <c r="F19" s="79">
        <v>214304</v>
      </c>
      <c r="G19" s="83">
        <v>89375</v>
      </c>
      <c r="H19" s="83">
        <f t="shared" si="0"/>
        <v>303679</v>
      </c>
    </row>
    <row r="20" spans="1:8">
      <c r="B20" t="s">
        <v>49</v>
      </c>
      <c r="F20" s="83"/>
      <c r="G20" s="83">
        <v>317247</v>
      </c>
      <c r="H20" s="83">
        <f t="shared" si="0"/>
        <v>317247</v>
      </c>
    </row>
    <row r="21" spans="1:8">
      <c r="B21" t="s">
        <v>529</v>
      </c>
      <c r="F21" s="83"/>
      <c r="G21" s="83">
        <v>8718644</v>
      </c>
      <c r="H21" s="83">
        <f t="shared" si="0"/>
        <v>8718644</v>
      </c>
    </row>
    <row r="22" spans="1:8">
      <c r="B22" t="s">
        <v>530</v>
      </c>
      <c r="F22" s="83"/>
      <c r="G22" s="83">
        <v>780000</v>
      </c>
      <c r="H22" s="83">
        <f t="shared" si="0"/>
        <v>780000</v>
      </c>
    </row>
    <row r="23" spans="1:8">
      <c r="B23" t="s">
        <v>412</v>
      </c>
      <c r="H23" s="83"/>
    </row>
    <row r="24" spans="1:8">
      <c r="C24" t="s">
        <v>531</v>
      </c>
      <c r="F24" s="80">
        <v>36755816</v>
      </c>
      <c r="G24" s="83">
        <v>55140066</v>
      </c>
      <c r="H24" s="83">
        <f t="shared" si="0"/>
        <v>91895882</v>
      </c>
    </row>
    <row r="25" spans="1:8">
      <c r="C25" t="s">
        <v>159</v>
      </c>
      <c r="F25" s="80">
        <v>348102094</v>
      </c>
      <c r="G25" s="83">
        <v>162342663</v>
      </c>
      <c r="H25" s="83">
        <f t="shared" si="0"/>
        <v>510444757</v>
      </c>
    </row>
    <row r="26" spans="1:8">
      <c r="F26" s="83"/>
      <c r="G26" s="83"/>
      <c r="H26" s="83"/>
    </row>
    <row r="27" spans="1:8">
      <c r="A27" s="5"/>
      <c r="B27" s="5"/>
      <c r="C27" s="6" t="s">
        <v>15</v>
      </c>
      <c r="D27" s="6"/>
      <c r="E27" s="6"/>
      <c r="F27" s="82">
        <f>SUM(F7:F25)</f>
        <v>462272579</v>
      </c>
      <c r="G27" s="82">
        <f t="shared" ref="G27:H27" si="1">SUM(G7:G25)</f>
        <v>236248371</v>
      </c>
      <c r="H27" s="82">
        <f t="shared" si="1"/>
        <v>698520950</v>
      </c>
    </row>
    <row r="28" spans="1:8">
      <c r="F28" s="83"/>
      <c r="G28" s="83"/>
      <c r="H28" s="83"/>
    </row>
    <row r="29" spans="1:8">
      <c r="A29" s="5" t="s">
        <v>52</v>
      </c>
      <c r="F29" s="83"/>
      <c r="G29" s="83"/>
      <c r="H29" s="83"/>
    </row>
    <row r="30" spans="1:8">
      <c r="B30" t="s">
        <v>20</v>
      </c>
      <c r="F30" s="151">
        <v>19365175</v>
      </c>
      <c r="G30" s="83">
        <v>183135</v>
      </c>
      <c r="H30" s="83">
        <f>SUM(F30:G30)</f>
        <v>19548310</v>
      </c>
    </row>
    <row r="31" spans="1:8">
      <c r="B31" t="s">
        <v>532</v>
      </c>
      <c r="F31" s="84">
        <v>2113560</v>
      </c>
      <c r="G31" s="83">
        <v>542214</v>
      </c>
      <c r="H31" s="83">
        <f t="shared" ref="H31:H40" si="2">SUM(F31:G31)</f>
        <v>2655774</v>
      </c>
    </row>
    <row r="32" spans="1:8">
      <c r="B32" t="s">
        <v>21</v>
      </c>
      <c r="F32" s="84">
        <v>5463276</v>
      </c>
      <c r="G32" s="83"/>
      <c r="H32" s="83">
        <f t="shared" si="2"/>
        <v>5463276</v>
      </c>
    </row>
    <row r="33" spans="1:8">
      <c r="B33" t="s">
        <v>533</v>
      </c>
      <c r="F33" s="84">
        <v>1836737</v>
      </c>
      <c r="G33" s="83">
        <v>258326</v>
      </c>
      <c r="H33" s="83">
        <f t="shared" si="2"/>
        <v>2095063</v>
      </c>
    </row>
    <row r="34" spans="1:8">
      <c r="B34" t="s">
        <v>85</v>
      </c>
      <c r="F34" s="121"/>
      <c r="G34" s="83">
        <v>1218437</v>
      </c>
      <c r="H34" s="83">
        <f t="shared" si="2"/>
        <v>1218437</v>
      </c>
    </row>
    <row r="35" spans="1:8">
      <c r="B35" t="s">
        <v>24</v>
      </c>
      <c r="F35" s="164">
        <v>435330</v>
      </c>
      <c r="G35" s="83">
        <v>160937</v>
      </c>
      <c r="H35" s="83">
        <f t="shared" si="2"/>
        <v>596267</v>
      </c>
    </row>
    <row r="36" spans="1:8">
      <c r="B36" t="s">
        <v>534</v>
      </c>
      <c r="F36" s="79">
        <v>69188</v>
      </c>
      <c r="G36" s="83">
        <v>84879</v>
      </c>
      <c r="H36" s="83">
        <f t="shared" si="2"/>
        <v>154067</v>
      </c>
    </row>
    <row r="37" spans="1:8">
      <c r="B37" t="s">
        <v>535</v>
      </c>
      <c r="F37" s="79">
        <v>6760932</v>
      </c>
      <c r="G37" s="83"/>
      <c r="H37" s="83">
        <f t="shared" si="2"/>
        <v>6760932</v>
      </c>
    </row>
    <row r="38" spans="1:8">
      <c r="B38" t="s">
        <v>536</v>
      </c>
      <c r="F38" s="83"/>
      <c r="G38" s="83"/>
      <c r="H38" s="83"/>
    </row>
    <row r="39" spans="1:8">
      <c r="C39" t="s">
        <v>88</v>
      </c>
      <c r="D39" s="5"/>
      <c r="F39" s="92">
        <v>3915948</v>
      </c>
      <c r="G39" s="83">
        <v>855624</v>
      </c>
      <c r="H39" s="83">
        <f t="shared" si="2"/>
        <v>4771572</v>
      </c>
    </row>
    <row r="40" spans="1:8">
      <c r="A40" s="5"/>
      <c r="B40" s="5"/>
      <c r="C40" t="s">
        <v>89</v>
      </c>
      <c r="D40" s="5"/>
      <c r="E40" s="5"/>
      <c r="F40" s="77">
        <v>37500615</v>
      </c>
      <c r="G40" s="83">
        <v>3656282</v>
      </c>
      <c r="H40" s="83">
        <f t="shared" si="2"/>
        <v>41156897</v>
      </c>
    </row>
    <row r="41" spans="1:8">
      <c r="F41" s="81"/>
      <c r="G41" s="81"/>
      <c r="H41" s="81"/>
    </row>
    <row r="42" spans="1:8">
      <c r="D42" s="7" t="s">
        <v>33</v>
      </c>
      <c r="E42" s="8"/>
      <c r="F42" s="87">
        <f>SUM(F30:F40)</f>
        <v>77460761</v>
      </c>
      <c r="G42" s="87">
        <f t="shared" ref="G42:H42" si="3">SUM(G30:G40)</f>
        <v>6959834</v>
      </c>
      <c r="H42" s="87">
        <f t="shared" si="3"/>
        <v>84420595</v>
      </c>
    </row>
    <row r="43" spans="1:8">
      <c r="F43" s="83"/>
      <c r="G43" s="83"/>
      <c r="H43" s="83"/>
    </row>
    <row r="44" spans="1:8">
      <c r="A44" s="3" t="s">
        <v>35</v>
      </c>
      <c r="F44" s="83"/>
      <c r="G44" s="83"/>
      <c r="H44" s="83"/>
    </row>
    <row r="45" spans="1:8">
      <c r="B45" t="s">
        <v>430</v>
      </c>
      <c r="F45" s="88">
        <v>347417372</v>
      </c>
      <c r="G45" s="83">
        <v>213189989</v>
      </c>
      <c r="H45" s="83">
        <f>SUM(F45:G45)</f>
        <v>560607361</v>
      </c>
    </row>
    <row r="46" spans="1:8">
      <c r="B46" t="s">
        <v>37</v>
      </c>
      <c r="F46" s="83"/>
      <c r="G46" s="83"/>
      <c r="H46" s="83">
        <f t="shared" ref="H46:H52" si="4">SUM(F46:G46)</f>
        <v>0</v>
      </c>
    </row>
    <row r="47" spans="1:8">
      <c r="C47" t="s">
        <v>39</v>
      </c>
      <c r="F47" s="89">
        <v>989788</v>
      </c>
      <c r="G47" s="83">
        <v>4715133</v>
      </c>
      <c r="H47" s="83">
        <f t="shared" si="4"/>
        <v>5704921</v>
      </c>
    </row>
    <row r="48" spans="1:8">
      <c r="C48" t="s">
        <v>38</v>
      </c>
      <c r="F48" s="89">
        <v>3497452</v>
      </c>
      <c r="G48" s="83">
        <v>2816068</v>
      </c>
      <c r="H48" s="83">
        <f t="shared" si="4"/>
        <v>6313520</v>
      </c>
    </row>
    <row r="49" spans="1:8">
      <c r="C49" t="s">
        <v>537</v>
      </c>
      <c r="F49" s="89">
        <v>5370629</v>
      </c>
      <c r="G49" s="83"/>
      <c r="H49" s="83">
        <f t="shared" si="4"/>
        <v>5370629</v>
      </c>
    </row>
    <row r="50" spans="1:8">
      <c r="C50" t="s">
        <v>63</v>
      </c>
      <c r="F50" s="89">
        <v>3586724</v>
      </c>
      <c r="G50" s="83"/>
      <c r="H50" s="83">
        <f t="shared" si="4"/>
        <v>3586724</v>
      </c>
    </row>
    <row r="51" spans="1:8">
      <c r="C51" t="s">
        <v>40</v>
      </c>
      <c r="F51" s="89">
        <v>2493118</v>
      </c>
      <c r="G51" s="83">
        <v>2</v>
      </c>
      <c r="H51" s="83">
        <f t="shared" si="4"/>
        <v>2493120</v>
      </c>
    </row>
    <row r="52" spans="1:8">
      <c r="B52" t="s">
        <v>69</v>
      </c>
      <c r="F52" s="93">
        <v>21456735</v>
      </c>
      <c r="G52" s="83">
        <v>8567345</v>
      </c>
      <c r="H52" s="83">
        <f t="shared" si="4"/>
        <v>30024080</v>
      </c>
    </row>
    <row r="53" spans="1:8">
      <c r="F53" s="81"/>
      <c r="G53" s="81"/>
      <c r="H53" s="81"/>
    </row>
    <row r="54" spans="1:8">
      <c r="A54" s="3"/>
      <c r="B54" s="3"/>
      <c r="C54" s="9" t="s">
        <v>42</v>
      </c>
      <c r="D54" s="9"/>
      <c r="E54" s="9"/>
      <c r="F54" s="94">
        <f>SUM(F45:F52)</f>
        <v>384811818</v>
      </c>
      <c r="G54" s="94">
        <f>SUM(G45:G52)</f>
        <v>229288537</v>
      </c>
      <c r="H54" s="94">
        <f>SUM(H44:H52)</f>
        <v>614100355</v>
      </c>
    </row>
    <row r="55" spans="1:8">
      <c r="F55" s="83"/>
      <c r="G55" s="83"/>
      <c r="H55" s="83"/>
    </row>
    <row r="56" spans="1:8">
      <c r="C56" s="10" t="s">
        <v>43</v>
      </c>
      <c r="D56" s="10"/>
      <c r="E56" s="10"/>
      <c r="F56" s="227">
        <f>F54+F42</f>
        <v>462272579</v>
      </c>
      <c r="G56" s="227">
        <f t="shared" ref="G56:H56" si="5">G54+G42</f>
        <v>236248371</v>
      </c>
      <c r="H56" s="227">
        <f t="shared" si="5"/>
        <v>698520950</v>
      </c>
    </row>
  </sheetData>
  <mergeCells count="2">
    <mergeCell ref="D2:F2"/>
    <mergeCell ref="F4:G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58"/>
  <sheetViews>
    <sheetView zoomScale="60" zoomScaleNormal="60" zoomScalePageLayoutView="60" workbookViewId="0">
      <selection activeCell="C58" sqref="C58:K58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10" width="17.140625" customWidth="1"/>
    <col min="11" max="11" width="17.28515625" customWidth="1"/>
  </cols>
  <sheetData>
    <row r="1" spans="1:12" ht="18.600000000000001">
      <c r="A1" s="1"/>
      <c r="B1" s="1"/>
      <c r="C1" s="1"/>
      <c r="D1" s="268" t="s">
        <v>538</v>
      </c>
      <c r="E1" s="268"/>
      <c r="F1" s="268"/>
      <c r="G1" s="268"/>
      <c r="H1" s="268"/>
      <c r="I1" s="97"/>
      <c r="J1" s="97"/>
    </row>
    <row r="2" spans="1:12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2" ht="15" customHeight="1">
      <c r="H4" s="273" t="s">
        <v>2</v>
      </c>
      <c r="I4" s="273"/>
      <c r="J4" s="273"/>
      <c r="K4" s="166"/>
    </row>
    <row r="5" spans="1:12" ht="29.1">
      <c r="H5" s="105" t="s">
        <v>45</v>
      </c>
      <c r="I5" s="105" t="s">
        <v>141</v>
      </c>
      <c r="J5" s="105" t="s">
        <v>73</v>
      </c>
      <c r="K5" s="208" t="s">
        <v>3</v>
      </c>
      <c r="L5" s="5"/>
    </row>
    <row r="6" spans="1:12">
      <c r="A6" s="3" t="s">
        <v>4</v>
      </c>
      <c r="D6" s="3"/>
      <c r="G6" s="4"/>
      <c r="H6" s="4"/>
      <c r="I6" s="4"/>
      <c r="J6" s="4"/>
    </row>
    <row r="7" spans="1:12">
      <c r="C7" t="s">
        <v>46</v>
      </c>
      <c r="H7" s="77">
        <v>1704337</v>
      </c>
      <c r="I7" s="83">
        <v>112900</v>
      </c>
      <c r="J7" s="83">
        <f t="shared" ref="J7:J22" si="0">SUM(H7:I7)</f>
        <v>1817237</v>
      </c>
      <c r="K7" s="83">
        <v>134377</v>
      </c>
    </row>
    <row r="8" spans="1:12">
      <c r="C8" t="s">
        <v>6</v>
      </c>
      <c r="H8" s="84">
        <v>91136263</v>
      </c>
      <c r="I8" s="83">
        <v>1483658</v>
      </c>
      <c r="J8" s="83">
        <f t="shared" si="0"/>
        <v>92619921</v>
      </c>
      <c r="K8" s="83">
        <v>8408106</v>
      </c>
    </row>
    <row r="9" spans="1:12">
      <c r="A9" t="s">
        <v>387</v>
      </c>
      <c r="C9" t="s">
        <v>113</v>
      </c>
      <c r="H9" s="78">
        <v>29690795</v>
      </c>
      <c r="I9" s="83">
        <v>3203924</v>
      </c>
      <c r="J9" s="83">
        <f t="shared" si="0"/>
        <v>32894719</v>
      </c>
      <c r="K9" s="83">
        <v>13038573</v>
      </c>
    </row>
    <row r="10" spans="1:12">
      <c r="C10" t="s">
        <v>48</v>
      </c>
      <c r="H10" s="90">
        <v>4581936</v>
      </c>
      <c r="I10" s="83">
        <v>485838</v>
      </c>
      <c r="J10" s="83">
        <f t="shared" si="0"/>
        <v>5067774</v>
      </c>
      <c r="K10" s="83">
        <v>17148</v>
      </c>
    </row>
    <row r="11" spans="1:12">
      <c r="C11" t="s">
        <v>157</v>
      </c>
      <c r="H11" s="128"/>
      <c r="I11" s="83"/>
      <c r="J11" s="83">
        <f t="shared" si="0"/>
        <v>0</v>
      </c>
      <c r="K11" s="83">
        <v>6057</v>
      </c>
    </row>
    <row r="12" spans="1:12">
      <c r="C12" t="s">
        <v>49</v>
      </c>
      <c r="H12" s="128"/>
      <c r="I12" s="83">
        <v>433829</v>
      </c>
      <c r="J12" s="83">
        <f t="shared" si="0"/>
        <v>433829</v>
      </c>
      <c r="K12" s="83">
        <v>1212929</v>
      </c>
    </row>
    <row r="13" spans="1:12">
      <c r="C13" t="s">
        <v>539</v>
      </c>
      <c r="H13" s="79">
        <v>469726</v>
      </c>
      <c r="I13" s="83">
        <v>34771</v>
      </c>
      <c r="J13" s="83">
        <f t="shared" si="0"/>
        <v>504497</v>
      </c>
      <c r="K13" s="83">
        <v>506602</v>
      </c>
    </row>
    <row r="14" spans="1:12">
      <c r="C14" t="s">
        <v>78</v>
      </c>
      <c r="H14" s="79">
        <v>4270</v>
      </c>
      <c r="I14" s="83">
        <v>182</v>
      </c>
      <c r="J14" s="83">
        <f t="shared" si="0"/>
        <v>4452</v>
      </c>
      <c r="K14" s="83">
        <v>1733587</v>
      </c>
    </row>
    <row r="15" spans="1:12">
      <c r="C15" t="s">
        <v>77</v>
      </c>
      <c r="H15" s="83"/>
      <c r="I15" s="83"/>
      <c r="J15" s="83">
        <f t="shared" si="0"/>
        <v>0</v>
      </c>
      <c r="K15" s="83"/>
    </row>
    <row r="16" spans="1:12">
      <c r="D16" t="s">
        <v>46</v>
      </c>
      <c r="H16" s="83"/>
      <c r="I16" s="83">
        <v>87535</v>
      </c>
      <c r="J16" s="83">
        <f t="shared" si="0"/>
        <v>87535</v>
      </c>
      <c r="K16" s="83">
        <v>2657898</v>
      </c>
    </row>
    <row r="17" spans="1:11">
      <c r="D17" t="s">
        <v>6</v>
      </c>
      <c r="H17" s="83"/>
      <c r="I17" s="83">
        <v>6576622</v>
      </c>
      <c r="J17" s="83">
        <f t="shared" si="0"/>
        <v>6576622</v>
      </c>
      <c r="K17" s="83"/>
    </row>
    <row r="18" spans="1:11">
      <c r="C18" t="s">
        <v>119</v>
      </c>
      <c r="H18" s="83"/>
      <c r="I18" s="83"/>
      <c r="J18" s="83">
        <f t="shared" si="0"/>
        <v>0</v>
      </c>
      <c r="K18" s="83"/>
    </row>
    <row r="19" spans="1:11">
      <c r="D19" t="s">
        <v>128</v>
      </c>
      <c r="H19" s="80">
        <v>10484811</v>
      </c>
      <c r="I19" s="83">
        <v>824777</v>
      </c>
      <c r="J19" s="83">
        <f t="shared" si="0"/>
        <v>11309588</v>
      </c>
      <c r="K19" s="83">
        <v>1590676</v>
      </c>
    </row>
    <row r="20" spans="1:11">
      <c r="D20" t="s">
        <v>131</v>
      </c>
      <c r="H20" s="80">
        <v>57582536</v>
      </c>
      <c r="I20" s="83"/>
      <c r="J20" s="83">
        <f t="shared" si="0"/>
        <v>57582536</v>
      </c>
      <c r="K20" s="83"/>
    </row>
    <row r="21" spans="1:11">
      <c r="D21" t="s">
        <v>540</v>
      </c>
      <c r="H21" s="80">
        <v>95364805</v>
      </c>
      <c r="I21" s="83">
        <v>128195765</v>
      </c>
      <c r="J21" s="83">
        <f t="shared" si="0"/>
        <v>223560570</v>
      </c>
      <c r="K21" s="83">
        <v>29333127</v>
      </c>
    </row>
    <row r="22" spans="1:11">
      <c r="D22" t="s">
        <v>132</v>
      </c>
      <c r="H22" s="80">
        <v>34185224</v>
      </c>
      <c r="I22" s="83">
        <v>3944738</v>
      </c>
      <c r="J22" s="83">
        <f t="shared" si="0"/>
        <v>38129962</v>
      </c>
      <c r="K22" s="83">
        <v>7062725</v>
      </c>
    </row>
    <row r="23" spans="1:11">
      <c r="H23" s="81"/>
      <c r="I23" s="81"/>
      <c r="J23" s="81"/>
      <c r="K23" s="81"/>
    </row>
    <row r="24" spans="1:11" s="5" customFormat="1">
      <c r="C24" s="6" t="s">
        <v>15</v>
      </c>
      <c r="D24" s="6"/>
      <c r="E24" s="6"/>
      <c r="F24" s="6"/>
      <c r="G24" s="6"/>
      <c r="H24" s="82">
        <f>SUM(H7:H22)</f>
        <v>325204703</v>
      </c>
      <c r="I24" s="82">
        <f>SUM(I7:I22)</f>
        <v>145384539</v>
      </c>
      <c r="J24" s="82">
        <f>SUM(J7:J22)</f>
        <v>470589242</v>
      </c>
      <c r="K24" s="82">
        <f>SUM(K7:K22)</f>
        <v>65701805</v>
      </c>
    </row>
    <row r="25" spans="1:11">
      <c r="H25" s="83"/>
      <c r="I25" s="83"/>
      <c r="J25" s="83"/>
      <c r="K25" s="83"/>
    </row>
    <row r="26" spans="1:11">
      <c r="A26" s="5" t="s">
        <v>52</v>
      </c>
      <c r="H26" s="83"/>
      <c r="I26" s="83"/>
      <c r="J26" s="83"/>
      <c r="K26" s="83"/>
    </row>
    <row r="27" spans="1:11">
      <c r="A27" s="5"/>
      <c r="C27" t="s">
        <v>541</v>
      </c>
      <c r="H27" s="83"/>
      <c r="I27" s="83"/>
      <c r="J27" s="83">
        <f t="shared" ref="J27:J39" si="1">SUM(H27:I27)</f>
        <v>0</v>
      </c>
      <c r="K27" s="83">
        <v>310998</v>
      </c>
    </row>
    <row r="28" spans="1:11">
      <c r="A28" s="5"/>
      <c r="C28" t="s">
        <v>247</v>
      </c>
      <c r="H28" s="84">
        <v>5459673</v>
      </c>
      <c r="I28" s="83">
        <v>1213267</v>
      </c>
      <c r="J28" s="83">
        <f t="shared" si="1"/>
        <v>6672940</v>
      </c>
      <c r="K28" s="83">
        <v>6443974</v>
      </c>
    </row>
    <row r="29" spans="1:11">
      <c r="A29" s="5"/>
      <c r="C29" t="s">
        <v>76</v>
      </c>
      <c r="H29" s="79">
        <v>-608059</v>
      </c>
      <c r="I29" s="83">
        <v>608059</v>
      </c>
      <c r="J29" s="83">
        <f t="shared" si="1"/>
        <v>0</v>
      </c>
      <c r="K29" s="83"/>
    </row>
    <row r="30" spans="1:11">
      <c r="C30" t="s">
        <v>164</v>
      </c>
      <c r="H30" s="96">
        <v>6057</v>
      </c>
      <c r="I30" s="83"/>
      <c r="J30" s="83">
        <f t="shared" si="1"/>
        <v>6057</v>
      </c>
      <c r="K30" s="83"/>
    </row>
    <row r="31" spans="1:11">
      <c r="C31" t="s">
        <v>232</v>
      </c>
      <c r="H31" s="96">
        <v>254389</v>
      </c>
      <c r="I31" s="83"/>
      <c r="J31" s="83">
        <f t="shared" si="1"/>
        <v>254389</v>
      </c>
      <c r="K31" s="83"/>
    </row>
    <row r="32" spans="1:11">
      <c r="C32" t="s">
        <v>134</v>
      </c>
      <c r="H32" s="84">
        <v>92047</v>
      </c>
      <c r="I32" s="83"/>
      <c r="J32" s="83">
        <f t="shared" si="1"/>
        <v>92047</v>
      </c>
      <c r="K32" s="83"/>
    </row>
    <row r="33" spans="1:11">
      <c r="C33" t="s">
        <v>542</v>
      </c>
      <c r="H33" s="79">
        <v>1039075</v>
      </c>
      <c r="I33" s="83">
        <v>270428</v>
      </c>
      <c r="J33" s="83">
        <f t="shared" si="1"/>
        <v>1309503</v>
      </c>
      <c r="K33" s="83">
        <v>3176757</v>
      </c>
    </row>
    <row r="34" spans="1:11">
      <c r="C34" t="s">
        <v>194</v>
      </c>
      <c r="H34" s="83"/>
      <c r="I34" s="83">
        <v>1521940</v>
      </c>
      <c r="J34" s="83">
        <f t="shared" si="1"/>
        <v>1521940</v>
      </c>
      <c r="K34" s="83"/>
    </row>
    <row r="35" spans="1:11">
      <c r="C35" t="s">
        <v>418</v>
      </c>
      <c r="H35" s="83"/>
      <c r="I35" s="83"/>
      <c r="J35" s="83">
        <f t="shared" si="1"/>
        <v>0</v>
      </c>
      <c r="K35" s="83"/>
    </row>
    <row r="36" spans="1:11">
      <c r="D36" t="s">
        <v>543</v>
      </c>
      <c r="H36" s="92">
        <v>3125000</v>
      </c>
      <c r="I36" s="83">
        <v>1616000</v>
      </c>
      <c r="J36" s="83">
        <f t="shared" si="1"/>
        <v>4741000</v>
      </c>
      <c r="K36" s="83">
        <v>3752843</v>
      </c>
    </row>
    <row r="37" spans="1:11">
      <c r="D37" t="s">
        <v>544</v>
      </c>
      <c r="H37" s="77">
        <v>27310425</v>
      </c>
      <c r="I37" s="83">
        <v>28549219</v>
      </c>
      <c r="J37" s="83">
        <f t="shared" si="1"/>
        <v>55859644</v>
      </c>
      <c r="K37" s="83">
        <v>47385158</v>
      </c>
    </row>
    <row r="38" spans="1:11">
      <c r="D38" t="s">
        <v>545</v>
      </c>
      <c r="H38" s="83"/>
      <c r="I38" s="83"/>
      <c r="J38" s="83"/>
      <c r="K38" s="83">
        <v>4100757</v>
      </c>
    </row>
    <row r="39" spans="1:11">
      <c r="D39" t="s">
        <v>546</v>
      </c>
      <c r="H39" s="83"/>
      <c r="I39" s="83"/>
      <c r="J39" s="83">
        <f t="shared" si="1"/>
        <v>0</v>
      </c>
      <c r="K39" s="83">
        <v>17452</v>
      </c>
    </row>
    <row r="40" spans="1:11">
      <c r="H40" s="81"/>
      <c r="I40" s="81"/>
      <c r="J40" s="81"/>
      <c r="K40" s="81"/>
    </row>
    <row r="41" spans="1:11">
      <c r="D41" s="7" t="s">
        <v>33</v>
      </c>
      <c r="E41" s="8"/>
      <c r="F41" s="8"/>
      <c r="G41" s="8"/>
      <c r="H41" s="87">
        <f>SUM(H27:H39)</f>
        <v>36678607</v>
      </c>
      <c r="I41" s="87">
        <f>SUM(I27:I39)</f>
        <v>33778913</v>
      </c>
      <c r="J41" s="87">
        <f>SUM(J27:J39)</f>
        <v>70457520</v>
      </c>
      <c r="K41" s="87">
        <f>SUM(K27:K39)</f>
        <v>65187939</v>
      </c>
    </row>
    <row r="42" spans="1:11">
      <c r="H42" s="81"/>
      <c r="I42" s="81"/>
      <c r="J42" s="81"/>
      <c r="K42" s="81"/>
    </row>
    <row r="43" spans="1:11">
      <c r="A43" s="5" t="s">
        <v>91</v>
      </c>
      <c r="H43" s="83"/>
      <c r="I43" s="83"/>
      <c r="J43" s="83"/>
      <c r="K43" s="83"/>
    </row>
    <row r="44" spans="1:11">
      <c r="B44" t="s">
        <v>547</v>
      </c>
      <c r="H44" s="122">
        <v>25868468</v>
      </c>
      <c r="I44" s="122">
        <v>0</v>
      </c>
      <c r="J44" s="122">
        <f>SUM(H44:I44)</f>
        <v>25868468</v>
      </c>
      <c r="K44" s="122">
        <v>5521842</v>
      </c>
    </row>
    <row r="45" spans="1:11">
      <c r="D45" s="102" t="s">
        <v>94</v>
      </c>
      <c r="E45" s="102"/>
      <c r="F45" s="102"/>
      <c r="G45" s="102"/>
      <c r="H45" s="103">
        <f>H44</f>
        <v>25868468</v>
      </c>
      <c r="I45" s="103">
        <f>I44</f>
        <v>0</v>
      </c>
      <c r="J45" s="103">
        <f>J44</f>
        <v>25868468</v>
      </c>
      <c r="K45" s="103">
        <f>K44</f>
        <v>5521842</v>
      </c>
    </row>
    <row r="46" spans="1:11">
      <c r="H46" s="83"/>
      <c r="I46" s="83"/>
      <c r="J46" s="83"/>
      <c r="K46" s="83"/>
    </row>
    <row r="47" spans="1:11">
      <c r="A47" s="3" t="s">
        <v>35</v>
      </c>
      <c r="H47" s="83"/>
      <c r="I47" s="83"/>
      <c r="J47" s="83"/>
      <c r="K47" s="83"/>
    </row>
    <row r="48" spans="1:11">
      <c r="B48" t="s">
        <v>430</v>
      </c>
      <c r="H48" s="88">
        <v>181967376</v>
      </c>
      <c r="I48" s="83">
        <v>102800061</v>
      </c>
      <c r="J48" s="83">
        <f t="shared" ref="J48:J54" si="2">SUM(H48:I48)</f>
        <v>284767437</v>
      </c>
      <c r="K48" s="83">
        <v>-2831576</v>
      </c>
    </row>
    <row r="49" spans="2:11">
      <c r="B49" t="s">
        <v>37</v>
      </c>
      <c r="H49" s="83"/>
      <c r="I49" s="83"/>
      <c r="J49" s="83">
        <f t="shared" si="2"/>
        <v>0</v>
      </c>
      <c r="K49" s="83"/>
    </row>
    <row r="50" spans="2:11">
      <c r="C50" t="s">
        <v>548</v>
      </c>
      <c r="H50" s="89">
        <v>25773560</v>
      </c>
      <c r="I50" s="83"/>
      <c r="J50" s="83">
        <f t="shared" si="2"/>
        <v>25773560</v>
      </c>
      <c r="K50" s="83"/>
    </row>
    <row r="51" spans="2:11">
      <c r="C51" t="s">
        <v>38</v>
      </c>
      <c r="H51" s="89">
        <v>4848261</v>
      </c>
      <c r="I51" s="83">
        <v>2865761</v>
      </c>
      <c r="J51" s="83">
        <f t="shared" si="2"/>
        <v>7714022</v>
      </c>
      <c r="K51" s="83"/>
    </row>
    <row r="52" spans="2:11">
      <c r="C52" t="s">
        <v>39</v>
      </c>
      <c r="H52" s="89">
        <v>1280366</v>
      </c>
      <c r="I52" s="83">
        <v>6365219</v>
      </c>
      <c r="J52" s="83">
        <f t="shared" si="2"/>
        <v>7645585</v>
      </c>
      <c r="K52" s="83">
        <v>265722</v>
      </c>
    </row>
    <row r="53" spans="2:11">
      <c r="C53" t="s">
        <v>549</v>
      </c>
      <c r="H53" s="89">
        <v>11752537</v>
      </c>
      <c r="I53" s="83"/>
      <c r="J53" s="83">
        <f t="shared" si="2"/>
        <v>11752537</v>
      </c>
      <c r="K53" s="83"/>
    </row>
    <row r="54" spans="2:11">
      <c r="B54" t="s">
        <v>69</v>
      </c>
      <c r="H54" s="93">
        <v>37035528</v>
      </c>
      <c r="I54" s="83">
        <v>-425415</v>
      </c>
      <c r="J54" s="83">
        <f t="shared" si="2"/>
        <v>36610113</v>
      </c>
      <c r="K54" s="83">
        <v>-2442122</v>
      </c>
    </row>
    <row r="55" spans="2:11">
      <c r="H55" s="81"/>
      <c r="I55" s="81"/>
      <c r="J55" s="81"/>
      <c r="K55" s="81"/>
    </row>
    <row r="56" spans="2:11" s="3" customFormat="1">
      <c r="C56" s="9" t="s">
        <v>42</v>
      </c>
      <c r="D56" s="9"/>
      <c r="E56" s="9"/>
      <c r="F56" s="9"/>
      <c r="G56" s="9"/>
      <c r="H56" s="94">
        <f>SUM(H48:H54)</f>
        <v>262657628</v>
      </c>
      <c r="I56" s="94">
        <f>SUM(I48:I54)</f>
        <v>111605626</v>
      </c>
      <c r="J56" s="94">
        <f>SUM(J48:J54)</f>
        <v>374263254</v>
      </c>
      <c r="K56" s="94">
        <f>SUM(K47:K54)</f>
        <v>-5007976</v>
      </c>
    </row>
    <row r="57" spans="2:11">
      <c r="H57" s="83"/>
      <c r="I57" s="83"/>
      <c r="J57" s="83"/>
      <c r="K57" s="83"/>
    </row>
    <row r="58" spans="2:11">
      <c r="C58" s="10" t="s">
        <v>43</v>
      </c>
      <c r="D58" s="10"/>
      <c r="E58" s="10"/>
      <c r="F58" s="227"/>
      <c r="G58" s="227"/>
      <c r="H58" s="227">
        <f>H56+H41</f>
        <v>299336235</v>
      </c>
      <c r="I58" s="227">
        <f>I56+I41</f>
        <v>145384539</v>
      </c>
      <c r="J58" s="227">
        <f t="shared" ref="J58:K58" si="3">J56+J41</f>
        <v>444720774</v>
      </c>
      <c r="K58" s="227">
        <f t="shared" si="3"/>
        <v>60179963</v>
      </c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61"/>
  <sheetViews>
    <sheetView zoomScale="80" zoomScaleNormal="80" zoomScalePageLayoutView="80" workbookViewId="0">
      <selection activeCell="H16" sqref="H16"/>
    </sheetView>
  </sheetViews>
  <sheetFormatPr defaultColWidth="8.85546875" defaultRowHeight="14.45"/>
  <cols>
    <col min="1" max="1" width="3.28515625" customWidth="1"/>
    <col min="2" max="2" width="3" customWidth="1"/>
    <col min="3" max="3" width="4.42578125" customWidth="1"/>
    <col min="4" max="4" width="2.140625" customWidth="1"/>
    <col min="5" max="5" width="8.7109375" customWidth="1"/>
    <col min="6" max="6" width="12.42578125" customWidth="1"/>
    <col min="7" max="7" width="25.7109375" customWidth="1"/>
    <col min="8" max="11" width="17.140625" customWidth="1"/>
    <col min="12" max="12" width="17.28515625" customWidth="1"/>
  </cols>
  <sheetData>
    <row r="1" spans="1:13" ht="18.600000000000001">
      <c r="A1" s="1"/>
      <c r="B1" s="1"/>
      <c r="C1" s="1"/>
      <c r="D1" s="268" t="s">
        <v>550</v>
      </c>
      <c r="E1" s="268"/>
      <c r="F1" s="268"/>
      <c r="G1" s="268"/>
      <c r="H1" s="268"/>
      <c r="I1" s="97"/>
      <c r="J1" s="97"/>
      <c r="K1" s="97"/>
    </row>
    <row r="2" spans="1:13" ht="18.60000000000000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  <c r="K2" s="98"/>
    </row>
    <row r="3" spans="1:13" ht="33" customHeight="1">
      <c r="H3" s="210" t="s">
        <v>2</v>
      </c>
      <c r="I3" s="273" t="s">
        <v>551</v>
      </c>
      <c r="J3" s="273"/>
      <c r="K3" s="273"/>
      <c r="L3" s="273"/>
      <c r="M3" s="233"/>
    </row>
    <row r="4" spans="1:13" ht="43.5">
      <c r="H4" s="105" t="s">
        <v>45</v>
      </c>
      <c r="I4" s="105" t="s">
        <v>552</v>
      </c>
      <c r="J4" s="105" t="s">
        <v>553</v>
      </c>
      <c r="K4" s="105" t="s">
        <v>554</v>
      </c>
      <c r="L4" s="208" t="s">
        <v>314</v>
      </c>
    </row>
    <row r="5" spans="1:13">
      <c r="A5" s="3" t="s">
        <v>4</v>
      </c>
      <c r="D5" s="3"/>
      <c r="G5" s="4"/>
      <c r="H5" s="4"/>
      <c r="I5" s="4"/>
      <c r="J5" s="4"/>
      <c r="K5" s="4"/>
    </row>
    <row r="6" spans="1:13">
      <c r="A6" s="3"/>
      <c r="B6" t="s">
        <v>555</v>
      </c>
      <c r="D6" s="3"/>
      <c r="G6" s="4"/>
      <c r="H6" s="4"/>
      <c r="I6" s="4"/>
      <c r="J6" s="4"/>
      <c r="K6" s="4"/>
    </row>
    <row r="7" spans="1:13">
      <c r="C7" t="s">
        <v>46</v>
      </c>
      <c r="H7" s="77">
        <v>4446922</v>
      </c>
      <c r="I7" s="83">
        <v>1574249</v>
      </c>
      <c r="J7" s="83">
        <v>734710</v>
      </c>
      <c r="K7" s="83">
        <v>198201</v>
      </c>
      <c r="L7" s="83">
        <f>SUM(I7:K7)</f>
        <v>2507160</v>
      </c>
    </row>
    <row r="8" spans="1:13">
      <c r="C8" t="s">
        <v>6</v>
      </c>
      <c r="H8" s="84">
        <v>986526</v>
      </c>
      <c r="I8" s="83"/>
      <c r="J8" s="83"/>
      <c r="K8" s="83">
        <v>20100</v>
      </c>
      <c r="L8" s="83">
        <f t="shared" ref="L8:L12" si="0">SUM(I8:K8)</f>
        <v>20100</v>
      </c>
    </row>
    <row r="9" spans="1:13">
      <c r="A9" t="s">
        <v>387</v>
      </c>
      <c r="C9" t="s">
        <v>113</v>
      </c>
      <c r="H9" s="78">
        <v>2817120</v>
      </c>
      <c r="I9" s="83">
        <v>3395889</v>
      </c>
      <c r="J9" s="83">
        <v>136063</v>
      </c>
      <c r="K9" s="83">
        <v>358452</v>
      </c>
      <c r="L9" s="83">
        <f t="shared" si="0"/>
        <v>3890404</v>
      </c>
    </row>
    <row r="10" spans="1:13">
      <c r="C10" t="s">
        <v>11</v>
      </c>
      <c r="H10" s="83"/>
      <c r="I10" s="83"/>
      <c r="J10" s="83"/>
      <c r="K10" s="83"/>
      <c r="L10" s="83">
        <f t="shared" si="0"/>
        <v>0</v>
      </c>
    </row>
    <row r="11" spans="1:13">
      <c r="C11" t="s">
        <v>49</v>
      </c>
      <c r="H11" s="128"/>
      <c r="I11" s="83">
        <v>361993</v>
      </c>
      <c r="J11" s="83">
        <v>42724</v>
      </c>
      <c r="K11" s="83"/>
      <c r="L11" s="83">
        <f t="shared" si="0"/>
        <v>404717</v>
      </c>
    </row>
    <row r="12" spans="1:13">
      <c r="C12" t="s">
        <v>556</v>
      </c>
      <c r="H12" s="79">
        <v>99350</v>
      </c>
      <c r="I12" s="83">
        <v>87961</v>
      </c>
      <c r="J12" s="83">
        <v>6377</v>
      </c>
      <c r="K12" s="83">
        <v>7055</v>
      </c>
      <c r="L12" s="83">
        <f t="shared" si="0"/>
        <v>101393</v>
      </c>
    </row>
    <row r="13" spans="1:13">
      <c r="B13" s="234" t="s">
        <v>557</v>
      </c>
      <c r="C13" s="234"/>
      <c r="D13" s="234"/>
      <c r="E13" s="234"/>
      <c r="F13" s="234"/>
      <c r="G13" s="234"/>
      <c r="H13" s="243">
        <f>SUM(H7:H12)</f>
        <v>8349918</v>
      </c>
      <c r="I13" s="243">
        <f t="shared" ref="I13:L13" si="1">SUM(I7:I12)</f>
        <v>5420092</v>
      </c>
      <c r="J13" s="243">
        <f t="shared" si="1"/>
        <v>919874</v>
      </c>
      <c r="K13" s="243">
        <f t="shared" si="1"/>
        <v>583808</v>
      </c>
      <c r="L13" s="243">
        <f t="shared" si="1"/>
        <v>6923774</v>
      </c>
    </row>
    <row r="15" spans="1:13">
      <c r="B15" t="s">
        <v>189</v>
      </c>
      <c r="H15" s="83"/>
      <c r="I15" s="83"/>
      <c r="J15" s="83"/>
      <c r="K15" s="83"/>
      <c r="L15" s="83"/>
    </row>
    <row r="16" spans="1:13">
      <c r="C16" t="s">
        <v>339</v>
      </c>
      <c r="H16" s="77">
        <v>431850</v>
      </c>
      <c r="I16" s="83">
        <v>387473</v>
      </c>
      <c r="J16" s="83">
        <v>563911</v>
      </c>
      <c r="K16" s="83"/>
      <c r="L16" s="83">
        <f>SUM(I16:K16)</f>
        <v>951384</v>
      </c>
    </row>
    <row r="17" spans="1:12">
      <c r="B17" s="234" t="s">
        <v>558</v>
      </c>
      <c r="C17" s="234"/>
      <c r="D17" s="234"/>
      <c r="E17" s="234"/>
      <c r="F17" s="234"/>
      <c r="G17" s="234"/>
      <c r="H17" s="243">
        <f>SUM(H16)</f>
        <v>431850</v>
      </c>
      <c r="I17" s="243">
        <f>SUM(I16)</f>
        <v>387473</v>
      </c>
      <c r="J17" s="243">
        <f t="shared" ref="J17:L17" si="2">SUM(J16)</f>
        <v>563911</v>
      </c>
      <c r="K17" s="243">
        <f t="shared" si="2"/>
        <v>0</v>
      </c>
      <c r="L17" s="243">
        <f t="shared" si="2"/>
        <v>951384</v>
      </c>
    </row>
    <row r="18" spans="1:12">
      <c r="H18" s="83"/>
      <c r="I18" s="83"/>
      <c r="J18" s="83"/>
      <c r="K18" s="83"/>
      <c r="L18" s="83"/>
    </row>
    <row r="19" spans="1:12">
      <c r="B19" t="s">
        <v>559</v>
      </c>
      <c r="H19" s="83"/>
      <c r="I19" s="83"/>
      <c r="J19" s="83"/>
      <c r="K19" s="83"/>
      <c r="L19" s="83"/>
    </row>
    <row r="20" spans="1:12">
      <c r="C20" t="s">
        <v>6</v>
      </c>
      <c r="H20" s="83"/>
      <c r="I20" s="83"/>
      <c r="J20" s="83"/>
      <c r="K20" s="83"/>
      <c r="L20" s="83"/>
    </row>
    <row r="21" spans="1:12">
      <c r="B21" s="234" t="s">
        <v>560</v>
      </c>
      <c r="C21" s="234"/>
      <c r="D21" s="234"/>
      <c r="E21" s="234"/>
      <c r="F21" s="234"/>
      <c r="G21" s="234"/>
      <c r="H21" s="243"/>
      <c r="I21" s="243"/>
      <c r="J21" s="243"/>
      <c r="K21" s="243"/>
      <c r="L21" s="243"/>
    </row>
    <row r="22" spans="1:12">
      <c r="H22" s="83"/>
      <c r="I22" s="83"/>
      <c r="J22" s="83"/>
      <c r="K22" s="83"/>
      <c r="L22" s="83"/>
    </row>
    <row r="23" spans="1:12">
      <c r="B23" t="s">
        <v>12</v>
      </c>
      <c r="H23" s="83"/>
      <c r="I23" s="83"/>
      <c r="J23" s="83"/>
      <c r="K23" s="83"/>
      <c r="L23" s="83"/>
    </row>
    <row r="24" spans="1:12">
      <c r="C24" t="s">
        <v>128</v>
      </c>
      <c r="H24" s="80">
        <v>235036</v>
      </c>
      <c r="I24" s="83"/>
      <c r="J24" s="83">
        <v>47631</v>
      </c>
      <c r="K24" s="83"/>
      <c r="L24" s="83">
        <f>SUM(I24:K24)</f>
        <v>47631</v>
      </c>
    </row>
    <row r="25" spans="1:12">
      <c r="C25" t="s">
        <v>119</v>
      </c>
      <c r="H25" s="80">
        <v>17632429</v>
      </c>
      <c r="I25" s="83">
        <v>6219874</v>
      </c>
      <c r="J25" s="83">
        <v>6138340</v>
      </c>
      <c r="K25" s="83">
        <v>900259</v>
      </c>
      <c r="L25" s="83">
        <f>SUM(I25:K25)</f>
        <v>13258473</v>
      </c>
    </row>
    <row r="26" spans="1:12">
      <c r="B26" s="234" t="s">
        <v>561</v>
      </c>
      <c r="C26" s="234"/>
      <c r="D26" s="234"/>
      <c r="E26" s="234"/>
      <c r="F26" s="234"/>
      <c r="G26" s="234"/>
      <c r="H26" s="243">
        <f>SUM(H24:H25)</f>
        <v>17867465</v>
      </c>
      <c r="I26" s="243">
        <f t="shared" ref="I26:L26" si="3">SUM(I24:I25)</f>
        <v>6219874</v>
      </c>
      <c r="J26" s="243">
        <f t="shared" si="3"/>
        <v>6185971</v>
      </c>
      <c r="K26" s="243">
        <f t="shared" si="3"/>
        <v>900259</v>
      </c>
      <c r="L26" s="243">
        <f t="shared" si="3"/>
        <v>13306104</v>
      </c>
    </row>
    <row r="27" spans="1:12">
      <c r="H27" s="83"/>
      <c r="I27" s="83"/>
      <c r="J27" s="83"/>
      <c r="K27" s="83"/>
      <c r="L27" s="83"/>
    </row>
    <row r="28" spans="1:12">
      <c r="A28" s="5"/>
      <c r="B28" s="5"/>
      <c r="C28" s="6" t="s">
        <v>15</v>
      </c>
      <c r="D28" s="6"/>
      <c r="E28" s="6"/>
      <c r="F28" s="6"/>
      <c r="G28" s="6"/>
      <c r="H28" s="82">
        <f>SUM(H13+H17+H21+H26)</f>
        <v>26649233</v>
      </c>
      <c r="I28" s="82">
        <f t="shared" ref="I28:L28" si="4">I26+I21+I17+I13</f>
        <v>12027439</v>
      </c>
      <c r="J28" s="82">
        <f t="shared" si="4"/>
        <v>7669756</v>
      </c>
      <c r="K28" s="82">
        <f t="shared" si="4"/>
        <v>1484067</v>
      </c>
      <c r="L28" s="82">
        <f t="shared" si="4"/>
        <v>21181262</v>
      </c>
    </row>
    <row r="29" spans="1:12">
      <c r="H29" s="83"/>
      <c r="I29" s="83"/>
      <c r="J29" s="83"/>
      <c r="K29" s="83"/>
      <c r="L29" s="83"/>
    </row>
    <row r="30" spans="1:12">
      <c r="A30" s="5" t="s">
        <v>52</v>
      </c>
      <c r="H30" s="83"/>
      <c r="I30" s="83"/>
      <c r="J30" s="83"/>
      <c r="K30" s="83"/>
      <c r="L30" s="83"/>
    </row>
    <row r="31" spans="1:12">
      <c r="A31" s="5"/>
      <c r="B31" t="s">
        <v>222</v>
      </c>
      <c r="H31" s="83"/>
      <c r="I31" s="83"/>
      <c r="J31" s="83"/>
      <c r="K31" s="83"/>
      <c r="L31" s="83"/>
    </row>
    <row r="32" spans="1:12">
      <c r="A32" s="5"/>
      <c r="C32" t="s">
        <v>20</v>
      </c>
      <c r="H32" s="84">
        <v>914891</v>
      </c>
      <c r="I32" s="83">
        <v>569271</v>
      </c>
      <c r="J32" s="83">
        <v>26385</v>
      </c>
      <c r="K32" s="83">
        <v>7706</v>
      </c>
      <c r="L32" s="83">
        <f>SUM(I32:K32)</f>
        <v>603362</v>
      </c>
    </row>
    <row r="33" spans="1:12">
      <c r="A33" s="5"/>
      <c r="C33" t="s">
        <v>562</v>
      </c>
      <c r="H33" s="84">
        <v>62229</v>
      </c>
      <c r="I33" s="83">
        <v>486822</v>
      </c>
      <c r="J33" s="83">
        <v>177586</v>
      </c>
      <c r="K33" s="83">
        <v>8985</v>
      </c>
      <c r="L33" s="83">
        <f t="shared" ref="L33:L38" si="5">SUM(I33:K33)</f>
        <v>673393</v>
      </c>
    </row>
    <row r="34" spans="1:12">
      <c r="C34" t="s">
        <v>563</v>
      </c>
      <c r="H34" s="79">
        <v>31378</v>
      </c>
      <c r="I34" s="83"/>
      <c r="J34" s="83">
        <v>90769</v>
      </c>
      <c r="K34" s="83">
        <v>3582</v>
      </c>
      <c r="L34" s="83">
        <f t="shared" si="5"/>
        <v>94351</v>
      </c>
    </row>
    <row r="35" spans="1:12">
      <c r="C35" t="s">
        <v>85</v>
      </c>
      <c r="H35" s="83"/>
      <c r="I35" s="83"/>
      <c r="J35" s="83">
        <v>90455</v>
      </c>
      <c r="K35" s="83"/>
      <c r="L35" s="83">
        <f t="shared" si="5"/>
        <v>90455</v>
      </c>
    </row>
    <row r="36" spans="1:12">
      <c r="C36" t="s">
        <v>564</v>
      </c>
      <c r="H36" s="83"/>
      <c r="I36" s="83"/>
      <c r="J36" s="83"/>
      <c r="K36" s="83"/>
      <c r="L36" s="83"/>
    </row>
    <row r="37" spans="1:12">
      <c r="D37" t="s">
        <v>28</v>
      </c>
      <c r="H37" s="85">
        <v>428726</v>
      </c>
      <c r="I37" s="83">
        <v>399830</v>
      </c>
      <c r="J37" s="83">
        <v>97879</v>
      </c>
      <c r="K37" s="83">
        <v>31036</v>
      </c>
      <c r="L37" s="83">
        <f t="shared" si="5"/>
        <v>528745</v>
      </c>
    </row>
    <row r="38" spans="1:12">
      <c r="D38" t="s">
        <v>565</v>
      </c>
      <c r="H38" s="79">
        <v>134903</v>
      </c>
      <c r="I38" s="83">
        <v>51138</v>
      </c>
      <c r="J38" s="83"/>
      <c r="K38" s="83"/>
      <c r="L38" s="83">
        <f t="shared" si="5"/>
        <v>51138</v>
      </c>
    </row>
    <row r="39" spans="1:12">
      <c r="B39" s="234" t="s">
        <v>566</v>
      </c>
      <c r="C39" s="234"/>
      <c r="D39" s="234"/>
      <c r="E39" s="234"/>
      <c r="F39" s="234"/>
      <c r="G39" s="234"/>
      <c r="H39" s="243">
        <f>SUM(H32:H38)</f>
        <v>1572127</v>
      </c>
      <c r="I39" s="243">
        <f>SUM(I32:I38)</f>
        <v>1507061</v>
      </c>
      <c r="J39" s="243">
        <f>SUM(J32:J38)</f>
        <v>483074</v>
      </c>
      <c r="K39" s="243">
        <f>SUM(K32:K38)</f>
        <v>51309</v>
      </c>
      <c r="L39" s="243">
        <f>SUM(L32:L38)</f>
        <v>2041444</v>
      </c>
    </row>
    <row r="40" spans="1:12">
      <c r="H40" s="83"/>
      <c r="I40" s="83"/>
      <c r="J40" s="83"/>
      <c r="K40" s="83"/>
      <c r="L40" s="83"/>
    </row>
    <row r="41" spans="1:12">
      <c r="B41" t="s">
        <v>398</v>
      </c>
      <c r="H41" s="83"/>
      <c r="I41" s="83"/>
      <c r="J41" s="83"/>
      <c r="K41" s="83"/>
      <c r="L41" s="83"/>
    </row>
    <row r="42" spans="1:12">
      <c r="C42" t="s">
        <v>28</v>
      </c>
      <c r="H42" s="78">
        <v>1865000</v>
      </c>
      <c r="I42" s="83">
        <v>3975896</v>
      </c>
      <c r="J42" s="83">
        <v>3100906</v>
      </c>
      <c r="K42" s="83">
        <v>202827</v>
      </c>
      <c r="L42" s="83">
        <f>SUM(I42:K42)</f>
        <v>7279629</v>
      </c>
    </row>
    <row r="43" spans="1:12">
      <c r="C43" t="s">
        <v>565</v>
      </c>
      <c r="H43" s="84">
        <v>261857</v>
      </c>
      <c r="I43" s="83">
        <v>149859</v>
      </c>
      <c r="J43" s="83"/>
      <c r="K43" s="83"/>
      <c r="L43" s="83">
        <f t="shared" ref="L43:L45" si="6">SUM(I43:K43)</f>
        <v>149859</v>
      </c>
    </row>
    <row r="44" spans="1:12">
      <c r="C44" t="s">
        <v>106</v>
      </c>
      <c r="H44" s="86">
        <v>308432</v>
      </c>
      <c r="I44" s="83"/>
      <c r="J44" s="83"/>
      <c r="K44" s="83"/>
      <c r="L44" s="83">
        <f t="shared" si="6"/>
        <v>0</v>
      </c>
    </row>
    <row r="45" spans="1:12">
      <c r="C45" t="s">
        <v>567</v>
      </c>
      <c r="H45" s="79">
        <v>1070146</v>
      </c>
      <c r="I45" s="83"/>
      <c r="J45" s="83"/>
      <c r="K45" s="83"/>
      <c r="L45" s="83">
        <f t="shared" si="6"/>
        <v>0</v>
      </c>
    </row>
    <row r="46" spans="1:12">
      <c r="B46" s="234" t="s">
        <v>568</v>
      </c>
      <c r="C46" s="234"/>
      <c r="D46" s="234"/>
      <c r="E46" s="234"/>
      <c r="F46" s="234"/>
      <c r="G46" s="234"/>
      <c r="H46" s="243">
        <f>SUM(H42:H45)</f>
        <v>3505435</v>
      </c>
      <c r="I46" s="243">
        <f t="shared" ref="I46:L46" si="7">SUM(I42:I45)</f>
        <v>4125755</v>
      </c>
      <c r="J46" s="243">
        <f t="shared" si="7"/>
        <v>3100906</v>
      </c>
      <c r="K46" s="243">
        <f t="shared" si="7"/>
        <v>202827</v>
      </c>
      <c r="L46" s="243">
        <f t="shared" si="7"/>
        <v>7429488</v>
      </c>
    </row>
    <row r="47" spans="1:12">
      <c r="H47" s="83"/>
      <c r="I47" s="83"/>
      <c r="J47" s="83"/>
      <c r="K47" s="83"/>
      <c r="L47" s="83"/>
    </row>
    <row r="48" spans="1:12">
      <c r="D48" s="7" t="s">
        <v>33</v>
      </c>
      <c r="E48" s="8"/>
      <c r="F48" s="8"/>
      <c r="G48" s="8"/>
      <c r="H48" s="87">
        <f>H39+H46</f>
        <v>5077562</v>
      </c>
      <c r="I48" s="87">
        <f t="shared" ref="I48:L48" si="8">I39+I46</f>
        <v>5632816</v>
      </c>
      <c r="J48" s="87">
        <f t="shared" si="8"/>
        <v>3583980</v>
      </c>
      <c r="K48" s="87">
        <f t="shared" si="8"/>
        <v>254136</v>
      </c>
      <c r="L48" s="87">
        <f t="shared" si="8"/>
        <v>9470932</v>
      </c>
    </row>
    <row r="49" spans="1:13">
      <c r="H49" s="81"/>
      <c r="I49" s="81"/>
      <c r="J49" s="81"/>
      <c r="K49" s="81"/>
      <c r="L49" s="81"/>
    </row>
    <row r="50" spans="1:13">
      <c r="A50" s="3" t="s">
        <v>35</v>
      </c>
      <c r="H50" s="83"/>
      <c r="I50" s="83"/>
      <c r="J50" s="83"/>
      <c r="K50" s="83"/>
      <c r="L50" s="83"/>
    </row>
    <row r="51" spans="1:13">
      <c r="B51" t="s">
        <v>96</v>
      </c>
      <c r="H51" s="88">
        <v>15145601</v>
      </c>
      <c r="I51" s="83">
        <v>2896404</v>
      </c>
      <c r="J51" s="83">
        <v>2987186</v>
      </c>
      <c r="K51" s="83">
        <v>662814</v>
      </c>
      <c r="L51" s="83">
        <f>SUM(I51:K51)</f>
        <v>6546404</v>
      </c>
      <c r="M51" s="83"/>
    </row>
    <row r="52" spans="1:13">
      <c r="B52" t="s">
        <v>37</v>
      </c>
      <c r="H52" s="83"/>
      <c r="I52" s="83"/>
      <c r="J52" s="83"/>
      <c r="K52" s="83"/>
      <c r="L52" s="83">
        <f t="shared" ref="L52:L56" si="9">SUM(I52:K52)</f>
        <v>0</v>
      </c>
    </row>
    <row r="53" spans="1:13">
      <c r="C53" t="s">
        <v>38</v>
      </c>
      <c r="H53" s="89">
        <v>41273</v>
      </c>
      <c r="I53" s="83"/>
      <c r="J53" s="83">
        <v>272937</v>
      </c>
      <c r="K53" s="83">
        <v>54163</v>
      </c>
      <c r="L53" s="83">
        <f t="shared" si="9"/>
        <v>327100</v>
      </c>
    </row>
    <row r="54" spans="1:13">
      <c r="C54" t="s">
        <v>39</v>
      </c>
      <c r="H54" s="89">
        <v>261754</v>
      </c>
      <c r="I54" s="83"/>
      <c r="J54" s="83"/>
      <c r="K54" s="83"/>
      <c r="L54" s="83">
        <f t="shared" si="9"/>
        <v>0</v>
      </c>
    </row>
    <row r="55" spans="1:13">
      <c r="C55" t="s">
        <v>40</v>
      </c>
      <c r="H55" s="89">
        <v>6851274</v>
      </c>
      <c r="I55" s="83"/>
      <c r="J55" s="83"/>
      <c r="K55" s="83"/>
      <c r="L55" s="83">
        <f t="shared" si="9"/>
        <v>0</v>
      </c>
    </row>
    <row r="56" spans="1:13">
      <c r="B56" t="s">
        <v>69</v>
      </c>
      <c r="H56" s="93">
        <v>-728231</v>
      </c>
      <c r="I56" s="83">
        <v>3498219</v>
      </c>
      <c r="J56" s="83">
        <v>825653</v>
      </c>
      <c r="K56" s="83">
        <v>512954</v>
      </c>
      <c r="L56" s="83">
        <f t="shared" si="9"/>
        <v>4836826</v>
      </c>
    </row>
    <row r="57" spans="1:13">
      <c r="H57" s="81"/>
      <c r="I57" s="81"/>
      <c r="J57" s="81"/>
      <c r="K57" s="81"/>
      <c r="L57" s="81"/>
    </row>
    <row r="58" spans="1:13">
      <c r="A58" s="3"/>
      <c r="B58" s="3"/>
      <c r="C58" s="9" t="s">
        <v>42</v>
      </c>
      <c r="D58" s="9"/>
      <c r="E58" s="9"/>
      <c r="F58" s="9"/>
      <c r="G58" s="9"/>
      <c r="H58" s="94">
        <f>SUM(H51:H56)</f>
        <v>21571671</v>
      </c>
      <c r="I58" s="94">
        <f>SUM(I51:I56)</f>
        <v>6394623</v>
      </c>
      <c r="J58" s="94">
        <f>SUM(J51:J56)</f>
        <v>4085776</v>
      </c>
      <c r="K58" s="94">
        <f>SUM(K51:K56)</f>
        <v>1229931</v>
      </c>
      <c r="L58" s="94">
        <f>SUM(L50:L56)</f>
        <v>11710330</v>
      </c>
    </row>
    <row r="59" spans="1:13">
      <c r="H59" s="83"/>
      <c r="I59" s="83"/>
      <c r="J59" s="83"/>
      <c r="K59" s="83"/>
      <c r="L59" s="83"/>
    </row>
    <row r="60" spans="1:13">
      <c r="A60" s="3"/>
      <c r="B60" s="3"/>
      <c r="C60" s="10" t="s">
        <v>43</v>
      </c>
      <c r="D60" s="10"/>
      <c r="E60" s="10"/>
      <c r="F60" s="10"/>
      <c r="G60" s="10"/>
      <c r="H60" s="95">
        <f>SUM(H58+H48)</f>
        <v>26649233</v>
      </c>
      <c r="I60" s="95">
        <f>SUM(I48+I58)</f>
        <v>12027439</v>
      </c>
      <c r="J60" s="95">
        <f>SUM(J48+J58)</f>
        <v>7669756</v>
      </c>
      <c r="K60" s="95">
        <f>SUM(K48+K58)</f>
        <v>1484067</v>
      </c>
      <c r="L60" s="95">
        <f>SUM(L58+L48)</f>
        <v>21181262</v>
      </c>
    </row>
    <row r="61" spans="1:13">
      <c r="H61" s="83"/>
      <c r="I61" s="83"/>
      <c r="J61" s="83"/>
      <c r="K61" s="83"/>
      <c r="L61" s="83"/>
    </row>
  </sheetData>
  <mergeCells count="3">
    <mergeCell ref="D1:H1"/>
    <mergeCell ref="D2:H2"/>
    <mergeCell ref="I3:L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55"/>
  <sheetViews>
    <sheetView topLeftCell="A4" zoomScale="70" zoomScaleNormal="70" zoomScalePageLayoutView="70" workbookViewId="0">
      <selection activeCell="B55" sqref="B55:J55"/>
    </sheetView>
  </sheetViews>
  <sheetFormatPr defaultColWidth="8.85546875" defaultRowHeight="14.45"/>
  <cols>
    <col min="1" max="1" width="3.28515625" customWidth="1"/>
    <col min="2" max="3" width="2.140625" customWidth="1"/>
    <col min="4" max="4" width="8.7109375" customWidth="1"/>
    <col min="5" max="5" width="12.42578125" customWidth="1"/>
    <col min="6" max="6" width="23" customWidth="1"/>
    <col min="7" max="8" width="17.140625" customWidth="1"/>
    <col min="9" max="9" width="17.28515625" customWidth="1"/>
    <col min="10" max="10" width="15.28515625" customWidth="1"/>
  </cols>
  <sheetData>
    <row r="1" spans="1:10" ht="18.75" customHeight="1">
      <c r="A1" s="1"/>
      <c r="B1" s="1"/>
      <c r="C1" s="268" t="s">
        <v>569</v>
      </c>
      <c r="D1" s="268"/>
      <c r="E1" s="268"/>
      <c r="F1" s="268"/>
      <c r="G1" s="268"/>
      <c r="H1" s="97"/>
    </row>
    <row r="2" spans="1:10" ht="15.75" customHeight="1">
      <c r="A2" s="1"/>
      <c r="B2" s="1"/>
      <c r="C2" s="266" t="s">
        <v>1</v>
      </c>
      <c r="D2" s="266"/>
      <c r="E2" s="266"/>
      <c r="F2" s="266"/>
      <c r="G2" s="266"/>
      <c r="H2" s="98"/>
    </row>
    <row r="4" spans="1:10" ht="26.25" customHeight="1">
      <c r="G4" s="275" t="s">
        <v>2</v>
      </c>
      <c r="H4" s="275"/>
      <c r="I4" s="163"/>
      <c r="J4" s="208" t="s">
        <v>71</v>
      </c>
    </row>
    <row r="5" spans="1:10" ht="45" customHeight="1">
      <c r="G5" s="105" t="s">
        <v>45</v>
      </c>
      <c r="H5" s="105" t="s">
        <v>141</v>
      </c>
      <c r="I5" s="106" t="s">
        <v>73</v>
      </c>
      <c r="J5" s="169" t="s">
        <v>570</v>
      </c>
    </row>
    <row r="6" spans="1:10">
      <c r="A6" s="3" t="s">
        <v>4</v>
      </c>
      <c r="C6" s="3"/>
      <c r="F6" s="4"/>
      <c r="G6" s="4"/>
      <c r="H6" s="4"/>
    </row>
    <row r="7" spans="1:10">
      <c r="B7" t="s">
        <v>46</v>
      </c>
      <c r="G7" s="77">
        <v>22660670</v>
      </c>
      <c r="H7" s="83">
        <v>6548899</v>
      </c>
      <c r="I7" s="83">
        <f>SUM(G7:H7)</f>
        <v>29209569</v>
      </c>
      <c r="J7">
        <v>8648856</v>
      </c>
    </row>
    <row r="8" spans="1:10">
      <c r="B8" t="s">
        <v>6</v>
      </c>
      <c r="G8" s="84">
        <v>10808344</v>
      </c>
      <c r="H8" s="83">
        <v>2003210</v>
      </c>
      <c r="I8" s="83">
        <f>SUM(G8:H8)</f>
        <v>12811554</v>
      </c>
    </row>
    <row r="9" spans="1:10">
      <c r="B9" t="s">
        <v>186</v>
      </c>
      <c r="G9" s="78">
        <v>23579733</v>
      </c>
      <c r="H9" s="83">
        <v>1196672</v>
      </c>
      <c r="I9" s="83">
        <f>SUM(G9:H9)</f>
        <v>24776405</v>
      </c>
      <c r="J9">
        <v>3558537</v>
      </c>
    </row>
    <row r="10" spans="1:10">
      <c r="B10" t="s">
        <v>571</v>
      </c>
      <c r="G10" s="83"/>
      <c r="H10" s="83"/>
      <c r="I10" s="83"/>
    </row>
    <row r="11" spans="1:10">
      <c r="C11" t="s">
        <v>88</v>
      </c>
      <c r="G11" s="90">
        <v>510000</v>
      </c>
      <c r="H11" s="83"/>
      <c r="I11" s="83">
        <f t="shared" ref="I11:I21" si="0">SUM(G11:H11)</f>
        <v>510000</v>
      </c>
    </row>
    <row r="12" spans="1:10">
      <c r="C12" t="s">
        <v>89</v>
      </c>
      <c r="G12" s="90">
        <v>1080000</v>
      </c>
      <c r="H12" s="83"/>
      <c r="I12" s="83">
        <f t="shared" si="0"/>
        <v>1080000</v>
      </c>
    </row>
    <row r="13" spans="1:10">
      <c r="C13" t="s">
        <v>572</v>
      </c>
      <c r="G13" s="83"/>
      <c r="H13" s="83"/>
      <c r="I13" s="83"/>
      <c r="J13">
        <v>101683</v>
      </c>
    </row>
    <row r="14" spans="1:10">
      <c r="B14" t="s">
        <v>573</v>
      </c>
      <c r="G14" s="79">
        <v>-12842</v>
      </c>
      <c r="H14" s="83">
        <v>12842</v>
      </c>
      <c r="I14" s="83">
        <f t="shared" si="0"/>
        <v>0</v>
      </c>
    </row>
    <row r="15" spans="1:10">
      <c r="B15" t="s">
        <v>158</v>
      </c>
      <c r="G15" s="79">
        <v>34391</v>
      </c>
      <c r="H15" s="83">
        <v>261482</v>
      </c>
      <c r="I15" s="83">
        <f t="shared" si="0"/>
        <v>295873</v>
      </c>
      <c r="J15">
        <v>357106</v>
      </c>
    </row>
    <row r="16" spans="1:10">
      <c r="B16" t="s">
        <v>115</v>
      </c>
      <c r="G16" s="79">
        <v>254465</v>
      </c>
      <c r="H16" s="83">
        <v>9591</v>
      </c>
      <c r="I16" s="83">
        <f t="shared" si="0"/>
        <v>264056</v>
      </c>
    </row>
    <row r="17" spans="1:10">
      <c r="B17" t="s">
        <v>77</v>
      </c>
      <c r="G17" s="83"/>
      <c r="H17" s="83"/>
      <c r="I17" s="83"/>
    </row>
    <row r="18" spans="1:10">
      <c r="C18" t="s">
        <v>46</v>
      </c>
      <c r="G18" s="83"/>
      <c r="H18" s="83">
        <v>503398</v>
      </c>
      <c r="I18" s="83">
        <f t="shared" si="0"/>
        <v>503398</v>
      </c>
    </row>
    <row r="19" spans="1:10">
      <c r="C19" t="s">
        <v>574</v>
      </c>
      <c r="G19" s="83"/>
      <c r="H19" s="83"/>
      <c r="I19" s="83"/>
      <c r="J19">
        <v>1391528</v>
      </c>
    </row>
    <row r="20" spans="1:10">
      <c r="C20" t="s">
        <v>575</v>
      </c>
      <c r="G20" s="83"/>
      <c r="H20" s="83"/>
      <c r="I20" s="83"/>
      <c r="J20">
        <v>8474392</v>
      </c>
    </row>
    <row r="21" spans="1:10">
      <c r="B21" t="s">
        <v>315</v>
      </c>
      <c r="G21" s="80">
        <v>63127363</v>
      </c>
      <c r="H21" s="83">
        <v>13136113</v>
      </c>
      <c r="I21" s="83">
        <f t="shared" si="0"/>
        <v>76263476</v>
      </c>
      <c r="J21">
        <v>21560281</v>
      </c>
    </row>
    <row r="22" spans="1:10">
      <c r="B22" t="s">
        <v>576</v>
      </c>
      <c r="G22" s="83"/>
      <c r="H22" s="83">
        <v>245</v>
      </c>
      <c r="I22" s="83">
        <f>SUM(G22:H22)</f>
        <v>245</v>
      </c>
      <c r="J22" s="122">
        <v>574989</v>
      </c>
    </row>
    <row r="23" spans="1:10">
      <c r="G23" s="81"/>
      <c r="H23" s="81"/>
      <c r="I23" s="81"/>
    </row>
    <row r="24" spans="1:10" s="5" customFormat="1">
      <c r="B24" s="6" t="s">
        <v>15</v>
      </c>
      <c r="C24" s="6"/>
      <c r="D24" s="6"/>
      <c r="E24" s="6"/>
      <c r="F24" s="6"/>
      <c r="G24" s="82">
        <f>SUM(G7:G21)</f>
        <v>122042124</v>
      </c>
      <c r="H24" s="82">
        <f>SUM(H7:H22)</f>
        <v>23672452</v>
      </c>
      <c r="I24" s="82">
        <f>SUM(I7:I22)</f>
        <v>145714576</v>
      </c>
      <c r="J24" s="82">
        <f>SUM(J7:J22)</f>
        <v>44667372</v>
      </c>
    </row>
    <row r="25" spans="1:10">
      <c r="A25" s="5" t="s">
        <v>160</v>
      </c>
      <c r="G25" s="83"/>
      <c r="H25" s="83"/>
      <c r="I25" s="83"/>
    </row>
    <row r="26" spans="1:10">
      <c r="A26" s="5"/>
      <c r="C26" t="s">
        <v>577</v>
      </c>
      <c r="G26" s="122">
        <v>163636</v>
      </c>
      <c r="H26" s="122"/>
      <c r="I26" s="122">
        <f>SUM(G26:H26)</f>
        <v>163636</v>
      </c>
      <c r="J26" s="163"/>
    </row>
    <row r="27" spans="1:10">
      <c r="A27" s="5"/>
      <c r="G27" s="83"/>
      <c r="H27" s="83"/>
      <c r="I27" s="83"/>
    </row>
    <row r="28" spans="1:10">
      <c r="A28" s="5" t="s">
        <v>52</v>
      </c>
      <c r="G28" s="83"/>
      <c r="H28" s="83"/>
      <c r="I28" s="83"/>
    </row>
    <row r="29" spans="1:10">
      <c r="B29" t="s">
        <v>247</v>
      </c>
      <c r="G29" s="84">
        <v>4907605</v>
      </c>
      <c r="H29" s="83">
        <v>317658</v>
      </c>
      <c r="I29" s="83">
        <f>SUM(G29:H29)</f>
        <v>5225263</v>
      </c>
      <c r="J29">
        <v>798354</v>
      </c>
    </row>
    <row r="30" spans="1:10">
      <c r="B30" t="s">
        <v>108</v>
      </c>
      <c r="G30" s="107">
        <v>125909</v>
      </c>
      <c r="H30" s="83"/>
      <c r="I30" s="83">
        <f t="shared" ref="I30:I35" si="1">SUM(G30:H30)</f>
        <v>125909</v>
      </c>
    </row>
    <row r="31" spans="1:10">
      <c r="B31" t="s">
        <v>303</v>
      </c>
      <c r="G31" s="79">
        <v>1285071</v>
      </c>
      <c r="H31" s="83">
        <v>141115</v>
      </c>
      <c r="I31" s="83">
        <f t="shared" si="1"/>
        <v>1426186</v>
      </c>
      <c r="J31">
        <v>886061</v>
      </c>
    </row>
    <row r="32" spans="1:10">
      <c r="B32" t="s">
        <v>194</v>
      </c>
      <c r="G32" s="83"/>
      <c r="H32" s="83">
        <v>478845</v>
      </c>
      <c r="I32" s="83">
        <f t="shared" si="1"/>
        <v>478845</v>
      </c>
    </row>
    <row r="33" spans="1:10">
      <c r="B33" t="s">
        <v>109</v>
      </c>
      <c r="G33" s="83"/>
      <c r="H33" s="83"/>
      <c r="I33" s="83">
        <f t="shared" si="1"/>
        <v>0</v>
      </c>
    </row>
    <row r="34" spans="1:10">
      <c r="D34" t="s">
        <v>88</v>
      </c>
      <c r="G34" s="92">
        <v>1538866</v>
      </c>
      <c r="H34" s="83">
        <v>57287</v>
      </c>
      <c r="I34" s="83">
        <f t="shared" si="1"/>
        <v>1596153</v>
      </c>
      <c r="J34">
        <v>766538</v>
      </c>
    </row>
    <row r="35" spans="1:10">
      <c r="D35" t="s">
        <v>89</v>
      </c>
      <c r="G35" s="77">
        <v>9012522</v>
      </c>
      <c r="H35" s="83">
        <v>433809</v>
      </c>
      <c r="I35" s="83">
        <f t="shared" si="1"/>
        <v>9446331</v>
      </c>
      <c r="J35" s="163">
        <v>16281099</v>
      </c>
    </row>
    <row r="36" spans="1:10">
      <c r="G36" s="81"/>
      <c r="H36" s="81"/>
      <c r="I36" s="81"/>
    </row>
    <row r="37" spans="1:10">
      <c r="C37" s="7" t="s">
        <v>33</v>
      </c>
      <c r="D37" s="8"/>
      <c r="E37" s="8"/>
      <c r="F37" s="8"/>
      <c r="G37" s="87">
        <f>SUM(G29:G35)</f>
        <v>16869973</v>
      </c>
      <c r="H37" s="87">
        <f>SUM(H29:H35)</f>
        <v>1428714</v>
      </c>
      <c r="I37" s="87">
        <f>SUM(I29:I35)</f>
        <v>18298687</v>
      </c>
      <c r="J37" s="87">
        <f>SUM(J29:J35)</f>
        <v>18732052</v>
      </c>
    </row>
    <row r="38" spans="1:10">
      <c r="G38" s="83"/>
      <c r="H38" s="83"/>
      <c r="I38" s="83"/>
    </row>
    <row r="39" spans="1:10">
      <c r="A39" s="3" t="s">
        <v>35</v>
      </c>
      <c r="G39" s="83"/>
      <c r="H39" s="83"/>
      <c r="I39" s="83"/>
    </row>
    <row r="40" spans="1:10">
      <c r="B40" t="s">
        <v>393</v>
      </c>
      <c r="G40" s="88">
        <v>57285911</v>
      </c>
      <c r="H40" s="83">
        <v>13136113</v>
      </c>
      <c r="I40" s="83">
        <f>SUM(G40:H40)</f>
        <v>70422024</v>
      </c>
      <c r="J40">
        <v>6093216</v>
      </c>
    </row>
    <row r="41" spans="1:10">
      <c r="B41" t="s">
        <v>37</v>
      </c>
      <c r="G41" s="83"/>
      <c r="H41" s="83"/>
      <c r="I41" s="83"/>
    </row>
    <row r="42" spans="1:10">
      <c r="C42" t="s">
        <v>212</v>
      </c>
      <c r="G42" s="89">
        <v>7253937</v>
      </c>
      <c r="H42" s="83"/>
      <c r="I42" s="83">
        <f t="shared" ref="I42:I51" si="2">SUM(G42:H42)</f>
        <v>7253937</v>
      </c>
    </row>
    <row r="43" spans="1:10">
      <c r="C43" t="s">
        <v>66</v>
      </c>
      <c r="G43" s="89">
        <v>5033120</v>
      </c>
      <c r="H43" s="83"/>
      <c r="I43" s="83">
        <f t="shared" si="2"/>
        <v>5033120</v>
      </c>
    </row>
    <row r="44" spans="1:10">
      <c r="C44" t="s">
        <v>38</v>
      </c>
      <c r="G44" s="89">
        <v>1705826</v>
      </c>
      <c r="H44" s="83"/>
      <c r="I44" s="83">
        <f t="shared" si="2"/>
        <v>1705826</v>
      </c>
      <c r="J44">
        <v>1391528</v>
      </c>
    </row>
    <row r="45" spans="1:10">
      <c r="C45" t="s">
        <v>39</v>
      </c>
      <c r="G45" s="89">
        <v>1059444</v>
      </c>
      <c r="H45" s="83"/>
      <c r="I45" s="83">
        <f>SUM(G45:H45)</f>
        <v>1059444</v>
      </c>
    </row>
    <row r="46" spans="1:10">
      <c r="C46" t="s">
        <v>65</v>
      </c>
      <c r="G46" s="89">
        <v>6024835</v>
      </c>
      <c r="H46" s="83"/>
      <c r="I46" s="83">
        <f t="shared" si="2"/>
        <v>6024835</v>
      </c>
    </row>
    <row r="47" spans="1:10">
      <c r="C47" t="s">
        <v>578</v>
      </c>
      <c r="G47" s="89">
        <v>4924452</v>
      </c>
      <c r="H47" s="83"/>
      <c r="I47" s="83">
        <f t="shared" si="2"/>
        <v>4924452</v>
      </c>
    </row>
    <row r="48" spans="1:10">
      <c r="C48" t="s">
        <v>63</v>
      </c>
      <c r="G48" s="89">
        <v>13110874</v>
      </c>
      <c r="H48" s="83"/>
      <c r="I48" s="83">
        <f t="shared" si="2"/>
        <v>13110874</v>
      </c>
    </row>
    <row r="49" spans="2:10">
      <c r="C49" t="s">
        <v>67</v>
      </c>
      <c r="G49" s="89">
        <v>2942312</v>
      </c>
      <c r="H49" s="83"/>
      <c r="I49" s="83">
        <f t="shared" si="2"/>
        <v>2942312</v>
      </c>
    </row>
    <row r="50" spans="2:10">
      <c r="C50" t="s">
        <v>579</v>
      </c>
      <c r="G50" s="89">
        <v>1316468</v>
      </c>
      <c r="H50" s="83"/>
      <c r="I50" s="83">
        <f t="shared" si="2"/>
        <v>1316468</v>
      </c>
    </row>
    <row r="51" spans="2:10">
      <c r="B51" t="s">
        <v>69</v>
      </c>
      <c r="G51" s="93">
        <v>4678608</v>
      </c>
      <c r="H51" s="83">
        <v>9107625</v>
      </c>
      <c r="I51" s="83">
        <f t="shared" si="2"/>
        <v>13786233</v>
      </c>
      <c r="J51" s="163">
        <v>18450576</v>
      </c>
    </row>
    <row r="52" spans="2:10">
      <c r="G52" s="81"/>
      <c r="H52" s="81"/>
      <c r="I52" s="81"/>
    </row>
    <row r="53" spans="2:10" s="3" customFormat="1">
      <c r="B53" s="9" t="s">
        <v>42</v>
      </c>
      <c r="C53" s="9"/>
      <c r="D53" s="9"/>
      <c r="E53" s="9"/>
      <c r="F53" s="9"/>
      <c r="G53" s="94">
        <f>SUM(G40:G52)</f>
        <v>105335787</v>
      </c>
      <c r="H53" s="94">
        <f>SUM(H40:H51)</f>
        <v>22243738</v>
      </c>
      <c r="I53" s="94">
        <f>SUM(I39:I51)</f>
        <v>127579525</v>
      </c>
      <c r="J53" s="94">
        <f>SUM(J39:J51)</f>
        <v>25935320</v>
      </c>
    </row>
    <row r="54" spans="2:10">
      <c r="G54" s="83"/>
      <c r="H54" s="83"/>
      <c r="I54" s="83"/>
    </row>
    <row r="55" spans="2:10">
      <c r="B55" s="10" t="s">
        <v>43</v>
      </c>
      <c r="C55" s="10"/>
      <c r="D55" s="10"/>
      <c r="E55" s="227"/>
      <c r="F55" s="227"/>
      <c r="G55" s="227">
        <f>G53+G37</f>
        <v>122205760</v>
      </c>
      <c r="H55" s="227">
        <f t="shared" ref="H55:J55" si="3">H53+H37</f>
        <v>23672452</v>
      </c>
      <c r="I55" s="227">
        <f t="shared" si="3"/>
        <v>145878212</v>
      </c>
      <c r="J55" s="227">
        <f t="shared" si="3"/>
        <v>44667372</v>
      </c>
    </row>
  </sheetData>
  <mergeCells count="3">
    <mergeCell ref="C1:G1"/>
    <mergeCell ref="C2:G2"/>
    <mergeCell ref="G4:H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49"/>
  <sheetViews>
    <sheetView zoomScale="80" zoomScaleNormal="80" zoomScalePageLayoutView="80" workbookViewId="0">
      <selection activeCell="B49" sqref="B49:J49"/>
    </sheetView>
  </sheetViews>
  <sheetFormatPr defaultColWidth="8.85546875" defaultRowHeight="14.45"/>
  <cols>
    <col min="1" max="1" width="3.28515625" customWidth="1"/>
    <col min="2" max="3" width="2.140625" customWidth="1"/>
    <col min="4" max="4" width="8.7109375" customWidth="1"/>
    <col min="5" max="5" width="12.42578125" customWidth="1"/>
    <col min="6" max="6" width="23" customWidth="1"/>
    <col min="7" max="7" width="18.85546875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268" t="s">
        <v>580</v>
      </c>
      <c r="D1" s="268"/>
      <c r="E1" s="268"/>
      <c r="F1" s="268"/>
      <c r="G1" s="268"/>
      <c r="H1" s="97"/>
      <c r="I1" s="97"/>
    </row>
    <row r="2" spans="1:11" ht="15.75" customHeight="1">
      <c r="A2" s="1"/>
      <c r="B2" s="1"/>
      <c r="C2" s="266" t="s">
        <v>1</v>
      </c>
      <c r="D2" s="266"/>
      <c r="E2" s="266"/>
      <c r="F2" s="266"/>
      <c r="G2" s="266"/>
      <c r="H2" s="98"/>
      <c r="I2" s="98"/>
    </row>
    <row r="3" spans="1:11" ht="11.25" customHeight="1"/>
    <row r="4" spans="1:11" ht="15" customHeight="1">
      <c r="G4" s="273" t="s">
        <v>2</v>
      </c>
      <c r="H4" s="273"/>
      <c r="I4" s="273"/>
      <c r="J4" s="167" t="s">
        <v>71</v>
      </c>
    </row>
    <row r="5" spans="1:11" ht="31.5" customHeight="1">
      <c r="G5" s="105" t="s">
        <v>45</v>
      </c>
      <c r="H5" s="105" t="s">
        <v>141</v>
      </c>
      <c r="I5" s="105" t="s">
        <v>73</v>
      </c>
      <c r="J5" s="168" t="s">
        <v>259</v>
      </c>
      <c r="K5" s="5"/>
    </row>
    <row r="6" spans="1:11">
      <c r="A6" s="3" t="s">
        <v>4</v>
      </c>
      <c r="C6" s="3"/>
      <c r="F6" s="4"/>
      <c r="G6" s="4"/>
      <c r="H6" s="4"/>
      <c r="I6" s="4"/>
    </row>
    <row r="7" spans="1:11">
      <c r="B7" t="s">
        <v>46</v>
      </c>
      <c r="G7" s="77">
        <v>68703620</v>
      </c>
      <c r="H7" s="83">
        <v>1206480</v>
      </c>
      <c r="I7" s="83">
        <f t="shared" ref="I7:I20" si="0">SUM(G7:H7)</f>
        <v>69910100</v>
      </c>
      <c r="J7" s="83">
        <v>5144173</v>
      </c>
    </row>
    <row r="8" spans="1:11">
      <c r="B8" t="s">
        <v>199</v>
      </c>
      <c r="G8" s="83"/>
      <c r="H8" s="83">
        <v>434054</v>
      </c>
      <c r="I8" s="83">
        <f t="shared" si="0"/>
        <v>434054</v>
      </c>
      <c r="J8" s="83"/>
    </row>
    <row r="9" spans="1:11">
      <c r="B9" t="s">
        <v>581</v>
      </c>
      <c r="G9" s="83"/>
      <c r="H9" s="83"/>
      <c r="I9" s="83">
        <f t="shared" si="0"/>
        <v>0</v>
      </c>
      <c r="J9" s="83"/>
    </row>
    <row r="10" spans="1:11">
      <c r="C10" t="s">
        <v>351</v>
      </c>
      <c r="G10" s="78">
        <v>331747</v>
      </c>
      <c r="H10" s="83">
        <v>2634157</v>
      </c>
      <c r="I10" s="83">
        <f t="shared" si="0"/>
        <v>2965904</v>
      </c>
      <c r="J10" s="83"/>
    </row>
    <row r="11" spans="1:11">
      <c r="C11" t="s">
        <v>480</v>
      </c>
      <c r="G11" s="78">
        <v>11498456</v>
      </c>
      <c r="H11" s="83"/>
      <c r="I11" s="83">
        <f t="shared" si="0"/>
        <v>11498456</v>
      </c>
      <c r="J11" s="83">
        <v>4237599</v>
      </c>
    </row>
    <row r="12" spans="1:11">
      <c r="C12" t="s">
        <v>524</v>
      </c>
      <c r="G12" s="78">
        <v>3377260</v>
      </c>
      <c r="H12" s="83"/>
      <c r="I12" s="83">
        <f t="shared" si="0"/>
        <v>3377260</v>
      </c>
      <c r="J12" s="83"/>
    </row>
    <row r="13" spans="1:11">
      <c r="C13" t="s">
        <v>200</v>
      </c>
      <c r="G13" s="78">
        <v>172605</v>
      </c>
      <c r="H13" s="83"/>
      <c r="I13" s="83">
        <f t="shared" si="0"/>
        <v>172605</v>
      </c>
      <c r="J13" s="83">
        <v>61625</v>
      </c>
    </row>
    <row r="14" spans="1:11">
      <c r="B14" t="s">
        <v>48</v>
      </c>
      <c r="G14" s="90">
        <v>3096282</v>
      </c>
      <c r="H14" s="83">
        <v>300632</v>
      </c>
      <c r="I14" s="83">
        <f t="shared" si="0"/>
        <v>3396914</v>
      </c>
      <c r="J14" s="83"/>
    </row>
    <row r="15" spans="1:11">
      <c r="B15" t="s">
        <v>115</v>
      </c>
      <c r="G15" s="79">
        <v>150582</v>
      </c>
      <c r="H15" s="83">
        <v>99504</v>
      </c>
      <c r="I15" s="83">
        <f t="shared" si="0"/>
        <v>250086</v>
      </c>
      <c r="J15" s="83"/>
    </row>
    <row r="16" spans="1:11">
      <c r="B16" t="s">
        <v>77</v>
      </c>
      <c r="G16" s="83"/>
      <c r="H16" s="83">
        <v>1170454</v>
      </c>
      <c r="I16" s="83">
        <f t="shared" si="0"/>
        <v>1170454</v>
      </c>
      <c r="J16" s="83"/>
    </row>
    <row r="17" spans="1:10">
      <c r="B17" t="s">
        <v>76</v>
      </c>
      <c r="G17" s="79">
        <v>1200568</v>
      </c>
      <c r="H17" s="83">
        <v>-1200568</v>
      </c>
      <c r="I17" s="83">
        <f t="shared" si="0"/>
        <v>0</v>
      </c>
      <c r="J17" s="83"/>
    </row>
    <row r="18" spans="1:10">
      <c r="B18" t="s">
        <v>256</v>
      </c>
      <c r="G18" s="80">
        <v>15682406</v>
      </c>
      <c r="H18" s="83">
        <v>3166345</v>
      </c>
      <c r="I18" s="83">
        <f t="shared" si="0"/>
        <v>18848751</v>
      </c>
      <c r="J18" s="83"/>
    </row>
    <row r="19" spans="1:10">
      <c r="B19" t="s">
        <v>582</v>
      </c>
      <c r="G19" s="83"/>
      <c r="H19" s="83"/>
      <c r="I19" s="83">
        <f t="shared" si="0"/>
        <v>0</v>
      </c>
      <c r="J19" s="83"/>
    </row>
    <row r="20" spans="1:10">
      <c r="C20" t="s">
        <v>583</v>
      </c>
      <c r="G20" s="80">
        <v>70495237</v>
      </c>
      <c r="H20" s="83">
        <v>124516843</v>
      </c>
      <c r="I20" s="83">
        <f t="shared" si="0"/>
        <v>195012080</v>
      </c>
      <c r="J20" s="83">
        <v>5249777</v>
      </c>
    </row>
    <row r="21" spans="1:10">
      <c r="G21" s="81"/>
      <c r="H21" s="81"/>
      <c r="I21" s="81"/>
      <c r="J21" s="81"/>
    </row>
    <row r="22" spans="1:10" s="5" customFormat="1">
      <c r="B22" s="6" t="s">
        <v>15</v>
      </c>
      <c r="C22" s="6"/>
      <c r="D22" s="6"/>
      <c r="E22" s="6"/>
      <c r="F22" s="6"/>
      <c r="G22" s="82">
        <f>SUM(G7:G20)</f>
        <v>174708763</v>
      </c>
      <c r="H22" s="82">
        <f>SUM(H7:H20)</f>
        <v>132327901</v>
      </c>
      <c r="I22" s="82">
        <f>SUM(I7:I20)</f>
        <v>307036664</v>
      </c>
      <c r="J22" s="82">
        <f>SUM(J7:J20)</f>
        <v>14693174</v>
      </c>
    </row>
    <row r="23" spans="1:10">
      <c r="G23" s="83"/>
      <c r="H23" s="83"/>
      <c r="I23" s="83"/>
      <c r="J23" s="83"/>
    </row>
    <row r="24" spans="1:10">
      <c r="A24" s="5" t="s">
        <v>52</v>
      </c>
      <c r="G24" s="83"/>
      <c r="H24" s="83"/>
      <c r="I24" s="83"/>
      <c r="J24" s="83"/>
    </row>
    <row r="25" spans="1:10">
      <c r="A25" s="5"/>
      <c r="B25" t="s">
        <v>133</v>
      </c>
      <c r="G25" s="84">
        <v>4076912</v>
      </c>
      <c r="H25" s="83">
        <v>2570268</v>
      </c>
      <c r="I25" s="83">
        <f t="shared" ref="I25:I33" si="1">SUM(G25:H25)</f>
        <v>6647180</v>
      </c>
      <c r="J25" s="83">
        <v>29679</v>
      </c>
    </row>
    <row r="26" spans="1:10">
      <c r="B26" t="s">
        <v>82</v>
      </c>
      <c r="G26" s="79">
        <v>942369</v>
      </c>
      <c r="H26" s="83"/>
      <c r="I26" s="83">
        <f t="shared" si="1"/>
        <v>942369</v>
      </c>
      <c r="J26" s="83"/>
    </row>
    <row r="27" spans="1:10">
      <c r="B27" t="s">
        <v>232</v>
      </c>
      <c r="G27" s="96">
        <v>21935</v>
      </c>
      <c r="H27" s="83"/>
      <c r="I27" s="83">
        <f t="shared" si="1"/>
        <v>21935</v>
      </c>
      <c r="J27" s="83"/>
    </row>
    <row r="28" spans="1:10">
      <c r="B28" t="s">
        <v>294</v>
      </c>
      <c r="G28" s="83"/>
      <c r="H28" s="83">
        <v>1285479</v>
      </c>
      <c r="I28" s="83">
        <f t="shared" si="1"/>
        <v>1285479</v>
      </c>
      <c r="J28" s="83"/>
    </row>
    <row r="29" spans="1:10">
      <c r="B29" t="s">
        <v>108</v>
      </c>
      <c r="G29" s="83"/>
      <c r="H29" s="83">
        <v>119313</v>
      </c>
      <c r="I29" s="83">
        <f t="shared" si="1"/>
        <v>119313</v>
      </c>
      <c r="J29" s="83">
        <v>180159</v>
      </c>
    </row>
    <row r="30" spans="1:10">
      <c r="B30" t="s">
        <v>134</v>
      </c>
      <c r="G30" s="84">
        <v>526136</v>
      </c>
      <c r="H30" s="83">
        <v>9661</v>
      </c>
      <c r="I30" s="83">
        <f t="shared" si="1"/>
        <v>535797</v>
      </c>
      <c r="J30" s="83"/>
    </row>
    <row r="31" spans="1:10">
      <c r="B31" t="s">
        <v>166</v>
      </c>
      <c r="G31" s="83"/>
      <c r="H31" s="83"/>
      <c r="I31" s="83">
        <f t="shared" si="1"/>
        <v>0</v>
      </c>
      <c r="J31" s="83"/>
    </row>
    <row r="32" spans="1:10">
      <c r="C32" t="s">
        <v>584</v>
      </c>
      <c r="G32" s="92">
        <v>5187032</v>
      </c>
      <c r="H32" s="83">
        <v>279000</v>
      </c>
      <c r="I32" s="83">
        <f t="shared" si="1"/>
        <v>5466032</v>
      </c>
      <c r="J32" s="83"/>
    </row>
    <row r="33" spans="1:10">
      <c r="C33" t="s">
        <v>89</v>
      </c>
      <c r="G33" s="77">
        <v>84501977</v>
      </c>
      <c r="H33" s="83">
        <v>4575868</v>
      </c>
      <c r="I33" s="83">
        <f t="shared" si="1"/>
        <v>89077845</v>
      </c>
      <c r="J33" s="83">
        <v>1084720</v>
      </c>
    </row>
    <row r="34" spans="1:10">
      <c r="G34" s="81"/>
      <c r="H34" s="81"/>
      <c r="I34" s="81"/>
      <c r="J34" s="81"/>
    </row>
    <row r="35" spans="1:10">
      <c r="C35" s="7" t="s">
        <v>33</v>
      </c>
      <c r="D35" s="8"/>
      <c r="E35" s="8"/>
      <c r="F35" s="8"/>
      <c r="G35" s="87">
        <f>SUM(G25:G33)</f>
        <v>95256361</v>
      </c>
      <c r="H35" s="87">
        <f>SUM(H25:H33)</f>
        <v>8839589</v>
      </c>
      <c r="I35" s="87">
        <f>SUM(I25:I33)</f>
        <v>104095950</v>
      </c>
      <c r="J35" s="87">
        <f>SUM(J25:J33)</f>
        <v>1294558</v>
      </c>
    </row>
    <row r="36" spans="1:10">
      <c r="G36" s="83"/>
      <c r="H36" s="83"/>
      <c r="I36" s="83"/>
      <c r="J36" s="83"/>
    </row>
    <row r="37" spans="1:10">
      <c r="A37" s="3" t="s">
        <v>35</v>
      </c>
      <c r="G37" s="83"/>
      <c r="H37" s="83"/>
      <c r="I37" s="83"/>
      <c r="J37" s="83"/>
    </row>
    <row r="38" spans="1:10">
      <c r="B38" t="s">
        <v>96</v>
      </c>
      <c r="G38" s="88">
        <v>6020921</v>
      </c>
      <c r="H38" s="83">
        <v>122828320</v>
      </c>
      <c r="I38" s="83">
        <f>SUM(G38:H38)</f>
        <v>128849241</v>
      </c>
      <c r="J38" s="83">
        <v>5249777</v>
      </c>
    </row>
    <row r="39" spans="1:10">
      <c r="B39" t="s">
        <v>37</v>
      </c>
      <c r="G39" s="83"/>
      <c r="H39" s="83"/>
      <c r="I39" s="83"/>
      <c r="J39" s="83"/>
    </row>
    <row r="40" spans="1:10">
      <c r="C40" t="s">
        <v>585</v>
      </c>
      <c r="G40" s="89">
        <v>29172521</v>
      </c>
      <c r="H40" s="83"/>
      <c r="I40" s="83">
        <f t="shared" ref="I40:I45" si="2">SUM(G40:H40)</f>
        <v>29172521</v>
      </c>
      <c r="J40" s="83"/>
    </row>
    <row r="41" spans="1:10">
      <c r="C41" t="s">
        <v>38</v>
      </c>
      <c r="G41" s="89">
        <v>14744069</v>
      </c>
      <c r="H41" s="83">
        <v>421500</v>
      </c>
      <c r="I41" s="83">
        <v>15165569</v>
      </c>
      <c r="J41" s="83"/>
    </row>
    <row r="42" spans="1:10">
      <c r="C42" t="s">
        <v>39</v>
      </c>
      <c r="G42" s="83"/>
      <c r="H42" s="83"/>
      <c r="I42" s="83">
        <f t="shared" si="2"/>
        <v>0</v>
      </c>
      <c r="J42" s="83"/>
    </row>
    <row r="43" spans="1:10">
      <c r="C43" t="s">
        <v>85</v>
      </c>
      <c r="G43" s="83"/>
      <c r="H43" s="83">
        <v>115025</v>
      </c>
      <c r="I43" s="83">
        <f t="shared" si="2"/>
        <v>115025</v>
      </c>
      <c r="J43" s="83"/>
    </row>
    <row r="44" spans="1:10">
      <c r="C44" t="s">
        <v>586</v>
      </c>
      <c r="G44" s="83"/>
      <c r="H44" s="83"/>
      <c r="I44" s="83"/>
      <c r="J44" s="83">
        <v>5000</v>
      </c>
    </row>
    <row r="45" spans="1:10">
      <c r="B45" t="s">
        <v>69</v>
      </c>
      <c r="G45" s="93">
        <v>29514891</v>
      </c>
      <c r="H45" s="83">
        <v>123467</v>
      </c>
      <c r="I45" s="83">
        <f t="shared" si="2"/>
        <v>29638358</v>
      </c>
      <c r="J45" s="83">
        <v>8143839</v>
      </c>
    </row>
    <row r="46" spans="1:10">
      <c r="G46" s="81"/>
      <c r="H46" s="81"/>
      <c r="I46" s="81"/>
      <c r="J46" s="81"/>
    </row>
    <row r="47" spans="1:10" s="3" customFormat="1">
      <c r="B47" s="9" t="s">
        <v>42</v>
      </c>
      <c r="C47" s="9"/>
      <c r="D47" s="9"/>
      <c r="E47" s="9"/>
      <c r="F47" s="9"/>
      <c r="G47" s="94">
        <f>SUM(G38:G45)</f>
        <v>79452402</v>
      </c>
      <c r="H47" s="94">
        <f>SUM(H38:H45)</f>
        <v>123488312</v>
      </c>
      <c r="I47" s="94">
        <f>SUM(I38:I45)</f>
        <v>202940714</v>
      </c>
      <c r="J47" s="94">
        <f>SUM(J37:J45)</f>
        <v>13398616</v>
      </c>
    </row>
    <row r="48" spans="1:10">
      <c r="G48" s="83"/>
      <c r="H48" s="83"/>
      <c r="I48" s="83"/>
      <c r="J48" s="83"/>
    </row>
    <row r="49" spans="2:10">
      <c r="B49" s="10" t="s">
        <v>43</v>
      </c>
      <c r="C49" s="10"/>
      <c r="D49" s="10"/>
      <c r="E49" s="227"/>
      <c r="F49" s="227"/>
      <c r="G49" s="227">
        <f>G47+G35</f>
        <v>174708763</v>
      </c>
      <c r="H49" s="227">
        <f t="shared" ref="H49:J49" si="3">H47+H35</f>
        <v>132327901</v>
      </c>
      <c r="I49" s="227">
        <f t="shared" si="3"/>
        <v>307036664</v>
      </c>
      <c r="J49" s="227">
        <f t="shared" si="3"/>
        <v>14693174</v>
      </c>
    </row>
  </sheetData>
  <mergeCells count="3">
    <mergeCell ref="C1:G1"/>
    <mergeCell ref="C2:G2"/>
    <mergeCell ref="G4:I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58"/>
  <sheetViews>
    <sheetView zoomScale="70" zoomScaleNormal="70" zoomScalePageLayoutView="70" workbookViewId="0">
      <selection activeCell="C58" sqref="C58:J58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68" t="s">
        <v>587</v>
      </c>
      <c r="E1" s="268"/>
      <c r="F1" s="268"/>
      <c r="G1" s="268"/>
      <c r="H1" s="268"/>
      <c r="I1" s="97"/>
    </row>
    <row r="2" spans="1:11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</row>
    <row r="4" spans="1:11" ht="31.5" customHeight="1">
      <c r="H4" s="105" t="s">
        <v>45</v>
      </c>
      <c r="I4" s="210" t="s">
        <v>3</v>
      </c>
      <c r="J4" s="208" t="s">
        <v>73</v>
      </c>
      <c r="K4" s="5"/>
    </row>
    <row r="5" spans="1:11">
      <c r="A5" s="3" t="s">
        <v>4</v>
      </c>
      <c r="D5" s="3"/>
      <c r="G5" s="4"/>
      <c r="H5" s="4"/>
      <c r="I5" s="4"/>
    </row>
    <row r="6" spans="1:11">
      <c r="A6" s="3"/>
      <c r="B6" s="5" t="s">
        <v>74</v>
      </c>
      <c r="D6" s="3"/>
      <c r="G6" s="4"/>
      <c r="H6" s="76"/>
      <c r="I6" s="76"/>
      <c r="J6" s="83"/>
    </row>
    <row r="7" spans="1:11">
      <c r="C7" t="s">
        <v>112</v>
      </c>
      <c r="H7" s="77">
        <v>1580783</v>
      </c>
      <c r="I7" s="83">
        <v>1423374</v>
      </c>
      <c r="J7" s="83">
        <f t="shared" ref="J7:J13" si="0">SUM(H7:I7)</f>
        <v>3004157</v>
      </c>
    </row>
    <row r="8" spans="1:11">
      <c r="C8" t="s">
        <v>113</v>
      </c>
      <c r="H8" s="78">
        <v>6405899</v>
      </c>
      <c r="I8" s="83">
        <v>596201</v>
      </c>
      <c r="J8" s="83">
        <f t="shared" si="0"/>
        <v>7002100</v>
      </c>
    </row>
    <row r="9" spans="1:11">
      <c r="C9" t="s">
        <v>588</v>
      </c>
      <c r="H9" s="79">
        <v>239518</v>
      </c>
      <c r="I9" s="83"/>
      <c r="J9" s="83">
        <f t="shared" si="0"/>
        <v>239518</v>
      </c>
    </row>
    <row r="10" spans="1:11">
      <c r="C10" t="s">
        <v>589</v>
      </c>
      <c r="H10" s="90">
        <v>285099</v>
      </c>
      <c r="I10" s="83"/>
      <c r="J10" s="83">
        <f t="shared" si="0"/>
        <v>285099</v>
      </c>
    </row>
    <row r="11" spans="1:11">
      <c r="C11" t="s">
        <v>11</v>
      </c>
      <c r="H11" s="90">
        <v>4555</v>
      </c>
      <c r="I11" s="83"/>
      <c r="J11" s="83">
        <f t="shared" si="0"/>
        <v>4555</v>
      </c>
    </row>
    <row r="12" spans="1:11">
      <c r="C12" t="s">
        <v>48</v>
      </c>
      <c r="H12" s="90">
        <v>140373</v>
      </c>
      <c r="I12" s="83"/>
      <c r="J12" s="83">
        <f t="shared" si="0"/>
        <v>140373</v>
      </c>
    </row>
    <row r="13" spans="1:11">
      <c r="C13" t="s">
        <v>157</v>
      </c>
      <c r="H13" s="83"/>
      <c r="I13" s="83">
        <v>6389</v>
      </c>
      <c r="J13" s="83">
        <f t="shared" si="0"/>
        <v>6389</v>
      </c>
    </row>
    <row r="14" spans="1:11">
      <c r="H14" s="81"/>
      <c r="I14" s="81"/>
      <c r="J14" s="81"/>
    </row>
    <row r="15" spans="1:11" s="5" customFormat="1">
      <c r="C15" s="102" t="s">
        <v>116</v>
      </c>
      <c r="D15" s="102"/>
      <c r="E15" s="102"/>
      <c r="F15" s="102"/>
      <c r="G15" s="102"/>
      <c r="H15" s="103">
        <f>SUM(H7:H13)</f>
        <v>8656227</v>
      </c>
      <c r="I15" s="103">
        <f>SUM(I7:I13)</f>
        <v>2025964</v>
      </c>
      <c r="J15" s="103">
        <f>SUM(J7:J13)</f>
        <v>10682191</v>
      </c>
    </row>
    <row r="16" spans="1:11">
      <c r="H16" s="83"/>
      <c r="I16" s="83"/>
      <c r="J16" s="83"/>
    </row>
    <row r="17" spans="1:10" s="5" customFormat="1">
      <c r="B17" s="5" t="s">
        <v>590</v>
      </c>
      <c r="H17" s="100"/>
      <c r="I17" s="100"/>
      <c r="J17" s="100"/>
    </row>
    <row r="18" spans="1:10" s="5" customFormat="1">
      <c r="C18" t="s">
        <v>591</v>
      </c>
      <c r="H18" s="80">
        <v>3232030</v>
      </c>
      <c r="I18" s="100"/>
      <c r="J18" s="83">
        <f>SUM(H18:I18)</f>
        <v>3232030</v>
      </c>
    </row>
    <row r="19" spans="1:10" s="5" customFormat="1">
      <c r="C19" t="s">
        <v>592</v>
      </c>
      <c r="H19" s="80">
        <v>56180653</v>
      </c>
      <c r="I19" s="100"/>
      <c r="J19" s="83">
        <f t="shared" ref="J19:J20" si="1">SUM(H19:I19)</f>
        <v>56180653</v>
      </c>
    </row>
    <row r="20" spans="1:10">
      <c r="C20" t="s">
        <v>119</v>
      </c>
      <c r="H20" s="80">
        <v>18081147</v>
      </c>
      <c r="I20" s="83">
        <v>2747842</v>
      </c>
      <c r="J20" s="83">
        <f t="shared" si="1"/>
        <v>20828989</v>
      </c>
    </row>
    <row r="21" spans="1:10">
      <c r="H21" s="81"/>
      <c r="I21" s="81"/>
      <c r="J21" s="81"/>
    </row>
    <row r="22" spans="1:10" s="5" customFormat="1">
      <c r="C22" s="6" t="s">
        <v>15</v>
      </c>
      <c r="D22" s="6"/>
      <c r="E22" s="6"/>
      <c r="F22" s="6"/>
      <c r="G22" s="6"/>
      <c r="H22" s="82">
        <f>SUM(H15:H21)</f>
        <v>86150057</v>
      </c>
      <c r="I22" s="82">
        <f>SUM(I15:I20)</f>
        <v>4773806</v>
      </c>
      <c r="J22" s="82">
        <f>SUM(J15:J20)</f>
        <v>90923863</v>
      </c>
    </row>
    <row r="23" spans="1:10">
      <c r="H23" s="83"/>
      <c r="I23" s="83"/>
      <c r="J23" s="83"/>
    </row>
    <row r="24" spans="1:10">
      <c r="A24" s="5" t="s">
        <v>52</v>
      </c>
      <c r="H24" s="83"/>
      <c r="I24" s="83"/>
      <c r="J24" s="83"/>
    </row>
    <row r="25" spans="1:10" s="5" customFormat="1">
      <c r="B25" s="5" t="s">
        <v>593</v>
      </c>
      <c r="H25" s="100"/>
      <c r="I25" s="100"/>
      <c r="J25" s="100"/>
    </row>
    <row r="26" spans="1:10" s="5" customFormat="1">
      <c r="C26" t="s">
        <v>427</v>
      </c>
      <c r="H26" s="79">
        <v>19011</v>
      </c>
      <c r="I26" s="100"/>
      <c r="J26" s="83">
        <f>SUM(H26:I26)</f>
        <v>19011</v>
      </c>
    </row>
    <row r="27" spans="1:10">
      <c r="C27" t="s">
        <v>20</v>
      </c>
      <c r="H27" s="84">
        <v>4339697</v>
      </c>
      <c r="I27" s="83">
        <v>158043</v>
      </c>
      <c r="J27" s="83">
        <f t="shared" ref="J27:J28" si="2">SUM(H27:I27)</f>
        <v>4497740</v>
      </c>
    </row>
    <row r="28" spans="1:10">
      <c r="C28" t="s">
        <v>303</v>
      </c>
      <c r="H28" s="79">
        <v>360414</v>
      </c>
      <c r="I28" s="83">
        <v>1870</v>
      </c>
      <c r="J28" s="83">
        <f t="shared" si="2"/>
        <v>362284</v>
      </c>
    </row>
    <row r="29" spans="1:10">
      <c r="C29" t="s">
        <v>276</v>
      </c>
      <c r="H29" s="79">
        <v>96612</v>
      </c>
      <c r="I29" s="83">
        <v>20725</v>
      </c>
      <c r="J29" s="83">
        <f>SUM(H29:I29)</f>
        <v>117337</v>
      </c>
    </row>
    <row r="30" spans="1:10">
      <c r="C30" t="s">
        <v>28</v>
      </c>
      <c r="H30" s="85">
        <v>3074167</v>
      </c>
      <c r="I30" s="83">
        <v>85000</v>
      </c>
      <c r="J30" s="83">
        <f t="shared" ref="J30:J36" si="3">SUM(H30:I30)</f>
        <v>3159167</v>
      </c>
    </row>
    <row r="31" spans="1:10">
      <c r="C31" t="s">
        <v>54</v>
      </c>
      <c r="H31" s="79">
        <v>4387</v>
      </c>
      <c r="I31" s="83"/>
      <c r="J31" s="83">
        <f t="shared" si="3"/>
        <v>4387</v>
      </c>
    </row>
    <row r="32" spans="1:10">
      <c r="C32" t="s">
        <v>594</v>
      </c>
      <c r="H32" s="79">
        <v>109951</v>
      </c>
      <c r="I32" s="83"/>
      <c r="J32" s="83">
        <f t="shared" si="3"/>
        <v>109951</v>
      </c>
    </row>
    <row r="33" spans="2:10">
      <c r="C33" t="s">
        <v>29</v>
      </c>
      <c r="H33" s="86">
        <v>141666</v>
      </c>
      <c r="I33" s="83">
        <v>8744</v>
      </c>
      <c r="J33" s="83">
        <f t="shared" si="3"/>
        <v>150410</v>
      </c>
    </row>
    <row r="34" spans="2:10">
      <c r="C34" t="s">
        <v>595</v>
      </c>
      <c r="H34" s="96">
        <v>95000</v>
      </c>
      <c r="I34" s="83"/>
      <c r="J34" s="83">
        <f t="shared" si="3"/>
        <v>95000</v>
      </c>
    </row>
    <row r="35" spans="2:10">
      <c r="C35" t="s">
        <v>164</v>
      </c>
      <c r="H35" s="96">
        <v>6389</v>
      </c>
      <c r="I35" s="83"/>
      <c r="J35" s="83">
        <f t="shared" si="3"/>
        <v>6389</v>
      </c>
    </row>
    <row r="36" spans="2:10">
      <c r="C36" t="s">
        <v>596</v>
      </c>
      <c r="H36" s="83"/>
      <c r="I36" s="83">
        <v>4555</v>
      </c>
      <c r="J36" s="83">
        <f t="shared" si="3"/>
        <v>4555</v>
      </c>
    </row>
    <row r="37" spans="2:10">
      <c r="H37" s="81"/>
      <c r="I37" s="81"/>
      <c r="J37" s="81"/>
    </row>
    <row r="38" spans="2:10">
      <c r="D38" s="102" t="s">
        <v>123</v>
      </c>
      <c r="E38" s="104"/>
      <c r="F38" s="104"/>
      <c r="G38" s="104"/>
      <c r="H38" s="103">
        <f>SUM(H26:H35)</f>
        <v>8247294</v>
      </c>
      <c r="I38" s="103">
        <f>SUM(I25:I36)</f>
        <v>278937</v>
      </c>
      <c r="J38" s="103">
        <f>SUM(J26:J36)</f>
        <v>8526231</v>
      </c>
    </row>
    <row r="39" spans="2:10">
      <c r="H39" s="83"/>
      <c r="I39" s="83"/>
      <c r="J39" s="83"/>
    </row>
    <row r="40" spans="2:10" s="5" customFormat="1">
      <c r="B40" s="5" t="s">
        <v>597</v>
      </c>
      <c r="H40" s="100"/>
      <c r="I40" s="100"/>
      <c r="J40" s="100"/>
    </row>
    <row r="41" spans="2:10">
      <c r="C41" t="s">
        <v>532</v>
      </c>
      <c r="H41" s="84">
        <v>171605</v>
      </c>
      <c r="I41" s="83"/>
      <c r="J41" s="83">
        <f>SUM(H41:I41)</f>
        <v>171605</v>
      </c>
    </row>
    <row r="42" spans="2:10">
      <c r="C42" t="s">
        <v>28</v>
      </c>
      <c r="H42" s="78">
        <v>58619667</v>
      </c>
      <c r="I42" s="83">
        <v>1090000</v>
      </c>
      <c r="J42" s="83">
        <f t="shared" ref="J42:J43" si="4">SUM(H42:I42)</f>
        <v>59709667</v>
      </c>
    </row>
    <row r="43" spans="2:10">
      <c r="C43" t="s">
        <v>594</v>
      </c>
      <c r="H43" s="79">
        <v>1429368</v>
      </c>
      <c r="I43" s="83"/>
      <c r="J43" s="83">
        <f t="shared" si="4"/>
        <v>1429368</v>
      </c>
    </row>
    <row r="44" spans="2:10" s="5" customFormat="1">
      <c r="H44" s="170"/>
      <c r="I44" s="170"/>
      <c r="J44" s="170"/>
    </row>
    <row r="45" spans="2:10">
      <c r="D45" s="102" t="s">
        <v>370</v>
      </c>
      <c r="E45" s="104"/>
      <c r="F45" s="104"/>
      <c r="G45" s="104"/>
      <c r="H45" s="103">
        <f>SUM(H41:H43)</f>
        <v>60220640</v>
      </c>
      <c r="I45" s="103">
        <f>SUM(I41:I42)</f>
        <v>1090000</v>
      </c>
      <c r="J45" s="103">
        <f>SUM(J41:J43)</f>
        <v>61310640</v>
      </c>
    </row>
    <row r="46" spans="2:10">
      <c r="H46" s="83"/>
      <c r="I46" s="83"/>
      <c r="J46" s="83"/>
    </row>
    <row r="47" spans="2:10">
      <c r="D47" s="7" t="s">
        <v>33</v>
      </c>
      <c r="E47" s="8"/>
      <c r="F47" s="8"/>
      <c r="G47" s="8"/>
      <c r="H47" s="87">
        <f>SUM(H38+H45)</f>
        <v>68467934</v>
      </c>
      <c r="I47" s="87">
        <f>SUM(I38+I45)</f>
        <v>1368937</v>
      </c>
      <c r="J47" s="87">
        <f>SUM(J38+J45)</f>
        <v>69836871</v>
      </c>
    </row>
    <row r="48" spans="2:10">
      <c r="D48" s="5"/>
      <c r="H48" s="100"/>
      <c r="I48" s="100"/>
      <c r="J48" s="83"/>
    </row>
    <row r="49" spans="1:10">
      <c r="A49" s="3" t="s">
        <v>35</v>
      </c>
      <c r="H49" s="83"/>
      <c r="I49" s="83"/>
      <c r="J49" s="83"/>
    </row>
    <row r="50" spans="1:10">
      <c r="B50" t="s">
        <v>96</v>
      </c>
      <c r="H50" s="152">
        <v>9000399</v>
      </c>
      <c r="I50" s="83">
        <v>1572842</v>
      </c>
      <c r="J50" s="83">
        <f>SUM(H50:I50)</f>
        <v>10573241</v>
      </c>
    </row>
    <row r="51" spans="1:10">
      <c r="B51" t="s">
        <v>283</v>
      </c>
      <c r="H51" s="89">
        <v>33991</v>
      </c>
      <c r="I51" s="83"/>
      <c r="J51" s="83">
        <f t="shared" ref="J51:J53" si="5">SUM(H51:I51)</f>
        <v>33991</v>
      </c>
    </row>
    <row r="52" spans="1:10">
      <c r="B52" t="s">
        <v>598</v>
      </c>
      <c r="H52" s="89">
        <v>2611823</v>
      </c>
      <c r="I52" s="83"/>
      <c r="J52" s="83">
        <f t="shared" si="5"/>
        <v>2611823</v>
      </c>
    </row>
    <row r="53" spans="1:10">
      <c r="B53" t="s">
        <v>599</v>
      </c>
      <c r="H53" s="89">
        <v>3490783</v>
      </c>
      <c r="I53" s="83"/>
      <c r="J53" s="83">
        <f t="shared" si="5"/>
        <v>3490783</v>
      </c>
    </row>
    <row r="54" spans="1:10">
      <c r="B54" t="s">
        <v>69</v>
      </c>
      <c r="H54" s="93">
        <v>2545127</v>
      </c>
      <c r="I54" s="83">
        <v>1832027</v>
      </c>
      <c r="J54" s="83">
        <f t="shared" ref="J54" si="6">SUM(H54:I54)</f>
        <v>4377154</v>
      </c>
    </row>
    <row r="55" spans="1:10">
      <c r="H55" s="81"/>
      <c r="I55" s="81"/>
      <c r="J55" s="81"/>
    </row>
    <row r="56" spans="1:10" s="3" customFormat="1">
      <c r="C56" s="9" t="s">
        <v>42</v>
      </c>
      <c r="D56" s="9"/>
      <c r="E56" s="9"/>
      <c r="F56" s="9"/>
      <c r="G56" s="9"/>
      <c r="H56" s="94">
        <f>SUM(H50:H54)</f>
        <v>17682123</v>
      </c>
      <c r="I56" s="94">
        <f>SUM(I50:I54)</f>
        <v>3404869</v>
      </c>
      <c r="J56" s="94">
        <f>SUM(J49:J54)</f>
        <v>21086992</v>
      </c>
    </row>
    <row r="57" spans="1:10">
      <c r="H57" s="83"/>
      <c r="I57" s="83"/>
      <c r="J57" s="83"/>
    </row>
    <row r="58" spans="1:10">
      <c r="C58" s="10" t="s">
        <v>43</v>
      </c>
      <c r="D58" s="10"/>
      <c r="E58" s="10"/>
      <c r="F58" s="227"/>
      <c r="G58" s="227"/>
      <c r="H58" s="227">
        <f>H56+H47</f>
        <v>86150057</v>
      </c>
      <c r="I58" s="227">
        <f t="shared" ref="I58:J58" si="7">I56+I47</f>
        <v>4773806</v>
      </c>
      <c r="J58" s="227">
        <f t="shared" si="7"/>
        <v>90923863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42"/>
  <sheetViews>
    <sheetView zoomScale="80" zoomScaleNormal="80" zoomScalePageLayoutView="80" workbookViewId="0">
      <selection activeCell="C42" sqref="C42:J42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68" t="s">
        <v>600</v>
      </c>
      <c r="E1" s="268"/>
      <c r="F1" s="268"/>
      <c r="G1" s="268"/>
      <c r="H1" s="268"/>
      <c r="I1" s="97"/>
    </row>
    <row r="2" spans="1:11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</row>
    <row r="3" spans="1:11">
      <c r="H3" s="276" t="s">
        <v>2</v>
      </c>
      <c r="I3" s="276"/>
    </row>
    <row r="4" spans="1:11" ht="31.5" customHeight="1">
      <c r="H4" s="105" t="s">
        <v>45</v>
      </c>
      <c r="I4" s="105" t="s">
        <v>141</v>
      </c>
      <c r="J4" s="106" t="s">
        <v>73</v>
      </c>
      <c r="K4" s="5"/>
    </row>
    <row r="5" spans="1:11">
      <c r="A5" s="3" t="s">
        <v>4</v>
      </c>
      <c r="D5" s="3"/>
      <c r="G5" s="4"/>
      <c r="H5" s="4"/>
      <c r="I5" s="4"/>
    </row>
    <row r="6" spans="1:11">
      <c r="C6" t="s">
        <v>601</v>
      </c>
      <c r="H6" s="77">
        <v>26425600</v>
      </c>
      <c r="I6" s="83"/>
      <c r="J6" s="83">
        <f>SUM(H6:I6)</f>
        <v>26425600</v>
      </c>
    </row>
    <row r="7" spans="1:11">
      <c r="C7" t="s">
        <v>47</v>
      </c>
      <c r="H7" s="78">
        <v>12465808</v>
      </c>
      <c r="I7" s="83">
        <v>385862</v>
      </c>
      <c r="J7" s="83">
        <f>SUM(H7:I7)</f>
        <v>12851670</v>
      </c>
    </row>
    <row r="8" spans="1:11">
      <c r="C8" t="s">
        <v>76</v>
      </c>
      <c r="H8" s="79">
        <v>232915</v>
      </c>
      <c r="I8" s="83"/>
      <c r="J8" s="83">
        <f t="shared" ref="J8" si="0">SUM(H8:I8)</f>
        <v>232915</v>
      </c>
    </row>
    <row r="9" spans="1:11">
      <c r="C9" t="s">
        <v>48</v>
      </c>
      <c r="H9" s="90">
        <v>138381</v>
      </c>
      <c r="I9" s="83"/>
      <c r="J9" s="83">
        <f>SUM(H9:I9)</f>
        <v>138381</v>
      </c>
    </row>
    <row r="10" spans="1:11" s="5" customFormat="1">
      <c r="C10" t="s">
        <v>12</v>
      </c>
      <c r="H10" s="83"/>
      <c r="I10" s="83"/>
      <c r="J10" s="83"/>
    </row>
    <row r="11" spans="1:11">
      <c r="D11" t="s">
        <v>13</v>
      </c>
      <c r="H11" s="80">
        <v>2773258</v>
      </c>
      <c r="I11" s="83"/>
      <c r="J11" s="83">
        <f>SUM(H11:I11)</f>
        <v>2773258</v>
      </c>
    </row>
    <row r="12" spans="1:11">
      <c r="D12" t="s">
        <v>145</v>
      </c>
      <c r="H12" s="80">
        <v>67960731</v>
      </c>
      <c r="I12" s="83"/>
      <c r="J12" s="83">
        <f>SUM(H12:I12)</f>
        <v>67960731</v>
      </c>
    </row>
    <row r="13" spans="1:11">
      <c r="H13" s="81"/>
      <c r="I13" s="81"/>
      <c r="J13" s="81"/>
    </row>
    <row r="14" spans="1:11" s="5" customFormat="1">
      <c r="C14" s="6" t="s">
        <v>15</v>
      </c>
      <c r="D14" s="6"/>
      <c r="E14" s="6"/>
      <c r="F14" s="6"/>
      <c r="G14" s="6"/>
      <c r="H14" s="82">
        <f>SUM(H6:H12)</f>
        <v>109996693</v>
      </c>
      <c r="I14" s="82">
        <f t="shared" ref="I14:J14" si="1">SUM(I6:I12)</f>
        <v>385862</v>
      </c>
      <c r="J14" s="82">
        <f t="shared" si="1"/>
        <v>110382555</v>
      </c>
    </row>
    <row r="15" spans="1:11">
      <c r="H15" s="83"/>
      <c r="I15" s="83"/>
      <c r="J15" s="83"/>
    </row>
    <row r="16" spans="1:11">
      <c r="A16" s="5" t="s">
        <v>52</v>
      </c>
      <c r="H16" s="83"/>
      <c r="I16" s="83"/>
      <c r="J16" s="83"/>
    </row>
    <row r="17" spans="3:10">
      <c r="C17" t="s">
        <v>20</v>
      </c>
      <c r="H17" s="84">
        <v>1134563</v>
      </c>
      <c r="I17" s="83">
        <v>207713</v>
      </c>
      <c r="J17" s="83">
        <f t="shared" ref="J17:J27" si="2">SUM(H17:I17)</f>
        <v>1342276</v>
      </c>
    </row>
    <row r="18" spans="3:10">
      <c r="C18" t="s">
        <v>76</v>
      </c>
      <c r="H18" s="128"/>
      <c r="I18" s="83">
        <v>232915</v>
      </c>
      <c r="J18" s="83">
        <f t="shared" si="2"/>
        <v>232915</v>
      </c>
    </row>
    <row r="19" spans="3:10">
      <c r="C19" t="s">
        <v>24</v>
      </c>
      <c r="H19" s="151">
        <v>253588</v>
      </c>
      <c r="I19" s="83"/>
      <c r="J19" s="83">
        <f t="shared" si="2"/>
        <v>253588</v>
      </c>
    </row>
    <row r="20" spans="3:10">
      <c r="C20" t="s">
        <v>23</v>
      </c>
      <c r="H20" s="107">
        <v>24101</v>
      </c>
      <c r="I20" s="83"/>
      <c r="J20" s="83">
        <f t="shared" si="2"/>
        <v>24101</v>
      </c>
    </row>
    <row r="21" spans="3:10">
      <c r="C21" t="s">
        <v>232</v>
      </c>
      <c r="H21" s="114">
        <v>89704</v>
      </c>
      <c r="I21" s="83"/>
      <c r="J21" s="83">
        <f t="shared" si="2"/>
        <v>89704</v>
      </c>
    </row>
    <row r="22" spans="3:10">
      <c r="C22" t="s">
        <v>108</v>
      </c>
      <c r="H22" s="107">
        <v>273547</v>
      </c>
      <c r="I22" s="83">
        <v>2354</v>
      </c>
      <c r="J22" s="83">
        <f t="shared" si="2"/>
        <v>275901</v>
      </c>
    </row>
    <row r="23" spans="3:10">
      <c r="C23" t="s">
        <v>109</v>
      </c>
      <c r="H23" s="128"/>
      <c r="I23" s="83"/>
      <c r="J23" s="83"/>
    </row>
    <row r="24" spans="3:10">
      <c r="D24" t="s">
        <v>602</v>
      </c>
      <c r="H24" s="85">
        <v>1894000</v>
      </c>
      <c r="I24" s="83"/>
      <c r="J24" s="83">
        <f>SUM(H24:I24)</f>
        <v>1894000</v>
      </c>
    </row>
    <row r="25" spans="3:10">
      <c r="D25" t="s">
        <v>603</v>
      </c>
      <c r="H25" s="78">
        <v>21010000</v>
      </c>
      <c r="I25" s="83"/>
      <c r="J25" s="83">
        <f t="shared" si="2"/>
        <v>21010000</v>
      </c>
    </row>
    <row r="26" spans="3:10" s="5" customFormat="1">
      <c r="C26"/>
      <c r="D26" t="s">
        <v>604</v>
      </c>
      <c r="H26" s="92">
        <v>188692</v>
      </c>
      <c r="I26" s="100"/>
      <c r="J26" s="83">
        <f t="shared" si="2"/>
        <v>188692</v>
      </c>
    </row>
    <row r="27" spans="3:10" s="5" customFormat="1">
      <c r="C27"/>
      <c r="D27" t="s">
        <v>605</v>
      </c>
      <c r="H27" s="77">
        <v>502130</v>
      </c>
      <c r="I27" s="100"/>
      <c r="J27" s="83">
        <f t="shared" si="2"/>
        <v>502130</v>
      </c>
    </row>
    <row r="28" spans="3:10">
      <c r="D28" t="s">
        <v>606</v>
      </c>
      <c r="H28" s="79">
        <v>6691300</v>
      </c>
      <c r="I28" s="83"/>
      <c r="J28" s="83">
        <f>SUM(H28:I28)</f>
        <v>6691300</v>
      </c>
    </row>
    <row r="29" spans="3:10">
      <c r="D29" t="s">
        <v>106</v>
      </c>
      <c r="H29" s="86">
        <v>465766</v>
      </c>
      <c r="I29" s="83"/>
      <c r="J29" s="83">
        <f>SUM(H29:I29)</f>
        <v>465766</v>
      </c>
    </row>
    <row r="30" spans="3:10">
      <c r="H30" s="81"/>
      <c r="I30" s="81"/>
      <c r="J30" s="81"/>
    </row>
    <row r="31" spans="3:10">
      <c r="D31" s="7" t="s">
        <v>33</v>
      </c>
      <c r="E31" s="8"/>
      <c r="F31" s="8"/>
      <c r="G31" s="8"/>
      <c r="H31" s="87">
        <f>SUM(H17:H29)</f>
        <v>32527391</v>
      </c>
      <c r="I31" s="87">
        <f>SUM(I17:I29)</f>
        <v>442982</v>
      </c>
      <c r="J31" s="87">
        <f>SUM(J17:J29)</f>
        <v>32970373</v>
      </c>
    </row>
    <row r="32" spans="3:10">
      <c r="H32" s="83"/>
      <c r="I32" s="83"/>
      <c r="J32" s="83"/>
    </row>
    <row r="33" spans="1:10">
      <c r="A33" s="3" t="s">
        <v>35</v>
      </c>
      <c r="H33" s="83"/>
      <c r="I33" s="83"/>
      <c r="J33" s="83"/>
    </row>
    <row r="34" spans="1:10">
      <c r="B34" t="s">
        <v>96</v>
      </c>
      <c r="H34" s="88">
        <v>46885579</v>
      </c>
      <c r="I34" s="83"/>
      <c r="J34" s="83">
        <f>SUM(H34:I34)</f>
        <v>46885579</v>
      </c>
    </row>
    <row r="35" spans="1:10">
      <c r="B35" t="s">
        <v>37</v>
      </c>
      <c r="H35" s="83"/>
      <c r="I35" s="83"/>
      <c r="J35" s="83"/>
    </row>
    <row r="36" spans="1:10">
      <c r="C36" t="s">
        <v>38</v>
      </c>
      <c r="H36" s="89">
        <v>5555223</v>
      </c>
      <c r="I36" s="83"/>
      <c r="J36" s="83">
        <f t="shared" ref="J36" si="3">SUM(H36:I36)</f>
        <v>5555223</v>
      </c>
    </row>
    <row r="37" spans="1:10">
      <c r="C37" t="s">
        <v>40</v>
      </c>
      <c r="H37" s="89">
        <v>26112175</v>
      </c>
      <c r="I37" s="83">
        <v>30142</v>
      </c>
      <c r="J37" s="83">
        <f>SUM(H37:I37)</f>
        <v>26142317</v>
      </c>
    </row>
    <row r="38" spans="1:10">
      <c r="B38" t="s">
        <v>384</v>
      </c>
      <c r="H38" s="93">
        <v>-1083675</v>
      </c>
      <c r="I38" s="83">
        <v>-87262</v>
      </c>
      <c r="J38" s="83">
        <f t="shared" ref="J38" si="4">SUM(H38:I38)</f>
        <v>-1170937</v>
      </c>
    </row>
    <row r="39" spans="1:10">
      <c r="H39" s="81"/>
      <c r="I39" s="81"/>
      <c r="J39" s="81"/>
    </row>
    <row r="40" spans="1:10" s="3" customFormat="1">
      <c r="C40" s="9" t="s">
        <v>42</v>
      </c>
      <c r="D40" s="9"/>
      <c r="E40" s="9"/>
      <c r="F40" s="9"/>
      <c r="G40" s="9"/>
      <c r="H40" s="94">
        <f>SUM(H34:H38)</f>
        <v>77469302</v>
      </c>
      <c r="I40" s="94">
        <f>SUM(I34:I38)</f>
        <v>-57120</v>
      </c>
      <c r="J40" s="94">
        <f>SUM(J33:J38)</f>
        <v>77412182</v>
      </c>
    </row>
    <row r="41" spans="1:10">
      <c r="H41" s="83"/>
      <c r="I41" s="83"/>
      <c r="J41" s="83"/>
    </row>
    <row r="42" spans="1:10">
      <c r="C42" s="10" t="s">
        <v>43</v>
      </c>
      <c r="D42" s="10"/>
      <c r="E42" s="10"/>
      <c r="F42" s="227"/>
      <c r="G42" s="227"/>
      <c r="H42" s="227">
        <f>H40+H31</f>
        <v>109996693</v>
      </c>
      <c r="I42" s="227">
        <f t="shared" ref="I42:J42" si="5">I40+I31</f>
        <v>385862</v>
      </c>
      <c r="J42" s="227">
        <f t="shared" si="5"/>
        <v>110382555</v>
      </c>
    </row>
  </sheetData>
  <mergeCells count="3">
    <mergeCell ref="D1:H1"/>
    <mergeCell ref="D2:H2"/>
    <mergeCell ref="H3:I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77"/>
  <sheetViews>
    <sheetView topLeftCell="A29" workbookViewId="0">
      <selection activeCell="J77" sqref="J7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</cols>
  <sheetData>
    <row r="1" spans="1:11" ht="18.75" customHeight="1">
      <c r="A1" s="1"/>
      <c r="B1" s="1"/>
      <c r="C1" s="1"/>
      <c r="D1" s="268" t="s">
        <v>607</v>
      </c>
      <c r="E1" s="268"/>
      <c r="F1" s="268"/>
      <c r="G1" s="268"/>
      <c r="H1" s="268"/>
      <c r="I1" s="97"/>
      <c r="J1" s="97"/>
    </row>
    <row r="2" spans="1:11" ht="15.75" customHeight="1">
      <c r="A2" s="1"/>
      <c r="B2" s="1"/>
      <c r="C2" s="1"/>
      <c r="D2" s="266" t="s">
        <v>608</v>
      </c>
      <c r="E2" s="266"/>
      <c r="F2" s="266"/>
      <c r="G2" s="266"/>
      <c r="H2" s="266"/>
      <c r="I2" s="98"/>
      <c r="J2" s="98"/>
    </row>
    <row r="4" spans="1:11" ht="14.25" customHeight="1">
      <c r="H4" s="269" t="s">
        <v>2</v>
      </c>
      <c r="I4" s="269"/>
      <c r="J4" s="269"/>
    </row>
    <row r="5" spans="1:11" ht="31.5" customHeight="1">
      <c r="H5" s="99" t="s">
        <v>45</v>
      </c>
      <c r="I5" s="99" t="s">
        <v>72</v>
      </c>
      <c r="J5" s="99" t="s">
        <v>73</v>
      </c>
      <c r="K5" s="83"/>
    </row>
    <row r="6" spans="1:11">
      <c r="A6" s="3" t="s">
        <v>4</v>
      </c>
      <c r="D6" s="3"/>
      <c r="G6" s="4"/>
      <c r="H6" s="76"/>
      <c r="I6" s="76"/>
      <c r="J6" s="76"/>
      <c r="K6" s="83"/>
    </row>
    <row r="7" spans="1:11">
      <c r="A7" s="3"/>
      <c r="B7" s="5" t="s">
        <v>74</v>
      </c>
      <c r="D7" s="3"/>
      <c r="G7" s="4"/>
      <c r="H7" s="76"/>
      <c r="I7" s="76"/>
      <c r="J7" s="76"/>
      <c r="K7" s="83"/>
    </row>
    <row r="8" spans="1:11">
      <c r="C8" t="s">
        <v>46</v>
      </c>
      <c r="H8" s="77">
        <v>3457312</v>
      </c>
      <c r="I8" s="83">
        <v>1191322</v>
      </c>
      <c r="J8" s="83">
        <f t="shared" ref="J8:J14" si="0">SUM(H8:I8)</f>
        <v>4648634</v>
      </c>
      <c r="K8" s="83"/>
    </row>
    <row r="9" spans="1:11">
      <c r="C9" t="s">
        <v>6</v>
      </c>
      <c r="H9" s="84">
        <v>13074756</v>
      </c>
      <c r="I9" s="83">
        <v>1987532</v>
      </c>
      <c r="J9" s="83">
        <f t="shared" si="0"/>
        <v>15062288</v>
      </c>
      <c r="K9" s="83"/>
    </row>
    <row r="10" spans="1:11">
      <c r="C10" t="s">
        <v>609</v>
      </c>
      <c r="H10" s="78">
        <v>892554</v>
      </c>
      <c r="I10" s="83">
        <v>569047</v>
      </c>
      <c r="J10" s="83">
        <f t="shared" si="0"/>
        <v>1461601</v>
      </c>
      <c r="K10" s="83"/>
    </row>
    <row r="11" spans="1:11">
      <c r="C11" t="s">
        <v>11</v>
      </c>
      <c r="H11" s="90">
        <v>2498938</v>
      </c>
      <c r="I11" s="83">
        <v>1898</v>
      </c>
      <c r="J11" s="83">
        <f t="shared" si="0"/>
        <v>2500836</v>
      </c>
      <c r="K11" s="83"/>
    </row>
    <row r="12" spans="1:11">
      <c r="C12" t="s">
        <v>48</v>
      </c>
      <c r="H12" s="90">
        <v>11214501</v>
      </c>
      <c r="I12" s="83">
        <v>101291</v>
      </c>
      <c r="J12" s="83">
        <f t="shared" si="0"/>
        <v>11315792</v>
      </c>
      <c r="K12" s="83"/>
    </row>
    <row r="13" spans="1:11">
      <c r="C13" t="s">
        <v>78</v>
      </c>
      <c r="H13" s="79">
        <v>71914</v>
      </c>
      <c r="I13" s="83"/>
      <c r="J13" s="83">
        <f t="shared" si="0"/>
        <v>71914</v>
      </c>
      <c r="K13" s="83"/>
    </row>
    <row r="14" spans="1:11">
      <c r="C14" t="s">
        <v>76</v>
      </c>
      <c r="H14" s="79">
        <v>-6864574</v>
      </c>
      <c r="I14" s="83">
        <v>6864574</v>
      </c>
      <c r="J14" s="83">
        <f t="shared" si="0"/>
        <v>0</v>
      </c>
      <c r="K14" s="83"/>
    </row>
    <row r="15" spans="1:11">
      <c r="H15" s="81"/>
      <c r="I15" s="81"/>
      <c r="J15" s="81"/>
      <c r="K15" s="83"/>
    </row>
    <row r="16" spans="1:11" s="5" customFormat="1">
      <c r="C16" s="102" t="s">
        <v>116</v>
      </c>
      <c r="D16" s="102"/>
      <c r="E16" s="102"/>
      <c r="F16" s="102"/>
      <c r="G16" s="102"/>
      <c r="H16" s="103">
        <f>SUM(H8:H14)</f>
        <v>24345401</v>
      </c>
      <c r="I16" s="103">
        <f>SUM(I8:I14)</f>
        <v>10715664</v>
      </c>
      <c r="J16" s="103">
        <f>SUM(J8:J14)</f>
        <v>35061065</v>
      </c>
      <c r="K16" s="100"/>
    </row>
    <row r="17" spans="2:11">
      <c r="H17" s="83"/>
      <c r="I17" s="83"/>
      <c r="J17" s="83"/>
      <c r="K17" s="83"/>
    </row>
    <row r="18" spans="2:11">
      <c r="B18" s="5" t="s">
        <v>355</v>
      </c>
      <c r="H18" s="83"/>
      <c r="I18" s="83"/>
      <c r="J18" s="83"/>
      <c r="K18" s="83"/>
    </row>
    <row r="19" spans="2:11">
      <c r="C19" t="s">
        <v>142</v>
      </c>
      <c r="H19" s="83"/>
      <c r="I19" s="83">
        <v>2712351</v>
      </c>
      <c r="J19" s="83">
        <f>SUM(H19:I19)</f>
        <v>2712351</v>
      </c>
      <c r="K19" s="83"/>
    </row>
    <row r="20" spans="2:11">
      <c r="C20" t="s">
        <v>103</v>
      </c>
      <c r="H20" s="83"/>
      <c r="I20" s="83">
        <v>844081</v>
      </c>
      <c r="J20" s="83">
        <f>SUM(H20:I20)</f>
        <v>844081</v>
      </c>
      <c r="K20" s="83"/>
    </row>
    <row r="21" spans="2:11">
      <c r="H21" s="81"/>
      <c r="I21" s="81"/>
      <c r="J21" s="81">
        <f>SUM(H21:I21)</f>
        <v>0</v>
      </c>
      <c r="K21" s="83"/>
    </row>
    <row r="22" spans="2:11">
      <c r="C22" s="234" t="s">
        <v>558</v>
      </c>
      <c r="D22" s="120"/>
      <c r="E22" s="120"/>
      <c r="F22" s="120"/>
      <c r="G22" s="120"/>
      <c r="H22" s="213"/>
      <c r="I22" s="213">
        <f>SUM(I19:I20)</f>
        <v>3556432</v>
      </c>
      <c r="J22" s="213">
        <f t="shared" ref="J22" si="1">SUM(J19:J20)</f>
        <v>3556432</v>
      </c>
      <c r="K22" s="83"/>
    </row>
    <row r="23" spans="2:11">
      <c r="H23" s="83"/>
      <c r="I23" s="83"/>
      <c r="J23" s="83"/>
      <c r="K23" s="83"/>
    </row>
    <row r="24" spans="2:11">
      <c r="B24" s="5" t="s">
        <v>412</v>
      </c>
      <c r="H24" s="83"/>
      <c r="I24" s="83"/>
      <c r="J24" s="83"/>
      <c r="K24" s="83"/>
    </row>
    <row r="25" spans="2:11">
      <c r="C25" t="s">
        <v>610</v>
      </c>
      <c r="H25" s="80">
        <v>1870876</v>
      </c>
      <c r="I25" s="83">
        <v>3802599</v>
      </c>
      <c r="J25" s="83">
        <f>SUM(H25:I25)</f>
        <v>5673475</v>
      </c>
      <c r="K25" s="83"/>
    </row>
    <row r="26" spans="2:11">
      <c r="C26" t="s">
        <v>611</v>
      </c>
      <c r="H26" s="80">
        <v>10048231</v>
      </c>
      <c r="I26" s="83">
        <v>142950</v>
      </c>
      <c r="J26" s="83">
        <f t="shared" ref="J26:J32" si="2">SUM(H26:I26)</f>
        <v>10191181</v>
      </c>
      <c r="K26" s="83"/>
    </row>
    <row r="27" spans="2:11">
      <c r="C27" t="s">
        <v>612</v>
      </c>
      <c r="H27" s="83"/>
      <c r="I27" s="83"/>
      <c r="J27" s="83">
        <f t="shared" si="2"/>
        <v>0</v>
      </c>
      <c r="K27" s="83"/>
    </row>
    <row r="28" spans="2:11">
      <c r="D28" t="s">
        <v>613</v>
      </c>
      <c r="H28" s="80">
        <v>15030277</v>
      </c>
      <c r="I28" s="83">
        <v>15393907</v>
      </c>
      <c r="J28" s="83">
        <f t="shared" si="2"/>
        <v>30424184</v>
      </c>
      <c r="K28" s="83"/>
    </row>
    <row r="29" spans="2:11">
      <c r="C29" t="s">
        <v>614</v>
      </c>
      <c r="H29" s="83"/>
      <c r="I29" s="83"/>
      <c r="J29" s="83">
        <f t="shared" si="2"/>
        <v>0</v>
      </c>
      <c r="K29" s="83"/>
    </row>
    <row r="30" spans="2:11">
      <c r="D30" t="s">
        <v>615</v>
      </c>
      <c r="H30" s="80">
        <v>2210150</v>
      </c>
      <c r="I30" s="83">
        <v>1944417</v>
      </c>
      <c r="J30" s="83">
        <f t="shared" si="2"/>
        <v>4154567</v>
      </c>
      <c r="K30" s="83"/>
    </row>
    <row r="31" spans="2:11">
      <c r="C31" t="s">
        <v>616</v>
      </c>
      <c r="H31" s="80">
        <v>75560523</v>
      </c>
      <c r="I31" s="83"/>
      <c r="J31" s="83">
        <f t="shared" si="2"/>
        <v>75560523</v>
      </c>
      <c r="K31" s="83"/>
    </row>
    <row r="32" spans="2:11">
      <c r="C32" t="s">
        <v>132</v>
      </c>
      <c r="H32" s="80">
        <v>2899550</v>
      </c>
      <c r="I32" s="83">
        <v>50068</v>
      </c>
      <c r="J32" s="83">
        <f t="shared" si="2"/>
        <v>2949618</v>
      </c>
      <c r="K32" s="83"/>
    </row>
    <row r="33" spans="1:11">
      <c r="H33" s="81"/>
      <c r="I33" s="81"/>
      <c r="J33" s="81"/>
      <c r="K33" s="83"/>
    </row>
    <row r="34" spans="1:11" s="5" customFormat="1">
      <c r="C34" s="102" t="s">
        <v>359</v>
      </c>
      <c r="D34" s="102"/>
      <c r="E34" s="102"/>
      <c r="F34" s="102"/>
      <c r="G34" s="102"/>
      <c r="H34" s="103">
        <f>SUM(H25:H32)</f>
        <v>107619607</v>
      </c>
      <c r="I34" s="103">
        <f>SUM(I25:I32)</f>
        <v>21333941</v>
      </c>
      <c r="J34" s="103">
        <f>SUM(J25:J32)</f>
        <v>128953548</v>
      </c>
      <c r="K34" s="100"/>
    </row>
    <row r="35" spans="1:11">
      <c r="H35" s="83"/>
      <c r="I35" s="83"/>
      <c r="J35" s="83"/>
      <c r="K35" s="83"/>
    </row>
    <row r="36" spans="1:11" s="5" customFormat="1">
      <c r="C36" s="6" t="s">
        <v>15</v>
      </c>
      <c r="D36" s="6"/>
      <c r="E36" s="6"/>
      <c r="F36" s="6"/>
      <c r="G36" s="6"/>
      <c r="H36" s="82">
        <f>SUM(H34+H22+H16)</f>
        <v>131965008</v>
      </c>
      <c r="I36" s="82">
        <f>SUM(I34+I22+I16)</f>
        <v>35606037</v>
      </c>
      <c r="J36" s="82">
        <f>SUM(J34+J22+J16)</f>
        <v>167571045</v>
      </c>
      <c r="K36" s="100"/>
    </row>
    <row r="37" spans="1:11">
      <c r="H37" s="83"/>
      <c r="I37" s="83"/>
      <c r="J37" s="83"/>
      <c r="K37" s="83"/>
    </row>
    <row r="38" spans="1:11" s="5" customFormat="1">
      <c r="A38" s="5" t="s">
        <v>617</v>
      </c>
      <c r="H38" s="100"/>
      <c r="I38" s="100">
        <v>220000</v>
      </c>
      <c r="J38" s="100">
        <f>I38</f>
        <v>220000</v>
      </c>
      <c r="K38" s="100"/>
    </row>
    <row r="39" spans="1:11" s="5" customFormat="1">
      <c r="C39" s="5" t="s">
        <v>246</v>
      </c>
      <c r="H39" s="170"/>
      <c r="I39" s="170"/>
      <c r="J39" s="170"/>
      <c r="K39" s="100"/>
    </row>
    <row r="40" spans="1:11" s="5" customFormat="1">
      <c r="H40" s="100"/>
      <c r="I40" s="100"/>
      <c r="J40" s="100"/>
      <c r="K40" s="100"/>
    </row>
    <row r="41" spans="1:11" s="5" customFormat="1">
      <c r="C41" s="5" t="s">
        <v>18</v>
      </c>
      <c r="H41" s="202">
        <f>H36</f>
        <v>131965008</v>
      </c>
      <c r="I41" s="202">
        <f>SUM(I36:I38)</f>
        <v>35826037</v>
      </c>
      <c r="J41" s="202">
        <f>SUM(J36:J38)</f>
        <v>167791045</v>
      </c>
      <c r="K41" s="100"/>
    </row>
    <row r="42" spans="1:11">
      <c r="H42" s="83"/>
      <c r="I42" s="83"/>
      <c r="J42" s="83"/>
      <c r="K42" s="83"/>
    </row>
    <row r="43" spans="1:11">
      <c r="A43" s="5" t="s">
        <v>52</v>
      </c>
      <c r="H43" s="83"/>
      <c r="I43" s="83"/>
      <c r="J43" s="83"/>
      <c r="K43" s="83"/>
    </row>
    <row r="44" spans="1:11">
      <c r="A44" s="5"/>
      <c r="B44" s="5" t="s">
        <v>363</v>
      </c>
      <c r="H44" s="83"/>
      <c r="I44" s="83"/>
      <c r="J44" s="83"/>
      <c r="K44" s="83"/>
    </row>
    <row r="45" spans="1:11">
      <c r="C45" t="s">
        <v>53</v>
      </c>
      <c r="H45" s="84">
        <v>1474397</v>
      </c>
      <c r="I45" s="83">
        <v>602961</v>
      </c>
      <c r="J45" s="83">
        <f>SUM(H45:I45)</f>
        <v>2077358</v>
      </c>
      <c r="K45" s="83"/>
    </row>
    <row r="46" spans="1:11">
      <c r="C46" t="s">
        <v>82</v>
      </c>
      <c r="H46" s="84">
        <v>1236225</v>
      </c>
      <c r="I46" s="83"/>
      <c r="J46" s="83">
        <f t="shared" ref="J46:J52" si="3">SUM(H46:I46)</f>
        <v>1236225</v>
      </c>
      <c r="K46" s="83"/>
    </row>
    <row r="47" spans="1:11">
      <c r="C47" t="s">
        <v>21</v>
      </c>
      <c r="H47" s="84">
        <v>241045</v>
      </c>
      <c r="I47" s="83">
        <v>7690</v>
      </c>
      <c r="J47" s="83">
        <f t="shared" si="3"/>
        <v>248735</v>
      </c>
      <c r="K47" s="83"/>
    </row>
    <row r="48" spans="1:11">
      <c r="C48" t="s">
        <v>162</v>
      </c>
      <c r="H48" s="79">
        <v>540085</v>
      </c>
      <c r="I48" s="83"/>
      <c r="J48" s="83">
        <f t="shared" si="3"/>
        <v>540085</v>
      </c>
      <c r="K48" s="83"/>
    </row>
    <row r="49" spans="2:11">
      <c r="C49" t="s">
        <v>164</v>
      </c>
      <c r="H49" s="96">
        <v>100000</v>
      </c>
      <c r="I49" s="83"/>
      <c r="J49" s="83">
        <f t="shared" si="3"/>
        <v>100000</v>
      </c>
      <c r="K49" s="83"/>
    </row>
    <row r="50" spans="2:11">
      <c r="C50" t="s">
        <v>232</v>
      </c>
      <c r="H50" s="96">
        <v>104452</v>
      </c>
      <c r="I50" s="83"/>
      <c r="J50" s="83">
        <f t="shared" si="3"/>
        <v>104452</v>
      </c>
      <c r="K50" s="83"/>
    </row>
    <row r="51" spans="2:11">
      <c r="C51" t="s">
        <v>618</v>
      </c>
      <c r="H51" s="84">
        <v>193963</v>
      </c>
      <c r="I51" s="83"/>
      <c r="J51" s="83">
        <f t="shared" si="3"/>
        <v>193963</v>
      </c>
      <c r="K51" s="83"/>
    </row>
    <row r="52" spans="2:11">
      <c r="C52" t="s">
        <v>619</v>
      </c>
      <c r="H52" s="79">
        <v>2626000</v>
      </c>
      <c r="I52" s="83">
        <v>730000</v>
      </c>
      <c r="J52" s="83">
        <f t="shared" si="3"/>
        <v>3356000</v>
      </c>
      <c r="K52" s="83"/>
    </row>
    <row r="53" spans="2:11">
      <c r="H53" s="81"/>
      <c r="I53" s="81"/>
      <c r="J53" s="81"/>
      <c r="K53" s="83"/>
    </row>
    <row r="54" spans="2:11" s="5" customFormat="1">
      <c r="D54" s="102" t="s">
        <v>123</v>
      </c>
      <c r="E54" s="102"/>
      <c r="F54" s="102"/>
      <c r="G54" s="102"/>
      <c r="H54" s="103">
        <f>SUM(H45:H52)</f>
        <v>6516167</v>
      </c>
      <c r="I54" s="103">
        <f>SUM(I45:I52)</f>
        <v>1340651</v>
      </c>
      <c r="J54" s="103">
        <f>SUM(J45:J52)</f>
        <v>7856818</v>
      </c>
      <c r="K54" s="100"/>
    </row>
    <row r="55" spans="2:11">
      <c r="H55" s="83"/>
      <c r="I55" s="83"/>
      <c r="J55" s="83"/>
      <c r="K55" s="83"/>
    </row>
    <row r="56" spans="2:11">
      <c r="B56" s="5" t="s">
        <v>149</v>
      </c>
      <c r="H56" s="83"/>
      <c r="I56" s="83"/>
      <c r="J56" s="83"/>
      <c r="K56" s="83"/>
    </row>
    <row r="57" spans="2:11">
      <c r="C57" t="s">
        <v>139</v>
      </c>
      <c r="H57" s="79">
        <v>6753900</v>
      </c>
      <c r="I57" s="83">
        <v>1032600</v>
      </c>
      <c r="J57" s="83">
        <f>SUM(H57:I57)</f>
        <v>7786500</v>
      </c>
      <c r="K57" s="83"/>
    </row>
    <row r="58" spans="2:11">
      <c r="C58" t="s">
        <v>29</v>
      </c>
      <c r="H58" s="86">
        <v>198000</v>
      </c>
      <c r="I58" s="83"/>
      <c r="J58" s="83">
        <f>SUM(H58:I58)</f>
        <v>198000</v>
      </c>
      <c r="K58" s="83"/>
    </row>
    <row r="59" spans="2:11">
      <c r="C59" t="s">
        <v>620</v>
      </c>
      <c r="H59" s="79">
        <v>18236000</v>
      </c>
      <c r="I59" s="83">
        <v>12161980</v>
      </c>
      <c r="J59" s="83">
        <f>SUM(H59:I59)</f>
        <v>30397980</v>
      </c>
      <c r="K59" s="83"/>
    </row>
    <row r="60" spans="2:11">
      <c r="C60" t="s">
        <v>621</v>
      </c>
      <c r="H60" s="83"/>
      <c r="I60" s="83">
        <v>3876000</v>
      </c>
      <c r="J60" s="83">
        <f>SUM(H60:I60)</f>
        <v>3876000</v>
      </c>
      <c r="K60" s="83"/>
    </row>
    <row r="61" spans="2:11">
      <c r="H61" s="81"/>
      <c r="I61" s="81"/>
      <c r="J61" s="81"/>
      <c r="K61" s="83"/>
    </row>
    <row r="62" spans="2:11" s="5" customFormat="1">
      <c r="D62" s="102" t="s">
        <v>370</v>
      </c>
      <c r="E62" s="102"/>
      <c r="F62" s="102"/>
      <c r="G62" s="102"/>
      <c r="H62" s="103">
        <f>SUM(H56:H60)</f>
        <v>25187900</v>
      </c>
      <c r="I62" s="103">
        <f>SUM(I56:I60)</f>
        <v>17070580</v>
      </c>
      <c r="J62" s="103">
        <f>SUM(J56:J60)</f>
        <v>42258480</v>
      </c>
      <c r="K62" s="100"/>
    </row>
    <row r="63" spans="2:11">
      <c r="H63" s="83"/>
      <c r="I63" s="83"/>
      <c r="J63" s="83"/>
      <c r="K63" s="83"/>
    </row>
    <row r="64" spans="2:11" s="5" customFormat="1">
      <c r="D64" s="7" t="s">
        <v>33</v>
      </c>
      <c r="E64" s="7"/>
      <c r="F64" s="7"/>
      <c r="G64" s="7"/>
      <c r="H64" s="87">
        <f>SUM(H54+H62)</f>
        <v>31704067</v>
      </c>
      <c r="I64" s="87">
        <f t="shared" ref="I64:J64" si="4">SUM(I54+I62)</f>
        <v>18411231</v>
      </c>
      <c r="J64" s="87">
        <f t="shared" si="4"/>
        <v>50115298</v>
      </c>
      <c r="K64" s="100"/>
    </row>
    <row r="65" spans="1:11">
      <c r="H65" s="83"/>
      <c r="I65" s="83"/>
      <c r="J65" s="83"/>
      <c r="K65" s="83"/>
    </row>
    <row r="66" spans="1:11">
      <c r="A66" s="3" t="s">
        <v>35</v>
      </c>
      <c r="H66" s="83"/>
      <c r="I66" s="83"/>
      <c r="J66" s="83"/>
      <c r="K66" s="83"/>
    </row>
    <row r="67" spans="1:11">
      <c r="B67" t="s">
        <v>36</v>
      </c>
      <c r="H67" s="88">
        <v>86318562</v>
      </c>
      <c r="I67" s="83">
        <v>8441961</v>
      </c>
      <c r="J67" s="83">
        <f>SUM(H67:I67)</f>
        <v>94760523</v>
      </c>
      <c r="K67" s="83"/>
    </row>
    <row r="68" spans="1:11">
      <c r="B68" t="s">
        <v>37</v>
      </c>
      <c r="H68" s="83"/>
      <c r="I68" s="83"/>
      <c r="J68" s="83"/>
      <c r="K68" s="83"/>
    </row>
    <row r="69" spans="1:11">
      <c r="C69" t="s">
        <v>38</v>
      </c>
      <c r="H69" s="89">
        <v>2391405</v>
      </c>
      <c r="I69" s="83">
        <v>938140</v>
      </c>
      <c r="J69" s="83">
        <f>SUM(H69:I69)</f>
        <v>3329545</v>
      </c>
      <c r="K69" s="83"/>
    </row>
    <row r="70" spans="1:11">
      <c r="C70" t="s">
        <v>99</v>
      </c>
      <c r="H70" s="89">
        <v>10717283</v>
      </c>
      <c r="I70" s="83">
        <v>-1301326</v>
      </c>
      <c r="J70" s="83">
        <f>SUM(H70:I70)</f>
        <v>9415957</v>
      </c>
      <c r="K70" s="83"/>
    </row>
    <row r="71" spans="1:11">
      <c r="B71" t="s">
        <v>69</v>
      </c>
      <c r="H71" s="93">
        <v>833691</v>
      </c>
      <c r="I71" s="83">
        <v>9336031</v>
      </c>
      <c r="J71" s="83">
        <f>SUM(H71:I71)</f>
        <v>10169722</v>
      </c>
      <c r="K71" s="83"/>
    </row>
    <row r="72" spans="1:11">
      <c r="H72" s="81"/>
      <c r="I72" s="81"/>
      <c r="J72" s="81"/>
      <c r="K72" s="83"/>
    </row>
    <row r="73" spans="1:11" s="3" customFormat="1">
      <c r="C73" s="9" t="s">
        <v>42</v>
      </c>
      <c r="D73" s="9"/>
      <c r="E73" s="9"/>
      <c r="F73" s="9"/>
      <c r="G73" s="9"/>
      <c r="H73" s="94">
        <f>SUM(H67:H71)</f>
        <v>100260941</v>
      </c>
      <c r="I73" s="94">
        <f>SUM(I67:I71)</f>
        <v>17414806</v>
      </c>
      <c r="J73" s="94">
        <f>SUM(J67:J71)</f>
        <v>117675747</v>
      </c>
      <c r="K73" s="101"/>
    </row>
    <row r="74" spans="1:11">
      <c r="H74" s="83"/>
      <c r="I74" s="83"/>
      <c r="J74" s="83"/>
      <c r="K74" s="83"/>
    </row>
    <row r="75" spans="1:11" s="3" customFormat="1">
      <c r="C75" s="10" t="s">
        <v>43</v>
      </c>
      <c r="D75" s="10"/>
      <c r="E75" s="10"/>
      <c r="F75" s="10"/>
      <c r="G75" s="10"/>
      <c r="H75" s="95">
        <f>SUM(H64+H73)</f>
        <v>131965008</v>
      </c>
      <c r="I75" s="95">
        <f t="shared" ref="I75:J75" si="5">SUM(I64+I73)</f>
        <v>35826037</v>
      </c>
      <c r="J75" s="95">
        <f t="shared" si="5"/>
        <v>167791045</v>
      </c>
      <c r="K75" s="101"/>
    </row>
    <row r="76" spans="1:11">
      <c r="H76" s="83"/>
      <c r="I76" s="83"/>
      <c r="J76" s="83"/>
      <c r="K76" s="83"/>
    </row>
    <row r="77" spans="1:11">
      <c r="H77" s="83"/>
      <c r="I77" s="83"/>
      <c r="J77" s="83"/>
      <c r="K77" s="83"/>
    </row>
  </sheetData>
  <mergeCells count="3">
    <mergeCell ref="D1:H1"/>
    <mergeCell ref="D2:H2"/>
    <mergeCell ref="H4:J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57"/>
  <sheetViews>
    <sheetView zoomScale="70" zoomScaleNormal="70" zoomScalePageLayoutView="70" workbookViewId="0">
      <selection activeCell="C56" sqref="C56:J56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8.7109375" customWidth="1"/>
    <col min="11" max="11" width="17.28515625" customWidth="1"/>
    <col min="12" max="12" width="17.140625" customWidth="1"/>
  </cols>
  <sheetData>
    <row r="1" spans="1:13" ht="18.75" customHeight="1">
      <c r="A1" s="1"/>
      <c r="B1" s="1"/>
      <c r="C1" s="1"/>
      <c r="D1" s="268" t="s">
        <v>622</v>
      </c>
      <c r="E1" s="268"/>
      <c r="F1" s="268"/>
      <c r="G1" s="268"/>
      <c r="H1" s="268"/>
      <c r="I1" s="97"/>
      <c r="J1" s="97"/>
    </row>
    <row r="2" spans="1:13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4" spans="1:13" ht="14.25" customHeight="1">
      <c r="H4" s="269" t="s">
        <v>2</v>
      </c>
      <c r="I4" s="269"/>
      <c r="J4" s="269"/>
      <c r="K4" s="5"/>
      <c r="L4" s="5"/>
    </row>
    <row r="5" spans="1:13" ht="31.5" customHeight="1">
      <c r="H5" s="99" t="s">
        <v>45</v>
      </c>
      <c r="I5" s="99" t="s">
        <v>72</v>
      </c>
      <c r="J5" s="171" t="s">
        <v>73</v>
      </c>
      <c r="K5" s="171" t="s">
        <v>3</v>
      </c>
      <c r="L5" s="212" t="s">
        <v>73</v>
      </c>
      <c r="M5" s="83"/>
    </row>
    <row r="6" spans="1:13">
      <c r="A6" s="3" t="s">
        <v>4</v>
      </c>
      <c r="D6" s="3"/>
      <c r="G6" s="4"/>
      <c r="H6" s="76"/>
      <c r="I6" s="76"/>
      <c r="J6" s="76"/>
      <c r="K6" s="83"/>
      <c r="L6" s="83"/>
      <c r="M6" s="83"/>
    </row>
    <row r="7" spans="1:13">
      <c r="C7" t="s">
        <v>46</v>
      </c>
      <c r="H7" s="77">
        <v>32231916</v>
      </c>
      <c r="I7" s="83">
        <v>1640973</v>
      </c>
      <c r="J7" s="83">
        <f t="shared" ref="J7:J17" si="0">SUM(H7:I7)</f>
        <v>33872889</v>
      </c>
      <c r="K7" s="83">
        <v>33507195</v>
      </c>
      <c r="L7" s="83">
        <f t="shared" ref="L7:L17" si="1">SUM(J7:K7)</f>
        <v>67380084</v>
      </c>
      <c r="M7" s="83"/>
    </row>
    <row r="8" spans="1:13">
      <c r="C8" t="s">
        <v>6</v>
      </c>
      <c r="H8" s="84">
        <v>139982794</v>
      </c>
      <c r="I8" s="83">
        <v>10921541</v>
      </c>
      <c r="J8" s="83">
        <f t="shared" si="0"/>
        <v>150904335</v>
      </c>
      <c r="K8" s="83">
        <v>17101546</v>
      </c>
      <c r="L8" s="83">
        <f t="shared" si="1"/>
        <v>168005881</v>
      </c>
      <c r="M8" s="83"/>
    </row>
    <row r="9" spans="1:13">
      <c r="C9" t="s">
        <v>609</v>
      </c>
      <c r="H9" s="78">
        <v>52368483</v>
      </c>
      <c r="I9" s="83">
        <v>896138</v>
      </c>
      <c r="J9" s="83">
        <f t="shared" si="0"/>
        <v>53264621</v>
      </c>
      <c r="K9" s="83">
        <v>63546893</v>
      </c>
      <c r="L9" s="83">
        <f t="shared" si="1"/>
        <v>116811514</v>
      </c>
      <c r="M9" s="83"/>
    </row>
    <row r="10" spans="1:13">
      <c r="C10" t="s">
        <v>623</v>
      </c>
      <c r="H10" s="90">
        <v>360844</v>
      </c>
      <c r="I10" s="83"/>
      <c r="J10" s="83">
        <v>360844</v>
      </c>
      <c r="K10" s="83">
        <v>8926010</v>
      </c>
      <c r="L10" s="83">
        <f t="shared" si="1"/>
        <v>9286854</v>
      </c>
      <c r="M10" s="83"/>
    </row>
    <row r="11" spans="1:13">
      <c r="C11" t="s">
        <v>49</v>
      </c>
      <c r="H11" s="83"/>
      <c r="I11" s="83"/>
      <c r="J11" s="83">
        <f t="shared" si="0"/>
        <v>0</v>
      </c>
      <c r="K11" s="83">
        <v>2240748</v>
      </c>
      <c r="L11" s="83">
        <f t="shared" si="1"/>
        <v>2240748</v>
      </c>
      <c r="M11" s="83"/>
    </row>
    <row r="12" spans="1:13">
      <c r="C12" t="s">
        <v>115</v>
      </c>
      <c r="H12" s="79">
        <v>241027</v>
      </c>
      <c r="I12" s="83"/>
      <c r="J12" s="83">
        <f t="shared" si="0"/>
        <v>241027</v>
      </c>
      <c r="K12" s="83">
        <v>863953</v>
      </c>
      <c r="L12" s="83">
        <f t="shared" si="1"/>
        <v>1104980</v>
      </c>
      <c r="M12" s="83"/>
    </row>
    <row r="13" spans="1:13">
      <c r="C13" t="s">
        <v>77</v>
      </c>
      <c r="H13" s="79">
        <v>19014325</v>
      </c>
      <c r="I13" s="83">
        <v>4335875</v>
      </c>
      <c r="J13" s="83">
        <f t="shared" si="0"/>
        <v>23350200</v>
      </c>
      <c r="K13" s="83">
        <v>3324852</v>
      </c>
      <c r="L13" s="83">
        <f t="shared" si="1"/>
        <v>26675052</v>
      </c>
      <c r="M13" s="83"/>
    </row>
    <row r="14" spans="1:13">
      <c r="C14" t="s">
        <v>78</v>
      </c>
      <c r="H14" s="79">
        <v>2120</v>
      </c>
      <c r="I14" s="83">
        <v>13159</v>
      </c>
      <c r="J14" s="83">
        <f t="shared" si="0"/>
        <v>15279</v>
      </c>
      <c r="K14" s="83">
        <v>179150</v>
      </c>
      <c r="L14" s="83">
        <f t="shared" si="1"/>
        <v>194429</v>
      </c>
      <c r="M14" s="83"/>
    </row>
    <row r="15" spans="1:13">
      <c r="C15" t="s">
        <v>12</v>
      </c>
      <c r="H15" s="83"/>
      <c r="I15" s="83"/>
      <c r="J15" s="83">
        <f t="shared" si="0"/>
        <v>0</v>
      </c>
      <c r="K15" s="83"/>
      <c r="L15" s="83">
        <f t="shared" si="1"/>
        <v>0</v>
      </c>
      <c r="M15" s="83"/>
    </row>
    <row r="16" spans="1:13">
      <c r="D16" t="s">
        <v>624</v>
      </c>
      <c r="H16" s="80">
        <v>117032131</v>
      </c>
      <c r="I16" s="83">
        <v>1704839</v>
      </c>
      <c r="J16" s="83">
        <f>SUM(H16:I16)</f>
        <v>118736970</v>
      </c>
      <c r="K16" s="83">
        <v>12895127</v>
      </c>
      <c r="L16" s="83">
        <f t="shared" si="1"/>
        <v>131632097</v>
      </c>
      <c r="M16" s="83"/>
    </row>
    <row r="17" spans="1:13">
      <c r="D17" t="s">
        <v>159</v>
      </c>
      <c r="H17" s="80">
        <v>314057724</v>
      </c>
      <c r="I17" s="83">
        <v>37370127</v>
      </c>
      <c r="J17" s="83">
        <f t="shared" si="0"/>
        <v>351427851</v>
      </c>
      <c r="K17" s="83">
        <v>82748732</v>
      </c>
      <c r="L17" s="83">
        <f t="shared" si="1"/>
        <v>434176583</v>
      </c>
      <c r="M17" s="83"/>
    </row>
    <row r="18" spans="1:13">
      <c r="H18" s="81"/>
      <c r="I18" s="81"/>
      <c r="J18" s="81"/>
      <c r="K18" s="81"/>
      <c r="L18" s="81"/>
      <c r="M18" s="83"/>
    </row>
    <row r="19" spans="1:13" s="5" customFormat="1">
      <c r="C19" s="6" t="s">
        <v>15</v>
      </c>
      <c r="D19" s="6"/>
      <c r="E19" s="6"/>
      <c r="F19" s="6"/>
      <c r="G19" s="6"/>
      <c r="H19" s="82">
        <f>SUM(H7:H17)</f>
        <v>675291364</v>
      </c>
      <c r="I19" s="82">
        <f>SUM(I7:I17)</f>
        <v>56882652</v>
      </c>
      <c r="J19" s="82">
        <f>SUM(J7:J17)</f>
        <v>732174016</v>
      </c>
      <c r="K19" s="82">
        <f>SUM(K7:K17)</f>
        <v>225334206</v>
      </c>
      <c r="L19" s="82">
        <f>SUM(L7:L17)</f>
        <v>957508222</v>
      </c>
      <c r="M19" s="100"/>
    </row>
    <row r="20" spans="1:13">
      <c r="H20" s="83"/>
      <c r="I20" s="83"/>
      <c r="J20" s="83"/>
      <c r="K20" s="83"/>
      <c r="L20" s="83"/>
      <c r="M20" s="83"/>
    </row>
    <row r="21" spans="1:13">
      <c r="B21" s="5" t="s">
        <v>360</v>
      </c>
      <c r="H21" s="83"/>
      <c r="I21" s="83"/>
      <c r="J21" s="83"/>
      <c r="K21" s="83"/>
      <c r="L21" s="83"/>
      <c r="M21" s="83"/>
    </row>
    <row r="22" spans="1:13">
      <c r="C22" t="s">
        <v>625</v>
      </c>
      <c r="H22" s="83">
        <v>4730418</v>
      </c>
      <c r="I22" s="83"/>
      <c r="J22" s="83">
        <f>SUM(H22)</f>
        <v>4730418</v>
      </c>
      <c r="K22" s="83">
        <v>206138</v>
      </c>
      <c r="L22" s="83">
        <f>SUM(J22:K22)</f>
        <v>4936556</v>
      </c>
      <c r="M22" s="83"/>
    </row>
    <row r="23" spans="1:13">
      <c r="H23" s="81"/>
      <c r="I23" s="81"/>
      <c r="J23" s="81"/>
      <c r="K23" s="81"/>
      <c r="L23" s="81"/>
      <c r="M23" s="83"/>
    </row>
    <row r="24" spans="1:13" s="5" customFormat="1">
      <c r="C24" s="102" t="s">
        <v>362</v>
      </c>
      <c r="D24" s="102"/>
      <c r="E24" s="102"/>
      <c r="F24" s="102"/>
      <c r="G24" s="102"/>
      <c r="H24" s="103">
        <f>SUM(H21:H22)</f>
        <v>4730418</v>
      </c>
      <c r="I24" s="103">
        <f>SUM(I22)</f>
        <v>0</v>
      </c>
      <c r="J24" s="103">
        <f>SUM(J22)</f>
        <v>4730418</v>
      </c>
      <c r="K24" s="103">
        <f>SUM(K22)</f>
        <v>206138</v>
      </c>
      <c r="L24" s="103">
        <f>SUM(L22)</f>
        <v>4936556</v>
      </c>
      <c r="M24" s="100"/>
    </row>
    <row r="25" spans="1:13">
      <c r="H25" s="83"/>
      <c r="I25" s="83"/>
      <c r="J25" s="83"/>
      <c r="K25" s="83"/>
      <c r="L25" s="83"/>
      <c r="M25" s="83"/>
    </row>
    <row r="26" spans="1:13">
      <c r="A26" s="5" t="s">
        <v>52</v>
      </c>
      <c r="H26" s="83"/>
      <c r="I26" s="83"/>
      <c r="J26" s="83"/>
      <c r="K26" s="83"/>
      <c r="L26" s="83"/>
      <c r="M26" s="83"/>
    </row>
    <row r="27" spans="1:13">
      <c r="C27" t="s">
        <v>133</v>
      </c>
      <c r="H27" s="84">
        <v>22029341</v>
      </c>
      <c r="I27" s="83">
        <v>830397</v>
      </c>
      <c r="J27" s="83">
        <f t="shared" ref="J27:J35" si="2">SUM(H27:I27)</f>
        <v>22859738</v>
      </c>
      <c r="K27" s="83">
        <v>4220526</v>
      </c>
      <c r="L27" s="83">
        <f t="shared" ref="L27:L35" si="3">SUM(J27:K27)</f>
        <v>27080264</v>
      </c>
      <c r="M27" s="83"/>
    </row>
    <row r="28" spans="1:13">
      <c r="C28" t="s">
        <v>626</v>
      </c>
      <c r="H28" s="83"/>
      <c r="I28" s="83"/>
      <c r="J28" s="83">
        <f t="shared" si="2"/>
        <v>0</v>
      </c>
      <c r="K28" s="83">
        <v>134355</v>
      </c>
      <c r="L28" s="83">
        <f t="shared" si="3"/>
        <v>134355</v>
      </c>
      <c r="M28" s="83"/>
    </row>
    <row r="29" spans="1:13">
      <c r="C29" t="s">
        <v>627</v>
      </c>
      <c r="H29" s="96">
        <v>8842090</v>
      </c>
      <c r="I29" s="83"/>
      <c r="J29" s="83">
        <f t="shared" si="2"/>
        <v>8842090</v>
      </c>
      <c r="K29" s="83">
        <v>444764</v>
      </c>
      <c r="L29" s="83">
        <f t="shared" si="3"/>
        <v>9286854</v>
      </c>
      <c r="M29" s="83"/>
    </row>
    <row r="30" spans="1:13">
      <c r="C30" t="s">
        <v>23</v>
      </c>
      <c r="H30" s="79">
        <v>3300100</v>
      </c>
      <c r="I30" s="83"/>
      <c r="J30" s="83">
        <f t="shared" si="2"/>
        <v>3300100</v>
      </c>
      <c r="K30" s="83">
        <v>361213</v>
      </c>
      <c r="L30" s="83">
        <f t="shared" si="3"/>
        <v>3661313</v>
      </c>
      <c r="M30" s="83"/>
    </row>
    <row r="31" spans="1:13">
      <c r="C31" t="s">
        <v>108</v>
      </c>
      <c r="H31" s="79">
        <v>1999849</v>
      </c>
      <c r="I31" s="83">
        <v>1320805</v>
      </c>
      <c r="J31" s="83">
        <f t="shared" si="2"/>
        <v>3320654</v>
      </c>
      <c r="K31" s="83">
        <v>46108</v>
      </c>
      <c r="L31" s="83">
        <f t="shared" si="3"/>
        <v>3366762</v>
      </c>
      <c r="M31" s="83"/>
    </row>
    <row r="32" spans="1:13">
      <c r="C32" t="s">
        <v>134</v>
      </c>
      <c r="H32" s="84">
        <v>565788</v>
      </c>
      <c r="I32" s="83">
        <v>821487</v>
      </c>
      <c r="J32" s="83">
        <f t="shared" si="2"/>
        <v>1387275</v>
      </c>
      <c r="K32" s="83">
        <v>555632</v>
      </c>
      <c r="L32" s="83">
        <f t="shared" si="3"/>
        <v>1942907</v>
      </c>
      <c r="M32" s="83"/>
    </row>
    <row r="33" spans="1:13">
      <c r="C33" t="s">
        <v>628</v>
      </c>
      <c r="H33" s="83"/>
      <c r="I33" s="83"/>
      <c r="J33" s="83">
        <f t="shared" si="2"/>
        <v>0</v>
      </c>
      <c r="K33" s="83"/>
      <c r="L33" s="83">
        <f t="shared" si="3"/>
        <v>0</v>
      </c>
      <c r="M33" s="83"/>
    </row>
    <row r="34" spans="1:13">
      <c r="D34" t="s">
        <v>88</v>
      </c>
      <c r="H34" s="92">
        <v>8387911</v>
      </c>
      <c r="I34" s="83">
        <v>725000</v>
      </c>
      <c r="J34" s="83">
        <f t="shared" si="2"/>
        <v>9112911</v>
      </c>
      <c r="K34" s="83">
        <v>6941025</v>
      </c>
      <c r="L34" s="83">
        <f t="shared" si="3"/>
        <v>16053936</v>
      </c>
      <c r="M34" s="83"/>
    </row>
    <row r="35" spans="1:13">
      <c r="D35" t="s">
        <v>89</v>
      </c>
      <c r="H35" s="77">
        <v>92368011</v>
      </c>
      <c r="I35" s="83">
        <v>40700586</v>
      </c>
      <c r="J35" s="83">
        <f t="shared" si="2"/>
        <v>133068597</v>
      </c>
      <c r="K35" s="83">
        <v>37265919</v>
      </c>
      <c r="L35" s="83">
        <f t="shared" si="3"/>
        <v>170334516</v>
      </c>
      <c r="M35" s="83"/>
    </row>
    <row r="36" spans="1:13">
      <c r="H36" s="81"/>
      <c r="I36" s="81"/>
      <c r="J36" s="81"/>
      <c r="K36" s="81"/>
      <c r="L36" s="81"/>
      <c r="M36" s="83"/>
    </row>
    <row r="37" spans="1:13" s="5" customFormat="1">
      <c r="D37" s="7" t="s">
        <v>33</v>
      </c>
      <c r="E37" s="7"/>
      <c r="F37" s="7"/>
      <c r="G37" s="7"/>
      <c r="H37" s="87">
        <f>SUM(H27:H35)</f>
        <v>137493090</v>
      </c>
      <c r="I37" s="87">
        <f>SUM(I27:I35)</f>
        <v>44398275</v>
      </c>
      <c r="J37" s="87">
        <f>SUM(J27:J35)</f>
        <v>181891365</v>
      </c>
      <c r="K37" s="87">
        <f>SUM(K27:K35)</f>
        <v>49969542</v>
      </c>
      <c r="L37" s="87">
        <f>SUM(L27:L35)</f>
        <v>231860907</v>
      </c>
      <c r="M37" s="100"/>
    </row>
    <row r="38" spans="1:13">
      <c r="H38" s="83"/>
      <c r="I38" s="83"/>
      <c r="J38" s="83"/>
      <c r="K38" s="83"/>
      <c r="L38" s="83"/>
      <c r="M38" s="83"/>
    </row>
    <row r="39" spans="1:13">
      <c r="A39" s="3" t="s">
        <v>35</v>
      </c>
      <c r="H39" s="83"/>
      <c r="I39" s="83"/>
      <c r="J39" s="83"/>
      <c r="K39" s="83"/>
      <c r="L39" s="83"/>
      <c r="M39" s="83"/>
    </row>
    <row r="40" spans="1:13">
      <c r="B40" t="s">
        <v>96</v>
      </c>
      <c r="H40" s="88">
        <v>361538436</v>
      </c>
      <c r="I40" s="83">
        <v>-2350620</v>
      </c>
      <c r="J40" s="83">
        <f>SUM(H40:I40)</f>
        <v>359187816</v>
      </c>
      <c r="K40" s="83">
        <v>63776877</v>
      </c>
      <c r="L40" s="83">
        <f t="shared" ref="L40:L52" si="4">SUM(J40:K40)</f>
        <v>422964693</v>
      </c>
      <c r="M40" s="83"/>
    </row>
    <row r="41" spans="1:13">
      <c r="B41" t="s">
        <v>37</v>
      </c>
      <c r="H41" s="83"/>
      <c r="I41" s="83"/>
      <c r="J41" s="83">
        <f t="shared" ref="J41:J52" si="5">SUM(H41:I41)</f>
        <v>0</v>
      </c>
      <c r="K41" s="83"/>
      <c r="L41" s="83">
        <f t="shared" si="4"/>
        <v>0</v>
      </c>
      <c r="M41" s="83"/>
    </row>
    <row r="42" spans="1:13">
      <c r="C42" t="s">
        <v>629</v>
      </c>
      <c r="H42" s="89">
        <v>9340801</v>
      </c>
      <c r="I42" s="83">
        <v>595421</v>
      </c>
      <c r="J42" s="83">
        <f t="shared" si="5"/>
        <v>9936222</v>
      </c>
      <c r="K42" s="83"/>
      <c r="L42" s="83">
        <f t="shared" si="4"/>
        <v>9936222</v>
      </c>
      <c r="M42" s="83"/>
    </row>
    <row r="43" spans="1:13">
      <c r="C43" t="s">
        <v>66</v>
      </c>
      <c r="H43" s="89">
        <v>136976</v>
      </c>
      <c r="I43" s="83"/>
      <c r="J43" s="83">
        <f t="shared" si="5"/>
        <v>136976</v>
      </c>
      <c r="K43" s="83"/>
      <c r="L43" s="83">
        <f t="shared" si="4"/>
        <v>136976</v>
      </c>
      <c r="M43" s="83"/>
    </row>
    <row r="44" spans="1:13">
      <c r="C44" t="s">
        <v>38</v>
      </c>
      <c r="H44" s="89">
        <v>10013794</v>
      </c>
      <c r="I44" s="83">
        <v>3740454</v>
      </c>
      <c r="J44" s="83">
        <f t="shared" si="5"/>
        <v>13754248</v>
      </c>
      <c r="K44" s="83">
        <v>4226517</v>
      </c>
      <c r="L44" s="83">
        <f t="shared" si="4"/>
        <v>17980765</v>
      </c>
      <c r="M44" s="83"/>
    </row>
    <row r="45" spans="1:13">
      <c r="C45" t="s">
        <v>153</v>
      </c>
      <c r="H45" s="89">
        <v>275109</v>
      </c>
      <c r="I45" s="83"/>
      <c r="J45" s="83">
        <f t="shared" si="5"/>
        <v>275109</v>
      </c>
      <c r="K45" s="83"/>
      <c r="L45" s="83">
        <f t="shared" si="4"/>
        <v>275109</v>
      </c>
      <c r="M45" s="83"/>
    </row>
    <row r="46" spans="1:13">
      <c r="C46" t="s">
        <v>65</v>
      </c>
      <c r="H46" s="89">
        <v>9241870</v>
      </c>
      <c r="I46" s="83"/>
      <c r="J46" s="83">
        <f t="shared" si="5"/>
        <v>9241870</v>
      </c>
      <c r="K46" s="83"/>
      <c r="L46" s="83">
        <f t="shared" si="4"/>
        <v>9241870</v>
      </c>
      <c r="M46" s="83"/>
    </row>
    <row r="47" spans="1:13">
      <c r="C47" t="s">
        <v>203</v>
      </c>
      <c r="H47" s="89">
        <v>11104623</v>
      </c>
      <c r="I47" s="83"/>
      <c r="J47" s="83">
        <f t="shared" si="5"/>
        <v>11104623</v>
      </c>
      <c r="K47" s="83"/>
      <c r="L47" s="83">
        <f t="shared" si="4"/>
        <v>11104623</v>
      </c>
      <c r="M47" s="83"/>
    </row>
    <row r="48" spans="1:13">
      <c r="C48" t="s">
        <v>630</v>
      </c>
      <c r="H48" s="89">
        <v>4799157</v>
      </c>
      <c r="I48" s="83"/>
      <c r="J48" s="83">
        <f t="shared" si="5"/>
        <v>4799157</v>
      </c>
      <c r="K48" s="83"/>
      <c r="L48" s="83">
        <f t="shared" si="4"/>
        <v>4799157</v>
      </c>
      <c r="M48" s="83"/>
    </row>
    <row r="49" spans="2:13">
      <c r="C49" t="s">
        <v>63</v>
      </c>
      <c r="H49" s="89">
        <v>13229758</v>
      </c>
      <c r="I49" s="83"/>
      <c r="J49" s="83">
        <f t="shared" si="5"/>
        <v>13229758</v>
      </c>
      <c r="K49" s="83"/>
      <c r="L49" s="83">
        <f t="shared" si="4"/>
        <v>13229758</v>
      </c>
      <c r="M49" s="83"/>
    </row>
    <row r="50" spans="2:13">
      <c r="C50" t="s">
        <v>631</v>
      </c>
      <c r="H50" s="89">
        <v>86811013</v>
      </c>
      <c r="I50" s="83"/>
      <c r="J50" s="83">
        <f t="shared" si="5"/>
        <v>86811013</v>
      </c>
      <c r="K50" s="83"/>
      <c r="L50" s="83">
        <f t="shared" si="4"/>
        <v>86811013</v>
      </c>
      <c r="M50" s="83"/>
    </row>
    <row r="51" spans="2:13">
      <c r="C51" t="s">
        <v>372</v>
      </c>
      <c r="H51" s="89">
        <v>550762</v>
      </c>
      <c r="I51" s="83"/>
      <c r="J51" s="83">
        <f t="shared" si="5"/>
        <v>550762</v>
      </c>
      <c r="K51" s="83"/>
      <c r="L51" s="83">
        <f t="shared" si="4"/>
        <v>550762</v>
      </c>
      <c r="M51" s="83"/>
    </row>
    <row r="52" spans="2:13">
      <c r="B52" t="s">
        <v>69</v>
      </c>
      <c r="H52" s="93">
        <v>35486393</v>
      </c>
      <c r="I52" s="83">
        <v>10499122</v>
      </c>
      <c r="J52" s="83">
        <f t="shared" si="5"/>
        <v>45985515</v>
      </c>
      <c r="K52" s="83">
        <v>107567408</v>
      </c>
      <c r="L52" s="83">
        <f t="shared" si="4"/>
        <v>153552923</v>
      </c>
      <c r="M52" s="83"/>
    </row>
    <row r="53" spans="2:13">
      <c r="H53" s="81"/>
      <c r="I53" s="81"/>
      <c r="J53" s="81"/>
      <c r="K53" s="81"/>
      <c r="L53" s="81"/>
      <c r="M53" s="83"/>
    </row>
    <row r="54" spans="2:13" s="3" customFormat="1">
      <c r="C54" s="9" t="s">
        <v>42</v>
      </c>
      <c r="D54" s="9"/>
      <c r="E54" s="9"/>
      <c r="F54" s="9"/>
      <c r="G54" s="9"/>
      <c r="H54" s="94">
        <f>SUM(H40:H52)</f>
        <v>542528692</v>
      </c>
      <c r="I54" s="94">
        <f>SUM(I40:I52)</f>
        <v>12484377</v>
      </c>
      <c r="J54" s="94">
        <f>SUM(J40:J52)</f>
        <v>555013069</v>
      </c>
      <c r="K54" s="94">
        <f>SUM(K40:K52)</f>
        <v>175570802</v>
      </c>
      <c r="L54" s="94">
        <f>SUM(L40:L52)</f>
        <v>730583871</v>
      </c>
      <c r="M54" s="101"/>
    </row>
    <row r="55" spans="2:13">
      <c r="H55" s="83"/>
      <c r="I55" s="83"/>
      <c r="J55" s="83"/>
      <c r="K55" s="83"/>
      <c r="L55" s="83"/>
      <c r="M55" s="83"/>
    </row>
    <row r="56" spans="2:13">
      <c r="C56" s="10" t="s">
        <v>43</v>
      </c>
      <c r="D56" s="10"/>
      <c r="E56" s="10"/>
      <c r="F56" s="227"/>
      <c r="G56" s="227"/>
      <c r="H56" s="227">
        <f>H54+H37</f>
        <v>680021782</v>
      </c>
      <c r="I56" s="227">
        <f t="shared" ref="I56:L56" si="6">I54+I37</f>
        <v>56882652</v>
      </c>
      <c r="J56" s="227">
        <f t="shared" si="6"/>
        <v>736904434</v>
      </c>
      <c r="K56" s="227">
        <f t="shared" si="6"/>
        <v>225540344</v>
      </c>
      <c r="L56" s="227">
        <f t="shared" si="6"/>
        <v>962444778</v>
      </c>
      <c r="M56" s="83"/>
    </row>
    <row r="57" spans="2:13">
      <c r="H57" s="83"/>
      <c r="I57" s="83"/>
      <c r="J57" s="83"/>
      <c r="K57" s="83"/>
      <c r="L57" s="83"/>
      <c r="M57" s="83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43"/>
  <sheetViews>
    <sheetView zoomScale="80" zoomScaleNormal="80" zoomScalePageLayoutView="80" workbookViewId="0">
      <selection activeCell="L37" sqref="L3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6.7109375" bestFit="1" customWidth="1"/>
  </cols>
  <sheetData>
    <row r="1" spans="1:9" ht="18.600000000000001">
      <c r="A1" s="1"/>
      <c r="B1" s="1"/>
      <c r="C1" s="1"/>
      <c r="D1" s="268" t="s">
        <v>632</v>
      </c>
      <c r="E1" s="268"/>
      <c r="F1" s="268"/>
      <c r="G1" s="268"/>
      <c r="H1" s="268"/>
    </row>
    <row r="2" spans="1:9" ht="18.600000000000001">
      <c r="A2" s="1"/>
      <c r="B2" s="1"/>
      <c r="C2" s="1"/>
      <c r="D2" s="266" t="s">
        <v>1</v>
      </c>
      <c r="E2" s="266"/>
      <c r="F2" s="266"/>
      <c r="G2" s="266"/>
      <c r="H2" s="266"/>
    </row>
    <row r="4" spans="1:9" ht="29.1">
      <c r="H4" s="210" t="s">
        <v>2</v>
      </c>
      <c r="I4" s="177" t="s">
        <v>3</v>
      </c>
    </row>
    <row r="5" spans="1:9" ht="29.1">
      <c r="H5" s="105" t="s">
        <v>45</v>
      </c>
      <c r="I5" s="105" t="s">
        <v>45</v>
      </c>
    </row>
    <row r="6" spans="1:9">
      <c r="A6" s="3" t="s">
        <v>4</v>
      </c>
      <c r="D6" s="3"/>
      <c r="G6" s="4"/>
      <c r="H6" s="4"/>
    </row>
    <row r="7" spans="1:9">
      <c r="C7" t="s">
        <v>46</v>
      </c>
      <c r="H7" s="77">
        <v>16117497</v>
      </c>
      <c r="I7">
        <v>5648133</v>
      </c>
    </row>
    <row r="8" spans="1:9">
      <c r="C8" t="s">
        <v>633</v>
      </c>
      <c r="H8" s="83"/>
      <c r="I8">
        <v>557878</v>
      </c>
    </row>
    <row r="9" spans="1:9">
      <c r="C9" t="s">
        <v>634</v>
      </c>
      <c r="H9" s="78">
        <v>9874591</v>
      </c>
      <c r="I9">
        <v>6019116</v>
      </c>
    </row>
    <row r="10" spans="1:9">
      <c r="C10" t="s">
        <v>48</v>
      </c>
      <c r="H10" s="90">
        <v>414377</v>
      </c>
    </row>
    <row r="11" spans="1:9">
      <c r="C11" t="s">
        <v>635</v>
      </c>
      <c r="H11" s="79">
        <v>1037478</v>
      </c>
    </row>
    <row r="12" spans="1:9">
      <c r="C12" t="s">
        <v>636</v>
      </c>
      <c r="H12" s="83"/>
      <c r="I12">
        <v>80437</v>
      </c>
    </row>
    <row r="13" spans="1:9">
      <c r="C13" t="s">
        <v>285</v>
      </c>
      <c r="H13" s="80">
        <v>180628136</v>
      </c>
      <c r="I13">
        <v>9626485</v>
      </c>
    </row>
    <row r="14" spans="1:9">
      <c r="H14" s="81"/>
      <c r="I14" s="125"/>
    </row>
    <row r="15" spans="1:9">
      <c r="C15" s="6" t="s">
        <v>15</v>
      </c>
      <c r="D15" s="172"/>
      <c r="E15" s="172"/>
      <c r="F15" s="172"/>
      <c r="G15" s="172"/>
      <c r="H15" s="82">
        <f>SUM(H7:H13)</f>
        <v>208072079</v>
      </c>
      <c r="I15" s="82">
        <f>SUM(I7:I13)</f>
        <v>21932049</v>
      </c>
    </row>
    <row r="16" spans="1:9">
      <c r="H16" s="83"/>
    </row>
    <row r="17" spans="1:9">
      <c r="A17" s="5" t="s">
        <v>52</v>
      </c>
      <c r="H17" s="83"/>
    </row>
    <row r="18" spans="1:9">
      <c r="C18" t="s">
        <v>133</v>
      </c>
      <c r="H18" s="84">
        <v>2735360</v>
      </c>
      <c r="I18">
        <v>489468</v>
      </c>
    </row>
    <row r="19" spans="1:9">
      <c r="C19" t="s">
        <v>232</v>
      </c>
      <c r="H19" s="96">
        <v>444765</v>
      </c>
      <c r="I19">
        <v>71532</v>
      </c>
    </row>
    <row r="20" spans="1:9">
      <c r="C20" t="s">
        <v>637</v>
      </c>
      <c r="H20" s="83"/>
      <c r="I20">
        <v>945892</v>
      </c>
    </row>
    <row r="21" spans="1:9">
      <c r="C21" t="s">
        <v>638</v>
      </c>
      <c r="H21" s="83"/>
    </row>
    <row r="22" spans="1:9">
      <c r="D22" t="s">
        <v>88</v>
      </c>
      <c r="H22" s="92">
        <v>105000</v>
      </c>
      <c r="I22">
        <v>257842</v>
      </c>
    </row>
    <row r="23" spans="1:9">
      <c r="D23" t="s">
        <v>89</v>
      </c>
      <c r="H23" s="77">
        <v>8239663</v>
      </c>
      <c r="I23">
        <v>310926</v>
      </c>
    </row>
    <row r="24" spans="1:9">
      <c r="D24" t="s">
        <v>639</v>
      </c>
      <c r="H24" s="79">
        <v>1722972</v>
      </c>
    </row>
    <row r="25" spans="1:9">
      <c r="H25" s="81"/>
      <c r="I25" s="125"/>
    </row>
    <row r="26" spans="1:9">
      <c r="D26" s="7" t="s">
        <v>33</v>
      </c>
      <c r="E26" s="8"/>
      <c r="F26" s="8"/>
      <c r="G26" s="8"/>
      <c r="H26" s="87">
        <f>SUM(H18:H24)</f>
        <v>13247760</v>
      </c>
      <c r="I26" s="87">
        <f>SUM(I18:I24)</f>
        <v>2075660</v>
      </c>
    </row>
    <row r="27" spans="1:9">
      <c r="H27" s="83"/>
    </row>
    <row r="28" spans="1:9">
      <c r="A28" s="5" t="s">
        <v>640</v>
      </c>
      <c r="B28" s="5"/>
      <c r="C28" s="5"/>
      <c r="D28" s="5"/>
      <c r="E28" s="5"/>
      <c r="F28" s="5"/>
      <c r="H28" s="83"/>
    </row>
    <row r="29" spans="1:9">
      <c r="C29" t="s">
        <v>336</v>
      </c>
      <c r="H29" s="83">
        <v>150368</v>
      </c>
    </row>
    <row r="30" spans="1:9">
      <c r="H30" s="81"/>
      <c r="I30" s="125"/>
    </row>
    <row r="31" spans="1:9" s="3" customFormat="1">
      <c r="C31" s="173" t="s">
        <v>641</v>
      </c>
      <c r="D31" s="173"/>
      <c r="E31" s="173"/>
      <c r="F31" s="173"/>
      <c r="G31" s="173"/>
      <c r="H31" s="174">
        <f>SUM(H29:H29)</f>
        <v>150368</v>
      </c>
      <c r="I31" s="174">
        <f>SUM(I29:I29)</f>
        <v>0</v>
      </c>
    </row>
    <row r="32" spans="1:9">
      <c r="H32" s="83"/>
    </row>
    <row r="33" spans="1:9">
      <c r="A33" s="3" t="s">
        <v>35</v>
      </c>
      <c r="H33" s="83"/>
    </row>
    <row r="34" spans="1:9">
      <c r="B34" t="s">
        <v>96</v>
      </c>
      <c r="H34" s="88">
        <v>178143136</v>
      </c>
      <c r="I34">
        <v>9084091</v>
      </c>
    </row>
    <row r="35" spans="1:9">
      <c r="B35" t="s">
        <v>37</v>
      </c>
      <c r="H35" s="83"/>
    </row>
    <row r="36" spans="1:9">
      <c r="C36" t="s">
        <v>39</v>
      </c>
      <c r="H36" s="83"/>
    </row>
    <row r="37" spans="1:9">
      <c r="C37" t="s">
        <v>642</v>
      </c>
      <c r="H37" s="89">
        <v>295989</v>
      </c>
    </row>
    <row r="38" spans="1:9">
      <c r="C38" t="s">
        <v>40</v>
      </c>
      <c r="H38" s="89">
        <v>943497</v>
      </c>
      <c r="I38">
        <v>10772298</v>
      </c>
    </row>
    <row r="39" spans="1:9">
      <c r="B39" t="s">
        <v>69</v>
      </c>
      <c r="H39" s="175">
        <v>15291329</v>
      </c>
    </row>
    <row r="40" spans="1:9">
      <c r="H40" s="83"/>
      <c r="I40" s="125"/>
    </row>
    <row r="41" spans="1:9" s="3" customFormat="1">
      <c r="C41" s="9" t="s">
        <v>42</v>
      </c>
      <c r="D41" s="9"/>
      <c r="E41" s="9"/>
      <c r="F41" s="9"/>
      <c r="G41" s="9"/>
      <c r="H41" s="176">
        <f>SUM(H34:H39)</f>
        <v>194673951</v>
      </c>
      <c r="I41" s="176">
        <f>SUM(I34:I39)</f>
        <v>19856389</v>
      </c>
    </row>
    <row r="42" spans="1:9">
      <c r="H42" s="83"/>
    </row>
    <row r="43" spans="1:9">
      <c r="C43" s="10" t="s">
        <v>43</v>
      </c>
      <c r="D43" s="10"/>
      <c r="E43" s="10"/>
      <c r="F43" s="227"/>
      <c r="G43" s="227"/>
      <c r="H43" s="227">
        <f>H41+H26</f>
        <v>207921711</v>
      </c>
      <c r="I43" s="227">
        <f>I41+I26</f>
        <v>21932049</v>
      </c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63"/>
  <sheetViews>
    <sheetView zoomScale="70" zoomScaleNormal="70" zoomScalePageLayoutView="70" workbookViewId="0">
      <selection activeCell="X43" sqref="X43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22" customWidth="1"/>
    <col min="10" max="10" width="17.140625" customWidth="1"/>
    <col min="11" max="11" width="20.28515625" customWidth="1"/>
  </cols>
  <sheetData>
    <row r="1" spans="1:12" ht="18.75" customHeight="1">
      <c r="A1" s="1"/>
      <c r="B1" s="1"/>
      <c r="C1" s="1"/>
      <c r="D1" s="268" t="s">
        <v>643</v>
      </c>
      <c r="E1" s="268"/>
      <c r="F1" s="268"/>
      <c r="G1" s="268"/>
      <c r="H1" s="268"/>
      <c r="I1" s="97"/>
      <c r="J1" s="97"/>
    </row>
    <row r="2" spans="1:12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  <c r="J2" s="98"/>
    </row>
    <row r="3" spans="1:12" ht="11.25" customHeight="1"/>
    <row r="4" spans="1:12" ht="15" customHeight="1">
      <c r="H4" s="273" t="s">
        <v>2</v>
      </c>
      <c r="I4" s="273"/>
      <c r="J4" s="273"/>
      <c r="K4" s="167"/>
    </row>
    <row r="5" spans="1:12" ht="31.5" customHeight="1">
      <c r="H5" s="105" t="s">
        <v>45</v>
      </c>
      <c r="I5" s="105" t="s">
        <v>141</v>
      </c>
      <c r="J5" s="105" t="s">
        <v>73</v>
      </c>
      <c r="K5" s="167" t="s">
        <v>71</v>
      </c>
      <c r="L5" s="5"/>
    </row>
    <row r="6" spans="1:12">
      <c r="A6" s="3" t="s">
        <v>4</v>
      </c>
      <c r="D6" s="3"/>
      <c r="G6" s="4"/>
      <c r="H6" s="4"/>
      <c r="I6" s="4"/>
      <c r="J6" s="4"/>
    </row>
    <row r="7" spans="1:12">
      <c r="C7" t="s">
        <v>46</v>
      </c>
      <c r="H7" s="77">
        <v>87216255</v>
      </c>
      <c r="I7" s="83">
        <v>28796008</v>
      </c>
      <c r="J7" s="83">
        <f t="shared" ref="J7:J8" si="0">SUM(H7:I7)</f>
        <v>116012263</v>
      </c>
      <c r="K7" s="83">
        <v>134054012</v>
      </c>
    </row>
    <row r="8" spans="1:12">
      <c r="C8" t="s">
        <v>6</v>
      </c>
      <c r="H8" s="84">
        <v>48447943</v>
      </c>
      <c r="I8" s="83">
        <v>21664299</v>
      </c>
      <c r="J8" s="83">
        <f t="shared" si="0"/>
        <v>70112242</v>
      </c>
      <c r="K8" s="83">
        <v>226707770</v>
      </c>
    </row>
    <row r="9" spans="1:12">
      <c r="C9" t="s">
        <v>47</v>
      </c>
      <c r="H9" s="78">
        <v>13832027</v>
      </c>
      <c r="I9" s="83">
        <v>7344315</v>
      </c>
      <c r="J9" s="83">
        <f t="shared" ref="J9:J14" si="1">SUM(H9:I9)</f>
        <v>21176342</v>
      </c>
      <c r="K9" s="83">
        <v>50495267</v>
      </c>
    </row>
    <row r="10" spans="1:12">
      <c r="C10" t="s">
        <v>76</v>
      </c>
      <c r="H10" s="79">
        <v>1041619</v>
      </c>
      <c r="I10" s="83">
        <v>-1041619</v>
      </c>
      <c r="J10" s="83">
        <f t="shared" si="1"/>
        <v>0</v>
      </c>
      <c r="K10" s="83"/>
    </row>
    <row r="11" spans="1:12">
      <c r="C11" t="s">
        <v>48</v>
      </c>
      <c r="H11" s="90">
        <v>54874043</v>
      </c>
      <c r="I11" s="83">
        <v>10343680</v>
      </c>
      <c r="J11" s="83">
        <f t="shared" si="1"/>
        <v>65217723</v>
      </c>
      <c r="K11" s="83">
        <v>21022390</v>
      </c>
    </row>
    <row r="12" spans="1:12">
      <c r="C12" t="s">
        <v>11</v>
      </c>
      <c r="H12" s="90">
        <v>121923</v>
      </c>
      <c r="I12" s="83"/>
      <c r="J12" s="83">
        <f t="shared" si="1"/>
        <v>121923</v>
      </c>
      <c r="K12" s="83">
        <v>34</v>
      </c>
    </row>
    <row r="13" spans="1:12">
      <c r="C13" t="s">
        <v>158</v>
      </c>
      <c r="H13" s="79">
        <v>1886935</v>
      </c>
      <c r="I13" s="83">
        <v>18941</v>
      </c>
      <c r="J13" s="83">
        <f t="shared" si="1"/>
        <v>1905876</v>
      </c>
      <c r="K13" s="83">
        <v>4682060</v>
      </c>
    </row>
    <row r="14" spans="1:12">
      <c r="C14" t="s">
        <v>78</v>
      </c>
      <c r="H14" s="79">
        <v>1500885</v>
      </c>
      <c r="I14" s="83">
        <v>2622271</v>
      </c>
      <c r="J14" s="83">
        <f t="shared" si="1"/>
        <v>4123156</v>
      </c>
      <c r="K14" s="83">
        <v>9278249</v>
      </c>
    </row>
    <row r="15" spans="1:12">
      <c r="C15" t="s">
        <v>189</v>
      </c>
      <c r="H15" s="83"/>
      <c r="I15" s="83"/>
      <c r="J15" s="83"/>
      <c r="K15" s="83"/>
    </row>
    <row r="16" spans="1:12">
      <c r="D16" t="s">
        <v>46</v>
      </c>
      <c r="H16" s="77">
        <v>293490</v>
      </c>
      <c r="I16" s="83">
        <v>1629233</v>
      </c>
      <c r="J16" s="83">
        <f>SUM(H16:I16)</f>
        <v>1922723</v>
      </c>
      <c r="K16" s="83">
        <v>22793875</v>
      </c>
    </row>
    <row r="17" spans="1:11">
      <c r="D17" t="s">
        <v>6</v>
      </c>
      <c r="H17" s="83"/>
      <c r="I17" s="83">
        <v>950853</v>
      </c>
      <c r="J17" s="83">
        <f>SUM(I17)</f>
        <v>950853</v>
      </c>
      <c r="K17" s="83"/>
    </row>
    <row r="18" spans="1:11">
      <c r="D18" t="s">
        <v>47</v>
      </c>
      <c r="H18" s="83"/>
      <c r="I18" s="83">
        <v>1551</v>
      </c>
      <c r="J18" s="83">
        <f>SUM(I18)</f>
        <v>1551</v>
      </c>
      <c r="K18" s="83"/>
    </row>
    <row r="19" spans="1:11">
      <c r="C19" t="s">
        <v>644</v>
      </c>
      <c r="H19" s="83"/>
      <c r="I19" s="83">
        <v>847732</v>
      </c>
      <c r="J19" s="83">
        <f>SUM(I19)</f>
        <v>847732</v>
      </c>
      <c r="K19" s="83"/>
    </row>
    <row r="20" spans="1:11">
      <c r="C20" t="s">
        <v>12</v>
      </c>
      <c r="H20" s="83"/>
      <c r="I20" s="83"/>
      <c r="J20" s="83">
        <f>SUM(H20:I20)</f>
        <v>0</v>
      </c>
      <c r="K20" s="83"/>
    </row>
    <row r="21" spans="1:11">
      <c r="D21" t="s">
        <v>13</v>
      </c>
      <c r="H21" s="80">
        <v>63841872</v>
      </c>
      <c r="I21" s="83">
        <v>6478790</v>
      </c>
      <c r="J21" s="83">
        <f>SUM(H21:I21)</f>
        <v>70320662</v>
      </c>
      <c r="K21" s="83">
        <v>43007403</v>
      </c>
    </row>
    <row r="22" spans="1:11">
      <c r="D22" t="s">
        <v>14</v>
      </c>
      <c r="H22" s="80">
        <v>257999620</v>
      </c>
      <c r="I22" s="83">
        <v>146155878</v>
      </c>
      <c r="J22" s="83">
        <f>SUM(H22:I22)</f>
        <v>404155498</v>
      </c>
      <c r="K22" s="83">
        <v>624144836</v>
      </c>
    </row>
    <row r="23" spans="1:11">
      <c r="H23" s="81"/>
      <c r="I23" s="81"/>
      <c r="J23" s="81"/>
      <c r="K23" s="81"/>
    </row>
    <row r="24" spans="1:11" s="5" customFormat="1">
      <c r="C24" s="6" t="s">
        <v>15</v>
      </c>
      <c r="D24" s="6"/>
      <c r="E24" s="6"/>
      <c r="F24" s="6"/>
      <c r="G24" s="6"/>
      <c r="H24" s="82">
        <f>SUM(H7:H22)</f>
        <v>531056612</v>
      </c>
      <c r="I24" s="82">
        <f>SUM(I7:I22)</f>
        <v>225811932</v>
      </c>
      <c r="J24" s="82">
        <f>SUM(J7:J22)</f>
        <v>756868544</v>
      </c>
      <c r="K24" s="82">
        <f>SUM(K7:K22)</f>
        <v>1136185896</v>
      </c>
    </row>
    <row r="25" spans="1:11">
      <c r="H25" s="83"/>
      <c r="I25" s="83"/>
      <c r="J25" s="83"/>
      <c r="K25" s="83"/>
    </row>
    <row r="26" spans="1:11" s="5" customFormat="1">
      <c r="A26" s="5" t="s">
        <v>16</v>
      </c>
      <c r="H26" s="100">
        <v>87484</v>
      </c>
      <c r="I26" s="100"/>
      <c r="J26" s="100">
        <f>SUM(H26:I26)</f>
        <v>87484</v>
      </c>
      <c r="K26" s="100">
        <v>486142</v>
      </c>
    </row>
    <row r="27" spans="1:11">
      <c r="H27" s="81"/>
      <c r="I27" s="81"/>
      <c r="J27" s="81"/>
      <c r="K27" s="81"/>
    </row>
    <row r="28" spans="1:11">
      <c r="A28" s="5" t="s">
        <v>52</v>
      </c>
      <c r="H28" s="83"/>
      <c r="I28" s="83"/>
      <c r="J28" s="83"/>
      <c r="K28" s="83"/>
    </row>
    <row r="29" spans="1:11">
      <c r="A29" s="5"/>
      <c r="C29" t="s">
        <v>247</v>
      </c>
      <c r="H29" s="84">
        <v>18519832</v>
      </c>
      <c r="I29" s="83">
        <v>5427692</v>
      </c>
      <c r="J29" s="83">
        <f t="shared" ref="J29:J36" si="2">SUM(H29:I29)</f>
        <v>23947524</v>
      </c>
      <c r="K29" s="83">
        <v>50411666</v>
      </c>
    </row>
    <row r="30" spans="1:11">
      <c r="C30" t="s">
        <v>24</v>
      </c>
      <c r="H30" s="84">
        <v>1385524</v>
      </c>
      <c r="I30" s="83"/>
      <c r="J30" s="83">
        <f t="shared" si="2"/>
        <v>1385524</v>
      </c>
      <c r="K30" s="83"/>
    </row>
    <row r="31" spans="1:11">
      <c r="C31" t="s">
        <v>232</v>
      </c>
      <c r="H31" s="96">
        <v>1761268</v>
      </c>
      <c r="I31" s="83">
        <v>174177</v>
      </c>
      <c r="J31" s="83">
        <f t="shared" si="2"/>
        <v>1935445</v>
      </c>
      <c r="K31" s="83">
        <v>798744</v>
      </c>
    </row>
    <row r="32" spans="1:11">
      <c r="C32" t="s">
        <v>164</v>
      </c>
      <c r="H32" s="96">
        <v>34</v>
      </c>
      <c r="I32" s="83"/>
      <c r="J32" s="83">
        <f t="shared" si="2"/>
        <v>34</v>
      </c>
      <c r="K32" s="83">
        <v>121923</v>
      </c>
    </row>
    <row r="33" spans="1:11">
      <c r="C33" t="s">
        <v>645</v>
      </c>
      <c r="H33" s="79">
        <v>28200172</v>
      </c>
      <c r="I33" s="83">
        <v>10422956</v>
      </c>
      <c r="J33" s="83">
        <f t="shared" si="2"/>
        <v>38623128</v>
      </c>
      <c r="K33" s="83">
        <v>21706491</v>
      </c>
    </row>
    <row r="34" spans="1:11">
      <c r="C34" t="s">
        <v>646</v>
      </c>
      <c r="H34" s="96">
        <v>8922173</v>
      </c>
      <c r="I34" s="83"/>
      <c r="J34" s="83">
        <f t="shared" si="2"/>
        <v>8922173</v>
      </c>
      <c r="K34" s="83"/>
    </row>
    <row r="35" spans="1:11">
      <c r="C35" t="s">
        <v>194</v>
      </c>
      <c r="H35" s="84">
        <v>133229</v>
      </c>
      <c r="I35" s="83">
        <v>1093033</v>
      </c>
      <c r="J35" s="83">
        <f t="shared" si="2"/>
        <v>1226262</v>
      </c>
      <c r="K35" s="83"/>
    </row>
    <row r="36" spans="1:11">
      <c r="C36" t="s">
        <v>166</v>
      </c>
      <c r="H36" s="83"/>
      <c r="I36" s="83"/>
      <c r="J36" s="83">
        <f t="shared" si="2"/>
        <v>0</v>
      </c>
      <c r="K36" s="83"/>
    </row>
    <row r="37" spans="1:11">
      <c r="D37" t="s">
        <v>88</v>
      </c>
      <c r="H37" s="92">
        <v>6514089</v>
      </c>
      <c r="I37" s="83">
        <v>1347278</v>
      </c>
      <c r="J37" s="83">
        <f>SUM(H37:I37)</f>
        <v>7861367</v>
      </c>
      <c r="K37" s="83">
        <v>7329868</v>
      </c>
    </row>
    <row r="38" spans="1:11">
      <c r="D38" t="s">
        <v>89</v>
      </c>
      <c r="H38" s="77">
        <v>119868844</v>
      </c>
      <c r="I38" s="83">
        <v>16975400</v>
      </c>
      <c r="J38" s="83">
        <f>SUM(H38:I38)</f>
        <v>136844244</v>
      </c>
      <c r="K38" s="83">
        <v>204421295</v>
      </c>
    </row>
    <row r="39" spans="1:11">
      <c r="H39" s="81"/>
      <c r="I39" s="81"/>
      <c r="J39" s="81"/>
      <c r="K39" s="81"/>
    </row>
    <row r="40" spans="1:11">
      <c r="D40" s="7" t="s">
        <v>33</v>
      </c>
      <c r="E40" s="8"/>
      <c r="F40" s="8"/>
      <c r="G40" s="8"/>
      <c r="H40" s="87">
        <f>SUM(H29:H38)</f>
        <v>185305165</v>
      </c>
      <c r="I40" s="87">
        <f>SUM(I29:I38)</f>
        <v>35440536</v>
      </c>
      <c r="J40" s="87">
        <f>SUM(J29:J38)</f>
        <v>220745701</v>
      </c>
      <c r="K40" s="87">
        <f>SUM(K29:K38)</f>
        <v>284789987</v>
      </c>
    </row>
    <row r="41" spans="1:11">
      <c r="H41" s="83"/>
      <c r="I41" s="83"/>
      <c r="J41" s="83"/>
      <c r="K41" s="83"/>
    </row>
    <row r="42" spans="1:11">
      <c r="A42" s="5" t="s">
        <v>91</v>
      </c>
      <c r="H42" s="100"/>
      <c r="I42" s="100"/>
      <c r="J42" s="100">
        <f>SUM(H42:I42)</f>
        <v>0</v>
      </c>
      <c r="K42" s="100">
        <v>99902</v>
      </c>
    </row>
    <row r="43" spans="1:11">
      <c r="H43" s="81"/>
      <c r="I43" s="81"/>
      <c r="J43" s="81"/>
      <c r="K43" s="81"/>
    </row>
    <row r="44" spans="1:11">
      <c r="A44" s="3" t="s">
        <v>35</v>
      </c>
      <c r="H44" s="83"/>
      <c r="I44" s="83"/>
      <c r="J44" s="83"/>
      <c r="K44" s="83"/>
    </row>
    <row r="45" spans="1:11">
      <c r="B45" t="s">
        <v>430</v>
      </c>
      <c r="H45" s="88">
        <v>260584619</v>
      </c>
      <c r="I45" s="83">
        <v>138795447</v>
      </c>
      <c r="J45" s="83">
        <f>SUM(H45:I45)</f>
        <v>399380066</v>
      </c>
      <c r="K45" s="83">
        <v>552430144</v>
      </c>
    </row>
    <row r="46" spans="1:11">
      <c r="B46" t="s">
        <v>37</v>
      </c>
      <c r="H46" s="83"/>
      <c r="I46" s="83"/>
      <c r="J46" s="83">
        <f>SUM(H46:I46)</f>
        <v>0</v>
      </c>
      <c r="K46" s="83"/>
    </row>
    <row r="47" spans="1:11">
      <c r="C47" t="s">
        <v>647</v>
      </c>
      <c r="H47" s="89">
        <v>205697</v>
      </c>
      <c r="I47" s="83"/>
      <c r="J47" s="83">
        <f>SUM(H47:I47)</f>
        <v>205697</v>
      </c>
      <c r="K47" s="83"/>
    </row>
    <row r="48" spans="1:11">
      <c r="C48" t="s">
        <v>648</v>
      </c>
      <c r="H48" s="89">
        <v>12786358</v>
      </c>
      <c r="I48" s="83"/>
      <c r="J48" s="83">
        <f>SUM(H48)</f>
        <v>12786358</v>
      </c>
      <c r="K48" s="83"/>
    </row>
    <row r="49" spans="2:11">
      <c r="C49" t="s">
        <v>39</v>
      </c>
      <c r="H49" s="89">
        <v>24128226</v>
      </c>
      <c r="I49" s="83"/>
      <c r="J49" s="83">
        <f>SUM(H49)</f>
        <v>24128226</v>
      </c>
      <c r="K49" s="83">
        <v>13233633</v>
      </c>
    </row>
    <row r="50" spans="2:11">
      <c r="C50" t="s">
        <v>38</v>
      </c>
      <c r="H50" s="89">
        <v>15959753</v>
      </c>
      <c r="I50" s="83"/>
      <c r="J50" s="83">
        <f>SUM(H50:I50)</f>
        <v>15959753</v>
      </c>
      <c r="K50" s="83">
        <v>13478781</v>
      </c>
    </row>
    <row r="51" spans="2:11">
      <c r="C51" t="s">
        <v>65</v>
      </c>
      <c r="H51" s="89">
        <v>5501375</v>
      </c>
      <c r="I51" s="83"/>
      <c r="J51" s="83">
        <f>SUM(H51)</f>
        <v>5501375</v>
      </c>
      <c r="K51" s="83"/>
    </row>
    <row r="52" spans="2:11">
      <c r="C52" t="s">
        <v>649</v>
      </c>
      <c r="H52" s="89">
        <v>550091</v>
      </c>
      <c r="I52" s="83"/>
      <c r="J52" s="83">
        <f>SUM(H52)</f>
        <v>550091</v>
      </c>
      <c r="K52" s="83"/>
    </row>
    <row r="53" spans="2:11">
      <c r="C53" t="s">
        <v>650</v>
      </c>
      <c r="H53" s="89">
        <v>2350740</v>
      </c>
      <c r="I53" s="83"/>
      <c r="J53" s="83">
        <f>SUM(H53)</f>
        <v>2350740</v>
      </c>
      <c r="K53" s="83"/>
    </row>
    <row r="54" spans="2:11">
      <c r="C54" t="s">
        <v>66</v>
      </c>
      <c r="H54" s="89">
        <v>3594039</v>
      </c>
      <c r="I54" s="83"/>
      <c r="J54" s="83">
        <f>SUM(H54)</f>
        <v>3594039</v>
      </c>
      <c r="K54" s="83"/>
    </row>
    <row r="55" spans="2:11">
      <c r="C55" t="s">
        <v>651</v>
      </c>
      <c r="H55" s="83"/>
      <c r="I55" s="83">
        <v>33819486</v>
      </c>
      <c r="J55" s="83">
        <f>SUM(I55)</f>
        <v>33819486</v>
      </c>
      <c r="K55" s="83"/>
    </row>
    <row r="56" spans="2:11">
      <c r="C56" t="s">
        <v>652</v>
      </c>
      <c r="H56" s="83"/>
      <c r="I56" s="83">
        <v>362749</v>
      </c>
      <c r="J56" s="83">
        <f>SUM(I56)</f>
        <v>362749</v>
      </c>
      <c r="K56" s="83"/>
    </row>
    <row r="57" spans="2:11">
      <c r="C57" t="s">
        <v>67</v>
      </c>
      <c r="H57" s="83"/>
      <c r="I57" s="83">
        <v>17610966</v>
      </c>
      <c r="J57" s="83">
        <f>SUM(I57)</f>
        <v>17610966</v>
      </c>
      <c r="K57" s="83"/>
    </row>
    <row r="58" spans="2:11">
      <c r="C58" t="s">
        <v>40</v>
      </c>
      <c r="H58" s="83"/>
      <c r="I58" s="83"/>
      <c r="J58" s="83"/>
      <c r="K58" s="83">
        <v>6259410</v>
      </c>
    </row>
    <row r="59" spans="2:11">
      <c r="B59" t="s">
        <v>125</v>
      </c>
      <c r="H59" s="93">
        <v>20178033</v>
      </c>
      <c r="I59" s="83">
        <v>-217252</v>
      </c>
      <c r="J59" s="83">
        <f>SUM(H59:I59)</f>
        <v>19960781</v>
      </c>
      <c r="K59" s="83">
        <v>266380181</v>
      </c>
    </row>
    <row r="60" spans="2:11">
      <c r="H60" s="81"/>
      <c r="I60" s="81"/>
      <c r="J60" s="81"/>
      <c r="K60" s="81"/>
    </row>
    <row r="61" spans="2:11" s="3" customFormat="1">
      <c r="C61" s="9" t="s">
        <v>42</v>
      </c>
      <c r="D61" s="9"/>
      <c r="E61" s="9"/>
      <c r="F61" s="9"/>
      <c r="G61" s="9"/>
      <c r="H61" s="94">
        <f>SUM(H45:H59)</f>
        <v>345838931</v>
      </c>
      <c r="I61" s="94">
        <f>SUM(I45:I59)</f>
        <v>190371396</v>
      </c>
      <c r="J61" s="94">
        <f>SUM(J45:J59)</f>
        <v>536210327</v>
      </c>
      <c r="K61" s="94">
        <f>SUM(K44:K59)</f>
        <v>851782149</v>
      </c>
    </row>
    <row r="62" spans="2:11">
      <c r="H62" s="83"/>
      <c r="I62" s="83"/>
      <c r="J62" s="83"/>
      <c r="K62" s="83"/>
    </row>
    <row r="63" spans="2:11">
      <c r="C63" s="10" t="s">
        <v>43</v>
      </c>
      <c r="D63" s="10"/>
      <c r="E63" s="10"/>
      <c r="F63" s="227"/>
      <c r="G63" s="227"/>
      <c r="H63" s="227">
        <f>H61+H40</f>
        <v>531144096</v>
      </c>
      <c r="I63" s="227">
        <f t="shared" ref="I63:K63" si="3">I61+I40</f>
        <v>225811932</v>
      </c>
      <c r="J63" s="227">
        <f t="shared" si="3"/>
        <v>756956028</v>
      </c>
      <c r="K63" s="227">
        <f t="shared" si="3"/>
        <v>1136572136</v>
      </c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33"/>
  <sheetViews>
    <sheetView workbookViewId="0">
      <selection activeCell="B33" sqref="B33:G33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653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1972756</v>
      </c>
    </row>
    <row r="7" spans="1:7">
      <c r="B7" t="s">
        <v>47</v>
      </c>
      <c r="G7" s="78">
        <v>1413886</v>
      </c>
    </row>
    <row r="8" spans="1:7">
      <c r="B8" t="s">
        <v>654</v>
      </c>
      <c r="G8" s="83"/>
    </row>
    <row r="9" spans="1:7">
      <c r="C9" t="s">
        <v>655</v>
      </c>
      <c r="G9" s="79">
        <v>980324</v>
      </c>
    </row>
    <row r="10" spans="1:7">
      <c r="B10" t="s">
        <v>77</v>
      </c>
      <c r="G10" s="79">
        <v>24008</v>
      </c>
    </row>
    <row r="11" spans="1:7">
      <c r="B11" t="s">
        <v>119</v>
      </c>
      <c r="G11" s="91">
        <v>8654948</v>
      </c>
    </row>
    <row r="12" spans="1:7">
      <c r="G12" s="83"/>
    </row>
    <row r="13" spans="1:7">
      <c r="A13" s="5"/>
      <c r="B13" s="6" t="s">
        <v>15</v>
      </c>
      <c r="C13" s="6"/>
      <c r="D13" s="6"/>
      <c r="E13" s="6"/>
      <c r="F13" s="6"/>
      <c r="G13" s="82">
        <f>SUM(G6:G11)</f>
        <v>13045922</v>
      </c>
    </row>
    <row r="14" spans="1:7">
      <c r="G14" s="83"/>
    </row>
    <row r="15" spans="1:7">
      <c r="A15" s="5" t="s">
        <v>52</v>
      </c>
      <c r="G15" s="83"/>
    </row>
    <row r="16" spans="1:7">
      <c r="A16" s="5"/>
      <c r="B16" t="s">
        <v>133</v>
      </c>
      <c r="G16" s="84">
        <v>186567</v>
      </c>
    </row>
    <row r="17" spans="1:7">
      <c r="B17" t="s">
        <v>656</v>
      </c>
      <c r="G17" s="96">
        <v>52119</v>
      </c>
    </row>
    <row r="18" spans="1:7">
      <c r="B18" t="s">
        <v>109</v>
      </c>
      <c r="G18" s="83"/>
    </row>
    <row r="19" spans="1:7">
      <c r="C19" t="s">
        <v>88</v>
      </c>
      <c r="G19" s="92">
        <v>66912</v>
      </c>
    </row>
    <row r="20" spans="1:7">
      <c r="C20" t="s">
        <v>89</v>
      </c>
      <c r="G20" s="77">
        <v>1429057</v>
      </c>
    </row>
    <row r="21" spans="1:7">
      <c r="G21" s="81"/>
    </row>
    <row r="22" spans="1:7">
      <c r="C22" s="7" t="s">
        <v>33</v>
      </c>
      <c r="D22" s="8"/>
      <c r="E22" s="8"/>
      <c r="F22" s="8"/>
      <c r="G22" s="87">
        <f>SUM(G16:G20)</f>
        <v>1734655</v>
      </c>
    </row>
    <row r="23" spans="1:7">
      <c r="G23" s="83"/>
    </row>
    <row r="24" spans="1:7">
      <c r="A24" s="3" t="s">
        <v>35</v>
      </c>
      <c r="G24" s="83"/>
    </row>
    <row r="25" spans="1:7">
      <c r="B25" t="s">
        <v>61</v>
      </c>
      <c r="G25" s="88">
        <v>7158979</v>
      </c>
    </row>
    <row r="26" spans="1:7">
      <c r="B26" t="s">
        <v>37</v>
      </c>
      <c r="G26" s="83"/>
    </row>
    <row r="27" spans="1:7">
      <c r="C27" t="s">
        <v>38</v>
      </c>
      <c r="G27" s="89">
        <v>24008</v>
      </c>
    </row>
    <row r="28" spans="1:7">
      <c r="C28" t="s">
        <v>335</v>
      </c>
      <c r="G28" s="89">
        <v>980324</v>
      </c>
    </row>
    <row r="29" spans="1:7">
      <c r="B29" t="s">
        <v>69</v>
      </c>
      <c r="G29" s="93">
        <v>3147956</v>
      </c>
    </row>
    <row r="30" spans="1:7">
      <c r="G30" s="81"/>
    </row>
    <row r="31" spans="1:7">
      <c r="A31" s="3"/>
      <c r="B31" s="9" t="s">
        <v>42</v>
      </c>
      <c r="C31" s="9"/>
      <c r="D31" s="9"/>
      <c r="E31" s="9"/>
      <c r="F31" s="9"/>
      <c r="G31" s="94">
        <f>SUM(G25:G29)</f>
        <v>11311267</v>
      </c>
    </row>
    <row r="32" spans="1:7">
      <c r="G32" s="83"/>
    </row>
    <row r="33" spans="2:7">
      <c r="B33" s="10" t="s">
        <v>43</v>
      </c>
      <c r="C33" s="10"/>
      <c r="D33" s="10"/>
      <c r="E33" s="227"/>
      <c r="F33" s="227"/>
      <c r="G33" s="227">
        <f>G31+G22</f>
        <v>13045922</v>
      </c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38"/>
  <sheetViews>
    <sheetView workbookViewId="0">
      <selection activeCell="G38" sqref="G38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2.42578125" customWidth="1"/>
    <col min="6" max="6" width="26.42578125" customWidth="1"/>
    <col min="7" max="7" width="17.140625" customWidth="1"/>
  </cols>
  <sheetData>
    <row r="1" spans="1:7" ht="18.600000000000001">
      <c r="A1" s="1"/>
      <c r="B1" s="1"/>
      <c r="C1" s="268" t="s">
        <v>657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4" spans="1:7" ht="29.1">
      <c r="G4" s="2" t="s">
        <v>45</v>
      </c>
    </row>
    <row r="5" spans="1:7">
      <c r="A5" s="3" t="s">
        <v>4</v>
      </c>
      <c r="C5" s="3"/>
      <c r="F5" s="4"/>
      <c r="G5" s="4"/>
    </row>
    <row r="6" spans="1:7">
      <c r="B6" t="s">
        <v>46</v>
      </c>
      <c r="G6" s="77">
        <v>6259472</v>
      </c>
    </row>
    <row r="7" spans="1:7">
      <c r="B7" t="s">
        <v>6</v>
      </c>
      <c r="G7" s="84">
        <v>7413268</v>
      </c>
    </row>
    <row r="8" spans="1:7">
      <c r="B8" t="s">
        <v>47</v>
      </c>
      <c r="G8" s="78">
        <v>4642781</v>
      </c>
    </row>
    <row r="9" spans="1:7">
      <c r="B9" t="s">
        <v>51</v>
      </c>
      <c r="G9" s="91">
        <v>12227890</v>
      </c>
    </row>
    <row r="10" spans="1:7">
      <c r="G10" s="83"/>
    </row>
    <row r="11" spans="1:7">
      <c r="A11" s="5"/>
      <c r="B11" s="6" t="s">
        <v>15</v>
      </c>
      <c r="C11" s="6"/>
      <c r="D11" s="6"/>
      <c r="E11" s="6"/>
      <c r="F11" s="6"/>
      <c r="G11" s="82">
        <f>SUM(G6:G9)</f>
        <v>30543411</v>
      </c>
    </row>
    <row r="12" spans="1:7">
      <c r="G12" s="83"/>
    </row>
    <row r="13" spans="1:7">
      <c r="A13" s="5" t="s">
        <v>52</v>
      </c>
      <c r="G13" s="83"/>
    </row>
    <row r="14" spans="1:7">
      <c r="A14" s="5"/>
      <c r="B14" t="s">
        <v>274</v>
      </c>
      <c r="G14" s="79">
        <v>1158594</v>
      </c>
    </row>
    <row r="15" spans="1:7">
      <c r="A15" s="5"/>
      <c r="B15" t="s">
        <v>421</v>
      </c>
      <c r="G15" s="84">
        <v>911561</v>
      </c>
    </row>
    <row r="16" spans="1:7">
      <c r="B16" t="s">
        <v>294</v>
      </c>
      <c r="G16" s="96">
        <v>30838</v>
      </c>
    </row>
    <row r="17" spans="1:7">
      <c r="B17" t="s">
        <v>29</v>
      </c>
      <c r="G17" s="86">
        <v>355020</v>
      </c>
    </row>
    <row r="18" spans="1:7">
      <c r="B18" t="s">
        <v>181</v>
      </c>
      <c r="G18" s="92">
        <v>222837</v>
      </c>
    </row>
    <row r="19" spans="1:7">
      <c r="B19" t="s">
        <v>658</v>
      </c>
      <c r="G19" s="77">
        <v>180000</v>
      </c>
    </row>
    <row r="20" spans="1:7">
      <c r="B20" t="s">
        <v>659</v>
      </c>
      <c r="G20" s="85">
        <v>18000</v>
      </c>
    </row>
    <row r="21" spans="1:7">
      <c r="B21" t="s">
        <v>660</v>
      </c>
      <c r="G21" s="78">
        <v>217000</v>
      </c>
    </row>
    <row r="22" spans="1:7">
      <c r="B22" t="s">
        <v>289</v>
      </c>
      <c r="G22" s="79">
        <v>1246380</v>
      </c>
    </row>
    <row r="23" spans="1:7">
      <c r="B23" t="s">
        <v>661</v>
      </c>
      <c r="G23" s="79">
        <v>6065277</v>
      </c>
    </row>
    <row r="24" spans="1:7">
      <c r="G24" s="81"/>
    </row>
    <row r="25" spans="1:7">
      <c r="C25" s="7" t="s">
        <v>33</v>
      </c>
      <c r="D25" s="8"/>
      <c r="E25" s="8"/>
      <c r="F25" s="8"/>
      <c r="G25" s="87">
        <f>SUM(G14:G23)</f>
        <v>10405507</v>
      </c>
    </row>
    <row r="26" spans="1:7">
      <c r="G26" s="83"/>
    </row>
    <row r="27" spans="1:7">
      <c r="A27" s="5" t="s">
        <v>183</v>
      </c>
      <c r="G27" s="83"/>
    </row>
    <row r="28" spans="1:7">
      <c r="B28" t="s">
        <v>184</v>
      </c>
      <c r="G28" s="122">
        <v>14194</v>
      </c>
    </row>
    <row r="29" spans="1:7">
      <c r="G29" s="83"/>
    </row>
    <row r="30" spans="1:7">
      <c r="A30" s="3" t="s">
        <v>35</v>
      </c>
      <c r="G30" s="83"/>
    </row>
    <row r="31" spans="1:7">
      <c r="B31" t="s">
        <v>96</v>
      </c>
      <c r="G31" s="88">
        <v>11812890</v>
      </c>
    </row>
    <row r="32" spans="1:7">
      <c r="B32" t="s">
        <v>662</v>
      </c>
      <c r="G32" s="89">
        <v>5000081</v>
      </c>
    </row>
    <row r="33" spans="1:7">
      <c r="B33" t="s">
        <v>69</v>
      </c>
      <c r="G33" s="93">
        <v>3310739</v>
      </c>
    </row>
    <row r="34" spans="1:7">
      <c r="G34" s="81"/>
    </row>
    <row r="35" spans="1:7">
      <c r="A35" s="3"/>
      <c r="B35" s="9" t="s">
        <v>42</v>
      </c>
      <c r="C35" s="9"/>
      <c r="D35" s="9"/>
      <c r="E35" s="9"/>
      <c r="F35" s="9"/>
      <c r="G35" s="94">
        <f>SUM(G31:G33)</f>
        <v>20123710</v>
      </c>
    </row>
    <row r="36" spans="1:7">
      <c r="G36" s="83"/>
    </row>
    <row r="37" spans="1:7">
      <c r="A37" s="3"/>
      <c r="B37" s="10" t="s">
        <v>43</v>
      </c>
      <c r="C37" s="10"/>
      <c r="D37" s="10"/>
      <c r="E37" s="10"/>
      <c r="F37" s="10"/>
      <c r="G37" s="95">
        <f>G35+G25</f>
        <v>30529217</v>
      </c>
    </row>
    <row r="38" spans="1:7">
      <c r="G38" s="83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41"/>
  <sheetViews>
    <sheetView zoomScale="80" zoomScaleNormal="80" zoomScalePageLayoutView="80" workbookViewId="0">
      <selection activeCell="C41" sqref="C41:J41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4257812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68" t="s">
        <v>663</v>
      </c>
      <c r="E1" s="268"/>
      <c r="F1" s="268"/>
      <c r="G1" s="268"/>
      <c r="H1" s="268"/>
      <c r="I1" s="97"/>
    </row>
    <row r="2" spans="1:11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</row>
    <row r="3" spans="1:11" ht="15.75" customHeight="1">
      <c r="A3" s="1"/>
      <c r="B3" s="1"/>
      <c r="C3" s="1"/>
      <c r="D3" s="98"/>
      <c r="E3" s="98"/>
      <c r="F3" s="98"/>
      <c r="G3" s="98"/>
      <c r="H3" s="98"/>
      <c r="I3" s="98"/>
    </row>
    <row r="4" spans="1:11" ht="29.1">
      <c r="H4" s="178" t="s">
        <v>2</v>
      </c>
      <c r="I4" s="277" t="s">
        <v>3</v>
      </c>
      <c r="J4" s="277"/>
    </row>
    <row r="5" spans="1:11" ht="31.5" customHeight="1">
      <c r="H5" s="105" t="s">
        <v>45</v>
      </c>
      <c r="I5" s="105" t="s">
        <v>664</v>
      </c>
      <c r="J5" s="106" t="s">
        <v>665</v>
      </c>
      <c r="K5" s="5"/>
    </row>
    <row r="6" spans="1:11">
      <c r="A6" s="3" t="s">
        <v>4</v>
      </c>
      <c r="D6" s="3"/>
      <c r="G6" s="4"/>
      <c r="H6" s="4"/>
      <c r="I6" s="4"/>
    </row>
    <row r="7" spans="1:11">
      <c r="C7" t="s">
        <v>112</v>
      </c>
      <c r="H7" s="77">
        <v>59064295</v>
      </c>
      <c r="I7" s="83">
        <v>52661</v>
      </c>
      <c r="J7" s="83">
        <v>233378</v>
      </c>
    </row>
    <row r="8" spans="1:11">
      <c r="C8" t="s">
        <v>113</v>
      </c>
      <c r="H8" s="78">
        <v>577792</v>
      </c>
      <c r="I8" s="83"/>
      <c r="J8" s="83">
        <v>100</v>
      </c>
    </row>
    <row r="9" spans="1:11">
      <c r="C9" t="s">
        <v>410</v>
      </c>
      <c r="H9" s="90">
        <v>630</v>
      </c>
      <c r="I9" s="83"/>
      <c r="J9" s="83"/>
    </row>
    <row r="10" spans="1:11">
      <c r="C10" t="s">
        <v>114</v>
      </c>
      <c r="H10" s="90">
        <v>10124905</v>
      </c>
      <c r="I10" s="83">
        <v>185109</v>
      </c>
      <c r="J10" s="83">
        <v>10594</v>
      </c>
    </row>
    <row r="11" spans="1:11">
      <c r="C11" t="s">
        <v>143</v>
      </c>
      <c r="H11" s="79">
        <v>25907</v>
      </c>
      <c r="I11" s="83"/>
      <c r="J11" s="83"/>
    </row>
    <row r="12" spans="1:11">
      <c r="C12" t="s">
        <v>119</v>
      </c>
      <c r="H12" s="80">
        <v>81804386</v>
      </c>
      <c r="I12" s="83"/>
      <c r="J12" s="83"/>
    </row>
    <row r="13" spans="1:11">
      <c r="H13" s="81"/>
      <c r="I13" s="81"/>
      <c r="J13" s="81"/>
    </row>
    <row r="14" spans="1:11" s="5" customFormat="1">
      <c r="C14" s="6" t="s">
        <v>15</v>
      </c>
      <c r="D14" s="6"/>
      <c r="E14" s="6"/>
      <c r="F14" s="6"/>
      <c r="G14" s="6"/>
      <c r="H14" s="82">
        <f>SUM(H7:H12)</f>
        <v>151597915</v>
      </c>
      <c r="I14" s="82">
        <f>SUM(I7:I12)</f>
        <v>237770</v>
      </c>
      <c r="J14" s="82">
        <f>SUM(J7:J12)</f>
        <v>244072</v>
      </c>
    </row>
    <row r="15" spans="1:11">
      <c r="H15" s="83"/>
      <c r="I15" s="83"/>
      <c r="J15" s="83"/>
    </row>
    <row r="16" spans="1:11">
      <c r="A16" s="5" t="s">
        <v>52</v>
      </c>
      <c r="H16" s="83"/>
      <c r="I16" s="83"/>
      <c r="J16" s="83"/>
    </row>
    <row r="17" spans="1:10">
      <c r="C17" t="s">
        <v>275</v>
      </c>
      <c r="H17" s="84">
        <v>3272834</v>
      </c>
      <c r="I17" s="83">
        <v>30738</v>
      </c>
      <c r="J17" s="83">
        <v>18898</v>
      </c>
    </row>
    <row r="18" spans="1:10">
      <c r="C18" t="s">
        <v>82</v>
      </c>
      <c r="H18" s="151">
        <v>631824</v>
      </c>
      <c r="I18" s="83"/>
      <c r="J18" s="83"/>
    </row>
    <row r="19" spans="1:10">
      <c r="C19" t="s">
        <v>21</v>
      </c>
      <c r="H19" s="151">
        <v>123311</v>
      </c>
      <c r="I19" s="83"/>
      <c r="J19" s="83"/>
    </row>
    <row r="20" spans="1:10">
      <c r="C20" t="s">
        <v>25</v>
      </c>
      <c r="H20" s="128"/>
      <c r="I20" s="83">
        <v>630</v>
      </c>
      <c r="J20" s="83"/>
    </row>
    <row r="21" spans="1:10">
      <c r="C21" t="s">
        <v>24</v>
      </c>
      <c r="H21" s="151">
        <v>26561</v>
      </c>
      <c r="I21" s="83"/>
      <c r="J21" s="83"/>
    </row>
    <row r="22" spans="1:10">
      <c r="C22" t="s">
        <v>109</v>
      </c>
      <c r="H22" s="83"/>
      <c r="I22" s="83"/>
      <c r="J22" s="83"/>
    </row>
    <row r="23" spans="1:10">
      <c r="D23" t="s">
        <v>309</v>
      </c>
      <c r="H23" s="79">
        <v>1497605</v>
      </c>
      <c r="I23" s="83"/>
      <c r="J23" s="83"/>
    </row>
    <row r="24" spans="1:10" s="5" customFormat="1">
      <c r="C24"/>
      <c r="D24" t="s">
        <v>88</v>
      </c>
      <c r="H24" s="92">
        <v>375000</v>
      </c>
      <c r="I24" s="100"/>
      <c r="J24" s="83"/>
    </row>
    <row r="25" spans="1:10" s="5" customFormat="1">
      <c r="C25"/>
      <c r="D25" t="s">
        <v>89</v>
      </c>
      <c r="H25" s="77">
        <v>3355287</v>
      </c>
      <c r="I25" s="100"/>
      <c r="J25" s="83"/>
    </row>
    <row r="26" spans="1:10">
      <c r="H26" s="81"/>
      <c r="I26" s="81"/>
      <c r="J26" s="81"/>
    </row>
    <row r="27" spans="1:10">
      <c r="D27" s="7" t="s">
        <v>33</v>
      </c>
      <c r="E27" s="8"/>
      <c r="F27" s="8"/>
      <c r="G27" s="8"/>
      <c r="H27" s="87">
        <f>SUM(H17:H25)</f>
        <v>9282422</v>
      </c>
      <c r="I27" s="87">
        <f>SUM(I17:I25)</f>
        <v>31368</v>
      </c>
      <c r="J27" s="87">
        <f>SUM(J17:J25)</f>
        <v>18898</v>
      </c>
    </row>
    <row r="28" spans="1:10">
      <c r="H28" s="83"/>
      <c r="I28" s="83"/>
      <c r="J28" s="83"/>
    </row>
    <row r="29" spans="1:10">
      <c r="A29" s="5" t="s">
        <v>195</v>
      </c>
      <c r="H29" s="83"/>
      <c r="I29" s="83"/>
      <c r="J29" s="83"/>
    </row>
    <row r="30" spans="1:10">
      <c r="C30" t="s">
        <v>209</v>
      </c>
      <c r="H30" s="122">
        <v>1086595</v>
      </c>
      <c r="I30" s="122"/>
      <c r="J30" s="122"/>
    </row>
    <row r="31" spans="1:10">
      <c r="H31" s="83"/>
      <c r="I31" s="83"/>
      <c r="J31" s="83"/>
    </row>
    <row r="32" spans="1:10">
      <c r="A32" s="3" t="s">
        <v>35</v>
      </c>
      <c r="H32" s="83"/>
      <c r="I32" s="83"/>
      <c r="J32" s="83"/>
    </row>
    <row r="33" spans="2:10">
      <c r="B33" t="s">
        <v>96</v>
      </c>
      <c r="H33" s="88">
        <v>80040061</v>
      </c>
      <c r="I33" s="83"/>
      <c r="J33" s="83"/>
    </row>
    <row r="34" spans="2:10">
      <c r="B34" t="s">
        <v>37</v>
      </c>
      <c r="H34" s="83"/>
      <c r="I34" s="83"/>
      <c r="J34" s="83"/>
    </row>
    <row r="35" spans="2:10">
      <c r="C35" t="s">
        <v>38</v>
      </c>
      <c r="H35" s="89">
        <v>1503470</v>
      </c>
      <c r="I35" s="83"/>
      <c r="J35" s="83"/>
    </row>
    <row r="36" spans="2:10">
      <c r="C36" t="s">
        <v>40</v>
      </c>
      <c r="H36" s="89">
        <v>39450794</v>
      </c>
    </row>
    <row r="37" spans="2:10">
      <c r="B37" t="s">
        <v>69</v>
      </c>
      <c r="H37" s="93">
        <v>20234573</v>
      </c>
      <c r="I37" s="83">
        <v>206402</v>
      </c>
      <c r="J37" s="83">
        <v>225174</v>
      </c>
    </row>
    <row r="38" spans="2:10">
      <c r="H38" s="81"/>
      <c r="I38" s="81"/>
      <c r="J38" s="81"/>
    </row>
    <row r="39" spans="2:10" s="3" customFormat="1">
      <c r="C39" s="9" t="s">
        <v>42</v>
      </c>
      <c r="D39" s="9"/>
      <c r="E39" s="9"/>
      <c r="F39" s="9"/>
      <c r="G39" s="9"/>
      <c r="H39" s="94">
        <f>SUM(H33:H37)</f>
        <v>141228898</v>
      </c>
      <c r="I39" s="94">
        <f>SUM(I33:I37)</f>
        <v>206402</v>
      </c>
      <c r="J39" s="94">
        <f>SUM(J32:J37)</f>
        <v>225174</v>
      </c>
    </row>
    <row r="40" spans="2:10">
      <c r="H40" s="83"/>
      <c r="I40" s="83"/>
      <c r="J40" s="83"/>
    </row>
    <row r="41" spans="2:10">
      <c r="C41" s="10" t="s">
        <v>43</v>
      </c>
      <c r="D41" s="10"/>
      <c r="E41" s="10"/>
      <c r="F41" s="227"/>
      <c r="G41" s="227"/>
      <c r="H41" s="227">
        <f>H39+H27</f>
        <v>150511320</v>
      </c>
      <c r="I41" s="227">
        <f t="shared" ref="I41:J41" si="0">I39+I27</f>
        <v>237770</v>
      </c>
      <c r="J41" s="227">
        <f t="shared" si="0"/>
        <v>244072</v>
      </c>
    </row>
  </sheetData>
  <mergeCells count="3">
    <mergeCell ref="D1:H1"/>
    <mergeCell ref="D2:H2"/>
    <mergeCell ref="I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40"/>
  <sheetViews>
    <sheetView zoomScale="80" zoomScaleNormal="80" zoomScalePageLayoutView="80" workbookViewId="0">
      <selection activeCell="C40" sqref="C40:I40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6.7109375" bestFit="1" customWidth="1"/>
  </cols>
  <sheetData>
    <row r="1" spans="1:9" ht="18.75" customHeight="1">
      <c r="A1" s="1"/>
      <c r="B1" s="1"/>
      <c r="C1" s="1"/>
      <c r="D1" s="268" t="s">
        <v>666</v>
      </c>
      <c r="E1" s="268"/>
      <c r="F1" s="268"/>
      <c r="G1" s="268"/>
      <c r="H1" s="268"/>
    </row>
    <row r="2" spans="1:9" ht="18.600000000000001">
      <c r="A2" s="1"/>
      <c r="B2" s="1"/>
      <c r="C2" s="1"/>
      <c r="D2" s="266" t="s">
        <v>1</v>
      </c>
      <c r="E2" s="266"/>
      <c r="F2" s="266"/>
      <c r="G2" s="266"/>
      <c r="H2" s="266"/>
    </row>
    <row r="4" spans="1:9">
      <c r="H4" s="209"/>
      <c r="I4" s="5"/>
    </row>
    <row r="5" spans="1:9">
      <c r="H5" s="105">
        <v>2014</v>
      </c>
      <c r="I5" s="105">
        <v>2013</v>
      </c>
    </row>
    <row r="6" spans="1:9">
      <c r="A6" s="3" t="s">
        <v>4</v>
      </c>
      <c r="D6" s="3"/>
      <c r="G6" s="4"/>
      <c r="H6" s="4"/>
    </row>
    <row r="7" spans="1:9">
      <c r="C7" t="s">
        <v>46</v>
      </c>
      <c r="H7" s="77">
        <v>17372780</v>
      </c>
      <c r="I7">
        <v>23897070</v>
      </c>
    </row>
    <row r="8" spans="1:9">
      <c r="C8" t="s">
        <v>667</v>
      </c>
      <c r="H8" s="84">
        <v>1246151</v>
      </c>
      <c r="I8">
        <v>1246021</v>
      </c>
    </row>
    <row r="9" spans="1:9">
      <c r="C9" t="s">
        <v>668</v>
      </c>
      <c r="H9" s="78">
        <v>6948566</v>
      </c>
      <c r="I9">
        <v>6132255</v>
      </c>
    </row>
    <row r="10" spans="1:9">
      <c r="C10" t="s">
        <v>200</v>
      </c>
      <c r="H10" s="79">
        <v>39589</v>
      </c>
      <c r="I10">
        <v>21627</v>
      </c>
    </row>
    <row r="11" spans="1:9">
      <c r="C11" t="s">
        <v>127</v>
      </c>
      <c r="H11" s="83"/>
    </row>
    <row r="12" spans="1:9">
      <c r="D12" t="s">
        <v>128</v>
      </c>
      <c r="H12" s="80">
        <v>1695977</v>
      </c>
      <c r="I12">
        <v>1695977</v>
      </c>
    </row>
    <row r="13" spans="1:9">
      <c r="D13" t="s">
        <v>132</v>
      </c>
      <c r="H13" s="80">
        <v>7715076</v>
      </c>
    </row>
    <row r="14" spans="1:9">
      <c r="D14" t="s">
        <v>129</v>
      </c>
      <c r="H14" s="80">
        <v>6171031</v>
      </c>
      <c r="I14">
        <v>6348922</v>
      </c>
    </row>
    <row r="15" spans="1:9">
      <c r="D15" t="s">
        <v>130</v>
      </c>
      <c r="H15" s="80">
        <v>8673574</v>
      </c>
      <c r="I15">
        <v>8930284</v>
      </c>
    </row>
    <row r="16" spans="1:9">
      <c r="D16" t="s">
        <v>131</v>
      </c>
      <c r="H16" s="179">
        <v>28172702</v>
      </c>
      <c r="I16">
        <v>27802037</v>
      </c>
    </row>
    <row r="17" spans="1:9">
      <c r="D17" t="s">
        <v>669</v>
      </c>
      <c r="H17" s="80">
        <v>587324</v>
      </c>
      <c r="I17">
        <v>544834</v>
      </c>
    </row>
    <row r="18" spans="1:9">
      <c r="H18" s="81"/>
      <c r="I18" s="125"/>
    </row>
    <row r="19" spans="1:9">
      <c r="C19" s="6" t="s">
        <v>15</v>
      </c>
      <c r="D19" s="172"/>
      <c r="E19" s="172"/>
      <c r="F19" s="172"/>
      <c r="G19" s="172"/>
      <c r="H19" s="82">
        <f>SUM(H7:H17)</f>
        <v>78622770</v>
      </c>
      <c r="I19" s="82">
        <f>SUM(I7:I17)</f>
        <v>76619027</v>
      </c>
    </row>
    <row r="20" spans="1:9">
      <c r="H20" s="83"/>
    </row>
    <row r="21" spans="1:9">
      <c r="A21" s="5" t="s">
        <v>52</v>
      </c>
      <c r="H21" s="83"/>
    </row>
    <row r="22" spans="1:9">
      <c r="C22" t="s">
        <v>133</v>
      </c>
      <c r="H22" s="84">
        <v>937890</v>
      </c>
      <c r="I22">
        <v>831526</v>
      </c>
    </row>
    <row r="23" spans="1:9">
      <c r="C23" t="s">
        <v>209</v>
      </c>
      <c r="H23" s="79">
        <v>44879</v>
      </c>
      <c r="I23">
        <v>110008</v>
      </c>
    </row>
    <row r="24" spans="1:9">
      <c r="C24" t="s">
        <v>134</v>
      </c>
      <c r="H24" s="84">
        <v>392394</v>
      </c>
      <c r="I24">
        <v>382172</v>
      </c>
    </row>
    <row r="25" spans="1:9">
      <c r="C25" t="s">
        <v>109</v>
      </c>
      <c r="H25" s="83"/>
    </row>
    <row r="26" spans="1:9">
      <c r="D26" t="s">
        <v>88</v>
      </c>
      <c r="H26" s="92">
        <v>899766</v>
      </c>
      <c r="I26">
        <v>812070</v>
      </c>
    </row>
    <row r="27" spans="1:9">
      <c r="D27" t="s">
        <v>89</v>
      </c>
      <c r="H27" s="77">
        <v>23278107</v>
      </c>
      <c r="I27">
        <v>19678827</v>
      </c>
    </row>
    <row r="28" spans="1:9">
      <c r="H28" s="81"/>
      <c r="I28" s="125"/>
    </row>
    <row r="29" spans="1:9">
      <c r="D29" s="7" t="s">
        <v>33</v>
      </c>
      <c r="E29" s="8"/>
      <c r="F29" s="8"/>
      <c r="G29" s="8"/>
      <c r="H29" s="87">
        <f>SUM(H22:H27)</f>
        <v>25553036</v>
      </c>
      <c r="I29" s="87">
        <f>SUM(I22:I27)</f>
        <v>21814603</v>
      </c>
    </row>
    <row r="30" spans="1:9">
      <c r="H30" s="83"/>
    </row>
    <row r="31" spans="1:9">
      <c r="A31" s="3" t="s">
        <v>35</v>
      </c>
      <c r="H31" s="83"/>
    </row>
    <row r="32" spans="1:9">
      <c r="B32" t="s">
        <v>61</v>
      </c>
      <c r="H32" s="88">
        <v>43245853</v>
      </c>
      <c r="I32">
        <v>35813460</v>
      </c>
    </row>
    <row r="33" spans="2:9">
      <c r="B33" t="s">
        <v>37</v>
      </c>
      <c r="H33" s="83"/>
    </row>
    <row r="34" spans="2:9">
      <c r="C34" t="s">
        <v>642</v>
      </c>
      <c r="H34" s="89">
        <v>705876</v>
      </c>
      <c r="I34">
        <v>740979</v>
      </c>
    </row>
    <row r="35" spans="2:9">
      <c r="C35" t="s">
        <v>670</v>
      </c>
      <c r="H35" s="89">
        <v>2427545</v>
      </c>
      <c r="I35">
        <v>2213890</v>
      </c>
    </row>
    <row r="36" spans="2:9">
      <c r="B36" t="s">
        <v>69</v>
      </c>
      <c r="H36" s="175">
        <v>6690459</v>
      </c>
      <c r="I36">
        <v>16036096</v>
      </c>
    </row>
    <row r="37" spans="2:9">
      <c r="H37" s="83"/>
      <c r="I37" s="125"/>
    </row>
    <row r="38" spans="2:9" s="3" customFormat="1">
      <c r="C38" s="9" t="s">
        <v>42</v>
      </c>
      <c r="D38" s="9"/>
      <c r="E38" s="9"/>
      <c r="F38" s="9"/>
      <c r="G38" s="9"/>
      <c r="H38" s="94">
        <f>SUM(H32:H36)</f>
        <v>53069733</v>
      </c>
      <c r="I38" s="176">
        <f>SUM(I32:I36)</f>
        <v>54804425</v>
      </c>
    </row>
    <row r="39" spans="2:9">
      <c r="H39" s="83"/>
    </row>
    <row r="40" spans="2:9">
      <c r="C40" s="10" t="s">
        <v>43</v>
      </c>
      <c r="D40" s="10"/>
      <c r="E40" s="10"/>
      <c r="F40" s="227"/>
      <c r="G40" s="227"/>
      <c r="H40" s="227">
        <f>H38+H29</f>
        <v>78622769</v>
      </c>
      <c r="I40" s="227">
        <f>I38+I29</f>
        <v>76619028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47"/>
  <sheetViews>
    <sheetView zoomScale="80" zoomScaleNormal="80" zoomScalePageLayoutView="80" workbookViewId="0">
      <selection activeCell="C47" sqref="C47:J4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68" t="s">
        <v>671</v>
      </c>
      <c r="E1" s="268"/>
      <c r="F1" s="268"/>
      <c r="G1" s="268"/>
      <c r="H1" s="268"/>
      <c r="I1" s="97"/>
    </row>
    <row r="2" spans="1:11" ht="15.75" customHeight="1">
      <c r="A2" s="1"/>
      <c r="B2" s="1"/>
      <c r="C2" s="1"/>
      <c r="D2" s="266" t="s">
        <v>1</v>
      </c>
      <c r="E2" s="266"/>
      <c r="F2" s="266"/>
      <c r="G2" s="266"/>
      <c r="H2" s="266"/>
      <c r="I2" s="98"/>
    </row>
    <row r="4" spans="1:11" ht="14.25" customHeight="1">
      <c r="H4" s="269" t="s">
        <v>2</v>
      </c>
      <c r="I4" s="269"/>
    </row>
    <row r="5" spans="1:11" ht="31.5" customHeight="1">
      <c r="H5" s="105" t="s">
        <v>45</v>
      </c>
      <c r="I5" s="105" t="s">
        <v>141</v>
      </c>
      <c r="J5" s="106" t="s">
        <v>73</v>
      </c>
      <c r="K5" s="5"/>
    </row>
    <row r="6" spans="1:11">
      <c r="A6" s="3" t="s">
        <v>4</v>
      </c>
      <c r="D6" s="3"/>
      <c r="G6" s="4"/>
      <c r="H6" s="4"/>
      <c r="I6" s="4"/>
    </row>
    <row r="7" spans="1:11">
      <c r="C7" t="s">
        <v>386</v>
      </c>
      <c r="H7" s="77">
        <v>3332126</v>
      </c>
      <c r="I7" s="83">
        <v>150244</v>
      </c>
      <c r="J7" s="83">
        <f t="shared" ref="J7:J12" si="0">SUM(H7:I7)</f>
        <v>3482370</v>
      </c>
    </row>
    <row r="8" spans="1:11">
      <c r="C8" t="s">
        <v>6</v>
      </c>
      <c r="H8" s="84">
        <v>2571647</v>
      </c>
      <c r="I8" s="83"/>
      <c r="J8" s="83">
        <f t="shared" si="0"/>
        <v>2571647</v>
      </c>
    </row>
    <row r="9" spans="1:11">
      <c r="C9" t="s">
        <v>47</v>
      </c>
      <c r="H9" s="78">
        <v>5357310</v>
      </c>
      <c r="I9" s="83"/>
      <c r="J9" s="83">
        <f t="shared" si="0"/>
        <v>5357310</v>
      </c>
    </row>
    <row r="10" spans="1:11">
      <c r="C10" t="s">
        <v>672</v>
      </c>
      <c r="H10" s="78">
        <v>47409</v>
      </c>
      <c r="I10" s="83"/>
      <c r="J10" s="83">
        <f>SUM(H10)</f>
        <v>47409</v>
      </c>
    </row>
    <row r="11" spans="1:11">
      <c r="C11" t="s">
        <v>673</v>
      </c>
      <c r="H11" s="83"/>
      <c r="I11" s="83">
        <v>46014</v>
      </c>
      <c r="J11" s="83">
        <f>SUM(H11:I11)</f>
        <v>46014</v>
      </c>
    </row>
    <row r="12" spans="1:11">
      <c r="C12" t="s">
        <v>48</v>
      </c>
      <c r="H12" s="90">
        <v>175037</v>
      </c>
      <c r="I12" s="83"/>
      <c r="J12" s="83">
        <f t="shared" si="0"/>
        <v>175037</v>
      </c>
    </row>
    <row r="13" spans="1:11">
      <c r="C13" t="s">
        <v>674</v>
      </c>
      <c r="H13" s="79">
        <v>1499388</v>
      </c>
      <c r="I13" s="83"/>
      <c r="J13" s="83">
        <f>SUM(H13)</f>
        <v>1499388</v>
      </c>
    </row>
    <row r="14" spans="1:11">
      <c r="C14" t="s">
        <v>675</v>
      </c>
      <c r="H14" s="79">
        <v>943283</v>
      </c>
      <c r="I14" s="83"/>
      <c r="J14" s="83">
        <f>SUM(H14)</f>
        <v>943283</v>
      </c>
    </row>
    <row r="15" spans="1:11">
      <c r="C15" t="s">
        <v>676</v>
      </c>
      <c r="H15" s="83"/>
      <c r="I15" s="83"/>
      <c r="J15" s="83"/>
    </row>
    <row r="16" spans="1:11">
      <c r="D16" t="s">
        <v>128</v>
      </c>
      <c r="H16" s="80">
        <v>2535169</v>
      </c>
      <c r="I16" s="83"/>
      <c r="J16" s="83">
        <f>SUM(H16)</f>
        <v>2535169</v>
      </c>
    </row>
    <row r="17" spans="1:10">
      <c r="D17" t="s">
        <v>132</v>
      </c>
      <c r="H17" s="80">
        <v>458085</v>
      </c>
      <c r="I17" s="83"/>
      <c r="J17" s="83">
        <f>SUM(H17)</f>
        <v>458085</v>
      </c>
    </row>
    <row r="18" spans="1:10">
      <c r="D18" t="s">
        <v>159</v>
      </c>
      <c r="H18" s="80">
        <v>36107028</v>
      </c>
      <c r="I18" s="83"/>
      <c r="J18" s="83">
        <f>SUM(H18)</f>
        <v>36107028</v>
      </c>
    </row>
    <row r="19" spans="1:10">
      <c r="H19" s="81"/>
      <c r="I19" s="81"/>
      <c r="J19" s="81"/>
    </row>
    <row r="20" spans="1:10" s="5" customFormat="1">
      <c r="C20" s="6" t="s">
        <v>15</v>
      </c>
      <c r="D20" s="6"/>
      <c r="E20" s="6"/>
      <c r="F20" s="6"/>
      <c r="G20" s="6"/>
      <c r="H20" s="82">
        <f>SUM(H7:H18)</f>
        <v>53026482</v>
      </c>
      <c r="I20" s="82">
        <f>SUM(I7:I18)</f>
        <v>196258</v>
      </c>
      <c r="J20" s="82">
        <f>SUM(J7:J18)</f>
        <v>53222740</v>
      </c>
    </row>
    <row r="21" spans="1:10">
      <c r="H21" s="83"/>
      <c r="I21" s="83"/>
      <c r="J21" s="83"/>
    </row>
    <row r="22" spans="1:10">
      <c r="A22" s="5" t="s">
        <v>52</v>
      </c>
      <c r="H22" s="83"/>
      <c r="I22" s="83"/>
      <c r="J22" s="83"/>
    </row>
    <row r="23" spans="1:10">
      <c r="C23" t="s">
        <v>20</v>
      </c>
      <c r="H23" s="84">
        <v>809043</v>
      </c>
      <c r="I23" s="83"/>
      <c r="J23" s="83">
        <f t="shared" ref="J23:J29" si="1">SUM(H23:I23)</f>
        <v>809043</v>
      </c>
    </row>
    <row r="24" spans="1:10">
      <c r="C24" t="s">
        <v>677</v>
      </c>
      <c r="H24" s="107">
        <v>861203</v>
      </c>
      <c r="I24" s="83"/>
      <c r="J24" s="83">
        <f t="shared" si="1"/>
        <v>861203</v>
      </c>
    </row>
    <row r="25" spans="1:10">
      <c r="C25" t="s">
        <v>678</v>
      </c>
      <c r="H25" s="107">
        <v>272389</v>
      </c>
      <c r="I25" s="83"/>
      <c r="J25" s="83">
        <f>SUM(H25)</f>
        <v>272389</v>
      </c>
    </row>
    <row r="26" spans="1:10">
      <c r="C26" t="s">
        <v>232</v>
      </c>
      <c r="H26" s="96">
        <v>620471</v>
      </c>
      <c r="I26" s="83"/>
      <c r="J26" s="83">
        <f t="shared" si="1"/>
        <v>620471</v>
      </c>
    </row>
    <row r="27" spans="1:10">
      <c r="C27" t="s">
        <v>679</v>
      </c>
      <c r="H27" s="79">
        <v>721543</v>
      </c>
      <c r="I27" s="83"/>
      <c r="J27" s="83">
        <f t="shared" si="1"/>
        <v>721543</v>
      </c>
    </row>
    <row r="28" spans="1:10">
      <c r="C28" t="s">
        <v>109</v>
      </c>
      <c r="H28" s="83"/>
      <c r="I28" s="83"/>
      <c r="J28" s="83">
        <f t="shared" si="1"/>
        <v>0</v>
      </c>
    </row>
    <row r="29" spans="1:10">
      <c r="D29" t="s">
        <v>680</v>
      </c>
      <c r="H29" s="92">
        <v>1529830</v>
      </c>
      <c r="I29" s="83"/>
      <c r="J29" s="83">
        <f t="shared" si="1"/>
        <v>1529830</v>
      </c>
    </row>
    <row r="30" spans="1:10">
      <c r="D30" t="s">
        <v>681</v>
      </c>
      <c r="H30" s="77">
        <v>3010000</v>
      </c>
      <c r="I30" s="83"/>
      <c r="J30" s="83">
        <f>SUM(H30:I30)</f>
        <v>3010000</v>
      </c>
    </row>
    <row r="31" spans="1:10">
      <c r="H31" s="81"/>
      <c r="I31" s="81"/>
      <c r="J31" s="81"/>
    </row>
    <row r="32" spans="1:10">
      <c r="D32" s="7" t="s">
        <v>33</v>
      </c>
      <c r="E32" s="8"/>
      <c r="F32" s="8"/>
      <c r="G32" s="8"/>
      <c r="H32" s="87">
        <f>SUM(H23:H30)</f>
        <v>7824479</v>
      </c>
      <c r="I32" s="87">
        <f>SUM(I23:I30)</f>
        <v>0</v>
      </c>
      <c r="J32" s="87">
        <f>SUM(J23:J30)</f>
        <v>7824479</v>
      </c>
    </row>
    <row r="33" spans="1:10">
      <c r="H33" s="83"/>
      <c r="I33" s="83"/>
      <c r="J33" s="83"/>
    </row>
    <row r="34" spans="1:10">
      <c r="A34" s="3" t="s">
        <v>35</v>
      </c>
      <c r="H34" s="83"/>
      <c r="I34" s="83"/>
      <c r="J34" s="83"/>
    </row>
    <row r="35" spans="1:10">
      <c r="B35" t="s">
        <v>393</v>
      </c>
      <c r="H35" s="88">
        <v>34644356</v>
      </c>
      <c r="I35" s="83"/>
      <c r="J35" s="83">
        <f>SUM(H35:I35)</f>
        <v>34644356</v>
      </c>
    </row>
    <row r="36" spans="1:10">
      <c r="B36" t="s">
        <v>37</v>
      </c>
      <c r="H36" s="83"/>
      <c r="I36" s="83"/>
      <c r="J36" s="83"/>
    </row>
    <row r="37" spans="1:10">
      <c r="C37" t="s">
        <v>39</v>
      </c>
      <c r="H37" s="89">
        <v>943395</v>
      </c>
      <c r="I37" s="83"/>
      <c r="J37" s="83">
        <f t="shared" ref="J37:J43" si="2">SUM(H37:I37)</f>
        <v>943395</v>
      </c>
    </row>
    <row r="38" spans="1:10">
      <c r="C38" t="s">
        <v>65</v>
      </c>
      <c r="H38" s="89">
        <v>815825</v>
      </c>
      <c r="I38" s="83"/>
      <c r="J38" s="83">
        <f t="shared" si="2"/>
        <v>815825</v>
      </c>
    </row>
    <row r="39" spans="1:10">
      <c r="C39" t="s">
        <v>682</v>
      </c>
      <c r="H39" s="89">
        <v>1629015</v>
      </c>
      <c r="I39" s="83"/>
      <c r="J39" s="83">
        <f t="shared" si="2"/>
        <v>1629015</v>
      </c>
    </row>
    <row r="40" spans="1:10">
      <c r="C40" t="s">
        <v>38</v>
      </c>
      <c r="H40" s="89">
        <v>1305675</v>
      </c>
      <c r="I40" s="83"/>
      <c r="J40" s="83">
        <f t="shared" si="2"/>
        <v>1305675</v>
      </c>
    </row>
    <row r="41" spans="1:10">
      <c r="C41" t="s">
        <v>683</v>
      </c>
      <c r="H41" s="89">
        <v>2852781</v>
      </c>
      <c r="I41" s="83"/>
      <c r="J41" s="83">
        <f t="shared" si="2"/>
        <v>2852781</v>
      </c>
    </row>
    <row r="42" spans="1:10">
      <c r="C42" t="s">
        <v>40</v>
      </c>
      <c r="H42" s="89">
        <v>1622228</v>
      </c>
      <c r="I42" s="83"/>
      <c r="J42" s="83">
        <f t="shared" si="2"/>
        <v>1622228</v>
      </c>
    </row>
    <row r="43" spans="1:10">
      <c r="B43" t="s">
        <v>69</v>
      </c>
      <c r="H43" s="93">
        <v>1388728</v>
      </c>
      <c r="I43" s="83">
        <v>196258</v>
      </c>
      <c r="J43" s="83">
        <f t="shared" si="2"/>
        <v>1584986</v>
      </c>
    </row>
    <row r="44" spans="1:10">
      <c r="H44" s="81"/>
      <c r="I44" s="81"/>
      <c r="J44" s="81"/>
    </row>
    <row r="45" spans="1:10" s="3" customFormat="1">
      <c r="C45" s="9" t="s">
        <v>42</v>
      </c>
      <c r="D45" s="9"/>
      <c r="E45" s="9"/>
      <c r="F45" s="9"/>
      <c r="G45" s="9"/>
      <c r="H45" s="94">
        <f>SUM(H35:H43)</f>
        <v>45202003</v>
      </c>
      <c r="I45" s="94">
        <f>SUM(I35:I43)</f>
        <v>196258</v>
      </c>
      <c r="J45" s="94">
        <f>SUM(J34:J43)</f>
        <v>45398261</v>
      </c>
    </row>
    <row r="46" spans="1:10">
      <c r="H46" s="83"/>
      <c r="I46" s="83"/>
      <c r="J46" s="83"/>
    </row>
    <row r="47" spans="1:10">
      <c r="C47" s="10" t="s">
        <v>43</v>
      </c>
      <c r="D47" s="10"/>
      <c r="E47" s="10"/>
      <c r="F47" s="227"/>
      <c r="G47" s="227"/>
      <c r="H47" s="227">
        <f>H45+H32</f>
        <v>53026482</v>
      </c>
      <c r="I47" s="227">
        <f t="shared" ref="I47:J47" si="3">I45+I32</f>
        <v>196258</v>
      </c>
      <c r="J47" s="227">
        <f t="shared" si="3"/>
        <v>53222740</v>
      </c>
    </row>
  </sheetData>
  <mergeCells count="3">
    <mergeCell ref="D1:H1"/>
    <mergeCell ref="D2:H2"/>
    <mergeCell ref="H4:I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48"/>
  <sheetViews>
    <sheetView zoomScale="80" zoomScaleNormal="80" zoomScalePageLayoutView="80" workbookViewId="0">
      <selection activeCell="C48" sqref="C48:I48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68" t="s">
        <v>684</v>
      </c>
      <c r="E1" s="268"/>
      <c r="F1" s="268"/>
      <c r="G1" s="268"/>
      <c r="H1" s="268"/>
    </row>
    <row r="2" spans="1:10" ht="15.75" customHeight="1">
      <c r="A2" s="1"/>
      <c r="B2" s="1"/>
      <c r="C2" s="1"/>
      <c r="D2" s="266" t="s">
        <v>1</v>
      </c>
      <c r="E2" s="266"/>
      <c r="F2" s="266"/>
      <c r="G2" s="266"/>
      <c r="H2" s="266"/>
    </row>
    <row r="3" spans="1:10" ht="11.25" customHeight="1"/>
    <row r="4" spans="1:10" ht="30.75" customHeight="1">
      <c r="H4" s="210" t="s">
        <v>2</v>
      </c>
      <c r="I4" s="167"/>
    </row>
    <row r="5" spans="1:10" ht="31.5" customHeight="1">
      <c r="H5" s="105" t="s">
        <v>45</v>
      </c>
      <c r="I5" s="167" t="s">
        <v>3</v>
      </c>
      <c r="J5" s="5"/>
    </row>
    <row r="6" spans="1:10">
      <c r="A6" s="3" t="s">
        <v>4</v>
      </c>
      <c r="D6" s="3"/>
      <c r="G6" s="4"/>
      <c r="H6" s="4"/>
    </row>
    <row r="7" spans="1:10">
      <c r="C7" t="s">
        <v>46</v>
      </c>
      <c r="H7" s="77">
        <v>4804541</v>
      </c>
      <c r="I7" s="83">
        <v>626768</v>
      </c>
    </row>
    <row r="8" spans="1:10">
      <c r="C8" t="s">
        <v>6</v>
      </c>
      <c r="H8" s="84">
        <v>6021598</v>
      </c>
      <c r="I8" s="83">
        <v>428146</v>
      </c>
    </row>
    <row r="9" spans="1:10">
      <c r="C9" t="s">
        <v>47</v>
      </c>
      <c r="H9" s="78">
        <v>5707961</v>
      </c>
      <c r="I9" s="83">
        <v>430293</v>
      </c>
    </row>
    <row r="10" spans="1:10">
      <c r="C10" t="s">
        <v>115</v>
      </c>
      <c r="H10" s="79">
        <v>274135</v>
      </c>
      <c r="I10" s="83">
        <v>51717</v>
      </c>
    </row>
    <row r="11" spans="1:10">
      <c r="C11" t="s">
        <v>49</v>
      </c>
      <c r="H11" s="83"/>
      <c r="I11" s="83">
        <v>4625</v>
      </c>
    </row>
    <row r="12" spans="1:10">
      <c r="C12" t="s">
        <v>256</v>
      </c>
      <c r="H12" s="80">
        <v>1306517</v>
      </c>
      <c r="I12" s="83">
        <v>5000</v>
      </c>
    </row>
    <row r="13" spans="1:10">
      <c r="C13" t="s">
        <v>51</v>
      </c>
      <c r="H13" s="80">
        <v>10447733</v>
      </c>
      <c r="I13" s="83">
        <v>1443045</v>
      </c>
    </row>
    <row r="14" spans="1:10">
      <c r="H14" s="81"/>
      <c r="I14" s="81"/>
    </row>
    <row r="15" spans="1:10" s="5" customFormat="1">
      <c r="C15" s="6" t="s">
        <v>15</v>
      </c>
      <c r="D15" s="6"/>
      <c r="E15" s="6"/>
      <c r="F15" s="6"/>
      <c r="G15" s="6"/>
      <c r="H15" s="82">
        <f>SUM(H7:H13)</f>
        <v>28562485</v>
      </c>
      <c r="I15" s="82">
        <f>SUM(I7:I13)</f>
        <v>2989594</v>
      </c>
    </row>
    <row r="16" spans="1:10">
      <c r="H16" s="83"/>
      <c r="I16" s="83"/>
    </row>
    <row r="17" spans="1:9">
      <c r="A17" s="5" t="s">
        <v>52</v>
      </c>
      <c r="H17" s="83"/>
      <c r="I17" s="83"/>
    </row>
    <row r="18" spans="1:9">
      <c r="A18" s="5"/>
      <c r="C18" t="s">
        <v>685</v>
      </c>
      <c r="H18" s="84">
        <v>212666</v>
      </c>
      <c r="I18" s="83">
        <v>198518</v>
      </c>
    </row>
    <row r="19" spans="1:9">
      <c r="C19" t="s">
        <v>686</v>
      </c>
      <c r="H19" s="84">
        <v>196948</v>
      </c>
      <c r="I19" s="83">
        <v>97731</v>
      </c>
    </row>
    <row r="20" spans="1:9">
      <c r="C20" t="s">
        <v>687</v>
      </c>
      <c r="H20" s="83"/>
      <c r="I20" s="83">
        <v>13243</v>
      </c>
    </row>
    <row r="21" spans="1:9">
      <c r="C21" t="s">
        <v>134</v>
      </c>
      <c r="H21" s="84">
        <v>14546</v>
      </c>
      <c r="I21" s="83"/>
    </row>
    <row r="22" spans="1:9">
      <c r="C22" t="s">
        <v>54</v>
      </c>
      <c r="H22" s="79">
        <v>10746</v>
      </c>
      <c r="I22" s="83"/>
    </row>
    <row r="23" spans="1:9">
      <c r="C23" t="s">
        <v>232</v>
      </c>
      <c r="H23" s="96">
        <v>159042</v>
      </c>
      <c r="I23" s="83"/>
    </row>
    <row r="24" spans="1:9">
      <c r="C24" t="s">
        <v>688</v>
      </c>
      <c r="H24" s="79">
        <v>45919</v>
      </c>
      <c r="I24" s="83"/>
    </row>
    <row r="25" spans="1:9">
      <c r="C25" t="s">
        <v>109</v>
      </c>
      <c r="H25" s="83"/>
      <c r="I25" s="83"/>
    </row>
    <row r="26" spans="1:9">
      <c r="D26" t="s">
        <v>88</v>
      </c>
      <c r="H26" s="92">
        <v>402128</v>
      </c>
      <c r="I26" s="83">
        <v>79479</v>
      </c>
    </row>
    <row r="27" spans="1:9">
      <c r="D27" t="s">
        <v>89</v>
      </c>
      <c r="H27" s="77">
        <v>3321167</v>
      </c>
      <c r="I27" s="83">
        <v>1813</v>
      </c>
    </row>
    <row r="28" spans="1:9">
      <c r="H28" s="81"/>
      <c r="I28" s="81"/>
    </row>
    <row r="29" spans="1:9">
      <c r="D29" s="7" t="s">
        <v>33</v>
      </c>
      <c r="E29" s="8"/>
      <c r="F29" s="8"/>
      <c r="G29" s="8"/>
      <c r="H29" s="87">
        <f>SUM(H18:H27)</f>
        <v>4363162</v>
      </c>
      <c r="I29" s="87">
        <f>SUM(I18:I27)</f>
        <v>390784</v>
      </c>
    </row>
    <row r="30" spans="1:9">
      <c r="H30" s="83"/>
      <c r="I30" s="83"/>
    </row>
    <row r="31" spans="1:9">
      <c r="A31" s="3" t="s">
        <v>35</v>
      </c>
      <c r="H31" s="83"/>
      <c r="I31" s="83"/>
    </row>
    <row r="32" spans="1:9">
      <c r="B32" t="s">
        <v>96</v>
      </c>
      <c r="H32" s="88">
        <v>11457377</v>
      </c>
      <c r="I32" s="83">
        <v>1448045</v>
      </c>
    </row>
    <row r="33" spans="2:9">
      <c r="B33" t="s">
        <v>37</v>
      </c>
      <c r="H33" s="83"/>
      <c r="I33" s="83"/>
    </row>
    <row r="34" spans="2:9">
      <c r="C34" t="s">
        <v>38</v>
      </c>
      <c r="H34" s="89">
        <v>7047</v>
      </c>
      <c r="I34" s="83"/>
    </row>
    <row r="35" spans="2:9">
      <c r="C35" t="s">
        <v>689</v>
      </c>
      <c r="H35" s="89">
        <v>1086018</v>
      </c>
      <c r="I35" s="83"/>
    </row>
    <row r="36" spans="2:9">
      <c r="C36" t="s">
        <v>259</v>
      </c>
      <c r="H36" s="89">
        <v>4384794</v>
      </c>
      <c r="I36" s="83"/>
    </row>
    <row r="37" spans="2:9">
      <c r="C37" t="s">
        <v>325</v>
      </c>
      <c r="H37" s="89">
        <v>1290263</v>
      </c>
      <c r="I37" s="83"/>
    </row>
    <row r="38" spans="2:9">
      <c r="C38" t="s">
        <v>690</v>
      </c>
      <c r="H38" s="89">
        <v>2100687</v>
      </c>
      <c r="I38" s="83"/>
    </row>
    <row r="39" spans="2:9">
      <c r="C39" t="s">
        <v>691</v>
      </c>
      <c r="H39" s="89">
        <v>1457559</v>
      </c>
      <c r="I39" s="83"/>
    </row>
    <row r="40" spans="2:9">
      <c r="C40" t="s">
        <v>692</v>
      </c>
      <c r="H40" s="89">
        <v>10196</v>
      </c>
      <c r="I40" s="83"/>
    </row>
    <row r="41" spans="2:9">
      <c r="C41" t="s">
        <v>693</v>
      </c>
      <c r="H41" s="89">
        <v>24530</v>
      </c>
      <c r="I41" s="83"/>
    </row>
    <row r="42" spans="2:9">
      <c r="C42" t="s">
        <v>694</v>
      </c>
      <c r="H42" s="89">
        <v>847</v>
      </c>
      <c r="I42" s="83"/>
    </row>
    <row r="43" spans="2:9">
      <c r="C43" t="s">
        <v>695</v>
      </c>
      <c r="H43" s="83"/>
      <c r="I43" s="83">
        <v>59775</v>
      </c>
    </row>
    <row r="44" spans="2:9">
      <c r="B44" t="s">
        <v>69</v>
      </c>
      <c r="H44" s="93">
        <v>2380005</v>
      </c>
      <c r="I44" s="83">
        <v>1090990</v>
      </c>
    </row>
    <row r="45" spans="2:9">
      <c r="H45" s="81"/>
      <c r="I45" s="81"/>
    </row>
    <row r="46" spans="2:9" s="3" customFormat="1">
      <c r="C46" s="9" t="s">
        <v>42</v>
      </c>
      <c r="D46" s="9"/>
      <c r="E46" s="9"/>
      <c r="F46" s="9"/>
      <c r="G46" s="9"/>
      <c r="H46" s="94">
        <f>SUM(H32:H44)</f>
        <v>24199323</v>
      </c>
      <c r="I46" s="94">
        <f>SUM(I31:I44)</f>
        <v>2598810</v>
      </c>
    </row>
    <row r="47" spans="2:9">
      <c r="H47" s="83"/>
      <c r="I47" s="83"/>
    </row>
    <row r="48" spans="2:9">
      <c r="C48" s="10" t="s">
        <v>43</v>
      </c>
      <c r="D48" s="10"/>
      <c r="E48" s="10"/>
      <c r="F48" s="227"/>
      <c r="G48" s="227"/>
      <c r="H48" s="227">
        <f>H46+H29</f>
        <v>28562485</v>
      </c>
      <c r="I48" s="227">
        <f>I46+I29</f>
        <v>2989594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42"/>
  <sheetViews>
    <sheetView zoomScale="90" zoomScaleNormal="90" zoomScalePageLayoutView="90" workbookViewId="0">
      <selection activeCell="B42" sqref="B42:G42"/>
    </sheetView>
  </sheetViews>
  <sheetFormatPr defaultColWidth="8.85546875" defaultRowHeight="14.45"/>
  <cols>
    <col min="1" max="1" width="3.28515625" customWidth="1"/>
    <col min="2" max="2" width="2.140625" customWidth="1"/>
    <col min="3" max="3" width="2.4257812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68" t="s">
        <v>696</v>
      </c>
      <c r="D1" s="268"/>
      <c r="E1" s="268"/>
      <c r="F1" s="268"/>
      <c r="G1" s="268"/>
    </row>
    <row r="2" spans="1:7" ht="18.600000000000001">
      <c r="A2" s="1"/>
      <c r="B2" s="1"/>
      <c r="C2" s="266" t="s">
        <v>1</v>
      </c>
      <c r="D2" s="266"/>
      <c r="E2" s="266"/>
      <c r="F2" s="266"/>
      <c r="G2" s="266"/>
    </row>
    <row r="3" spans="1:7" ht="18.600000000000001">
      <c r="A3" s="1"/>
      <c r="B3" s="1"/>
      <c r="C3" s="98"/>
      <c r="D3" s="98"/>
      <c r="E3" s="98"/>
      <c r="F3" s="98"/>
      <c r="G3" s="98"/>
    </row>
    <row r="4" spans="1:7">
      <c r="G4" s="5" t="s">
        <v>2</v>
      </c>
    </row>
    <row r="5" spans="1:7" ht="29.1">
      <c r="G5" s="2" t="s">
        <v>45</v>
      </c>
    </row>
    <row r="6" spans="1:7">
      <c r="A6" s="3" t="s">
        <v>4</v>
      </c>
      <c r="C6" s="3"/>
      <c r="F6" s="4"/>
      <c r="G6" s="4"/>
    </row>
    <row r="7" spans="1:7">
      <c r="B7" t="s">
        <v>46</v>
      </c>
      <c r="G7" s="77">
        <v>8081632</v>
      </c>
    </row>
    <row r="8" spans="1:7">
      <c r="B8" t="s">
        <v>6</v>
      </c>
      <c r="G8" s="84">
        <v>20199785</v>
      </c>
    </row>
    <row r="9" spans="1:7">
      <c r="B9" t="s">
        <v>697</v>
      </c>
      <c r="G9" s="84">
        <v>108000</v>
      </c>
    </row>
    <row r="10" spans="1:7">
      <c r="B10" t="s">
        <v>7</v>
      </c>
      <c r="G10" s="78">
        <v>7587764</v>
      </c>
    </row>
    <row r="11" spans="1:7">
      <c r="B11" t="s">
        <v>142</v>
      </c>
      <c r="G11" s="77">
        <v>481248</v>
      </c>
    </row>
    <row r="12" spans="1:7">
      <c r="B12" t="s">
        <v>48</v>
      </c>
      <c r="G12" s="90">
        <v>1744108</v>
      </c>
    </row>
    <row r="13" spans="1:7">
      <c r="B13" t="s">
        <v>9</v>
      </c>
      <c r="G13" s="78">
        <v>783</v>
      </c>
    </row>
    <row r="14" spans="1:7">
      <c r="B14" t="s">
        <v>12</v>
      </c>
      <c r="G14" s="83"/>
    </row>
    <row r="15" spans="1:7">
      <c r="C15" t="s">
        <v>402</v>
      </c>
      <c r="G15" s="80">
        <v>2849307</v>
      </c>
    </row>
    <row r="16" spans="1:7">
      <c r="C16" t="s">
        <v>389</v>
      </c>
      <c r="G16" s="91">
        <v>58902360</v>
      </c>
    </row>
    <row r="17" spans="1:7">
      <c r="G17" s="83"/>
    </row>
    <row r="18" spans="1:7">
      <c r="A18" s="5"/>
      <c r="B18" s="6" t="s">
        <v>15</v>
      </c>
      <c r="C18" s="6"/>
      <c r="D18" s="6"/>
      <c r="E18" s="6"/>
      <c r="F18" s="6"/>
      <c r="G18" s="82">
        <f>SUM(G7:G16)</f>
        <v>99954987</v>
      </c>
    </row>
    <row r="19" spans="1:7">
      <c r="G19" s="83"/>
    </row>
    <row r="20" spans="1:7">
      <c r="A20" s="5" t="s">
        <v>52</v>
      </c>
      <c r="G20" s="83"/>
    </row>
    <row r="21" spans="1:7">
      <c r="A21" s="5"/>
      <c r="B21" t="s">
        <v>20</v>
      </c>
      <c r="G21" s="84">
        <v>496221</v>
      </c>
    </row>
    <row r="22" spans="1:7">
      <c r="A22" s="5"/>
      <c r="B22" t="s">
        <v>166</v>
      </c>
      <c r="G22" s="83"/>
    </row>
    <row r="23" spans="1:7">
      <c r="A23" s="5"/>
      <c r="C23" t="s">
        <v>323</v>
      </c>
      <c r="G23" s="92">
        <v>408750</v>
      </c>
    </row>
    <row r="24" spans="1:7">
      <c r="A24" s="5"/>
      <c r="C24" t="s">
        <v>89</v>
      </c>
      <c r="G24" s="77">
        <v>8665014</v>
      </c>
    </row>
    <row r="25" spans="1:7">
      <c r="G25" s="81"/>
    </row>
    <row r="26" spans="1:7">
      <c r="C26" s="7" t="s">
        <v>33</v>
      </c>
      <c r="D26" s="8"/>
      <c r="E26" s="8"/>
      <c r="F26" s="8"/>
      <c r="G26" s="87">
        <f>SUM(G21:G24)</f>
        <v>9569985</v>
      </c>
    </row>
    <row r="27" spans="1:7">
      <c r="G27" s="83"/>
    </row>
    <row r="28" spans="1:7">
      <c r="A28" s="5" t="s">
        <v>195</v>
      </c>
      <c r="G28" s="83"/>
    </row>
    <row r="29" spans="1:7">
      <c r="B29" t="s">
        <v>698</v>
      </c>
      <c r="G29" s="83">
        <v>364274</v>
      </c>
    </row>
    <row r="30" spans="1:7">
      <c r="B30" t="s">
        <v>699</v>
      </c>
      <c r="G30" s="122">
        <v>8692665</v>
      </c>
    </row>
    <row r="31" spans="1:7">
      <c r="C31" t="s">
        <v>94</v>
      </c>
      <c r="G31" s="83">
        <f>SUM(G29:G30)</f>
        <v>9056939</v>
      </c>
    </row>
    <row r="32" spans="1:7">
      <c r="G32" s="83"/>
    </row>
    <row r="33" spans="1:7">
      <c r="A33" s="3" t="s">
        <v>35</v>
      </c>
      <c r="G33" s="83"/>
    </row>
    <row r="34" spans="1:7">
      <c r="B34" t="s">
        <v>96</v>
      </c>
      <c r="G34" s="88">
        <v>57589285</v>
      </c>
    </row>
    <row r="35" spans="1:7">
      <c r="B35" t="s">
        <v>37</v>
      </c>
      <c r="G35" s="83"/>
    </row>
    <row r="36" spans="1:7">
      <c r="C36" t="s">
        <v>38</v>
      </c>
      <c r="G36" s="89">
        <v>614686</v>
      </c>
    </row>
    <row r="37" spans="1:7">
      <c r="C37" t="s">
        <v>700</v>
      </c>
      <c r="G37" s="89">
        <v>113570</v>
      </c>
    </row>
    <row r="38" spans="1:7">
      <c r="B38" t="s">
        <v>69</v>
      </c>
      <c r="G38" s="93">
        <v>23010522</v>
      </c>
    </row>
    <row r="39" spans="1:7">
      <c r="G39" s="81"/>
    </row>
    <row r="40" spans="1:7">
      <c r="A40" s="3"/>
      <c r="B40" s="9" t="s">
        <v>42</v>
      </c>
      <c r="C40" s="9"/>
      <c r="D40" s="9"/>
      <c r="E40" s="9"/>
      <c r="F40" s="9"/>
      <c r="G40" s="94">
        <f>SUM(G34:G38)</f>
        <v>81328063</v>
      </c>
    </row>
    <row r="41" spans="1:7">
      <c r="G41" s="83"/>
    </row>
    <row r="42" spans="1:7">
      <c r="B42" s="10" t="s">
        <v>43</v>
      </c>
      <c r="C42" s="10"/>
      <c r="D42" s="10"/>
      <c r="E42" s="227"/>
      <c r="F42" s="227"/>
      <c r="G42" s="227">
        <f>G40+G26</f>
        <v>90898048</v>
      </c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37"/>
  <sheetViews>
    <sheetView workbookViewId="0">
      <selection activeCell="C37" sqref="C37:H3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</cols>
  <sheetData>
    <row r="1" spans="1:9" ht="18.75" customHeight="1">
      <c r="A1" s="1"/>
      <c r="B1" s="1"/>
      <c r="C1" s="1"/>
      <c r="D1" s="268" t="s">
        <v>701</v>
      </c>
      <c r="E1" s="268"/>
      <c r="F1" s="268"/>
      <c r="G1" s="268"/>
      <c r="H1" s="268"/>
    </row>
    <row r="2" spans="1:9" ht="18.600000000000001">
      <c r="A2" s="1"/>
      <c r="B2" s="1"/>
      <c r="C2" s="1"/>
      <c r="D2" s="266" t="s">
        <v>1</v>
      </c>
      <c r="E2" s="266"/>
      <c r="F2" s="266"/>
      <c r="G2" s="266"/>
      <c r="H2" s="266"/>
    </row>
    <row r="4" spans="1:9" ht="29.1">
      <c r="H4" s="210" t="s">
        <v>2</v>
      </c>
    </row>
    <row r="5" spans="1:9" ht="29.1">
      <c r="H5" s="105" t="s">
        <v>45</v>
      </c>
      <c r="I5" s="5"/>
    </row>
    <row r="6" spans="1:9">
      <c r="A6" s="3" t="s">
        <v>4</v>
      </c>
      <c r="D6" s="3"/>
      <c r="G6" s="4"/>
      <c r="H6" s="4"/>
    </row>
    <row r="7" spans="1:9">
      <c r="C7" t="s">
        <v>46</v>
      </c>
      <c r="H7" s="77">
        <v>6004251</v>
      </c>
    </row>
    <row r="8" spans="1:9">
      <c r="C8" t="s">
        <v>47</v>
      </c>
      <c r="H8" s="78">
        <v>1318697</v>
      </c>
    </row>
    <row r="9" spans="1:9">
      <c r="C9" t="s">
        <v>702</v>
      </c>
      <c r="H9" s="79">
        <v>784477</v>
      </c>
    </row>
    <row r="10" spans="1:9">
      <c r="C10" t="s">
        <v>51</v>
      </c>
      <c r="H10" s="80">
        <v>14156782</v>
      </c>
    </row>
    <row r="11" spans="1:9">
      <c r="H11" s="81"/>
    </row>
    <row r="12" spans="1:9" s="5" customFormat="1">
      <c r="C12" s="6" t="s">
        <v>15</v>
      </c>
      <c r="D12" s="6"/>
      <c r="E12" s="6"/>
      <c r="F12" s="6"/>
      <c r="G12" s="6"/>
      <c r="H12" s="82">
        <f>SUM(H7:H10)</f>
        <v>22264207</v>
      </c>
    </row>
    <row r="13" spans="1:9">
      <c r="H13" s="83"/>
    </row>
    <row r="14" spans="1:9">
      <c r="A14" s="5" t="s">
        <v>52</v>
      </c>
      <c r="H14" s="83"/>
    </row>
    <row r="15" spans="1:9">
      <c r="A15" s="5"/>
      <c r="C15" t="s">
        <v>274</v>
      </c>
      <c r="H15" s="79">
        <v>105667</v>
      </c>
    </row>
    <row r="16" spans="1:9">
      <c r="C16" t="s">
        <v>421</v>
      </c>
      <c r="H16" s="84">
        <v>220827</v>
      </c>
    </row>
    <row r="17" spans="1:8">
      <c r="C17" t="s">
        <v>29</v>
      </c>
      <c r="H17" s="86">
        <v>98075</v>
      </c>
    </row>
    <row r="18" spans="1:8">
      <c r="C18" t="s">
        <v>181</v>
      </c>
      <c r="H18" s="92">
        <v>14133</v>
      </c>
    </row>
    <row r="19" spans="1:8">
      <c r="C19" t="s">
        <v>182</v>
      </c>
      <c r="H19" s="77">
        <v>84805</v>
      </c>
    </row>
    <row r="20" spans="1:8">
      <c r="C20" t="s">
        <v>703</v>
      </c>
      <c r="H20" s="79">
        <v>2442440</v>
      </c>
    </row>
    <row r="21" spans="1:8">
      <c r="H21" s="81"/>
    </row>
    <row r="22" spans="1:8">
      <c r="D22" s="7" t="s">
        <v>33</v>
      </c>
      <c r="E22" s="8"/>
      <c r="F22" s="8"/>
      <c r="G22" s="8"/>
      <c r="H22" s="87">
        <f>SUM(H15:H20)</f>
        <v>2965947</v>
      </c>
    </row>
    <row r="23" spans="1:8">
      <c r="H23" s="83"/>
    </row>
    <row r="24" spans="1:8">
      <c r="A24" s="5" t="s">
        <v>183</v>
      </c>
      <c r="H24" s="83"/>
    </row>
    <row r="25" spans="1:8">
      <c r="C25" t="s">
        <v>704</v>
      </c>
      <c r="H25" s="122">
        <v>180365</v>
      </c>
    </row>
    <row r="26" spans="1:8">
      <c r="H26" s="83"/>
    </row>
    <row r="27" spans="1:8">
      <c r="A27" s="3" t="s">
        <v>35</v>
      </c>
      <c r="H27" s="83"/>
    </row>
    <row r="28" spans="1:8">
      <c r="B28" t="s">
        <v>96</v>
      </c>
      <c r="H28" s="88">
        <v>14057844</v>
      </c>
    </row>
    <row r="29" spans="1:8">
      <c r="B29" t="s">
        <v>37</v>
      </c>
      <c r="H29" s="83"/>
    </row>
    <row r="30" spans="1:8">
      <c r="C30" t="s">
        <v>64</v>
      </c>
      <c r="H30" s="89">
        <v>4905031</v>
      </c>
    </row>
    <row r="31" spans="1:8">
      <c r="C31" t="s">
        <v>65</v>
      </c>
      <c r="H31" s="89">
        <v>531372</v>
      </c>
    </row>
    <row r="32" spans="1:8">
      <c r="C32" t="s">
        <v>705</v>
      </c>
      <c r="H32" s="89">
        <v>784477</v>
      </c>
    </row>
    <row r="33" spans="2:8">
      <c r="B33" t="s">
        <v>69</v>
      </c>
      <c r="H33" s="93">
        <v>-1160829</v>
      </c>
    </row>
    <row r="34" spans="2:8">
      <c r="H34" s="81"/>
    </row>
    <row r="35" spans="2:8" s="3" customFormat="1">
      <c r="C35" s="9" t="s">
        <v>42</v>
      </c>
      <c r="D35" s="9"/>
      <c r="E35" s="9"/>
      <c r="F35" s="9"/>
      <c r="G35" s="9"/>
      <c r="H35" s="94">
        <f>SUM(H28:H33)</f>
        <v>19117895</v>
      </c>
    </row>
    <row r="36" spans="2:8">
      <c r="H36" s="83"/>
    </row>
    <row r="37" spans="2:8">
      <c r="C37" s="10" t="s">
        <v>43</v>
      </c>
      <c r="D37" s="10"/>
      <c r="E37" s="10"/>
      <c r="F37" s="227"/>
      <c r="G37" s="227"/>
      <c r="H37" s="227">
        <f>H35+H22</f>
        <v>22083842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53"/>
  <sheetViews>
    <sheetView topLeftCell="B17" workbookViewId="0">
      <selection activeCell="G34" sqref="G3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22" customWidth="1"/>
    <col min="10" max="10" width="17.140625" customWidth="1"/>
    <col min="11" max="11" width="20.28515625" customWidth="1"/>
  </cols>
  <sheetData>
    <row r="1" spans="1:12" ht="18.75" customHeight="1">
      <c r="A1" s="1"/>
      <c r="B1" s="1"/>
      <c r="C1" s="1"/>
      <c r="D1" s="268" t="s">
        <v>706</v>
      </c>
      <c r="E1" s="268"/>
      <c r="F1" s="268"/>
      <c r="G1" s="268"/>
      <c r="H1" s="268"/>
      <c r="I1" s="97"/>
      <c r="J1" s="97"/>
    </row>
    <row r="2" spans="1:12" ht="15.75" customHeight="1">
      <c r="A2" s="1"/>
      <c r="B2" s="1"/>
      <c r="C2" s="1"/>
      <c r="D2" s="266" t="s">
        <v>707</v>
      </c>
      <c r="E2" s="266"/>
      <c r="F2" s="266"/>
      <c r="G2" s="266"/>
      <c r="H2" s="266"/>
      <c r="I2" s="98"/>
      <c r="J2" s="98"/>
    </row>
    <row r="3" spans="1:12" ht="11.25" customHeight="1"/>
    <row r="4" spans="1:12" ht="15" customHeight="1">
      <c r="H4" s="273" t="s">
        <v>2</v>
      </c>
      <c r="I4" s="273"/>
      <c r="J4" s="273"/>
      <c r="K4" s="167" t="s">
        <v>71</v>
      </c>
    </row>
    <row r="5" spans="1:12" ht="31.5" customHeight="1">
      <c r="H5" s="105" t="s">
        <v>45</v>
      </c>
      <c r="I5" s="105" t="s">
        <v>141</v>
      </c>
      <c r="J5" s="105" t="s">
        <v>73</v>
      </c>
      <c r="K5" s="167" t="s">
        <v>72</v>
      </c>
      <c r="L5" s="5"/>
    </row>
    <row r="6" spans="1:12">
      <c r="A6" s="3" t="s">
        <v>4</v>
      </c>
      <c r="D6" s="3"/>
      <c r="G6" s="4"/>
      <c r="H6" s="4"/>
      <c r="I6" s="4"/>
      <c r="J6" s="4"/>
    </row>
    <row r="7" spans="1:12">
      <c r="C7" t="s">
        <v>46</v>
      </c>
      <c r="H7" s="77">
        <v>1126360</v>
      </c>
      <c r="I7" s="83">
        <v>468720</v>
      </c>
      <c r="J7" s="83">
        <f>SUM(H7:I7)</f>
        <v>1595080</v>
      </c>
      <c r="K7" s="83">
        <v>4300293</v>
      </c>
    </row>
    <row r="8" spans="1:12">
      <c r="C8" t="s">
        <v>708</v>
      </c>
      <c r="I8" s="83"/>
      <c r="J8" s="83">
        <f t="shared" ref="J8:J21" si="0">SUM(H8:I8)</f>
        <v>0</v>
      </c>
      <c r="K8" s="83">
        <v>3457256</v>
      </c>
    </row>
    <row r="9" spans="1:12">
      <c r="C9" t="s">
        <v>6</v>
      </c>
      <c r="H9" s="84">
        <v>12529200</v>
      </c>
      <c r="I9" s="83">
        <v>278554</v>
      </c>
      <c r="J9" s="83">
        <f t="shared" si="0"/>
        <v>12807754</v>
      </c>
      <c r="K9" s="83"/>
    </row>
    <row r="10" spans="1:12">
      <c r="C10" t="s">
        <v>7</v>
      </c>
      <c r="H10" s="78">
        <v>227502</v>
      </c>
      <c r="I10" s="83"/>
      <c r="J10" s="83">
        <f t="shared" si="0"/>
        <v>227502</v>
      </c>
      <c r="K10" s="83">
        <v>648734</v>
      </c>
    </row>
    <row r="11" spans="1:12">
      <c r="C11" t="s">
        <v>48</v>
      </c>
      <c r="H11" s="90">
        <v>53694</v>
      </c>
      <c r="I11" s="83"/>
      <c r="J11" s="83">
        <f t="shared" si="0"/>
        <v>53694</v>
      </c>
      <c r="K11" s="83"/>
    </row>
    <row r="12" spans="1:12">
      <c r="C12" t="s">
        <v>709</v>
      </c>
      <c r="H12" s="78">
        <v>72728</v>
      </c>
      <c r="I12" s="83">
        <v>109887</v>
      </c>
      <c r="J12" s="83">
        <f t="shared" si="0"/>
        <v>182615</v>
      </c>
      <c r="K12" s="83">
        <v>3587253</v>
      </c>
    </row>
    <row r="13" spans="1:12">
      <c r="C13" t="s">
        <v>49</v>
      </c>
      <c r="I13" s="83"/>
      <c r="J13" s="83">
        <f t="shared" si="0"/>
        <v>0</v>
      </c>
      <c r="K13" s="83">
        <v>451569</v>
      </c>
    </row>
    <row r="14" spans="1:12">
      <c r="C14" t="s">
        <v>143</v>
      </c>
      <c r="H14" s="79">
        <v>157071</v>
      </c>
      <c r="I14" s="83">
        <v>24487</v>
      </c>
      <c r="J14" s="83">
        <f t="shared" si="0"/>
        <v>181558</v>
      </c>
      <c r="K14" s="83">
        <v>247700</v>
      </c>
    </row>
    <row r="15" spans="1:12">
      <c r="C15" t="s">
        <v>189</v>
      </c>
      <c r="H15" s="83"/>
      <c r="I15" s="83"/>
      <c r="J15" s="83">
        <f t="shared" si="0"/>
        <v>0</v>
      </c>
      <c r="K15" s="83"/>
    </row>
    <row r="16" spans="1:12">
      <c r="D16" t="s">
        <v>46</v>
      </c>
      <c r="H16" s="77">
        <v>5429</v>
      </c>
      <c r="I16" s="83">
        <v>153927</v>
      </c>
      <c r="J16" s="83">
        <f t="shared" si="0"/>
        <v>159356</v>
      </c>
      <c r="K16" s="83">
        <v>2576977</v>
      </c>
    </row>
    <row r="17" spans="1:11">
      <c r="D17" t="s">
        <v>708</v>
      </c>
      <c r="H17" s="83"/>
      <c r="I17" s="83"/>
      <c r="J17" s="83">
        <f t="shared" si="0"/>
        <v>0</v>
      </c>
      <c r="K17" s="83">
        <v>2305933</v>
      </c>
    </row>
    <row r="18" spans="1:11">
      <c r="D18" t="s">
        <v>6</v>
      </c>
      <c r="H18" s="84">
        <v>1315208</v>
      </c>
      <c r="I18" s="83">
        <v>214895</v>
      </c>
      <c r="J18" s="83">
        <f t="shared" si="0"/>
        <v>1530103</v>
      </c>
      <c r="K18" s="83">
        <v>5657008</v>
      </c>
    </row>
    <row r="19" spans="1:11">
      <c r="C19" t="s">
        <v>644</v>
      </c>
      <c r="H19" s="83"/>
      <c r="I19" s="83"/>
      <c r="J19" s="83">
        <f t="shared" si="0"/>
        <v>0</v>
      </c>
      <c r="K19" s="83"/>
    </row>
    <row r="20" spans="1:11">
      <c r="C20" t="s">
        <v>12</v>
      </c>
      <c r="H20" s="83"/>
      <c r="I20" s="83"/>
      <c r="J20" s="83">
        <f t="shared" si="0"/>
        <v>0</v>
      </c>
      <c r="K20" s="83"/>
    </row>
    <row r="21" spans="1:11">
      <c r="D21" t="s">
        <v>118</v>
      </c>
      <c r="H21" s="80">
        <v>3920330</v>
      </c>
      <c r="I21" s="83"/>
      <c r="J21" s="83">
        <f t="shared" si="0"/>
        <v>3920330</v>
      </c>
      <c r="K21" s="83"/>
    </row>
    <row r="22" spans="1:11">
      <c r="D22" t="s">
        <v>14</v>
      </c>
      <c r="H22" s="80">
        <v>13769845</v>
      </c>
      <c r="I22" s="83">
        <v>9805673</v>
      </c>
      <c r="J22" s="83">
        <f>SUM(H22:I22)</f>
        <v>23575518</v>
      </c>
      <c r="K22" s="83">
        <v>6747983</v>
      </c>
    </row>
    <row r="23" spans="1:11">
      <c r="H23" s="81"/>
      <c r="I23" s="81"/>
      <c r="J23" s="81"/>
      <c r="K23" s="81"/>
    </row>
    <row r="24" spans="1:11" s="5" customFormat="1">
      <c r="C24" s="6" t="s">
        <v>15</v>
      </c>
      <c r="D24" s="6"/>
      <c r="E24" s="6"/>
      <c r="F24" s="6"/>
      <c r="G24" s="6"/>
      <c r="H24" s="82">
        <f>SUM(H7:H22)</f>
        <v>33177367</v>
      </c>
      <c r="I24" s="82">
        <f>SUM(I7:I22)</f>
        <v>11056143</v>
      </c>
      <c r="J24" s="82">
        <f>SUM(J7:J22)</f>
        <v>44233510</v>
      </c>
      <c r="K24" s="82">
        <f>SUM(K7:K22)</f>
        <v>29980706</v>
      </c>
    </row>
    <row r="25" spans="1:11">
      <c r="H25" s="83"/>
      <c r="I25" s="83"/>
      <c r="J25" s="83"/>
      <c r="K25" s="83"/>
    </row>
    <row r="26" spans="1:11">
      <c r="H26" s="83"/>
      <c r="I26" s="83"/>
      <c r="J26" s="83"/>
      <c r="K26" s="83"/>
    </row>
    <row r="27" spans="1:11">
      <c r="A27" s="5" t="s">
        <v>52</v>
      </c>
      <c r="H27" s="83"/>
      <c r="I27" s="83"/>
      <c r="J27" s="83"/>
      <c r="K27" s="83"/>
    </row>
    <row r="28" spans="1:11">
      <c r="A28" s="5"/>
      <c r="C28" t="s">
        <v>53</v>
      </c>
      <c r="H28" s="84">
        <v>553589</v>
      </c>
      <c r="I28" s="83">
        <v>18343</v>
      </c>
      <c r="J28" s="83">
        <f t="shared" ref="J28:J33" si="1">SUM(H28:I28)</f>
        <v>571932</v>
      </c>
      <c r="K28" s="83">
        <v>420225</v>
      </c>
    </row>
    <row r="29" spans="1:11">
      <c r="C29" t="s">
        <v>710</v>
      </c>
      <c r="H29" s="79">
        <v>138263</v>
      </c>
      <c r="I29" s="83">
        <v>25833</v>
      </c>
      <c r="J29" s="83">
        <f t="shared" si="1"/>
        <v>164096</v>
      </c>
      <c r="K29" s="83">
        <v>676807</v>
      </c>
    </row>
    <row r="30" spans="1:11">
      <c r="C30" t="s">
        <v>274</v>
      </c>
      <c r="H30" s="79">
        <v>1316732</v>
      </c>
      <c r="I30" s="83">
        <v>141470</v>
      </c>
      <c r="J30" s="83">
        <f t="shared" si="1"/>
        <v>1458202</v>
      </c>
      <c r="K30" s="83"/>
    </row>
    <row r="31" spans="1:11">
      <c r="C31" t="s">
        <v>85</v>
      </c>
      <c r="I31" s="83">
        <v>153927</v>
      </c>
      <c r="J31" s="83">
        <f t="shared" si="1"/>
        <v>153927</v>
      </c>
      <c r="K31" s="83"/>
    </row>
    <row r="32" spans="1:11">
      <c r="C32" t="s">
        <v>76</v>
      </c>
      <c r="H32" s="79">
        <v>71608</v>
      </c>
      <c r="I32" s="83">
        <v>-71608</v>
      </c>
      <c r="J32" s="83">
        <f t="shared" si="1"/>
        <v>0</v>
      </c>
      <c r="K32" s="83"/>
    </row>
    <row r="33" spans="1:11">
      <c r="C33" t="s">
        <v>166</v>
      </c>
      <c r="H33" s="83"/>
      <c r="I33" s="83"/>
      <c r="J33" s="83">
        <f t="shared" si="1"/>
        <v>0</v>
      </c>
      <c r="K33" s="83"/>
    </row>
    <row r="34" spans="1:11">
      <c r="D34" t="s">
        <v>88</v>
      </c>
      <c r="H34" s="92">
        <v>219053</v>
      </c>
      <c r="I34" s="83">
        <v>101470</v>
      </c>
      <c r="J34" s="83">
        <f>SUM(H34:I34)</f>
        <v>320523</v>
      </c>
      <c r="K34" s="83"/>
    </row>
    <row r="35" spans="1:11">
      <c r="D35" t="s">
        <v>89</v>
      </c>
      <c r="H35" s="77">
        <v>3585937</v>
      </c>
      <c r="I35" s="83">
        <v>2977915</v>
      </c>
      <c r="J35" s="83">
        <f>SUM(H35:I35)</f>
        <v>6563852</v>
      </c>
      <c r="K35" s="83"/>
    </row>
    <row r="36" spans="1:11">
      <c r="H36" s="81"/>
      <c r="I36" s="81"/>
      <c r="J36" s="81"/>
      <c r="K36" s="81"/>
    </row>
    <row r="37" spans="1:11">
      <c r="D37" s="7" t="s">
        <v>33</v>
      </c>
      <c r="E37" s="8"/>
      <c r="F37" s="8"/>
      <c r="G37" s="8"/>
      <c r="H37" s="87">
        <f>SUM(H28:H35)</f>
        <v>5885182</v>
      </c>
      <c r="I37" s="87">
        <f>SUM(I28:I35)</f>
        <v>3347350</v>
      </c>
      <c r="J37" s="87">
        <f>SUM(J28:J35)</f>
        <v>9232532</v>
      </c>
      <c r="K37" s="87">
        <f>SUM(K28:K35)</f>
        <v>1097032</v>
      </c>
    </row>
    <row r="38" spans="1:11">
      <c r="H38" s="83"/>
      <c r="I38" s="83"/>
      <c r="J38" s="83"/>
      <c r="K38" s="83"/>
    </row>
    <row r="39" spans="1:11">
      <c r="H39" s="83"/>
      <c r="I39" s="83"/>
      <c r="J39" s="83"/>
      <c r="K39" s="83"/>
    </row>
    <row r="40" spans="1:11">
      <c r="A40" s="3" t="s">
        <v>35</v>
      </c>
      <c r="H40" s="83"/>
      <c r="I40" s="83"/>
      <c r="J40" s="83"/>
      <c r="K40" s="83"/>
    </row>
    <row r="41" spans="1:11">
      <c r="B41" t="s">
        <v>96</v>
      </c>
      <c r="H41" s="88">
        <v>14221175</v>
      </c>
      <c r="I41" s="83">
        <v>6781838</v>
      </c>
      <c r="J41" s="83">
        <f>SUM(H41:I41)</f>
        <v>21003013</v>
      </c>
      <c r="K41" s="83">
        <v>6747983</v>
      </c>
    </row>
    <row r="42" spans="1:11">
      <c r="B42" t="s">
        <v>37</v>
      </c>
      <c r="H42" s="83"/>
      <c r="I42" s="83"/>
      <c r="J42" s="83">
        <f>SUM(H42:I42)</f>
        <v>0</v>
      </c>
      <c r="K42" s="83"/>
    </row>
    <row r="43" spans="1:11">
      <c r="C43" t="s">
        <v>38</v>
      </c>
      <c r="H43" s="89">
        <v>319825</v>
      </c>
      <c r="I43" s="83">
        <v>368822</v>
      </c>
      <c r="J43" s="83">
        <f>SUM(H43:I43)</f>
        <v>688647</v>
      </c>
      <c r="K43" s="83"/>
    </row>
    <row r="44" spans="1:11">
      <c r="C44" t="s">
        <v>488</v>
      </c>
      <c r="H44" s="89">
        <v>3168668</v>
      </c>
      <c r="I44" s="83"/>
      <c r="J44" s="83">
        <f>SUM(H44)</f>
        <v>3168668</v>
      </c>
      <c r="K44" s="83">
        <v>10539918</v>
      </c>
    </row>
    <row r="45" spans="1:11">
      <c r="C45" t="s">
        <v>263</v>
      </c>
      <c r="H45" s="89">
        <v>1132963</v>
      </c>
      <c r="I45" s="83"/>
      <c r="J45" s="83">
        <f>SUM(H45)</f>
        <v>1132963</v>
      </c>
      <c r="K45" s="83"/>
    </row>
    <row r="46" spans="1:11">
      <c r="C46" t="s">
        <v>711</v>
      </c>
      <c r="H46" s="89">
        <v>290409</v>
      </c>
      <c r="I46" s="83"/>
      <c r="J46" s="83">
        <f>SUM(H46:I46)</f>
        <v>290409</v>
      </c>
      <c r="K46" s="83"/>
    </row>
    <row r="47" spans="1:11">
      <c r="C47" t="s">
        <v>259</v>
      </c>
      <c r="H47" s="89">
        <v>1207214</v>
      </c>
      <c r="I47" s="83"/>
      <c r="J47" s="83">
        <f>SUM(H47)</f>
        <v>1207214</v>
      </c>
      <c r="K47" s="83"/>
    </row>
    <row r="48" spans="1:11">
      <c r="C48" t="s">
        <v>200</v>
      </c>
      <c r="H48" s="89">
        <v>365174</v>
      </c>
      <c r="I48" s="83"/>
      <c r="J48" s="83">
        <f>SUM(H48)</f>
        <v>365174</v>
      </c>
      <c r="K48" s="83"/>
    </row>
    <row r="49" spans="2:11">
      <c r="B49" t="s">
        <v>125</v>
      </c>
      <c r="H49" s="93">
        <v>6586757</v>
      </c>
      <c r="I49" s="83">
        <v>558133</v>
      </c>
      <c r="J49" s="83">
        <f>SUM(H49:I49)</f>
        <v>7144890</v>
      </c>
      <c r="K49" s="83">
        <v>11595773</v>
      </c>
    </row>
    <row r="50" spans="2:11">
      <c r="H50" s="81"/>
      <c r="I50" s="81"/>
      <c r="J50" s="81"/>
      <c r="K50" s="81"/>
    </row>
    <row r="51" spans="2:11" s="3" customFormat="1">
      <c r="C51" s="9" t="s">
        <v>42</v>
      </c>
      <c r="D51" s="9"/>
      <c r="E51" s="9"/>
      <c r="F51" s="9"/>
      <c r="G51" s="9"/>
      <c r="H51" s="94">
        <f>SUM(H41:H49)</f>
        <v>27292185</v>
      </c>
      <c r="I51" s="94">
        <f>SUM(I41:I49)</f>
        <v>7708793</v>
      </c>
      <c r="J51" s="94">
        <f>SUM(J41:J49)</f>
        <v>35000978</v>
      </c>
      <c r="K51" s="94">
        <f>SUM(K40:K49)</f>
        <v>28883674</v>
      </c>
    </row>
    <row r="52" spans="2:11">
      <c r="H52" s="83"/>
      <c r="I52" s="83"/>
      <c r="J52" s="83"/>
      <c r="K52" s="83"/>
    </row>
    <row r="53" spans="2:11">
      <c r="C53" s="10" t="s">
        <v>43</v>
      </c>
      <c r="D53" s="10"/>
      <c r="E53" s="10"/>
      <c r="F53" s="227"/>
      <c r="G53" s="227"/>
      <c r="H53" s="227">
        <f>H51+H37</f>
        <v>33177367</v>
      </c>
      <c r="I53" s="227">
        <f>I51+I37</f>
        <v>11056143</v>
      </c>
      <c r="J53" s="227">
        <f>J51+J37</f>
        <v>44233510</v>
      </c>
      <c r="K53" s="227">
        <f>K51+K37</f>
        <v>29980706</v>
      </c>
    </row>
  </sheetData>
  <mergeCells count="3">
    <mergeCell ref="D1:H1"/>
    <mergeCell ref="D2:H2"/>
    <mergeCell ref="H4:J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36"/>
  <sheetViews>
    <sheetView workbookViewId="0">
      <selection activeCell="V37" sqref="V3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42578125" customWidth="1"/>
    <col min="7" max="7" width="23" customWidth="1"/>
    <col min="8" max="8" width="17.140625" customWidth="1"/>
    <col min="9" max="9" width="16.7109375" bestFit="1" customWidth="1"/>
  </cols>
  <sheetData>
    <row r="1" spans="1:9" ht="18.75" customHeight="1">
      <c r="A1" s="1"/>
      <c r="B1" s="1"/>
      <c r="C1" s="1"/>
      <c r="D1" s="268" t="s">
        <v>712</v>
      </c>
      <c r="E1" s="268"/>
      <c r="F1" s="268"/>
      <c r="G1" s="268"/>
      <c r="H1" s="268"/>
    </row>
    <row r="2" spans="1:9" ht="18.600000000000001">
      <c r="A2" s="1"/>
      <c r="B2" s="1"/>
      <c r="C2" s="1"/>
      <c r="D2" s="266" t="s">
        <v>1</v>
      </c>
      <c r="E2" s="266"/>
      <c r="F2" s="266"/>
      <c r="G2" s="266"/>
      <c r="H2" s="266"/>
    </row>
    <row r="4" spans="1:9">
      <c r="H4" s="209"/>
      <c r="I4" s="5"/>
    </row>
    <row r="5" spans="1:9">
      <c r="H5" s="105">
        <v>2014</v>
      </c>
      <c r="I5" s="105">
        <v>2013</v>
      </c>
    </row>
    <row r="6" spans="1:9">
      <c r="A6" s="3" t="s">
        <v>4</v>
      </c>
      <c r="D6" s="3"/>
      <c r="G6" s="4"/>
      <c r="H6" s="4"/>
    </row>
    <row r="7" spans="1:9">
      <c r="C7" t="s">
        <v>46</v>
      </c>
      <c r="H7" s="77">
        <v>1954725</v>
      </c>
      <c r="I7">
        <v>4118802</v>
      </c>
    </row>
    <row r="8" spans="1:9">
      <c r="C8" t="s">
        <v>668</v>
      </c>
      <c r="H8" s="78">
        <v>2232420</v>
      </c>
      <c r="I8">
        <v>2234175</v>
      </c>
    </row>
    <row r="9" spans="1:9">
      <c r="C9" t="s">
        <v>127</v>
      </c>
      <c r="H9" s="83"/>
    </row>
    <row r="10" spans="1:9">
      <c r="D10" t="s">
        <v>504</v>
      </c>
      <c r="H10" s="83"/>
    </row>
    <row r="11" spans="1:9">
      <c r="E11" t="s">
        <v>128</v>
      </c>
      <c r="H11" s="80">
        <v>223675</v>
      </c>
      <c r="I11">
        <v>223675</v>
      </c>
    </row>
    <row r="12" spans="1:9">
      <c r="E12" t="s">
        <v>132</v>
      </c>
      <c r="H12" s="83"/>
      <c r="I12">
        <v>1298815</v>
      </c>
    </row>
    <row r="13" spans="1:9">
      <c r="D13" t="s">
        <v>505</v>
      </c>
      <c r="H13" s="83"/>
    </row>
    <row r="14" spans="1:9">
      <c r="E14" t="s">
        <v>129</v>
      </c>
      <c r="H14" s="80">
        <v>3516302</v>
      </c>
      <c r="I14">
        <v>698972</v>
      </c>
    </row>
    <row r="15" spans="1:9">
      <c r="E15" t="s">
        <v>506</v>
      </c>
      <c r="H15" s="80">
        <v>624965</v>
      </c>
      <c r="I15">
        <v>639557</v>
      </c>
    </row>
    <row r="16" spans="1:9">
      <c r="E16" t="s">
        <v>713</v>
      </c>
      <c r="H16" s="80">
        <v>1529469</v>
      </c>
      <c r="I16">
        <v>737271</v>
      </c>
    </row>
    <row r="17" spans="1:9">
      <c r="H17" s="81"/>
      <c r="I17" s="125"/>
    </row>
    <row r="18" spans="1:9">
      <c r="C18" s="6" t="s">
        <v>15</v>
      </c>
      <c r="D18" s="172"/>
      <c r="E18" s="172"/>
      <c r="F18" s="172"/>
      <c r="G18" s="172"/>
      <c r="H18" s="82">
        <f>SUM(H7:H16)</f>
        <v>10081556</v>
      </c>
      <c r="I18" s="82">
        <f>SUM(I7:I16)</f>
        <v>9951267</v>
      </c>
    </row>
    <row r="19" spans="1:9">
      <c r="H19" s="83"/>
    </row>
    <row r="20" spans="1:9">
      <c r="A20" s="5" t="s">
        <v>52</v>
      </c>
      <c r="H20" s="83"/>
    </row>
    <row r="21" spans="1:9">
      <c r="C21" t="s">
        <v>133</v>
      </c>
      <c r="H21" s="84">
        <v>232973</v>
      </c>
      <c r="I21">
        <v>82711</v>
      </c>
    </row>
    <row r="22" spans="1:9">
      <c r="C22" t="s">
        <v>134</v>
      </c>
      <c r="H22" s="84">
        <v>38485</v>
      </c>
      <c r="I22">
        <v>42979</v>
      </c>
    </row>
    <row r="23" spans="1:9">
      <c r="C23" t="s">
        <v>109</v>
      </c>
      <c r="H23" s="83"/>
    </row>
    <row r="24" spans="1:9">
      <c r="D24" t="s">
        <v>88</v>
      </c>
      <c r="H24" s="92">
        <v>225000</v>
      </c>
      <c r="I24">
        <v>220000</v>
      </c>
    </row>
    <row r="25" spans="1:9">
      <c r="D25" t="s">
        <v>89</v>
      </c>
      <c r="H25" s="77">
        <v>1785000</v>
      </c>
      <c r="I25">
        <v>2010000</v>
      </c>
    </row>
    <row r="26" spans="1:9">
      <c r="H26" s="81"/>
      <c r="I26" s="125"/>
    </row>
    <row r="27" spans="1:9">
      <c r="D27" s="7" t="s">
        <v>33</v>
      </c>
      <c r="E27" s="8"/>
      <c r="F27" s="8"/>
      <c r="G27" s="8"/>
      <c r="H27" s="87">
        <f>SUM(H21:H25)</f>
        <v>2281458</v>
      </c>
      <c r="I27" s="87">
        <f>SUM(I21:I25)</f>
        <v>2355690</v>
      </c>
    </row>
    <row r="28" spans="1:9">
      <c r="C28" t="s">
        <v>714</v>
      </c>
      <c r="H28" s="83">
        <v>13144</v>
      </c>
      <c r="I28">
        <v>32101</v>
      </c>
    </row>
    <row r="29" spans="1:9">
      <c r="H29" s="83"/>
    </row>
    <row r="30" spans="1:9">
      <c r="A30" s="3" t="s">
        <v>35</v>
      </c>
      <c r="H30" s="83"/>
    </row>
    <row r="31" spans="1:9">
      <c r="B31" t="s">
        <v>96</v>
      </c>
      <c r="H31" s="88">
        <v>3884412</v>
      </c>
      <c r="I31">
        <v>3598291</v>
      </c>
    </row>
    <row r="32" spans="1:9">
      <c r="B32" t="s">
        <v>69</v>
      </c>
      <c r="H32" s="175">
        <v>3902544</v>
      </c>
      <c r="I32">
        <v>3965187</v>
      </c>
    </row>
    <row r="33" spans="3:9">
      <c r="H33" s="83"/>
      <c r="I33" s="125"/>
    </row>
    <row r="34" spans="3:9" s="3" customFormat="1">
      <c r="C34" s="9" t="s">
        <v>42</v>
      </c>
      <c r="D34" s="9"/>
      <c r="E34" s="9"/>
      <c r="F34" s="9"/>
      <c r="G34" s="9"/>
      <c r="H34" s="176">
        <f>SUM(H31:H32)</f>
        <v>7786956</v>
      </c>
      <c r="I34" s="176">
        <f>SUM(I31:I32)</f>
        <v>7563478</v>
      </c>
    </row>
    <row r="35" spans="3:9">
      <c r="H35" s="83"/>
    </row>
    <row r="36" spans="3:9">
      <c r="C36" s="10" t="s">
        <v>43</v>
      </c>
      <c r="D36" s="10"/>
      <c r="E36" s="10"/>
      <c r="F36" s="227"/>
      <c r="G36" s="227"/>
      <c r="H36" s="227">
        <f>H34+H27</f>
        <v>10068414</v>
      </c>
      <c r="I36" s="227">
        <f>I34+I27</f>
        <v>9919168</v>
      </c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800000"/>
  </sheetPr>
  <dimension ref="A1:AV315"/>
  <sheetViews>
    <sheetView topLeftCell="G1" zoomScale="70" zoomScaleNormal="70" zoomScalePageLayoutView="70" workbookViewId="0">
      <pane ySplit="3" topLeftCell="AA26" activePane="bottomLeft" state="frozen"/>
      <selection pane="bottomLeft" activeCell="AE31" sqref="AE31:AE34"/>
    </sheetView>
  </sheetViews>
  <sheetFormatPr defaultColWidth="8.85546875" defaultRowHeight="14.45"/>
  <cols>
    <col min="1" max="1" width="12.7109375" bestFit="1" customWidth="1"/>
    <col min="2" max="2" width="25.42578125" customWidth="1"/>
    <col min="3" max="3" width="13.85546875" bestFit="1" customWidth="1"/>
    <col min="4" max="5" width="15.140625" bestFit="1" customWidth="1"/>
    <col min="6" max="6" width="16.28515625" bestFit="1" customWidth="1"/>
    <col min="7" max="7" width="13.85546875" bestFit="1" customWidth="1"/>
    <col min="8" max="8" width="14.7109375" bestFit="1" customWidth="1"/>
    <col min="9" max="9" width="21" bestFit="1" customWidth="1"/>
    <col min="10" max="10" width="11.7109375" style="70" customWidth="1"/>
    <col min="11" max="11" width="16.28515625" bestFit="1" customWidth="1"/>
    <col min="12" max="12" width="18.140625" bestFit="1" customWidth="1"/>
    <col min="13" max="13" width="18.85546875" bestFit="1" customWidth="1"/>
    <col min="14" max="14" width="37.28515625" bestFit="1" customWidth="1"/>
    <col min="15" max="15" width="36.85546875" bestFit="1" customWidth="1"/>
    <col min="16" max="16" width="35.7109375" bestFit="1" customWidth="1"/>
    <col min="17" max="17" width="24.42578125" bestFit="1" customWidth="1"/>
    <col min="18" max="18" width="24.28515625" bestFit="1" customWidth="1"/>
    <col min="19" max="19" width="37.28515625" bestFit="1" customWidth="1"/>
    <col min="20" max="20" width="17" bestFit="1" customWidth="1"/>
    <col min="21" max="21" width="23.7109375" bestFit="1" customWidth="1"/>
    <col min="22" max="22" width="11.7109375" bestFit="1" customWidth="1"/>
    <col min="23" max="23" width="14.42578125" bestFit="1" customWidth="1"/>
    <col min="24" max="24" width="17.28515625" hidden="1" customWidth="1"/>
    <col min="25" max="25" width="18.140625" bestFit="1" customWidth="1"/>
    <col min="26" max="26" width="48" bestFit="1" customWidth="1"/>
    <col min="27" max="27" width="19.42578125" bestFit="1" customWidth="1"/>
    <col min="28" max="28" width="21.42578125" bestFit="1" customWidth="1"/>
    <col min="29" max="29" width="25.140625" bestFit="1" customWidth="1"/>
    <col min="30" max="30" width="39.42578125" bestFit="1" customWidth="1"/>
    <col min="31" max="31" width="11.7109375" bestFit="1" customWidth="1"/>
    <col min="32" max="32" width="17.42578125" customWidth="1"/>
    <col min="33" max="33" width="19.7109375" hidden="1" customWidth="1"/>
  </cols>
  <sheetData>
    <row r="1" spans="1:48" ht="15.95" thickBot="1">
      <c r="A1" s="11" t="s">
        <v>715</v>
      </c>
      <c r="B1" s="11"/>
      <c r="C1" s="12"/>
      <c r="D1" s="12"/>
      <c r="E1" s="12"/>
      <c r="F1" s="12"/>
      <c r="G1" s="12"/>
      <c r="H1" s="12"/>
      <c r="I1" s="12"/>
      <c r="J1" s="71"/>
      <c r="K1" s="14"/>
      <c r="L1" s="14"/>
      <c r="M1" s="15"/>
      <c r="N1" s="15"/>
      <c r="O1" s="15"/>
      <c r="P1" s="15"/>
      <c r="Q1" s="15"/>
      <c r="R1" s="15"/>
      <c r="S1" s="15"/>
      <c r="T1" s="15"/>
      <c r="U1" s="15"/>
      <c r="V1" s="15"/>
      <c r="W1" s="13"/>
      <c r="X1" s="14"/>
      <c r="Y1" s="14"/>
      <c r="Z1" s="16"/>
      <c r="AA1" s="17"/>
      <c r="AB1" s="17"/>
      <c r="AC1" s="17"/>
      <c r="AD1" s="17"/>
      <c r="AE1" s="17"/>
      <c r="AF1" s="18"/>
      <c r="AG1" s="19"/>
    </row>
    <row r="2" spans="1:48" ht="17.45" thickBot="1">
      <c r="B2" s="20"/>
      <c r="C2" s="21" t="s">
        <v>716</v>
      </c>
      <c r="D2" s="22"/>
      <c r="E2" s="22"/>
      <c r="F2" s="22"/>
      <c r="G2" s="22"/>
      <c r="H2" s="22"/>
      <c r="I2" s="22"/>
      <c r="J2" s="72"/>
      <c r="K2" s="24"/>
      <c r="L2" s="24"/>
      <c r="M2" s="25"/>
      <c r="N2" s="26" t="s">
        <v>717</v>
      </c>
      <c r="O2" s="25"/>
      <c r="P2" s="25"/>
      <c r="Q2" s="25"/>
      <c r="R2" s="25"/>
      <c r="S2" s="27" t="s">
        <v>718</v>
      </c>
      <c r="T2" s="28"/>
      <c r="U2" s="25"/>
      <c r="V2" s="25"/>
      <c r="W2" s="23"/>
      <c r="X2" s="24"/>
      <c r="Y2" s="24"/>
      <c r="Z2" s="29"/>
      <c r="AA2" s="30" t="s">
        <v>719</v>
      </c>
      <c r="AB2" s="16"/>
      <c r="AC2" s="16"/>
      <c r="AD2" s="16"/>
      <c r="AE2" s="16"/>
      <c r="AF2" s="31"/>
      <c r="AG2" s="32"/>
    </row>
    <row r="3" spans="1:48" ht="15.95" thickBot="1">
      <c r="A3" s="278" t="s">
        <v>720</v>
      </c>
      <c r="B3" s="279"/>
      <c r="C3" s="33" t="s">
        <v>5</v>
      </c>
      <c r="D3" s="34" t="s">
        <v>6</v>
      </c>
      <c r="E3" s="35" t="s">
        <v>47</v>
      </c>
      <c r="F3" s="36" t="s">
        <v>220</v>
      </c>
      <c r="G3" s="69" t="s">
        <v>721</v>
      </c>
      <c r="H3" s="37" t="s">
        <v>722</v>
      </c>
      <c r="I3" s="38" t="s">
        <v>723</v>
      </c>
      <c r="J3" s="73" t="s">
        <v>724</v>
      </c>
      <c r="K3" s="40" t="s">
        <v>724</v>
      </c>
      <c r="L3" s="24"/>
      <c r="M3" s="41" t="s">
        <v>725</v>
      </c>
      <c r="N3" s="42" t="s">
        <v>726</v>
      </c>
      <c r="O3" s="43" t="s">
        <v>727</v>
      </c>
      <c r="P3" s="35" t="s">
        <v>728</v>
      </c>
      <c r="Q3" s="68" t="s">
        <v>729</v>
      </c>
      <c r="R3" s="44" t="s">
        <v>730</v>
      </c>
      <c r="S3" s="45" t="s">
        <v>731</v>
      </c>
      <c r="T3" s="37" t="s">
        <v>732</v>
      </c>
      <c r="U3" s="46" t="s">
        <v>733</v>
      </c>
      <c r="V3" s="39" t="s">
        <v>724</v>
      </c>
      <c r="W3" s="40" t="s">
        <v>724</v>
      </c>
      <c r="X3" s="47"/>
      <c r="Y3" s="24"/>
      <c r="Z3" s="48" t="s">
        <v>734</v>
      </c>
      <c r="AA3" s="49" t="s">
        <v>445</v>
      </c>
      <c r="AB3" s="50" t="s">
        <v>735</v>
      </c>
      <c r="AC3" s="51" t="s">
        <v>736</v>
      </c>
      <c r="AD3" s="52" t="s">
        <v>737</v>
      </c>
      <c r="AE3" s="39" t="s">
        <v>724</v>
      </c>
      <c r="AF3" s="40" t="s">
        <v>724</v>
      </c>
    </row>
    <row r="4" spans="1:48" ht="31.5" thickBot="1">
      <c r="A4" s="280" t="s">
        <v>738</v>
      </c>
      <c r="B4" s="281"/>
      <c r="J4" s="53"/>
      <c r="K4" s="54"/>
      <c r="L4" s="180" t="s">
        <v>16</v>
      </c>
      <c r="V4" s="53"/>
      <c r="W4" s="54"/>
      <c r="X4" s="55" t="s">
        <v>739</v>
      </c>
      <c r="Y4" s="180" t="s">
        <v>91</v>
      </c>
      <c r="AE4" s="53"/>
      <c r="AF4" s="54"/>
    </row>
    <row r="5" spans="1:48" ht="15.6">
      <c r="A5" s="56"/>
      <c r="B5" s="57" t="s">
        <v>740</v>
      </c>
      <c r="J5" s="53"/>
      <c r="K5" s="54"/>
      <c r="L5" s="55" t="s">
        <v>739</v>
      </c>
      <c r="V5" s="53"/>
      <c r="W5" s="54"/>
      <c r="X5" s="55"/>
      <c r="Y5" s="55" t="s">
        <v>739</v>
      </c>
      <c r="AE5" s="53"/>
      <c r="AF5" s="54"/>
    </row>
    <row r="6" spans="1:48" s="104" customFormat="1" ht="15.6">
      <c r="A6" s="108"/>
      <c r="B6" s="109" t="s">
        <v>741</v>
      </c>
      <c r="C6" s="110">
        <f>Acadia!H6</f>
        <v>8972007</v>
      </c>
      <c r="D6" s="110">
        <f>Acadia!H7</f>
        <v>7896569</v>
      </c>
      <c r="E6" s="110">
        <f>Acadia!H8+Acadia!H9+Acadia!H10</f>
        <v>571560</v>
      </c>
      <c r="F6" s="110">
        <f>Acadia!H14+Acadia!H15</f>
        <v>52992711</v>
      </c>
      <c r="G6" s="110">
        <f>Acadia!H11+Acadia!H12</f>
        <v>6062012</v>
      </c>
      <c r="H6" s="110"/>
      <c r="I6" s="110">
        <f t="shared" ref="I6:I7" si="0">SUM(C6:H6)</f>
        <v>76494859</v>
      </c>
      <c r="J6" s="113" t="str">
        <f t="shared" ref="J6:J52" si="1">IF(I6=K6, "ok", "check")</f>
        <v>ok</v>
      </c>
      <c r="K6" s="111">
        <f>Acadia!H17</f>
        <v>76494859</v>
      </c>
      <c r="L6" s="236"/>
      <c r="M6" s="110">
        <f>Acadia!H25+Acadia!H26+Acadia!H27+Acadia!H29</f>
        <v>1555644</v>
      </c>
      <c r="N6" s="110">
        <f>Acadia!H34+Acadia!H37</f>
        <v>374244</v>
      </c>
      <c r="O6" s="110">
        <f>Acadia!H33</f>
        <v>1542435</v>
      </c>
      <c r="P6" s="110">
        <f>Acadia!H36</f>
        <v>11233348</v>
      </c>
      <c r="Q6" s="110"/>
      <c r="R6" s="110"/>
      <c r="S6" s="110"/>
      <c r="T6" s="110">
        <f>Acadia!H28+Acadia!H39</f>
        <v>7203993</v>
      </c>
      <c r="U6" s="110">
        <f t="shared" ref="U6:U7" si="2">SUM(M6:T6)</f>
        <v>21909664</v>
      </c>
      <c r="V6" s="113" t="str">
        <f t="shared" ref="V6:V20" si="3">IF(U6=W6, "ok", "check")</f>
        <v>ok</v>
      </c>
      <c r="W6" s="111">
        <f>Acadia!H42</f>
        <v>21909664</v>
      </c>
      <c r="X6" s="112"/>
      <c r="Y6" s="236"/>
      <c r="Z6" s="110">
        <f>Acadia!H49</f>
        <v>40241750</v>
      </c>
      <c r="AA6" s="110">
        <f>Acadia!H51+Acadia!H52+Acadia!H53</f>
        <v>9644334</v>
      </c>
      <c r="AB6" s="110">
        <f>Acadia!H54</f>
        <v>4705745</v>
      </c>
      <c r="AC6" s="110">
        <f t="shared" ref="AC6:AC7" si="4">SUM(Z6:AB6)</f>
        <v>54591829</v>
      </c>
      <c r="AD6" s="110">
        <f>SUM(AC6,U6)</f>
        <v>76501493</v>
      </c>
      <c r="AE6" s="113" t="str">
        <f t="shared" ref="AE6:AE20" si="5">IF(AD6=AF6, "ok", "check")</f>
        <v>ok</v>
      </c>
      <c r="AF6" s="111">
        <f>Acadia!H58</f>
        <v>76501493</v>
      </c>
    </row>
    <row r="7" spans="1:48" ht="15.6">
      <c r="A7" s="56"/>
      <c r="B7" s="3" t="s">
        <v>742</v>
      </c>
      <c r="C7" s="59">
        <f>Allen!G6</f>
        <v>14858366</v>
      </c>
      <c r="D7" s="59"/>
      <c r="E7" s="59">
        <f>Allen!G7</f>
        <v>6484761</v>
      </c>
      <c r="F7" s="59">
        <f>Allen!G10+Allen!G11</f>
        <v>10737729</v>
      </c>
      <c r="G7" s="59"/>
      <c r="H7" s="59">
        <f>Allen!G8</f>
        <v>313803</v>
      </c>
      <c r="I7" s="59">
        <f t="shared" si="0"/>
        <v>32394659</v>
      </c>
      <c r="J7" s="113" t="str">
        <f t="shared" si="1"/>
        <v>ok</v>
      </c>
      <c r="K7" s="58">
        <f>Allen!G13</f>
        <v>32394659</v>
      </c>
      <c r="L7" s="181"/>
      <c r="M7" s="59">
        <f>Allen!G16+Allen!G17</f>
        <v>628113</v>
      </c>
      <c r="N7" s="59"/>
      <c r="O7" s="59">
        <f>Allen!G19+Allen!G21</f>
        <v>88940</v>
      </c>
      <c r="P7" s="59">
        <f>Allen!G23+Allen!G24</f>
        <v>1297691</v>
      </c>
      <c r="Q7" s="59"/>
      <c r="R7" s="59"/>
      <c r="S7" s="59"/>
      <c r="T7" s="59">
        <f>Allen!G18</f>
        <v>48703</v>
      </c>
      <c r="U7" s="59">
        <f t="shared" si="2"/>
        <v>2063447</v>
      </c>
      <c r="V7" s="113" t="str">
        <f t="shared" si="3"/>
        <v>ok</v>
      </c>
      <c r="W7" s="58">
        <f>Allen!G26</f>
        <v>2063447</v>
      </c>
      <c r="X7" s="60"/>
      <c r="Y7" s="181"/>
      <c r="Z7" s="59">
        <f>Allen!G29</f>
        <v>27191700</v>
      </c>
      <c r="AA7" s="59">
        <f>Allen!G31+Allen!G32+Allen!G33+Allen!G34+Allen!G35+Allen!G36+Allen!G37+Allen!G38+Allen!G39+Allen!G40</f>
        <v>16765653</v>
      </c>
      <c r="AB7" s="59">
        <f>Allen!G41</f>
        <v>3848367</v>
      </c>
      <c r="AC7" s="59">
        <f t="shared" si="4"/>
        <v>47805720</v>
      </c>
      <c r="AD7" s="59">
        <f t="shared" ref="AD7" si="6">SUM(AC7,U7)</f>
        <v>49869167</v>
      </c>
      <c r="AE7" s="113" t="str">
        <f t="shared" si="5"/>
        <v>ok</v>
      </c>
      <c r="AF7" s="58">
        <f>Allen!G45</f>
        <v>49869167</v>
      </c>
    </row>
    <row r="8" spans="1:48" s="104" customFormat="1" ht="15.6">
      <c r="A8" s="108"/>
      <c r="B8" s="109" t="s">
        <v>743</v>
      </c>
      <c r="C8" s="213">
        <f>Ascension!I8</f>
        <v>42404828</v>
      </c>
      <c r="D8" s="110">
        <f>Ascension!I9</f>
        <v>93691087</v>
      </c>
      <c r="E8" s="110">
        <f>Ascension!I10</f>
        <v>31751994</v>
      </c>
      <c r="F8" s="110">
        <f>Ascension!I18+Ascension!I19</f>
        <v>209564510</v>
      </c>
      <c r="G8" s="110">
        <f>Ascension!I11</f>
        <v>5021470</v>
      </c>
      <c r="H8" s="110">
        <f>Ascension!I12+Ascension!I13+Ascension!I16</f>
        <v>1105585</v>
      </c>
      <c r="I8" s="110">
        <f t="shared" ref="I8:I15" si="7">SUM(C8:H8)</f>
        <v>383539474</v>
      </c>
      <c r="J8" s="113" t="str">
        <f t="shared" si="1"/>
        <v>ok</v>
      </c>
      <c r="K8" s="111">
        <f>Ascension!I21</f>
        <v>383539474</v>
      </c>
      <c r="L8" s="182">
        <f>Ascension!I24</f>
        <v>294404</v>
      </c>
      <c r="M8" s="110">
        <f>Ascension!I29+Ascension!I30</f>
        <v>7178944</v>
      </c>
      <c r="N8" s="110"/>
      <c r="O8" s="110">
        <f>Ascension!I36</f>
        <v>235409</v>
      </c>
      <c r="P8" s="110">
        <f>Ascension!I37</f>
        <v>667416</v>
      </c>
      <c r="Q8" s="110">
        <f>Ascension!I31</f>
        <v>269707</v>
      </c>
      <c r="R8" s="110">
        <f>Ascension!I39</f>
        <v>4335000</v>
      </c>
      <c r="S8" s="110">
        <f>Ascension!I40</f>
        <v>80612569</v>
      </c>
      <c r="T8" s="110">
        <f>Ascension!I32+Ascension!I34</f>
        <v>5065649</v>
      </c>
      <c r="U8" s="110">
        <f t="shared" ref="U8:U15" si="8">SUM(M8:T8)</f>
        <v>98364694</v>
      </c>
      <c r="V8" s="113" t="str">
        <f t="shared" si="3"/>
        <v>ok</v>
      </c>
      <c r="W8" s="111">
        <f>Ascension!I42</f>
        <v>98364694</v>
      </c>
      <c r="X8" s="112"/>
      <c r="Y8" s="182">
        <f>Ascension!I48</f>
        <v>629856</v>
      </c>
      <c r="Z8" s="110">
        <f>Ascension!I51</f>
        <v>127427898</v>
      </c>
      <c r="AA8" s="110">
        <f>Ascension!I53+Ascension!I54+Ascension!I55</f>
        <v>135228122</v>
      </c>
      <c r="AB8" s="110">
        <f>Ascension!I57</f>
        <v>22183308</v>
      </c>
      <c r="AC8" s="110">
        <f t="shared" ref="AC8:AC15" si="9">SUM(Z8:AB8)</f>
        <v>284839328</v>
      </c>
      <c r="AD8" s="110">
        <f t="shared" ref="AD8:AD10" si="10">SUM(AC8,U8)</f>
        <v>383204022</v>
      </c>
      <c r="AE8" s="113" t="str">
        <f t="shared" si="5"/>
        <v>ok</v>
      </c>
      <c r="AF8" s="111">
        <f>Ascension!I61</f>
        <v>383204022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ht="15.6">
      <c r="A9" s="56"/>
      <c r="B9" s="3" t="s">
        <v>744</v>
      </c>
      <c r="C9" s="59">
        <f>Assumption!H7</f>
        <v>2824757</v>
      </c>
      <c r="D9" s="59">
        <f>Assumption!H8+Assumption!H12</f>
        <v>60417455</v>
      </c>
      <c r="E9" s="59">
        <f>Assumption!H9</f>
        <v>5769470</v>
      </c>
      <c r="F9" s="59"/>
      <c r="G9" s="59"/>
      <c r="H9" s="59"/>
      <c r="I9" s="59">
        <f t="shared" si="7"/>
        <v>69011682</v>
      </c>
      <c r="J9" s="113" t="str">
        <f t="shared" si="1"/>
        <v>ok</v>
      </c>
      <c r="K9" s="58">
        <f>Assumption!H14</f>
        <v>69011682</v>
      </c>
      <c r="L9" s="181"/>
      <c r="M9" s="59">
        <f>Assumption!H18+Assumption!H19+Assumption!H21</f>
        <v>1553032</v>
      </c>
      <c r="N9" s="59"/>
      <c r="O9" s="59"/>
      <c r="P9" s="59"/>
      <c r="Q9" s="59"/>
      <c r="R9" s="59"/>
      <c r="S9" s="59"/>
      <c r="T9" s="59">
        <f>Assumption!H20+Assumption!H22</f>
        <v>585713</v>
      </c>
      <c r="U9" s="59">
        <f t="shared" si="8"/>
        <v>2138745</v>
      </c>
      <c r="V9" s="237" t="str">
        <f t="shared" si="3"/>
        <v>ok</v>
      </c>
      <c r="W9" s="58">
        <f>Assumption!H27</f>
        <v>2138745</v>
      </c>
      <c r="X9" s="60"/>
      <c r="Y9" s="181"/>
      <c r="Z9" s="59">
        <f>Assumption!H30</f>
        <v>42293964</v>
      </c>
      <c r="AA9" s="59"/>
      <c r="AB9" s="59">
        <f>Assumption!H32</f>
        <v>24582973</v>
      </c>
      <c r="AC9" s="59">
        <f t="shared" si="9"/>
        <v>66876937</v>
      </c>
      <c r="AD9" s="59">
        <f>SUM(AC9,U9)</f>
        <v>69015682</v>
      </c>
      <c r="AE9" s="237" t="str">
        <f t="shared" si="5"/>
        <v>ok</v>
      </c>
      <c r="AF9" s="58">
        <f>Assumption!H36</f>
        <v>69015682</v>
      </c>
    </row>
    <row r="10" spans="1:48" s="104" customFormat="1" ht="15.6">
      <c r="A10" s="108"/>
      <c r="B10" s="109" t="s">
        <v>745</v>
      </c>
      <c r="C10" s="110">
        <f>Avoyelles!H7</f>
        <v>9443859</v>
      </c>
      <c r="D10" s="110"/>
      <c r="E10" s="110">
        <f>Avoyelles!H8</f>
        <v>56433</v>
      </c>
      <c r="F10" s="110">
        <f>Avoyelles!H16</f>
        <v>4599312</v>
      </c>
      <c r="G10" s="110">
        <f>Avoyelles!H9</f>
        <v>2631894</v>
      </c>
      <c r="H10" s="110">
        <f>Avoyelles!H10+Avoyelles!H15</f>
        <v>739268</v>
      </c>
      <c r="I10" s="110">
        <f t="shared" si="7"/>
        <v>17470766</v>
      </c>
      <c r="J10" s="113" t="str">
        <f t="shared" si="1"/>
        <v>ok</v>
      </c>
      <c r="K10" s="111">
        <f>Avoyelles!H20</f>
        <v>17470766</v>
      </c>
      <c r="L10" s="182"/>
      <c r="M10" s="110">
        <f>Avoyelles!H24</f>
        <v>712402</v>
      </c>
      <c r="N10" s="110">
        <f>Avoyelles!H30</f>
        <v>99940</v>
      </c>
      <c r="O10" s="110"/>
      <c r="P10" s="110"/>
      <c r="Q10" s="110"/>
      <c r="R10" s="110"/>
      <c r="S10" s="110"/>
      <c r="T10" s="110">
        <f>Avoyelles!H25</f>
        <v>36260</v>
      </c>
      <c r="U10" s="110">
        <f t="shared" si="8"/>
        <v>848602</v>
      </c>
      <c r="V10" s="235" t="str">
        <f t="shared" si="3"/>
        <v>ok</v>
      </c>
      <c r="W10" s="111">
        <f>Avoyelles!H32</f>
        <v>848602</v>
      </c>
      <c r="X10" s="112"/>
      <c r="Y10" s="182"/>
      <c r="Z10" s="110">
        <f>Avoyelles!H35</f>
        <v>5189860</v>
      </c>
      <c r="AA10" s="110"/>
      <c r="AB10" s="110">
        <f>Avoyelles!H36</f>
        <v>11432304</v>
      </c>
      <c r="AC10" s="110">
        <f t="shared" si="9"/>
        <v>16622164</v>
      </c>
      <c r="AD10" s="110">
        <f t="shared" si="10"/>
        <v>17470766</v>
      </c>
      <c r="AE10" s="235" t="str">
        <f t="shared" si="5"/>
        <v>ok</v>
      </c>
      <c r="AF10" s="111">
        <f>Avoyelles!H40</f>
        <v>17470766</v>
      </c>
    </row>
    <row r="11" spans="1:48" ht="15.6">
      <c r="A11" s="56"/>
      <c r="B11" s="3" t="s">
        <v>746</v>
      </c>
      <c r="C11" s="59">
        <f>Beauregard!G6</f>
        <v>17545772</v>
      </c>
      <c r="D11" s="59"/>
      <c r="E11" s="59">
        <f>Beauregard!G7</f>
        <v>6974145</v>
      </c>
      <c r="F11" s="59">
        <f>Beauregard!G10+Beauregard!G11+Beauregard!G12+Beauregard!G13+Beauregard!G14</f>
        <v>31536926</v>
      </c>
      <c r="G11" s="59"/>
      <c r="H11" s="59">
        <f>Beauregard!G8</f>
        <v>204510</v>
      </c>
      <c r="I11" s="59">
        <f t="shared" si="7"/>
        <v>56261353</v>
      </c>
      <c r="J11" s="113" t="str">
        <f t="shared" si="1"/>
        <v>ok</v>
      </c>
      <c r="K11" s="58">
        <f>Beauregard!G16</f>
        <v>56261353</v>
      </c>
      <c r="L11" s="181"/>
      <c r="M11" s="59">
        <f>Beauregard!G19+Beauregard!G20</f>
        <v>1054101</v>
      </c>
      <c r="N11" s="59"/>
      <c r="O11" s="59"/>
      <c r="P11" s="59"/>
      <c r="Q11" s="59"/>
      <c r="R11" s="59">
        <f>Beauregard!G22</f>
        <v>553200</v>
      </c>
      <c r="S11" s="59">
        <f>Beauregard!G23</f>
        <v>4845000</v>
      </c>
      <c r="T11" s="59"/>
      <c r="U11" s="59">
        <f t="shared" si="8"/>
        <v>6452301</v>
      </c>
      <c r="V11" s="237" t="str">
        <f t="shared" si="3"/>
        <v>ok</v>
      </c>
      <c r="W11" s="58">
        <f>Beauregard!G25</f>
        <v>6452301</v>
      </c>
      <c r="X11" s="60"/>
      <c r="Y11" s="181"/>
      <c r="Z11" s="59">
        <f>Beauregard!G28</f>
        <v>26350226</v>
      </c>
      <c r="AA11" s="59">
        <f>Beauregard!G30+Beauregard!G31+Beauregard!G32+Beauregard!G33+Beauregard!G34+Beauregard!G35+Beauregard!G36+Beauregard!G37+Beauregard!G38+Beauregard!G39</f>
        <v>20688356</v>
      </c>
      <c r="AB11" s="59">
        <f>Beauregard!G40</f>
        <v>2770770</v>
      </c>
      <c r="AC11" s="59">
        <f t="shared" si="9"/>
        <v>49809352</v>
      </c>
      <c r="AD11" s="59">
        <f t="shared" ref="AD11:AD33" si="11">SUM(AC11,U11,Y11)</f>
        <v>56261653</v>
      </c>
      <c r="AE11" s="237" t="str">
        <f t="shared" si="5"/>
        <v>ok</v>
      </c>
      <c r="AF11" s="58">
        <f>Beauregard!G44</f>
        <v>56261653</v>
      </c>
    </row>
    <row r="12" spans="1:48" s="104" customFormat="1" ht="15.6">
      <c r="A12" s="108"/>
      <c r="B12" s="109" t="s">
        <v>747</v>
      </c>
      <c r="C12" s="110">
        <f>Bienville!G6</f>
        <v>17166902</v>
      </c>
      <c r="D12" s="110"/>
      <c r="E12" s="110">
        <f>Bienville!G7</f>
        <v>5274448</v>
      </c>
      <c r="F12" s="110">
        <f>Bienville!G8</f>
        <v>22504607</v>
      </c>
      <c r="G12" s="110"/>
      <c r="H12" s="110"/>
      <c r="I12" s="110">
        <f t="shared" si="7"/>
        <v>44945957</v>
      </c>
      <c r="J12" s="113" t="str">
        <f t="shared" si="1"/>
        <v>ok</v>
      </c>
      <c r="K12" s="111">
        <f>Bienville!G10</f>
        <v>44945957</v>
      </c>
      <c r="L12" s="182"/>
      <c r="M12" s="110">
        <f>Bienville!G13+Bienville!G14+Bienville!G15</f>
        <v>377396</v>
      </c>
      <c r="N12" s="110">
        <f>Bienville!G19</f>
        <v>80615</v>
      </c>
      <c r="O12" s="110">
        <f>Bienville!G16</f>
        <v>10365000</v>
      </c>
      <c r="P12" s="110"/>
      <c r="Q12" s="110"/>
      <c r="R12" s="110"/>
      <c r="S12" s="110"/>
      <c r="T12" s="110">
        <f>Bienville!G17+Bienville!G18+Bienville!G20</f>
        <v>2096420</v>
      </c>
      <c r="U12" s="110">
        <f t="shared" si="8"/>
        <v>12919431</v>
      </c>
      <c r="V12" s="235" t="str">
        <f t="shared" si="3"/>
        <v>ok</v>
      </c>
      <c r="W12" s="111">
        <f>Bienville!G22</f>
        <v>12919431</v>
      </c>
      <c r="X12" s="112"/>
      <c r="Y12" s="182"/>
      <c r="Z12" s="110">
        <f>Bienville!G25</f>
        <v>12139607</v>
      </c>
      <c r="AA12" s="110"/>
      <c r="AB12" s="110">
        <f>Bienville!G26</f>
        <v>19886919</v>
      </c>
      <c r="AC12" s="110">
        <f t="shared" si="9"/>
        <v>32026526</v>
      </c>
      <c r="AD12" s="110">
        <f t="shared" si="11"/>
        <v>44945957</v>
      </c>
      <c r="AE12" s="235" t="str">
        <f t="shared" si="5"/>
        <v>ok</v>
      </c>
      <c r="AF12" s="111">
        <f>Bienville!G30</f>
        <v>44945957</v>
      </c>
    </row>
    <row r="13" spans="1:48" ht="15.6">
      <c r="A13" s="56"/>
      <c r="B13" s="3" t="s">
        <v>748</v>
      </c>
      <c r="C13" s="59">
        <f>Bossier!H7+Bossier!H8</f>
        <v>45383369</v>
      </c>
      <c r="D13" s="59">
        <f>Bossier!H9</f>
        <v>170335</v>
      </c>
      <c r="E13" s="59">
        <f>Bossier!H10</f>
        <v>23074512</v>
      </c>
      <c r="F13" s="59">
        <f>Bossier!H13+Bossier!H14</f>
        <v>285126100</v>
      </c>
      <c r="G13" s="59"/>
      <c r="H13" s="59">
        <f>Bossier!H11+Bossier!H15</f>
        <v>9165938</v>
      </c>
      <c r="I13" s="59">
        <f t="shared" si="7"/>
        <v>362920254</v>
      </c>
      <c r="J13" s="113" t="str">
        <f t="shared" si="1"/>
        <v>ok</v>
      </c>
      <c r="K13" s="58">
        <f>Bossier!H17</f>
        <v>362920254</v>
      </c>
      <c r="L13" s="181"/>
      <c r="M13" s="59">
        <f>Bossier!H21</f>
        <v>5670884</v>
      </c>
      <c r="N13" s="59"/>
      <c r="O13" s="59"/>
      <c r="P13" s="59"/>
      <c r="Q13" s="59"/>
      <c r="R13" s="59">
        <f>Bossier!H25</f>
        <v>4998865</v>
      </c>
      <c r="S13" s="59">
        <f>Bossier!H26</f>
        <v>56933777</v>
      </c>
      <c r="T13" s="59"/>
      <c r="U13" s="59">
        <f t="shared" si="8"/>
        <v>67603526</v>
      </c>
      <c r="V13" s="237" t="str">
        <f t="shared" si="3"/>
        <v>ok</v>
      </c>
      <c r="W13" s="58">
        <f>Bossier!H28</f>
        <v>67603526</v>
      </c>
      <c r="X13" s="60"/>
      <c r="Y13" s="181">
        <f>Bossier!H31</f>
        <v>15065078</v>
      </c>
      <c r="Z13" s="59">
        <f>Bossier!H34</f>
        <v>234828358</v>
      </c>
      <c r="AA13" s="59">
        <f>Bossier!H36+Bossier!H37+Bossier!H38+Bossier!H39+Bossier!H40+Bossier!H41+Bossier!H42+Bossier!H43</f>
        <v>24349790</v>
      </c>
      <c r="AB13" s="59">
        <f>Bossier!H44</f>
        <v>21073502</v>
      </c>
      <c r="AC13" s="59">
        <f t="shared" si="9"/>
        <v>280251650</v>
      </c>
      <c r="AD13" s="59">
        <f t="shared" si="11"/>
        <v>362920254</v>
      </c>
      <c r="AE13" s="237" t="str">
        <f t="shared" si="5"/>
        <v>ok</v>
      </c>
      <c r="AF13" s="58">
        <f>Bossier!H48</f>
        <v>362920254</v>
      </c>
    </row>
    <row r="14" spans="1:48" s="104" customFormat="1">
      <c r="B14" s="109" t="s">
        <v>749</v>
      </c>
      <c r="C14" s="110">
        <f>Caddo!H7</f>
        <v>15950171</v>
      </c>
      <c r="D14" s="110">
        <f>Caddo!H8</f>
        <v>119354639</v>
      </c>
      <c r="E14" s="110">
        <f>Caddo!H9</f>
        <v>56915285</v>
      </c>
      <c r="F14" s="110">
        <f>Caddo!H15+Caddo!H16</f>
        <v>203943111</v>
      </c>
      <c r="G14" s="110">
        <f>Caddo!H10</f>
        <v>3504844</v>
      </c>
      <c r="H14" s="110">
        <f>Caddo!H12+Caddo!H13</f>
        <v>213957</v>
      </c>
      <c r="I14" s="110">
        <f t="shared" si="7"/>
        <v>399882007</v>
      </c>
      <c r="J14" s="113" t="str">
        <f t="shared" si="1"/>
        <v>ok</v>
      </c>
      <c r="K14" s="111">
        <f>Caddo!H18</f>
        <v>399882007</v>
      </c>
      <c r="L14" s="182">
        <f>Caddo!H23</f>
        <v>400028674</v>
      </c>
      <c r="M14" s="110">
        <f>Caddo!H26+Caddo!H27+Caddo!H28+Caddo!H29+Caddo!H30</f>
        <v>5293691</v>
      </c>
      <c r="N14" s="110"/>
      <c r="O14" s="110"/>
      <c r="P14" s="110"/>
      <c r="Q14" s="110">
        <f>Caddo!H31+Caddo!H32</f>
        <v>639102</v>
      </c>
      <c r="R14" s="110">
        <f>Caddo!H35</f>
        <v>3114529</v>
      </c>
      <c r="S14" s="110">
        <f>Caddo!H36</f>
        <v>40226768</v>
      </c>
      <c r="T14" s="110">
        <f>Caddo!H33</f>
        <v>35478</v>
      </c>
      <c r="U14" s="110">
        <f t="shared" si="8"/>
        <v>49309568</v>
      </c>
      <c r="V14" s="235" t="str">
        <f t="shared" si="3"/>
        <v>ok</v>
      </c>
      <c r="W14" s="111">
        <f>Caddo!H38</f>
        <v>49309568</v>
      </c>
      <c r="X14" s="112"/>
      <c r="Y14" s="182">
        <f>Caddo!H41</f>
        <v>0</v>
      </c>
      <c r="Z14" s="110">
        <f>Caddo!H45</f>
        <v>172306406</v>
      </c>
      <c r="AA14" s="110">
        <f>Caddo!H47+Caddo!H48+Caddo!H49+Caddo!H50+Caddo!H51+Caddo!H52+Caddo!H53+Caddo!H54</f>
        <v>111590102</v>
      </c>
      <c r="AB14" s="110">
        <f>Caddo!H56</f>
        <v>66822598</v>
      </c>
      <c r="AC14" s="110">
        <f t="shared" si="9"/>
        <v>350719106</v>
      </c>
      <c r="AD14" s="110">
        <f>SUM(AC14,U14,Y14)</f>
        <v>400028674</v>
      </c>
      <c r="AE14" s="235" t="str">
        <f t="shared" si="5"/>
        <v>ok</v>
      </c>
      <c r="AF14" s="111">
        <f>Caddo!H60</f>
        <v>400028674</v>
      </c>
    </row>
    <row r="15" spans="1:48" ht="15.6">
      <c r="A15" s="56"/>
      <c r="B15" s="3" t="s">
        <v>750</v>
      </c>
      <c r="C15" s="59">
        <f>Calcasieu!H7</f>
        <v>58437555</v>
      </c>
      <c r="D15" s="59">
        <f>Calcasieu!H8</f>
        <v>208827036</v>
      </c>
      <c r="E15" s="59">
        <f>Calcasieu!H9+Calcasieu!H10+Calcasieu!H13</f>
        <v>57633351</v>
      </c>
      <c r="F15" s="59">
        <f>Calcasieu!H22+Calcasieu!H23</f>
        <v>518808191</v>
      </c>
      <c r="G15" s="59">
        <f>Calcasieu!H11</f>
        <v>27125</v>
      </c>
      <c r="H15" s="59">
        <f>Calcasieu!H14+Calcasieu!H15</f>
        <v>1411501</v>
      </c>
      <c r="I15" s="59">
        <f t="shared" si="7"/>
        <v>845144759</v>
      </c>
      <c r="J15" s="113" t="str">
        <f t="shared" si="1"/>
        <v>ok</v>
      </c>
      <c r="K15" s="58">
        <f>Calcasieu!H25</f>
        <v>845144759</v>
      </c>
      <c r="L15" s="181">
        <f>Calcasieu!H28</f>
        <v>0</v>
      </c>
      <c r="M15" s="59">
        <f>Calcasieu!H31+Calcasieu!H32</f>
        <v>11484125</v>
      </c>
      <c r="N15" s="59"/>
      <c r="O15" s="59"/>
      <c r="P15" s="59"/>
      <c r="Q15" s="59">
        <f>Calcasieu!H34</f>
        <v>58216</v>
      </c>
      <c r="R15" s="59">
        <f>Calcasieu!H39</f>
        <v>2707932</v>
      </c>
      <c r="S15" s="59">
        <f>Calcasieu!H40</f>
        <v>7467672</v>
      </c>
      <c r="T15" s="59">
        <f>Calcasieu!H35+Calcasieu!H36</f>
        <v>1460915</v>
      </c>
      <c r="U15" s="59">
        <f t="shared" si="8"/>
        <v>23178860</v>
      </c>
      <c r="V15" s="113" t="str">
        <f t="shared" si="3"/>
        <v>ok</v>
      </c>
      <c r="W15" s="58">
        <f>Calcasieu!H42</f>
        <v>23178860</v>
      </c>
      <c r="X15" s="60"/>
      <c r="Y15" s="181">
        <f>Calcasieu!H45</f>
        <v>47096091</v>
      </c>
      <c r="Z15" s="59">
        <f>Calcasieu!H48</f>
        <v>518808191</v>
      </c>
      <c r="AA15" s="59">
        <f>Calcasieu!H51+Calcasieu!H52</f>
        <v>178007975</v>
      </c>
      <c r="AB15" s="59">
        <f>Calcasieu!H53</f>
        <v>78053642</v>
      </c>
      <c r="AC15" s="59">
        <f t="shared" si="9"/>
        <v>774869808</v>
      </c>
      <c r="AD15" s="59">
        <f t="shared" si="11"/>
        <v>845144759</v>
      </c>
      <c r="AE15" s="229" t="str">
        <f t="shared" si="5"/>
        <v>ok</v>
      </c>
      <c r="AF15" s="58">
        <f>Calcasieu!H57</f>
        <v>845144759</v>
      </c>
    </row>
    <row r="16" spans="1:48" s="104" customFormat="1">
      <c r="B16" s="109" t="s">
        <v>751</v>
      </c>
      <c r="C16" s="110">
        <f>Caldwell!G6</f>
        <v>7860568</v>
      </c>
      <c r="D16" s="110"/>
      <c r="E16" s="110">
        <f>Caldwell!G7</f>
        <v>1821397</v>
      </c>
      <c r="F16" s="110">
        <f>Caldwell!G8</f>
        <v>14109112</v>
      </c>
      <c r="G16" s="110"/>
      <c r="H16" s="110"/>
      <c r="I16" s="110">
        <f t="shared" ref="I16:I21" si="12">SUM(C16:H16)</f>
        <v>23791077</v>
      </c>
      <c r="J16" s="113" t="str">
        <f t="shared" si="1"/>
        <v>ok</v>
      </c>
      <c r="K16" s="111">
        <f>Caldwell!G10</f>
        <v>23791077</v>
      </c>
      <c r="L16" s="182"/>
      <c r="M16" s="110">
        <f>Caldwell!G13</f>
        <v>244089</v>
      </c>
      <c r="N16" s="110">
        <f>Caldwell!G15</f>
        <v>119522</v>
      </c>
      <c r="O16" s="110"/>
      <c r="P16" s="110"/>
      <c r="Q16" s="110">
        <f>Caldwell!G14</f>
        <v>57698</v>
      </c>
      <c r="R16" s="110"/>
      <c r="S16" s="110"/>
      <c r="T16" s="110"/>
      <c r="U16" s="110">
        <f t="shared" ref="U16:U21" si="13">SUM(M16:T16)</f>
        <v>421309</v>
      </c>
      <c r="V16" s="113" t="str">
        <f t="shared" si="3"/>
        <v>ok</v>
      </c>
      <c r="W16" s="111">
        <f>Caldwell!G17</f>
        <v>421309</v>
      </c>
      <c r="X16" s="112"/>
      <c r="Y16" s="182"/>
      <c r="Z16" s="110">
        <f>Caldwell!G20</f>
        <v>14109112</v>
      </c>
      <c r="AA16" s="110">
        <f>Caldwell!G21</f>
        <v>6856564</v>
      </c>
      <c r="AB16" s="110">
        <f>Caldwell!G22</f>
        <v>2404092</v>
      </c>
      <c r="AC16" s="110">
        <f t="shared" ref="AC16:AC21" si="14">SUM(Z16:AB16)</f>
        <v>23369768</v>
      </c>
      <c r="AD16" s="110">
        <f t="shared" si="11"/>
        <v>23791077</v>
      </c>
      <c r="AE16" s="229" t="str">
        <f t="shared" si="5"/>
        <v>ok</v>
      </c>
      <c r="AF16" s="111">
        <f>Caldwell!G26</f>
        <v>23791077</v>
      </c>
    </row>
    <row r="17" spans="1:32" ht="15.6">
      <c r="A17" s="56"/>
      <c r="B17" s="3" t="s">
        <v>752</v>
      </c>
      <c r="C17" s="59">
        <f>Cameron!G6</f>
        <v>28467308</v>
      </c>
      <c r="D17" s="59">
        <f>Cameron!G7</f>
        <v>16614795</v>
      </c>
      <c r="E17" s="59"/>
      <c r="F17" s="59">
        <f>Cameron!G10</f>
        <v>123967765</v>
      </c>
      <c r="G17" s="59"/>
      <c r="H17" s="59">
        <f>Cameron!G8+Cameron!G9</f>
        <v>1969476</v>
      </c>
      <c r="I17" s="59">
        <f t="shared" si="12"/>
        <v>171019344</v>
      </c>
      <c r="J17" s="113" t="str">
        <f t="shared" si="1"/>
        <v>ok</v>
      </c>
      <c r="K17" s="58">
        <f>Cameron!G12</f>
        <v>171019344</v>
      </c>
      <c r="L17" s="181"/>
      <c r="M17" s="59">
        <f>Cameron!G15+Cameron!G18</f>
        <v>3941757</v>
      </c>
      <c r="N17" s="59"/>
      <c r="O17" s="59"/>
      <c r="P17" s="59"/>
      <c r="Q17" s="59">
        <f>Cameron!G16</f>
        <v>2623074</v>
      </c>
      <c r="R17" s="59">
        <f>Cameron!G20</f>
        <v>1420448</v>
      </c>
      <c r="S17" s="59">
        <f>Cameron!G21</f>
        <v>4202746</v>
      </c>
      <c r="T17" s="59">
        <f>Cameron!G17</f>
        <v>17231</v>
      </c>
      <c r="U17" s="59">
        <f t="shared" si="13"/>
        <v>12205256</v>
      </c>
      <c r="V17" s="113" t="str">
        <f t="shared" si="3"/>
        <v>ok</v>
      </c>
      <c r="W17" s="58">
        <f>Cameron!G23</f>
        <v>12205256</v>
      </c>
      <c r="X17" s="60"/>
      <c r="Y17" s="181">
        <f>Cameron!G25</f>
        <v>0</v>
      </c>
      <c r="Z17" s="59">
        <f>Cameron!G28</f>
        <v>118625621</v>
      </c>
      <c r="AA17" s="59">
        <f>Cameron!G30+Cameron!G31+Cameron!G32+Cameron!G33+Cameron!G34</f>
        <v>3067343</v>
      </c>
      <c r="AB17" s="59">
        <f>Cameron!G35</f>
        <v>37121124</v>
      </c>
      <c r="AC17" s="59">
        <f t="shared" si="14"/>
        <v>158814088</v>
      </c>
      <c r="AD17" s="59">
        <f t="shared" si="11"/>
        <v>171019344</v>
      </c>
      <c r="AE17" s="229" t="str">
        <f t="shared" si="5"/>
        <v>ok</v>
      </c>
      <c r="AF17" s="58">
        <f>Cameron!G39</f>
        <v>171019344</v>
      </c>
    </row>
    <row r="18" spans="1:32" s="104" customFormat="1" ht="15.6">
      <c r="A18" s="108"/>
      <c r="B18" s="109" t="s">
        <v>753</v>
      </c>
      <c r="C18" s="110">
        <f>Catahoula!H7+Catahoula!H8</f>
        <v>2316921</v>
      </c>
      <c r="D18" s="110"/>
      <c r="E18" s="110">
        <f>Catahoula!H10</f>
        <v>1411486</v>
      </c>
      <c r="F18" s="110">
        <f>Catahoula!H12</f>
        <v>5862816</v>
      </c>
      <c r="G18" s="110"/>
      <c r="H18" s="110">
        <f>Catahoula!H11</f>
        <v>81766</v>
      </c>
      <c r="I18" s="110">
        <f t="shared" si="12"/>
        <v>9672989</v>
      </c>
      <c r="J18" s="113" t="str">
        <f t="shared" si="1"/>
        <v>ok</v>
      </c>
      <c r="K18" s="111">
        <f>Catahoula!H14</f>
        <v>9672989</v>
      </c>
      <c r="L18" s="182"/>
      <c r="M18" s="110">
        <f>Catahoula!H17</f>
        <v>144719</v>
      </c>
      <c r="N18" s="110">
        <f>Catahoula!H18</f>
        <v>32033</v>
      </c>
      <c r="O18" s="110"/>
      <c r="P18" s="110"/>
      <c r="Q18" s="110"/>
      <c r="R18" s="110">
        <f>Catahoula!H19</f>
        <v>104000</v>
      </c>
      <c r="S18" s="110">
        <f>Catahoula!H20</f>
        <v>272000</v>
      </c>
      <c r="T18" s="110"/>
      <c r="U18" s="110">
        <f t="shared" si="13"/>
        <v>552752</v>
      </c>
      <c r="V18" s="113" t="str">
        <f t="shared" si="3"/>
        <v>ok</v>
      </c>
      <c r="W18" s="111">
        <f>Catahoula!H22</f>
        <v>552752</v>
      </c>
      <c r="X18" s="112"/>
      <c r="Y18" s="182">
        <f>Catahoula!H25</f>
        <v>14777</v>
      </c>
      <c r="Z18" s="110">
        <f>Catahoula!H28</f>
        <v>5750215</v>
      </c>
      <c r="AA18" s="110"/>
      <c r="AB18" s="110">
        <f>Catahoula!H29</f>
        <v>3220628</v>
      </c>
      <c r="AC18" s="110">
        <f t="shared" si="14"/>
        <v>8970843</v>
      </c>
      <c r="AD18" s="110">
        <f t="shared" si="11"/>
        <v>9538372</v>
      </c>
      <c r="AE18" s="229" t="str">
        <f t="shared" si="5"/>
        <v>ok</v>
      </c>
      <c r="AF18" s="111">
        <f>Catahoula!H33</f>
        <v>9538372</v>
      </c>
    </row>
    <row r="19" spans="1:32" ht="15.6">
      <c r="A19" s="56"/>
      <c r="B19" s="3" t="s">
        <v>754</v>
      </c>
      <c r="C19" s="59">
        <f>Claiborne!G6</f>
        <v>6269126</v>
      </c>
      <c r="D19" s="59">
        <f>Claiborne!G7</f>
        <v>797211</v>
      </c>
      <c r="E19" s="59">
        <f>Claiborne!G8</f>
        <v>3084505</v>
      </c>
      <c r="F19" s="59">
        <f>Claiborne!G11</f>
        <v>8219499</v>
      </c>
      <c r="G19" s="59"/>
      <c r="H19" s="59">
        <f>Claiborne!G9+Claiborne!G10</f>
        <v>129699</v>
      </c>
      <c r="I19" s="59">
        <f t="shared" si="12"/>
        <v>18500040</v>
      </c>
      <c r="J19" s="113" t="str">
        <f t="shared" si="1"/>
        <v>ok</v>
      </c>
      <c r="K19" s="58">
        <f>Claiborne!G13</f>
        <v>18500040</v>
      </c>
      <c r="L19" s="181" t="e">
        <f>'[1]East Baton Rouge'!C33+'[1]East Baton Rouge'!C34</f>
        <v>#REF!</v>
      </c>
      <c r="M19" s="59">
        <f>Claiborne!G16</f>
        <v>446867</v>
      </c>
      <c r="N19" s="59">
        <f>Claiborne!G19</f>
        <v>57248</v>
      </c>
      <c r="O19" s="59"/>
      <c r="P19" s="59"/>
      <c r="Q19" s="59">
        <f>Claiborne!G17</f>
        <v>14025</v>
      </c>
      <c r="R19" s="59">
        <f>Claiborne!G20</f>
        <v>155000</v>
      </c>
      <c r="S19" s="59">
        <f>Claiborne!G21</f>
        <v>1545000</v>
      </c>
      <c r="T19" s="59">
        <f>Claiborne!G18</f>
        <v>15626</v>
      </c>
      <c r="U19" s="59">
        <f t="shared" si="13"/>
        <v>2233766</v>
      </c>
      <c r="V19" s="113" t="str">
        <f t="shared" si="3"/>
        <v>ok</v>
      </c>
      <c r="W19" s="58">
        <f>Claiborne!G23</f>
        <v>2233766</v>
      </c>
      <c r="X19" s="60"/>
      <c r="Y19" s="181"/>
      <c r="Z19" s="59">
        <f>Claiborne!G26</f>
        <v>6362770</v>
      </c>
      <c r="AA19" s="59">
        <f>Claiborne!G28+Claiborne!G29+Claiborne!G30+Claiborne!G31+Claiborne!G32+Claiborne!G33</f>
        <v>5284111</v>
      </c>
      <c r="AB19" s="59">
        <f>Claiborne!G34</f>
        <v>4619394</v>
      </c>
      <c r="AC19" s="59">
        <f t="shared" si="14"/>
        <v>16266275</v>
      </c>
      <c r="AD19" s="59">
        <f t="shared" si="11"/>
        <v>18500041</v>
      </c>
      <c r="AE19" s="229" t="str">
        <f t="shared" si="5"/>
        <v>ok</v>
      </c>
      <c r="AF19" s="58">
        <f>Claiborne!G38</f>
        <v>18500041</v>
      </c>
    </row>
    <row r="20" spans="1:32" s="104" customFormat="1" ht="15.6">
      <c r="A20" s="108"/>
      <c r="B20" s="109" t="s">
        <v>755</v>
      </c>
      <c r="C20" s="110">
        <f>Concodria!G7+Concodria!G8</f>
        <v>9701648</v>
      </c>
      <c r="D20" s="110"/>
      <c r="E20" s="110">
        <f>Concodria!G9+Concodria!G10+Concodria!G11+Concodria!G12</f>
        <v>2168356</v>
      </c>
      <c r="F20" s="110"/>
      <c r="G20" s="110"/>
      <c r="H20" s="110"/>
      <c r="I20" s="110">
        <f t="shared" si="12"/>
        <v>11870004</v>
      </c>
      <c r="J20" s="113" t="str">
        <f t="shared" si="1"/>
        <v>ok</v>
      </c>
      <c r="K20" s="111">
        <f>Concodria!G14</f>
        <v>11870004</v>
      </c>
      <c r="L20" s="182"/>
      <c r="M20" s="110">
        <f>Concodria!G22+Concodria!G23</f>
        <v>413667</v>
      </c>
      <c r="N20" s="110"/>
      <c r="O20" s="110"/>
      <c r="P20" s="110"/>
      <c r="Q20" s="110"/>
      <c r="R20" s="110">
        <f>Concodria!G25</f>
        <v>390767</v>
      </c>
      <c r="S20" s="110">
        <f>Concodria!G29</f>
        <v>9013491</v>
      </c>
      <c r="T20" s="110">
        <f>Concodria!G24</f>
        <v>83974</v>
      </c>
      <c r="U20" s="110">
        <f t="shared" si="13"/>
        <v>9901899</v>
      </c>
      <c r="V20" s="113" t="str">
        <f t="shared" si="3"/>
        <v>ok</v>
      </c>
      <c r="W20" s="111">
        <f>Concodria!G31</f>
        <v>9901899</v>
      </c>
      <c r="X20" s="112"/>
      <c r="Y20" s="182"/>
      <c r="Z20" s="110">
        <f>Concodria!G34</f>
        <v>1120455</v>
      </c>
      <c r="AA20" s="110">
        <f>Concodria!G36+Concodria!G37</f>
        <v>8020129</v>
      </c>
      <c r="AB20" s="110">
        <f>Concodria!G38</f>
        <v>3043150</v>
      </c>
      <c r="AC20" s="110">
        <f t="shared" si="14"/>
        <v>12183734</v>
      </c>
      <c r="AD20" s="110">
        <f t="shared" si="11"/>
        <v>22085633</v>
      </c>
      <c r="AE20" s="229" t="str">
        <f t="shared" si="5"/>
        <v>ok</v>
      </c>
      <c r="AF20" s="111">
        <f>Concodria!G42</f>
        <v>22085633</v>
      </c>
    </row>
    <row r="21" spans="1:32" ht="15.6">
      <c r="A21" s="56"/>
      <c r="B21" s="3" t="s">
        <v>756</v>
      </c>
      <c r="C21" s="59">
        <f>DeSoto!H7</f>
        <v>13162797</v>
      </c>
      <c r="D21" s="59">
        <f>DeSoto!H8</f>
        <v>20355526</v>
      </c>
      <c r="E21" s="59">
        <f>DeSoto!H9</f>
        <v>13659168</v>
      </c>
      <c r="F21" s="59">
        <f>DeSoto!H11</f>
        <v>73781725</v>
      </c>
      <c r="G21" s="59"/>
      <c r="H21" s="59">
        <f>DeSoto!H10</f>
        <v>38185</v>
      </c>
      <c r="I21" s="59">
        <f t="shared" si="12"/>
        <v>120997401</v>
      </c>
      <c r="J21" s="229" t="str">
        <f t="shared" si="1"/>
        <v>ok</v>
      </c>
      <c r="K21" s="58">
        <f>DeSoto!H13</f>
        <v>120997401</v>
      </c>
      <c r="L21" s="181"/>
      <c r="M21" s="59">
        <f>DeSoto!H16</f>
        <v>1106355</v>
      </c>
      <c r="N21" s="59">
        <f>DeSoto!H22</f>
        <v>307960</v>
      </c>
      <c r="O21" s="59"/>
      <c r="P21" s="59"/>
      <c r="Q21" s="59">
        <f>DeSoto!H20</f>
        <v>207897</v>
      </c>
      <c r="R21" s="59">
        <f>DeSoto!H25</f>
        <v>5326</v>
      </c>
      <c r="S21" s="59">
        <f>DeSoto!H26</f>
        <v>450</v>
      </c>
      <c r="T21" s="59">
        <f>DeSoto!H17+DeSoto!H18+DeSoto!H19+DeSoto!H21+DeSoto!H23</f>
        <v>5310534</v>
      </c>
      <c r="U21" s="59">
        <f t="shared" si="13"/>
        <v>6938522</v>
      </c>
      <c r="V21" s="113" t="str">
        <f t="shared" ref="V21" si="15">IF(U21=W21, "ok", "check")</f>
        <v>ok</v>
      </c>
      <c r="W21" s="58">
        <f>DeSoto!H28</f>
        <v>6938522</v>
      </c>
      <c r="X21" s="60"/>
      <c r="Y21" s="181"/>
      <c r="Z21" s="59">
        <f>DeSoto!H31</f>
        <v>73775949</v>
      </c>
      <c r="AA21" s="59">
        <f>DeSoto!H32</f>
        <v>5776</v>
      </c>
      <c r="AB21" s="59">
        <f>DeSoto!H33</f>
        <v>40277154</v>
      </c>
      <c r="AC21" s="59">
        <f t="shared" si="14"/>
        <v>114058879</v>
      </c>
      <c r="AD21" s="59">
        <f t="shared" si="11"/>
        <v>120997401</v>
      </c>
      <c r="AE21" s="229" t="str">
        <f t="shared" ref="AE21" si="16">IF(AD21=AF21, "ok", "check")</f>
        <v>ok</v>
      </c>
      <c r="AF21" s="58">
        <f>DeSoto!H37</f>
        <v>120997401</v>
      </c>
    </row>
    <row r="22" spans="1:32" s="220" customFormat="1" ht="15.6">
      <c r="A22" s="214"/>
      <c r="B22" s="215" t="s">
        <v>757</v>
      </c>
      <c r="C22" s="216">
        <f>'East Baton Rouge'!H8</f>
        <v>192939199</v>
      </c>
      <c r="D22" s="216">
        <f>'East Baton Rouge'!H9</f>
        <v>188791227</v>
      </c>
      <c r="E22" s="216">
        <f>'East Baton Rouge'!H10+'East Baton Rouge'!H13</f>
        <v>56870163</v>
      </c>
      <c r="F22" s="216">
        <f>'East Baton Rouge'!H23+'East Baton Rouge'!H24</f>
        <v>878648378</v>
      </c>
      <c r="G22" s="216">
        <f>'East Baton Rouge'!H11</f>
        <v>84764697</v>
      </c>
      <c r="H22" s="216">
        <f>'East Baton Rouge'!H12+'East Baton Rouge'!H14</f>
        <v>1514732</v>
      </c>
      <c r="I22" s="216">
        <f t="shared" ref="I22:I26" si="17">SUM(C22:H22)</f>
        <v>1403528396</v>
      </c>
      <c r="J22" s="229" t="str">
        <f t="shared" si="1"/>
        <v>ok</v>
      </c>
      <c r="K22" s="217">
        <f>'East Baton Rouge'!H26</f>
        <v>1403528396</v>
      </c>
      <c r="L22" s="218">
        <f>'East Baton Rouge'!H33</f>
        <v>20842929</v>
      </c>
      <c r="M22" s="216">
        <f>'East Baton Rouge'!H36</f>
        <v>43709310</v>
      </c>
      <c r="N22" s="216"/>
      <c r="O22" s="216"/>
      <c r="P22" s="216"/>
      <c r="Q22" s="216">
        <f>'East Baton Rouge'!H37</f>
        <v>7697870</v>
      </c>
      <c r="R22" s="216">
        <f>'East Baton Rouge'!H43</f>
        <v>30338476</v>
      </c>
      <c r="S22" s="216">
        <f>'East Baton Rouge'!H44</f>
        <v>698794643</v>
      </c>
      <c r="T22" s="216">
        <f>'East Baton Rouge'!H38+'East Baton Rouge'!H39+'East Baton Rouge'!H40</f>
        <v>35847513</v>
      </c>
      <c r="U22" s="216">
        <f t="shared" ref="U22:U25" si="18">SUM(M22:T22)</f>
        <v>816387812</v>
      </c>
      <c r="V22" s="229" t="str">
        <f t="shared" ref="V22" si="19">IF(U22=W22, "ok", "check")</f>
        <v>ok</v>
      </c>
      <c r="W22" s="217">
        <f>'East Baton Rouge'!H46</f>
        <v>816387812</v>
      </c>
      <c r="X22" s="219"/>
      <c r="Y22" s="218">
        <f>'East Baton Rouge'!H49</f>
        <v>351292</v>
      </c>
      <c r="Z22" s="216">
        <f>'East Baton Rouge'!H52</f>
        <v>650424770</v>
      </c>
      <c r="AA22" s="216">
        <f>'East Baton Rouge'!H54+'East Baton Rouge'!H55+'East Baton Rouge'!H57</f>
        <v>195912751</v>
      </c>
      <c r="AB22" s="216">
        <f>'East Baton Rouge'!H58</f>
        <v>-238705300</v>
      </c>
      <c r="AC22" s="216">
        <f t="shared" ref="AC22:AC25" si="20">SUM(Z22:AB22)</f>
        <v>607632221</v>
      </c>
      <c r="AD22" s="216">
        <f t="shared" si="11"/>
        <v>1424371325</v>
      </c>
      <c r="AE22" s="229" t="str">
        <f t="shared" ref="AE22" si="21">IF(AD22=AF22, "ok", "check")</f>
        <v>ok</v>
      </c>
      <c r="AF22" s="217">
        <f>'East Baton Rouge'!H62</f>
        <v>1424371325</v>
      </c>
    </row>
    <row r="23" spans="1:32">
      <c r="B23" s="3" t="s">
        <v>758</v>
      </c>
      <c r="C23" s="59">
        <f>'East Carroll'!H7</f>
        <v>2275206</v>
      </c>
      <c r="D23" s="59">
        <f>'East Carroll'!H8</f>
        <v>773667</v>
      </c>
      <c r="E23" s="59">
        <f>'East Carroll'!H9</f>
        <v>2551513</v>
      </c>
      <c r="F23" s="59">
        <f>'East Carroll'!H12+'East Carroll'!H13</f>
        <v>6358983</v>
      </c>
      <c r="G23" s="59"/>
      <c r="H23" s="59"/>
      <c r="I23" s="59">
        <f t="shared" si="17"/>
        <v>11959369</v>
      </c>
      <c r="J23" s="229" t="str">
        <f t="shared" si="1"/>
        <v>ok</v>
      </c>
      <c r="K23" s="58">
        <f>'East Carroll'!H15</f>
        <v>11959369</v>
      </c>
      <c r="L23" s="181"/>
      <c r="M23" s="59">
        <f>'East Carroll'!H18+'East Carroll'!H19</f>
        <v>213644</v>
      </c>
      <c r="N23" s="59"/>
      <c r="O23" s="59"/>
      <c r="P23" s="59"/>
      <c r="Q23" s="59"/>
      <c r="R23" s="59">
        <f>'East Carroll'!H21</f>
        <v>154753</v>
      </c>
      <c r="S23" s="59">
        <f>'East Carroll'!H22</f>
        <v>457009</v>
      </c>
      <c r="T23" s="59"/>
      <c r="U23" s="59">
        <f t="shared" si="18"/>
        <v>825406</v>
      </c>
      <c r="V23" s="113" t="str">
        <f t="shared" ref="V23:V69" si="22">IF(U23=W23, "ok", "check")</f>
        <v>ok</v>
      </c>
      <c r="W23" s="58">
        <f>'East Carroll'!H24</f>
        <v>825406</v>
      </c>
      <c r="X23" s="60"/>
      <c r="Y23" s="181"/>
      <c r="Z23" s="59">
        <f>'East Carroll'!H27</f>
        <v>5755524</v>
      </c>
      <c r="AA23" s="59">
        <f>'East Carroll'!H29+'East Carroll'!H30+'East Carroll'!H31+'East Carroll'!H32+'East Carroll'!H33+'East Carroll'!H34+'East Carroll'!H35+'East Carroll'!H36+'East Carroll'!H37</f>
        <v>4564579</v>
      </c>
      <c r="AB23" s="59">
        <f>'East Carroll'!H39</f>
        <v>813860</v>
      </c>
      <c r="AC23" s="59">
        <f t="shared" si="20"/>
        <v>11133963</v>
      </c>
      <c r="AD23" s="59">
        <f t="shared" si="11"/>
        <v>11959369</v>
      </c>
      <c r="AE23" s="229" t="str">
        <f t="shared" ref="AE23:AE69" si="23">IF(AD23=AF23, "ok", "check")</f>
        <v>ok</v>
      </c>
      <c r="AF23" s="58">
        <f>'East Carroll'!H43</f>
        <v>11959369</v>
      </c>
    </row>
    <row r="24" spans="1:32" s="104" customFormat="1" ht="15.6">
      <c r="A24" s="108"/>
      <c r="B24" s="109" t="s">
        <v>759</v>
      </c>
      <c r="C24" s="110">
        <f>'East Feliciana'!G6</f>
        <v>5002609.6100000003</v>
      </c>
      <c r="D24" s="110"/>
      <c r="E24" s="110">
        <f>'East Feliciana'!G7</f>
        <v>1124824.82</v>
      </c>
      <c r="F24" s="110">
        <f>'East Feliciana'!G10</f>
        <v>12861749.24</v>
      </c>
      <c r="G24" s="110">
        <f>'East Feliciana'!G8+'East Feliciana'!G9</f>
        <v>1923014.46</v>
      </c>
      <c r="H24" s="110"/>
      <c r="I24" s="110">
        <f t="shared" si="17"/>
        <v>20912198.130000003</v>
      </c>
      <c r="J24" s="229" t="str">
        <f t="shared" si="1"/>
        <v>ok</v>
      </c>
      <c r="K24" s="111">
        <f>'East Feliciana'!G12</f>
        <v>20912198.130000003</v>
      </c>
      <c r="L24" s="182">
        <f>'East Feliciana'!G15</f>
        <v>0</v>
      </c>
      <c r="M24" s="110">
        <f>'East Feliciana'!G18</f>
        <v>735676.08</v>
      </c>
      <c r="N24" s="110">
        <f>'East Feliciana'!G21</f>
        <v>13428</v>
      </c>
      <c r="O24" s="110"/>
      <c r="P24" s="110"/>
      <c r="Q24" s="110">
        <f>'East Feliciana'!G19+'East Feliciana'!G20</f>
        <v>1466996.62</v>
      </c>
      <c r="R24" s="110"/>
      <c r="S24" s="110"/>
      <c r="T24" s="110"/>
      <c r="U24" s="110">
        <f t="shared" ref="U24" si="24">SUM(M24:T24)</f>
        <v>2216100.7000000002</v>
      </c>
      <c r="V24" s="113" t="str">
        <f t="shared" si="22"/>
        <v>ok</v>
      </c>
      <c r="W24" s="111">
        <f>'East Feliciana'!G23</f>
        <v>2216100.6999999997</v>
      </c>
      <c r="X24" s="112"/>
      <c r="Y24" s="182"/>
      <c r="Z24" s="110">
        <f>'East Feliciana'!G29</f>
        <v>12861749.24</v>
      </c>
      <c r="AA24" s="110">
        <f>'East Feliciana'!G31+'East Feliciana'!G32+'East Feliciana'!G33</f>
        <v>4857564.3600000003</v>
      </c>
      <c r="AB24" s="110">
        <f>'East Feliciana'!G34</f>
        <v>976786.83</v>
      </c>
      <c r="AC24" s="110">
        <f t="shared" ref="AC24" si="25">SUM(Z24:AB24)</f>
        <v>18696100.43</v>
      </c>
      <c r="AD24" s="110">
        <f t="shared" si="11"/>
        <v>20912201.129999999</v>
      </c>
      <c r="AE24" s="229" t="str">
        <f t="shared" si="23"/>
        <v>ok</v>
      </c>
      <c r="AF24" s="111">
        <f>'East Feliciana'!G38</f>
        <v>20912201.129999999</v>
      </c>
    </row>
    <row r="25" spans="1:32" ht="15.6">
      <c r="A25" s="56"/>
      <c r="B25" s="3" t="s">
        <v>760</v>
      </c>
      <c r="C25" s="59">
        <f>Evangeline!H7</f>
        <v>11515168</v>
      </c>
      <c r="D25" s="59">
        <f>Evangeline!H13</f>
        <v>28105054</v>
      </c>
      <c r="E25" s="59">
        <f>Evangeline!H8</f>
        <v>12345</v>
      </c>
      <c r="F25" s="59">
        <f>Evangeline!H14</f>
        <v>25647365</v>
      </c>
      <c r="G25" s="59">
        <f>Evangeline!H9</f>
        <v>6225622</v>
      </c>
      <c r="H25" s="59">
        <f>Evangeline!H10</f>
        <v>5000</v>
      </c>
      <c r="I25" s="59">
        <f t="shared" si="17"/>
        <v>71510554</v>
      </c>
      <c r="J25" s="229" t="str">
        <f t="shared" si="1"/>
        <v>ok</v>
      </c>
      <c r="K25" s="58">
        <f>Evangeline!H16</f>
        <v>71510554</v>
      </c>
      <c r="L25" s="181"/>
      <c r="M25" s="59">
        <f>Evangeline!H20+Evangeline!H21+Evangeline!H22</f>
        <v>3231584</v>
      </c>
      <c r="N25" s="59">
        <f>Evangeline!H26+Evangeline!H31</f>
        <v>71580</v>
      </c>
      <c r="O25" s="59">
        <f>Evangeline!H28</f>
        <v>234000</v>
      </c>
      <c r="P25" s="59">
        <f>Evangeline!H32</f>
        <v>31605866</v>
      </c>
      <c r="Q25" s="59"/>
      <c r="R25" s="59">
        <f>Evangeline!H27</f>
        <v>2338</v>
      </c>
      <c r="S25" s="59">
        <f>Evangeline!H30</f>
        <v>11062</v>
      </c>
      <c r="T25" s="59">
        <f>Evangeline!H19+Evangeline!H23</f>
        <v>336934</v>
      </c>
      <c r="U25" s="59">
        <f t="shared" si="18"/>
        <v>35493364</v>
      </c>
      <c r="V25" s="113" t="str">
        <f t="shared" si="22"/>
        <v>ok</v>
      </c>
      <c r="W25" s="58">
        <f>Evangeline!H34</f>
        <v>35493364</v>
      </c>
      <c r="X25" s="60"/>
      <c r="Y25" s="181"/>
      <c r="Z25" s="59">
        <f>Evangeline!H37</f>
        <v>22677823</v>
      </c>
      <c r="AA25" s="59">
        <f>Evangeline!H38</f>
        <v>126351</v>
      </c>
      <c r="AB25" s="59">
        <f>Evangeline!H39</f>
        <v>13213016</v>
      </c>
      <c r="AC25" s="59">
        <f t="shared" si="20"/>
        <v>36017190</v>
      </c>
      <c r="AD25" s="59">
        <f t="shared" si="11"/>
        <v>71510554</v>
      </c>
      <c r="AE25" s="229" t="str">
        <f t="shared" si="23"/>
        <v>ok</v>
      </c>
      <c r="AF25" s="58">
        <f>Evangeline!H43</f>
        <v>71510554</v>
      </c>
    </row>
    <row r="26" spans="1:32" s="104" customFormat="1" ht="15.6">
      <c r="A26" s="108"/>
      <c r="B26" s="109" t="s">
        <v>761</v>
      </c>
      <c r="C26" s="110">
        <f>Franklin!G6</f>
        <v>8560372</v>
      </c>
      <c r="D26" s="110"/>
      <c r="E26" s="110">
        <f>Franklin!G7</f>
        <v>3796748</v>
      </c>
      <c r="F26" s="110">
        <f>Franklin!G8</f>
        <v>18743780</v>
      </c>
      <c r="G26" s="110"/>
      <c r="H26" s="110"/>
      <c r="I26" s="110">
        <f t="shared" si="17"/>
        <v>31100900</v>
      </c>
      <c r="J26" s="229" t="str">
        <f t="shared" si="1"/>
        <v>ok</v>
      </c>
      <c r="K26" s="111">
        <f>Franklin!G10</f>
        <v>31100900</v>
      </c>
      <c r="L26" s="182"/>
      <c r="M26" s="110">
        <f>Franklin!G13+Franklin!G14+Franklin!G16</f>
        <v>635363</v>
      </c>
      <c r="N26" s="110">
        <f>Franklin!G15</f>
        <v>103567</v>
      </c>
      <c r="O26" s="110"/>
      <c r="P26" s="110"/>
      <c r="Q26" s="110">
        <f>Franklin!G17</f>
        <v>132000</v>
      </c>
      <c r="R26" s="110"/>
      <c r="S26" s="110"/>
      <c r="T26" s="110">
        <f>Franklin!G18</f>
        <v>1433906</v>
      </c>
      <c r="U26" s="110">
        <f t="shared" ref="U26" si="26">SUM(M26:T26)</f>
        <v>2304836</v>
      </c>
      <c r="V26" s="113" t="str">
        <f t="shared" si="22"/>
        <v>ok</v>
      </c>
      <c r="W26" s="111">
        <f>Franklin!G20</f>
        <v>2304836</v>
      </c>
      <c r="X26" s="112"/>
      <c r="Y26" s="182"/>
      <c r="Z26" s="110">
        <f>Franklin!G23</f>
        <v>18541780</v>
      </c>
      <c r="AA26" s="110"/>
      <c r="AB26" s="110">
        <f>Franklin!G24</f>
        <v>10254284</v>
      </c>
      <c r="AC26" s="110">
        <f t="shared" ref="AC26" si="27">SUM(Z26:AB26)</f>
        <v>28796064</v>
      </c>
      <c r="AD26" s="110">
        <f t="shared" si="11"/>
        <v>31100900</v>
      </c>
      <c r="AE26" s="229" t="str">
        <f t="shared" si="23"/>
        <v>ok</v>
      </c>
      <c r="AF26" s="111">
        <f>Franklin!G28</f>
        <v>31100900</v>
      </c>
    </row>
    <row r="27" spans="1:32" s="159" customFormat="1" ht="15.6">
      <c r="A27" s="221"/>
      <c r="B27" s="222" t="s">
        <v>419</v>
      </c>
      <c r="C27" s="223">
        <f>Grant!H7</f>
        <v>1797180</v>
      </c>
      <c r="D27" s="223"/>
      <c r="E27" s="223">
        <f>Grant!H8</f>
        <v>1472672</v>
      </c>
      <c r="F27" s="223">
        <f>Grant!H11+Grant!H12+Grant!H13</f>
        <v>5841033</v>
      </c>
      <c r="G27" s="223"/>
      <c r="H27" s="223"/>
      <c r="I27" s="223">
        <f t="shared" ref="I27:I28" si="28">SUM(C27:H27)</f>
        <v>9110885</v>
      </c>
      <c r="J27" s="229" t="str">
        <f t="shared" si="1"/>
        <v>ok</v>
      </c>
      <c r="K27" s="224">
        <f>Grant!H15</f>
        <v>9110885</v>
      </c>
      <c r="L27" s="225"/>
      <c r="M27" s="223">
        <f>Grant!H18</f>
        <v>527147</v>
      </c>
      <c r="N27" s="223">
        <f>Grant!H22</f>
        <v>44833</v>
      </c>
      <c r="O27" s="223"/>
      <c r="P27" s="223"/>
      <c r="Q27" s="223"/>
      <c r="R27" s="223">
        <f>Grant!H24</f>
        <v>95211</v>
      </c>
      <c r="S27" s="223">
        <f>Grant!H25</f>
        <v>247461</v>
      </c>
      <c r="T27" s="223">
        <f>Grant!H20</f>
        <v>17112</v>
      </c>
      <c r="U27" s="223">
        <f t="shared" ref="U27:U28" si="29">SUM(M27:T27)</f>
        <v>931764</v>
      </c>
      <c r="V27" s="229" t="str">
        <f t="shared" si="22"/>
        <v>ok</v>
      </c>
      <c r="W27" s="224">
        <f>Grant!H27</f>
        <v>931764</v>
      </c>
      <c r="X27" s="226"/>
      <c r="Y27" s="225"/>
      <c r="Z27" s="223">
        <f>Grant!H30</f>
        <v>5498361</v>
      </c>
      <c r="AA27" s="223">
        <f>Grant!H32+Grant!H33+Grant!H34</f>
        <v>1917014</v>
      </c>
      <c r="AB27" s="223">
        <f>Grant!H35</f>
        <v>763746</v>
      </c>
      <c r="AC27" s="223">
        <f t="shared" ref="AC27:AC28" si="30">SUM(Z27:AB27)</f>
        <v>8179121</v>
      </c>
      <c r="AD27" s="223">
        <f t="shared" si="11"/>
        <v>9110885</v>
      </c>
      <c r="AE27" s="229" t="str">
        <f t="shared" si="23"/>
        <v>ok</v>
      </c>
      <c r="AF27" s="224">
        <f>Grant!H39</f>
        <v>9110885</v>
      </c>
    </row>
    <row r="28" spans="1:32" s="104" customFormat="1">
      <c r="B28" s="109" t="s">
        <v>762</v>
      </c>
      <c r="C28" s="110">
        <f>Iberia!H7</f>
        <v>41860020</v>
      </c>
      <c r="D28" s="110">
        <f>Iberia!H8</f>
        <v>72229</v>
      </c>
      <c r="E28" s="110">
        <f>Iberia!H9</f>
        <v>8148320</v>
      </c>
      <c r="F28" s="110">
        <f>Iberia!H18+Iberia!H19</f>
        <v>94220748</v>
      </c>
      <c r="G28" s="110">
        <f>Iberia!H11</f>
        <v>3826329</v>
      </c>
      <c r="H28" s="110">
        <f>Iberia!H10</f>
        <v>1813645</v>
      </c>
      <c r="I28" s="110">
        <f t="shared" si="28"/>
        <v>149941291</v>
      </c>
      <c r="J28" s="229" t="str">
        <f t="shared" si="1"/>
        <v>ok</v>
      </c>
      <c r="K28" s="111">
        <f>Iberia!H21:H21</f>
        <v>149941291</v>
      </c>
      <c r="L28" s="182"/>
      <c r="M28" s="110">
        <f>Iberia!H27+Iberia!H28+Iberia!H29+Iberia!H35</f>
        <v>1799004</v>
      </c>
      <c r="N28" s="110"/>
      <c r="O28" s="110"/>
      <c r="P28" s="110"/>
      <c r="Q28" s="110">
        <f>Iberia!H30+Iberia!H31</f>
        <v>1060997</v>
      </c>
      <c r="R28" s="110">
        <f>Iberia!H38</f>
        <v>1680344</v>
      </c>
      <c r="S28" s="110">
        <f>Iberia!H39</f>
        <v>8169937</v>
      </c>
      <c r="T28" s="110">
        <f>Iberia!H33+Iberia!H37</f>
        <v>4622425</v>
      </c>
      <c r="U28" s="110">
        <f t="shared" si="29"/>
        <v>17332707</v>
      </c>
      <c r="V28" s="113" t="str">
        <f t="shared" si="22"/>
        <v>ok</v>
      </c>
      <c r="W28" s="111">
        <f>Iberia!H41</f>
        <v>17332707</v>
      </c>
      <c r="X28" s="112"/>
      <c r="Y28" s="182"/>
      <c r="Z28" s="110">
        <f>Iberia!H44</f>
        <v>83346072</v>
      </c>
      <c r="AA28" s="110">
        <f>Iberia!H46+Iberia!H47+Iberia!H48+Iberia!H49+Iberia!H50</f>
        <v>28523557</v>
      </c>
      <c r="AB28" s="110">
        <f>Iberia!H51</f>
        <v>20738955</v>
      </c>
      <c r="AC28" s="110">
        <f t="shared" si="30"/>
        <v>132608584</v>
      </c>
      <c r="AD28" s="110">
        <f t="shared" si="11"/>
        <v>149941291</v>
      </c>
      <c r="AE28" s="229" t="str">
        <f t="shared" si="23"/>
        <v>ok</v>
      </c>
      <c r="AF28" s="111">
        <f>Iberia!H55</f>
        <v>149941291</v>
      </c>
    </row>
    <row r="29" spans="1:32" ht="15.6">
      <c r="A29" s="56"/>
      <c r="B29" s="3" t="s">
        <v>763</v>
      </c>
      <c r="C29" s="59">
        <f>Iberville!H8+Iberville!H14</f>
        <v>23927413</v>
      </c>
      <c r="D29" s="59"/>
      <c r="E29" s="59">
        <f>Iberville!H9</f>
        <v>10119866</v>
      </c>
      <c r="F29" s="59">
        <f>Iberville!H16+Iberville!H17+Iberville!H18+Iberville!H19+Iberville!H20</f>
        <v>115277843</v>
      </c>
      <c r="G29" s="59"/>
      <c r="H29" s="59">
        <f>Iberville!H11+Iberville!H12</f>
        <v>609466</v>
      </c>
      <c r="I29" s="59">
        <f t="shared" ref="I29:I30" si="31">SUM(C29:H29)</f>
        <v>149934588</v>
      </c>
      <c r="J29" s="113" t="str">
        <f t="shared" si="1"/>
        <v>ok</v>
      </c>
      <c r="K29" s="58">
        <f>Iberville!H22</f>
        <v>149934588</v>
      </c>
      <c r="L29" s="181"/>
      <c r="M29" s="59">
        <f>Iberville!H25+Iberville!H29</f>
        <v>4040101</v>
      </c>
      <c r="N29" s="59"/>
      <c r="O29" s="59"/>
      <c r="P29" s="59"/>
      <c r="Q29" s="59"/>
      <c r="R29" s="59">
        <f>Iberville!H33</f>
        <v>1104609</v>
      </c>
      <c r="S29" s="59">
        <f>Iberville!H34</f>
        <v>16076384</v>
      </c>
      <c r="T29" s="59">
        <f>Iberville!H32</f>
        <v>535622</v>
      </c>
      <c r="U29" s="59">
        <f t="shared" ref="U29:U30" si="32">SUM(M29:T29)</f>
        <v>21756716</v>
      </c>
      <c r="V29" s="113" t="str">
        <f t="shared" si="22"/>
        <v>ok</v>
      </c>
      <c r="W29" s="58">
        <f>Iberville!H36</f>
        <v>21756716</v>
      </c>
      <c r="X29" s="60"/>
      <c r="Y29" s="181"/>
      <c r="Z29" s="59">
        <f>Iberville!H39</f>
        <v>97712719</v>
      </c>
      <c r="AA29" s="59">
        <f>Iberville!H41+Iberville!H42+Iberville!H43+Iberville!H44+Iberville!H45+Iberville!H46+Iberville!H47+Iberville!H48</f>
        <v>25823670</v>
      </c>
      <c r="AB29" s="59">
        <f>Iberville!H49</f>
        <v>4641483</v>
      </c>
      <c r="AC29" s="59">
        <f t="shared" ref="AC29:AC30" si="33">SUM(Z29:AB29)</f>
        <v>128177872</v>
      </c>
      <c r="AD29" s="59">
        <f t="shared" si="11"/>
        <v>149934588</v>
      </c>
      <c r="AE29" s="229" t="str">
        <f t="shared" si="23"/>
        <v>ok</v>
      </c>
      <c r="AF29" s="58">
        <f>Iberville!H53</f>
        <v>149934588</v>
      </c>
    </row>
    <row r="30" spans="1:32" s="104" customFormat="1">
      <c r="B30" s="109" t="s">
        <v>764</v>
      </c>
      <c r="C30" s="110">
        <f>'Jackson '!G6</f>
        <v>9298920</v>
      </c>
      <c r="D30" s="110"/>
      <c r="E30" s="110">
        <f>'Jackson '!G7</f>
        <v>4981192</v>
      </c>
      <c r="F30" s="110">
        <f>'Jackson '!G10+'Jackson '!G11</f>
        <v>16451354</v>
      </c>
      <c r="G30" s="110"/>
      <c r="H30" s="110">
        <f>'Jackson '!G8</f>
        <v>75502</v>
      </c>
      <c r="I30" s="110">
        <f t="shared" si="31"/>
        <v>30806968</v>
      </c>
      <c r="J30" s="113" t="str">
        <f t="shared" si="1"/>
        <v>ok</v>
      </c>
      <c r="K30" s="111">
        <f>'Jackson '!G13</f>
        <v>30806968</v>
      </c>
      <c r="L30" s="182"/>
      <c r="M30" s="110">
        <f>'Jackson '!G16</f>
        <v>310576</v>
      </c>
      <c r="N30" s="110"/>
      <c r="O30" s="110"/>
      <c r="P30" s="110"/>
      <c r="Q30" s="110"/>
      <c r="R30" s="110">
        <f>'Jackson '!G19</f>
        <v>110115</v>
      </c>
      <c r="S30" s="110">
        <f>'Jackson '!G20</f>
        <v>491865</v>
      </c>
      <c r="T30" s="110">
        <f>'Jackson '!G17</f>
        <v>30799</v>
      </c>
      <c r="U30" s="110">
        <f t="shared" si="32"/>
        <v>943355</v>
      </c>
      <c r="V30" s="113" t="str">
        <f t="shared" si="22"/>
        <v>ok</v>
      </c>
      <c r="W30" s="111">
        <f>'Jackson '!G22</f>
        <v>943355</v>
      </c>
      <c r="X30" s="112"/>
      <c r="Y30" s="182"/>
      <c r="Z30" s="110">
        <f>'Jackson '!G25</f>
        <v>16451354</v>
      </c>
      <c r="AA30" s="110">
        <f>'Jackson '!G27+'Jackson '!G28+'Jackson '!G29+'Jackson '!G30+'Jackson '!G31+'Jackson '!G32+'Jackson '!G33+'Jackson '!G34</f>
        <v>10190905</v>
      </c>
      <c r="AB30" s="110">
        <f>'Jackson '!G35</f>
        <v>3188354</v>
      </c>
      <c r="AC30" s="110">
        <f t="shared" si="33"/>
        <v>29830613</v>
      </c>
      <c r="AD30" s="110">
        <f t="shared" si="11"/>
        <v>30773968</v>
      </c>
      <c r="AE30" s="229" t="str">
        <f t="shared" si="23"/>
        <v>ok</v>
      </c>
      <c r="AF30" s="111">
        <f>'Jackson '!G39</f>
        <v>30773968</v>
      </c>
    </row>
    <row r="31" spans="1:32" s="147" customFormat="1" ht="15.6">
      <c r="A31" s="284"/>
      <c r="B31" s="285" t="s">
        <v>765</v>
      </c>
      <c r="C31" s="286">
        <f>Jefferson!H9</f>
        <v>4986</v>
      </c>
      <c r="D31" s="286">
        <f>Jefferson!H10</f>
        <v>73761</v>
      </c>
      <c r="E31" s="286">
        <f>Jefferson!H14+Jefferson!H15+Jefferson!H16+Jefferson!H19</f>
        <v>264740</v>
      </c>
      <c r="F31" s="286">
        <f>Jefferson!H35+Jefferson!H36</f>
        <v>1226463</v>
      </c>
      <c r="G31" s="286"/>
      <c r="H31" s="286">
        <f>Jefferson!H11+Jefferson!H21+Jefferson!H33</f>
        <v>515480</v>
      </c>
      <c r="I31" s="286">
        <f t="shared" ref="I31" si="34">SUM(C31:H31)</f>
        <v>2085430</v>
      </c>
      <c r="J31" s="113" t="str">
        <f t="shared" si="1"/>
        <v>ok</v>
      </c>
      <c r="K31" s="287">
        <f>Jefferson!H40</f>
        <v>2085430</v>
      </c>
      <c r="L31" s="288">
        <f>Jefferson!H45</f>
        <v>8143</v>
      </c>
      <c r="M31" s="286">
        <f>Jefferson!H49+Jefferson!H50+Jefferson!H51+Jefferson!H54+Jefferson!H55+Jefferson!H56</f>
        <v>44869</v>
      </c>
      <c r="N31" s="286"/>
      <c r="O31" s="286"/>
      <c r="P31" s="286"/>
      <c r="Q31" s="286"/>
      <c r="R31" s="286">
        <f>Jefferson!H52</f>
        <v>31521</v>
      </c>
      <c r="S31" s="286">
        <f>Jefferson!H69</f>
        <v>433561</v>
      </c>
      <c r="T31" s="286">
        <f>Jefferson!H53+Jefferson!H57</f>
        <v>198740</v>
      </c>
      <c r="U31" s="286">
        <f t="shared" ref="U31" si="35">SUM(M31:T31)</f>
        <v>708691</v>
      </c>
      <c r="V31" s="113" t="str">
        <f t="shared" si="22"/>
        <v>ok</v>
      </c>
      <c r="W31" s="287">
        <f>Jefferson!H73</f>
        <v>708691</v>
      </c>
      <c r="X31" s="289"/>
      <c r="Y31" s="288"/>
      <c r="Z31" s="286">
        <f>Jefferson!H76</f>
        <v>877954</v>
      </c>
      <c r="AA31" s="286">
        <f>Jefferson!H78+Jefferson!H79+Jefferson!H80+Jefferson!H81+Jefferson!H82+Jefferson!H83+Jefferson!H84+Jefferson!H85+Jefferson!H86+Jefferson!H87+Jefferson!H89+Jefferson!H90</f>
        <v>399519</v>
      </c>
      <c r="AB31" s="286">
        <f>Jefferson!H91</f>
        <v>107409</v>
      </c>
      <c r="AC31" s="286">
        <f>SUM(Z31:AB31)</f>
        <v>1384882</v>
      </c>
      <c r="AD31" s="286">
        <f>SUM(AC31,U31,Y31)</f>
        <v>2093573</v>
      </c>
      <c r="AE31" s="229" t="str">
        <f t="shared" si="23"/>
        <v>ok</v>
      </c>
      <c r="AF31" s="287">
        <f>Jefferson!H95</f>
        <v>2093573</v>
      </c>
    </row>
    <row r="32" spans="1:32" s="104" customFormat="1" ht="15.6">
      <c r="A32" s="108"/>
      <c r="B32" s="109" t="s">
        <v>766</v>
      </c>
      <c r="C32" s="110">
        <f>'Jefferson Davis'!G6+'Jefferson Davis'!G10</f>
        <v>22622461</v>
      </c>
      <c r="D32" s="110">
        <f>'Jefferson Davis'!G7</f>
        <v>2112204</v>
      </c>
      <c r="E32" s="110">
        <f>'Jefferson Davis'!G8</f>
        <v>1464881</v>
      </c>
      <c r="F32" s="110">
        <f>'Jefferson Davis'!G11</f>
        <v>33983534</v>
      </c>
      <c r="G32" s="110"/>
      <c r="H32" s="110">
        <f>'Jefferson Davis'!G9</f>
        <v>78534</v>
      </c>
      <c r="I32" s="110">
        <f>SUM(C32:H32)</f>
        <v>60261614</v>
      </c>
      <c r="J32" s="113" t="str">
        <f>IF(I32=K32, "ok", "check")</f>
        <v>ok</v>
      </c>
      <c r="K32" s="111">
        <f>'Jefferson Davis'!G13</f>
        <v>60261614</v>
      </c>
      <c r="L32" s="182">
        <f>'Jefferson Davis'!G16</f>
        <v>71146</v>
      </c>
      <c r="M32" s="110">
        <f>'Jefferson Davis'!G19+'Jefferson Davis'!G20+'Jefferson Davis'!G23+'Jefferson Davis'!G26+'Jefferson Davis'!G27</f>
        <v>1988812</v>
      </c>
      <c r="N32" s="110"/>
      <c r="O32" s="110">
        <f>'Jefferson Davis'!G25</f>
        <v>956000</v>
      </c>
      <c r="P32" s="110">
        <f>'Jefferson Davis'!G28</f>
        <v>14714000</v>
      </c>
      <c r="Q32" s="110">
        <f>'Jefferson Davis'!G21</f>
        <v>550500</v>
      </c>
      <c r="R32" s="110"/>
      <c r="S32" s="110"/>
      <c r="T32" s="110">
        <f>'Jefferson Davis'!G22+'Jefferson Davis'!G24</f>
        <v>2078200</v>
      </c>
      <c r="U32" s="110">
        <f>SUM(M32:T32)</f>
        <v>20287512</v>
      </c>
      <c r="V32" s="113" t="str">
        <f>IF(U32=W32, "ok", "check")</f>
        <v>ok</v>
      </c>
      <c r="W32" s="111">
        <f>'Jefferson Davis'!G30</f>
        <v>20287512</v>
      </c>
      <c r="X32" s="112"/>
      <c r="Y32" s="182">
        <f>'Jefferson Davis'!G33</f>
        <v>509597</v>
      </c>
      <c r="Z32" s="110">
        <f>'Jefferson Davis'!G36</f>
        <v>17105806</v>
      </c>
      <c r="AA32" s="110">
        <f>'Jefferson Davis'!G38+'Jefferson Davis'!G39+'Jefferson Davis'!G40+'Jefferson Davis'!G41+'Jefferson Davis'!G42</f>
        <v>17422040</v>
      </c>
      <c r="AB32" s="110">
        <f>'Jefferson Davis'!G43</f>
        <v>5007805</v>
      </c>
      <c r="AC32" s="110">
        <f>SUM(Z32:AB32)</f>
        <v>39535651</v>
      </c>
      <c r="AD32" s="110">
        <f>SUM(AC32,U32,Y32)</f>
        <v>60332760</v>
      </c>
      <c r="AE32" s="229" t="str">
        <f>IF(AD32=AF32, "ok", "check")</f>
        <v>ok</v>
      </c>
      <c r="AF32" s="111">
        <f>'Jefferson Davis'!G47</f>
        <v>60332760</v>
      </c>
    </row>
    <row r="33" spans="1:32" s="147" customFormat="1" ht="15.6">
      <c r="A33" s="284"/>
      <c r="B33" s="285" t="s">
        <v>767</v>
      </c>
      <c r="C33" s="286">
        <f>Lafayette!H7</f>
        <v>7721845</v>
      </c>
      <c r="D33" s="286">
        <f>Lafayette!H8</f>
        <v>278852022</v>
      </c>
      <c r="E33" s="286">
        <f>Lafayette!H9</f>
        <v>2270885</v>
      </c>
      <c r="F33" s="286">
        <f>Lafayette!H23+Lafayette!H24</f>
        <v>587439753</v>
      </c>
      <c r="G33" s="286">
        <f>Lafayette!H12+Lafayette!H13</f>
        <v>18677653</v>
      </c>
      <c r="H33" s="286">
        <f>Lafayette!H10+Lafayette!H14+Lafayette!H15</f>
        <v>4128630</v>
      </c>
      <c r="I33" s="286">
        <f t="shared" ref="I33" si="36">SUM(C33:H33)</f>
        <v>899090788</v>
      </c>
      <c r="J33" s="113" t="str">
        <f t="shared" si="1"/>
        <v>ok</v>
      </c>
      <c r="K33" s="287">
        <f>Lafayette!H26</f>
        <v>899090788</v>
      </c>
      <c r="L33" s="288">
        <f>Lafayette!H29</f>
        <v>10285862</v>
      </c>
      <c r="M33" s="286">
        <f>Lafayette!H32</f>
        <v>3505182</v>
      </c>
      <c r="N33" s="286"/>
      <c r="O33" s="286"/>
      <c r="P33" s="286"/>
      <c r="Q33" s="286">
        <f>Lafayette!H34+Lafayette!H35</f>
        <v>788161</v>
      </c>
      <c r="R33" s="286">
        <f>Lafayette!H39</f>
        <v>34417905</v>
      </c>
      <c r="S33" s="286">
        <f>Lafayette!H40</f>
        <v>409431497</v>
      </c>
      <c r="T33" s="286">
        <f>Lafayette!H36</f>
        <v>281108</v>
      </c>
      <c r="U33" s="286">
        <f t="shared" ref="U33" si="37">SUM(M33:T33)</f>
        <v>448423853</v>
      </c>
      <c r="V33" s="113" t="str">
        <f t="shared" si="22"/>
        <v>ok</v>
      </c>
      <c r="W33" s="287">
        <f>Lafayette!H42</f>
        <v>448423853</v>
      </c>
      <c r="X33" s="289"/>
      <c r="Y33" s="288"/>
      <c r="Z33" s="286">
        <f>Lafayette!H48</f>
        <v>311019205</v>
      </c>
      <c r="AA33" s="286">
        <f>Lafayette!H50+Lafayette!H51+Lafayette!H52</f>
        <v>174475245</v>
      </c>
      <c r="AB33" s="286">
        <f>Lafayette!H53</f>
        <v>-10964684</v>
      </c>
      <c r="AC33" s="286">
        <f t="shared" ref="AC33" si="38">SUM(Z33:AB33)</f>
        <v>474529766</v>
      </c>
      <c r="AD33" s="286">
        <f t="shared" si="11"/>
        <v>922953619</v>
      </c>
      <c r="AE33" s="229" t="str">
        <f t="shared" si="23"/>
        <v>ok</v>
      </c>
      <c r="AF33" s="287">
        <f>Lafayette!H57</f>
        <v>922953619</v>
      </c>
    </row>
    <row r="34" spans="1:32" s="104" customFormat="1" ht="15.6">
      <c r="A34" s="108"/>
      <c r="B34" s="109" t="s">
        <v>768</v>
      </c>
      <c r="C34" s="110">
        <f>Lafourche!H7</f>
        <v>20213397</v>
      </c>
      <c r="D34" s="110">
        <f>Lafourche!H8</f>
        <v>22534040</v>
      </c>
      <c r="E34" s="110">
        <f>Lafourche!H9</f>
        <v>2766041</v>
      </c>
      <c r="F34" s="110">
        <f>Lafourche!H13+Lafourche!H14</f>
        <v>96212496</v>
      </c>
      <c r="G34" s="110">
        <f>Lafourche!H10</f>
        <v>30663568</v>
      </c>
      <c r="H34" s="110">
        <f>Lafourche!H11</f>
        <v>2779853</v>
      </c>
      <c r="I34" s="110">
        <f t="shared" ref="I34:I36" si="39">SUM(C34:H34)</f>
        <v>175169395</v>
      </c>
      <c r="J34" s="113" t="str">
        <f t="shared" si="1"/>
        <v>ok</v>
      </c>
      <c r="K34" s="111">
        <f>Lafourche!H16</f>
        <v>175169395</v>
      </c>
      <c r="L34" s="182">
        <f>Lafourche!H21</f>
        <v>998036</v>
      </c>
      <c r="M34" s="110">
        <f>Lafourche!H24+Lafourche!H26</f>
        <v>6242882</v>
      </c>
      <c r="N34" s="110"/>
      <c r="O34" s="110"/>
      <c r="P34" s="110"/>
      <c r="Q34" s="110">
        <f>Lafourche!H27</f>
        <v>933144</v>
      </c>
      <c r="R34" s="110">
        <f>Lafourche!H29</f>
        <v>2495013</v>
      </c>
      <c r="S34" s="110">
        <f>Lafourche!H30</f>
        <v>43892757</v>
      </c>
      <c r="T34" s="110">
        <f>Lafourche!H25</f>
        <v>468146</v>
      </c>
      <c r="U34" s="110">
        <f t="shared" ref="U34:U36" si="40">SUM(M34:T34)</f>
        <v>54031942</v>
      </c>
      <c r="V34" s="113" t="str">
        <f t="shared" si="22"/>
        <v>ok</v>
      </c>
      <c r="W34" s="111">
        <f>Lafourche!H32</f>
        <v>54031942</v>
      </c>
      <c r="X34" s="112"/>
      <c r="Y34" s="182"/>
      <c r="Z34" s="110">
        <f>Lafourche!H35</f>
        <v>40588502</v>
      </c>
      <c r="AA34" s="110">
        <f>Lafourche!H37+Lafourche!H38</f>
        <v>18787481</v>
      </c>
      <c r="AB34" s="110">
        <f>Lafourche!H39</f>
        <v>62759506</v>
      </c>
      <c r="AC34" s="110">
        <f t="shared" ref="AC34:AC36" si="41">SUM(Z34:AB34)</f>
        <v>122135489</v>
      </c>
      <c r="AD34" s="110">
        <f t="shared" ref="AD34:AD36" si="42">SUM(AC34,U34)</f>
        <v>176167431</v>
      </c>
      <c r="AE34" s="229" t="str">
        <f t="shared" si="23"/>
        <v>ok</v>
      </c>
      <c r="AF34" s="111">
        <f>Lafourche!H43</f>
        <v>176167431</v>
      </c>
    </row>
    <row r="35" spans="1:32" ht="15.6">
      <c r="A35" s="56"/>
      <c r="B35" s="3" t="s">
        <v>769</v>
      </c>
      <c r="C35" s="59">
        <f>LaSalle!G6</f>
        <v>2562628</v>
      </c>
      <c r="D35" s="59"/>
      <c r="E35" s="59">
        <f>LaSalle!G7</f>
        <v>4667182</v>
      </c>
      <c r="F35" s="59">
        <f>LaSalle!G9</f>
        <v>7095343</v>
      </c>
      <c r="G35" s="59"/>
      <c r="H35" s="59">
        <f>LaSalle!G8</f>
        <v>12440</v>
      </c>
      <c r="I35" s="59">
        <f>SUM(C35:H35)</f>
        <v>14337593</v>
      </c>
      <c r="J35" s="113" t="str">
        <f>IF(I35=K35, "ok", "check")</f>
        <v>ok</v>
      </c>
      <c r="K35" s="58">
        <f>LaSalle!G11</f>
        <v>14337593</v>
      </c>
      <c r="L35" s="181"/>
      <c r="M35" s="59">
        <f>LaSalle!G15+LaSalle!G16</f>
        <v>1206833</v>
      </c>
      <c r="N35" s="59"/>
      <c r="O35" s="59"/>
      <c r="P35" s="59"/>
      <c r="Q35" s="59"/>
      <c r="R35" s="59">
        <f>LaSalle!G19</f>
        <v>113744</v>
      </c>
      <c r="S35" s="59">
        <f>LaSalle!G20</f>
        <v>300699</v>
      </c>
      <c r="T35" s="59">
        <f>LaSalle!G14+LaSalle!G17</f>
        <v>821803</v>
      </c>
      <c r="U35" s="59">
        <f>SUM(M35:T35)</f>
        <v>2443079</v>
      </c>
      <c r="V35" s="113" t="str">
        <f>IF(U35=W35, "ok", "check")</f>
        <v>ok</v>
      </c>
      <c r="W35" s="58">
        <f>LaSalle!G22</f>
        <v>2443079</v>
      </c>
      <c r="X35" s="60"/>
      <c r="Y35" s="181"/>
      <c r="Z35" s="59">
        <f>LaSalle!G25</f>
        <v>6680900</v>
      </c>
      <c r="AA35" s="59"/>
      <c r="AB35" s="59">
        <f>LaSalle!G26</f>
        <v>5213614</v>
      </c>
      <c r="AC35" s="59">
        <f t="shared" ref="AC35" si="43">SUM(Z35:AB35)</f>
        <v>11894514</v>
      </c>
      <c r="AD35" s="59">
        <f>SUM(AC35,U35,Y35)</f>
        <v>14337593</v>
      </c>
      <c r="AE35" s="229" t="str">
        <f>IF(AD35=AF35, "ok", "check")</f>
        <v>ok</v>
      </c>
      <c r="AF35" s="58">
        <f>LaSalle!G30</f>
        <v>14337593</v>
      </c>
    </row>
    <row r="36" spans="1:32" s="104" customFormat="1" ht="15.6">
      <c r="A36" s="108"/>
      <c r="B36" s="109" t="s">
        <v>770</v>
      </c>
      <c r="C36" s="110">
        <f>Lincoln!G6</f>
        <v>9467885</v>
      </c>
      <c r="D36" s="110">
        <f>Lincoln!G7</f>
        <v>22471496</v>
      </c>
      <c r="E36" s="110">
        <f>Lincoln!G8</f>
        <v>7666006</v>
      </c>
      <c r="F36" s="110">
        <f>Lincoln!G12+Lincoln!G13</f>
        <v>22960409</v>
      </c>
      <c r="G36" s="110">
        <f>Lincoln!G9</f>
        <v>813998</v>
      </c>
      <c r="H36" s="110">
        <f>Lincoln!G10</f>
        <v>11582</v>
      </c>
      <c r="I36" s="110">
        <f t="shared" si="39"/>
        <v>63391376</v>
      </c>
      <c r="J36" s="113" t="str">
        <f t="shared" si="1"/>
        <v>ok</v>
      </c>
      <c r="K36" s="111">
        <f>Lincoln!G15</f>
        <v>63391376</v>
      </c>
      <c r="L36" s="182">
        <f>Lincoln!G18</f>
        <v>7819</v>
      </c>
      <c r="M36" s="110">
        <f>Lincoln!G21</f>
        <v>1255073</v>
      </c>
      <c r="N36" s="110">
        <f>Lincoln!G27</f>
        <v>107370</v>
      </c>
      <c r="O36" s="110">
        <f>Lincoln!G25</f>
        <v>487000</v>
      </c>
      <c r="P36" s="110">
        <f>Lincoln!G28</f>
        <v>2989000</v>
      </c>
      <c r="Q36" s="110">
        <f>Lincoln!G22</f>
        <v>720960</v>
      </c>
      <c r="R36" s="110"/>
      <c r="S36" s="110"/>
      <c r="T36" s="110">
        <f>Lincoln!G30</f>
        <v>1677068</v>
      </c>
      <c r="U36" s="110">
        <f t="shared" si="40"/>
        <v>7236471</v>
      </c>
      <c r="V36" s="229" t="str">
        <f t="shared" si="22"/>
        <v>ok</v>
      </c>
      <c r="W36" s="111">
        <f>Lincoln!G32</f>
        <v>7236471</v>
      </c>
      <c r="X36" s="112"/>
      <c r="Y36" s="182"/>
      <c r="Z36" s="110">
        <f>Lincoln!G35</f>
        <v>22960409</v>
      </c>
      <c r="AA36" s="110">
        <f>Lincoln!G37+Lincoln!G38</f>
        <v>3010039</v>
      </c>
      <c r="AB36" s="110">
        <f>Lincoln!G39</f>
        <v>30192276</v>
      </c>
      <c r="AC36" s="110">
        <f t="shared" si="41"/>
        <v>56162724</v>
      </c>
      <c r="AD36" s="110">
        <f t="shared" si="42"/>
        <v>63399195</v>
      </c>
      <c r="AE36" s="229" t="str">
        <f t="shared" si="23"/>
        <v>ok</v>
      </c>
      <c r="AF36" s="111">
        <f>Lincoln!G43</f>
        <v>63399195</v>
      </c>
    </row>
    <row r="37" spans="1:32">
      <c r="B37" s="3" t="s">
        <v>771</v>
      </c>
      <c r="C37" s="59">
        <f>Livingston!H6+Livingston!H16</f>
        <v>18500081</v>
      </c>
      <c r="D37" s="59">
        <f>Livingston!H7</f>
        <v>3408123</v>
      </c>
      <c r="E37" s="59">
        <f>Livingston!H8</f>
        <v>913933</v>
      </c>
      <c r="F37" s="59">
        <f>Livingston!H18+Livingston!H19</f>
        <v>143336472</v>
      </c>
      <c r="G37" s="59">
        <f>Livingston!H11+Livingston!H12</f>
        <v>12664543</v>
      </c>
      <c r="H37" s="59">
        <f>Livingston!H9+Livingston!H10+Livingston!H13+Livingston!H14</f>
        <v>1037986</v>
      </c>
      <c r="I37" s="59">
        <f t="shared" ref="I37:I40" si="44">SUM(C37:H37)</f>
        <v>179861138</v>
      </c>
      <c r="J37" s="113" t="str">
        <f t="shared" si="1"/>
        <v>ok</v>
      </c>
      <c r="K37" s="58">
        <f>Livingston!H21</f>
        <v>179861138</v>
      </c>
      <c r="L37" s="181">
        <f>Livingston!H26</f>
        <v>4057845</v>
      </c>
      <c r="M37" s="59">
        <f>Livingston!H29+Livingston!H33</f>
        <v>4868454</v>
      </c>
      <c r="N37" s="59"/>
      <c r="O37" s="59"/>
      <c r="P37" s="59"/>
      <c r="Q37" s="59">
        <f>Livingston!H30+Livingston!H31</f>
        <v>639810</v>
      </c>
      <c r="R37" s="59">
        <f>Livingston!H35</f>
        <v>6948051</v>
      </c>
      <c r="S37" s="59">
        <f>Livingston!H36</f>
        <v>79109380</v>
      </c>
      <c r="T37" s="59">
        <f>Livingston!H32</f>
        <v>19700</v>
      </c>
      <c r="U37" s="59">
        <f t="shared" ref="U37:U40" si="45">SUM(M37:T37)</f>
        <v>91585395</v>
      </c>
      <c r="V37" s="229" t="str">
        <f t="shared" si="22"/>
        <v>ok</v>
      </c>
      <c r="W37" s="58">
        <f>Livingston!H38</f>
        <v>91585395</v>
      </c>
      <c r="X37" s="60"/>
      <c r="Y37" s="181"/>
      <c r="Z37" s="59">
        <f>Livingston!H41</f>
        <v>57658796</v>
      </c>
      <c r="AA37" s="59">
        <f>Livingston!H43+Livingston!H44+Livingston!H45+Livingston!H46</f>
        <v>11159044</v>
      </c>
      <c r="AB37" s="59">
        <f>Livingston!H47</f>
        <v>22515748</v>
      </c>
      <c r="AC37" s="59">
        <f t="shared" ref="AC37:AC40" si="46">SUM(Z37:AB37)</f>
        <v>91333588</v>
      </c>
      <c r="AD37" s="59">
        <f t="shared" ref="AD37:AD40" si="47">SUM(AC37,U37)</f>
        <v>182918983</v>
      </c>
      <c r="AE37" s="229" t="str">
        <f t="shared" si="23"/>
        <v>ok</v>
      </c>
      <c r="AF37" s="58">
        <f>Livingston!H51</f>
        <v>182918983</v>
      </c>
    </row>
    <row r="38" spans="1:32" s="104" customFormat="1" ht="15.6">
      <c r="A38" s="108"/>
      <c r="B38" s="109" t="s">
        <v>772</v>
      </c>
      <c r="C38" s="110">
        <f>Madison!G6</f>
        <v>6060133</v>
      </c>
      <c r="D38" s="110">
        <f>Madison!G7</f>
        <v>2972442</v>
      </c>
      <c r="E38" s="110">
        <f>Madison!G8</f>
        <v>5117727</v>
      </c>
      <c r="F38" s="110">
        <f>Madison!G9</f>
        <v>8087139</v>
      </c>
      <c r="G38" s="110"/>
      <c r="H38" s="110"/>
      <c r="I38" s="110">
        <f t="shared" ref="I38" si="48">SUM(C38:H38)</f>
        <v>22237441</v>
      </c>
      <c r="J38" s="113" t="str">
        <f t="shared" si="1"/>
        <v>ok</v>
      </c>
      <c r="K38" s="111">
        <f>Madison!G11</f>
        <v>22237441</v>
      </c>
      <c r="L38" s="182"/>
      <c r="M38" s="110">
        <f>Madison!G14</f>
        <v>263534</v>
      </c>
      <c r="N38" s="110"/>
      <c r="O38" s="110"/>
      <c r="P38" s="110"/>
      <c r="Q38" s="110"/>
      <c r="R38" s="110">
        <f>Madison!G16</f>
        <v>36567</v>
      </c>
      <c r="S38" s="110">
        <f>Madison!G17</f>
        <v>536212</v>
      </c>
      <c r="T38" s="110">
        <f>Madison!G1</f>
        <v>0</v>
      </c>
      <c r="U38" s="110">
        <f t="shared" ref="U38" si="49">SUM(M38:T38)</f>
        <v>836313</v>
      </c>
      <c r="V38" s="229" t="str">
        <f t="shared" si="22"/>
        <v>ok</v>
      </c>
      <c r="W38" s="111">
        <f>Madison!G19</f>
        <v>836313</v>
      </c>
      <c r="X38" s="112"/>
      <c r="Y38" s="182"/>
      <c r="Z38" s="110">
        <f>Madison!G22</f>
        <v>8004701</v>
      </c>
      <c r="AA38" s="110">
        <f>Madison!G24+Madison!G25+Madison!G26+Madison!G27+Madison!G28+Madison!G29</f>
        <v>13269967</v>
      </c>
      <c r="AB38" s="110">
        <f>Madison!G30</f>
        <v>126460</v>
      </c>
      <c r="AC38" s="110">
        <f t="shared" ref="AC38" si="50">SUM(Z38:AB38)</f>
        <v>21401128</v>
      </c>
      <c r="AD38" s="110">
        <f t="shared" si="47"/>
        <v>22237441</v>
      </c>
      <c r="AE38" s="229" t="str">
        <f t="shared" si="23"/>
        <v>ok</v>
      </c>
      <c r="AF38" s="111">
        <f>Madison!G34</f>
        <v>22237441</v>
      </c>
    </row>
    <row r="39" spans="1:32" ht="15.6">
      <c r="A39" s="56"/>
      <c r="B39" s="3" t="s">
        <v>773</v>
      </c>
      <c r="C39" s="59">
        <f>Morehouse!G6</f>
        <v>4184992</v>
      </c>
      <c r="D39" s="59">
        <f>Morehouse!G7</f>
        <v>540000</v>
      </c>
      <c r="E39" s="59">
        <f>Morehouse!G8</f>
        <v>2375399</v>
      </c>
      <c r="F39" s="59">
        <f>Morehouse!G10+Morehouse!G11</f>
        <v>13394417</v>
      </c>
      <c r="G39" s="59"/>
      <c r="H39" s="59"/>
      <c r="I39" s="59">
        <f t="shared" si="44"/>
        <v>20494808</v>
      </c>
      <c r="J39" s="113" t="str">
        <f t="shared" si="1"/>
        <v>ok</v>
      </c>
      <c r="K39" s="58">
        <f>Morehouse!G13</f>
        <v>20494808</v>
      </c>
      <c r="L39" s="181"/>
      <c r="M39" s="59">
        <f>Morehouse!G17+Morehouse!G18</f>
        <v>278282</v>
      </c>
      <c r="N39" s="59"/>
      <c r="O39" s="59"/>
      <c r="P39" s="59"/>
      <c r="Q39" s="59"/>
      <c r="R39" s="59">
        <f>Morehouse!G20</f>
        <v>37425</v>
      </c>
      <c r="S39" s="59"/>
      <c r="T39" s="59">
        <f>Morehouse!G16</f>
        <v>2120878</v>
      </c>
      <c r="U39" s="59">
        <f t="shared" si="45"/>
        <v>2436585</v>
      </c>
      <c r="V39" s="229" t="str">
        <f t="shared" si="22"/>
        <v>ok</v>
      </c>
      <c r="W39" s="58">
        <f>Morehouse!G22</f>
        <v>2436585</v>
      </c>
      <c r="X39" s="60"/>
      <c r="Y39" s="181">
        <f>Morehouse!G25</f>
        <v>2092447</v>
      </c>
      <c r="Z39" s="59">
        <f>Morehouse!G28</f>
        <v>13394417</v>
      </c>
      <c r="AA39" s="59">
        <f>Morehouse!G29</f>
        <v>4444717</v>
      </c>
      <c r="AB39" s="59">
        <f>Morehouse!G30</f>
        <v>-1873358</v>
      </c>
      <c r="AC39" s="59">
        <f t="shared" si="46"/>
        <v>15965776</v>
      </c>
      <c r="AD39" s="59">
        <f t="shared" si="47"/>
        <v>18402361</v>
      </c>
      <c r="AE39" s="229" t="str">
        <f t="shared" si="23"/>
        <v>ok</v>
      </c>
      <c r="AF39" s="58">
        <f>Morehouse!G34</f>
        <v>18402361</v>
      </c>
    </row>
    <row r="40" spans="1:32" s="220" customFormat="1" ht="15.6">
      <c r="A40" s="214"/>
      <c r="B40" s="215" t="s">
        <v>774</v>
      </c>
      <c r="C40" s="216">
        <f>Natchitoches!H7</f>
        <v>28619219</v>
      </c>
      <c r="D40" s="216"/>
      <c r="E40" s="216">
        <f>Natchitoches!H8</f>
        <v>2081947</v>
      </c>
      <c r="F40" s="216">
        <f>Natchitoches!H15+Natchitoches!H16+Natchitoches!H17+Natchitoches!H18+Natchitoches!H19+Natchitoches!H20+Natchitoches!H21+Natchitoches!H22+Natchitoches!H24</f>
        <v>36293428</v>
      </c>
      <c r="G40" s="216"/>
      <c r="H40" s="216">
        <f>Natchitoches!H10+Natchitoches!H11</f>
        <v>39861</v>
      </c>
      <c r="I40" s="216">
        <f t="shared" si="44"/>
        <v>67034455</v>
      </c>
      <c r="J40" s="229" t="str">
        <f t="shared" si="1"/>
        <v>ok</v>
      </c>
      <c r="K40" s="217">
        <f>Natchitoches!H26</f>
        <v>67034455</v>
      </c>
      <c r="L40" s="218"/>
      <c r="M40" s="216">
        <f>Natchitoches!H30+Natchitoches!H31+Natchitoches!H32</f>
        <v>2059361</v>
      </c>
      <c r="N40" s="216"/>
      <c r="O40" s="216"/>
      <c r="P40" s="216"/>
      <c r="Q40" s="216"/>
      <c r="R40" s="216">
        <f>Natchitoches!H37</f>
        <v>408096</v>
      </c>
      <c r="S40" s="216">
        <f>Natchitoches!H38</f>
        <v>3883262</v>
      </c>
      <c r="T40" s="216">
        <f>Natchitoches!H29+Natchitoches!H39+Natchitoches!H40</f>
        <v>3938949</v>
      </c>
      <c r="U40" s="216">
        <f t="shared" si="45"/>
        <v>10289668</v>
      </c>
      <c r="V40" s="229" t="str">
        <f t="shared" si="22"/>
        <v>ok</v>
      </c>
      <c r="W40" s="217">
        <f>Natchitoches!H42</f>
        <v>10289668</v>
      </c>
      <c r="X40" s="219"/>
      <c r="Y40" s="218"/>
      <c r="Z40" s="216">
        <f>Natchitoches!H45</f>
        <v>32002070</v>
      </c>
      <c r="AA40" s="216">
        <f>Natchitoches!H46</f>
        <v>4291358</v>
      </c>
      <c r="AB40" s="216">
        <f>Natchitoches!H47</f>
        <v>20451359</v>
      </c>
      <c r="AC40" s="216">
        <f t="shared" si="46"/>
        <v>56744787</v>
      </c>
      <c r="AD40" s="216">
        <f t="shared" si="47"/>
        <v>67034455</v>
      </c>
      <c r="AE40" s="229" t="str">
        <f t="shared" si="23"/>
        <v>ok</v>
      </c>
      <c r="AF40" s="217">
        <f>Natchitoches!H51</f>
        <v>67034455</v>
      </c>
    </row>
    <row r="41" spans="1:32" ht="15.6">
      <c r="A41" s="56"/>
      <c r="B41" s="3" t="s">
        <v>775</v>
      </c>
      <c r="C41" s="59">
        <f>Orleans!H7</f>
        <v>91036</v>
      </c>
      <c r="D41" s="59">
        <f>Orleans!H8</f>
        <v>190025</v>
      </c>
      <c r="E41" s="59">
        <f>Orleans!H10+Orleans!H11+Orleans!H13</f>
        <v>47856</v>
      </c>
      <c r="F41" s="59">
        <f>Orleans!H19</f>
        <v>1595680</v>
      </c>
      <c r="G41" s="59">
        <f>Orleans!H15+Orleans!H16</f>
        <v>71428</v>
      </c>
      <c r="H41" s="59">
        <f>Orleans!H17</f>
        <v>15</v>
      </c>
      <c r="I41" s="59">
        <f t="shared" ref="I41:I42" si="51">SUM(C41:H41)</f>
        <v>1996040</v>
      </c>
      <c r="J41" s="113" t="str">
        <f t="shared" si="1"/>
        <v>ok</v>
      </c>
      <c r="K41" s="58">
        <f>Orleans!H21</f>
        <v>1996040</v>
      </c>
      <c r="L41" s="181">
        <f>Orleans!H25</f>
        <v>6435</v>
      </c>
      <c r="M41" s="59">
        <f>Orleans!H28+Orleans!H29+Orleans!H31+Orleans!H32</f>
        <v>93540</v>
      </c>
      <c r="N41" s="59"/>
      <c r="O41" s="59"/>
      <c r="P41" s="59"/>
      <c r="Q41" s="59">
        <f>Orleans!H33+Orleans!H34</f>
        <v>19703</v>
      </c>
      <c r="R41" s="59">
        <f>Orleans!H36</f>
        <v>104932</v>
      </c>
      <c r="S41" s="59">
        <f>Orleans!H37</f>
        <v>1481068</v>
      </c>
      <c r="T41" s="59">
        <f>Orleans!H30</f>
        <v>676</v>
      </c>
      <c r="U41" s="59">
        <f t="shared" ref="U41:U42" si="52">SUM(M41:T41)</f>
        <v>1699919</v>
      </c>
      <c r="V41" s="229" t="str">
        <f t="shared" si="22"/>
        <v>ok</v>
      </c>
      <c r="W41" s="58">
        <f>Orleans!H39</f>
        <v>1699919</v>
      </c>
      <c r="X41" s="60"/>
      <c r="Y41" s="181">
        <f>Orleans!H43</f>
        <v>6687</v>
      </c>
      <c r="Z41" s="59">
        <f>Orleans!H46</f>
        <v>936247</v>
      </c>
      <c r="AA41" s="59">
        <f>Orleans!H47+Orleans!H48</f>
        <v>124597</v>
      </c>
      <c r="AB41" s="59">
        <f>Orleans!H50</f>
        <v>-764975</v>
      </c>
      <c r="AC41" s="59">
        <f t="shared" ref="AC41:AC42" si="53">SUM(Z41:AB41)</f>
        <v>295869</v>
      </c>
      <c r="AD41" s="59">
        <f t="shared" ref="AD41:AD42" si="54">SUM(AC41,U41)</f>
        <v>1995788</v>
      </c>
      <c r="AE41" s="229" t="str">
        <f t="shared" si="23"/>
        <v>ok</v>
      </c>
      <c r="AF41" s="58">
        <f>Orleans!H54</f>
        <v>1995788</v>
      </c>
    </row>
    <row r="42" spans="1:32" s="104" customFormat="1">
      <c r="B42" s="109" t="s">
        <v>776</v>
      </c>
      <c r="C42" s="110">
        <f>'Ouachita '!F7</f>
        <v>37300264</v>
      </c>
      <c r="D42" s="110">
        <f>'Ouachita '!F8</f>
        <v>25766100</v>
      </c>
      <c r="E42" s="110">
        <f>'Ouachita '!F10+'Ouachita '!F11+'Ouachita '!F12+'Ouachita '!F13</f>
        <v>36043939</v>
      </c>
      <c r="F42" s="110">
        <f>'Ouachita '!F20</f>
        <v>180966576</v>
      </c>
      <c r="G42" s="110">
        <f>'Ouachita '!F15</f>
        <v>3664640</v>
      </c>
      <c r="H42" s="110">
        <f>'Ouachita '!F16+'Ouachita '!F17+'Ouachita '!F18</f>
        <v>951056</v>
      </c>
      <c r="I42" s="110">
        <f t="shared" si="51"/>
        <v>284692575</v>
      </c>
      <c r="J42" s="113" t="str">
        <f t="shared" si="1"/>
        <v>ok</v>
      </c>
      <c r="K42" s="111">
        <f>'Ouachita '!F22</f>
        <v>284692575</v>
      </c>
      <c r="L42" s="182"/>
      <c r="M42" s="110">
        <f>'Ouachita '!F25</f>
        <v>6536200</v>
      </c>
      <c r="N42" s="110"/>
      <c r="O42" s="110"/>
      <c r="P42" s="110"/>
      <c r="Q42" s="110"/>
      <c r="R42" s="110">
        <f>'Ouachita '!F29</f>
        <v>1421391</v>
      </c>
      <c r="S42" s="110">
        <f>'Ouachita '!F30</f>
        <v>7731868</v>
      </c>
      <c r="T42" s="110">
        <f>'Ouachita '!F26+'Ouachita '!F27</f>
        <v>1254548</v>
      </c>
      <c r="U42" s="110">
        <f t="shared" si="52"/>
        <v>16944007</v>
      </c>
      <c r="V42" s="229" t="str">
        <f t="shared" si="22"/>
        <v>ok</v>
      </c>
      <c r="W42" s="111">
        <f>'Ouachita '!F33</f>
        <v>16944007</v>
      </c>
      <c r="X42" s="112"/>
      <c r="Y42" s="182"/>
      <c r="Z42" s="110">
        <f>'Ouachita '!F36</f>
        <v>180966576</v>
      </c>
      <c r="AA42" s="110">
        <f>'Ouachita '!F38+'Ouachita '!F39+'Ouachita '!F40+'Ouachita '!F41+'Ouachita '!F42+'Ouachita '!F43+'Ouachita '!F44+'Ouachita '!F45+'Ouachita '!F46</f>
        <v>82977695</v>
      </c>
      <c r="AB42" s="110">
        <f>'Ouachita '!F47</f>
        <v>3804300</v>
      </c>
      <c r="AC42" s="110">
        <f t="shared" si="53"/>
        <v>267748571</v>
      </c>
      <c r="AD42" s="110">
        <f t="shared" si="54"/>
        <v>284692578</v>
      </c>
      <c r="AE42" s="229" t="str">
        <f t="shared" si="23"/>
        <v>ok</v>
      </c>
      <c r="AF42" s="111">
        <f>'Ouachita '!F51</f>
        <v>284692578</v>
      </c>
    </row>
    <row r="43" spans="1:32" ht="15.6">
      <c r="A43" s="56"/>
      <c r="B43" s="3" t="s">
        <v>777</v>
      </c>
      <c r="C43" s="59">
        <f>Plaquemines!H7</f>
        <v>113364903</v>
      </c>
      <c r="D43" s="59">
        <f>Plaquemines!H8</f>
        <v>4716345</v>
      </c>
      <c r="E43" s="59">
        <f>Plaquemines!H9</f>
        <v>71277195</v>
      </c>
      <c r="F43" s="59">
        <f>Plaquemines!H17+Plaquemines!H18</f>
        <v>472925486</v>
      </c>
      <c r="G43" s="59"/>
      <c r="H43" s="59">
        <f>Plaquemines!H11+Plaquemines!H16</f>
        <v>3714287</v>
      </c>
      <c r="I43" s="59">
        <f t="shared" ref="I43" si="55">SUM(C43:H43)</f>
        <v>665998216</v>
      </c>
      <c r="J43" s="113" t="str">
        <f t="shared" si="1"/>
        <v>ok</v>
      </c>
      <c r="K43" s="58">
        <f>Plaquemines!H22</f>
        <v>665998216</v>
      </c>
      <c r="L43" s="181"/>
      <c r="M43" s="59">
        <f>Plaquemines!H27+Plaquemines!H29+Plaquemines!H31+Plaquemines!H40+Plaquemines!H43</f>
        <v>34978508</v>
      </c>
      <c r="N43" s="59">
        <f>Plaquemines!H32</f>
        <v>1091878</v>
      </c>
      <c r="O43" s="59">
        <f>Plaquemines!H28</f>
        <v>3725000</v>
      </c>
      <c r="P43" s="59">
        <f>Plaquemines!H41+Plaquemines!H42</f>
        <v>120669446</v>
      </c>
      <c r="Q43" s="59">
        <f>Plaquemines!H33</f>
        <v>33275</v>
      </c>
      <c r="R43" s="59"/>
      <c r="S43" s="59"/>
      <c r="T43" s="59">
        <f>Plaquemines!H30+Plaquemines!H34+Plaquemines!H39</f>
        <v>9642126</v>
      </c>
      <c r="U43" s="59">
        <f t="shared" ref="U43" si="56">SUM(M43:T43)</f>
        <v>170140233</v>
      </c>
      <c r="V43" s="229" t="str">
        <f t="shared" si="22"/>
        <v>ok</v>
      </c>
      <c r="W43" s="58">
        <f>Plaquemines!H47</f>
        <v>170140233</v>
      </c>
      <c r="X43" s="60"/>
      <c r="Y43" s="181"/>
      <c r="Z43" s="59">
        <f>Plaquemines!H50</f>
        <v>351520486</v>
      </c>
      <c r="AA43" s="59">
        <f>Plaquemines!H51</f>
        <v>96356871</v>
      </c>
      <c r="AB43" s="59">
        <f>Plaquemines!H52</f>
        <v>47980626</v>
      </c>
      <c r="AC43" s="59">
        <f t="shared" ref="AC43" si="57">SUM(Z43:AB43)</f>
        <v>495857983</v>
      </c>
      <c r="AD43" s="59">
        <f t="shared" ref="AD43" si="58">SUM(AC43,U43)</f>
        <v>665998216</v>
      </c>
      <c r="AE43" s="229" t="str">
        <f t="shared" si="23"/>
        <v>ok</v>
      </c>
      <c r="AF43" s="58">
        <f>Plaquemines!H56</f>
        <v>665998216</v>
      </c>
    </row>
    <row r="44" spans="1:32" s="104" customFormat="1" ht="15.6">
      <c r="A44" s="108"/>
      <c r="B44" s="109" t="s">
        <v>778</v>
      </c>
      <c r="C44" s="110">
        <f>'Pointe Couppe'!F7</f>
        <v>2279603</v>
      </c>
      <c r="D44" s="110">
        <f>'Pointe Couppe'!F8</f>
        <v>706925</v>
      </c>
      <c r="E44" s="110">
        <f>'Pointe Couppe'!F9</f>
        <v>3308824</v>
      </c>
      <c r="F44" s="110">
        <f>'Pointe Couppe'!F16+'Pointe Couppe'!F17</f>
        <v>17002034</v>
      </c>
      <c r="G44" s="110">
        <f>'Pointe Couppe'!F10+'Pointe Couppe'!F11</f>
        <v>939812</v>
      </c>
      <c r="H44" s="110">
        <f>'Pointe Couppe'!F12+'Pointe Couppe'!F13+'Pointe Couppe'!F14</f>
        <v>166163</v>
      </c>
      <c r="I44" s="110">
        <f t="shared" ref="I44" si="59">SUM(C44:H44)</f>
        <v>24403361</v>
      </c>
      <c r="J44" s="113" t="str">
        <f t="shared" si="1"/>
        <v>ok</v>
      </c>
      <c r="K44" s="111">
        <f>'Pointe Couppe'!F19</f>
        <v>24403361</v>
      </c>
      <c r="L44" s="182"/>
      <c r="M44" s="110">
        <f>'Pointe Couppe'!F22</f>
        <v>1058577</v>
      </c>
      <c r="N44" s="110"/>
      <c r="O44" s="110"/>
      <c r="P44" s="110"/>
      <c r="Q44" s="110">
        <f>'Pointe Couppe'!F23</f>
        <v>476736</v>
      </c>
      <c r="R44" s="110">
        <f>'Pointe Couppe'!F26</f>
        <v>443736</v>
      </c>
      <c r="S44" s="110">
        <f>'Pointe Couppe'!F27</f>
        <v>7635201</v>
      </c>
      <c r="T44" s="110"/>
      <c r="U44" s="110">
        <f t="shared" ref="U44" si="60">SUM(M44:T44)</f>
        <v>9614250</v>
      </c>
      <c r="V44" s="229" t="str">
        <f t="shared" si="22"/>
        <v>ok</v>
      </c>
      <c r="W44" s="111">
        <f>'Pointe Couppe'!F29:F29</f>
        <v>9614250</v>
      </c>
      <c r="X44" s="112"/>
      <c r="Y44" s="182"/>
      <c r="Z44" s="110">
        <f>'Pointe Couppe'!F35</f>
        <v>8923097</v>
      </c>
      <c r="AA44" s="110">
        <f>'Pointe Couppe'!F37+'Pointe Couppe'!F38</f>
        <v>2809988</v>
      </c>
      <c r="AB44" s="110">
        <f>'Pointe Couppe'!F40</f>
        <v>3056026</v>
      </c>
      <c r="AC44" s="110">
        <f t="shared" ref="AC44" si="61">SUM(Z44:AB44)</f>
        <v>14789111</v>
      </c>
      <c r="AD44" s="110">
        <f t="shared" ref="AD44:AD47" si="62">SUM(AC44,U44)</f>
        <v>24403361</v>
      </c>
      <c r="AE44" s="229" t="str">
        <f t="shared" si="23"/>
        <v>ok</v>
      </c>
      <c r="AF44" s="111">
        <f>'Pointe Couppe'!F44</f>
        <v>24403361</v>
      </c>
    </row>
    <row r="45" spans="1:32" ht="15.6">
      <c r="A45" s="56"/>
      <c r="B45" s="3" t="s">
        <v>779</v>
      </c>
      <c r="C45" s="59">
        <f>Rapides!H7</f>
        <v>51085465</v>
      </c>
      <c r="D45" s="59"/>
      <c r="E45" s="59">
        <f>Rapides!H8</f>
        <v>22832720</v>
      </c>
      <c r="F45" s="59">
        <f>Rapides!H12+Rapides!H13+Rapides!H15+Rapides!H16+Rapides!H17</f>
        <v>54110945</v>
      </c>
      <c r="G45" s="59"/>
      <c r="H45" s="59">
        <f>Rapides!H9</f>
        <v>516</v>
      </c>
      <c r="I45" s="59">
        <f t="shared" ref="I45:I47" si="63">SUM(C45:H45)</f>
        <v>128029646</v>
      </c>
      <c r="J45" s="113" t="str">
        <f t="shared" si="1"/>
        <v>ok</v>
      </c>
      <c r="K45" s="58">
        <f>Rapides!H19</f>
        <v>128029646</v>
      </c>
      <c r="L45" s="181"/>
      <c r="M45" s="59">
        <f>Rapides!H22+Rapides!H24</f>
        <v>1797609</v>
      </c>
      <c r="N45" s="59"/>
      <c r="O45" s="59"/>
      <c r="P45" s="59"/>
      <c r="Q45" s="59"/>
      <c r="R45" s="59">
        <f>Rapides!H26</f>
        <v>1660074</v>
      </c>
      <c r="S45" s="59">
        <f>Rapides!H27</f>
        <v>53531400</v>
      </c>
      <c r="T45" s="59">
        <f>Rapides!H23</f>
        <v>632212</v>
      </c>
      <c r="U45" s="59">
        <f t="shared" ref="U45:U47" si="64">SUM(M45:T45)</f>
        <v>57621295</v>
      </c>
      <c r="V45" s="229" t="str">
        <f t="shared" si="22"/>
        <v>ok</v>
      </c>
      <c r="W45" s="58">
        <f>Rapides!H29</f>
        <v>57621295</v>
      </c>
      <c r="X45" s="60"/>
      <c r="Y45" s="181"/>
      <c r="Z45" s="59">
        <f>Rapides!H32</f>
        <v>26878874</v>
      </c>
      <c r="AA45" s="59">
        <f>Rapides!H33</f>
        <v>3296487</v>
      </c>
      <c r="AB45" s="59">
        <f>Rapides!H34</f>
        <v>40232989</v>
      </c>
      <c r="AC45" s="59">
        <f t="shared" ref="AC45:AC46" si="65">SUM(Z45:AB45)</f>
        <v>70408350</v>
      </c>
      <c r="AD45" s="59">
        <f t="shared" si="62"/>
        <v>128029645</v>
      </c>
      <c r="AE45" s="229" t="str">
        <f t="shared" si="23"/>
        <v>ok</v>
      </c>
      <c r="AF45" s="58">
        <f>Rapides!H38</f>
        <v>128029645</v>
      </c>
    </row>
    <row r="46" spans="1:32" s="104" customFormat="1" ht="15.6">
      <c r="A46" s="108"/>
      <c r="B46" s="109" t="s">
        <v>780</v>
      </c>
      <c r="C46" s="110">
        <f>'Red River'!H7</f>
        <v>12519211</v>
      </c>
      <c r="D46" s="110">
        <f>'Red River'!H8</f>
        <v>19054888</v>
      </c>
      <c r="E46" s="110">
        <f>'Red River'!H9</f>
        <v>4424485</v>
      </c>
      <c r="F46" s="110">
        <f>'Red River'!H15</f>
        <v>15298294</v>
      </c>
      <c r="G46" s="110"/>
      <c r="H46" s="110">
        <f>'Red River'!H10</f>
        <v>18353</v>
      </c>
      <c r="I46" s="110">
        <f t="shared" si="63"/>
        <v>51315231</v>
      </c>
      <c r="J46" s="113" t="str">
        <f t="shared" si="1"/>
        <v>ok</v>
      </c>
      <c r="K46" s="111">
        <f>'Red River'!H17</f>
        <v>51315231</v>
      </c>
      <c r="L46" s="182" t="e">
        <f>'[1]St. Bernard'!C32</f>
        <v>#REF!</v>
      </c>
      <c r="M46" s="110">
        <f>'Red River'!H21+'Red River'!H28</f>
        <v>862364</v>
      </c>
      <c r="N46" s="110">
        <f>'Red River'!H22+'Red River'!H27</f>
        <v>70508</v>
      </c>
      <c r="O46" s="110"/>
      <c r="P46" s="110"/>
      <c r="Q46" s="110"/>
      <c r="R46" s="110"/>
      <c r="S46" s="110"/>
      <c r="T46" s="110"/>
      <c r="U46" s="110">
        <f t="shared" si="64"/>
        <v>932872</v>
      </c>
      <c r="V46" s="229" t="str">
        <f t="shared" si="22"/>
        <v>ok</v>
      </c>
      <c r="W46" s="111">
        <f>'Red River'!H32</f>
        <v>932872</v>
      </c>
      <c r="X46" s="112"/>
      <c r="Y46" s="182">
        <f>'[1]St. Bernard'!P32</f>
        <v>21051265</v>
      </c>
      <c r="Z46" s="110">
        <f>'Red River'!H37</f>
        <v>15298294</v>
      </c>
      <c r="AA46" s="110">
        <f>'Red River'!H39+'Red River'!H40+'Red River'!H41+'Red River'!H42</f>
        <v>13334619</v>
      </c>
      <c r="AB46" s="110">
        <f>'Red River'!H43</f>
        <v>21749446</v>
      </c>
      <c r="AC46" s="110">
        <f t="shared" si="65"/>
        <v>50382359</v>
      </c>
      <c r="AD46" s="110">
        <f t="shared" si="62"/>
        <v>51315231</v>
      </c>
      <c r="AE46" s="229" t="str">
        <f t="shared" si="23"/>
        <v>ok</v>
      </c>
      <c r="AF46" s="111">
        <f>'Red River'!H47</f>
        <v>51315231</v>
      </c>
    </row>
    <row r="47" spans="1:32" ht="15.6">
      <c r="A47" s="56"/>
      <c r="B47" s="3" t="s">
        <v>781</v>
      </c>
      <c r="C47" s="59">
        <f>Richland!G6</f>
        <v>8156413</v>
      </c>
      <c r="D47" s="59"/>
      <c r="E47" s="59">
        <f>Richland!G7</f>
        <v>2837396</v>
      </c>
      <c r="F47" s="59">
        <f>Richland!G9+Richland!G10</f>
        <v>2626068</v>
      </c>
      <c r="G47" s="59"/>
      <c r="H47" s="59"/>
      <c r="I47" s="59">
        <f t="shared" si="63"/>
        <v>13619877</v>
      </c>
      <c r="J47" s="113" t="str">
        <f t="shared" si="1"/>
        <v>ok</v>
      </c>
      <c r="K47" s="58">
        <f>Richland!G12</f>
        <v>13619877</v>
      </c>
      <c r="L47" s="181" t="e">
        <f>'[1]St. Charles'!C33</f>
        <v>#REF!</v>
      </c>
      <c r="M47" s="59">
        <f>Richland!G15+Richland!G16</f>
        <v>454119</v>
      </c>
      <c r="N47" s="59"/>
      <c r="O47" s="59"/>
      <c r="P47" s="59"/>
      <c r="Q47" s="59"/>
      <c r="R47" s="59"/>
      <c r="S47" s="59"/>
      <c r="T47" s="59"/>
      <c r="U47" s="59">
        <f t="shared" si="64"/>
        <v>454119</v>
      </c>
      <c r="V47" s="229" t="str">
        <f t="shared" si="22"/>
        <v>ok</v>
      </c>
      <c r="W47" s="58">
        <f>Richland!G18</f>
        <v>454119</v>
      </c>
      <c r="X47" s="60"/>
      <c r="Y47" s="181">
        <f>Richland!G21</f>
        <v>2667511</v>
      </c>
      <c r="Z47" s="59">
        <f>Richland!G24</f>
        <v>2626068</v>
      </c>
      <c r="AA47" s="59">
        <f>Richland!G25</f>
        <v>6125046</v>
      </c>
      <c r="AB47" s="59">
        <f>Richland!G26</f>
        <v>1747133</v>
      </c>
      <c r="AC47" s="59">
        <f t="shared" ref="AC47" si="66">SUM(Z47:AB47)</f>
        <v>10498247</v>
      </c>
      <c r="AD47" s="59">
        <f t="shared" si="62"/>
        <v>10952366</v>
      </c>
      <c r="AE47" s="229" t="str">
        <f t="shared" si="23"/>
        <v>ok</v>
      </c>
      <c r="AF47" s="58">
        <f>Richland!G30</f>
        <v>10952366</v>
      </c>
    </row>
    <row r="48" spans="1:32" s="104" customFormat="1" ht="15.6">
      <c r="A48" s="108"/>
      <c r="B48" s="109" t="s">
        <v>782</v>
      </c>
      <c r="C48" s="110">
        <f>Sabine!H7</f>
        <v>9360736</v>
      </c>
      <c r="D48" s="110"/>
      <c r="E48" s="110">
        <f>Sabine!H8</f>
        <v>3889321</v>
      </c>
      <c r="F48" s="110">
        <f>Sabine!H10+Sabine!H11+Sabine!H12+Sabine!H13+Sabine!H14+Sabine!H16+Sabine!H17+Sabine!H18</f>
        <v>13877544</v>
      </c>
      <c r="G48" s="110"/>
      <c r="H48" s="110"/>
      <c r="I48" s="110">
        <f t="shared" ref="I48" si="67">SUM(C48:H48)</f>
        <v>27127601</v>
      </c>
      <c r="J48" s="113" t="str">
        <f t="shared" si="1"/>
        <v>ok</v>
      </c>
      <c r="K48" s="111">
        <f>Sabine!H20</f>
        <v>27127601</v>
      </c>
      <c r="L48" s="182"/>
      <c r="M48" s="110">
        <f>Sabine!H23+Sabine!H24</f>
        <v>483825</v>
      </c>
      <c r="N48" s="110"/>
      <c r="O48" s="110"/>
      <c r="P48" s="110"/>
      <c r="Q48" s="110"/>
      <c r="R48" s="110">
        <f>Sabine!H26</f>
        <v>351017</v>
      </c>
      <c r="S48" s="110">
        <f>Sabine!H27</f>
        <v>952478</v>
      </c>
      <c r="T48" s="110"/>
      <c r="U48" s="110">
        <f t="shared" ref="U48" si="68">SUM(M48:T48)</f>
        <v>1787320</v>
      </c>
      <c r="V48" s="229" t="str">
        <f t="shared" si="22"/>
        <v>ok</v>
      </c>
      <c r="W48" s="111">
        <f>Sabine!H29</f>
        <v>1787320</v>
      </c>
      <c r="X48" s="112"/>
      <c r="Y48" s="182"/>
      <c r="Z48" s="110">
        <f>Sabine!H32</f>
        <v>13520414</v>
      </c>
      <c r="AA48" s="110"/>
      <c r="AB48" s="110">
        <f>Sabine!H33</f>
        <v>11819867</v>
      </c>
      <c r="AC48" s="110">
        <f t="shared" ref="AC48" si="69">SUM(Z48:AB48)</f>
        <v>25340281</v>
      </c>
      <c r="AD48" s="110">
        <f>SUM(AC48,U48)</f>
        <v>27127601</v>
      </c>
      <c r="AE48" s="229" t="str">
        <f t="shared" si="23"/>
        <v>ok</v>
      </c>
      <c r="AF48" s="111">
        <f>Sabine!H37</f>
        <v>27127601</v>
      </c>
    </row>
    <row r="49" spans="1:32" ht="15.6">
      <c r="A49" s="56"/>
      <c r="B49" s="3" t="s">
        <v>783</v>
      </c>
      <c r="C49" s="59">
        <f>'St. Bernard'!F7</f>
        <v>35522122</v>
      </c>
      <c r="D49" s="59">
        <f>'St. Bernard'!F8+'St. Bernard'!F9</f>
        <v>5294661</v>
      </c>
      <c r="E49" s="59">
        <f>'St. Bernard'!F11+'St. Bernard'!F12+'St. Bernard'!F13+'St. Bernard'!F15+'St. Bernard'!F16</f>
        <v>39414847</v>
      </c>
      <c r="F49" s="59">
        <f>'St. Bernard'!F24+'St. Bernard'!F25</f>
        <v>384857910</v>
      </c>
      <c r="G49" s="59"/>
      <c r="H49" s="59">
        <f>'St. Bernard'!F18+'St. Bernard'!F19</f>
        <v>-2816961</v>
      </c>
      <c r="I49" s="59">
        <f>SUM(C49:H49)</f>
        <v>462272579</v>
      </c>
      <c r="J49" s="113" t="str">
        <f t="shared" si="1"/>
        <v>ok</v>
      </c>
      <c r="K49" s="58">
        <f>'St. Bernard'!F27</f>
        <v>462272579</v>
      </c>
      <c r="L49" s="181"/>
      <c r="M49" s="59">
        <f>'St. Bernard'!F30+'St. Bernard'!F31+'St. Bernard'!F32+'St. Bernard'!F33+'St. Bernard'!F35</f>
        <v>29214078</v>
      </c>
      <c r="N49" s="59"/>
      <c r="O49" s="59"/>
      <c r="P49" s="59"/>
      <c r="Q49" s="59"/>
      <c r="R49" s="59">
        <f>'St. Bernard'!F39</f>
        <v>3915948</v>
      </c>
      <c r="S49" s="59">
        <f>'St. Bernard'!F40</f>
        <v>37500615</v>
      </c>
      <c r="T49" s="59">
        <f>'St. Bernard'!F36+'St. Bernard'!F37</f>
        <v>6830120</v>
      </c>
      <c r="U49" s="59">
        <f t="shared" ref="U49:U51" si="70">SUM(M49:T49)</f>
        <v>77460761</v>
      </c>
      <c r="V49" s="229" t="str">
        <f t="shared" si="22"/>
        <v>ok</v>
      </c>
      <c r="W49" s="58">
        <f>'St. Bernard'!F42</f>
        <v>77460761</v>
      </c>
      <c r="X49" s="60"/>
      <c r="Y49" s="181"/>
      <c r="Z49" s="59">
        <f>'St. Bernard'!F45</f>
        <v>347417372</v>
      </c>
      <c r="AA49" s="59">
        <f>'St. Bernard'!F47+'St. Bernard'!F48+'St. Bernard'!F49+'St. Bernard'!F50+'St. Bernard'!F51</f>
        <v>15937711</v>
      </c>
      <c r="AB49" s="59">
        <f>'St. Bernard'!F52</f>
        <v>21456735</v>
      </c>
      <c r="AC49" s="59">
        <f t="shared" ref="AC49:AC51" si="71">SUM(Z49:AB49)</f>
        <v>384811818</v>
      </c>
      <c r="AD49" s="59">
        <f t="shared" ref="AD49:AD51" si="72">SUM(AC49,U49)</f>
        <v>462272579</v>
      </c>
      <c r="AE49" s="229" t="str">
        <f t="shared" si="23"/>
        <v>ok</v>
      </c>
      <c r="AF49" s="58">
        <f>'St. Bernard'!F56</f>
        <v>462272579</v>
      </c>
    </row>
    <row r="50" spans="1:32" s="104" customFormat="1" ht="15.6">
      <c r="A50" s="108"/>
      <c r="B50" s="109" t="s">
        <v>784</v>
      </c>
      <c r="C50" s="110">
        <f>'St. Charles'!H7</f>
        <v>1704337</v>
      </c>
      <c r="D50" s="110">
        <f>'St. Charles'!H8</f>
        <v>91136263</v>
      </c>
      <c r="E50" s="110">
        <f>'St. Charles'!H9</f>
        <v>29690795</v>
      </c>
      <c r="F50" s="110">
        <f>'St. Charles'!H19+'St. Charles'!H20+'St. Charles'!H21+'St. Charles'!H22</f>
        <v>197617376</v>
      </c>
      <c r="G50" s="110">
        <f>'St. Charles'!H10</f>
        <v>4581936</v>
      </c>
      <c r="H50" s="110">
        <f>'St. Charles'!H13+'St. Charles'!H14</f>
        <v>473996</v>
      </c>
      <c r="I50" s="110">
        <f>SUM(C50:H50)</f>
        <v>325204703</v>
      </c>
      <c r="J50" s="113" t="str">
        <f t="shared" si="1"/>
        <v>ok</v>
      </c>
      <c r="K50" s="111">
        <f>'St. Charles'!H24</f>
        <v>325204703</v>
      </c>
      <c r="L50" s="110"/>
      <c r="M50" s="110">
        <f>'St. Charles'!H28+'St. Charles'!H32</f>
        <v>5551720</v>
      </c>
      <c r="N50" s="110"/>
      <c r="O50" s="110"/>
      <c r="P50" s="110"/>
      <c r="Q50" s="110">
        <f>'St. Charles'!H30+'St. Charles'!H31</f>
        <v>260446</v>
      </c>
      <c r="R50" s="110">
        <f>'St. Charles'!H36</f>
        <v>3125000</v>
      </c>
      <c r="S50" s="110">
        <f>'St. Charles'!H37</f>
        <v>27310425</v>
      </c>
      <c r="T50" s="110">
        <f>'St. Charles'!H29+'St. Charles'!H33</f>
        <v>431016</v>
      </c>
      <c r="U50" s="110">
        <f t="shared" si="70"/>
        <v>36678607</v>
      </c>
      <c r="V50" s="229" t="str">
        <f t="shared" si="22"/>
        <v>ok</v>
      </c>
      <c r="W50" s="111">
        <f>'St. Charles'!H41</f>
        <v>36678607</v>
      </c>
      <c r="X50" s="112"/>
      <c r="Y50" s="110">
        <f>'St. Charles'!H45</f>
        <v>25868468</v>
      </c>
      <c r="Z50" s="110">
        <f>'St. Charles'!H48</f>
        <v>181967376</v>
      </c>
      <c r="AA50" s="110">
        <f>'St. Charles'!H50+'St. Charles'!H51+'St. Charles'!H52+'St. Charles'!H53</f>
        <v>43654724</v>
      </c>
      <c r="AB50" s="110">
        <f>'St. Charles'!H54</f>
        <v>37035528</v>
      </c>
      <c r="AC50" s="110">
        <f t="shared" si="71"/>
        <v>262657628</v>
      </c>
      <c r="AD50" s="110">
        <f>SUM(AC50,U50)</f>
        <v>299336235</v>
      </c>
      <c r="AE50" s="229" t="str">
        <f t="shared" si="23"/>
        <v>ok</v>
      </c>
      <c r="AF50" s="111">
        <f>'St. Charles'!H58</f>
        <v>299336235</v>
      </c>
    </row>
    <row r="51" spans="1:32" ht="15.6">
      <c r="A51" s="56"/>
      <c r="B51" s="3" t="s">
        <v>785</v>
      </c>
      <c r="C51" s="59">
        <f>'St. Helena '!H7+'St. Helena '!H16</f>
        <v>4878772</v>
      </c>
      <c r="D51" s="59">
        <f>'St. Helena '!H8</f>
        <v>986526</v>
      </c>
      <c r="E51" s="59">
        <f>'St. Helena '!H9</f>
        <v>2817120</v>
      </c>
      <c r="F51" s="59">
        <f>'St. Helena '!H24+'St. Helena '!H25</f>
        <v>17867465</v>
      </c>
      <c r="G51" s="59"/>
      <c r="H51" s="59">
        <f>'St. Helena '!H12</f>
        <v>99350</v>
      </c>
      <c r="I51" s="59">
        <f>SUM(C51:H51)</f>
        <v>26649233</v>
      </c>
      <c r="J51" s="113" t="str">
        <f t="shared" si="1"/>
        <v>ok</v>
      </c>
      <c r="K51" s="58">
        <f>'St. Helena '!H28</f>
        <v>26649233</v>
      </c>
      <c r="L51" s="181"/>
      <c r="M51" s="59">
        <f>'St. Helena '!H32+'St. Helena '!H33+'St. Helena '!H43</f>
        <v>1238977</v>
      </c>
      <c r="N51" s="59">
        <f>'St. Helena '!H44</f>
        <v>308432</v>
      </c>
      <c r="O51" s="59">
        <f>'St. Helena '!H37</f>
        <v>428726</v>
      </c>
      <c r="P51" s="59">
        <f>'St. Helena '!H42</f>
        <v>1865000</v>
      </c>
      <c r="Q51" s="59"/>
      <c r="R51" s="59"/>
      <c r="S51" s="59"/>
      <c r="T51" s="59">
        <f>'St. Helena '!H34+'St. Helena '!H38+'St. Helena '!H45</f>
        <v>1236427</v>
      </c>
      <c r="U51" s="59">
        <f t="shared" si="70"/>
        <v>5077562</v>
      </c>
      <c r="V51" s="229" t="str">
        <f t="shared" si="22"/>
        <v>ok</v>
      </c>
      <c r="W51" s="58">
        <f>'St. Helena '!H48</f>
        <v>5077562</v>
      </c>
      <c r="X51" s="60"/>
      <c r="Y51" s="181"/>
      <c r="Z51" s="59">
        <f>'St. Helena '!H51</f>
        <v>15145601</v>
      </c>
      <c r="AA51" s="59">
        <f>'St. Helena '!H53+'St. Helena '!H54+'St. Helena '!H55</f>
        <v>7154301</v>
      </c>
      <c r="AB51" s="59">
        <f>'St. Helena '!H56</f>
        <v>-728231</v>
      </c>
      <c r="AC51" s="59">
        <f t="shared" si="71"/>
        <v>21571671</v>
      </c>
      <c r="AD51" s="59">
        <f t="shared" si="72"/>
        <v>26649233</v>
      </c>
      <c r="AE51" s="229" t="str">
        <f t="shared" si="23"/>
        <v>ok</v>
      </c>
      <c r="AF51" s="58">
        <f>'St. Helena '!H60</f>
        <v>26649233</v>
      </c>
    </row>
    <row r="52" spans="1:32" s="104" customFormat="1" ht="15.6">
      <c r="A52" s="108"/>
      <c r="B52" s="109" t="s">
        <v>786</v>
      </c>
      <c r="C52" s="110">
        <f>'St. James'!G7</f>
        <v>22660670</v>
      </c>
      <c r="D52" s="110">
        <f>'St. James'!G8</f>
        <v>10808344</v>
      </c>
      <c r="E52" s="110">
        <f>'St. James'!G9</f>
        <v>23579733</v>
      </c>
      <c r="F52" s="110">
        <f>'St. James'!G21</f>
        <v>63127363</v>
      </c>
      <c r="G52" s="110">
        <f>'St. James'!G11+'St. James'!G12</f>
        <v>1590000</v>
      </c>
      <c r="H52" s="110">
        <f>'St. James'!G14+'St. James'!G15+'St. James'!G16</f>
        <v>276014</v>
      </c>
      <c r="I52" s="110">
        <f t="shared" ref="I52:I54" si="73">SUM(C52:H52)</f>
        <v>122042124</v>
      </c>
      <c r="J52" s="113" t="str">
        <f t="shared" si="1"/>
        <v>ok</v>
      </c>
      <c r="K52" s="111">
        <f>'St. James'!G24</f>
        <v>122042124</v>
      </c>
      <c r="L52" s="182">
        <f>'St. James'!G26</f>
        <v>163636</v>
      </c>
      <c r="M52" s="110">
        <f>'St. James'!G29</f>
        <v>4907605</v>
      </c>
      <c r="N52" s="110"/>
      <c r="O52" s="110"/>
      <c r="P52" s="110"/>
      <c r="Q52" s="110"/>
      <c r="R52" s="110">
        <f>'St. James'!G34</f>
        <v>1538866</v>
      </c>
      <c r="S52" s="110">
        <f>'St. James'!G35</f>
        <v>9012522</v>
      </c>
      <c r="T52" s="110">
        <f>'St. James'!G30+'St. James'!G31</f>
        <v>1410980</v>
      </c>
      <c r="U52" s="110">
        <f t="shared" ref="U52" si="74">SUM(M52:T52)</f>
        <v>16869973</v>
      </c>
      <c r="V52" s="229" t="str">
        <f t="shared" si="22"/>
        <v>ok</v>
      </c>
      <c r="W52" s="111">
        <f>'St. James'!G37</f>
        <v>16869973</v>
      </c>
      <c r="X52" s="112"/>
      <c r="Y52" s="182"/>
      <c r="Z52" s="110">
        <f>'St. James'!G40</f>
        <v>57285911</v>
      </c>
      <c r="AA52" s="110">
        <f>'St. James'!G42+'St. James'!G43+'St. James'!G44+'St. James'!G45+'St. James'!G46+'St. James'!G47+'St. James'!G48+'St. James'!G49+'St. James'!G50</f>
        <v>43371268</v>
      </c>
      <c r="AB52" s="110">
        <f>'St. James'!G51</f>
        <v>4678608</v>
      </c>
      <c r="AC52" s="110">
        <f t="shared" ref="AC52:AC54" si="75">SUM(Z52:AB52)</f>
        <v>105335787</v>
      </c>
      <c r="AD52" s="110">
        <f t="shared" ref="AD52:AD55" si="76">SUM(AC52,U52)</f>
        <v>122205760</v>
      </c>
      <c r="AE52" s="229" t="str">
        <f t="shared" si="23"/>
        <v>ok</v>
      </c>
      <c r="AF52" s="111">
        <f>'St. James'!G55</f>
        <v>122205760</v>
      </c>
    </row>
    <row r="53" spans="1:32" ht="15.6">
      <c r="A53" s="56"/>
      <c r="B53" s="3" t="s">
        <v>787</v>
      </c>
      <c r="C53" s="59">
        <f>'St. John the Baptist'!G7</f>
        <v>68703620</v>
      </c>
      <c r="D53" s="59"/>
      <c r="E53" s="59">
        <f>'St. John the Baptist'!G10+'St. John the Baptist'!G11+'St. John the Baptist'!G12+'St. John the Baptist'!G13</f>
        <v>15380068</v>
      </c>
      <c r="F53" s="59">
        <f>'St. John the Baptist'!G18+'St. John the Baptist'!G20</f>
        <v>86177643</v>
      </c>
      <c r="G53" s="59">
        <f>'St. John the Baptist'!G14</f>
        <v>3096282</v>
      </c>
      <c r="H53" s="59">
        <f>'St. John the Baptist'!G15+'St. John the Baptist'!G17</f>
        <v>1351150</v>
      </c>
      <c r="I53" s="59">
        <f t="shared" ref="I53" si="77">SUM(C53:H53)</f>
        <v>174708763</v>
      </c>
      <c r="J53" s="113" t="str">
        <f t="shared" ref="J53:J68" si="78">IF(I53=K53, "ok", "check")</f>
        <v>ok</v>
      </c>
      <c r="K53" s="58">
        <f>'St. John the Baptist'!G22</f>
        <v>174708763</v>
      </c>
      <c r="L53" s="181"/>
      <c r="M53" s="59">
        <f>'St. John the Baptist'!G25+'St. John the Baptist'!G30</f>
        <v>4603048</v>
      </c>
      <c r="N53" s="59"/>
      <c r="O53" s="59"/>
      <c r="P53" s="59"/>
      <c r="Q53" s="59">
        <f>'St. John the Baptist'!G27</f>
        <v>21935</v>
      </c>
      <c r="R53" s="59">
        <f>'St. John the Baptist'!G32</f>
        <v>5187032</v>
      </c>
      <c r="S53" s="59">
        <f>'St. John the Baptist'!G33</f>
        <v>84501977</v>
      </c>
      <c r="T53" s="59">
        <f>'St. John the Baptist'!G26</f>
        <v>942369</v>
      </c>
      <c r="U53" s="59">
        <f>SUM(M53:T53)</f>
        <v>95256361</v>
      </c>
      <c r="V53" s="229" t="str">
        <f t="shared" si="22"/>
        <v>ok</v>
      </c>
      <c r="W53" s="58">
        <f>'St. John the Baptist'!G35</f>
        <v>95256361</v>
      </c>
      <c r="X53" s="60"/>
      <c r="Y53" s="181"/>
      <c r="Z53" s="59">
        <f>'St. John the Baptist'!G38</f>
        <v>6020921</v>
      </c>
      <c r="AA53" s="59">
        <f>'St. John the Baptist'!G40+'St. John the Baptist'!G41</f>
        <v>43916590</v>
      </c>
      <c r="AB53" s="59">
        <f>'St. John the Baptist'!G45</f>
        <v>29514891</v>
      </c>
      <c r="AC53" s="59">
        <f t="shared" ref="AC53" si="79">SUM(Z53:AB53)</f>
        <v>79452402</v>
      </c>
      <c r="AD53" s="59">
        <f t="shared" ref="AD53" si="80">SUM(AC53,U53)</f>
        <v>174708763</v>
      </c>
      <c r="AE53" s="229" t="str">
        <f t="shared" si="23"/>
        <v>ok</v>
      </c>
      <c r="AF53" s="58">
        <f>'St. John the Baptist'!G49</f>
        <v>174708763</v>
      </c>
    </row>
    <row r="54" spans="1:32" s="220" customFormat="1" ht="15.6">
      <c r="A54" s="214"/>
      <c r="B54" s="215" t="s">
        <v>788</v>
      </c>
      <c r="C54" s="216">
        <f>'St. Landry'!H7</f>
        <v>1580783</v>
      </c>
      <c r="D54" s="216"/>
      <c r="E54" s="216">
        <f>'St. Landry'!H8</f>
        <v>6405899</v>
      </c>
      <c r="F54" s="216">
        <f>'St. Landry'!H18+'St. Landry'!H20+'St. Landry'!H19</f>
        <v>77493830</v>
      </c>
      <c r="G54" s="216">
        <f>'St. Landry'!H11+'St. Landry'!H10+'St. Landry'!H12</f>
        <v>430027</v>
      </c>
      <c r="H54" s="216">
        <f>'St. Landry'!H9</f>
        <v>239518</v>
      </c>
      <c r="I54" s="216">
        <f t="shared" si="73"/>
        <v>86150057</v>
      </c>
      <c r="J54" s="229" t="str">
        <f t="shared" si="78"/>
        <v>ok</v>
      </c>
      <c r="K54" s="217">
        <f>'St. Landry'!H22</f>
        <v>86150057</v>
      </c>
      <c r="L54" s="218"/>
      <c r="M54" s="216">
        <f>'St. Landry'!H41+'St. Landry'!H27</f>
        <v>4511302</v>
      </c>
      <c r="N54" s="216">
        <f>'St. Landry'!H33:H33</f>
        <v>141666</v>
      </c>
      <c r="O54" s="216">
        <f>'St. Landry'!H30</f>
        <v>3074167</v>
      </c>
      <c r="P54" s="216">
        <f>'St. Landry'!H42</f>
        <v>58619667</v>
      </c>
      <c r="Q54" s="216">
        <f>'St. Landry'!H34+'St. Landry'!H35</f>
        <v>101389</v>
      </c>
      <c r="R54" s="216"/>
      <c r="S54" s="216"/>
      <c r="T54" s="216">
        <f>'St. Landry'!H43+'St. Landry'!H32+'St. Landry'!H31+'St. Landry'!H29+'St. Landry'!H28+'St. Landry'!H26</f>
        <v>2019743</v>
      </c>
      <c r="U54" s="110">
        <f>SUM(M54:T54)</f>
        <v>68467934</v>
      </c>
      <c r="V54" s="229" t="str">
        <f t="shared" si="22"/>
        <v>ok</v>
      </c>
      <c r="W54" s="217">
        <f>'St. Landry'!H47</f>
        <v>68467934</v>
      </c>
      <c r="X54" s="219"/>
      <c r="Y54" s="218"/>
      <c r="Z54" s="216">
        <f>'St. Landry'!H50</f>
        <v>9000399</v>
      </c>
      <c r="AA54" s="216">
        <f>'St. Landry'!H51+'St. Landry'!H52+'St. Landry'!H53</f>
        <v>6136597</v>
      </c>
      <c r="AB54" s="216">
        <f>'St. Landry'!H54</f>
        <v>2545127</v>
      </c>
      <c r="AC54" s="216">
        <f t="shared" si="75"/>
        <v>17682123</v>
      </c>
      <c r="AD54" s="216">
        <f t="shared" si="76"/>
        <v>86150057</v>
      </c>
      <c r="AE54" s="229" t="str">
        <f t="shared" si="23"/>
        <v>ok</v>
      </c>
      <c r="AF54" s="217">
        <f>'St. Landry'!H58</f>
        <v>86150057</v>
      </c>
    </row>
    <row r="55" spans="1:32" ht="15.6">
      <c r="A55" s="56"/>
      <c r="B55" s="3" t="s">
        <v>789</v>
      </c>
      <c r="C55" s="59">
        <f>'St. Martin'!H6</f>
        <v>26425600</v>
      </c>
      <c r="D55" s="59"/>
      <c r="E55" s="59">
        <f>'St. Martin'!H7</f>
        <v>12465808</v>
      </c>
      <c r="F55" s="59">
        <f>'St. Martin'!H11+'St. Martin'!H12</f>
        <v>70733989</v>
      </c>
      <c r="G55" s="59">
        <f>'St. Martin'!H9</f>
        <v>138381</v>
      </c>
      <c r="H55" s="59">
        <f>'St. Martin'!H8</f>
        <v>232915</v>
      </c>
      <c r="I55" s="59">
        <f t="shared" ref="I55" si="81">SUM(C55:H55)</f>
        <v>109996693</v>
      </c>
      <c r="J55" s="113" t="str">
        <f t="shared" si="78"/>
        <v>ok</v>
      </c>
      <c r="K55" s="58">
        <f>'St. Martin'!H14</f>
        <v>109996693</v>
      </c>
      <c r="L55" s="181"/>
      <c r="M55" s="59">
        <f>'St. Martin'!H17+'St. Martin'!H19</f>
        <v>1388151</v>
      </c>
      <c r="N55" s="59">
        <f>'St. Martin'!H29</f>
        <v>465766</v>
      </c>
      <c r="O55" s="59">
        <f>'St. Martin'!H24</f>
        <v>1894000</v>
      </c>
      <c r="P55" s="59">
        <f>'St. Martin'!H25</f>
        <v>21010000</v>
      </c>
      <c r="Q55" s="59">
        <f>'St. Martin'!H21</f>
        <v>89704</v>
      </c>
      <c r="R55" s="59">
        <f>'St. Martin'!H26</f>
        <v>188692</v>
      </c>
      <c r="S55" s="59">
        <f>'St. Martin'!H27</f>
        <v>502130</v>
      </c>
      <c r="T55" s="59">
        <f>'St. Martin'!H28+'St. Martin'!H22+'St. Martin'!H20</f>
        <v>6988948</v>
      </c>
      <c r="U55" s="59">
        <f t="shared" ref="U55" si="82">SUM(M55:T55)</f>
        <v>32527391</v>
      </c>
      <c r="V55" s="229" t="str">
        <f t="shared" si="22"/>
        <v>ok</v>
      </c>
      <c r="W55" s="58">
        <f>'St. Martin'!H31</f>
        <v>32527391</v>
      </c>
      <c r="X55" s="60"/>
      <c r="Y55" s="181"/>
      <c r="Z55" s="59">
        <f>'St. Martin'!H34</f>
        <v>46885579</v>
      </c>
      <c r="AA55" s="59">
        <f>'St. Martin'!H36+'St. Martin'!H37</f>
        <v>31667398</v>
      </c>
      <c r="AB55" s="59">
        <f>'St. Martin'!H38</f>
        <v>-1083675</v>
      </c>
      <c r="AC55" s="59">
        <f t="shared" ref="AC55" si="83">SUM(Z55:AB55)</f>
        <v>77469302</v>
      </c>
      <c r="AD55" s="59">
        <f t="shared" si="76"/>
        <v>109996693</v>
      </c>
      <c r="AE55" s="229" t="str">
        <f t="shared" si="23"/>
        <v>ok</v>
      </c>
      <c r="AF55" s="58">
        <f>'St. Martin'!H42</f>
        <v>109996693</v>
      </c>
    </row>
    <row r="56" spans="1:32" s="104" customFormat="1" ht="15.6">
      <c r="A56" s="108"/>
      <c r="B56" s="109" t="s">
        <v>790</v>
      </c>
      <c r="C56" s="110">
        <f>'St. Mary'!H8</f>
        <v>3457312</v>
      </c>
      <c r="D56" s="110">
        <f>'St. Mary'!H9</f>
        <v>13074756</v>
      </c>
      <c r="E56" s="110">
        <f>'St. Mary'!H10</f>
        <v>892554</v>
      </c>
      <c r="F56" s="110">
        <f>'St. Mary'!H25+'St. Mary'!H26+'St. Mary'!H28+'St. Mary'!H30+'St. Mary'!H31+'St. Mary'!H32</f>
        <v>107619607</v>
      </c>
      <c r="G56" s="110">
        <f>'St. Mary'!H11+'St. Mary'!H12</f>
        <v>13713439</v>
      </c>
      <c r="H56" s="110">
        <f>'St. Mary'!H13+'St. Mary'!H14</f>
        <v>-6792660</v>
      </c>
      <c r="I56" s="110">
        <f t="shared" ref="I56:I57" si="84">SUM(C56:H56)</f>
        <v>131965008</v>
      </c>
      <c r="J56" s="113" t="str">
        <f t="shared" si="78"/>
        <v>ok</v>
      </c>
      <c r="K56" s="111">
        <f>'St. Mary'!H36</f>
        <v>131965008</v>
      </c>
      <c r="L56" s="182"/>
      <c r="M56" s="110">
        <f>'St. Mary'!H45+'St. Mary'!H46+'St. Mary'!H47+'St. Mary'!H51</f>
        <v>3145630</v>
      </c>
      <c r="N56" s="110">
        <f>'St. Mary'!H58</f>
        <v>198000</v>
      </c>
      <c r="O56" s="110"/>
      <c r="P56" s="110"/>
      <c r="Q56" s="110">
        <f>'St. Mary'!H49+'St. Mary'!H50</f>
        <v>204452</v>
      </c>
      <c r="R56" s="110"/>
      <c r="S56" s="110"/>
      <c r="T56" s="110">
        <f>'St. Mary'!H48+'St. Mary'!H52+'St. Mary'!H57+'St. Mary'!H59</f>
        <v>28155985</v>
      </c>
      <c r="U56" s="110">
        <f t="shared" ref="U56:U57" si="85">SUM(M56:T56)</f>
        <v>31704067</v>
      </c>
      <c r="V56" s="229" t="str">
        <f t="shared" si="22"/>
        <v>ok</v>
      </c>
      <c r="W56" s="111">
        <f>'St. Mary'!H64</f>
        <v>31704067</v>
      </c>
      <c r="X56" s="112"/>
      <c r="Y56" s="182"/>
      <c r="Z56" s="110"/>
      <c r="AA56" s="110"/>
      <c r="AB56" s="110"/>
      <c r="AC56" s="110">
        <f t="shared" ref="AC56:AC57" si="86">SUM(Z56:AB56)</f>
        <v>0</v>
      </c>
      <c r="AD56" s="110">
        <f t="shared" ref="AD56" si="87">SUM(AC56,U56)</f>
        <v>31704067</v>
      </c>
      <c r="AE56" s="229" t="str">
        <f t="shared" si="23"/>
        <v>check</v>
      </c>
      <c r="AF56" s="111"/>
    </row>
    <row r="57" spans="1:32" ht="15.6">
      <c r="A57" s="56"/>
      <c r="B57" s="3" t="s">
        <v>791</v>
      </c>
      <c r="C57" s="59">
        <f>'St. Tammany'!H7</f>
        <v>32231916</v>
      </c>
      <c r="D57" s="59">
        <f>'St. Tammany'!H8</f>
        <v>139982794</v>
      </c>
      <c r="E57" s="59">
        <f>'St. Tammany'!H9</f>
        <v>52368483</v>
      </c>
      <c r="F57" s="59">
        <f>'St. Tammany'!H16+'St. Tammany'!H17</f>
        <v>431089855</v>
      </c>
      <c r="G57" s="59">
        <f>'St. Tammany'!H10</f>
        <v>360844</v>
      </c>
      <c r="H57" s="59">
        <f>'St. Tammany'!H12+'St. Tammany'!H13+'St. Tammany'!H14</f>
        <v>19257472</v>
      </c>
      <c r="I57" s="59">
        <f t="shared" si="84"/>
        <v>675291364</v>
      </c>
      <c r="J57" s="113" t="str">
        <f t="shared" si="78"/>
        <v>ok</v>
      </c>
      <c r="K57" s="58">
        <f>'St. Tammany'!H19</f>
        <v>675291364</v>
      </c>
      <c r="L57" s="181">
        <f>'St. Tammany'!H24</f>
        <v>4730418</v>
      </c>
      <c r="M57" s="59">
        <f>'St. Tammany'!H27+'St. Tammany'!H32</f>
        <v>22595129</v>
      </c>
      <c r="N57" s="59"/>
      <c r="O57" s="59"/>
      <c r="P57" s="59"/>
      <c r="Q57" s="59">
        <f>'St. Tammany'!H29</f>
        <v>8842090</v>
      </c>
      <c r="R57" s="59">
        <f>'St. Tammany'!H34</f>
        <v>8387911</v>
      </c>
      <c r="S57" s="59">
        <f>'St. Tammany'!H35</f>
        <v>92368011</v>
      </c>
      <c r="T57" s="59">
        <f>'St. Tammany'!H30+'St. Tammany'!H31</f>
        <v>5299949</v>
      </c>
      <c r="U57" s="59">
        <f t="shared" si="85"/>
        <v>137493090</v>
      </c>
      <c r="V57" s="229" t="str">
        <f t="shared" si="22"/>
        <v>ok</v>
      </c>
      <c r="W57" s="58">
        <f>'St. Tammany'!H37</f>
        <v>137493090</v>
      </c>
      <c r="X57" s="60"/>
      <c r="Y57" s="181"/>
      <c r="Z57" s="59">
        <f>'St. Tammany'!H40</f>
        <v>361538436</v>
      </c>
      <c r="AA57" s="59">
        <f>'St. Tammany'!H42+'St. Tammany'!H43+'St. Tammany'!H44+'St. Tammany'!H45+'St. Tammany'!H46+'St. Tammany'!H47+'St. Tammany'!H48+'St. Tammany'!H49+'St. Tammany'!H50+'St. Tammany'!H51</f>
        <v>145503863</v>
      </c>
      <c r="AB57" s="59">
        <f>'St. Tammany'!H52</f>
        <v>35486393</v>
      </c>
      <c r="AC57" s="59">
        <f t="shared" si="86"/>
        <v>542528692</v>
      </c>
      <c r="AD57" s="59">
        <f>SUM(AC57,U57)</f>
        <v>680021782</v>
      </c>
      <c r="AE57" s="229" t="str">
        <f t="shared" si="23"/>
        <v>ok</v>
      </c>
      <c r="AF57" s="58">
        <f>'St. Tammany'!H56</f>
        <v>680021782</v>
      </c>
    </row>
    <row r="58" spans="1:32" s="104" customFormat="1" ht="15.6">
      <c r="A58" s="108"/>
      <c r="B58" s="109" t="s">
        <v>792</v>
      </c>
      <c r="C58" s="110">
        <f>Tangipahoa!H7</f>
        <v>16117497</v>
      </c>
      <c r="D58" s="110"/>
      <c r="E58" s="110">
        <f>Tangipahoa!H9</f>
        <v>9874591</v>
      </c>
      <c r="F58" s="110">
        <f>Tangipahoa!H13</f>
        <v>180628136</v>
      </c>
      <c r="G58" s="110">
        <f>Tangipahoa!H10</f>
        <v>414377</v>
      </c>
      <c r="H58" s="110">
        <f>Tangipahoa!H11</f>
        <v>1037478</v>
      </c>
      <c r="I58" s="110">
        <f>SUM(C58:H58)</f>
        <v>208072079</v>
      </c>
      <c r="J58" s="113" t="str">
        <f t="shared" si="78"/>
        <v>ok</v>
      </c>
      <c r="K58" s="111">
        <f>Tangipahoa!H15</f>
        <v>208072079</v>
      </c>
      <c r="L58" s="182"/>
      <c r="M58" s="110">
        <f>Tangipahoa!H18</f>
        <v>2735360</v>
      </c>
      <c r="N58" s="110"/>
      <c r="O58" s="110"/>
      <c r="P58" s="110"/>
      <c r="Q58" s="110">
        <f>Tangipahoa!H19</f>
        <v>444765</v>
      </c>
      <c r="R58" s="110">
        <f>Tangipahoa!H22</f>
        <v>105000</v>
      </c>
      <c r="S58" s="110">
        <f>Tangipahoa!H23</f>
        <v>8239663</v>
      </c>
      <c r="T58" s="110">
        <f>Tangipahoa!H24</f>
        <v>1722972</v>
      </c>
      <c r="U58" s="110">
        <f t="shared" ref="U58:U61" si="88">SUM(M58:T58)</f>
        <v>13247760</v>
      </c>
      <c r="V58" s="229" t="str">
        <f t="shared" si="22"/>
        <v>ok</v>
      </c>
      <c r="W58" s="111">
        <f>Tangipahoa!H26</f>
        <v>13247760</v>
      </c>
      <c r="X58" s="112"/>
      <c r="Y58" s="182">
        <f>Tangipahoa!H31</f>
        <v>150368</v>
      </c>
      <c r="Z58" s="110">
        <f>Tangipahoa!H34</f>
        <v>178143136</v>
      </c>
      <c r="AA58" s="110">
        <f>Tangipahoa!H37+Tangipahoa!H38</f>
        <v>1239486</v>
      </c>
      <c r="AB58" s="110">
        <f>Tangipahoa!H39</f>
        <v>15291329</v>
      </c>
      <c r="AC58" s="110">
        <f t="shared" ref="AC58:AC61" si="89">SUM(Z58:AB58)</f>
        <v>194673951</v>
      </c>
      <c r="AD58" s="110">
        <f t="shared" ref="AD58:AD60" si="90">SUM(AC58,U58)</f>
        <v>207921711</v>
      </c>
      <c r="AE58" s="229" t="str">
        <f t="shared" si="23"/>
        <v>ok</v>
      </c>
      <c r="AF58" s="111">
        <f>Tangipahoa!H43</f>
        <v>207921711</v>
      </c>
    </row>
    <row r="59" spans="1:32" ht="15.6">
      <c r="A59" s="56"/>
      <c r="B59" s="3" t="s">
        <v>793</v>
      </c>
      <c r="C59" s="59">
        <f>Tensas!G6</f>
        <v>1972756</v>
      </c>
      <c r="D59" s="59"/>
      <c r="E59" s="59">
        <f>Tensas!G7</f>
        <v>1413886</v>
      </c>
      <c r="F59" s="59"/>
      <c r="G59" s="59">
        <f>Tensas!G11</f>
        <v>8654948</v>
      </c>
      <c r="H59" s="59">
        <f>Tensas!G9+Tensas!G10</f>
        <v>1004332</v>
      </c>
      <c r="I59" s="59">
        <f t="shared" ref="I59" si="91">SUM(C59:H59)</f>
        <v>13045922</v>
      </c>
      <c r="J59" s="113" t="str">
        <f t="shared" si="78"/>
        <v>ok</v>
      </c>
      <c r="K59" s="58">
        <f>Tensas!G13</f>
        <v>13045922</v>
      </c>
      <c r="L59" s="181"/>
      <c r="M59" s="59">
        <f>Tensas!G16</f>
        <v>186567</v>
      </c>
      <c r="N59" s="59"/>
      <c r="O59" s="59"/>
      <c r="P59" s="59"/>
      <c r="Q59" s="59">
        <f>Tensas!G17</f>
        <v>52119</v>
      </c>
      <c r="R59" s="59">
        <f>Tensas!G19</f>
        <v>66912</v>
      </c>
      <c r="S59" s="59">
        <f>Tensas!G20</f>
        <v>1429057</v>
      </c>
      <c r="T59" s="59"/>
      <c r="U59" s="59">
        <f t="shared" si="88"/>
        <v>1734655</v>
      </c>
      <c r="V59" s="229" t="str">
        <f t="shared" si="22"/>
        <v>ok</v>
      </c>
      <c r="W59" s="58">
        <f>Tensas!G22</f>
        <v>1734655</v>
      </c>
      <c r="X59" s="60"/>
      <c r="Y59" s="181"/>
      <c r="Z59" s="59">
        <f>Tensas!G25</f>
        <v>7158979</v>
      </c>
      <c r="AA59" s="59">
        <f>Tensas!G27+Tensas!G28</f>
        <v>1004332</v>
      </c>
      <c r="AB59" s="59">
        <f>Tensas!G29</f>
        <v>3147956</v>
      </c>
      <c r="AC59" s="59">
        <f t="shared" si="89"/>
        <v>11311267</v>
      </c>
      <c r="AD59" s="59">
        <f t="shared" si="90"/>
        <v>13045922</v>
      </c>
      <c r="AE59" s="229" t="str">
        <f t="shared" si="23"/>
        <v>ok</v>
      </c>
      <c r="AF59" s="58">
        <f>Tensas!G33</f>
        <v>13045922</v>
      </c>
    </row>
    <row r="60" spans="1:32" s="104" customFormat="1" ht="15.6">
      <c r="A60" s="108"/>
      <c r="B60" s="109" t="s">
        <v>794</v>
      </c>
      <c r="C60" s="110">
        <f>Terrebonne!H7+Terrebonne!H16</f>
        <v>87509745</v>
      </c>
      <c r="D60" s="110">
        <f>Terrebonne!H8</f>
        <v>48447943</v>
      </c>
      <c r="E60" s="110">
        <f>Terrebonne!H9</f>
        <v>13832027</v>
      </c>
      <c r="F60" s="110">
        <f>Terrebonne!H21+Terrebonne!H22</f>
        <v>321841492</v>
      </c>
      <c r="G60" s="110">
        <f>Terrebonne!H11+Terrebonne!H12</f>
        <v>54995966</v>
      </c>
      <c r="H60" s="110">
        <f>Terrebonne!H10+Terrebonne!H13+Terrebonne!H14</f>
        <v>4429439</v>
      </c>
      <c r="I60" s="110">
        <f t="shared" ref="I60:I61" si="92">SUM(C60:H60)</f>
        <v>531056612</v>
      </c>
      <c r="J60" s="113" t="str">
        <f t="shared" si="78"/>
        <v>ok</v>
      </c>
      <c r="K60" s="111">
        <f>Terrebonne!H24</f>
        <v>531056612</v>
      </c>
      <c r="L60" s="182"/>
      <c r="M60" s="110">
        <f>Terrebonne!H29+Terrebonne!H30+Terrebonne!H35</f>
        <v>20038585</v>
      </c>
      <c r="N60" s="110"/>
      <c r="O60" s="110"/>
      <c r="P60" s="110"/>
      <c r="Q60" s="110">
        <f>Terrebonne!H31+Terrebonne!H32+Terrebonne!H34</f>
        <v>10683475</v>
      </c>
      <c r="R60" s="110">
        <f>Terrebonne!H37</f>
        <v>6514089</v>
      </c>
      <c r="S60" s="110">
        <f>Terrebonne!H38</f>
        <v>119868844</v>
      </c>
      <c r="T60" s="110">
        <f>Terrebonne!H33</f>
        <v>28200172</v>
      </c>
      <c r="U60" s="110">
        <f t="shared" si="88"/>
        <v>185305165</v>
      </c>
      <c r="V60" s="229" t="str">
        <f t="shared" si="22"/>
        <v>ok</v>
      </c>
      <c r="W60" s="111">
        <f>Terrebonne!H40</f>
        <v>185305165</v>
      </c>
      <c r="X60" s="112"/>
      <c r="Y60" s="182"/>
      <c r="Z60" s="110">
        <f>Terrebonne!H45</f>
        <v>260584619</v>
      </c>
      <c r="AA60" s="110">
        <f>Terrebonne!H47+Terrebonne!H48+Terrebonne!H49+Terrebonne!H50+Terrebonne!H51+Terrebonne!H52+Terrebonne!H53+Terrebonne!H54</f>
        <v>65076279</v>
      </c>
      <c r="AB60" s="110">
        <f>Terrebonne!H59</f>
        <v>20178033</v>
      </c>
      <c r="AC60" s="110">
        <f t="shared" si="89"/>
        <v>345838931</v>
      </c>
      <c r="AD60" s="110">
        <f t="shared" si="90"/>
        <v>531144096</v>
      </c>
      <c r="AE60" s="229" t="str">
        <f t="shared" si="23"/>
        <v>ok</v>
      </c>
      <c r="AF60" s="111">
        <f>Terrebonne!H63</f>
        <v>531144096</v>
      </c>
    </row>
    <row r="61" spans="1:32" ht="15.6">
      <c r="A61" s="56"/>
      <c r="B61" s="3" t="s">
        <v>795</v>
      </c>
      <c r="C61" s="59">
        <f>Union!G6</f>
        <v>6259472</v>
      </c>
      <c r="D61" s="59">
        <f>Union!G7</f>
        <v>7413268</v>
      </c>
      <c r="E61" s="59">
        <f>Union!G8</f>
        <v>4642781</v>
      </c>
      <c r="F61" s="59">
        <f>Union!G9</f>
        <v>12227890</v>
      </c>
      <c r="G61" s="59"/>
      <c r="H61" s="59"/>
      <c r="I61" s="59">
        <f t="shared" si="92"/>
        <v>30543411</v>
      </c>
      <c r="J61" s="113" t="str">
        <f t="shared" si="78"/>
        <v>ok</v>
      </c>
      <c r="K61" s="58">
        <f>Union!G11</f>
        <v>30543411</v>
      </c>
      <c r="L61" s="181"/>
      <c r="M61" s="59">
        <f>Union!G15</f>
        <v>911561</v>
      </c>
      <c r="N61" s="59">
        <f>Union!G17</f>
        <v>355020</v>
      </c>
      <c r="O61" s="59">
        <f>Union!G20</f>
        <v>18000</v>
      </c>
      <c r="P61" s="59">
        <f>Union!G21</f>
        <v>217000</v>
      </c>
      <c r="Q61" s="59">
        <f>Union!G16</f>
        <v>30838</v>
      </c>
      <c r="R61" s="59">
        <f>Union!G18</f>
        <v>222837</v>
      </c>
      <c r="S61" s="59">
        <f>Union!G19</f>
        <v>180000</v>
      </c>
      <c r="T61" s="59">
        <f>Union!G14+Union!G22+Union!G23</f>
        <v>8470251</v>
      </c>
      <c r="U61" s="59">
        <f t="shared" si="88"/>
        <v>10405507</v>
      </c>
      <c r="V61" s="229" t="str">
        <f t="shared" si="22"/>
        <v>ok</v>
      </c>
      <c r="W61" s="58">
        <f>Union!G25</f>
        <v>10405507</v>
      </c>
      <c r="X61" s="60"/>
      <c r="Y61" s="181">
        <f>Union!G28</f>
        <v>14194</v>
      </c>
      <c r="Z61" s="59">
        <f>Union!G31</f>
        <v>11812890</v>
      </c>
      <c r="AA61" s="59">
        <f>Union!G32</f>
        <v>5000081</v>
      </c>
      <c r="AB61" s="59">
        <f>Union!G33</f>
        <v>3310739</v>
      </c>
      <c r="AC61" s="59">
        <f t="shared" si="89"/>
        <v>20123710</v>
      </c>
      <c r="AD61" s="59">
        <f>SUM(AC61,U61)</f>
        <v>30529217</v>
      </c>
      <c r="AE61" s="229" t="str">
        <f t="shared" si="23"/>
        <v>ok</v>
      </c>
      <c r="AF61" s="58">
        <f>Union!G37</f>
        <v>30529217</v>
      </c>
    </row>
    <row r="62" spans="1:32" s="104" customFormat="1" ht="15.6">
      <c r="A62" s="108"/>
      <c r="B62" s="109" t="s">
        <v>796</v>
      </c>
      <c r="C62" s="110">
        <f>Vermilion!H7</f>
        <v>59064295</v>
      </c>
      <c r="D62" s="110"/>
      <c r="E62" s="110">
        <f>Vermilion!H8</f>
        <v>577792</v>
      </c>
      <c r="F62" s="110">
        <f>Vermilion!H12</f>
        <v>81804386</v>
      </c>
      <c r="G62" s="110">
        <f>Vermilion!H9+Vermilion!H10</f>
        <v>10125535</v>
      </c>
      <c r="H62" s="110">
        <f>Vermilion!H11</f>
        <v>25907</v>
      </c>
      <c r="I62" s="110">
        <f>SUM(C62:H62)</f>
        <v>151597915</v>
      </c>
      <c r="J62" s="113" t="str">
        <f t="shared" si="78"/>
        <v>ok</v>
      </c>
      <c r="K62" s="111">
        <f>Vermilion!H14</f>
        <v>151597915</v>
      </c>
      <c r="L62" s="182"/>
      <c r="M62" s="110">
        <f>Vermilion!H17+Vermilion!H18+Vermilion!H19+Vermilion!H21</f>
        <v>4054530</v>
      </c>
      <c r="N62" s="110"/>
      <c r="O62" s="110"/>
      <c r="P62" s="110"/>
      <c r="Q62" s="110"/>
      <c r="R62" s="110">
        <f>Vermilion!H24</f>
        <v>375000</v>
      </c>
      <c r="S62" s="110">
        <f>Vermilion!H25</f>
        <v>3355287</v>
      </c>
      <c r="T62" s="110">
        <f>Vermilion!H23</f>
        <v>1497605</v>
      </c>
      <c r="U62" s="110">
        <f t="shared" ref="U62:U63" si="93">SUM(M62:T62)</f>
        <v>9282422</v>
      </c>
      <c r="V62" s="229" t="str">
        <f t="shared" si="22"/>
        <v>ok</v>
      </c>
      <c r="W62" s="111">
        <f>Vermilion!H27</f>
        <v>9282422</v>
      </c>
      <c r="X62" s="112"/>
      <c r="Y62" s="182"/>
      <c r="Z62" s="110">
        <f>Vermilion!H33</f>
        <v>80040061</v>
      </c>
      <c r="AA62" s="110">
        <f>Vermilion!H35+Vermilion!H36</f>
        <v>40954264</v>
      </c>
      <c r="AB62" s="110">
        <f>Vermilion!H37</f>
        <v>20234573</v>
      </c>
      <c r="AC62" s="110">
        <f t="shared" ref="AC62:AC63" si="94">SUM(Z62:AB62)</f>
        <v>141228898</v>
      </c>
      <c r="AD62" s="110">
        <f t="shared" ref="AD62:AD63" si="95">SUM(AC62,U62)</f>
        <v>150511320</v>
      </c>
      <c r="AE62" s="229" t="str">
        <f t="shared" si="23"/>
        <v>ok</v>
      </c>
      <c r="AF62" s="111">
        <f>Vermilion!H41</f>
        <v>150511320</v>
      </c>
    </row>
    <row r="63" spans="1:32" ht="15.6">
      <c r="A63" s="56"/>
      <c r="B63" s="3" t="s">
        <v>797</v>
      </c>
      <c r="C63" s="59">
        <f>Vernon!H7</f>
        <v>17372780</v>
      </c>
      <c r="D63" s="59">
        <f>Vernon!H8</f>
        <v>1246151</v>
      </c>
      <c r="E63" s="59">
        <f>Vernon!H9</f>
        <v>6948566</v>
      </c>
      <c r="F63" s="59">
        <f>Vernon!H12+Vernon!H13+Vernon!H14+Vernon!H15+Vernon!H16+Vernon!H17</f>
        <v>53015684</v>
      </c>
      <c r="G63" s="59"/>
      <c r="H63" s="59">
        <f>Vernon!H10</f>
        <v>39589</v>
      </c>
      <c r="I63" s="59">
        <f t="shared" ref="I63" si="96">SUM(C63:H63)</f>
        <v>78622770</v>
      </c>
      <c r="J63" s="113" t="str">
        <f t="shared" si="78"/>
        <v>ok</v>
      </c>
      <c r="K63" s="58">
        <f>Vernon!H19</f>
        <v>78622770</v>
      </c>
      <c r="L63" s="181"/>
      <c r="M63" s="59">
        <f>Vernon!H22+Vernon!H24</f>
        <v>1330284</v>
      </c>
      <c r="N63" s="59"/>
      <c r="O63" s="59"/>
      <c r="P63" s="59"/>
      <c r="Q63" s="59"/>
      <c r="R63" s="59">
        <f>Vernon!H26</f>
        <v>899766</v>
      </c>
      <c r="S63" s="59">
        <f>Vernon!H27</f>
        <v>23278107</v>
      </c>
      <c r="T63" s="59">
        <f>Vernon!H23</f>
        <v>44879</v>
      </c>
      <c r="U63" s="59">
        <f t="shared" si="93"/>
        <v>25553036</v>
      </c>
      <c r="V63" s="229" t="str">
        <f t="shared" si="22"/>
        <v>ok</v>
      </c>
      <c r="W63" s="58">
        <f>Vernon!H29</f>
        <v>25553036</v>
      </c>
      <c r="X63" s="60"/>
      <c r="Y63" s="181"/>
      <c r="Z63" s="59">
        <f>Vernon!H32</f>
        <v>43245853</v>
      </c>
      <c r="AA63" s="59">
        <f>Vernon!H35+Vernon!H34</f>
        <v>3133421</v>
      </c>
      <c r="AB63" s="59">
        <f>Vernon!H36</f>
        <v>6690459</v>
      </c>
      <c r="AC63" s="59">
        <f t="shared" si="94"/>
        <v>53069733</v>
      </c>
      <c r="AD63" s="59">
        <f t="shared" si="95"/>
        <v>78622769</v>
      </c>
      <c r="AE63" s="229" t="str">
        <f t="shared" si="23"/>
        <v>ok</v>
      </c>
      <c r="AF63" s="58">
        <f>Vernon!H40</f>
        <v>78622769</v>
      </c>
    </row>
    <row r="64" spans="1:32" s="104" customFormat="1" ht="15.6">
      <c r="A64" s="108"/>
      <c r="B64" s="109" t="s">
        <v>798</v>
      </c>
      <c r="C64" s="110">
        <f>Washington!H7</f>
        <v>3332126</v>
      </c>
      <c r="D64" s="110">
        <f>Washington!H8</f>
        <v>2571647</v>
      </c>
      <c r="E64" s="110">
        <f>Washington!H9+Washington!H10</f>
        <v>5404719</v>
      </c>
      <c r="F64" s="110">
        <f>Washington!H16+Washington!H17+Washington!H18</f>
        <v>39100282</v>
      </c>
      <c r="G64" s="110">
        <f>Washington!H12</f>
        <v>175037</v>
      </c>
      <c r="H64" s="110">
        <f>Washington!H13+Washington!H14</f>
        <v>2442671</v>
      </c>
      <c r="I64" s="110">
        <f t="shared" ref="I64:I65" si="97">SUM(C64:H64)</f>
        <v>53026482</v>
      </c>
      <c r="J64" s="113" t="str">
        <f t="shared" si="78"/>
        <v>ok</v>
      </c>
      <c r="K64" s="111">
        <f>Washington!H20</f>
        <v>53026482</v>
      </c>
      <c r="L64" s="182"/>
      <c r="M64" s="110">
        <f>Washington!H23</f>
        <v>809043</v>
      </c>
      <c r="N64" s="110"/>
      <c r="O64" s="110"/>
      <c r="P64" s="110"/>
      <c r="Q64" s="110">
        <f>Washington!H26</f>
        <v>620471</v>
      </c>
      <c r="R64" s="110">
        <f>Washington!H29</f>
        <v>1529830</v>
      </c>
      <c r="S64" s="110">
        <f>Washington!H30</f>
        <v>3010000</v>
      </c>
      <c r="T64" s="110">
        <f>Washington!H24+Washington!H25+Washington!H27</f>
        <v>1855135</v>
      </c>
      <c r="U64" s="110">
        <f t="shared" ref="U64:U68" si="98">SUM(M64:T64)</f>
        <v>7824479</v>
      </c>
      <c r="V64" s="229" t="str">
        <f t="shared" si="22"/>
        <v>ok</v>
      </c>
      <c r="W64" s="111">
        <f>Washington!H32</f>
        <v>7824479</v>
      </c>
      <c r="X64" s="112"/>
      <c r="Y64" s="182"/>
      <c r="Z64" s="110">
        <f>Washington!H35</f>
        <v>34644356</v>
      </c>
      <c r="AA64" s="110">
        <f>Washington!H37+Washington!H38+Washington!H39+Washington!H40+Washington!H41+Washington!H42</f>
        <v>9168919</v>
      </c>
      <c r="AB64" s="110">
        <f>Washington!H43</f>
        <v>1388728</v>
      </c>
      <c r="AC64" s="110">
        <f t="shared" ref="AC64:AC68" si="99">SUM(Z64:AB64)</f>
        <v>45202003</v>
      </c>
      <c r="AD64" s="110">
        <f t="shared" ref="AD64" si="100">SUM(AC64,U64)</f>
        <v>53026482</v>
      </c>
      <c r="AE64" s="229" t="str">
        <f t="shared" si="23"/>
        <v>ok</v>
      </c>
      <c r="AF64" s="111">
        <f>Washington!H47</f>
        <v>53026482</v>
      </c>
    </row>
    <row r="65" spans="1:33" ht="15.6">
      <c r="A65" s="56"/>
      <c r="B65" s="3" t="s">
        <v>799</v>
      </c>
      <c r="C65" s="59">
        <f>Webster!H7</f>
        <v>4804541</v>
      </c>
      <c r="D65" s="59">
        <f>Webster!H8</f>
        <v>6021598</v>
      </c>
      <c r="E65" s="59">
        <f>Webster!H9</f>
        <v>5707961</v>
      </c>
      <c r="F65" s="59">
        <f>Webster!H12+Webster!H13</f>
        <v>11754250</v>
      </c>
      <c r="G65" s="59"/>
      <c r="H65" s="59">
        <f>Webster!H10</f>
        <v>274135</v>
      </c>
      <c r="I65" s="59">
        <f t="shared" si="97"/>
        <v>28562485</v>
      </c>
      <c r="J65" s="113" t="str">
        <f t="shared" si="78"/>
        <v>ok</v>
      </c>
      <c r="K65" s="58">
        <f>Webster!H15</f>
        <v>28562485</v>
      </c>
      <c r="L65" s="181"/>
      <c r="M65" s="59">
        <f>Webster!H18+Webster!H19+Webster!H21</f>
        <v>424160</v>
      </c>
      <c r="N65" s="59"/>
      <c r="O65" s="59"/>
      <c r="P65" s="59"/>
      <c r="Q65" s="59">
        <f>Webster!H23</f>
        <v>159042</v>
      </c>
      <c r="R65" s="59">
        <f>Webster!H26</f>
        <v>402128</v>
      </c>
      <c r="S65" s="59">
        <f>Webster!H27</f>
        <v>3321167</v>
      </c>
      <c r="T65" s="59">
        <f>Webster!H22+Webster!H24</f>
        <v>56665</v>
      </c>
      <c r="U65" s="59">
        <f t="shared" si="98"/>
        <v>4363162</v>
      </c>
      <c r="V65" s="229" t="str">
        <f t="shared" si="22"/>
        <v>ok</v>
      </c>
      <c r="W65" s="58">
        <f>Webster!H29</f>
        <v>4363162</v>
      </c>
      <c r="X65" s="60"/>
      <c r="Y65" s="181"/>
      <c r="Z65" s="59">
        <f>Webster!H32</f>
        <v>11457377</v>
      </c>
      <c r="AA65" s="59">
        <f>Webster!H34+Webster!H35+Webster!H36+Webster!H37+Webster!H38+Webster!H39+Webster!H40+Webster!H41+Webster!H42</f>
        <v>10361941</v>
      </c>
      <c r="AB65" s="59">
        <f>Webster!H44</f>
        <v>2380005</v>
      </c>
      <c r="AC65" s="59">
        <f t="shared" si="99"/>
        <v>24199323</v>
      </c>
      <c r="AD65" s="59">
        <f>SUM(AC65,U65)</f>
        <v>28562485</v>
      </c>
      <c r="AE65" s="229" t="str">
        <f t="shared" si="23"/>
        <v>ok</v>
      </c>
      <c r="AF65" s="58">
        <f>Webster!H48</f>
        <v>28562485</v>
      </c>
    </row>
    <row r="66" spans="1:33" s="104" customFormat="1" ht="15.6">
      <c r="A66" s="108"/>
      <c r="B66" s="109" t="s">
        <v>800</v>
      </c>
      <c r="C66" s="110">
        <f>'West Baton Rouge'!G7+'West Baton Rouge'!G11</f>
        <v>8562880</v>
      </c>
      <c r="D66" s="110">
        <f>'West Baton Rouge'!G8+'West Baton Rouge'!G9</f>
        <v>20307785</v>
      </c>
      <c r="E66" s="110">
        <f>'West Baton Rouge'!G10+'West Baton Rouge'!G13</f>
        <v>7588547</v>
      </c>
      <c r="F66" s="110">
        <f>'West Baton Rouge'!G15+'West Baton Rouge'!G16</f>
        <v>61751667</v>
      </c>
      <c r="G66" s="110">
        <f>'West Baton Rouge'!G12</f>
        <v>1744108</v>
      </c>
      <c r="H66" s="110"/>
      <c r="I66" s="110">
        <f>SUM(C66:H66)</f>
        <v>99954987</v>
      </c>
      <c r="J66" s="113" t="str">
        <f t="shared" si="78"/>
        <v>ok</v>
      </c>
      <c r="K66" s="111">
        <f>'West Baton Rouge'!G18</f>
        <v>99954987</v>
      </c>
      <c r="L66" s="182"/>
      <c r="M66" s="110">
        <f>'West Baton Rouge'!G21</f>
        <v>496221</v>
      </c>
      <c r="N66" s="110"/>
      <c r="O66" s="110"/>
      <c r="P66" s="110"/>
      <c r="Q66" s="110"/>
      <c r="R66" s="110">
        <f>'West Baton Rouge'!G23</f>
        <v>408750</v>
      </c>
      <c r="S66" s="110">
        <f>'West Baton Rouge'!G24</f>
        <v>8665014</v>
      </c>
      <c r="T66" s="110"/>
      <c r="U66" s="110">
        <f t="shared" si="98"/>
        <v>9569985</v>
      </c>
      <c r="V66" s="229" t="str">
        <f t="shared" si="22"/>
        <v>ok</v>
      </c>
      <c r="W66" s="111">
        <f>'West Baton Rouge'!G26</f>
        <v>9569985</v>
      </c>
      <c r="X66" s="112"/>
      <c r="Y66" s="182">
        <f>'West Baton Rouge'!G31</f>
        <v>9056939</v>
      </c>
      <c r="Z66" s="110">
        <f>'West Baton Rouge'!G34</f>
        <v>57589285</v>
      </c>
      <c r="AA66" s="110">
        <f>'West Baton Rouge'!G36+'West Baton Rouge'!G37</f>
        <v>728256</v>
      </c>
      <c r="AB66" s="110">
        <f>'West Baton Rouge'!G38</f>
        <v>23010522</v>
      </c>
      <c r="AC66" s="110">
        <f t="shared" si="99"/>
        <v>81328063</v>
      </c>
      <c r="AD66" s="110">
        <f t="shared" ref="AD66" si="101">SUM(AC66,U66)</f>
        <v>90898048</v>
      </c>
      <c r="AE66" s="229" t="str">
        <f t="shared" si="23"/>
        <v>ok</v>
      </c>
      <c r="AF66" s="111">
        <f>'West Baton Rouge'!G42</f>
        <v>90898048</v>
      </c>
    </row>
    <row r="67" spans="1:33" ht="15.6">
      <c r="A67" s="56"/>
      <c r="B67" s="3" t="s">
        <v>801</v>
      </c>
      <c r="C67" s="59">
        <f>'West Carroll'!H7</f>
        <v>6004251</v>
      </c>
      <c r="D67" s="59"/>
      <c r="E67" s="59">
        <f>'West Carroll'!H8</f>
        <v>1318697</v>
      </c>
      <c r="F67" s="59">
        <f>'West Carroll'!H10</f>
        <v>14156782</v>
      </c>
      <c r="G67" s="59"/>
      <c r="H67" s="59">
        <f>'West Carroll'!H9</f>
        <v>784477</v>
      </c>
      <c r="I67" s="59">
        <f t="shared" ref="I67" si="102">SUM(C67:H67)</f>
        <v>22264207</v>
      </c>
      <c r="J67" s="113" t="str">
        <f t="shared" si="78"/>
        <v>ok</v>
      </c>
      <c r="K67" s="58">
        <f>'West Carroll'!H12</f>
        <v>22264207</v>
      </c>
      <c r="M67" s="59">
        <f>'West Carroll'!H16</f>
        <v>220827</v>
      </c>
      <c r="N67" s="59">
        <f>'West Carroll'!H17</f>
        <v>98075</v>
      </c>
      <c r="O67" s="59"/>
      <c r="P67" s="59"/>
      <c r="Q67" s="59"/>
      <c r="R67" s="59">
        <f>'West Carroll'!H18</f>
        <v>14133</v>
      </c>
      <c r="S67" s="59">
        <f>'West Carroll'!H19</f>
        <v>84805</v>
      </c>
      <c r="T67" s="59">
        <f>'West Carroll'!H15+'West Carroll'!H20</f>
        <v>2548107</v>
      </c>
      <c r="U67" s="59">
        <f t="shared" si="98"/>
        <v>2965947</v>
      </c>
      <c r="V67" s="229" t="str">
        <f t="shared" si="22"/>
        <v>ok</v>
      </c>
      <c r="W67" s="58">
        <f>'West Carroll'!H22</f>
        <v>2965947</v>
      </c>
      <c r="X67" s="60"/>
      <c r="Z67" s="59">
        <f>'West Carroll'!H28</f>
        <v>14057844</v>
      </c>
      <c r="AA67" s="59">
        <f>'West Carroll'!H30+'West Carroll'!H31+'West Carroll'!H32</f>
        <v>6220880</v>
      </c>
      <c r="AB67" s="59">
        <f>'West Carroll'!H33</f>
        <v>-1160829</v>
      </c>
      <c r="AC67" s="59">
        <f t="shared" si="99"/>
        <v>19117895</v>
      </c>
      <c r="AD67" s="59">
        <f>SUM(AC67,U67)</f>
        <v>22083842</v>
      </c>
      <c r="AE67" s="229" t="str">
        <f t="shared" si="23"/>
        <v>ok</v>
      </c>
      <c r="AF67" s="58">
        <f>'West Carroll'!H37</f>
        <v>22083842</v>
      </c>
    </row>
    <row r="68" spans="1:33" s="104" customFormat="1" ht="15.6">
      <c r="A68" s="108"/>
      <c r="B68" s="109" t="s">
        <v>802</v>
      </c>
      <c r="C68" s="110">
        <f>'West Feliciana'!H7+'West Feliciana'!H16</f>
        <v>1131789</v>
      </c>
      <c r="D68" s="110">
        <f>'West Feliciana'!H18+'West Feliciana'!H9</f>
        <v>13844408</v>
      </c>
      <c r="E68" s="110">
        <f>'West Feliciana'!H12+'West Feliciana'!H10</f>
        <v>300230</v>
      </c>
      <c r="F68" s="110">
        <f>'West Feliciana'!H21+'West Feliciana'!H22</f>
        <v>17690175</v>
      </c>
      <c r="G68" s="110">
        <f>'West Feliciana'!H11</f>
        <v>53694</v>
      </c>
      <c r="H68" s="110">
        <f>'West Feliciana'!H14</f>
        <v>157071</v>
      </c>
      <c r="I68" s="110">
        <f>SUM(C68:H68)</f>
        <v>33177367</v>
      </c>
      <c r="J68" s="113" t="str">
        <f t="shared" si="78"/>
        <v>ok</v>
      </c>
      <c r="K68" s="111">
        <f>'West Feliciana'!H24</f>
        <v>33177367</v>
      </c>
      <c r="L68" s="244"/>
      <c r="M68" s="110">
        <f>'West Feliciana'!H28</f>
        <v>553589</v>
      </c>
      <c r="N68" s="110"/>
      <c r="O68" s="110"/>
      <c r="P68" s="110"/>
      <c r="Q68" s="110"/>
      <c r="R68" s="110">
        <f>'West Feliciana'!H34</f>
        <v>219053</v>
      </c>
      <c r="S68" s="110">
        <f>'West Feliciana'!H35</f>
        <v>3585937</v>
      </c>
      <c r="T68" s="110">
        <f>'West Feliciana'!H32+'West Feliciana'!H30+'West Feliciana'!H29</f>
        <v>1526603</v>
      </c>
      <c r="U68" s="110">
        <f t="shared" si="98"/>
        <v>5885182</v>
      </c>
      <c r="V68" s="229" t="str">
        <f t="shared" si="22"/>
        <v>ok</v>
      </c>
      <c r="W68" s="111">
        <f>'West Feliciana'!H37</f>
        <v>5885182</v>
      </c>
      <c r="X68" s="112"/>
      <c r="Y68" s="244"/>
      <c r="Z68" s="110">
        <f>'West Feliciana'!H41</f>
        <v>14221175</v>
      </c>
      <c r="AA68" s="110">
        <f>'West Feliciana'!H43+'West Feliciana'!H44+'West Feliciana'!H45+'West Feliciana'!H46+'West Feliciana'!H47+'West Feliciana'!H48</f>
        <v>6484253</v>
      </c>
      <c r="AB68" s="110">
        <f>'West Feliciana'!H49</f>
        <v>6586757</v>
      </c>
      <c r="AC68" s="110">
        <f t="shared" si="99"/>
        <v>27292185</v>
      </c>
      <c r="AD68" s="110">
        <f t="shared" ref="AD68" si="103">SUM(AC68,U68)</f>
        <v>33177367</v>
      </c>
      <c r="AE68" s="229" t="str">
        <f t="shared" si="23"/>
        <v>ok</v>
      </c>
      <c r="AF68" s="111">
        <f>'West Feliciana'!H53</f>
        <v>33177367</v>
      </c>
    </row>
    <row r="69" spans="1:33" s="159" customFormat="1" ht="15.6">
      <c r="A69" s="221"/>
      <c r="B69" s="222" t="s">
        <v>803</v>
      </c>
      <c r="C69" s="223">
        <f>Winn!H7</f>
        <v>1954725</v>
      </c>
      <c r="D69" s="223"/>
      <c r="E69" s="223">
        <f>Winn!H8</f>
        <v>2232420</v>
      </c>
      <c r="F69" s="223">
        <f>Winn!H11+Winn!H14+Winn!H15+Winn!H16</f>
        <v>5894411</v>
      </c>
      <c r="G69" s="223"/>
      <c r="H69" s="223"/>
      <c r="I69" s="223">
        <f>SUM(C69:H69)</f>
        <v>10081556</v>
      </c>
      <c r="J69" s="229" t="str">
        <f t="shared" ref="J69" si="104">IF(I69=K69, "ok", "check")</f>
        <v>ok</v>
      </c>
      <c r="K69" s="224">
        <f>Winn!H18</f>
        <v>10081556</v>
      </c>
      <c r="M69" s="223">
        <f>Winn!H21+Winn!H22</f>
        <v>271458</v>
      </c>
      <c r="N69" s="223"/>
      <c r="O69" s="223"/>
      <c r="P69" s="223"/>
      <c r="Q69" s="223"/>
      <c r="R69" s="223">
        <f>Winn!H24</f>
        <v>225000</v>
      </c>
      <c r="S69" s="223">
        <f>Winn!H25</f>
        <v>1785000</v>
      </c>
      <c r="T69" s="223"/>
      <c r="U69" s="223">
        <f t="shared" ref="U69" si="105">SUM(M69:T69)</f>
        <v>2281458</v>
      </c>
      <c r="V69" s="229" t="str">
        <f t="shared" si="22"/>
        <v>ok</v>
      </c>
      <c r="W69" s="224">
        <f>Winn!H27</f>
        <v>2281458</v>
      </c>
      <c r="X69" s="226"/>
      <c r="Y69" s="230">
        <f>Winn!H28</f>
        <v>13144</v>
      </c>
      <c r="Z69" s="223">
        <f>Winn!H31</f>
        <v>3884412</v>
      </c>
      <c r="AA69" s="223"/>
      <c r="AB69" s="223">
        <f>Winn!H32</f>
        <v>3902544</v>
      </c>
      <c r="AC69" s="223">
        <f t="shared" ref="AC69" si="106">SUM(Z69:AB69)</f>
        <v>7786956</v>
      </c>
      <c r="AD69" s="223">
        <f t="shared" ref="AD69" si="107">SUM(AC69,U69)</f>
        <v>10068414</v>
      </c>
      <c r="AE69" s="229" t="str">
        <f t="shared" si="23"/>
        <v>ok</v>
      </c>
      <c r="AF69" s="224">
        <f>Winn!H36</f>
        <v>10068414</v>
      </c>
    </row>
    <row r="70" spans="1:33" ht="15.6">
      <c r="A70" s="56"/>
      <c r="J70"/>
      <c r="AG70" s="61"/>
    </row>
    <row r="71" spans="1:33" s="3" customFormat="1" ht="15.6">
      <c r="A71" s="62"/>
      <c r="B71" s="63" t="s">
        <v>804</v>
      </c>
      <c r="C71" s="64">
        <f t="shared" ref="C71:H71" si="108">SUM(C8:C8)</f>
        <v>42404828</v>
      </c>
      <c r="D71" s="64">
        <f t="shared" si="108"/>
        <v>93691087</v>
      </c>
      <c r="E71" s="64">
        <f t="shared" si="108"/>
        <v>31751994</v>
      </c>
      <c r="F71" s="64">
        <f t="shared" si="108"/>
        <v>209564510</v>
      </c>
      <c r="G71" s="64">
        <f t="shared" si="108"/>
        <v>5021470</v>
      </c>
      <c r="H71" s="64">
        <f t="shared" si="108"/>
        <v>1105585</v>
      </c>
      <c r="I71" s="74">
        <f>SUM(I6:I69)</f>
        <v>10598154676.130001</v>
      </c>
      <c r="J71" s="75" t="str">
        <f t="shared" ref="J71" si="109">IF(I71=K71, "ok", "check")</f>
        <v>ok</v>
      </c>
      <c r="K71" s="66">
        <f>SUM(K6:K70)</f>
        <v>10598154676.130001</v>
      </c>
      <c r="L71" s="66" t="e">
        <f>SUM(L6:L70)</f>
        <v>#REF!</v>
      </c>
      <c r="M71" s="66">
        <f t="shared" ref="M71:T71" si="110">SUM(M8:M8)</f>
        <v>7178944</v>
      </c>
      <c r="N71" s="67">
        <f t="shared" si="110"/>
        <v>0</v>
      </c>
      <c r="O71" s="66">
        <f t="shared" si="110"/>
        <v>235409</v>
      </c>
      <c r="P71" s="66">
        <f t="shared" si="110"/>
        <v>667416</v>
      </c>
      <c r="Q71" s="66">
        <f t="shared" si="110"/>
        <v>269707</v>
      </c>
      <c r="R71" s="66">
        <f t="shared" si="110"/>
        <v>4335000</v>
      </c>
      <c r="S71" s="66">
        <f t="shared" si="110"/>
        <v>80612569</v>
      </c>
      <c r="T71" s="66">
        <f t="shared" si="110"/>
        <v>5065649</v>
      </c>
      <c r="U71" s="66">
        <f>SUM(U6:U69)</f>
        <v>2892662430.6999998</v>
      </c>
      <c r="V71" s="65" t="str">
        <f>IF(U71=W71, "ok", "check")</f>
        <v>ok</v>
      </c>
      <c r="W71" s="66">
        <f>SUM(W6:W70)</f>
        <v>2892662430.6999998</v>
      </c>
      <c r="X71" s="66" t="e">
        <f>SUM(#REF!)</f>
        <v>#REF!</v>
      </c>
      <c r="Y71" s="66">
        <f>SUM(Y6:Y70)</f>
        <v>124587714</v>
      </c>
      <c r="Z71" s="124">
        <f>SUM(Z8:Z70)</f>
        <v>5125423182.2399998</v>
      </c>
      <c r="AA71" s="66">
        <f>SUM(AA8:AA70)</f>
        <v>1704013936.3600001</v>
      </c>
      <c r="AB71" s="66">
        <f>SUM(AB8:AB70)</f>
        <v>650404481.82999992</v>
      </c>
      <c r="AC71" s="66">
        <f>SUM(AC8:AC70)</f>
        <v>7479841600.4300003</v>
      </c>
      <c r="AD71" s="66">
        <f>SUM(AD6:AD70)</f>
        <v>10537938415.130001</v>
      </c>
      <c r="AE71" s="65" t="str">
        <f>IF(AD71=AF71, "ok", "check")</f>
        <v>check</v>
      </c>
      <c r="AF71" s="66">
        <f>SUM(AF6:AF70)</f>
        <v>10506234348.130001</v>
      </c>
    </row>
    <row r="72" spans="1:33">
      <c r="J72"/>
    </row>
    <row r="73" spans="1:33">
      <c r="B73" t="s">
        <v>805</v>
      </c>
      <c r="J73"/>
    </row>
    <row r="74" spans="1:33">
      <c r="J74"/>
    </row>
    <row r="75" spans="1:33">
      <c r="J75"/>
    </row>
    <row r="76" spans="1:33">
      <c r="J76"/>
    </row>
    <row r="77" spans="1:33">
      <c r="J77"/>
    </row>
    <row r="78" spans="1:33">
      <c r="J78"/>
    </row>
    <row r="79" spans="1:33">
      <c r="J79"/>
    </row>
    <row r="80" spans="1:33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 ht="15"/>
    <row r="315" spans="10:10" ht="15"/>
  </sheetData>
  <mergeCells count="2">
    <mergeCell ref="A3:B3"/>
    <mergeCell ref="A4:B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800000"/>
  </sheetPr>
  <dimension ref="A1:NN315"/>
  <sheetViews>
    <sheetView workbookViewId="0">
      <pane ySplit="3" topLeftCell="Y28" activePane="bottomLeft" state="frozen"/>
      <selection pane="bottomLeft" activeCell="AD31" sqref="AD31:AD34"/>
    </sheetView>
  </sheetViews>
  <sheetFormatPr defaultColWidth="8.85546875" defaultRowHeight="14.45"/>
  <cols>
    <col min="1" max="1" width="12.7109375" bestFit="1" customWidth="1"/>
    <col min="2" max="2" width="25.28515625" customWidth="1"/>
    <col min="3" max="3" width="13.85546875" bestFit="1" customWidth="1"/>
    <col min="4" max="5" width="15.140625" bestFit="1" customWidth="1"/>
    <col min="6" max="6" width="16.28515625" bestFit="1" customWidth="1"/>
    <col min="7" max="7" width="13.85546875" bestFit="1" customWidth="1"/>
    <col min="8" max="8" width="14.7109375" bestFit="1" customWidth="1"/>
    <col min="9" max="9" width="21" bestFit="1" customWidth="1"/>
    <col min="10" max="10" width="11.7109375" style="70" customWidth="1"/>
    <col min="11" max="11" width="19.42578125" customWidth="1"/>
    <col min="12" max="12" width="18.85546875" bestFit="1" customWidth="1"/>
    <col min="13" max="13" width="37.28515625" bestFit="1" customWidth="1"/>
    <col min="14" max="14" width="36.85546875" bestFit="1" customWidth="1"/>
    <col min="15" max="15" width="35.7109375" bestFit="1" customWidth="1"/>
    <col min="16" max="16" width="24.42578125" bestFit="1" customWidth="1"/>
    <col min="17" max="17" width="24.28515625" bestFit="1" customWidth="1"/>
    <col min="18" max="18" width="37.28515625" bestFit="1" customWidth="1"/>
    <col min="19" max="19" width="17" bestFit="1" customWidth="1"/>
    <col min="20" max="20" width="23.7109375" bestFit="1" customWidth="1"/>
    <col min="21" max="21" width="11.7109375" bestFit="1" customWidth="1"/>
    <col min="22" max="22" width="16.42578125" customWidth="1"/>
    <col min="23" max="23" width="17.28515625" hidden="1" customWidth="1"/>
    <col min="24" max="24" width="17.28515625" customWidth="1"/>
    <col min="25" max="25" width="48" bestFit="1" customWidth="1"/>
    <col min="26" max="26" width="19.42578125" bestFit="1" customWidth="1"/>
    <col min="27" max="27" width="21.42578125" bestFit="1" customWidth="1"/>
    <col min="28" max="28" width="25.140625" bestFit="1" customWidth="1"/>
    <col min="29" max="29" width="39.42578125" bestFit="1" customWidth="1"/>
    <col min="30" max="30" width="11.7109375" bestFit="1" customWidth="1"/>
    <col min="31" max="31" width="17.42578125" customWidth="1"/>
    <col min="32" max="32" width="19.7109375" hidden="1" customWidth="1"/>
  </cols>
  <sheetData>
    <row r="1" spans="1:378" ht="15.95" thickBot="1">
      <c r="A1" s="11" t="s">
        <v>715</v>
      </c>
      <c r="B1" s="11"/>
      <c r="C1" s="12"/>
      <c r="D1" s="12"/>
      <c r="E1" s="12"/>
      <c r="F1" s="12"/>
      <c r="G1" s="12"/>
      <c r="H1" s="12"/>
      <c r="I1" s="12"/>
      <c r="J1" s="71"/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3"/>
      <c r="W1" s="14"/>
      <c r="Y1" s="16"/>
      <c r="Z1" s="17"/>
      <c r="AA1" s="17"/>
      <c r="AB1" s="17"/>
      <c r="AC1" s="17"/>
      <c r="AD1" s="17"/>
      <c r="AE1" s="18"/>
      <c r="AF1" s="19"/>
    </row>
    <row r="2" spans="1:378" ht="17.45" thickBot="1">
      <c r="B2" s="20"/>
      <c r="C2" s="21" t="s">
        <v>716</v>
      </c>
      <c r="D2" s="22"/>
      <c r="E2" s="22"/>
      <c r="F2" s="22"/>
      <c r="G2" s="22"/>
      <c r="H2" s="22"/>
      <c r="I2" s="22"/>
      <c r="J2" s="72"/>
      <c r="K2" s="24"/>
      <c r="L2" s="25"/>
      <c r="M2" s="26" t="s">
        <v>717</v>
      </c>
      <c r="N2" s="25"/>
      <c r="O2" s="25"/>
      <c r="P2" s="25"/>
      <c r="Q2" s="25"/>
      <c r="R2" s="27" t="s">
        <v>718</v>
      </c>
      <c r="S2" s="28"/>
      <c r="T2" s="25"/>
      <c r="U2" s="25"/>
      <c r="V2" s="23"/>
      <c r="W2" s="24"/>
      <c r="X2" s="61"/>
      <c r="Y2" s="29"/>
      <c r="Z2" s="30" t="s">
        <v>719</v>
      </c>
      <c r="AA2" s="16"/>
      <c r="AB2" s="16"/>
      <c r="AC2" s="16"/>
      <c r="AD2" s="16"/>
      <c r="AE2" s="31"/>
      <c r="AF2" s="32"/>
    </row>
    <row r="3" spans="1:378" ht="29.45" thickBot="1">
      <c r="A3" s="278" t="s">
        <v>720</v>
      </c>
      <c r="B3" s="279"/>
      <c r="C3" s="33" t="s">
        <v>5</v>
      </c>
      <c r="D3" s="34" t="s">
        <v>6</v>
      </c>
      <c r="E3" s="35" t="s">
        <v>47</v>
      </c>
      <c r="F3" s="36" t="s">
        <v>220</v>
      </c>
      <c r="G3" s="69" t="s">
        <v>721</v>
      </c>
      <c r="H3" s="37" t="s">
        <v>722</v>
      </c>
      <c r="I3" s="38" t="s">
        <v>723</v>
      </c>
      <c r="J3" s="73" t="s">
        <v>724</v>
      </c>
      <c r="K3" s="40" t="s">
        <v>724</v>
      </c>
      <c r="L3" s="41" t="s">
        <v>725</v>
      </c>
      <c r="M3" s="42" t="s">
        <v>726</v>
      </c>
      <c r="N3" s="43" t="s">
        <v>727</v>
      </c>
      <c r="O3" s="35" t="s">
        <v>728</v>
      </c>
      <c r="P3" s="68" t="s">
        <v>729</v>
      </c>
      <c r="Q3" s="44" t="s">
        <v>730</v>
      </c>
      <c r="R3" s="45" t="s">
        <v>731</v>
      </c>
      <c r="S3" s="37" t="s">
        <v>732</v>
      </c>
      <c r="T3" s="46" t="s">
        <v>733</v>
      </c>
      <c r="U3" s="39" t="s">
        <v>724</v>
      </c>
      <c r="V3" s="40" t="s">
        <v>724</v>
      </c>
      <c r="W3" s="47"/>
      <c r="X3" s="231" t="s">
        <v>806</v>
      </c>
      <c r="Y3" s="48" t="s">
        <v>734</v>
      </c>
      <c r="Z3" s="49" t="s">
        <v>445</v>
      </c>
      <c r="AA3" s="50" t="s">
        <v>735</v>
      </c>
      <c r="AB3" s="51" t="s">
        <v>736</v>
      </c>
      <c r="AC3" s="52" t="s">
        <v>737</v>
      </c>
      <c r="AD3" s="39" t="s">
        <v>724</v>
      </c>
      <c r="AE3" s="40" t="s">
        <v>724</v>
      </c>
    </row>
    <row r="4" spans="1:378" ht="15.95" thickBot="1">
      <c r="A4" s="280" t="s">
        <v>738</v>
      </c>
      <c r="B4" s="281"/>
      <c r="J4" s="53"/>
      <c r="K4" s="54"/>
      <c r="U4" s="53"/>
      <c r="V4" s="54"/>
      <c r="W4" s="55" t="s">
        <v>739</v>
      </c>
      <c r="X4" s="55"/>
      <c r="AD4" s="53"/>
      <c r="AE4" s="54"/>
    </row>
    <row r="5" spans="1:378" ht="15.6">
      <c r="A5" s="56"/>
      <c r="B5" s="57" t="s">
        <v>740</v>
      </c>
      <c r="J5" s="53"/>
      <c r="K5" s="54"/>
      <c r="U5" s="53"/>
      <c r="V5" s="54"/>
      <c r="W5" s="55"/>
      <c r="X5" s="55"/>
      <c r="AD5" s="53"/>
      <c r="AE5" s="54"/>
    </row>
    <row r="6" spans="1:378" s="104" customFormat="1" ht="15.6">
      <c r="A6" s="108"/>
      <c r="B6" s="109" t="s">
        <v>741</v>
      </c>
      <c r="C6" s="110">
        <v>0</v>
      </c>
      <c r="D6" s="110">
        <v>0</v>
      </c>
      <c r="E6" s="110">
        <v>0</v>
      </c>
      <c r="F6" s="110">
        <v>0</v>
      </c>
      <c r="G6" s="110">
        <v>0</v>
      </c>
      <c r="H6" s="110">
        <v>0</v>
      </c>
      <c r="I6" s="110">
        <f t="shared" ref="I6:I7" si="0">SUM(C6:H6)</f>
        <v>0</v>
      </c>
      <c r="J6" s="113" t="str">
        <f t="shared" ref="J6:J37" si="1">IF(I6=K6, "ok", "check")</f>
        <v>ok</v>
      </c>
      <c r="K6" s="111">
        <v>0</v>
      </c>
      <c r="L6" s="110">
        <v>0</v>
      </c>
      <c r="M6" s="110">
        <v>0</v>
      </c>
      <c r="N6" s="110">
        <v>0</v>
      </c>
      <c r="O6" s="110">
        <v>0</v>
      </c>
      <c r="P6" s="110">
        <v>0</v>
      </c>
      <c r="Q6" s="110">
        <v>0</v>
      </c>
      <c r="R6" s="110">
        <v>0</v>
      </c>
      <c r="S6" s="110">
        <v>0</v>
      </c>
      <c r="T6" s="110">
        <f t="shared" ref="T6:T7" si="2">SUM(L6:S6)</f>
        <v>0</v>
      </c>
      <c r="U6" s="113" t="str">
        <f t="shared" ref="U6:U23" si="3">IF(T6=V6, "ok", "check")</f>
        <v>ok</v>
      </c>
      <c r="V6" s="111">
        <v>0</v>
      </c>
      <c r="W6" s="112"/>
      <c r="X6" s="112"/>
      <c r="Y6" s="110">
        <v>0</v>
      </c>
      <c r="Z6" s="110">
        <v>0</v>
      </c>
      <c r="AA6" s="110">
        <v>0</v>
      </c>
      <c r="AB6" s="110">
        <f t="shared" ref="AB6:AB7" si="4">SUM(Y6:AA6)</f>
        <v>0</v>
      </c>
      <c r="AC6" s="110">
        <f>SUM(AB6,T6+X6)</f>
        <v>0</v>
      </c>
      <c r="AD6" s="113" t="str">
        <f t="shared" ref="AD6:AD31" si="5">IF(AC6=AE6, "ok", "check")</f>
        <v>ok</v>
      </c>
      <c r="AE6" s="111">
        <v>0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</row>
    <row r="7" spans="1:378" ht="15.6">
      <c r="A7" s="56"/>
      <c r="B7" s="3" t="s">
        <v>742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59">
        <f t="shared" si="0"/>
        <v>0</v>
      </c>
      <c r="J7" s="113" t="str">
        <f t="shared" si="1"/>
        <v>ok</v>
      </c>
      <c r="K7" s="58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f t="shared" si="2"/>
        <v>0</v>
      </c>
      <c r="U7" s="113" t="str">
        <f t="shared" si="3"/>
        <v>ok</v>
      </c>
      <c r="V7" s="58">
        <v>0</v>
      </c>
      <c r="W7" s="60"/>
      <c r="X7" s="60"/>
      <c r="Y7" s="59">
        <v>0</v>
      </c>
      <c r="Z7" s="59">
        <v>0</v>
      </c>
      <c r="AA7" s="59">
        <v>0</v>
      </c>
      <c r="AB7" s="59">
        <f t="shared" si="4"/>
        <v>0</v>
      </c>
      <c r="AC7" s="59">
        <f t="shared" ref="AC7:AC69" si="6">SUM(AB7,T7+X7)</f>
        <v>0</v>
      </c>
      <c r="AD7" s="113" t="str">
        <f t="shared" si="5"/>
        <v>ok</v>
      </c>
      <c r="AE7" s="58">
        <v>0</v>
      </c>
    </row>
    <row r="8" spans="1:378" s="104" customFormat="1" ht="15.6">
      <c r="A8" s="108"/>
      <c r="B8" s="109" t="s">
        <v>743</v>
      </c>
      <c r="C8" s="110">
        <f>Ascension!J8</f>
        <v>3686409</v>
      </c>
      <c r="D8" s="110">
        <f>Ascension!J9</f>
        <v>4127466</v>
      </c>
      <c r="E8" s="110">
        <f>Ascension!J10</f>
        <v>211156</v>
      </c>
      <c r="F8" s="110">
        <f>Ascension!J18+Ascension!J19</f>
        <v>10893288</v>
      </c>
      <c r="G8" s="110">
        <f>Ascension!J11</f>
        <v>104475</v>
      </c>
      <c r="H8" s="110">
        <f>Ascension!J14+Ascension!J15+Ascension!J12+Ascension!J13+Ascension!J16</f>
        <v>58887</v>
      </c>
      <c r="I8" s="110">
        <f t="shared" ref="I8:I15" si="7">SUM(C8:H8)</f>
        <v>19081681</v>
      </c>
      <c r="J8" s="113" t="str">
        <f t="shared" si="1"/>
        <v>ok</v>
      </c>
      <c r="K8" s="111">
        <f>Ascension!J21</f>
        <v>19081681</v>
      </c>
      <c r="L8" s="110">
        <f>Ascension!J29+Ascension!J30</f>
        <v>565558</v>
      </c>
      <c r="M8" s="110">
        <v>0</v>
      </c>
      <c r="N8" s="110">
        <f>Ascension!J36</f>
        <v>0</v>
      </c>
      <c r="O8" s="110">
        <v>0</v>
      </c>
      <c r="P8" s="110">
        <f>Ascension!J31</f>
        <v>0</v>
      </c>
      <c r="Q8" s="110">
        <v>0</v>
      </c>
      <c r="R8" s="110">
        <v>0</v>
      </c>
      <c r="S8" s="110">
        <f>Ascension!J32+Ascension!J33</f>
        <v>64684</v>
      </c>
      <c r="T8" s="110">
        <f t="shared" ref="T8:T15" si="8">SUM(L8:S8)</f>
        <v>630242</v>
      </c>
      <c r="U8" s="113" t="str">
        <f t="shared" si="3"/>
        <v>ok</v>
      </c>
      <c r="V8" s="111">
        <f>Ascension!J42</f>
        <v>630242</v>
      </c>
      <c r="W8" s="112"/>
      <c r="X8" s="112">
        <f>Ascension!J48</f>
        <v>18770</v>
      </c>
      <c r="Y8" s="110">
        <f>Ascension!J51</f>
        <v>10893288</v>
      </c>
      <c r="Z8" s="110">
        <v>0</v>
      </c>
      <c r="AA8" s="110">
        <f>Ascension!J57</f>
        <v>7539381</v>
      </c>
      <c r="AB8" s="110">
        <f t="shared" ref="AB8:AB15" si="9">SUM(Y8:AA8)</f>
        <v>18432669</v>
      </c>
      <c r="AC8" s="110">
        <f>SUM(AB8,T8+X8)</f>
        <v>19081681</v>
      </c>
      <c r="AD8" s="113" t="str">
        <f t="shared" si="5"/>
        <v>ok</v>
      </c>
      <c r="AE8" s="111">
        <f>Ascension!J61</f>
        <v>19081681</v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</row>
    <row r="9" spans="1:378" ht="15.6">
      <c r="A9" s="56"/>
      <c r="B9" s="3" t="s">
        <v>744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f t="shared" si="7"/>
        <v>0</v>
      </c>
      <c r="J9" s="113" t="str">
        <f t="shared" si="1"/>
        <v>ok</v>
      </c>
      <c r="K9" s="58">
        <f>0</f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f t="shared" si="8"/>
        <v>0</v>
      </c>
      <c r="U9" s="113" t="str">
        <f t="shared" si="3"/>
        <v>check</v>
      </c>
      <c r="V9" s="58">
        <f>Assumption!H27</f>
        <v>2138745</v>
      </c>
      <c r="W9" s="60"/>
      <c r="X9" s="60"/>
      <c r="Y9" s="59">
        <f>Assumption!H30</f>
        <v>42293964</v>
      </c>
      <c r="Z9" s="59">
        <v>0</v>
      </c>
      <c r="AA9" s="59">
        <f>Assumption!H32</f>
        <v>24582973</v>
      </c>
      <c r="AB9" s="59">
        <f t="shared" si="9"/>
        <v>66876937</v>
      </c>
      <c r="AC9" s="59">
        <f t="shared" si="6"/>
        <v>66876937</v>
      </c>
      <c r="AD9" s="113" t="str">
        <f t="shared" si="5"/>
        <v>check</v>
      </c>
      <c r="AE9" s="58">
        <f>Assumption!H36</f>
        <v>69015682</v>
      </c>
    </row>
    <row r="10" spans="1:378" s="104" customFormat="1" ht="15.6">
      <c r="A10" s="108"/>
      <c r="B10" s="109" t="s">
        <v>745</v>
      </c>
      <c r="C10" s="110"/>
      <c r="D10" s="110"/>
      <c r="E10" s="110"/>
      <c r="F10" s="110"/>
      <c r="G10" s="110"/>
      <c r="H10" s="110"/>
      <c r="I10" s="110">
        <f t="shared" si="7"/>
        <v>0</v>
      </c>
      <c r="J10" s="113" t="str">
        <f t="shared" si="1"/>
        <v>ok</v>
      </c>
      <c r="K10" s="111"/>
      <c r="L10" s="110"/>
      <c r="M10" s="110"/>
      <c r="N10" s="110"/>
      <c r="O10" s="110"/>
      <c r="P10" s="110"/>
      <c r="Q10" s="110"/>
      <c r="R10" s="110"/>
      <c r="S10" s="110"/>
      <c r="T10" s="110">
        <f t="shared" si="8"/>
        <v>0</v>
      </c>
      <c r="U10" s="113" t="str">
        <f t="shared" si="3"/>
        <v>ok</v>
      </c>
      <c r="V10" s="111"/>
      <c r="W10" s="112"/>
      <c r="X10" s="112"/>
      <c r="Y10" s="110"/>
      <c r="Z10" s="110">
        <v>0</v>
      </c>
      <c r="AA10" s="110"/>
      <c r="AB10" s="110"/>
      <c r="AC10" s="110">
        <f t="shared" si="6"/>
        <v>0</v>
      </c>
      <c r="AD10" s="113" t="str">
        <f t="shared" si="5"/>
        <v>ok</v>
      </c>
      <c r="AE10" s="111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</row>
    <row r="11" spans="1:378" ht="15.6">
      <c r="A11" s="56"/>
      <c r="B11" s="3" t="s">
        <v>746</v>
      </c>
      <c r="C11" s="59">
        <v>0</v>
      </c>
      <c r="D11" s="59">
        <v>0</v>
      </c>
      <c r="E11" s="59"/>
      <c r="F11" s="59"/>
      <c r="G11" s="59"/>
      <c r="H11" s="59"/>
      <c r="I11" s="59">
        <f t="shared" si="7"/>
        <v>0</v>
      </c>
      <c r="J11" s="113" t="str">
        <f t="shared" si="1"/>
        <v>ok</v>
      </c>
      <c r="K11" s="58">
        <v>0</v>
      </c>
      <c r="L11" s="59"/>
      <c r="M11" s="59"/>
      <c r="N11" s="59"/>
      <c r="O11" s="59"/>
      <c r="P11" s="59"/>
      <c r="Q11" s="59"/>
      <c r="R11" s="59"/>
      <c r="S11" s="59"/>
      <c r="T11" s="59">
        <f t="shared" si="8"/>
        <v>0</v>
      </c>
      <c r="U11" s="113" t="str">
        <f t="shared" si="3"/>
        <v>ok</v>
      </c>
      <c r="V11" s="58">
        <v>0</v>
      </c>
      <c r="W11" s="60"/>
      <c r="X11" s="60"/>
      <c r="Y11" s="59">
        <v>0</v>
      </c>
      <c r="Z11" s="59">
        <v>0</v>
      </c>
      <c r="AA11" s="59">
        <v>0</v>
      </c>
      <c r="AB11" s="59">
        <f t="shared" si="9"/>
        <v>0</v>
      </c>
      <c r="AC11" s="59">
        <f t="shared" si="6"/>
        <v>0</v>
      </c>
      <c r="AD11" s="113" t="str">
        <f t="shared" si="5"/>
        <v>ok</v>
      </c>
      <c r="AE11" s="58">
        <v>0</v>
      </c>
    </row>
    <row r="12" spans="1:378" s="104" customFormat="1" ht="15.6">
      <c r="A12" s="108"/>
      <c r="B12" s="109" t="s">
        <v>747</v>
      </c>
      <c r="C12" s="110">
        <v>0</v>
      </c>
      <c r="D12" s="110">
        <v>0</v>
      </c>
      <c r="E12" s="110"/>
      <c r="F12" s="110"/>
      <c r="G12" s="110"/>
      <c r="H12" s="110"/>
      <c r="I12" s="110">
        <f t="shared" si="7"/>
        <v>0</v>
      </c>
      <c r="J12" s="113" t="str">
        <f t="shared" si="1"/>
        <v>ok</v>
      </c>
      <c r="K12" s="111"/>
      <c r="L12" s="110"/>
      <c r="M12" s="110"/>
      <c r="N12" s="110"/>
      <c r="O12" s="110"/>
      <c r="P12" s="110"/>
      <c r="Q12" s="110"/>
      <c r="R12" s="110"/>
      <c r="S12" s="110"/>
      <c r="T12" s="110">
        <f t="shared" si="8"/>
        <v>0</v>
      </c>
      <c r="U12" s="113" t="str">
        <f t="shared" si="3"/>
        <v>ok</v>
      </c>
      <c r="V12" s="111">
        <v>0</v>
      </c>
      <c r="W12" s="112"/>
      <c r="X12" s="112"/>
      <c r="Y12" s="110">
        <v>0</v>
      </c>
      <c r="Z12" s="110">
        <v>0</v>
      </c>
      <c r="AA12" s="110">
        <v>0</v>
      </c>
      <c r="AB12" s="110">
        <f t="shared" si="9"/>
        <v>0</v>
      </c>
      <c r="AC12" s="110">
        <f t="shared" si="6"/>
        <v>0</v>
      </c>
      <c r="AD12" s="113" t="str">
        <f t="shared" si="5"/>
        <v>ok</v>
      </c>
      <c r="AE12" s="111">
        <v>0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</row>
    <row r="13" spans="1:378" ht="15.6">
      <c r="A13" s="56"/>
      <c r="B13" s="3" t="s">
        <v>748</v>
      </c>
      <c r="C13" s="59">
        <f>Bossier!I7+Bossier!I8</f>
        <v>1340226</v>
      </c>
      <c r="D13" s="59">
        <f>Bossier!I9</f>
        <v>0</v>
      </c>
      <c r="E13" s="59">
        <f>Bossier!I10</f>
        <v>224210</v>
      </c>
      <c r="F13" s="59">
        <f>Bossier!I13+Bossier!I14</f>
        <v>20879343</v>
      </c>
      <c r="G13" s="59"/>
      <c r="H13" s="59">
        <f>Bossier!I11+Bossier!I15</f>
        <v>-8205080</v>
      </c>
      <c r="I13" s="59">
        <f t="shared" si="7"/>
        <v>14238699</v>
      </c>
      <c r="J13" s="113" t="str">
        <f t="shared" si="1"/>
        <v>ok</v>
      </c>
      <c r="K13" s="58">
        <f>Bossier!I17</f>
        <v>14238699</v>
      </c>
      <c r="L13" s="59">
        <f>Bossier!I21</f>
        <v>316283</v>
      </c>
      <c r="M13" s="59"/>
      <c r="N13" s="59"/>
      <c r="O13" s="59"/>
      <c r="P13" s="59"/>
      <c r="Q13" s="59">
        <f>Bossier!I25</f>
        <v>80000</v>
      </c>
      <c r="R13" s="59">
        <f>Bossier!I26:I26</f>
        <v>1662385</v>
      </c>
      <c r="S13" s="59">
        <f>Bossier!I23</f>
        <v>112887</v>
      </c>
      <c r="T13" s="59">
        <f t="shared" si="8"/>
        <v>2171555</v>
      </c>
      <c r="U13" s="113" t="str">
        <f t="shared" si="3"/>
        <v>ok</v>
      </c>
      <c r="V13" s="58">
        <f>Bossier!I28</f>
        <v>2171555</v>
      </c>
      <c r="W13" s="60"/>
      <c r="X13" s="60"/>
      <c r="Y13" s="59">
        <f>Bossier!I34</f>
        <v>10893626</v>
      </c>
      <c r="Z13" s="59"/>
      <c r="AA13" s="59">
        <f>Bossier!I44</f>
        <v>1173518</v>
      </c>
      <c r="AB13" s="59">
        <f t="shared" si="9"/>
        <v>12067144</v>
      </c>
      <c r="AC13" s="59">
        <f t="shared" si="6"/>
        <v>14238699</v>
      </c>
      <c r="AD13" s="113" t="str">
        <f t="shared" si="5"/>
        <v>ok</v>
      </c>
      <c r="AE13" s="58">
        <f>Bossier!I48</f>
        <v>14238699</v>
      </c>
    </row>
    <row r="14" spans="1:378" s="104" customFormat="1">
      <c r="B14" s="109" t="s">
        <v>749</v>
      </c>
      <c r="C14" s="110"/>
      <c r="D14" s="110">
        <v>0</v>
      </c>
      <c r="E14" s="110"/>
      <c r="F14" s="110"/>
      <c r="G14" s="110"/>
      <c r="H14" s="110"/>
      <c r="I14" s="110">
        <f t="shared" si="7"/>
        <v>0</v>
      </c>
      <c r="J14" s="113" t="str">
        <f t="shared" si="1"/>
        <v>ok</v>
      </c>
      <c r="K14" s="111"/>
      <c r="L14" s="110"/>
      <c r="M14" s="110"/>
      <c r="N14" s="110"/>
      <c r="O14" s="110"/>
      <c r="P14" s="110"/>
      <c r="Q14" s="110"/>
      <c r="R14" s="110"/>
      <c r="S14" s="110"/>
      <c r="T14" s="110">
        <f t="shared" si="8"/>
        <v>0</v>
      </c>
      <c r="U14" s="113" t="str">
        <f t="shared" si="3"/>
        <v>ok</v>
      </c>
      <c r="V14" s="111"/>
      <c r="W14" s="112"/>
      <c r="X14" s="112"/>
      <c r="Y14" s="110"/>
      <c r="Z14" s="110"/>
      <c r="AA14" s="110"/>
      <c r="AB14" s="110">
        <f t="shared" si="9"/>
        <v>0</v>
      </c>
      <c r="AC14" s="110">
        <f t="shared" si="6"/>
        <v>0</v>
      </c>
      <c r="AD14" s="113" t="str">
        <f t="shared" si="5"/>
        <v>ok</v>
      </c>
      <c r="AE14" s="111">
        <v>0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</row>
    <row r="15" spans="1:378" ht="15.6">
      <c r="A15" s="56"/>
      <c r="B15" s="3" t="s">
        <v>750</v>
      </c>
      <c r="C15" s="59">
        <f>Calcasieu!I7+Calcasieu!I18+Calcasieu!I19+Calcasieu!I20</f>
        <v>736544</v>
      </c>
      <c r="D15" s="59">
        <f>Calcasieu!I8</f>
        <v>971149</v>
      </c>
      <c r="E15" s="59">
        <f>Calcasieu!I9+Calcasieu!I10+Calcasieu!I13</f>
        <v>458456</v>
      </c>
      <c r="F15" s="59">
        <f>Calcasieu!I22+Calcasieu!I23</f>
        <v>9072520</v>
      </c>
      <c r="G15" s="59">
        <f>Calcasieu!I11</f>
        <v>52541</v>
      </c>
      <c r="H15" s="59">
        <f>Calcasieu!I14+Calcasieu!I15+Calcasieu!I16</f>
        <v>20419</v>
      </c>
      <c r="I15" s="59">
        <f t="shared" si="7"/>
        <v>11311629</v>
      </c>
      <c r="J15" s="113" t="str">
        <f t="shared" si="1"/>
        <v>ok</v>
      </c>
      <c r="K15" s="58">
        <f>Calcasieu!I25</f>
        <v>11311629</v>
      </c>
      <c r="L15" s="59">
        <f>Calcasieu!I31+Calcasieu!I32</f>
        <v>103090</v>
      </c>
      <c r="M15" s="59"/>
      <c r="N15" s="59"/>
      <c r="O15" s="59"/>
      <c r="P15" s="59">
        <f>Calcasieu!I34</f>
        <v>0</v>
      </c>
      <c r="Q15" s="59">
        <f>Calcasieu!I39</f>
        <v>41626</v>
      </c>
      <c r="R15" s="59">
        <f>Calcasieu!I40</f>
        <v>274460</v>
      </c>
      <c r="S15" s="59">
        <f>Calcasieu!I37</f>
        <v>122470</v>
      </c>
      <c r="T15" s="59">
        <f t="shared" si="8"/>
        <v>541646</v>
      </c>
      <c r="U15" s="113" t="str">
        <f t="shared" si="3"/>
        <v>ok</v>
      </c>
      <c r="V15" s="58">
        <f>Calcasieu!I42</f>
        <v>541646</v>
      </c>
      <c r="W15" s="60"/>
      <c r="X15" s="60"/>
      <c r="Y15" s="59">
        <f>Calcasieu!I48</f>
        <v>8756434</v>
      </c>
      <c r="Z15" s="59">
        <f>Calcasieu!I51+Calcasieu!I52+Calcasieu!I50</f>
        <v>305212</v>
      </c>
      <c r="AA15" s="59">
        <f>Calcasieu!I53</f>
        <v>1708337</v>
      </c>
      <c r="AB15" s="59">
        <f t="shared" si="9"/>
        <v>10769983</v>
      </c>
      <c r="AC15" s="59">
        <f t="shared" si="6"/>
        <v>11311629</v>
      </c>
      <c r="AD15" s="113" t="str">
        <f t="shared" si="5"/>
        <v>ok</v>
      </c>
      <c r="AE15" s="58">
        <f>Calcasieu!I57</f>
        <v>11311629</v>
      </c>
    </row>
    <row r="16" spans="1:378" s="104" customFormat="1">
      <c r="B16" s="109" t="s">
        <v>751</v>
      </c>
      <c r="C16" s="110">
        <v>0</v>
      </c>
      <c r="D16" s="110">
        <v>0</v>
      </c>
      <c r="E16" s="110"/>
      <c r="F16" s="110"/>
      <c r="G16" s="110"/>
      <c r="H16" s="110"/>
      <c r="I16" s="110">
        <f t="shared" ref="I16:I43" si="10">SUM(C16:H16)</f>
        <v>0</v>
      </c>
      <c r="J16" s="113" t="str">
        <f t="shared" si="1"/>
        <v>ok</v>
      </c>
      <c r="K16" s="111"/>
      <c r="L16" s="110"/>
      <c r="M16" s="110"/>
      <c r="N16" s="110"/>
      <c r="O16" s="110"/>
      <c r="P16" s="110"/>
      <c r="Q16" s="110"/>
      <c r="R16" s="110"/>
      <c r="S16" s="110"/>
      <c r="T16" s="110">
        <f t="shared" ref="T16:T21" si="11">SUM(L16:S16)</f>
        <v>0</v>
      </c>
      <c r="U16" s="113" t="str">
        <f t="shared" si="3"/>
        <v>ok</v>
      </c>
      <c r="V16" s="111"/>
      <c r="W16" s="112"/>
      <c r="X16" s="112"/>
      <c r="Y16" s="110"/>
      <c r="Z16" s="110"/>
      <c r="AA16" s="110"/>
      <c r="AB16" s="110">
        <f t="shared" ref="AB16:AB21" si="12">SUM(Y16:AA16)</f>
        <v>0</v>
      </c>
      <c r="AC16" s="110">
        <f t="shared" si="6"/>
        <v>0</v>
      </c>
      <c r="AD16" s="113" t="str">
        <f t="shared" si="5"/>
        <v>ok</v>
      </c>
      <c r="AE16" s="111">
        <v>0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</row>
    <row r="17" spans="1:378" ht="15.6">
      <c r="A17" s="56"/>
      <c r="B17" s="3" t="s">
        <v>752</v>
      </c>
      <c r="C17" s="59">
        <v>0</v>
      </c>
      <c r="D17" s="59"/>
      <c r="E17" s="59"/>
      <c r="F17" s="59"/>
      <c r="G17" s="59"/>
      <c r="H17" s="59"/>
      <c r="I17" s="59">
        <f t="shared" si="10"/>
        <v>0</v>
      </c>
      <c r="J17" s="113" t="str">
        <f t="shared" si="1"/>
        <v>ok</v>
      </c>
      <c r="K17" s="58"/>
      <c r="L17" s="59"/>
      <c r="M17" s="59"/>
      <c r="N17" s="59"/>
      <c r="O17" s="59"/>
      <c r="P17" s="59"/>
      <c r="Q17" s="59"/>
      <c r="R17" s="59"/>
      <c r="S17" s="59"/>
      <c r="T17" s="59">
        <f t="shared" si="11"/>
        <v>0</v>
      </c>
      <c r="U17" s="113" t="str">
        <f t="shared" si="3"/>
        <v>ok</v>
      </c>
      <c r="V17" s="58"/>
      <c r="W17" s="60"/>
      <c r="X17" s="60"/>
      <c r="Y17" s="59"/>
      <c r="Z17" s="59"/>
      <c r="AA17" s="59"/>
      <c r="AB17" s="59">
        <f t="shared" si="12"/>
        <v>0</v>
      </c>
      <c r="AC17" s="59">
        <f t="shared" si="6"/>
        <v>0</v>
      </c>
      <c r="AD17" s="113" t="str">
        <f t="shared" si="5"/>
        <v>ok</v>
      </c>
      <c r="AE17" s="58">
        <v>0</v>
      </c>
    </row>
    <row r="18" spans="1:378" s="104" customFormat="1" ht="15.6">
      <c r="A18" s="108"/>
      <c r="B18" s="109" t="s">
        <v>753</v>
      </c>
      <c r="C18" s="110">
        <v>0</v>
      </c>
      <c r="D18" s="110"/>
      <c r="E18" s="110"/>
      <c r="F18" s="110"/>
      <c r="G18" s="110"/>
      <c r="H18" s="110"/>
      <c r="I18" s="110">
        <f t="shared" si="10"/>
        <v>0</v>
      </c>
      <c r="J18" s="113" t="str">
        <f t="shared" si="1"/>
        <v>ok</v>
      </c>
      <c r="K18" s="111"/>
      <c r="L18" s="110"/>
      <c r="M18" s="110"/>
      <c r="N18" s="110"/>
      <c r="O18" s="110"/>
      <c r="P18" s="110"/>
      <c r="Q18" s="110"/>
      <c r="R18" s="110"/>
      <c r="S18" s="110"/>
      <c r="T18" s="110">
        <f t="shared" si="11"/>
        <v>0</v>
      </c>
      <c r="U18" s="113" t="str">
        <f t="shared" si="3"/>
        <v>ok</v>
      </c>
      <c r="V18" s="111"/>
      <c r="W18" s="112"/>
      <c r="X18" s="112"/>
      <c r="Y18" s="110"/>
      <c r="Z18" s="110"/>
      <c r="AA18" s="110"/>
      <c r="AB18" s="110">
        <f t="shared" si="12"/>
        <v>0</v>
      </c>
      <c r="AC18" s="110">
        <f t="shared" si="6"/>
        <v>0</v>
      </c>
      <c r="AD18" s="113" t="str">
        <f t="shared" si="5"/>
        <v>ok</v>
      </c>
      <c r="AE18" s="111">
        <v>0</v>
      </c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</row>
    <row r="19" spans="1:378" ht="15.6">
      <c r="A19" s="56"/>
      <c r="B19" s="3" t="s">
        <v>754</v>
      </c>
      <c r="C19" s="59">
        <v>0</v>
      </c>
      <c r="D19" s="59">
        <v>0</v>
      </c>
      <c r="E19" s="59"/>
      <c r="F19" s="59"/>
      <c r="G19" s="59"/>
      <c r="H19" s="59"/>
      <c r="I19" s="59">
        <f t="shared" si="10"/>
        <v>0</v>
      </c>
      <c r="J19" s="113" t="str">
        <f t="shared" si="1"/>
        <v>ok</v>
      </c>
      <c r="K19" s="58"/>
      <c r="L19" s="59"/>
      <c r="M19" s="59"/>
      <c r="N19" s="59"/>
      <c r="O19" s="59"/>
      <c r="P19" s="59"/>
      <c r="Q19" s="59"/>
      <c r="R19" s="59"/>
      <c r="S19" s="59"/>
      <c r="T19" s="59">
        <f t="shared" si="11"/>
        <v>0</v>
      </c>
      <c r="U19" s="113" t="str">
        <f t="shared" si="3"/>
        <v>ok</v>
      </c>
      <c r="V19" s="58"/>
      <c r="W19" s="60"/>
      <c r="X19" s="60"/>
      <c r="Y19" s="59"/>
      <c r="Z19" s="59"/>
      <c r="AA19" s="59"/>
      <c r="AB19" s="59">
        <f t="shared" si="12"/>
        <v>0</v>
      </c>
      <c r="AC19" s="59">
        <f t="shared" si="6"/>
        <v>0</v>
      </c>
      <c r="AD19" s="113" t="str">
        <f t="shared" si="5"/>
        <v>ok</v>
      </c>
      <c r="AE19" s="58">
        <v>0</v>
      </c>
    </row>
    <row r="20" spans="1:378" s="104" customFormat="1" ht="15.6">
      <c r="A20" s="108"/>
      <c r="B20" s="109" t="s">
        <v>755</v>
      </c>
      <c r="C20" s="110">
        <v>0</v>
      </c>
      <c r="D20" s="110">
        <v>0</v>
      </c>
      <c r="E20" s="110"/>
      <c r="F20" s="110"/>
      <c r="G20" s="110"/>
      <c r="H20" s="110"/>
      <c r="I20" s="110">
        <f t="shared" si="10"/>
        <v>0</v>
      </c>
      <c r="J20" s="113" t="str">
        <f t="shared" si="1"/>
        <v>ok</v>
      </c>
      <c r="K20" s="111"/>
      <c r="L20" s="110"/>
      <c r="M20" s="110"/>
      <c r="N20" s="110"/>
      <c r="O20" s="110"/>
      <c r="P20" s="110"/>
      <c r="Q20" s="110"/>
      <c r="R20" s="110"/>
      <c r="S20" s="110"/>
      <c r="T20" s="110">
        <f t="shared" si="11"/>
        <v>0</v>
      </c>
      <c r="U20" s="113" t="str">
        <f t="shared" si="3"/>
        <v>ok</v>
      </c>
      <c r="V20" s="111"/>
      <c r="W20" s="112"/>
      <c r="X20" s="112"/>
      <c r="Y20" s="110"/>
      <c r="Z20" s="110"/>
      <c r="AA20" s="110"/>
      <c r="AB20" s="110">
        <f t="shared" si="12"/>
        <v>0</v>
      </c>
      <c r="AC20" s="110">
        <f t="shared" si="6"/>
        <v>0</v>
      </c>
      <c r="AD20" s="113" t="str">
        <f t="shared" si="5"/>
        <v>ok</v>
      </c>
      <c r="AE20" s="111">
        <v>0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</row>
    <row r="21" spans="1:378" ht="15.6">
      <c r="A21" s="56"/>
      <c r="B21" s="3" t="s">
        <v>756</v>
      </c>
      <c r="C21" s="59">
        <f>DeSoto!I7</f>
        <v>228</v>
      </c>
      <c r="D21" s="59">
        <v>0</v>
      </c>
      <c r="E21" s="59">
        <f>DeSoto!I9</f>
        <v>3256</v>
      </c>
      <c r="F21" s="59">
        <f>DeSoto!I11</f>
        <v>10175</v>
      </c>
      <c r="G21" s="59"/>
      <c r="H21" s="59">
        <f>DeSoto!I10</f>
        <v>0</v>
      </c>
      <c r="I21" s="59">
        <f t="shared" si="10"/>
        <v>13659</v>
      </c>
      <c r="J21" s="113" t="str">
        <f t="shared" si="1"/>
        <v>ok</v>
      </c>
      <c r="K21" s="58">
        <f>DeSoto!I13</f>
        <v>13659</v>
      </c>
      <c r="L21" s="59">
        <f>DeSoto!I16</f>
        <v>1500</v>
      </c>
      <c r="M21" s="59"/>
      <c r="N21" s="59"/>
      <c r="O21" s="59"/>
      <c r="P21" s="59"/>
      <c r="Q21" s="59"/>
      <c r="R21" s="59"/>
      <c r="S21" s="59">
        <f>DeSoto!I17+DeSoto!I18+DeSoto!I19+DeSoto!I21+DeSoto!I23</f>
        <v>270</v>
      </c>
      <c r="T21" s="59">
        <f t="shared" si="11"/>
        <v>1770</v>
      </c>
      <c r="U21" s="113" t="str">
        <f t="shared" si="3"/>
        <v>ok</v>
      </c>
      <c r="V21" s="58">
        <f>DeSoto!I28</f>
        <v>1770</v>
      </c>
      <c r="W21" s="60"/>
      <c r="X21" s="60"/>
      <c r="Y21" s="59">
        <f>DeSoto!I31</f>
        <v>10175</v>
      </c>
      <c r="Z21" s="59"/>
      <c r="AA21" s="59">
        <f>DeSoto!I33</f>
        <v>1714</v>
      </c>
      <c r="AB21" s="59">
        <f t="shared" si="12"/>
        <v>11889</v>
      </c>
      <c r="AC21" s="59">
        <f t="shared" si="6"/>
        <v>13659</v>
      </c>
      <c r="AD21" s="113" t="str">
        <f t="shared" si="5"/>
        <v>ok</v>
      </c>
      <c r="AE21" s="58">
        <f>DeSoto!I37</f>
        <v>13659</v>
      </c>
    </row>
    <row r="22" spans="1:378" s="104" customFormat="1" ht="15.6">
      <c r="A22" s="108"/>
      <c r="B22" s="109" t="s">
        <v>757</v>
      </c>
      <c r="C22" s="110">
        <f>'East Baton Rouge'!I8</f>
        <v>88246830</v>
      </c>
      <c r="D22" s="110">
        <f>'East Baton Rouge'!I9</f>
        <v>98538697</v>
      </c>
      <c r="E22" s="110">
        <f>'East Baton Rouge'!I10+'East Baton Rouge'!I13</f>
        <v>16172998</v>
      </c>
      <c r="F22" s="110">
        <f>'East Baton Rouge'!I23+'East Baton Rouge'!I24</f>
        <v>1780402624</v>
      </c>
      <c r="G22" s="110">
        <f>'East Baton Rouge'!I11</f>
        <v>5304530</v>
      </c>
      <c r="H22" s="110">
        <f>'East Baton Rouge'!I12+'East Baton Rouge'!I14+'East Baton Rouge'!I18+'East Baton Rouge'!I19+'East Baton Rouge'!I20+'East Baton Rouge'!I21</f>
        <v>493220268</v>
      </c>
      <c r="I22" s="110">
        <f t="shared" si="10"/>
        <v>2481885947</v>
      </c>
      <c r="J22" s="113" t="str">
        <f t="shared" si="1"/>
        <v>ok</v>
      </c>
      <c r="K22" s="111">
        <f>'East Baton Rouge'!I26</f>
        <v>2481885947</v>
      </c>
      <c r="L22" s="110">
        <f>'East Baton Rouge'!I36</f>
        <v>54839795</v>
      </c>
      <c r="M22" s="110"/>
      <c r="N22" s="110"/>
      <c r="O22" s="110"/>
      <c r="P22" s="110"/>
      <c r="Q22" s="110">
        <f>'East Baton Rouge'!I43</f>
        <v>14982026</v>
      </c>
      <c r="R22" s="110">
        <f>'East Baton Rouge'!I44</f>
        <v>1634951737</v>
      </c>
      <c r="S22" s="110">
        <f>'East Baton Rouge'!I38+'East Baton Rouge'!I39+'East Baton Rouge'!I40</f>
        <v>24551735</v>
      </c>
      <c r="T22" s="110">
        <f t="shared" ref="T22:T26" si="13">SUM(L22:S22)</f>
        <v>1729325293</v>
      </c>
      <c r="U22" s="113" t="str">
        <f t="shared" si="3"/>
        <v>ok</v>
      </c>
      <c r="V22" s="111">
        <f>'East Baton Rouge'!I46</f>
        <v>1729325293</v>
      </c>
      <c r="W22" s="112"/>
      <c r="X22" s="112"/>
      <c r="Y22" s="110">
        <f>'East Baton Rouge'!I52</f>
        <v>668570688</v>
      </c>
      <c r="Z22" s="110">
        <f>'East Baton Rouge'!I54+'East Baton Rouge'!I55+'East Baton Rouge'!I56+'East Baton Rouge'!I57</f>
        <v>160489191</v>
      </c>
      <c r="AA22" s="110">
        <f>'East Baton Rouge'!I58</f>
        <v>54087957</v>
      </c>
      <c r="AB22" s="110">
        <f t="shared" ref="AB22:AB25" si="14">SUM(Y22:AA22)</f>
        <v>883147836</v>
      </c>
      <c r="AC22" s="110">
        <f t="shared" si="6"/>
        <v>2612473129</v>
      </c>
      <c r="AD22" s="113" t="str">
        <f t="shared" si="5"/>
        <v>ok</v>
      </c>
      <c r="AE22" s="111">
        <f>'East Baton Rouge'!I62</f>
        <v>2612473129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</row>
    <row r="23" spans="1:378">
      <c r="B23" s="3" t="s">
        <v>758</v>
      </c>
      <c r="C23" s="59">
        <f>'East Carroll'!I7+'East Carroll'!I11</f>
        <v>30365</v>
      </c>
      <c r="D23" s="59"/>
      <c r="E23" s="59">
        <f>'East Carroll'!I9</f>
        <v>997</v>
      </c>
      <c r="F23" s="59"/>
      <c r="G23" s="59"/>
      <c r="H23" s="59">
        <f>'East Carroll'!I10</f>
        <v>1903</v>
      </c>
      <c r="I23" s="59">
        <f t="shared" si="10"/>
        <v>33265</v>
      </c>
      <c r="J23" s="113" t="str">
        <f t="shared" si="1"/>
        <v>ok</v>
      </c>
      <c r="K23" s="58">
        <f>'East Carroll'!I15</f>
        <v>33265</v>
      </c>
      <c r="L23" s="59">
        <f>'East Carroll'!I18+'East Carroll'!I19</f>
        <v>676</v>
      </c>
      <c r="M23" s="59"/>
      <c r="N23" s="59"/>
      <c r="O23" s="59"/>
      <c r="P23" s="59"/>
      <c r="Q23" s="59">
        <f>'East Carroll'!I21</f>
        <v>275</v>
      </c>
      <c r="R23" s="59">
        <f>'East Carroll'!I22</f>
        <v>0</v>
      </c>
      <c r="S23" s="59"/>
      <c r="T23" s="59">
        <f t="shared" si="13"/>
        <v>951</v>
      </c>
      <c r="U23" s="113" t="str">
        <f t="shared" si="3"/>
        <v>ok</v>
      </c>
      <c r="V23" s="58">
        <f>'East Carroll'!I24</f>
        <v>951</v>
      </c>
      <c r="W23" s="60"/>
      <c r="X23" s="60"/>
      <c r="Y23" s="59"/>
      <c r="Z23" s="59">
        <f>'East Carroll'!I38</f>
        <v>9119</v>
      </c>
      <c r="AA23" s="59">
        <f>'East Carroll'!I39</f>
        <v>23195</v>
      </c>
      <c r="AB23" s="59">
        <f t="shared" si="14"/>
        <v>32314</v>
      </c>
      <c r="AC23" s="59">
        <f t="shared" si="6"/>
        <v>33265</v>
      </c>
      <c r="AD23" s="113" t="str">
        <f t="shared" si="5"/>
        <v>ok</v>
      </c>
      <c r="AE23" s="58">
        <f>'East Carroll'!I43</f>
        <v>33265</v>
      </c>
    </row>
    <row r="24" spans="1:378" s="120" customFormat="1" ht="15.6">
      <c r="A24" s="115"/>
      <c r="B24" s="116" t="s">
        <v>759</v>
      </c>
      <c r="C24" s="117">
        <v>0</v>
      </c>
      <c r="D24" s="117"/>
      <c r="E24" s="117"/>
      <c r="F24" s="117"/>
      <c r="G24" s="117"/>
      <c r="H24" s="117"/>
      <c r="I24" s="117">
        <f t="shared" ref="I24" si="15">SUM(C24:H24)</f>
        <v>0</v>
      </c>
      <c r="J24" s="113" t="str">
        <f t="shared" si="1"/>
        <v>ok</v>
      </c>
      <c r="K24" s="118"/>
      <c r="L24" s="117"/>
      <c r="M24" s="117"/>
      <c r="N24" s="117"/>
      <c r="O24" s="117"/>
      <c r="P24" s="117"/>
      <c r="Q24" s="117"/>
      <c r="R24" s="117"/>
      <c r="S24" s="117"/>
      <c r="T24" s="117">
        <f t="shared" ref="T24" si="16">SUM(L24:S24)</f>
        <v>0</v>
      </c>
      <c r="U24" s="113" t="str">
        <f t="shared" ref="U24" si="17">IF(T24=V24, "ok", "check")</f>
        <v>ok</v>
      </c>
      <c r="V24" s="118"/>
      <c r="W24" s="119"/>
      <c r="X24" s="119"/>
      <c r="Y24" s="117"/>
      <c r="Z24" s="117"/>
      <c r="AA24" s="117"/>
      <c r="AB24" s="117">
        <f t="shared" ref="AB24" si="18">SUM(Y24:AA24)</f>
        <v>0</v>
      </c>
      <c r="AC24" s="110">
        <f t="shared" si="6"/>
        <v>0</v>
      </c>
      <c r="AD24" s="113" t="str">
        <f t="shared" si="5"/>
        <v>ok</v>
      </c>
      <c r="AE24" s="118">
        <v>0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</row>
    <row r="25" spans="1:378" ht="15.6">
      <c r="A25" s="56"/>
      <c r="B25" s="3" t="s">
        <v>760</v>
      </c>
      <c r="C25" s="59">
        <f>Evangeline!I7+Evangeline!I12</f>
        <v>106385</v>
      </c>
      <c r="D25" s="59">
        <f>Evangeline!I13</f>
        <v>0</v>
      </c>
      <c r="E25" s="59">
        <f>Evangeline!I8</f>
        <v>18998</v>
      </c>
      <c r="F25" s="59">
        <f>Evangeline!I14</f>
        <v>261965</v>
      </c>
      <c r="G25" s="59"/>
      <c r="H25" s="59"/>
      <c r="I25" s="59">
        <f t="shared" si="10"/>
        <v>387348</v>
      </c>
      <c r="J25" s="113" t="str">
        <f t="shared" si="1"/>
        <v>ok</v>
      </c>
      <c r="K25" s="58">
        <f>Evangeline!I16</f>
        <v>387348</v>
      </c>
      <c r="L25" s="59">
        <f>Evangeline!I20+Evangeline!I21+Evangeline!I22</f>
        <v>10998</v>
      </c>
      <c r="M25" s="59"/>
      <c r="N25" s="59">
        <f>Evangeline!I28</f>
        <v>1916</v>
      </c>
      <c r="O25" s="59">
        <f>Evangeline!I32</f>
        <v>57806</v>
      </c>
      <c r="P25" s="59"/>
      <c r="Q25" s="59"/>
      <c r="R25" s="59">
        <f>Evangeline!I30</f>
        <v>11700</v>
      </c>
      <c r="S25" s="59">
        <f>Evangeline!I19+Evangeline!I23</f>
        <v>1438</v>
      </c>
      <c r="T25" s="59">
        <f t="shared" si="13"/>
        <v>83858</v>
      </c>
      <c r="U25" s="113" t="str">
        <f t="shared" ref="U25:U67" si="19">IF(T25=V25, "ok", "check")</f>
        <v>ok</v>
      </c>
      <c r="V25" s="58">
        <f>Evangeline!I34</f>
        <v>83858</v>
      </c>
      <c r="W25" s="60"/>
      <c r="X25" s="60"/>
      <c r="Y25" s="59">
        <f>Evangeline!I37</f>
        <v>204159</v>
      </c>
      <c r="Z25" s="59">
        <f>Evangeline!I38</f>
        <v>7228</v>
      </c>
      <c r="AA25" s="59">
        <f>Evangeline!I39</f>
        <v>92103</v>
      </c>
      <c r="AB25" s="59">
        <f t="shared" si="14"/>
        <v>303490</v>
      </c>
      <c r="AC25" s="59">
        <f t="shared" si="6"/>
        <v>387348</v>
      </c>
      <c r="AD25" s="113" t="str">
        <f t="shared" si="5"/>
        <v>ok</v>
      </c>
      <c r="AE25" s="58">
        <f>Evangeline!I43</f>
        <v>387348</v>
      </c>
    </row>
    <row r="26" spans="1:378" s="120" customFormat="1" ht="15.6">
      <c r="A26" s="115"/>
      <c r="B26" s="116" t="s">
        <v>761</v>
      </c>
      <c r="C26" s="117"/>
      <c r="D26" s="117"/>
      <c r="E26" s="117"/>
      <c r="F26" s="117"/>
      <c r="G26" s="117"/>
      <c r="H26" s="117"/>
      <c r="I26" s="117">
        <f t="shared" si="10"/>
        <v>0</v>
      </c>
      <c r="J26" s="113" t="str">
        <f t="shared" si="1"/>
        <v>ok</v>
      </c>
      <c r="K26" s="118"/>
      <c r="L26" s="117"/>
      <c r="M26" s="117"/>
      <c r="N26" s="117"/>
      <c r="O26" s="117"/>
      <c r="P26" s="117"/>
      <c r="Q26" s="117"/>
      <c r="R26" s="117"/>
      <c r="S26" s="117"/>
      <c r="T26" s="117">
        <f t="shared" si="13"/>
        <v>0</v>
      </c>
      <c r="U26" s="113" t="str">
        <f t="shared" si="19"/>
        <v>ok</v>
      </c>
      <c r="V26" s="118"/>
      <c r="W26" s="119"/>
      <c r="X26" s="119"/>
      <c r="Y26" s="117"/>
      <c r="Z26" s="117"/>
      <c r="AA26" s="117"/>
      <c r="AB26" s="117">
        <f t="shared" ref="AB26" si="20">SUM(Y26:AA26)</f>
        <v>0</v>
      </c>
      <c r="AC26" s="110">
        <f t="shared" si="6"/>
        <v>0</v>
      </c>
      <c r="AD26" s="113" t="str">
        <f t="shared" si="5"/>
        <v>ok</v>
      </c>
      <c r="AE26" s="118">
        <v>0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</row>
    <row r="27" spans="1:378" ht="15.6">
      <c r="A27" s="56"/>
      <c r="B27" s="3" t="s">
        <v>419</v>
      </c>
      <c r="C27" s="59">
        <f>Grant!I7</f>
        <v>466152</v>
      </c>
      <c r="D27" s="59"/>
      <c r="E27" s="59">
        <f>Grant!I8</f>
        <v>88420</v>
      </c>
      <c r="F27" s="59">
        <f>Grant!I13</f>
        <v>349237</v>
      </c>
      <c r="G27" s="59"/>
      <c r="H27" s="59"/>
      <c r="I27" s="59">
        <f t="shared" si="10"/>
        <v>903809</v>
      </c>
      <c r="J27" s="113" t="str">
        <f t="shared" si="1"/>
        <v>ok</v>
      </c>
      <c r="K27" s="58">
        <f>Grant!I15</f>
        <v>903809</v>
      </c>
      <c r="L27" s="59">
        <f>Grant!I18</f>
        <v>41378</v>
      </c>
      <c r="M27" s="59">
        <f>Grant!I22</f>
        <v>9609</v>
      </c>
      <c r="N27" s="59"/>
      <c r="O27" s="59"/>
      <c r="P27" s="59"/>
      <c r="Q27" s="59"/>
      <c r="R27" s="59"/>
      <c r="S27" s="59">
        <f>Grant!I19+Grant!I20</f>
        <v>77981</v>
      </c>
      <c r="T27" s="59">
        <f t="shared" ref="T27:T28" si="21">SUM(L27:S27)</f>
        <v>128968</v>
      </c>
      <c r="U27" s="113" t="str">
        <f t="shared" si="19"/>
        <v>ok</v>
      </c>
      <c r="V27" s="58">
        <f>Grant!I27</f>
        <v>128968</v>
      </c>
      <c r="W27" s="60"/>
      <c r="X27" s="60"/>
      <c r="Y27" s="59">
        <f>Grant!I30</f>
        <v>349237</v>
      </c>
      <c r="Z27" s="59"/>
      <c r="AA27" s="59">
        <f>Grant!I35</f>
        <v>425604</v>
      </c>
      <c r="AB27" s="59">
        <f t="shared" ref="AB27:AB42" si="22">SUM(Y27:AA27)</f>
        <v>774841</v>
      </c>
      <c r="AC27" s="59">
        <f t="shared" si="6"/>
        <v>903809</v>
      </c>
      <c r="AD27" s="113" t="str">
        <f t="shared" si="5"/>
        <v>ok</v>
      </c>
      <c r="AE27" s="58">
        <f>Grant!I39</f>
        <v>903809</v>
      </c>
    </row>
    <row r="28" spans="1:378" s="104" customFormat="1">
      <c r="B28" s="109" t="s">
        <v>762</v>
      </c>
      <c r="C28" s="110">
        <v>0</v>
      </c>
      <c r="D28" s="110"/>
      <c r="E28" s="110">
        <v>0</v>
      </c>
      <c r="F28" s="110">
        <v>0</v>
      </c>
      <c r="G28" s="110">
        <v>0</v>
      </c>
      <c r="H28" s="110">
        <v>0</v>
      </c>
      <c r="I28" s="110">
        <f t="shared" si="10"/>
        <v>0</v>
      </c>
      <c r="J28" s="113" t="str">
        <f t="shared" si="1"/>
        <v>ok</v>
      </c>
      <c r="K28" s="111">
        <v>0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  <c r="Q28" s="110">
        <v>0</v>
      </c>
      <c r="R28" s="110">
        <v>0</v>
      </c>
      <c r="S28" s="110">
        <v>0</v>
      </c>
      <c r="T28" s="110">
        <f t="shared" si="21"/>
        <v>0</v>
      </c>
      <c r="U28" s="113" t="str">
        <f t="shared" si="19"/>
        <v>ok</v>
      </c>
      <c r="V28" s="111">
        <v>0</v>
      </c>
      <c r="W28" s="112"/>
      <c r="X28" s="112"/>
      <c r="Y28" s="110">
        <f>Iberia!I44</f>
        <v>55003983</v>
      </c>
      <c r="Z28" s="110">
        <f>Iberia!I49+Iberia!I50</f>
        <v>13868971</v>
      </c>
      <c r="AA28" s="110">
        <f>Iberia!I51</f>
        <v>17694690</v>
      </c>
      <c r="AB28" s="110">
        <f t="shared" si="22"/>
        <v>86567644</v>
      </c>
      <c r="AC28" s="110">
        <f t="shared" si="6"/>
        <v>86567644</v>
      </c>
      <c r="AD28" s="113" t="str">
        <f t="shared" si="5"/>
        <v>check</v>
      </c>
      <c r="AE28" s="111">
        <f>Iberia!I55</f>
        <v>146486692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</row>
    <row r="29" spans="1:378" ht="15.6">
      <c r="A29" s="56"/>
      <c r="B29" s="3" t="s">
        <v>763</v>
      </c>
      <c r="C29" s="59">
        <f>Iberville!I8+Iberville!I14</f>
        <v>3218641</v>
      </c>
      <c r="D29" s="59"/>
      <c r="E29" s="59">
        <f>Iberville!I9</f>
        <v>1016909</v>
      </c>
      <c r="F29" s="59">
        <f>Iberville!I16+Iberville!I17+Iberville!I18+Iberville!I19+Iberville!I20</f>
        <v>10925769</v>
      </c>
      <c r="G29" s="59"/>
      <c r="H29" s="59">
        <f>Iberville!I10+Iberville!I11+Iberville!I12</f>
        <v>472381</v>
      </c>
      <c r="I29" s="59">
        <f t="shared" si="10"/>
        <v>15633700</v>
      </c>
      <c r="J29" s="113" t="str">
        <f t="shared" si="1"/>
        <v>ok</v>
      </c>
      <c r="K29" s="58">
        <f>Iberville!I22</f>
        <v>15633700</v>
      </c>
      <c r="L29" s="59">
        <f>Iberville!I25+Iberville!I30</f>
        <v>815625</v>
      </c>
      <c r="M29" s="59"/>
      <c r="N29" s="59"/>
      <c r="O29" s="59"/>
      <c r="P29" s="59"/>
      <c r="Q29" s="59">
        <f>Iberville!I33</f>
        <v>55000</v>
      </c>
      <c r="R29" s="59">
        <f>Iberville!I34</f>
        <v>490000</v>
      </c>
      <c r="S29" s="59">
        <f>Iberville!I32</f>
        <v>0</v>
      </c>
      <c r="T29" s="59">
        <f t="shared" ref="T29:T43" si="23">SUM(L29:S29)</f>
        <v>1360625</v>
      </c>
      <c r="U29" s="113" t="str">
        <f t="shared" si="19"/>
        <v>ok</v>
      </c>
      <c r="V29" s="58">
        <f>Iberville!I36</f>
        <v>1360625</v>
      </c>
      <c r="W29" s="60"/>
      <c r="X29" s="60"/>
      <c r="Y29" s="59">
        <f>Iberville!I39</f>
        <v>10380769</v>
      </c>
      <c r="Z29" s="59">
        <f>Iberville!I48</f>
        <v>247661</v>
      </c>
      <c r="AA29" s="59">
        <f>Iberville!I49</f>
        <v>3644645</v>
      </c>
      <c r="AB29" s="59">
        <f t="shared" si="22"/>
        <v>14273075</v>
      </c>
      <c r="AC29" s="59">
        <f t="shared" si="6"/>
        <v>15633700</v>
      </c>
      <c r="AD29" s="113" t="str">
        <f t="shared" si="5"/>
        <v>ok</v>
      </c>
      <c r="AE29" s="58">
        <f>Iberville!I53</f>
        <v>15633700</v>
      </c>
    </row>
    <row r="30" spans="1:378" s="104" customFormat="1">
      <c r="B30" s="109" t="s">
        <v>764</v>
      </c>
      <c r="C30" s="110">
        <v>0</v>
      </c>
      <c r="D30" s="110"/>
      <c r="E30" s="110"/>
      <c r="F30" s="110"/>
      <c r="G30" s="110"/>
      <c r="H30" s="110"/>
      <c r="I30" s="110">
        <f t="shared" si="10"/>
        <v>0</v>
      </c>
      <c r="J30" s="113" t="str">
        <f t="shared" si="1"/>
        <v>ok</v>
      </c>
      <c r="K30" s="111"/>
      <c r="L30" s="110"/>
      <c r="M30" s="110"/>
      <c r="N30" s="110"/>
      <c r="O30" s="110"/>
      <c r="P30" s="110"/>
      <c r="Q30" s="110"/>
      <c r="R30" s="110"/>
      <c r="S30" s="110"/>
      <c r="T30" s="110">
        <f t="shared" si="23"/>
        <v>0</v>
      </c>
      <c r="U30" s="113" t="str">
        <f t="shared" si="19"/>
        <v>ok</v>
      </c>
      <c r="V30" s="111"/>
      <c r="W30" s="112"/>
      <c r="X30" s="112"/>
      <c r="Y30" s="110"/>
      <c r="Z30" s="110"/>
      <c r="AA30" s="110"/>
      <c r="AB30" s="110">
        <f t="shared" si="22"/>
        <v>0</v>
      </c>
      <c r="AC30" s="110">
        <f t="shared" si="6"/>
        <v>0</v>
      </c>
      <c r="AD30" s="113" t="str">
        <f t="shared" si="5"/>
        <v>ok</v>
      </c>
      <c r="AE30" s="111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</row>
    <row r="31" spans="1:378" s="147" customFormat="1" ht="15.6">
      <c r="A31" s="284"/>
      <c r="B31" s="285" t="s">
        <v>765</v>
      </c>
      <c r="C31" s="286">
        <f>Jefferson!I9+Jefferson!I24+Jefferson!I25+Jefferson!I26+Jefferson!I27</f>
        <v>84556</v>
      </c>
      <c r="D31" s="286">
        <f>Jefferson!I10</f>
        <v>0</v>
      </c>
      <c r="E31" s="286">
        <f>Jefferson!I14+Jefferson!I15+Jefferson!I16+Jefferson!I19</f>
        <v>15272</v>
      </c>
      <c r="F31" s="286">
        <f>Jefferson!I35+Jefferson!I36</f>
        <v>546758</v>
      </c>
      <c r="G31" s="286"/>
      <c r="H31" s="286">
        <f>Jefferson!I11+Jefferson!I21</f>
        <v>26220</v>
      </c>
      <c r="I31" s="286">
        <f t="shared" si="10"/>
        <v>672806</v>
      </c>
      <c r="J31" s="113" t="str">
        <f t="shared" si="1"/>
        <v>ok</v>
      </c>
      <c r="K31" s="287">
        <f>Jefferson!I40</f>
        <v>672806</v>
      </c>
      <c r="L31" s="286">
        <f>Jefferson!I49+Jefferson!I56+Jefferson!I59+Jefferson!I60+Jefferson!I63</f>
        <v>17517</v>
      </c>
      <c r="M31" s="286"/>
      <c r="N31" s="286"/>
      <c r="O31" s="286"/>
      <c r="P31" s="286"/>
      <c r="Q31" s="286">
        <f>Jefferson!I52</f>
        <v>1114</v>
      </c>
      <c r="R31" s="286">
        <f>Jefferson!I69</f>
        <v>8957</v>
      </c>
      <c r="S31" s="286">
        <f>Jefferson!I53+Jefferson!I57+Jefferson!I68</f>
        <v>18326</v>
      </c>
      <c r="T31" s="286">
        <f>SUM(L31:S31)</f>
        <v>45914</v>
      </c>
      <c r="U31" s="113" t="str">
        <f t="shared" si="19"/>
        <v>ok</v>
      </c>
      <c r="V31" s="287">
        <f>Jefferson!I73</f>
        <v>45914</v>
      </c>
      <c r="W31" s="289"/>
      <c r="X31" s="289"/>
      <c r="Y31" s="286">
        <f>Jefferson!I76</f>
        <v>536687</v>
      </c>
      <c r="Z31" s="286">
        <f>Jefferson!I87+Jefferson!I88</f>
        <v>52135</v>
      </c>
      <c r="AA31" s="286">
        <f>Jefferson!I91</f>
        <v>38070</v>
      </c>
      <c r="AB31" s="286">
        <f t="shared" si="22"/>
        <v>626892</v>
      </c>
      <c r="AC31" s="286">
        <f t="shared" si="6"/>
        <v>672806</v>
      </c>
      <c r="AD31" s="113" t="str">
        <f t="shared" si="5"/>
        <v>ok</v>
      </c>
      <c r="AE31" s="287">
        <f>Jefferson!I95</f>
        <v>672806</v>
      </c>
    </row>
    <row r="32" spans="1:378" s="104" customFormat="1" ht="15.6">
      <c r="A32" s="108"/>
      <c r="B32" s="109" t="s">
        <v>766</v>
      </c>
      <c r="C32" s="110">
        <v>0</v>
      </c>
      <c r="D32" s="110"/>
      <c r="E32" s="110"/>
      <c r="F32" s="110"/>
      <c r="G32" s="110">
        <v>0</v>
      </c>
      <c r="H32" s="110"/>
      <c r="I32" s="110">
        <f>SUM(C32:H32)</f>
        <v>0</v>
      </c>
      <c r="J32" s="113" t="str">
        <f>IF(I32=K32, "ok", "check")</f>
        <v>ok</v>
      </c>
      <c r="K32" s="111"/>
      <c r="L32" s="110"/>
      <c r="M32" s="110"/>
      <c r="N32" s="110"/>
      <c r="O32" s="110"/>
      <c r="P32" s="110"/>
      <c r="Q32" s="110"/>
      <c r="R32" s="110"/>
      <c r="S32" s="110"/>
      <c r="T32" s="110">
        <f>SUM(L32:S32)</f>
        <v>0</v>
      </c>
      <c r="U32" s="113" t="str">
        <f>IF(T32=V32, "ok", "check")</f>
        <v>ok</v>
      </c>
      <c r="V32" s="111"/>
      <c r="W32" s="112"/>
      <c r="X32" s="112"/>
      <c r="Y32" s="110"/>
      <c r="Z32" s="110"/>
      <c r="AA32" s="110"/>
      <c r="AB32" s="110">
        <f>SUM(Y32:AA32)</f>
        <v>0</v>
      </c>
      <c r="AC32" s="110">
        <f>SUM(AB32,T32+X32)</f>
        <v>0</v>
      </c>
      <c r="AD32" s="113" t="str">
        <f>IF(AC32=AE32, "ok", "check")</f>
        <v>ok</v>
      </c>
      <c r="AE32" s="111">
        <v>0</v>
      </c>
    </row>
    <row r="33" spans="1:378" s="147" customFormat="1" ht="15.6">
      <c r="A33" s="284"/>
      <c r="B33" s="285" t="s">
        <v>767</v>
      </c>
      <c r="C33" s="286">
        <f>Lafayette!I7+Lafayette!I18+Lafayette!I21</f>
        <v>12910822</v>
      </c>
      <c r="D33" s="286">
        <f>Lafayette!I8+Lafayette!I19</f>
        <v>225366526</v>
      </c>
      <c r="E33" s="286">
        <f>Lafayette!I9+Lafayette!I20</f>
        <v>27770300</v>
      </c>
      <c r="F33" s="286">
        <f>Lafayette!I23+Lafayette!I24</f>
        <v>728864486</v>
      </c>
      <c r="G33" s="286">
        <f>Lafayette!I12+Lafayette!I13</f>
        <v>3458077</v>
      </c>
      <c r="H33" s="286">
        <f>Lafayette!I10+Lafayette!I14+Lafayette!I15</f>
        <v>28666458</v>
      </c>
      <c r="I33" s="286">
        <f t="shared" si="10"/>
        <v>1027036669</v>
      </c>
      <c r="J33" s="113" t="str">
        <f t="shared" si="1"/>
        <v>ok</v>
      </c>
      <c r="K33" s="287">
        <f>Lafayette!I26</f>
        <v>1027036669</v>
      </c>
      <c r="L33" s="286">
        <f>Lafayette!I32</f>
        <v>6433320</v>
      </c>
      <c r="M33" s="286"/>
      <c r="N33" s="286"/>
      <c r="O33" s="286"/>
      <c r="P33" s="286">
        <f>Lafayette!I34+Lafayette!I35</f>
        <v>0</v>
      </c>
      <c r="Q33" s="286">
        <f>Lafayette!I39</f>
        <v>5045582</v>
      </c>
      <c r="R33" s="286">
        <f>Lafayette!I40</f>
        <v>494865322</v>
      </c>
      <c r="S33" s="286">
        <f>Lafayette!I36+Lafayette!I37</f>
        <v>8154503</v>
      </c>
      <c r="T33" s="286">
        <f t="shared" si="23"/>
        <v>514498727</v>
      </c>
      <c r="U33" s="113" t="str">
        <f t="shared" si="19"/>
        <v>ok</v>
      </c>
      <c r="V33" s="287">
        <f>Lafayette!I42</f>
        <v>514498727</v>
      </c>
      <c r="W33" s="289"/>
      <c r="X33" s="289"/>
      <c r="Y33" s="286">
        <f>Lafayette!I48</f>
        <v>311982121</v>
      </c>
      <c r="Z33" s="286">
        <f>Lafayette!I50+Lafayette!I51+Lafayette!I52</f>
        <v>133086432</v>
      </c>
      <c r="AA33" s="286">
        <f>Lafayette!I53</f>
        <v>77912897</v>
      </c>
      <c r="AB33" s="286">
        <f t="shared" si="22"/>
        <v>522981450</v>
      </c>
      <c r="AC33" s="286">
        <f t="shared" si="6"/>
        <v>1037480177</v>
      </c>
      <c r="AD33" s="113" t="str">
        <f t="shared" ref="AD33:AD67" si="24">IF(AC33=AE33, "ok", "check")</f>
        <v>ok</v>
      </c>
      <c r="AE33" s="287">
        <f>Lafayette!I57</f>
        <v>1037480177</v>
      </c>
    </row>
    <row r="34" spans="1:378" s="104" customFormat="1" ht="15.6">
      <c r="A34" s="108"/>
      <c r="B34" s="109" t="s">
        <v>768</v>
      </c>
      <c r="C34" s="110">
        <f>Lafourche!I7</f>
        <v>0</v>
      </c>
      <c r="D34" s="110">
        <f>Lafourche!I8</f>
        <v>0</v>
      </c>
      <c r="E34" s="110">
        <f>Lafourche!I9</f>
        <v>18174</v>
      </c>
      <c r="F34" s="110">
        <f>Lafourche!I14+Lafourche!I13</f>
        <v>2762073</v>
      </c>
      <c r="G34" s="110">
        <f>Lafourche!I10</f>
        <v>0</v>
      </c>
      <c r="H34" s="110"/>
      <c r="I34" s="110">
        <f t="shared" si="10"/>
        <v>2780247</v>
      </c>
      <c r="J34" s="113" t="str">
        <f t="shared" si="1"/>
        <v>ok</v>
      </c>
      <c r="K34" s="111">
        <f>Lafourche!I16</f>
        <v>2780247</v>
      </c>
      <c r="L34" s="110">
        <f>Lafourche!I24+Lafourche!I26</f>
        <v>27127</v>
      </c>
      <c r="M34" s="110"/>
      <c r="N34" s="110"/>
      <c r="O34" s="110"/>
      <c r="P34" s="110">
        <f>Lafourche!I27</f>
        <v>211687</v>
      </c>
      <c r="Q34" s="110"/>
      <c r="R34" s="110"/>
      <c r="S34" s="110"/>
      <c r="T34" s="110">
        <f t="shared" si="23"/>
        <v>238814</v>
      </c>
      <c r="U34" s="113" t="str">
        <f t="shared" si="19"/>
        <v>ok</v>
      </c>
      <c r="V34" s="111">
        <f>Lafourche!I32</f>
        <v>238814</v>
      </c>
      <c r="W34" s="112"/>
      <c r="X34" s="112"/>
      <c r="Y34" s="110">
        <f>Lafourche!I35</f>
        <v>2762073</v>
      </c>
      <c r="Z34" s="110"/>
      <c r="AA34" s="110">
        <f>Lafourche!I39</f>
        <v>-220640</v>
      </c>
      <c r="AB34" s="110">
        <f t="shared" si="22"/>
        <v>2541433</v>
      </c>
      <c r="AC34" s="110">
        <f t="shared" si="6"/>
        <v>2780247</v>
      </c>
      <c r="AD34" s="113" t="str">
        <f t="shared" si="24"/>
        <v>ok</v>
      </c>
      <c r="AE34" s="111">
        <f>Lafourche!I43</f>
        <v>2780247</v>
      </c>
    </row>
    <row r="35" spans="1:378" ht="15.6">
      <c r="A35" s="56"/>
      <c r="B35" s="3" t="s">
        <v>769</v>
      </c>
      <c r="C35" s="59"/>
      <c r="D35" s="59"/>
      <c r="E35" s="59"/>
      <c r="F35" s="59"/>
      <c r="G35" s="59"/>
      <c r="H35" s="59"/>
      <c r="I35" s="59">
        <f>SUM(C35:H35)</f>
        <v>0</v>
      </c>
      <c r="J35" s="113" t="str">
        <f>IF(I35=K35, "ok", "check")</f>
        <v>ok</v>
      </c>
      <c r="K35" s="58"/>
      <c r="L35" s="59"/>
      <c r="M35" s="59"/>
      <c r="N35" s="59"/>
      <c r="O35" s="59"/>
      <c r="P35" s="59"/>
      <c r="Q35" s="59"/>
      <c r="R35" s="59"/>
      <c r="S35" s="59"/>
      <c r="T35" s="59">
        <f>SUM(L35:S35)</f>
        <v>0</v>
      </c>
      <c r="U35" s="113" t="str">
        <f>IF(T35=V35, "ok", "check")</f>
        <v>ok</v>
      </c>
      <c r="V35" s="58"/>
      <c r="W35" s="60"/>
      <c r="X35" s="60"/>
      <c r="Y35" s="59"/>
      <c r="Z35" s="59"/>
      <c r="AA35" s="59"/>
      <c r="AB35" s="59">
        <f>SUM(Y35:AA35)</f>
        <v>0</v>
      </c>
      <c r="AC35" s="59">
        <f>SUM(AB35,T35+X35)</f>
        <v>0</v>
      </c>
      <c r="AD35" s="113" t="str">
        <f>IF(AC35=AE35, "ok", "check")</f>
        <v>ok</v>
      </c>
      <c r="AE35" s="58">
        <v>0</v>
      </c>
    </row>
    <row r="36" spans="1:378" s="120" customFormat="1" ht="15.6">
      <c r="A36" s="115"/>
      <c r="B36" s="116" t="s">
        <v>770</v>
      </c>
      <c r="C36" s="117"/>
      <c r="D36" s="117"/>
      <c r="E36" s="117"/>
      <c r="F36" s="117"/>
      <c r="G36" s="117"/>
      <c r="H36" s="117"/>
      <c r="I36" s="117">
        <f t="shared" si="10"/>
        <v>0</v>
      </c>
      <c r="J36" s="113" t="str">
        <f t="shared" si="1"/>
        <v>ok</v>
      </c>
      <c r="K36" s="118"/>
      <c r="L36" s="117"/>
      <c r="M36" s="117"/>
      <c r="N36" s="117"/>
      <c r="O36" s="117"/>
      <c r="P36" s="117"/>
      <c r="Q36" s="117"/>
      <c r="R36" s="117"/>
      <c r="S36" s="117"/>
      <c r="T36" s="117">
        <f t="shared" si="23"/>
        <v>0</v>
      </c>
      <c r="U36" s="113" t="str">
        <f t="shared" si="19"/>
        <v>ok</v>
      </c>
      <c r="V36" s="118"/>
      <c r="W36" s="119"/>
      <c r="X36" s="119"/>
      <c r="Y36" s="117"/>
      <c r="Z36" s="117"/>
      <c r="AA36" s="117"/>
      <c r="AB36" s="117">
        <f t="shared" si="22"/>
        <v>0</v>
      </c>
      <c r="AC36" s="110">
        <f t="shared" si="6"/>
        <v>0</v>
      </c>
      <c r="AD36" s="113" t="str">
        <f t="shared" si="24"/>
        <v>ok</v>
      </c>
      <c r="AE36" s="118">
        <v>0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</row>
    <row r="37" spans="1:378">
      <c r="B37" s="3" t="s">
        <v>771</v>
      </c>
      <c r="C37" s="59">
        <f>Livingston!I6+Livingston!I16</f>
        <v>362647</v>
      </c>
      <c r="D37" s="59">
        <f>Livingston!I7</f>
        <v>0</v>
      </c>
      <c r="E37" s="59">
        <f>Livingston!I8</f>
        <v>12935</v>
      </c>
      <c r="F37" s="59">
        <f>Livingston!I18+Livingston!I19</f>
        <v>7876002</v>
      </c>
      <c r="G37" s="59">
        <f>Livingston!I11+Livingston!I12</f>
        <v>0</v>
      </c>
      <c r="H37" s="59">
        <f>Livingston!I9+Livingston!I10+Livingston!I13+Livingston!I14</f>
        <v>-21713</v>
      </c>
      <c r="I37" s="59">
        <f t="shared" si="10"/>
        <v>8229871</v>
      </c>
      <c r="J37" s="113" t="str">
        <f t="shared" si="1"/>
        <v>ok</v>
      </c>
      <c r="K37" s="58">
        <f>Livingston!I21</f>
        <v>8229871</v>
      </c>
      <c r="L37" s="59">
        <f>Livingston!I29+Livingston!I33</f>
        <v>25592</v>
      </c>
      <c r="M37" s="59"/>
      <c r="N37" s="59"/>
      <c r="O37" s="59"/>
      <c r="P37" s="59"/>
      <c r="Q37" s="59">
        <f>Livingston!I35</f>
        <v>92489</v>
      </c>
      <c r="R37" s="59">
        <f>Livingston!I36</f>
        <v>2401440</v>
      </c>
      <c r="S37" s="59"/>
      <c r="T37" s="59">
        <f>SUM(L37:S37)</f>
        <v>2519521</v>
      </c>
      <c r="U37" s="113" t="str">
        <f t="shared" si="19"/>
        <v>ok</v>
      </c>
      <c r="V37" s="58">
        <f>Livingston!I38</f>
        <v>2519521</v>
      </c>
      <c r="W37" s="60"/>
      <c r="X37" s="60"/>
      <c r="Y37" s="59">
        <f>Livingston!I41</f>
        <v>5383440</v>
      </c>
      <c r="Z37" s="59"/>
      <c r="AA37" s="59">
        <f>Livingston!I47</f>
        <v>326910</v>
      </c>
      <c r="AB37" s="59">
        <f t="shared" si="22"/>
        <v>5710350</v>
      </c>
      <c r="AC37" s="59">
        <f t="shared" si="6"/>
        <v>8229871</v>
      </c>
      <c r="AD37" s="113" t="str">
        <f t="shared" si="24"/>
        <v>ok</v>
      </c>
      <c r="AE37" s="58">
        <f>Livingston!I51</f>
        <v>8229871</v>
      </c>
    </row>
    <row r="38" spans="1:378" s="120" customFormat="1" ht="15.6">
      <c r="A38" s="115"/>
      <c r="B38" s="116" t="s">
        <v>772</v>
      </c>
      <c r="C38" s="117"/>
      <c r="D38" s="117"/>
      <c r="E38" s="117"/>
      <c r="F38" s="117"/>
      <c r="G38" s="117"/>
      <c r="H38" s="117"/>
      <c r="I38" s="117">
        <f t="shared" ref="I38" si="25">SUM(C38:H38)</f>
        <v>0</v>
      </c>
      <c r="J38" s="113" t="str">
        <f t="shared" ref="J38:J69" si="26">IF(I38=K38, "ok", "check")</f>
        <v>ok</v>
      </c>
      <c r="K38" s="118"/>
      <c r="L38" s="117"/>
      <c r="M38" s="117"/>
      <c r="N38" s="117"/>
      <c r="O38" s="117"/>
      <c r="P38" s="117"/>
      <c r="Q38" s="117"/>
      <c r="R38" s="117"/>
      <c r="S38" s="117"/>
      <c r="T38" s="117">
        <f t="shared" ref="T38" si="27">SUM(L38:S38)</f>
        <v>0</v>
      </c>
      <c r="U38" s="113" t="str">
        <f t="shared" si="19"/>
        <v>ok</v>
      </c>
      <c r="V38" s="118"/>
      <c r="W38" s="119"/>
      <c r="X38" s="119"/>
      <c r="Y38" s="117"/>
      <c r="Z38" s="117"/>
      <c r="AA38" s="117"/>
      <c r="AB38" s="117">
        <f t="shared" ref="AB38" si="28">SUM(Y38:AA38)</f>
        <v>0</v>
      </c>
      <c r="AC38" s="110">
        <f t="shared" si="6"/>
        <v>0</v>
      </c>
      <c r="AD38" s="113" t="str">
        <f t="shared" si="24"/>
        <v>ok</v>
      </c>
      <c r="AE38" s="118">
        <v>0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</row>
    <row r="39" spans="1:378" ht="15.6">
      <c r="A39" s="56"/>
      <c r="B39" s="3" t="s">
        <v>773</v>
      </c>
      <c r="C39" s="59"/>
      <c r="D39" s="59"/>
      <c r="E39" s="59"/>
      <c r="F39" s="59"/>
      <c r="G39" s="59"/>
      <c r="H39" s="59"/>
      <c r="I39" s="59">
        <f t="shared" si="10"/>
        <v>0</v>
      </c>
      <c r="J39" s="113" t="str">
        <f t="shared" si="26"/>
        <v>ok</v>
      </c>
      <c r="K39" s="58"/>
      <c r="L39" s="59"/>
      <c r="M39" s="59"/>
      <c r="N39" s="59"/>
      <c r="O39" s="59"/>
      <c r="P39" s="59"/>
      <c r="Q39" s="59"/>
      <c r="R39" s="59"/>
      <c r="S39" s="59"/>
      <c r="T39" s="59">
        <f t="shared" si="23"/>
        <v>0</v>
      </c>
      <c r="U39" s="113" t="str">
        <f t="shared" si="19"/>
        <v>ok</v>
      </c>
      <c r="V39" s="58"/>
      <c r="W39" s="60"/>
      <c r="X39" s="60"/>
      <c r="Y39" s="59"/>
      <c r="Z39" s="59"/>
      <c r="AA39" s="59"/>
      <c r="AB39" s="59">
        <v>0</v>
      </c>
      <c r="AC39" s="59">
        <f t="shared" si="6"/>
        <v>0</v>
      </c>
      <c r="AD39" s="113" t="str">
        <f t="shared" si="24"/>
        <v>ok</v>
      </c>
      <c r="AE39" s="58">
        <v>0</v>
      </c>
    </row>
    <row r="40" spans="1:378" s="104" customFormat="1" ht="15.6">
      <c r="A40" s="108"/>
      <c r="B40" s="109" t="s">
        <v>774</v>
      </c>
      <c r="C40" s="110">
        <f>Natchitoches!I7</f>
        <v>4396086</v>
      </c>
      <c r="D40" s="110"/>
      <c r="E40" s="110">
        <f>Natchitoches!I8</f>
        <v>4072402</v>
      </c>
      <c r="F40" s="110">
        <f>Natchitoches!I15+Natchitoches!I16+Natchitoches!I17+Natchitoches!I18+Natchitoches!I19</f>
        <v>14602592</v>
      </c>
      <c r="G40" s="110"/>
      <c r="H40" s="110">
        <f>Natchitoches!I10+Natchitoches!I11</f>
        <v>1459376</v>
      </c>
      <c r="I40" s="110">
        <f t="shared" si="10"/>
        <v>24530456</v>
      </c>
      <c r="J40" s="113" t="str">
        <f t="shared" si="26"/>
        <v>ok</v>
      </c>
      <c r="K40" s="111">
        <f>Natchitoches!I26</f>
        <v>24530456</v>
      </c>
      <c r="L40" s="110">
        <f>Natchitoches!I30+Natchitoches!I31+Natchitoches!I32+Natchitoches!I34+Natchitoches!I35</f>
        <v>3968204</v>
      </c>
      <c r="M40" s="110"/>
      <c r="N40" s="110"/>
      <c r="O40" s="110"/>
      <c r="P40" s="110"/>
      <c r="Q40" s="110"/>
      <c r="R40" s="110"/>
      <c r="S40" s="110">
        <f>Natchitoches!I29+Natchitoches!I39+Natchitoches!I40</f>
        <v>754443</v>
      </c>
      <c r="T40" s="110">
        <f>SUM(L40:S40)</f>
        <v>4722647</v>
      </c>
      <c r="U40" s="113" t="str">
        <f t="shared" si="19"/>
        <v>ok</v>
      </c>
      <c r="V40" s="111">
        <f>Natchitoches!I42</f>
        <v>4722647</v>
      </c>
      <c r="W40" s="112"/>
      <c r="X40" s="112"/>
      <c r="Y40" s="110">
        <f>Natchitoches!I45</f>
        <v>41908967</v>
      </c>
      <c r="Z40" s="110">
        <f>Natchitoches!I46</f>
        <v>1185000</v>
      </c>
      <c r="AA40" s="110">
        <f>Natchitoches!I47</f>
        <v>27117378</v>
      </c>
      <c r="AB40" s="110">
        <f t="shared" si="22"/>
        <v>70211345</v>
      </c>
      <c r="AC40" s="110">
        <f t="shared" si="6"/>
        <v>74933992</v>
      </c>
      <c r="AD40" s="113" t="str">
        <f t="shared" si="24"/>
        <v>ok</v>
      </c>
      <c r="AE40" s="111">
        <f>Natchitoches!I51</f>
        <v>74933992</v>
      </c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</row>
    <row r="41" spans="1:378" ht="15.6">
      <c r="A41" s="56"/>
      <c r="B41" s="3" t="s">
        <v>775</v>
      </c>
      <c r="C41" s="59">
        <v>0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59">
        <f t="shared" si="10"/>
        <v>0</v>
      </c>
      <c r="J41" s="113" t="str">
        <f t="shared" si="26"/>
        <v>ok</v>
      </c>
      <c r="K41" s="58">
        <v>0</v>
      </c>
      <c r="L41" s="59">
        <v>0</v>
      </c>
      <c r="M41" s="59">
        <v>0</v>
      </c>
      <c r="N41" s="59">
        <v>0</v>
      </c>
      <c r="O41" s="59">
        <v>0</v>
      </c>
      <c r="P41" s="59">
        <v>0</v>
      </c>
      <c r="Q41" s="59">
        <v>0</v>
      </c>
      <c r="R41" s="59">
        <v>0</v>
      </c>
      <c r="S41" s="59">
        <v>0</v>
      </c>
      <c r="T41" s="59">
        <f t="shared" si="23"/>
        <v>0</v>
      </c>
      <c r="U41" s="113" t="str">
        <f t="shared" si="19"/>
        <v>ok</v>
      </c>
      <c r="V41" s="58">
        <v>0</v>
      </c>
      <c r="W41" s="60"/>
      <c r="X41" s="60"/>
      <c r="Y41" s="59">
        <f>Orleans!I46</f>
        <v>2482767</v>
      </c>
      <c r="Z41" s="59">
        <f>Orleans!I47+Orleans!I48+Orleans!I49</f>
        <v>222270</v>
      </c>
      <c r="AA41" s="59">
        <f>Orleans!I50</f>
        <v>-71839</v>
      </c>
      <c r="AB41" s="59">
        <f t="shared" si="22"/>
        <v>2633198</v>
      </c>
      <c r="AC41" s="59">
        <f t="shared" si="6"/>
        <v>2633198</v>
      </c>
      <c r="AD41" s="113" t="str">
        <f t="shared" si="24"/>
        <v>check</v>
      </c>
      <c r="AE41" s="58">
        <f>Orleans!I54</f>
        <v>3848882</v>
      </c>
    </row>
    <row r="42" spans="1:378" s="104" customFormat="1">
      <c r="B42" s="109" t="s">
        <v>776</v>
      </c>
      <c r="C42" s="110">
        <f>'Ouachita '!G7+'Ouachita '!G19</f>
        <v>136725</v>
      </c>
      <c r="D42" s="110"/>
      <c r="E42" s="110">
        <f>'Ouachita '!G13</f>
        <v>24586</v>
      </c>
      <c r="F42" s="110">
        <f>'Ouachita '!G20</f>
        <v>2570352</v>
      </c>
      <c r="G42" s="110">
        <f>'Ouachita '!G15</f>
        <v>2181</v>
      </c>
      <c r="H42" s="110">
        <f>'Ouachita '!G14+'Ouachita '!G16</f>
        <v>-69281</v>
      </c>
      <c r="I42" s="110">
        <f t="shared" si="10"/>
        <v>2664563</v>
      </c>
      <c r="J42" s="113" t="str">
        <f t="shared" si="26"/>
        <v>ok</v>
      </c>
      <c r="K42" s="111">
        <f>'Ouachita '!G22</f>
        <v>2664563</v>
      </c>
      <c r="L42" s="110">
        <f>'Ouachita '!G25</f>
        <v>24093</v>
      </c>
      <c r="M42" s="110"/>
      <c r="N42" s="110"/>
      <c r="O42" s="110"/>
      <c r="P42" s="110"/>
      <c r="Q42" s="110">
        <f>'Ouachita '!G29</f>
        <v>25000</v>
      </c>
      <c r="R42" s="110">
        <f>'Ouachita '!G30</f>
        <v>376000</v>
      </c>
      <c r="S42" s="110">
        <f>'Ouachita '!G31</f>
        <v>2556</v>
      </c>
      <c r="T42" s="110">
        <f t="shared" si="23"/>
        <v>427649</v>
      </c>
      <c r="U42" s="113" t="str">
        <f t="shared" si="19"/>
        <v>ok</v>
      </c>
      <c r="V42" s="111">
        <f>'Ouachita '!G33</f>
        <v>427649</v>
      </c>
      <c r="W42" s="112"/>
      <c r="X42" s="112"/>
      <c r="Y42" s="110">
        <f>'Ouachita '!G36</f>
        <v>2169352</v>
      </c>
      <c r="Z42" s="110">
        <f>'Ouachita '!G44</f>
        <v>58502</v>
      </c>
      <c r="AA42" s="110">
        <f>'Ouachita '!G47</f>
        <v>9060</v>
      </c>
      <c r="AB42" s="110">
        <f t="shared" si="22"/>
        <v>2236914</v>
      </c>
      <c r="AC42" s="110">
        <f t="shared" si="6"/>
        <v>2664563</v>
      </c>
      <c r="AD42" s="113" t="str">
        <f t="shared" si="24"/>
        <v>ok</v>
      </c>
      <c r="AE42" s="111">
        <f>'Ouachita '!G51</f>
        <v>2664563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</row>
    <row r="43" spans="1:378" ht="15.6">
      <c r="A43" s="56"/>
      <c r="B43" s="3" t="s">
        <v>777</v>
      </c>
      <c r="C43" s="59">
        <f>Plaquemines!I7</f>
        <v>266738</v>
      </c>
      <c r="D43" s="59">
        <f>Plaquemines!I8</f>
        <v>0</v>
      </c>
      <c r="E43" s="59">
        <f>Plaquemines!I9</f>
        <v>4353695</v>
      </c>
      <c r="F43" s="59">
        <f>Plaquemines!I17+Plaquemines!I18</f>
        <v>103510750</v>
      </c>
      <c r="G43" s="59"/>
      <c r="H43" s="59">
        <f>Plaquemines!I11+Plaquemines!I16</f>
        <v>-2069623</v>
      </c>
      <c r="I43" s="59">
        <f t="shared" si="10"/>
        <v>106061560</v>
      </c>
      <c r="J43" s="113" t="str">
        <f t="shared" si="26"/>
        <v>ok</v>
      </c>
      <c r="K43" s="58">
        <f>Plaquemines!I22</f>
        <v>106061560</v>
      </c>
      <c r="L43" s="59">
        <f>Plaquemines!I27+Plaquemines!I43</f>
        <v>987084</v>
      </c>
      <c r="M43" s="59">
        <f>Plaquemines!I32</f>
        <v>34115</v>
      </c>
      <c r="N43" s="59"/>
      <c r="O43" s="59"/>
      <c r="P43" s="59">
        <f>Plaquemines!I33</f>
        <v>0</v>
      </c>
      <c r="Q43" s="59"/>
      <c r="R43" s="59"/>
      <c r="S43" s="59">
        <f>Plaquemines!I26+Plaquemines!I34</f>
        <v>5859096</v>
      </c>
      <c r="T43" s="59">
        <f t="shared" si="23"/>
        <v>6880295</v>
      </c>
      <c r="U43" s="113" t="str">
        <f t="shared" si="19"/>
        <v>ok</v>
      </c>
      <c r="V43" s="58">
        <f>Plaquemines!I47</f>
        <v>6880295</v>
      </c>
      <c r="W43" s="60"/>
      <c r="X43" s="60"/>
      <c r="Y43" s="59">
        <f>Plaquemines!I50</f>
        <v>103510750</v>
      </c>
      <c r="Z43" s="59"/>
      <c r="AA43" s="59">
        <f>Plaquemines!I52</f>
        <v>-4329485</v>
      </c>
      <c r="AB43" s="59">
        <f t="shared" ref="AB43" si="29">SUM(Y43:AA43)</f>
        <v>99181265</v>
      </c>
      <c r="AC43" s="59">
        <f t="shared" si="6"/>
        <v>106061560</v>
      </c>
      <c r="AD43" s="113" t="str">
        <f t="shared" si="24"/>
        <v>ok</v>
      </c>
      <c r="AE43" s="58">
        <f>Plaquemines!I56</f>
        <v>106061560</v>
      </c>
    </row>
    <row r="44" spans="1:378" s="104" customFormat="1" ht="15.6">
      <c r="A44" s="108"/>
      <c r="B44" s="109" t="s">
        <v>778</v>
      </c>
      <c r="C44" s="110">
        <f>'Pointe Couppe'!G7</f>
        <v>792371</v>
      </c>
      <c r="D44" s="110"/>
      <c r="E44" s="110">
        <f>'Pointe Couppe'!G9</f>
        <v>690527</v>
      </c>
      <c r="F44" s="110">
        <f>'Pointe Couppe'!G16+'Pointe Couppe'!G17</f>
        <v>2106457</v>
      </c>
      <c r="G44" s="110">
        <f>'Pointe Couppe'!G10</f>
        <v>56040</v>
      </c>
      <c r="H44" s="110">
        <f>'Pointe Couppe'!G12+'Pointe Couppe'!G13+'Pointe Couppe'!G14</f>
        <v>-45548</v>
      </c>
      <c r="I44" s="110">
        <f t="shared" ref="I44" si="30">SUM(C44:H44)</f>
        <v>3599847</v>
      </c>
      <c r="J44" s="113" t="str">
        <f t="shared" si="26"/>
        <v>ok</v>
      </c>
      <c r="K44" s="111">
        <f>'Pointe Couppe'!G19</f>
        <v>3599847</v>
      </c>
      <c r="L44" s="110">
        <f>'Pointe Couppe'!G22</f>
        <v>319400</v>
      </c>
      <c r="M44" s="110"/>
      <c r="N44" s="110"/>
      <c r="O44" s="110"/>
      <c r="P44" s="110"/>
      <c r="Q44" s="110">
        <f>'Pointe Couppe'!G26</f>
        <v>93220</v>
      </c>
      <c r="R44" s="110">
        <f>'Pointe Couppe'!G27</f>
        <v>456941</v>
      </c>
      <c r="S44" s="110">
        <f>'Pointe Couppe'!G24</f>
        <v>780178</v>
      </c>
      <c r="T44" s="110">
        <f t="shared" ref="T44" si="31">SUM(L44:S44)</f>
        <v>1649739</v>
      </c>
      <c r="U44" s="113" t="str">
        <f t="shared" si="19"/>
        <v>ok</v>
      </c>
      <c r="V44" s="111">
        <f>'Pointe Couppe'!G29</f>
        <v>1649739</v>
      </c>
      <c r="W44" s="112"/>
      <c r="X44" s="112"/>
      <c r="Y44" s="110">
        <f>'Pointe Couppe'!G35</f>
        <v>1556296</v>
      </c>
      <c r="Z44" s="110">
        <f>'Pointe Couppe'!G38</f>
        <v>35563</v>
      </c>
      <c r="AA44" s="110">
        <f>'Pointe Couppe'!G40</f>
        <v>358249</v>
      </c>
      <c r="AB44" s="110">
        <f t="shared" ref="AB44" si="32">SUM(Y44:AA44)</f>
        <v>1950108</v>
      </c>
      <c r="AC44" s="110">
        <f t="shared" si="6"/>
        <v>3599847</v>
      </c>
      <c r="AD44" s="113" t="str">
        <f t="shared" si="24"/>
        <v>ok</v>
      </c>
      <c r="AE44" s="111">
        <f>'Pointe Couppe'!G44</f>
        <v>3599847</v>
      </c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</row>
    <row r="45" spans="1:378" ht="15.6">
      <c r="A45" s="56"/>
      <c r="B45" s="3" t="s">
        <v>779</v>
      </c>
      <c r="C45" s="59"/>
      <c r="D45" s="59"/>
      <c r="E45" s="59"/>
      <c r="F45" s="59"/>
      <c r="G45" s="59"/>
      <c r="H45" s="59"/>
      <c r="I45" s="59">
        <f t="shared" ref="I45:I48" si="33">SUM(C45:H45)</f>
        <v>0</v>
      </c>
      <c r="J45" s="113" t="str">
        <f t="shared" si="26"/>
        <v>ok</v>
      </c>
      <c r="K45" s="58"/>
      <c r="L45" s="59"/>
      <c r="M45" s="59"/>
      <c r="N45" s="59"/>
      <c r="O45" s="59"/>
      <c r="P45" s="59"/>
      <c r="Q45" s="59"/>
      <c r="R45" s="59"/>
      <c r="S45" s="59"/>
      <c r="T45" s="59">
        <f t="shared" ref="T45" si="34">SUM(L45:S45)</f>
        <v>0</v>
      </c>
      <c r="U45" s="113" t="str">
        <f t="shared" si="19"/>
        <v>ok</v>
      </c>
      <c r="V45" s="58"/>
      <c r="W45" s="60"/>
      <c r="X45" s="60"/>
      <c r="Y45" s="59"/>
      <c r="Z45" s="59"/>
      <c r="AA45" s="59"/>
      <c r="AB45" s="59">
        <f t="shared" ref="AB45:AB46" si="35">SUM(Y45:AA45)</f>
        <v>0</v>
      </c>
      <c r="AC45" s="59">
        <f t="shared" si="6"/>
        <v>0</v>
      </c>
      <c r="AD45" s="113" t="str">
        <f t="shared" si="24"/>
        <v>ok</v>
      </c>
      <c r="AE45" s="58"/>
    </row>
    <row r="46" spans="1:378" s="104" customFormat="1" ht="15.6">
      <c r="A46" s="108"/>
      <c r="B46" s="109" t="s">
        <v>780</v>
      </c>
      <c r="C46" s="110">
        <f>'Red River'!I7</f>
        <v>100126</v>
      </c>
      <c r="D46" s="110"/>
      <c r="E46" s="110">
        <f>'Red River'!I9</f>
        <v>3082</v>
      </c>
      <c r="F46" s="110">
        <f>'Red River'!I15</f>
        <v>262880</v>
      </c>
      <c r="G46" s="110"/>
      <c r="H46" s="110">
        <f>'Red River'!I10</f>
        <v>0</v>
      </c>
      <c r="I46" s="110">
        <f t="shared" si="33"/>
        <v>366088</v>
      </c>
      <c r="J46" s="113" t="str">
        <f t="shared" si="26"/>
        <v>ok</v>
      </c>
      <c r="K46" s="111">
        <f>'Red River'!I17</f>
        <v>366088</v>
      </c>
      <c r="L46" s="110">
        <f>'Red River'!I21</f>
        <v>1738</v>
      </c>
      <c r="M46" s="110"/>
      <c r="N46" s="110"/>
      <c r="O46" s="110"/>
      <c r="P46" s="110"/>
      <c r="Q46" s="110"/>
      <c r="R46" s="110"/>
      <c r="S46" s="110"/>
      <c r="T46" s="110">
        <f t="shared" ref="T46:T52" si="36">SUM(L46:S46)</f>
        <v>1738</v>
      </c>
      <c r="U46" s="113" t="str">
        <f t="shared" si="19"/>
        <v>ok</v>
      </c>
      <c r="V46" s="111">
        <f>'Red River'!I32</f>
        <v>1738</v>
      </c>
      <c r="W46" s="112"/>
      <c r="X46" s="112"/>
      <c r="Y46" s="110">
        <f>'Red River'!I37</f>
        <v>262880</v>
      </c>
      <c r="Z46" s="110"/>
      <c r="AA46" s="110">
        <f>'Red River'!I43</f>
        <v>101470</v>
      </c>
      <c r="AB46" s="110">
        <f t="shared" si="35"/>
        <v>364350</v>
      </c>
      <c r="AC46" s="110">
        <f t="shared" si="6"/>
        <v>366088</v>
      </c>
      <c r="AD46" s="113" t="str">
        <f t="shared" si="24"/>
        <v>ok</v>
      </c>
      <c r="AE46" s="111">
        <f>'Red River'!I47</f>
        <v>366088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</row>
    <row r="47" spans="1:378" ht="15.6">
      <c r="A47" s="56"/>
      <c r="B47" s="3" t="s">
        <v>781</v>
      </c>
      <c r="C47" s="59"/>
      <c r="D47" s="59"/>
      <c r="E47" s="59"/>
      <c r="F47" s="59"/>
      <c r="G47" s="59"/>
      <c r="H47" s="59"/>
      <c r="I47" s="59">
        <f t="shared" si="33"/>
        <v>0</v>
      </c>
      <c r="J47" s="113" t="str">
        <f t="shared" si="26"/>
        <v>ok</v>
      </c>
      <c r="K47" s="58"/>
      <c r="L47" s="59"/>
      <c r="M47" s="59"/>
      <c r="N47" s="59"/>
      <c r="O47" s="59"/>
      <c r="P47" s="59"/>
      <c r="Q47" s="59"/>
      <c r="R47" s="59"/>
      <c r="S47" s="59"/>
      <c r="T47" s="59">
        <f t="shared" si="36"/>
        <v>0</v>
      </c>
      <c r="U47" s="113" t="str">
        <f t="shared" si="19"/>
        <v>ok</v>
      </c>
      <c r="V47" s="58"/>
      <c r="W47" s="60"/>
      <c r="X47" s="60"/>
      <c r="Y47" s="59"/>
      <c r="Z47" s="59"/>
      <c r="AA47" s="59"/>
      <c r="AB47" s="59">
        <f t="shared" ref="AB47" si="37">SUM(Y47:AA47)</f>
        <v>0</v>
      </c>
      <c r="AC47" s="59">
        <f t="shared" si="6"/>
        <v>0</v>
      </c>
      <c r="AD47" s="113" t="str">
        <f t="shared" si="24"/>
        <v>ok</v>
      </c>
      <c r="AE47" s="58">
        <v>0</v>
      </c>
    </row>
    <row r="48" spans="1:378" s="104" customFormat="1" ht="15.6">
      <c r="A48" s="108"/>
      <c r="B48" s="109" t="s">
        <v>782</v>
      </c>
      <c r="C48" s="110"/>
      <c r="D48" s="110"/>
      <c r="E48" s="110"/>
      <c r="F48" s="110"/>
      <c r="G48" s="110"/>
      <c r="H48" s="110"/>
      <c r="I48" s="110">
        <f t="shared" si="33"/>
        <v>0</v>
      </c>
      <c r="J48" s="113" t="str">
        <f t="shared" si="26"/>
        <v>ok</v>
      </c>
      <c r="K48" s="111"/>
      <c r="L48" s="110"/>
      <c r="M48" s="110"/>
      <c r="N48" s="110"/>
      <c r="O48" s="110"/>
      <c r="P48" s="110"/>
      <c r="Q48" s="110"/>
      <c r="R48" s="110"/>
      <c r="S48" s="110"/>
      <c r="T48" s="110">
        <f t="shared" si="36"/>
        <v>0</v>
      </c>
      <c r="U48" s="113" t="str">
        <f t="shared" si="19"/>
        <v>ok</v>
      </c>
      <c r="V48" s="111"/>
      <c r="W48" s="112"/>
      <c r="X48" s="112"/>
      <c r="Y48" s="110"/>
      <c r="Z48" s="110"/>
      <c r="AA48" s="110"/>
      <c r="AB48" s="110">
        <f t="shared" ref="AB48" si="38">SUM(Y48:AA48)</f>
        <v>0</v>
      </c>
      <c r="AC48" s="110">
        <f t="shared" si="6"/>
        <v>0</v>
      </c>
      <c r="AD48" s="113" t="str">
        <f t="shared" si="24"/>
        <v>ok</v>
      </c>
      <c r="AE48" s="111">
        <v>0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</row>
    <row r="49" spans="1:378" ht="15.6">
      <c r="A49" s="56"/>
      <c r="B49" s="3" t="s">
        <v>783</v>
      </c>
      <c r="C49" s="59">
        <f>'St. Bernard'!G7+'St. Bernard'!G21</f>
        <v>12993517</v>
      </c>
      <c r="D49" s="59">
        <f>'St. Bernard'!G8+'St. Bernard'!G9</f>
        <v>0</v>
      </c>
      <c r="E49" s="59">
        <f>'St. Bernard'!G11+'St. Bernard'!G12+'St. Bernard'!G13+'St. Bernard'!G14+'St. Bernard'!G15+'St. Bernard'!G16</f>
        <v>972442</v>
      </c>
      <c r="F49" s="59">
        <f>'St. Bernard'!G24+'St. Bernard'!G25</f>
        <v>217482729</v>
      </c>
      <c r="G49" s="59"/>
      <c r="H49" s="59">
        <f>'St. Bernard'!G17+'St. Bernard'!G18+'St. Bernard'!G19+'St. Bernard'!G20+'St. Bernard'!G22</f>
        <v>4799683</v>
      </c>
      <c r="I49" s="59">
        <f>SUM(C49:H49)</f>
        <v>236248371</v>
      </c>
      <c r="J49" s="113" t="str">
        <f t="shared" si="26"/>
        <v>ok</v>
      </c>
      <c r="K49" s="58">
        <f>'St. Bernard'!G27</f>
        <v>236248371</v>
      </c>
      <c r="L49" s="59">
        <f>'St. Bernard'!G30+'St. Bernard'!G31+'St. Bernard'!G33+'St. Bernard'!G34+'St. Bernard'!G35</f>
        <v>2363049</v>
      </c>
      <c r="M49" s="59"/>
      <c r="N49" s="59"/>
      <c r="O49" s="59"/>
      <c r="P49" s="59"/>
      <c r="Q49" s="59">
        <f>'St. Bernard'!G39</f>
        <v>855624</v>
      </c>
      <c r="R49" s="59">
        <f>'St. Bernard'!G40</f>
        <v>3656282</v>
      </c>
      <c r="S49" s="59">
        <f>'St. Bernard'!G36</f>
        <v>84879</v>
      </c>
      <c r="T49" s="59">
        <f t="shared" si="36"/>
        <v>6959834</v>
      </c>
      <c r="U49" s="113" t="str">
        <f t="shared" si="19"/>
        <v>ok</v>
      </c>
      <c r="V49" s="58">
        <f>'St. Bernard'!G42</f>
        <v>6959834</v>
      </c>
      <c r="W49" s="60"/>
      <c r="X49" s="60"/>
      <c r="Y49" s="59">
        <f>'St. Bernard'!G45</f>
        <v>213189989</v>
      </c>
      <c r="Z49" s="59">
        <f>'St. Bernard'!G47+'St. Bernard'!G48+'St. Bernard'!G51</f>
        <v>7531203</v>
      </c>
      <c r="AA49" s="59">
        <f>'St. Bernard'!G52</f>
        <v>8567345</v>
      </c>
      <c r="AB49" s="59">
        <f>SUM(Y49:AA49)</f>
        <v>229288537</v>
      </c>
      <c r="AC49" s="59">
        <f t="shared" si="6"/>
        <v>236248371</v>
      </c>
      <c r="AD49" s="113" t="str">
        <f t="shared" si="24"/>
        <v>ok</v>
      </c>
      <c r="AE49" s="58">
        <f>'St. Bernard'!G56</f>
        <v>236248371</v>
      </c>
    </row>
    <row r="50" spans="1:378" s="104" customFormat="1" ht="15.6">
      <c r="A50" s="108"/>
      <c r="B50" s="109" t="s">
        <v>784</v>
      </c>
      <c r="C50" s="110">
        <f>'St. Charles'!I7+'St. Charles'!I16+'St. Charles'!I17</f>
        <v>6777057</v>
      </c>
      <c r="D50" s="110">
        <f>'St. Charles'!I8</f>
        <v>1483658</v>
      </c>
      <c r="E50" s="110">
        <f>'St. Charles'!I9</f>
        <v>3203924</v>
      </c>
      <c r="F50" s="110">
        <f>'St. Charles'!I19+'St. Charles'!I21+'St. Charles'!I22</f>
        <v>132965280</v>
      </c>
      <c r="G50" s="110">
        <f>'St. Charles'!I10</f>
        <v>485838</v>
      </c>
      <c r="H50" s="110">
        <f>'St. Charles'!I13+'St. Charles'!I14+'St. Charles'!I12</f>
        <v>468782</v>
      </c>
      <c r="I50" s="110">
        <f>SUM(C50:H50)</f>
        <v>145384539</v>
      </c>
      <c r="J50" s="113" t="str">
        <f t="shared" si="26"/>
        <v>ok</v>
      </c>
      <c r="K50" s="228">
        <f>'St. Charles'!I24</f>
        <v>145384539</v>
      </c>
      <c r="L50" s="228">
        <f>'St. Charles'!I28</f>
        <v>1213267</v>
      </c>
      <c r="Q50" s="228">
        <f>'St. Charles'!I36</f>
        <v>1616000</v>
      </c>
      <c r="R50" s="228">
        <f>'St. Charles'!I37</f>
        <v>28549219</v>
      </c>
      <c r="S50" s="228">
        <f>'St. Charles'!I29+'St. Charles'!I33+'St. Charles'!I34</f>
        <v>2400427</v>
      </c>
      <c r="T50" s="110">
        <f t="shared" si="36"/>
        <v>33778913</v>
      </c>
      <c r="U50" s="113" t="str">
        <f t="shared" si="19"/>
        <v>ok</v>
      </c>
      <c r="V50" s="228">
        <f>'St. Charles'!I41</f>
        <v>33778913</v>
      </c>
      <c r="Y50" s="228">
        <f>'St. Charles'!I48</f>
        <v>102800061</v>
      </c>
      <c r="Z50" s="228">
        <f>'St. Charles'!I51+'St. Charles'!I52</f>
        <v>9230980</v>
      </c>
      <c r="AA50" s="228">
        <f>'St. Charles'!I54</f>
        <v>-425415</v>
      </c>
      <c r="AB50" s="110">
        <f>SUM(Y50:AA50)</f>
        <v>111605626</v>
      </c>
      <c r="AC50" s="110">
        <f t="shared" si="6"/>
        <v>145384539</v>
      </c>
      <c r="AD50" s="113" t="str">
        <f t="shared" si="24"/>
        <v>ok</v>
      </c>
      <c r="AE50" s="111">
        <f>'St. Charles'!I58</f>
        <v>145384539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</row>
    <row r="51" spans="1:378" ht="15.6">
      <c r="A51" s="56"/>
      <c r="B51" s="3" t="s">
        <v>785</v>
      </c>
      <c r="I51" s="59"/>
      <c r="J51" s="113" t="str">
        <f t="shared" si="26"/>
        <v>ok</v>
      </c>
      <c r="K51" s="58"/>
      <c r="L51" s="59"/>
      <c r="M51" s="59"/>
      <c r="N51" s="59"/>
      <c r="O51" s="59"/>
      <c r="P51" s="59"/>
      <c r="Q51" s="59"/>
      <c r="R51" s="59"/>
      <c r="S51" s="59"/>
      <c r="T51" s="59">
        <f t="shared" si="36"/>
        <v>0</v>
      </c>
      <c r="U51" s="113" t="str">
        <f t="shared" si="19"/>
        <v>ok</v>
      </c>
      <c r="V51" s="58"/>
      <c r="W51" s="60"/>
      <c r="X51" s="60"/>
      <c r="Y51" s="59"/>
      <c r="Z51" s="59"/>
      <c r="AA51" s="59"/>
      <c r="AB51" s="59">
        <f>SUM(Y51:AA51)</f>
        <v>0</v>
      </c>
      <c r="AC51" s="59">
        <f t="shared" si="6"/>
        <v>0</v>
      </c>
      <c r="AD51" s="113" t="str">
        <f t="shared" si="24"/>
        <v>ok</v>
      </c>
      <c r="AE51" s="58">
        <v>0</v>
      </c>
    </row>
    <row r="52" spans="1:378" s="104" customFormat="1" ht="15.6">
      <c r="A52" s="108"/>
      <c r="B52" s="109" t="s">
        <v>786</v>
      </c>
      <c r="C52" s="110">
        <f>'St. James'!H7+'St. James'!H18</f>
        <v>7052297</v>
      </c>
      <c r="D52" s="110">
        <f>'St. James'!H8</f>
        <v>2003210</v>
      </c>
      <c r="E52" s="110">
        <f>'St. James'!H9</f>
        <v>1196672</v>
      </c>
      <c r="F52" s="110">
        <f>'St. James'!H21</f>
        <v>13136113</v>
      </c>
      <c r="G52" s="110"/>
      <c r="H52" s="110">
        <f>'St. James'!H14+'St. James'!H15+'St. James'!H16+'St. James'!H22</f>
        <v>284160</v>
      </c>
      <c r="I52" s="110">
        <f t="shared" ref="I52:I54" si="39">SUM(C52:H52)</f>
        <v>23672452</v>
      </c>
      <c r="J52" s="113" t="str">
        <f t="shared" si="26"/>
        <v>ok</v>
      </c>
      <c r="K52" s="111">
        <f>'St. James'!H24</f>
        <v>23672452</v>
      </c>
      <c r="L52" s="110">
        <f>'St. James'!H29+'St. James'!H32</f>
        <v>796503</v>
      </c>
      <c r="M52" s="110"/>
      <c r="N52" s="110"/>
      <c r="O52" s="110"/>
      <c r="P52" s="110"/>
      <c r="Q52" s="110">
        <f>'St. James'!H34</f>
        <v>57287</v>
      </c>
      <c r="R52" s="110">
        <f>'St. James'!H35</f>
        <v>433809</v>
      </c>
      <c r="S52" s="110">
        <f>'St. James'!H31</f>
        <v>141115</v>
      </c>
      <c r="T52" s="110">
        <f t="shared" si="36"/>
        <v>1428714</v>
      </c>
      <c r="U52" s="113" t="str">
        <f t="shared" si="19"/>
        <v>ok</v>
      </c>
      <c r="V52" s="111">
        <f>'St. James'!H37</f>
        <v>1428714</v>
      </c>
      <c r="W52" s="112"/>
      <c r="X52" s="112"/>
      <c r="Y52" s="110">
        <f>'St. James'!H40</f>
        <v>13136113</v>
      </c>
      <c r="Z52" s="110"/>
      <c r="AA52" s="110">
        <f>'St. James'!H51</f>
        <v>9107625</v>
      </c>
      <c r="AB52" s="110">
        <f t="shared" ref="AB52:AB54" si="40">SUM(Y52:AA52)</f>
        <v>22243738</v>
      </c>
      <c r="AC52" s="110">
        <f t="shared" si="6"/>
        <v>23672452</v>
      </c>
      <c r="AD52" s="113" t="str">
        <f t="shared" si="24"/>
        <v>ok</v>
      </c>
      <c r="AE52" s="111">
        <f>'St. James'!H55</f>
        <v>23672452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</row>
    <row r="53" spans="1:378" ht="15.6">
      <c r="A53" s="56"/>
      <c r="B53" s="3" t="s">
        <v>787</v>
      </c>
      <c r="C53" s="59">
        <f>'St. John the Baptist'!H7+'St. John the Baptist'!H8</f>
        <v>1640534</v>
      </c>
      <c r="D53" s="59"/>
      <c r="E53" s="59">
        <f>'St. John the Baptist'!H10</f>
        <v>2634157</v>
      </c>
      <c r="F53" s="59">
        <f>'St. John the Baptist'!H18+'St. John the Baptist'!H20</f>
        <v>127683188</v>
      </c>
      <c r="G53" s="59">
        <f>'St. John the Baptist'!H14</f>
        <v>300632</v>
      </c>
      <c r="H53" s="59">
        <f>'St. John the Baptist'!H15+'St. John the Baptist'!H16+'St. John the Baptist'!H17</f>
        <v>69390</v>
      </c>
      <c r="I53" s="59">
        <f t="shared" si="39"/>
        <v>132327901</v>
      </c>
      <c r="J53" s="113" t="str">
        <f t="shared" si="26"/>
        <v>ok</v>
      </c>
      <c r="K53" s="58">
        <f>'St. John the Baptist'!H22</f>
        <v>132327901</v>
      </c>
      <c r="L53" s="59">
        <f>'St. John the Baptist'!H25+'St. John the Baptist'!H30</f>
        <v>2579929</v>
      </c>
      <c r="M53" s="59"/>
      <c r="N53" s="59"/>
      <c r="O53" s="59"/>
      <c r="P53" s="59"/>
      <c r="Q53" s="59">
        <f>'St. John the Baptist'!H32</f>
        <v>279000</v>
      </c>
      <c r="R53" s="59">
        <f>'St. John the Baptist'!H33</f>
        <v>4575868</v>
      </c>
      <c r="S53" s="59">
        <f>'St. John the Baptist'!H26+'St. John the Baptist'!H28+'St. John the Baptist'!H29</f>
        <v>1404792</v>
      </c>
      <c r="T53" s="59">
        <f t="shared" ref="T53:T54" si="41">SUM(L53:S53)</f>
        <v>8839589</v>
      </c>
      <c r="U53" s="113" t="str">
        <f t="shared" si="19"/>
        <v>ok</v>
      </c>
      <c r="V53" s="58">
        <f>'St. John the Baptist'!H35</f>
        <v>8839589</v>
      </c>
      <c r="W53" s="60"/>
      <c r="X53" s="60"/>
      <c r="Y53" s="59">
        <f>'St. John the Baptist'!H38</f>
        <v>122828320</v>
      </c>
      <c r="Z53" s="59">
        <f>'St. John the Baptist'!H40+'St. John the Baptist'!H41+'St. John the Baptist'!H43</f>
        <v>536525</v>
      </c>
      <c r="AA53" s="59">
        <f>'St. John the Baptist'!H45</f>
        <v>123467</v>
      </c>
      <c r="AB53" s="59">
        <f t="shared" si="40"/>
        <v>123488312</v>
      </c>
      <c r="AC53" s="59">
        <f t="shared" si="6"/>
        <v>132327901</v>
      </c>
      <c r="AD53" s="113" t="str">
        <f t="shared" si="24"/>
        <v>ok</v>
      </c>
      <c r="AE53" s="58">
        <f>'St. John the Baptist'!H49</f>
        <v>132327901</v>
      </c>
    </row>
    <row r="54" spans="1:378" s="104" customFormat="1" ht="15.6">
      <c r="A54" s="108"/>
      <c r="B54" s="109" t="s">
        <v>788</v>
      </c>
      <c r="C54" s="110">
        <f>'St. Landry'!I7</f>
        <v>1423374</v>
      </c>
      <c r="D54" s="110"/>
      <c r="E54" s="110">
        <f>'St. Landry'!I8</f>
        <v>596201</v>
      </c>
      <c r="F54" s="110">
        <f>'St. Landry'!I20</f>
        <v>2747842</v>
      </c>
      <c r="G54" s="110"/>
      <c r="H54" s="110">
        <f>'St. Landry'!I13</f>
        <v>6389</v>
      </c>
      <c r="I54" s="110">
        <f t="shared" si="39"/>
        <v>4773806</v>
      </c>
      <c r="J54" s="113" t="str">
        <f t="shared" si="26"/>
        <v>ok</v>
      </c>
      <c r="K54" s="111">
        <f>'St. Landry'!I22</f>
        <v>4773806</v>
      </c>
      <c r="L54" s="110">
        <f>'St. Landry'!I27+'St. Landry'!I41</f>
        <v>158043</v>
      </c>
      <c r="M54" s="110">
        <f>'St. Landry'!I33</f>
        <v>8744</v>
      </c>
      <c r="N54" s="110">
        <f>'St. Landry'!I30</f>
        <v>85000</v>
      </c>
      <c r="O54" s="110">
        <f>'St. Landry'!I42</f>
        <v>1090000</v>
      </c>
      <c r="P54" s="110"/>
      <c r="Q54" s="110"/>
      <c r="R54" s="110"/>
      <c r="S54" s="110">
        <f>'St. Landry'!I28+'St. Landry'!I29+'St. Landry'!I36</f>
        <v>27150</v>
      </c>
      <c r="T54" s="110">
        <f t="shared" si="41"/>
        <v>1368937</v>
      </c>
      <c r="U54" s="113" t="str">
        <f t="shared" si="19"/>
        <v>ok</v>
      </c>
      <c r="V54" s="111">
        <f>'St. Landry'!I47</f>
        <v>1368937</v>
      </c>
      <c r="W54" s="112"/>
      <c r="X54" s="112"/>
      <c r="Y54" s="110">
        <f>'St. Landry'!I50</f>
        <v>1572842</v>
      </c>
      <c r="Z54" s="110"/>
      <c r="AA54" s="110">
        <f>'St. Landry'!I54</f>
        <v>1832027</v>
      </c>
      <c r="AB54" s="110">
        <f t="shared" si="40"/>
        <v>3404869</v>
      </c>
      <c r="AC54" s="110">
        <f t="shared" si="6"/>
        <v>4773806</v>
      </c>
      <c r="AD54" s="113" t="str">
        <f t="shared" si="24"/>
        <v>ok</v>
      </c>
      <c r="AE54" s="111">
        <f>'St. Landry'!I58</f>
        <v>4773806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</row>
    <row r="55" spans="1:378" ht="15.6">
      <c r="A55" s="56"/>
      <c r="B55" s="3" t="s">
        <v>789</v>
      </c>
      <c r="C55" s="59"/>
      <c r="D55" s="59"/>
      <c r="E55" s="59">
        <f>'St. Martin'!I7</f>
        <v>385862</v>
      </c>
      <c r="F55" s="59"/>
      <c r="G55" s="59"/>
      <c r="H55" s="59"/>
      <c r="I55" s="59">
        <f>SUM(C55:H55)</f>
        <v>385862</v>
      </c>
      <c r="J55" s="113" t="str">
        <f t="shared" si="26"/>
        <v>ok</v>
      </c>
      <c r="K55" s="58">
        <f>'St. Martin'!I14</f>
        <v>385862</v>
      </c>
      <c r="L55" s="59">
        <f>'St. Martin'!I17</f>
        <v>207713</v>
      </c>
      <c r="M55" s="59"/>
      <c r="N55" s="59"/>
      <c r="O55" s="59"/>
      <c r="P55" s="59"/>
      <c r="Q55" s="59"/>
      <c r="R55" s="59"/>
      <c r="S55" s="59">
        <f>'St. Martin'!I18+'St. Martin'!I22</f>
        <v>235269</v>
      </c>
      <c r="T55" s="59">
        <f t="shared" ref="T55:T69" si="42">SUM(L55:S55)</f>
        <v>442982</v>
      </c>
      <c r="U55" s="113" t="str">
        <f t="shared" si="19"/>
        <v>ok</v>
      </c>
      <c r="V55" s="58">
        <f>'St. Martin'!I31</f>
        <v>442982</v>
      </c>
      <c r="W55" s="60"/>
      <c r="X55" s="60"/>
      <c r="Y55" s="59"/>
      <c r="Z55" s="59">
        <f>'St. Martin'!I37</f>
        <v>30142</v>
      </c>
      <c r="AA55" s="59">
        <f>'St. Martin'!I38</f>
        <v>-87262</v>
      </c>
      <c r="AB55" s="59">
        <f t="shared" ref="AB55:AB67" si="43">SUM(Y55:AA55)</f>
        <v>-57120</v>
      </c>
      <c r="AC55" s="59">
        <f t="shared" si="6"/>
        <v>385862</v>
      </c>
      <c r="AD55" s="113" t="str">
        <f t="shared" si="24"/>
        <v>ok</v>
      </c>
      <c r="AE55" s="58">
        <f>'St. Martin'!I42</f>
        <v>385862</v>
      </c>
    </row>
    <row r="56" spans="1:378" s="120" customFormat="1" ht="15.6">
      <c r="A56" s="115"/>
      <c r="B56" s="116" t="s">
        <v>790</v>
      </c>
      <c r="C56" s="117">
        <f>'St. Mary'!I8+'St. Mary'!I19</f>
        <v>3903673</v>
      </c>
      <c r="D56" s="117">
        <f>'St. Mary'!I9+'St. Mary'!I20</f>
        <v>2831613</v>
      </c>
      <c r="E56" s="117">
        <f>'St. Mary'!I10</f>
        <v>569047</v>
      </c>
      <c r="F56" s="117">
        <f>'St. Mary'!I25+'St. Mary'!I26+'St. Mary'!I28+'St. Mary'!I30+'St. Mary'!I32</f>
        <v>21333941</v>
      </c>
      <c r="G56" s="117">
        <f>'St. Mary'!I11+'St. Mary'!I12</f>
        <v>103189</v>
      </c>
      <c r="H56" s="117">
        <f>'St. Mary'!I14</f>
        <v>6864574</v>
      </c>
      <c r="I56" s="117">
        <f t="shared" ref="I56:I57" si="44">SUM(C56:H56)</f>
        <v>35606037</v>
      </c>
      <c r="J56" s="113" t="str">
        <f t="shared" si="26"/>
        <v>ok</v>
      </c>
      <c r="K56" s="118">
        <f>'St. Mary'!I36</f>
        <v>35606037</v>
      </c>
      <c r="L56" s="117">
        <f>'St. Mary'!I45+'St. Mary'!I47</f>
        <v>610651</v>
      </c>
      <c r="M56" s="117"/>
      <c r="N56" s="117"/>
      <c r="O56" s="117"/>
      <c r="P56" s="117"/>
      <c r="Q56" s="117"/>
      <c r="R56" s="117"/>
      <c r="S56" s="117">
        <f>'St. Mary'!I52+'St. Mary'!I57+'St. Mary'!I59+'St. Mary'!I60</f>
        <v>17800580</v>
      </c>
      <c r="T56" s="117">
        <f t="shared" si="42"/>
        <v>18411231</v>
      </c>
      <c r="U56" s="113" t="str">
        <f t="shared" si="19"/>
        <v>ok</v>
      </c>
      <c r="V56" s="118">
        <f>'St. Mary'!I64</f>
        <v>18411231</v>
      </c>
      <c r="W56" s="119"/>
      <c r="X56" s="119"/>
      <c r="Y56" s="117"/>
      <c r="Z56" s="117"/>
      <c r="AA56" s="117"/>
      <c r="AB56" s="117">
        <f t="shared" si="43"/>
        <v>0</v>
      </c>
      <c r="AC56" s="110">
        <f t="shared" si="6"/>
        <v>18411231</v>
      </c>
      <c r="AD56" s="113" t="str">
        <f t="shared" si="24"/>
        <v>check</v>
      </c>
      <c r="AE56" s="118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</row>
    <row r="57" spans="1:378" ht="15.6">
      <c r="A57" s="56"/>
      <c r="B57" s="3" t="s">
        <v>791</v>
      </c>
      <c r="C57" s="59">
        <f>'St. Tammany'!I7</f>
        <v>1640973</v>
      </c>
      <c r="D57" s="59">
        <f>'St. Tammany'!I8</f>
        <v>10921541</v>
      </c>
      <c r="E57" s="59">
        <f>'St. Tammany'!I9</f>
        <v>896138</v>
      </c>
      <c r="F57" s="59">
        <f>'St. Tammany'!I16+'St. Tammany'!I17</f>
        <v>39074966</v>
      </c>
      <c r="G57" s="59"/>
      <c r="H57" s="59">
        <f>'St. Tammany'!I13+'St. Tammany'!I14</f>
        <v>4349034</v>
      </c>
      <c r="I57" s="59">
        <f t="shared" si="44"/>
        <v>56882652</v>
      </c>
      <c r="J57" s="113" t="str">
        <f t="shared" si="26"/>
        <v>ok</v>
      </c>
      <c r="K57" s="58">
        <f>'St. Tammany'!I19</f>
        <v>56882652</v>
      </c>
      <c r="L57" s="59">
        <f>'St. Tammany'!I27+'St. Tammany'!I32</f>
        <v>1651884</v>
      </c>
      <c r="M57" s="59"/>
      <c r="N57" s="59"/>
      <c r="O57" s="59"/>
      <c r="P57" s="59">
        <f>'St. Tammany'!I29</f>
        <v>0</v>
      </c>
      <c r="Q57" s="59">
        <f>'St. Tammany'!I34</f>
        <v>725000</v>
      </c>
      <c r="R57" s="59">
        <f>'St. Tammany'!I35</f>
        <v>40700586</v>
      </c>
      <c r="S57" s="59">
        <f>'St. Tammany'!I31</f>
        <v>1320805</v>
      </c>
      <c r="T57" s="59">
        <f t="shared" si="42"/>
        <v>44398275</v>
      </c>
      <c r="U57" s="113" t="str">
        <f t="shared" si="19"/>
        <v>ok</v>
      </c>
      <c r="V57" s="58">
        <f>'St. Tammany'!I37</f>
        <v>44398275</v>
      </c>
      <c r="W57" s="60"/>
      <c r="X57" s="60"/>
      <c r="Y57" s="59">
        <f>'St. Tammany'!I40</f>
        <v>-2350620</v>
      </c>
      <c r="Z57" s="59">
        <f>'St. Tammany'!I42+'St. Tammany'!I44</f>
        <v>4335875</v>
      </c>
      <c r="AA57" s="59">
        <f>'St. Tammany'!I52</f>
        <v>10499122</v>
      </c>
      <c r="AB57" s="59">
        <f t="shared" si="43"/>
        <v>12484377</v>
      </c>
      <c r="AC57" s="59">
        <f t="shared" si="6"/>
        <v>56882652</v>
      </c>
      <c r="AD57" s="113" t="str">
        <f t="shared" si="24"/>
        <v>ok</v>
      </c>
      <c r="AE57" s="58">
        <f>'St. Tammany'!I56</f>
        <v>56882652</v>
      </c>
    </row>
    <row r="58" spans="1:378" s="104" customFormat="1" ht="15.6">
      <c r="A58" s="108"/>
      <c r="B58" s="109" t="s">
        <v>792</v>
      </c>
      <c r="C58" s="110"/>
      <c r="D58" s="110"/>
      <c r="E58" s="110"/>
      <c r="F58" s="110"/>
      <c r="G58" s="110"/>
      <c r="H58" s="110"/>
      <c r="I58" s="110">
        <f>SUM(C58:H58)</f>
        <v>0</v>
      </c>
      <c r="J58" s="113" t="str">
        <f t="shared" si="26"/>
        <v>ok</v>
      </c>
      <c r="K58" s="111"/>
      <c r="L58" s="110"/>
      <c r="M58" s="110"/>
      <c r="N58" s="110"/>
      <c r="O58" s="110"/>
      <c r="P58" s="110"/>
      <c r="Q58" s="110"/>
      <c r="R58" s="110"/>
      <c r="S58" s="110"/>
      <c r="T58" s="110">
        <f t="shared" si="42"/>
        <v>0</v>
      </c>
      <c r="U58" s="113" t="str">
        <f t="shared" si="19"/>
        <v>ok</v>
      </c>
      <c r="V58" s="111"/>
      <c r="W58" s="112"/>
      <c r="X58" s="112"/>
      <c r="Y58" s="110"/>
      <c r="Z58" s="110"/>
      <c r="AA58" s="110"/>
      <c r="AB58" s="110">
        <f t="shared" si="43"/>
        <v>0</v>
      </c>
      <c r="AC58" s="110">
        <f t="shared" si="6"/>
        <v>0</v>
      </c>
      <c r="AD58" s="113" t="str">
        <f t="shared" si="24"/>
        <v>ok</v>
      </c>
      <c r="AE58" s="111">
        <v>0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</row>
    <row r="59" spans="1:378" ht="15.6">
      <c r="A59" s="56"/>
      <c r="B59" s="3" t="s">
        <v>793</v>
      </c>
      <c r="C59" s="59"/>
      <c r="D59" s="59"/>
      <c r="E59" s="59"/>
      <c r="F59" s="59"/>
      <c r="G59" s="59"/>
      <c r="H59" s="59"/>
      <c r="I59" s="59">
        <f t="shared" ref="I59" si="45">SUM(C59:H59)</f>
        <v>0</v>
      </c>
      <c r="J59" s="113" t="str">
        <f t="shared" si="26"/>
        <v>ok</v>
      </c>
      <c r="K59" s="58"/>
      <c r="L59" s="59"/>
      <c r="M59" s="59"/>
      <c r="N59" s="59"/>
      <c r="O59" s="59"/>
      <c r="P59" s="59"/>
      <c r="Q59" s="59"/>
      <c r="R59" s="59"/>
      <c r="S59" s="59"/>
      <c r="T59" s="59">
        <f t="shared" si="42"/>
        <v>0</v>
      </c>
      <c r="U59" s="113" t="str">
        <f t="shared" si="19"/>
        <v>ok</v>
      </c>
      <c r="V59" s="58"/>
      <c r="W59" s="60"/>
      <c r="X59" s="60"/>
      <c r="Y59" s="59"/>
      <c r="Z59" s="59"/>
      <c r="AA59" s="59"/>
      <c r="AB59" s="59">
        <f t="shared" si="43"/>
        <v>0</v>
      </c>
      <c r="AC59" s="59">
        <f t="shared" si="6"/>
        <v>0</v>
      </c>
      <c r="AD59" s="113" t="str">
        <f t="shared" si="24"/>
        <v>ok</v>
      </c>
      <c r="AE59" s="58">
        <v>0</v>
      </c>
    </row>
    <row r="60" spans="1:378" s="104" customFormat="1" ht="15.6">
      <c r="A60" s="108"/>
      <c r="B60" s="109" t="s">
        <v>794</v>
      </c>
      <c r="C60" s="110">
        <f>Terrebonne!I7+Terrebonne!I16</f>
        <v>30425241</v>
      </c>
      <c r="D60" s="110">
        <f>Terrebonne!I8</f>
        <v>21664299</v>
      </c>
      <c r="E60" s="110">
        <f>Terrebonne!I9</f>
        <v>7344315</v>
      </c>
      <c r="F60" s="110">
        <f>Terrebonne!I21+Terrebonne!I22</f>
        <v>152634668</v>
      </c>
      <c r="G60" s="110">
        <f>Terrebonne!I11+Terrebonne!I12</f>
        <v>10343680</v>
      </c>
      <c r="H60" s="110">
        <f>Terrebonne!I10+Terrebonne!I13+Terrebonne!I14+Terrebonne!I17+Terrebonne!I18+Terrebonne!I19</f>
        <v>3399729</v>
      </c>
      <c r="I60" s="110">
        <f t="shared" ref="I60:I61" si="46">SUM(C60:H60)</f>
        <v>225811932</v>
      </c>
      <c r="J60" s="113" t="str">
        <f t="shared" si="26"/>
        <v>ok</v>
      </c>
      <c r="K60" s="111">
        <f>Terrebonne!I24</f>
        <v>225811932</v>
      </c>
      <c r="L60" s="110">
        <f>Terrebonne!I29+Terrebonne!I35</f>
        <v>6520725</v>
      </c>
      <c r="M60" s="110"/>
      <c r="N60" s="110"/>
      <c r="O60" s="110"/>
      <c r="P60" s="110">
        <f>Terrebonne!I31</f>
        <v>174177</v>
      </c>
      <c r="Q60" s="110">
        <f>Terrebonne!I37</f>
        <v>1347278</v>
      </c>
      <c r="R60" s="110">
        <f>Terrebonne!I38</f>
        <v>16975400</v>
      </c>
      <c r="S60" s="110">
        <f>Terrebonne!I33</f>
        <v>10422956</v>
      </c>
      <c r="T60" s="110">
        <f t="shared" si="42"/>
        <v>35440536</v>
      </c>
      <c r="U60" s="113" t="str">
        <f t="shared" si="19"/>
        <v>ok</v>
      </c>
      <c r="V60" s="111">
        <f>Terrebonne!I40</f>
        <v>35440536</v>
      </c>
      <c r="W60" s="112"/>
      <c r="X60" s="112"/>
      <c r="Y60" s="110">
        <f>Terrebonne!I45</f>
        <v>138795447</v>
      </c>
      <c r="Z60" s="110">
        <f>Terrebonne!I55+Terrebonne!I56+Terrebonne!I57</f>
        <v>51793201</v>
      </c>
      <c r="AA60" s="110">
        <f>Terrebonne!I59</f>
        <v>-217252</v>
      </c>
      <c r="AB60" s="110">
        <f t="shared" si="43"/>
        <v>190371396</v>
      </c>
      <c r="AC60" s="110">
        <f t="shared" si="6"/>
        <v>225811932</v>
      </c>
      <c r="AD60" s="113" t="str">
        <f t="shared" si="24"/>
        <v>ok</v>
      </c>
      <c r="AE60" s="111">
        <f>Terrebonne!I63</f>
        <v>225811932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</row>
    <row r="61" spans="1:378" ht="15.6">
      <c r="A61" s="56"/>
      <c r="B61" s="3" t="s">
        <v>795</v>
      </c>
      <c r="C61" s="59"/>
      <c r="D61" s="59"/>
      <c r="E61" s="59"/>
      <c r="F61" s="59"/>
      <c r="G61" s="59"/>
      <c r="H61" s="59"/>
      <c r="I61" s="59">
        <f t="shared" si="46"/>
        <v>0</v>
      </c>
      <c r="J61" s="113" t="str">
        <f t="shared" si="26"/>
        <v>ok</v>
      </c>
      <c r="K61" s="58"/>
      <c r="L61" s="59"/>
      <c r="M61" s="59"/>
      <c r="N61" s="59"/>
      <c r="O61" s="59"/>
      <c r="P61" s="59"/>
      <c r="Q61" s="59"/>
      <c r="R61" s="59"/>
      <c r="S61" s="59"/>
      <c r="T61" s="59">
        <f t="shared" si="42"/>
        <v>0</v>
      </c>
      <c r="U61" s="113" t="str">
        <f t="shared" si="19"/>
        <v>ok</v>
      </c>
      <c r="V61" s="58"/>
      <c r="W61" s="60"/>
      <c r="X61" s="60"/>
      <c r="Y61" s="59"/>
      <c r="Z61" s="59"/>
      <c r="AA61" s="59"/>
      <c r="AB61" s="59">
        <v>0</v>
      </c>
      <c r="AC61" s="59">
        <f t="shared" si="6"/>
        <v>0</v>
      </c>
      <c r="AD61" s="113" t="str">
        <f t="shared" si="24"/>
        <v>ok</v>
      </c>
      <c r="AE61" s="58">
        <v>0</v>
      </c>
    </row>
    <row r="62" spans="1:378" s="120" customFormat="1" ht="15.6">
      <c r="A62" s="115"/>
      <c r="B62" s="116" t="s">
        <v>796</v>
      </c>
      <c r="C62" s="117"/>
      <c r="D62" s="117"/>
      <c r="E62" s="117"/>
      <c r="F62" s="117"/>
      <c r="G62" s="117"/>
      <c r="H62" s="117"/>
      <c r="I62" s="117">
        <f>SUM(C62:H62)</f>
        <v>0</v>
      </c>
      <c r="J62" s="113" t="str">
        <f t="shared" si="26"/>
        <v>ok</v>
      </c>
      <c r="K62" s="118"/>
      <c r="L62" s="117"/>
      <c r="M62" s="117"/>
      <c r="N62" s="117"/>
      <c r="O62" s="117"/>
      <c r="P62" s="117"/>
      <c r="Q62" s="117"/>
      <c r="R62" s="117"/>
      <c r="S62" s="117"/>
      <c r="T62" s="117">
        <f t="shared" si="42"/>
        <v>0</v>
      </c>
      <c r="U62" s="113" t="str">
        <f t="shared" si="19"/>
        <v>ok</v>
      </c>
      <c r="V62" s="118"/>
      <c r="W62" s="119"/>
      <c r="X62" s="119"/>
      <c r="Y62" s="117"/>
      <c r="Z62" s="117"/>
      <c r="AA62" s="117"/>
      <c r="AB62" s="117">
        <f t="shared" si="43"/>
        <v>0</v>
      </c>
      <c r="AC62" s="110">
        <f t="shared" si="6"/>
        <v>0</v>
      </c>
      <c r="AD62" s="113" t="str">
        <f t="shared" si="24"/>
        <v>ok</v>
      </c>
      <c r="AE62" s="118">
        <v>0</v>
      </c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</row>
    <row r="63" spans="1:378" ht="15.6">
      <c r="A63" s="56"/>
      <c r="B63" s="3" t="s">
        <v>797</v>
      </c>
      <c r="C63" s="59"/>
      <c r="D63" s="59"/>
      <c r="E63" s="59"/>
      <c r="F63" s="59"/>
      <c r="G63" s="59"/>
      <c r="H63" s="59"/>
      <c r="I63" s="59">
        <f t="shared" ref="I63:I65" si="47">SUM(C63:H63)</f>
        <v>0</v>
      </c>
      <c r="J63" s="113" t="str">
        <f t="shared" si="26"/>
        <v>ok</v>
      </c>
      <c r="K63" s="58"/>
      <c r="L63" s="59"/>
      <c r="M63" s="59"/>
      <c r="N63" s="59"/>
      <c r="O63" s="59"/>
      <c r="P63" s="59"/>
      <c r="Q63" s="59"/>
      <c r="R63" s="59"/>
      <c r="S63" s="59"/>
      <c r="T63" s="59">
        <f t="shared" si="42"/>
        <v>0</v>
      </c>
      <c r="U63" s="113" t="str">
        <f t="shared" si="19"/>
        <v>ok</v>
      </c>
      <c r="V63" s="58"/>
      <c r="W63" s="60"/>
      <c r="X63" s="60"/>
      <c r="Y63" s="59"/>
      <c r="Z63" s="59"/>
      <c r="AA63" s="59"/>
      <c r="AB63" s="59">
        <f t="shared" si="43"/>
        <v>0</v>
      </c>
      <c r="AC63" s="59">
        <f t="shared" si="6"/>
        <v>0</v>
      </c>
      <c r="AD63" s="113" t="str">
        <f t="shared" si="24"/>
        <v>ok</v>
      </c>
      <c r="AE63" s="58">
        <v>0</v>
      </c>
    </row>
    <row r="64" spans="1:378" s="104" customFormat="1" ht="15.6">
      <c r="A64" s="108"/>
      <c r="B64" s="109" t="s">
        <v>798</v>
      </c>
      <c r="C64" s="110">
        <f>Washington!I7</f>
        <v>150244</v>
      </c>
      <c r="D64" s="110"/>
      <c r="E64" s="110"/>
      <c r="F64" s="110"/>
      <c r="G64" s="110"/>
      <c r="H64" s="110">
        <f>Washington!I11</f>
        <v>46014</v>
      </c>
      <c r="I64" s="110">
        <f t="shared" si="47"/>
        <v>196258</v>
      </c>
      <c r="J64" s="113" t="str">
        <f t="shared" si="26"/>
        <v>ok</v>
      </c>
      <c r="K64" s="111">
        <f>Washington!I20</f>
        <v>196258</v>
      </c>
      <c r="L64" s="110"/>
      <c r="M64" s="110"/>
      <c r="N64" s="110"/>
      <c r="O64" s="110"/>
      <c r="P64" s="110"/>
      <c r="Q64" s="110"/>
      <c r="R64" s="110"/>
      <c r="S64" s="110"/>
      <c r="T64" s="110">
        <f t="shared" si="42"/>
        <v>0</v>
      </c>
      <c r="U64" s="113" t="str">
        <f t="shared" si="19"/>
        <v>ok</v>
      </c>
      <c r="V64" s="111">
        <f>Washington!I32</f>
        <v>0</v>
      </c>
      <c r="W64" s="112"/>
      <c r="X64" s="112"/>
      <c r="Y64" s="110"/>
      <c r="Z64" s="110"/>
      <c r="AA64" s="110">
        <f>Washington!I43</f>
        <v>196258</v>
      </c>
      <c r="AB64" s="110">
        <f t="shared" si="43"/>
        <v>196258</v>
      </c>
      <c r="AC64" s="110">
        <f t="shared" si="6"/>
        <v>196258</v>
      </c>
      <c r="AD64" s="113" t="str">
        <f t="shared" si="24"/>
        <v>ok</v>
      </c>
      <c r="AE64" s="111">
        <f>Washington!I47</f>
        <v>196258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</row>
    <row r="65" spans="1:378" ht="15.6">
      <c r="A65" s="56"/>
      <c r="B65" s="3" t="s">
        <v>799</v>
      </c>
      <c r="C65" s="59"/>
      <c r="D65" s="59"/>
      <c r="E65" s="59"/>
      <c r="F65" s="59"/>
      <c r="G65" s="59"/>
      <c r="H65" s="59"/>
      <c r="I65" s="59">
        <f t="shared" si="47"/>
        <v>0</v>
      </c>
      <c r="J65" s="113" t="str">
        <f t="shared" si="26"/>
        <v>ok</v>
      </c>
      <c r="K65" s="58"/>
      <c r="L65" s="59"/>
      <c r="M65" s="59"/>
      <c r="N65" s="59"/>
      <c r="O65" s="59"/>
      <c r="P65" s="59"/>
      <c r="Q65" s="59"/>
      <c r="R65" s="59"/>
      <c r="S65" s="59"/>
      <c r="T65" s="59">
        <f t="shared" si="42"/>
        <v>0</v>
      </c>
      <c r="U65" s="113" t="str">
        <f t="shared" si="19"/>
        <v>ok</v>
      </c>
      <c r="V65" s="58"/>
      <c r="W65" s="60"/>
      <c r="X65" s="60"/>
      <c r="Y65" s="59"/>
      <c r="Z65" s="59"/>
      <c r="AA65" s="59"/>
      <c r="AB65" s="59">
        <v>0</v>
      </c>
      <c r="AC65" s="59">
        <f t="shared" si="6"/>
        <v>0</v>
      </c>
      <c r="AD65" s="113" t="str">
        <f t="shared" si="24"/>
        <v>ok</v>
      </c>
      <c r="AE65" s="58">
        <v>0</v>
      </c>
    </row>
    <row r="66" spans="1:378" s="120" customFormat="1" ht="15.6">
      <c r="A66" s="115"/>
      <c r="B66" s="116" t="s">
        <v>800</v>
      </c>
      <c r="C66" s="117"/>
      <c r="D66" s="117"/>
      <c r="E66" s="117"/>
      <c r="F66" s="117"/>
      <c r="G66" s="117"/>
      <c r="H66" s="117"/>
      <c r="I66" s="117">
        <f>SUM(C66:H66)</f>
        <v>0</v>
      </c>
      <c r="J66" s="113" t="str">
        <f t="shared" si="26"/>
        <v>ok</v>
      </c>
      <c r="K66" s="118"/>
      <c r="L66" s="117"/>
      <c r="M66" s="117"/>
      <c r="N66" s="117"/>
      <c r="O66" s="117"/>
      <c r="P66" s="117"/>
      <c r="Q66" s="117"/>
      <c r="R66" s="117"/>
      <c r="S66" s="117"/>
      <c r="T66" s="117">
        <f t="shared" si="42"/>
        <v>0</v>
      </c>
      <c r="U66" s="113" t="str">
        <f t="shared" si="19"/>
        <v>ok</v>
      </c>
      <c r="V66" s="118"/>
      <c r="W66" s="119"/>
      <c r="X66" s="119"/>
      <c r="Y66" s="117"/>
      <c r="Z66" s="117"/>
      <c r="AA66" s="117"/>
      <c r="AB66" s="117">
        <f t="shared" si="43"/>
        <v>0</v>
      </c>
      <c r="AC66" s="110">
        <f t="shared" si="6"/>
        <v>0</v>
      </c>
      <c r="AD66" s="113" t="str">
        <f t="shared" si="24"/>
        <v>ok</v>
      </c>
      <c r="AE66" s="118">
        <v>0</v>
      </c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</row>
    <row r="67" spans="1:378" ht="15.6">
      <c r="A67" s="56"/>
      <c r="B67" s="3" t="s">
        <v>801</v>
      </c>
      <c r="C67" s="59"/>
      <c r="D67" s="59"/>
      <c r="E67" s="59"/>
      <c r="F67" s="59"/>
      <c r="G67" s="59"/>
      <c r="H67" s="59"/>
      <c r="I67" s="59">
        <f t="shared" ref="I67" si="48">SUM(C67:H67)</f>
        <v>0</v>
      </c>
      <c r="J67" s="113" t="str">
        <f t="shared" si="26"/>
        <v>ok</v>
      </c>
      <c r="K67" s="58"/>
      <c r="L67" s="59"/>
      <c r="M67" s="59"/>
      <c r="N67" s="59"/>
      <c r="O67" s="59"/>
      <c r="P67" s="59"/>
      <c r="Q67" s="59"/>
      <c r="R67" s="59"/>
      <c r="S67" s="59"/>
      <c r="T67" s="59">
        <f t="shared" si="42"/>
        <v>0</v>
      </c>
      <c r="U67" s="113" t="str">
        <f t="shared" si="19"/>
        <v>ok</v>
      </c>
      <c r="V67" s="58"/>
      <c r="W67" s="60"/>
      <c r="X67" s="60"/>
      <c r="Y67" s="59"/>
      <c r="Z67" s="59"/>
      <c r="AA67" s="59"/>
      <c r="AB67" s="59">
        <f t="shared" si="43"/>
        <v>0</v>
      </c>
      <c r="AC67" s="59">
        <f t="shared" si="6"/>
        <v>0</v>
      </c>
      <c r="AD67" s="113" t="str">
        <f t="shared" si="24"/>
        <v>ok</v>
      </c>
      <c r="AE67" s="58">
        <v>0</v>
      </c>
    </row>
    <row r="68" spans="1:378" s="120" customFormat="1" ht="15.6">
      <c r="A68" s="115"/>
      <c r="B68" s="116" t="s">
        <v>802</v>
      </c>
      <c r="C68" s="117">
        <f>'West Feliciana'!I7+'West Feliciana'!I16</f>
        <v>622647</v>
      </c>
      <c r="D68" s="117">
        <f>'West Feliciana'!I18+'West Feliciana'!I9</f>
        <v>493449</v>
      </c>
      <c r="E68" s="117">
        <f>'West Feliciana'!I12</f>
        <v>109887</v>
      </c>
      <c r="F68" s="117">
        <f>'West Feliciana'!I22</f>
        <v>9805673</v>
      </c>
      <c r="G68" s="117"/>
      <c r="H68" s="117">
        <f>'West Feliciana'!I14</f>
        <v>24487</v>
      </c>
      <c r="I68" s="117">
        <f>SUM(C68:H68)</f>
        <v>11056143</v>
      </c>
      <c r="J68" s="113" t="str">
        <f t="shared" si="26"/>
        <v>ok</v>
      </c>
      <c r="K68" s="118">
        <f>'West Feliciana'!I24</f>
        <v>11056143</v>
      </c>
      <c r="L68" s="117">
        <f>'West Feliciana'!I28</f>
        <v>18343</v>
      </c>
      <c r="M68" s="117"/>
      <c r="N68" s="117"/>
      <c r="O68" s="117"/>
      <c r="P68" s="117"/>
      <c r="Q68" s="117">
        <f>'West Feliciana'!I34</f>
        <v>101470</v>
      </c>
      <c r="R68" s="117">
        <f>'West Feliciana'!I35</f>
        <v>2977915</v>
      </c>
      <c r="S68" s="117">
        <f>'West Feliciana'!I32+'West Feliciana'!I31+'West Feliciana'!I30+'West Feliciana'!I29</f>
        <v>249622</v>
      </c>
      <c r="T68" s="117">
        <f t="shared" ref="T68" si="49">SUM(L68:S68)</f>
        <v>3347350</v>
      </c>
      <c r="U68" s="113" t="str">
        <f t="shared" ref="U68" si="50">IF(T68=V68, "ok", "check")</f>
        <v>ok</v>
      </c>
      <c r="V68" s="118">
        <f>'West Feliciana'!I37</f>
        <v>3347350</v>
      </c>
      <c r="W68" s="119"/>
      <c r="X68" s="119"/>
      <c r="Y68" s="117">
        <f>'West Feliciana'!I41</f>
        <v>6781838</v>
      </c>
      <c r="Z68" s="117">
        <f>'West Feliciana'!I43</f>
        <v>368822</v>
      </c>
      <c r="AA68" s="117">
        <f>'West Feliciana'!I49</f>
        <v>558133</v>
      </c>
      <c r="AB68" s="117">
        <f t="shared" ref="AB68" si="51">SUM(Y68:AA68)</f>
        <v>7708793</v>
      </c>
      <c r="AC68" s="110">
        <f t="shared" si="6"/>
        <v>11056143</v>
      </c>
      <c r="AD68" s="113" t="str">
        <f t="shared" ref="AD68" si="52">IF(AC68=AE68, "ok", "check")</f>
        <v>ok</v>
      </c>
      <c r="AE68" s="118">
        <f>'West Feliciana'!I53</f>
        <v>11056143</v>
      </c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</row>
    <row r="69" spans="1:378" ht="15.6">
      <c r="A69" s="56"/>
      <c r="B69" s="3" t="s">
        <v>803</v>
      </c>
      <c r="C69" s="59"/>
      <c r="D69" s="59">
        <v>0</v>
      </c>
      <c r="E69" s="59">
        <v>0</v>
      </c>
      <c r="F69" s="59">
        <v>0</v>
      </c>
      <c r="G69" s="59"/>
      <c r="H69" s="59">
        <v>0</v>
      </c>
      <c r="I69" s="59">
        <f>SUM(C69:H69)</f>
        <v>0</v>
      </c>
      <c r="J69" s="113" t="str">
        <f t="shared" si="26"/>
        <v>ok</v>
      </c>
      <c r="K69" s="58">
        <v>0</v>
      </c>
      <c r="L69" s="59"/>
      <c r="M69" s="59"/>
      <c r="N69" s="59"/>
      <c r="O69" s="59"/>
      <c r="P69" s="59"/>
      <c r="Q69" s="59"/>
      <c r="R69" s="59"/>
      <c r="S69" s="59"/>
      <c r="T69" s="59">
        <f t="shared" si="42"/>
        <v>0</v>
      </c>
      <c r="U69" s="113" t="str">
        <f>IF(T69=V69, "ok", "check")</f>
        <v>ok</v>
      </c>
      <c r="V69" s="58">
        <v>0</v>
      </c>
      <c r="W69" s="60"/>
      <c r="X69" s="60"/>
      <c r="Y69" s="59">
        <v>0</v>
      </c>
      <c r="Z69" s="59">
        <v>0</v>
      </c>
      <c r="AA69" s="59">
        <v>0</v>
      </c>
      <c r="AB69" s="59">
        <v>0</v>
      </c>
      <c r="AC69" s="59">
        <f t="shared" si="6"/>
        <v>0</v>
      </c>
      <c r="AD69" s="113" t="str">
        <f>IF(AC69=AE69, "ok", "check")</f>
        <v>ok</v>
      </c>
      <c r="AE69" s="58">
        <v>0</v>
      </c>
    </row>
    <row r="70" spans="1:378" ht="15.6">
      <c r="A70" s="56"/>
      <c r="J70"/>
      <c r="AF70" s="61"/>
    </row>
    <row r="71" spans="1:378" s="3" customFormat="1" ht="15.6">
      <c r="A71" s="62"/>
      <c r="B71" s="63" t="s">
        <v>804</v>
      </c>
      <c r="C71" s="64">
        <f t="shared" ref="C71:H71" si="53">SUM(C8:C8)</f>
        <v>3686409</v>
      </c>
      <c r="D71" s="64">
        <f t="shared" si="53"/>
        <v>4127466</v>
      </c>
      <c r="E71" s="64">
        <f t="shared" si="53"/>
        <v>211156</v>
      </c>
      <c r="F71" s="64">
        <f t="shared" si="53"/>
        <v>10893288</v>
      </c>
      <c r="G71" s="64">
        <f t="shared" si="53"/>
        <v>104475</v>
      </c>
      <c r="H71" s="64">
        <f t="shared" si="53"/>
        <v>58887</v>
      </c>
      <c r="I71" s="74">
        <f>SUM(I6:I69)</f>
        <v>4591777797</v>
      </c>
      <c r="J71" s="75" t="str">
        <f t="shared" ref="J71" si="54">IF(I71=K71, "ok", "check")</f>
        <v>ok</v>
      </c>
      <c r="K71" s="66">
        <f>SUM(K6:K70)</f>
        <v>4591777797</v>
      </c>
      <c r="L71" s="66">
        <f t="shared" ref="L71:S71" si="55">SUM(L8:L8)</f>
        <v>565558</v>
      </c>
      <c r="M71" s="67">
        <f t="shared" si="55"/>
        <v>0</v>
      </c>
      <c r="N71" s="66">
        <f t="shared" si="55"/>
        <v>0</v>
      </c>
      <c r="O71" s="66">
        <f t="shared" si="55"/>
        <v>0</v>
      </c>
      <c r="P71" s="66">
        <f t="shared" si="55"/>
        <v>0</v>
      </c>
      <c r="Q71" s="66">
        <f t="shared" si="55"/>
        <v>0</v>
      </c>
      <c r="R71" s="66">
        <f t="shared" si="55"/>
        <v>0</v>
      </c>
      <c r="S71" s="66">
        <f t="shared" si="55"/>
        <v>64684</v>
      </c>
      <c r="T71" s="66">
        <f>SUM(T6:T69)</f>
        <v>2419646313</v>
      </c>
      <c r="U71" s="65" t="str">
        <f>IF(T71=V71, "ok", "check")</f>
        <v>check</v>
      </c>
      <c r="V71" s="66">
        <f>SUM(V6:V69)</f>
        <v>2421785058</v>
      </c>
      <c r="W71" s="66" t="e">
        <f>SUM(#REF!)</f>
        <v>#REF!</v>
      </c>
      <c r="X71" s="66"/>
      <c r="Y71" s="66">
        <f>SUM(Y8:Y70)</f>
        <v>1876665646</v>
      </c>
      <c r="Z71" s="66">
        <f>SUM(Z8:Z70)</f>
        <v>383394032</v>
      </c>
      <c r="AA71" s="66">
        <f>SUM(AA8:AA70)</f>
        <v>242370235</v>
      </c>
      <c r="AB71" s="66">
        <f>SUM(AB8:AB70)</f>
        <v>2502429913</v>
      </c>
      <c r="AC71" s="66">
        <f>SUM(AC6:AC70)</f>
        <v>4922094996</v>
      </c>
      <c r="AD71" s="65" t="str">
        <f>IF(AC71=AE71, "ok", "check")</f>
        <v>check</v>
      </c>
      <c r="AE71" s="66">
        <f>SUM(AE6:AE69)</f>
        <v>4966957242</v>
      </c>
    </row>
    <row r="72" spans="1:378">
      <c r="J72"/>
    </row>
    <row r="73" spans="1:378">
      <c r="J73"/>
    </row>
    <row r="74" spans="1:378">
      <c r="J74"/>
    </row>
    <row r="75" spans="1:378">
      <c r="J75"/>
    </row>
    <row r="76" spans="1:378">
      <c r="J76"/>
    </row>
    <row r="77" spans="1:378">
      <c r="J77"/>
    </row>
    <row r="78" spans="1:378">
      <c r="J78"/>
    </row>
    <row r="79" spans="1:378">
      <c r="J79"/>
    </row>
    <row r="80" spans="1:378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 ht="15"/>
    <row r="315" spans="10:10" ht="15"/>
  </sheetData>
  <mergeCells count="2">
    <mergeCell ref="A3:B3"/>
    <mergeCell ref="A4:B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F70"/>
  <sheetViews>
    <sheetView topLeftCell="A21" workbookViewId="0">
      <selection activeCell="D69" sqref="D69"/>
    </sheetView>
  </sheetViews>
  <sheetFormatPr defaultColWidth="9.140625" defaultRowHeight="14.45"/>
  <cols>
    <col min="1" max="1" width="12.140625" customWidth="1"/>
    <col min="2" max="2" width="19.140625" customWidth="1"/>
    <col min="3" max="3" width="14" customWidth="1"/>
    <col min="4" max="4" width="24.42578125" bestFit="1" customWidth="1"/>
    <col min="5" max="5" width="17.28515625" customWidth="1"/>
    <col min="6" max="6" width="20.28515625" customWidth="1"/>
    <col min="7" max="7" width="11.7109375" customWidth="1"/>
    <col min="8" max="8" width="14.85546875" customWidth="1"/>
    <col min="9" max="9" width="17.85546875" customWidth="1"/>
    <col min="10" max="10" width="32.7109375" customWidth="1"/>
    <col min="11" max="11" width="23.28515625" customWidth="1"/>
    <col min="12" max="12" width="11.7109375" customWidth="1"/>
    <col min="13" max="13" width="17.28515625" customWidth="1"/>
    <col min="14" max="14" width="45.140625" customWidth="1"/>
    <col min="15" max="15" width="24.7109375" customWidth="1"/>
    <col min="16" max="16" width="39.140625" customWidth="1"/>
    <col min="17" max="17" width="11.7109375" style="247" customWidth="1"/>
    <col min="18" max="18" width="25" style="54" customWidth="1"/>
    <col min="19" max="318" width="9.140625" style="159"/>
  </cols>
  <sheetData>
    <row r="1" spans="1:318" ht="15.95" thickBot="1">
      <c r="A1" s="245" t="s">
        <v>715</v>
      </c>
      <c r="B1" s="245"/>
      <c r="C1" s="125"/>
      <c r="D1" s="125"/>
      <c r="E1" s="125"/>
      <c r="F1" s="125"/>
      <c r="I1" s="125"/>
      <c r="J1" s="125"/>
      <c r="K1" s="125"/>
      <c r="N1" s="125"/>
      <c r="O1" s="125"/>
      <c r="P1" s="246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</row>
    <row r="2" spans="1:318" ht="17.45" thickBot="1">
      <c r="B2" s="20"/>
      <c r="C2" s="248" t="s">
        <v>716</v>
      </c>
      <c r="D2" s="250"/>
      <c r="G2" s="249"/>
      <c r="H2" s="19"/>
      <c r="I2" s="250" t="s">
        <v>717</v>
      </c>
      <c r="L2" s="249"/>
      <c r="M2" s="19"/>
      <c r="N2" s="251" t="s">
        <v>719</v>
      </c>
      <c r="Q2" s="252"/>
      <c r="R2" s="19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</row>
    <row r="3" spans="1:318" ht="15.95" thickBot="1">
      <c r="A3" s="282" t="s">
        <v>720</v>
      </c>
      <c r="B3" s="283"/>
      <c r="C3" s="253" t="s">
        <v>74</v>
      </c>
      <c r="D3" s="253" t="s">
        <v>807</v>
      </c>
      <c r="E3" s="254" t="s">
        <v>355</v>
      </c>
      <c r="F3" s="255" t="s">
        <v>723</v>
      </c>
      <c r="G3" s="256" t="s">
        <v>724</v>
      </c>
      <c r="H3" s="257" t="s">
        <v>724</v>
      </c>
      <c r="I3" s="253" t="s">
        <v>593</v>
      </c>
      <c r="J3" s="254" t="s">
        <v>808</v>
      </c>
      <c r="K3" s="255" t="s">
        <v>733</v>
      </c>
      <c r="L3" s="256" t="s">
        <v>724</v>
      </c>
      <c r="M3" s="257" t="s">
        <v>724</v>
      </c>
      <c r="N3" s="254"/>
      <c r="O3" s="258" t="s">
        <v>736</v>
      </c>
      <c r="P3" s="259" t="s">
        <v>737</v>
      </c>
      <c r="Q3" s="256" t="s">
        <v>724</v>
      </c>
      <c r="R3" s="257" t="s">
        <v>724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</row>
    <row r="4" spans="1:318" ht="15.6">
      <c r="A4" s="260"/>
      <c r="B4" s="57" t="s">
        <v>739</v>
      </c>
      <c r="G4" s="247"/>
      <c r="H4" s="54"/>
      <c r="L4" s="247"/>
      <c r="M4" s="5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</row>
    <row r="5" spans="1:318" ht="15.6">
      <c r="A5" s="261"/>
      <c r="B5" s="5" t="s">
        <v>741</v>
      </c>
      <c r="C5" s="59">
        <f>Acadia!H6+Acadia!H7+Acadia!H8+Acadia!H9+Acadia!H10+Acadia!H11+Acadia!H12</f>
        <v>23502148</v>
      </c>
      <c r="D5" s="59">
        <f>C5</f>
        <v>23502148</v>
      </c>
      <c r="E5" s="59">
        <f>Acadia!H14+Acadia!H15</f>
        <v>52992711</v>
      </c>
      <c r="F5" s="59">
        <f>C5+E5</f>
        <v>76494859</v>
      </c>
      <c r="G5" s="262" t="str">
        <f t="shared" ref="G5:G68" si="0">IF(F5=H5, "ok", "check")</f>
        <v>ok</v>
      </c>
      <c r="H5" s="58">
        <f>Acadia!H17</f>
        <v>76494859</v>
      </c>
      <c r="I5" s="59">
        <f>Acadia!H25+Acadia!H26+Acadia!H27+Acadia!H28+Acadia!H29+Acadia!H34+Acadia!H33</f>
        <v>3330201</v>
      </c>
      <c r="J5" s="59">
        <f>Acadia!H36+Acadia!H37+Acadia!H39</f>
        <v>18579463</v>
      </c>
      <c r="K5" s="59">
        <f t="shared" ref="K5:K68" si="1">SUM(I5:J5)</f>
        <v>21909664</v>
      </c>
      <c r="L5" s="262" t="str">
        <f t="shared" ref="L5:L68" si="2">IF(K5=M5, "ok", "check")</f>
        <v>ok</v>
      </c>
      <c r="M5" s="58">
        <f>Acadia!H42</f>
        <v>21909664</v>
      </c>
      <c r="N5" s="59">
        <f>Acadia!H49+Acadia!H51+Acadia!H52+Acadia!H53+Acadia!H54</f>
        <v>54591829</v>
      </c>
      <c r="O5" s="59">
        <f>SUM(N5)</f>
        <v>54591829</v>
      </c>
      <c r="P5" s="59">
        <f t="shared" ref="P5:P68" si="3">SUM(O5,K5)</f>
        <v>76501493</v>
      </c>
      <c r="Q5" s="262" t="str">
        <f t="shared" ref="Q5:Q70" si="4">IF(P5=R5, "ok", "check")</f>
        <v>ok</v>
      </c>
      <c r="R5" s="58">
        <f>Acadia!H58</f>
        <v>76501493</v>
      </c>
      <c r="S5" s="223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</row>
    <row r="6" spans="1:318" ht="15.6">
      <c r="A6" s="260"/>
      <c r="B6" s="5" t="s">
        <v>742</v>
      </c>
      <c r="C6" s="59">
        <f>Allen!G6+Allen!G7+Allen!G8</f>
        <v>21656930</v>
      </c>
      <c r="D6" s="59">
        <f>C6</f>
        <v>21656930</v>
      </c>
      <c r="E6" s="59">
        <f>Allen!G10+Allen!G11</f>
        <v>10737729</v>
      </c>
      <c r="F6" s="59">
        <f t="shared" ref="F6:F68" si="5">C6+E6</f>
        <v>32394659</v>
      </c>
      <c r="G6" s="262" t="str">
        <f t="shared" si="0"/>
        <v>ok</v>
      </c>
      <c r="H6" s="58">
        <f>Allen!G13</f>
        <v>32394659</v>
      </c>
      <c r="I6" s="59">
        <f>Allen!G16+Allen!G17+Allen!G18+Allen!G19+Allen!G21</f>
        <v>765756</v>
      </c>
      <c r="J6" s="59">
        <f>Allen!G23+Allen!G24</f>
        <v>1297691</v>
      </c>
      <c r="K6" s="59">
        <f t="shared" si="1"/>
        <v>2063447</v>
      </c>
      <c r="L6" s="262" t="str">
        <f t="shared" si="2"/>
        <v>ok</v>
      </c>
      <c r="M6" s="58">
        <f>Allen!G26</f>
        <v>2063447</v>
      </c>
      <c r="N6" s="59">
        <f>Allen!G29+Allen!G31+Allen!G32+Allen!G33+Allen!G34+Allen!G35+Allen!G36+Allen!G37+Allen!G38+Allen!G39+Allen!G40+Allen!G41</f>
        <v>47805720</v>
      </c>
      <c r="O6" s="59">
        <f t="shared" ref="O6:O68" si="6">SUM(N6)</f>
        <v>47805720</v>
      </c>
      <c r="P6" s="59">
        <f t="shared" si="3"/>
        <v>49869167</v>
      </c>
      <c r="Q6" s="262" t="str">
        <f t="shared" si="4"/>
        <v>ok</v>
      </c>
      <c r="R6" s="58">
        <f>Allen!G45</f>
        <v>49869167</v>
      </c>
      <c r="S6" s="223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</row>
    <row r="7" spans="1:318" ht="15.6">
      <c r="A7" s="260"/>
      <c r="B7" s="5" t="s">
        <v>743</v>
      </c>
      <c r="C7" s="59">
        <f>Ascension!K8+Ascension!K9+Ascension!K10+Ascension!K11+Ascension!K13+Ascension!K14</f>
        <v>182029720</v>
      </c>
      <c r="D7" s="59">
        <f>C7-Ascension!K14</f>
        <v>182007573</v>
      </c>
      <c r="E7" s="59">
        <f>Ascension!K15+Ascension!K16+Ascension!K18+Ascension!K19</f>
        <v>220591435</v>
      </c>
      <c r="F7" s="59">
        <f t="shared" si="5"/>
        <v>402621155</v>
      </c>
      <c r="G7" s="262" t="str">
        <f t="shared" si="0"/>
        <v>ok</v>
      </c>
      <c r="H7" s="58">
        <f>Ascension!K21</f>
        <v>402621155</v>
      </c>
      <c r="I7" s="59">
        <f>Ascension!K29+Ascension!K30+Ascension!K31+Ascension!K32+Ascension!K33+Ascension!K34+Ascension!K36+Ascension!K39</f>
        <v>17714951</v>
      </c>
      <c r="J7" s="59">
        <f>Ascension!K37+Ascension!K40</f>
        <v>81279985</v>
      </c>
      <c r="K7" s="59">
        <f t="shared" si="1"/>
        <v>98994936</v>
      </c>
      <c r="L7" s="262" t="str">
        <f t="shared" si="2"/>
        <v>ok</v>
      </c>
      <c r="M7" s="58">
        <f>Ascension!K42</f>
        <v>98994936</v>
      </c>
      <c r="N7" s="59">
        <f>Ascension!K51+Ascension!K53+Ascension!K54+Ascension!K55+Ascension!K57</f>
        <v>303271997</v>
      </c>
      <c r="O7" s="59">
        <f t="shared" si="6"/>
        <v>303271997</v>
      </c>
      <c r="P7" s="59">
        <f t="shared" si="3"/>
        <v>402266933</v>
      </c>
      <c r="Q7" s="262" t="str">
        <f t="shared" si="4"/>
        <v>ok</v>
      </c>
      <c r="R7" s="58">
        <f>Ascension!K61-Ascension!K48</f>
        <v>402266933</v>
      </c>
      <c r="S7" s="22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</row>
    <row r="8" spans="1:318" ht="15.6">
      <c r="A8" s="260"/>
      <c r="B8" s="5" t="s">
        <v>744</v>
      </c>
      <c r="C8" s="59">
        <f>Assumption!H7+Assumption!H8+Assumption!H9</f>
        <v>26717718</v>
      </c>
      <c r="D8" s="59">
        <f>C8</f>
        <v>26717718</v>
      </c>
      <c r="E8" s="59">
        <f>Assumption!H12</f>
        <v>42293964</v>
      </c>
      <c r="F8" s="59">
        <f t="shared" si="5"/>
        <v>69011682</v>
      </c>
      <c r="G8" s="262" t="str">
        <f t="shared" si="0"/>
        <v>ok</v>
      </c>
      <c r="H8" s="58">
        <f>Assumption!H14</f>
        <v>69011682</v>
      </c>
      <c r="I8" s="59">
        <f>Assumption!H18+Assumption!H19+Assumption!H20+Assumption!H21+Assumption!H22</f>
        <v>2138745</v>
      </c>
      <c r="J8" s="59">
        <f>0</f>
        <v>0</v>
      </c>
      <c r="K8" s="59">
        <f>SUM(I8:J8)</f>
        <v>2138745</v>
      </c>
      <c r="L8" s="262" t="str">
        <f t="shared" si="2"/>
        <v>ok</v>
      </c>
      <c r="M8" s="58">
        <f>Assumption!H27</f>
        <v>2138745</v>
      </c>
      <c r="N8" s="59">
        <f>Assumption!H30+Assumption!H32</f>
        <v>66876937</v>
      </c>
      <c r="O8" s="59">
        <f t="shared" si="6"/>
        <v>66876937</v>
      </c>
      <c r="P8" s="59">
        <f t="shared" si="3"/>
        <v>69015682</v>
      </c>
      <c r="Q8" s="262" t="str">
        <f t="shared" si="4"/>
        <v>ok</v>
      </c>
      <c r="R8" s="58">
        <f>Assumption!H36</f>
        <v>69015682</v>
      </c>
      <c r="S8" s="223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</row>
    <row r="9" spans="1:318" ht="15.6">
      <c r="A9" s="260"/>
      <c r="B9" s="5" t="s">
        <v>745</v>
      </c>
      <c r="C9" s="59">
        <f>Avoyelles!H7+Avoyelles!H8+Avoyelles!H9+Avoyelles!H10</f>
        <v>12280906</v>
      </c>
      <c r="D9" s="59">
        <f>C9</f>
        <v>12280906</v>
      </c>
      <c r="E9" s="59">
        <f>Avoyelles!H15+Avoyelles!H16</f>
        <v>5189860</v>
      </c>
      <c r="F9" s="59">
        <f t="shared" si="5"/>
        <v>17470766</v>
      </c>
      <c r="G9" s="262" t="str">
        <f t="shared" si="0"/>
        <v>ok</v>
      </c>
      <c r="H9" s="58">
        <f>Avoyelles!H20</f>
        <v>17470766</v>
      </c>
      <c r="I9" s="59">
        <f>Avoyelles!H24+Avoyelles!H25</f>
        <v>748662</v>
      </c>
      <c r="J9" s="59">
        <f>Avoyelles!H30</f>
        <v>99940</v>
      </c>
      <c r="K9" s="59">
        <f t="shared" si="1"/>
        <v>848602</v>
      </c>
      <c r="L9" s="262" t="str">
        <f t="shared" si="2"/>
        <v>ok</v>
      </c>
      <c r="M9" s="58">
        <f>Avoyelles!H32</f>
        <v>848602</v>
      </c>
      <c r="N9" s="59">
        <f>Avoyelles!H35+Avoyelles!H36</f>
        <v>16622164</v>
      </c>
      <c r="O9" s="59">
        <f t="shared" si="6"/>
        <v>16622164</v>
      </c>
      <c r="P9" s="59">
        <f t="shared" si="3"/>
        <v>17470766</v>
      </c>
      <c r="Q9" s="262" t="str">
        <f t="shared" si="4"/>
        <v>ok</v>
      </c>
      <c r="R9" s="58">
        <f>Avoyelles!H40</f>
        <v>17470766</v>
      </c>
      <c r="S9" s="223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</row>
    <row r="10" spans="1:318" ht="15.6">
      <c r="A10" s="260"/>
      <c r="B10" s="5" t="s">
        <v>746</v>
      </c>
      <c r="C10" s="59">
        <f>Beauregard!G6+Beauregard!G7+Beauregard!G8</f>
        <v>24724427</v>
      </c>
      <c r="D10" s="59">
        <f>C10-Beauregard!G8</f>
        <v>24519917</v>
      </c>
      <c r="E10" s="59">
        <f>Beauregard!G10+Beauregard!G12+Beauregard!G11+Beauregard!G13+Beauregard!G14</f>
        <v>31536926</v>
      </c>
      <c r="F10" s="59">
        <f t="shared" si="5"/>
        <v>56261353</v>
      </c>
      <c r="G10" s="262" t="str">
        <f t="shared" si="0"/>
        <v>ok</v>
      </c>
      <c r="H10" s="58">
        <f>Beauregard!G16</f>
        <v>56261353</v>
      </c>
      <c r="I10" s="59">
        <f>Beauregard!G19+Beauregard!G20+Beauregard!G22</f>
        <v>1607301</v>
      </c>
      <c r="J10" s="59">
        <f>Beauregard!G23</f>
        <v>4845000</v>
      </c>
      <c r="K10" s="59">
        <f t="shared" si="1"/>
        <v>6452301</v>
      </c>
      <c r="L10" s="262" t="str">
        <f t="shared" si="2"/>
        <v>ok</v>
      </c>
      <c r="M10" s="58">
        <f>Beauregard!G25</f>
        <v>6452301</v>
      </c>
      <c r="N10" s="59">
        <f>Beauregard!G28+Beauregard!G30+Beauregard!G31+Beauregard!G32+Beauregard!G33+Beauregard!G34+Beauregard!G35+Beauregard!G36+Beauregard!G37+Beauregard!G38+Beauregard!G39+Beauregard!G40</f>
        <v>49809352</v>
      </c>
      <c r="O10" s="59">
        <f t="shared" si="6"/>
        <v>49809352</v>
      </c>
      <c r="P10" s="59">
        <f t="shared" si="3"/>
        <v>56261653</v>
      </c>
      <c r="Q10" s="262" t="str">
        <f t="shared" si="4"/>
        <v>ok</v>
      </c>
      <c r="R10" s="58">
        <f>Beauregard!G44</f>
        <v>56261653</v>
      </c>
      <c r="S10" s="223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</row>
    <row r="11" spans="1:318" ht="15.6">
      <c r="A11" s="260"/>
      <c r="B11" s="5" t="s">
        <v>747</v>
      </c>
      <c r="C11" s="59">
        <f>Bienville!G6+Bienville!G7</f>
        <v>22441350</v>
      </c>
      <c r="D11" s="59">
        <f>C11</f>
        <v>22441350</v>
      </c>
      <c r="E11" s="59">
        <f>Bienville!G8</f>
        <v>22504607</v>
      </c>
      <c r="F11" s="59">
        <f t="shared" si="5"/>
        <v>44945957</v>
      </c>
      <c r="G11" s="262" t="str">
        <f t="shared" si="0"/>
        <v>ok</v>
      </c>
      <c r="H11" s="58">
        <f>Bienville!G10</f>
        <v>44945957</v>
      </c>
      <c r="I11" s="59">
        <f>Bienville!G13+Bienville!G14+Bienville!G15+Bienville!G16+Bienville!G17+Bienville!G18+Bienville!G19+Bienville!G20</f>
        <v>12919431</v>
      </c>
      <c r="J11" s="59">
        <f>0</f>
        <v>0</v>
      </c>
      <c r="K11" s="59">
        <f t="shared" si="1"/>
        <v>12919431</v>
      </c>
      <c r="L11" s="262" t="str">
        <f t="shared" si="2"/>
        <v>ok</v>
      </c>
      <c r="M11" s="58">
        <f>Bienville!G22</f>
        <v>12919431</v>
      </c>
      <c r="N11" s="59">
        <f>Bienville!G25+Bienville!G26</f>
        <v>32026526</v>
      </c>
      <c r="O11" s="59">
        <f t="shared" si="6"/>
        <v>32026526</v>
      </c>
      <c r="P11" s="59">
        <f t="shared" si="3"/>
        <v>44945957</v>
      </c>
      <c r="Q11" s="262" t="str">
        <f t="shared" si="4"/>
        <v>ok</v>
      </c>
      <c r="R11" s="58">
        <f>Bienville!G30</f>
        <v>44945957</v>
      </c>
      <c r="S11" s="223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</row>
    <row r="12" spans="1:318" ht="15.6">
      <c r="A12" s="260"/>
      <c r="B12" s="5" t="s">
        <v>748</v>
      </c>
      <c r="C12" s="59">
        <f>Bossier!J7+Bossier!J8+Bossier!J9+Bossier!J10+Bossier!J11</f>
        <v>71153510</v>
      </c>
      <c r="D12" s="59">
        <f>C12</f>
        <v>71153510</v>
      </c>
      <c r="E12" s="59">
        <f>Bossier!J13+Bossier!J14</f>
        <v>306005443</v>
      </c>
      <c r="F12" s="59">
        <f t="shared" si="5"/>
        <v>377158953</v>
      </c>
      <c r="G12" s="262" t="str">
        <f t="shared" si="0"/>
        <v>ok</v>
      </c>
      <c r="H12" s="58">
        <f>Bossier!J17</f>
        <v>377158953</v>
      </c>
      <c r="I12" s="59">
        <f>Bossier!J21+Bossier!J23+Bossier!J25</f>
        <v>11178919</v>
      </c>
      <c r="J12" s="59">
        <f>Bossier!J26</f>
        <v>58596162</v>
      </c>
      <c r="K12" s="59">
        <f t="shared" si="1"/>
        <v>69775081</v>
      </c>
      <c r="L12" s="262" t="str">
        <f t="shared" si="2"/>
        <v>ok</v>
      </c>
      <c r="M12" s="58">
        <f>Bossier!J28</f>
        <v>69775081</v>
      </c>
      <c r="N12" s="59">
        <f>Bossier!J34+Bossier!J36+Bossier!J37+Bossier!J38+Bossier!J39+Bossier!J40+Bossier!J41+Bossier!J42+Bossier!J43+Bossier!J44</f>
        <v>292318794</v>
      </c>
      <c r="O12" s="59">
        <f t="shared" si="6"/>
        <v>292318794</v>
      </c>
      <c r="P12" s="59">
        <f t="shared" si="3"/>
        <v>362093875</v>
      </c>
      <c r="Q12" s="262" t="str">
        <f t="shared" si="4"/>
        <v>ok</v>
      </c>
      <c r="R12" s="58">
        <f>Bossier!J48-Bossier!J31</f>
        <v>362093875</v>
      </c>
      <c r="S12" s="223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</row>
    <row r="13" spans="1:318" ht="15.6">
      <c r="A13" s="260"/>
      <c r="B13" s="5" t="s">
        <v>749</v>
      </c>
      <c r="C13" s="59">
        <f>Caddo!H7+Caddo!H8+Caddo!H9+Caddo!H10+Caddo!H12+Caddo!H13</f>
        <v>195938896</v>
      </c>
      <c r="D13" s="59">
        <f>C13-Caddo!H12</f>
        <v>195841088</v>
      </c>
      <c r="E13" s="59">
        <f>Caddo!H15+Caddo!H16</f>
        <v>203943111</v>
      </c>
      <c r="F13" s="59">
        <f t="shared" si="5"/>
        <v>399882007</v>
      </c>
      <c r="G13" s="262" t="str">
        <f t="shared" si="0"/>
        <v>ok</v>
      </c>
      <c r="H13" s="58">
        <f>Caddo!H18</f>
        <v>399882007</v>
      </c>
      <c r="I13" s="59">
        <f>Caddo!H26+Caddo!H27+Caddo!H28+Caddo!H29+Caddo!H30+Caddo!H31+Caddo!H32+Caddo!H33+Caddo!H35</f>
        <v>9082800</v>
      </c>
      <c r="J13" s="59">
        <f>Caddo!H36</f>
        <v>40226768</v>
      </c>
      <c r="K13" s="59">
        <f t="shared" si="1"/>
        <v>49309568</v>
      </c>
      <c r="L13" s="262" t="str">
        <f t="shared" si="2"/>
        <v>ok</v>
      </c>
      <c r="M13" s="58">
        <f>Caddo!H38</f>
        <v>49309568</v>
      </c>
      <c r="N13" s="59">
        <f>Caddo!H45+Caddo!H47+Caddo!H48+Caddo!H49+Caddo!H50+Caddo!H51+Caddo!H52+Caddo!H53+Caddo!H54+Caddo!H56</f>
        <v>350719106</v>
      </c>
      <c r="O13" s="59">
        <f t="shared" si="6"/>
        <v>350719106</v>
      </c>
      <c r="P13" s="59">
        <f t="shared" si="3"/>
        <v>400028674</v>
      </c>
      <c r="Q13" s="262" t="str">
        <f t="shared" si="4"/>
        <v>ok</v>
      </c>
      <c r="R13" s="58">
        <f>Caddo!H60</f>
        <v>400028674</v>
      </c>
      <c r="S13" s="22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</row>
    <row r="14" spans="1:318" ht="15.6">
      <c r="A14" s="260"/>
      <c r="B14" s="5" t="s">
        <v>750</v>
      </c>
      <c r="C14" s="59">
        <f>Calcasieu!J7+Calcasieu!J8+Calcasieu!J9+Calcasieu!J10+Calcasieu!J11+Calcasieu!J13+Calcasieu!J14+Calcasieu!J15+Calcasieu!J16</f>
        <v>328152948</v>
      </c>
      <c r="D14" s="59">
        <f>C14-Calcasieu!J15</f>
        <v>326977547</v>
      </c>
      <c r="E14" s="59">
        <f>Calcasieu!J18+Calcasieu!J19+Calcasieu!J20+Calcasieu!J22+Calcasieu!J23</f>
        <v>528303440</v>
      </c>
      <c r="F14" s="59">
        <f t="shared" si="5"/>
        <v>856456388</v>
      </c>
      <c r="G14" s="262" t="str">
        <f t="shared" si="0"/>
        <v>ok</v>
      </c>
      <c r="H14" s="58">
        <f>Calcasieu!J25</f>
        <v>856456388</v>
      </c>
      <c r="I14" s="59">
        <f>Calcasieu!J31+Calcasieu!J32+Calcasieu!J34+Calcasieu!J35+Calcasieu!J36+Calcasieu!J37+Calcasieu!J39</f>
        <v>15978374</v>
      </c>
      <c r="J14" s="59">
        <f>Calcasieu!J40</f>
        <v>7742132</v>
      </c>
      <c r="K14" s="59">
        <f t="shared" si="1"/>
        <v>23720506</v>
      </c>
      <c r="L14" s="262" t="str">
        <f t="shared" si="2"/>
        <v>ok</v>
      </c>
      <c r="M14" s="58">
        <f>Calcasieu!J42</f>
        <v>23720506</v>
      </c>
      <c r="N14" s="59">
        <f>Calcasieu!J48+Calcasieu!J50+Calcasieu!J51+Calcasieu!J52+Calcasieu!J53</f>
        <v>785639791</v>
      </c>
      <c r="O14" s="59">
        <f t="shared" si="6"/>
        <v>785639791</v>
      </c>
      <c r="P14" s="59">
        <f t="shared" si="3"/>
        <v>809360297</v>
      </c>
      <c r="Q14" s="262" t="str">
        <f t="shared" si="4"/>
        <v>ok</v>
      </c>
      <c r="R14" s="58">
        <f>Calcasieu!J57-Calcasieu!J45</f>
        <v>809360297</v>
      </c>
      <c r="S14" s="223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</row>
    <row r="15" spans="1:318" ht="15.6">
      <c r="A15" s="260"/>
      <c r="B15" s="5" t="s">
        <v>751</v>
      </c>
      <c r="C15" s="59">
        <f>Caldwell!G6+Caldwell!G7</f>
        <v>9681965</v>
      </c>
      <c r="D15" s="59">
        <f>C15</f>
        <v>9681965</v>
      </c>
      <c r="E15" s="59">
        <f>Caldwell!G8</f>
        <v>14109112</v>
      </c>
      <c r="F15" s="59">
        <f t="shared" si="5"/>
        <v>23791077</v>
      </c>
      <c r="G15" s="262" t="str">
        <f t="shared" si="0"/>
        <v>ok</v>
      </c>
      <c r="H15" s="58">
        <f>Caldwell!G10</f>
        <v>23791077</v>
      </c>
      <c r="I15" s="59">
        <f>Caldwell!G13+Caldwell!G14+Caldwell!G15</f>
        <v>421309</v>
      </c>
      <c r="J15" s="59">
        <f>0</f>
        <v>0</v>
      </c>
      <c r="K15" s="59">
        <f t="shared" si="1"/>
        <v>421309</v>
      </c>
      <c r="L15" s="262" t="str">
        <f t="shared" si="2"/>
        <v>ok</v>
      </c>
      <c r="M15" s="58">
        <f>Caldwell!G17</f>
        <v>421309</v>
      </c>
      <c r="N15" s="59">
        <f>Caldwell!G20+Caldwell!G21+Caldwell!G22</f>
        <v>23369768</v>
      </c>
      <c r="O15" s="59">
        <f t="shared" si="6"/>
        <v>23369768</v>
      </c>
      <c r="P15" s="59">
        <f t="shared" si="3"/>
        <v>23791077</v>
      </c>
      <c r="Q15" s="262" t="str">
        <f t="shared" si="4"/>
        <v>ok</v>
      </c>
      <c r="R15" s="58">
        <f>Caldwell!G26</f>
        <v>23791077</v>
      </c>
      <c r="S15" s="223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</row>
    <row r="16" spans="1:318" ht="15.6">
      <c r="A16" s="260"/>
      <c r="B16" s="5" t="s">
        <v>752</v>
      </c>
      <c r="C16" s="59">
        <f>Cameron!G6+Cameron!G7+Cameron!G8+Cameron!G9</f>
        <v>47051579</v>
      </c>
      <c r="D16" s="59">
        <f>C16-Cameron!G8</f>
        <v>45228813</v>
      </c>
      <c r="E16" s="59">
        <f>Cameron!G10</f>
        <v>123967765</v>
      </c>
      <c r="F16" s="59">
        <f t="shared" si="5"/>
        <v>171019344</v>
      </c>
      <c r="G16" s="262" t="str">
        <f t="shared" si="0"/>
        <v>ok</v>
      </c>
      <c r="H16" s="58">
        <f>Cameron!G12</f>
        <v>171019344</v>
      </c>
      <c r="I16" s="59">
        <f>Cameron!G15+Cameron!G16+Cameron!G17+Cameron!G18+Cameron!G20</f>
        <v>8002510</v>
      </c>
      <c r="J16" s="59">
        <f>Cameron!G21</f>
        <v>4202746</v>
      </c>
      <c r="K16" s="59">
        <f t="shared" si="1"/>
        <v>12205256</v>
      </c>
      <c r="L16" s="262" t="str">
        <f t="shared" si="2"/>
        <v>ok</v>
      </c>
      <c r="M16" s="58">
        <f>Cameron!G23</f>
        <v>12205256</v>
      </c>
      <c r="N16" s="59">
        <f>Cameron!G28+Cameron!G30+Cameron!G31+Cameron!G32+Cameron!G33+Cameron!G34+Cameron!G35</f>
        <v>158814088</v>
      </c>
      <c r="O16" s="59">
        <f t="shared" si="6"/>
        <v>158814088</v>
      </c>
      <c r="P16" s="59">
        <f t="shared" si="3"/>
        <v>171019344</v>
      </c>
      <c r="Q16" s="262" t="str">
        <f t="shared" si="4"/>
        <v>ok</v>
      </c>
      <c r="R16" s="58">
        <f>Cameron!G39</f>
        <v>171019344</v>
      </c>
      <c r="S16" s="223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</row>
    <row r="17" spans="1:318" ht="15.6">
      <c r="A17" s="260"/>
      <c r="B17" s="5" t="s">
        <v>753</v>
      </c>
      <c r="C17" s="59">
        <f>Catahoula!H7+Catahoula!H8+Catahoula!H10+Catahoula!H11</f>
        <v>3810173</v>
      </c>
      <c r="D17" s="59">
        <f>C17</f>
        <v>3810173</v>
      </c>
      <c r="E17" s="59">
        <f>Catahoula!H12</f>
        <v>5862816</v>
      </c>
      <c r="F17" s="59">
        <f t="shared" si="5"/>
        <v>9672989</v>
      </c>
      <c r="G17" s="262" t="str">
        <f t="shared" si="0"/>
        <v>ok</v>
      </c>
      <c r="H17" s="58">
        <f>Catahoula!H14</f>
        <v>9672989</v>
      </c>
      <c r="I17" s="59">
        <f>Catahoula!H17+Catahoula!H18+Catahoula!H19</f>
        <v>280752</v>
      </c>
      <c r="J17" s="59">
        <f>Catahoula!H20</f>
        <v>272000</v>
      </c>
      <c r="K17" s="59">
        <f t="shared" si="1"/>
        <v>552752</v>
      </c>
      <c r="L17" s="262" t="str">
        <f t="shared" si="2"/>
        <v>ok</v>
      </c>
      <c r="M17" s="58">
        <f>Catahoula!H22</f>
        <v>552752</v>
      </c>
      <c r="N17" s="59">
        <f>Catahoula!H28+Catahoula!H29</f>
        <v>8970843</v>
      </c>
      <c r="O17" s="59">
        <f t="shared" si="6"/>
        <v>8970843</v>
      </c>
      <c r="P17" s="59">
        <f t="shared" si="3"/>
        <v>9523595</v>
      </c>
      <c r="Q17" s="262" t="str">
        <f t="shared" si="4"/>
        <v>ok</v>
      </c>
      <c r="R17" s="58">
        <f>Catahoula!H33-Catahoula!H25</f>
        <v>9523595</v>
      </c>
      <c r="S17" s="223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</row>
    <row r="18" spans="1:318" ht="15.6">
      <c r="A18" s="260"/>
      <c r="B18" s="5" t="s">
        <v>754</v>
      </c>
      <c r="C18" s="59">
        <f>Claiborne!G6+Claiborne!G7+Claiborne!G8+Claiborne!G9+Claiborne!G10</f>
        <v>10280541</v>
      </c>
      <c r="D18" s="59">
        <f>C18</f>
        <v>10280541</v>
      </c>
      <c r="E18" s="59">
        <f>Claiborne!G11</f>
        <v>8219499</v>
      </c>
      <c r="F18" s="59">
        <f t="shared" si="5"/>
        <v>18500040</v>
      </c>
      <c r="G18" s="262" t="str">
        <f t="shared" si="0"/>
        <v>ok</v>
      </c>
      <c r="H18" s="58">
        <f>Claiborne!G13</f>
        <v>18500040</v>
      </c>
      <c r="I18" s="59">
        <f>Claiborne!G16+Claiborne!G17+Claiborne!G18+Claiborne!G19+Claiborne!G20</f>
        <v>688766</v>
      </c>
      <c r="J18" s="59">
        <f>Claiborne!G21</f>
        <v>1545000</v>
      </c>
      <c r="K18" s="59">
        <f t="shared" si="1"/>
        <v>2233766</v>
      </c>
      <c r="L18" s="262" t="str">
        <f t="shared" si="2"/>
        <v>ok</v>
      </c>
      <c r="M18" s="58">
        <f>Claiborne!G23</f>
        <v>2233766</v>
      </c>
      <c r="N18" s="59">
        <f>Claiborne!G26+Claiborne!G28+Claiborne!G29+Claiborne!G30+Claiborne!G31+Claiborne!G32+Claiborne!G33+Claiborne!G34</f>
        <v>16266275</v>
      </c>
      <c r="O18" s="59">
        <f t="shared" si="6"/>
        <v>16266275</v>
      </c>
      <c r="P18" s="59">
        <f t="shared" si="3"/>
        <v>18500041</v>
      </c>
      <c r="Q18" s="262" t="str">
        <f t="shared" si="4"/>
        <v>ok</v>
      </c>
      <c r="R18" s="58">
        <f>Claiborne!G38</f>
        <v>18500041</v>
      </c>
      <c r="S18" s="223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</row>
    <row r="19" spans="1:318" ht="15.6">
      <c r="A19" s="260"/>
      <c r="B19" s="5" t="s">
        <v>755</v>
      </c>
      <c r="C19" s="59">
        <f>Concodria!G7+Concodria!G8+Concodria!G10+Concodria!G9+Concodria!G11+Concodria!G12</f>
        <v>11870004</v>
      </c>
      <c r="D19" s="59">
        <f>C19</f>
        <v>11870004</v>
      </c>
      <c r="E19" s="59">
        <f>Concodria!G17</f>
        <v>10215629</v>
      </c>
      <c r="F19" s="59">
        <f t="shared" si="5"/>
        <v>22085633</v>
      </c>
      <c r="G19" s="262" t="str">
        <f t="shared" si="0"/>
        <v>ok</v>
      </c>
      <c r="H19" s="58">
        <f>Concodria!G18</f>
        <v>22085633</v>
      </c>
      <c r="I19" s="59">
        <f>Concodria!G22+Concodria!G23+Concodria!G24+Concodria!G25</f>
        <v>888408</v>
      </c>
      <c r="J19" s="59">
        <f>Concodria!G29</f>
        <v>9013491</v>
      </c>
      <c r="K19" s="59">
        <f t="shared" si="1"/>
        <v>9901899</v>
      </c>
      <c r="L19" s="262" t="str">
        <f t="shared" si="2"/>
        <v>ok</v>
      </c>
      <c r="M19" s="58">
        <f>Concodria!G31</f>
        <v>9901899</v>
      </c>
      <c r="N19" s="59">
        <f>Concodria!G34+Concodria!G36+Concodria!G37+Concodria!G38</f>
        <v>12183734</v>
      </c>
      <c r="O19" s="59">
        <f t="shared" si="6"/>
        <v>12183734</v>
      </c>
      <c r="P19" s="59">
        <f t="shared" si="3"/>
        <v>22085633</v>
      </c>
      <c r="Q19" s="262" t="str">
        <f t="shared" si="4"/>
        <v>ok</v>
      </c>
      <c r="R19" s="58">
        <f>Concodria!G42</f>
        <v>22085633</v>
      </c>
      <c r="S19" s="223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</row>
    <row r="20" spans="1:318" ht="15.6">
      <c r="A20" s="260"/>
      <c r="B20" s="5" t="s">
        <v>756</v>
      </c>
      <c r="C20" s="59">
        <f>DeSoto!J7+DeSoto!J8+DeSoto!J9+DeSoto!J10</f>
        <v>47219160</v>
      </c>
      <c r="D20" s="59">
        <f>C20-DeSoto!J10</f>
        <v>47180975</v>
      </c>
      <c r="E20" s="59">
        <f>DeSoto!J11</f>
        <v>73791900</v>
      </c>
      <c r="F20" s="59">
        <f t="shared" si="5"/>
        <v>121011060</v>
      </c>
      <c r="G20" s="262" t="str">
        <f t="shared" si="0"/>
        <v>ok</v>
      </c>
      <c r="H20" s="58">
        <f>DeSoto!J13</f>
        <v>121011060</v>
      </c>
      <c r="I20" s="59">
        <f>DeSoto!J16+DeSoto!J17+DeSoto!J18+DeSoto!J19+DeSoto!J20+DeSoto!J21+DeSoto!J22+DeSoto!J23+DeSoto!J25</f>
        <v>6939842</v>
      </c>
      <c r="J20" s="59">
        <f>DeSoto!J26</f>
        <v>450</v>
      </c>
      <c r="K20" s="59">
        <f t="shared" si="1"/>
        <v>6940292</v>
      </c>
      <c r="L20" s="262" t="str">
        <f t="shared" si="2"/>
        <v>ok</v>
      </c>
      <c r="M20" s="58">
        <f>DeSoto!J28</f>
        <v>6940292</v>
      </c>
      <c r="N20" s="59">
        <f>DeSoto!J31+DeSoto!J32+DeSoto!J33</f>
        <v>114070768</v>
      </c>
      <c r="O20" s="59">
        <f t="shared" si="6"/>
        <v>114070768</v>
      </c>
      <c r="P20" s="59">
        <f t="shared" si="3"/>
        <v>121011060</v>
      </c>
      <c r="Q20" s="262" t="str">
        <f t="shared" si="4"/>
        <v>ok</v>
      </c>
      <c r="R20" s="58">
        <f>DeSoto!J37</f>
        <v>121011060</v>
      </c>
      <c r="S20" s="223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</row>
    <row r="21" spans="1:318" ht="15.6">
      <c r="A21" s="260"/>
      <c r="B21" s="5" t="s">
        <v>757</v>
      </c>
      <c r="C21" s="59">
        <f>'East Baton Rouge'!J8+'East Baton Rouge'!J9+'East Baton Rouge'!J10+'East Baton Rouge'!J11+'East Baton Rouge'!J12+'East Baton Rouge'!J13+'East Baton Rouge'!J14</f>
        <v>733517527</v>
      </c>
      <c r="D21" s="59">
        <f>C21-'East Baton Rouge'!J14</f>
        <v>732565783</v>
      </c>
      <c r="E21" s="59">
        <f>'East Baton Rouge'!J18+'East Baton Rouge'!J19+'East Baton Rouge'!J20+'East Baton Rouge'!J21+'East Baton Rouge'!J23+'East Baton Rouge'!J24</f>
        <v>3151896816</v>
      </c>
      <c r="F21" s="59">
        <f t="shared" si="5"/>
        <v>3885414343</v>
      </c>
      <c r="G21" s="262" t="str">
        <f t="shared" si="0"/>
        <v>ok</v>
      </c>
      <c r="H21" s="58">
        <f>'East Baton Rouge'!J26</f>
        <v>3885414343</v>
      </c>
      <c r="I21" s="59">
        <f>'East Baton Rouge'!J36+'East Baton Rouge'!J37+'East Baton Rouge'!J38+'East Baton Rouge'!J39+'East Baton Rouge'!J40+'East Baton Rouge'!J43</f>
        <v>211966725</v>
      </c>
      <c r="J21" s="59">
        <f>'East Baton Rouge'!J44</f>
        <v>2333746380</v>
      </c>
      <c r="K21" s="59">
        <f t="shared" si="1"/>
        <v>2545713105</v>
      </c>
      <c r="L21" s="262" t="str">
        <f t="shared" si="2"/>
        <v>ok</v>
      </c>
      <c r="M21" s="58">
        <f>'East Baton Rouge'!J46</f>
        <v>2545713105</v>
      </c>
      <c r="N21" s="59">
        <f>'East Baton Rouge'!J52+'East Baton Rouge'!J54+'East Baton Rouge'!J55+'East Baton Rouge'!J56+'East Baton Rouge'!J57+'East Baton Rouge'!J58</f>
        <v>1490780057</v>
      </c>
      <c r="O21" s="59">
        <f t="shared" si="6"/>
        <v>1490780057</v>
      </c>
      <c r="P21" s="59">
        <f t="shared" si="3"/>
        <v>4036493162</v>
      </c>
      <c r="Q21" s="262" t="str">
        <f t="shared" si="4"/>
        <v>ok</v>
      </c>
      <c r="R21" s="58">
        <f>'East Baton Rouge'!J62-'East Baton Rouge'!J49</f>
        <v>4036493162</v>
      </c>
      <c r="S21" s="223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</row>
    <row r="22" spans="1:318" ht="15.6">
      <c r="A22" s="260"/>
      <c r="B22" s="5" t="s">
        <v>758</v>
      </c>
      <c r="C22" s="59">
        <f>'East Carroll'!J7+'East Carroll'!J8+'East Carroll'!J9+'East Carroll'!J10</f>
        <v>5624532</v>
      </c>
      <c r="D22" s="59">
        <f t="shared" ref="D22:D27" si="7">C22</f>
        <v>5624532</v>
      </c>
      <c r="E22" s="59">
        <f>'East Carroll'!J11+'East Carroll'!J12+'East Carroll'!J13</f>
        <v>6368102</v>
      </c>
      <c r="F22" s="59">
        <f t="shared" si="5"/>
        <v>11992634</v>
      </c>
      <c r="G22" s="262" t="str">
        <f t="shared" si="0"/>
        <v>ok</v>
      </c>
      <c r="H22" s="58">
        <f>'East Carroll'!J15</f>
        <v>11992634</v>
      </c>
      <c r="I22" s="59">
        <f>'East Carroll'!J18+'East Carroll'!J19+'East Carroll'!J21</f>
        <v>369348</v>
      </c>
      <c r="J22" s="59">
        <f>'East Carroll'!J22</f>
        <v>457009</v>
      </c>
      <c r="K22" s="59">
        <f t="shared" si="1"/>
        <v>826357</v>
      </c>
      <c r="L22" s="262" t="str">
        <f t="shared" si="2"/>
        <v>ok</v>
      </c>
      <c r="M22" s="58">
        <f>'East Carroll'!J24</f>
        <v>826357</v>
      </c>
      <c r="N22" s="59">
        <f>'East Carroll'!J27+'East Carroll'!J29+'East Carroll'!J30+'East Carroll'!J31+'East Carroll'!J32+'East Carroll'!J33+'East Carroll'!J34+'East Carroll'!J35+'East Carroll'!J36+'East Carroll'!J37+'East Carroll'!J38+'East Carroll'!J39</f>
        <v>11166277</v>
      </c>
      <c r="O22" s="59">
        <f t="shared" si="6"/>
        <v>11166277</v>
      </c>
      <c r="P22" s="59">
        <f t="shared" si="3"/>
        <v>11992634</v>
      </c>
      <c r="Q22" s="262" t="str">
        <f t="shared" si="4"/>
        <v>ok</v>
      </c>
      <c r="R22" s="58">
        <f>'East Carroll'!J43</f>
        <v>11992634</v>
      </c>
      <c r="S22" s="223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</row>
    <row r="23" spans="1:318" ht="15.6">
      <c r="A23" s="260"/>
      <c r="B23" s="5" t="s">
        <v>759</v>
      </c>
      <c r="C23" s="59">
        <f>'East Feliciana'!G6+'East Feliciana'!G7+'East Feliciana'!G8+'East Feliciana'!G9</f>
        <v>8050448.8900000006</v>
      </c>
      <c r="D23" s="59">
        <f t="shared" si="7"/>
        <v>8050448.8900000006</v>
      </c>
      <c r="E23" s="59">
        <f>'East Feliciana'!G10</f>
        <v>12861749.24</v>
      </c>
      <c r="F23" s="59">
        <f t="shared" si="5"/>
        <v>20912198.130000003</v>
      </c>
      <c r="G23" s="262" t="str">
        <f t="shared" si="0"/>
        <v>ok</v>
      </c>
      <c r="H23" s="58">
        <f>'East Feliciana'!G12</f>
        <v>20912198.130000003</v>
      </c>
      <c r="I23" s="59">
        <f>'East Feliciana'!G18+'East Feliciana'!G19+'East Feliciana'!G20+'East Feliciana'!G21</f>
        <v>2216100.6999999997</v>
      </c>
      <c r="J23" s="59">
        <f>0</f>
        <v>0</v>
      </c>
      <c r="K23" s="59">
        <f t="shared" si="1"/>
        <v>2216100.6999999997</v>
      </c>
      <c r="L23" s="262" t="str">
        <f t="shared" si="2"/>
        <v>ok</v>
      </c>
      <c r="M23" s="58">
        <f>'East Feliciana'!G23</f>
        <v>2216100.6999999997</v>
      </c>
      <c r="N23" s="59">
        <f>'East Feliciana'!G29+'East Feliciana'!G31+'East Feliciana'!G32+'East Feliciana'!G33+'East Feliciana'!G34</f>
        <v>18696100.43</v>
      </c>
      <c r="O23" s="59">
        <f t="shared" si="6"/>
        <v>18696100.43</v>
      </c>
      <c r="P23" s="59">
        <f t="shared" si="3"/>
        <v>20912201.129999999</v>
      </c>
      <c r="Q23" s="262" t="str">
        <f t="shared" si="4"/>
        <v>ok</v>
      </c>
      <c r="R23" s="58">
        <f>'East Feliciana'!G38</f>
        <v>20912201.129999999</v>
      </c>
      <c r="S23" s="2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</row>
    <row r="24" spans="1:318" ht="15.6">
      <c r="A24" s="260"/>
      <c r="B24" s="5" t="s">
        <v>760</v>
      </c>
      <c r="C24" s="59">
        <f>Evangeline!J7+Evangeline!J8+Evangeline!J9+Evangeline!J10</f>
        <v>17862674</v>
      </c>
      <c r="D24" s="59">
        <f t="shared" si="7"/>
        <v>17862674</v>
      </c>
      <c r="E24" s="59">
        <f>Evangeline!J12+Evangeline!J13+Evangeline!J14</f>
        <v>54035228</v>
      </c>
      <c r="F24" s="59">
        <f t="shared" si="5"/>
        <v>71897902</v>
      </c>
      <c r="G24" s="262" t="str">
        <f t="shared" si="0"/>
        <v>ok</v>
      </c>
      <c r="H24" s="58">
        <f>Evangeline!J16</f>
        <v>71897902</v>
      </c>
      <c r="I24" s="59">
        <f>Evangeline!J19+Evangeline!J20+Evangeline!J21+Evangeline!J22+Evangeline!J23+Evangeline!J26+Evangeline!J27+Evangeline!J28</f>
        <v>3822163</v>
      </c>
      <c r="J24" s="59">
        <f>Evangeline!J30+Evangeline!J31+Evangeline!J32</f>
        <v>31755059</v>
      </c>
      <c r="K24" s="59">
        <f t="shared" si="1"/>
        <v>35577222</v>
      </c>
      <c r="L24" s="262" t="str">
        <f t="shared" si="2"/>
        <v>ok</v>
      </c>
      <c r="M24" s="58">
        <f>Evangeline!J34</f>
        <v>35577222</v>
      </c>
      <c r="N24" s="59">
        <f>Evangeline!J37+Evangeline!J38+Evangeline!J39</f>
        <v>36320680</v>
      </c>
      <c r="O24" s="59">
        <f t="shared" si="6"/>
        <v>36320680</v>
      </c>
      <c r="P24" s="59">
        <f t="shared" si="3"/>
        <v>71897902</v>
      </c>
      <c r="Q24" s="262" t="str">
        <f t="shared" si="4"/>
        <v>ok</v>
      </c>
      <c r="R24" s="58">
        <f>Evangeline!J43</f>
        <v>71897902</v>
      </c>
      <c r="S24" s="223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</row>
    <row r="25" spans="1:318" ht="15.6">
      <c r="A25" s="260"/>
      <c r="B25" s="5" t="s">
        <v>761</v>
      </c>
      <c r="C25" s="59">
        <f>Franklin!G6+Franklin!G7</f>
        <v>12357120</v>
      </c>
      <c r="D25" s="59">
        <f t="shared" si="7"/>
        <v>12357120</v>
      </c>
      <c r="E25" s="59">
        <f>Franklin!G8</f>
        <v>18743780</v>
      </c>
      <c r="F25" s="59">
        <f t="shared" si="5"/>
        <v>31100900</v>
      </c>
      <c r="G25" s="262" t="str">
        <f t="shared" si="0"/>
        <v>ok</v>
      </c>
      <c r="H25" s="58">
        <f>Franklin!G10</f>
        <v>31100900</v>
      </c>
      <c r="I25" s="59">
        <f>Franklin!G13+Franklin!G14+Franklin!G15+Franklin!G16+Franklin!G17+Franklin!G18</f>
        <v>2304836</v>
      </c>
      <c r="J25" s="59">
        <f>0</f>
        <v>0</v>
      </c>
      <c r="K25" s="59">
        <f t="shared" si="1"/>
        <v>2304836</v>
      </c>
      <c r="L25" s="262" t="str">
        <f t="shared" si="2"/>
        <v>ok</v>
      </c>
      <c r="M25" s="58">
        <f>Franklin!G20</f>
        <v>2304836</v>
      </c>
      <c r="N25" s="59">
        <f>Franklin!G23+Franklin!G24</f>
        <v>28796064</v>
      </c>
      <c r="O25" s="59">
        <f t="shared" si="6"/>
        <v>28796064</v>
      </c>
      <c r="P25" s="59">
        <f t="shared" si="3"/>
        <v>31100900</v>
      </c>
      <c r="Q25" s="262" t="str">
        <f t="shared" si="4"/>
        <v>ok</v>
      </c>
      <c r="R25" s="58">
        <f>Franklin!G28</f>
        <v>31100900</v>
      </c>
      <c r="S25" s="223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</row>
    <row r="26" spans="1:318" ht="15.6">
      <c r="A26" s="260"/>
      <c r="B26" s="5" t="s">
        <v>419</v>
      </c>
      <c r="C26" s="59">
        <f>Grant!J8+Grant!J7</f>
        <v>3824424</v>
      </c>
      <c r="D26" s="59">
        <f t="shared" si="7"/>
        <v>3824424</v>
      </c>
      <c r="E26" s="59">
        <f>Grant!J11+Grant!J12+Grant!J13</f>
        <v>6190270</v>
      </c>
      <c r="F26" s="59">
        <f t="shared" si="5"/>
        <v>10014694</v>
      </c>
      <c r="G26" s="262" t="str">
        <f t="shared" si="0"/>
        <v>ok</v>
      </c>
      <c r="H26" s="58">
        <f>Grant!J15</f>
        <v>10014694</v>
      </c>
      <c r="I26" s="59">
        <f>Grant!J18+Grant!J19+Grant!J20+Grant!J24</f>
        <v>758829</v>
      </c>
      <c r="J26" s="59">
        <f>Grant!J22+Grant!J25</f>
        <v>301903</v>
      </c>
      <c r="K26" s="59">
        <f t="shared" si="1"/>
        <v>1060732</v>
      </c>
      <c r="L26" s="262" t="str">
        <f t="shared" si="2"/>
        <v>ok</v>
      </c>
      <c r="M26" s="58">
        <f>Grant!J27</f>
        <v>1060732</v>
      </c>
      <c r="N26" s="59">
        <f>Grant!J30+Grant!J32+Grant!J33+Grant!J34+Grant!J35</f>
        <v>8953962</v>
      </c>
      <c r="O26" s="59">
        <f t="shared" si="6"/>
        <v>8953962</v>
      </c>
      <c r="P26" s="59">
        <f t="shared" si="3"/>
        <v>10014694</v>
      </c>
      <c r="Q26" s="262" t="str">
        <f t="shared" si="4"/>
        <v>ok</v>
      </c>
      <c r="R26" s="58">
        <f>Grant!J39</f>
        <v>10014694</v>
      </c>
      <c r="S26" s="223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</row>
    <row r="27" spans="1:318" ht="15.6">
      <c r="A27" s="260"/>
      <c r="B27" s="5" t="s">
        <v>762</v>
      </c>
      <c r="C27" s="59">
        <f>Iberia!H7+Iberia!H8+Iberia!H9+Iberia!H10+Iberia!H11</f>
        <v>55720543</v>
      </c>
      <c r="D27" s="59">
        <f t="shared" si="7"/>
        <v>55720543</v>
      </c>
      <c r="E27" s="59">
        <f>Iberia!H18+Iberia!H19</f>
        <v>94220748</v>
      </c>
      <c r="F27" s="59">
        <f t="shared" si="5"/>
        <v>149941291</v>
      </c>
      <c r="G27" s="262" t="str">
        <f t="shared" si="0"/>
        <v>ok</v>
      </c>
      <c r="H27" s="58">
        <f>Iberia!H21</f>
        <v>149941291</v>
      </c>
      <c r="I27" s="59">
        <f>Iberia!H27+Iberia!H28+Iberia!H29+Iberia!H30+Iberia!H31+Iberia!H33+Iberia!H35+Iberia!H38</f>
        <v>4666890</v>
      </c>
      <c r="J27" s="59">
        <f>Iberia!H37+Iberia!H39</f>
        <v>12665817</v>
      </c>
      <c r="K27" s="59">
        <f t="shared" si="1"/>
        <v>17332707</v>
      </c>
      <c r="L27" s="262" t="str">
        <f t="shared" si="2"/>
        <v>ok</v>
      </c>
      <c r="M27" s="58">
        <f>Iberia!H41</f>
        <v>17332707</v>
      </c>
      <c r="N27" s="59">
        <f>Iberia!H44+Iberia!H46+Iberia!H47+Iberia!H48+Iberia!H49+Iberia!H50+Iberia!H51</f>
        <v>132608584</v>
      </c>
      <c r="O27" s="59">
        <f t="shared" si="6"/>
        <v>132608584</v>
      </c>
      <c r="P27" s="59">
        <f t="shared" si="3"/>
        <v>149941291</v>
      </c>
      <c r="Q27" s="262" t="str">
        <f t="shared" si="4"/>
        <v>ok</v>
      </c>
      <c r="R27" s="58">
        <f>Iberia!H55</f>
        <v>149941291</v>
      </c>
      <c r="S27" s="223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</row>
    <row r="28" spans="1:318" ht="15.6">
      <c r="A28" s="260"/>
      <c r="B28" s="5" t="s">
        <v>763</v>
      </c>
      <c r="C28" s="59">
        <f>Iberville!J8+Iberville!J9+Iberville!J10+Iberville!J11+Iberville!J12</f>
        <v>38721986</v>
      </c>
      <c r="D28" s="59">
        <f>C28-Iberville!J10</f>
        <v>38586129</v>
      </c>
      <c r="E28" s="59">
        <f>Iberville!J14+Iberville!J16+Iberville!J17+Iberville!J18+Iberville!J19+Iberville!J20</f>
        <v>126846302</v>
      </c>
      <c r="F28" s="59">
        <f t="shared" si="5"/>
        <v>165568288</v>
      </c>
      <c r="G28" s="262" t="str">
        <f t="shared" si="0"/>
        <v>ok</v>
      </c>
      <c r="H28" s="58">
        <f>Iberville!J22</f>
        <v>165568288</v>
      </c>
      <c r="I28" s="59">
        <f>Iberville!J25+Iberville!J29+Iberville!J30+Iberville!J33</f>
        <v>6015335</v>
      </c>
      <c r="J28" s="59">
        <f>Iberville!J32+Iberville!J34</f>
        <v>17102006</v>
      </c>
      <c r="K28" s="59">
        <f t="shared" si="1"/>
        <v>23117341</v>
      </c>
      <c r="L28" s="262" t="str">
        <f t="shared" si="2"/>
        <v>ok</v>
      </c>
      <c r="M28" s="58">
        <f>Iberville!J36</f>
        <v>23117341</v>
      </c>
      <c r="N28" s="59">
        <f>Iberville!J39+Iberville!J41+Iberville!J42+Iberville!J43+Iberville!J44+Iberville!J45+Iberville!J46+Iberville!J47+Iberville!J48+Iberville!J49</f>
        <v>142450947</v>
      </c>
      <c r="O28" s="59">
        <f t="shared" si="6"/>
        <v>142450947</v>
      </c>
      <c r="P28" s="59">
        <f t="shared" si="3"/>
        <v>165568288</v>
      </c>
      <c r="Q28" s="262" t="str">
        <f t="shared" si="4"/>
        <v>ok</v>
      </c>
      <c r="R28" s="58">
        <f>Iberville!J53</f>
        <v>165568288</v>
      </c>
      <c r="S28" s="223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</row>
    <row r="29" spans="1:318" ht="15.6">
      <c r="A29" s="260"/>
      <c r="B29" s="5" t="s">
        <v>764</v>
      </c>
      <c r="C29" s="59">
        <f>'Jackson '!G6+'Jackson '!G7+'Jackson '!G8</f>
        <v>14355614</v>
      </c>
      <c r="D29" s="59">
        <f>C29</f>
        <v>14355614</v>
      </c>
      <c r="E29" s="59">
        <f>'Jackson '!G10+'Jackson '!G11</f>
        <v>16451354</v>
      </c>
      <c r="F29" s="59">
        <f t="shared" si="5"/>
        <v>30806968</v>
      </c>
      <c r="G29" s="262" t="str">
        <f t="shared" si="0"/>
        <v>ok</v>
      </c>
      <c r="H29" s="58">
        <f>'Jackson '!G13</f>
        <v>30806968</v>
      </c>
      <c r="I29" s="59">
        <f>'Jackson '!G16+'Jackson '!G17+'Jackson '!G19</f>
        <v>451490</v>
      </c>
      <c r="J29" s="59">
        <f>'Jackson '!G20</f>
        <v>491865</v>
      </c>
      <c r="K29" s="59">
        <f t="shared" si="1"/>
        <v>943355</v>
      </c>
      <c r="L29" s="262" t="str">
        <f t="shared" si="2"/>
        <v>ok</v>
      </c>
      <c r="M29" s="58">
        <f>'Jackson '!G22</f>
        <v>943355</v>
      </c>
      <c r="N29" s="59">
        <f>'Jackson '!G25+'Jackson '!G27+'Jackson '!G28+'Jackson '!G29+'Jackson '!G30+'Jackson '!G31+'Jackson '!G32+'Jackson '!G33+'Jackson '!G34+'Jackson '!G35</f>
        <v>29830613</v>
      </c>
      <c r="O29" s="59">
        <f t="shared" si="6"/>
        <v>29830613</v>
      </c>
      <c r="P29" s="59">
        <f t="shared" si="3"/>
        <v>30773968</v>
      </c>
      <c r="Q29" s="262" t="str">
        <f t="shared" si="4"/>
        <v>ok</v>
      </c>
      <c r="R29" s="58">
        <f>'Jackson '!G39</f>
        <v>30773968</v>
      </c>
      <c r="S29" s="223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</row>
    <row r="30" spans="1:318" ht="15.6">
      <c r="A30" s="260"/>
      <c r="B30" s="5" t="s">
        <v>765</v>
      </c>
      <c r="C30" s="59">
        <f>Jefferson!J9+Jefferson!J10+Jefferson!J11+Jefferson!J14+Jefferson!J15+Jefferson!J16+Jefferson!J19+Jefferson!J21+Jefferson!J24+Jefferson!J25+Jefferson!J26+Jefferson!J27</f>
        <v>976588</v>
      </c>
      <c r="D30" s="59">
        <f>C30-Jefferson!J21</f>
        <v>965282</v>
      </c>
      <c r="E30" s="59">
        <f>Jefferson!J33+Jefferson!J35+Jefferson!J36</f>
        <v>1781648</v>
      </c>
      <c r="F30" s="59">
        <f t="shared" si="5"/>
        <v>2758236</v>
      </c>
      <c r="G30" s="262" t="str">
        <f t="shared" si="0"/>
        <v>ok</v>
      </c>
      <c r="H30" s="58">
        <f>Jefferson!J40</f>
        <v>2758236</v>
      </c>
      <c r="I30" s="59">
        <f>Jefferson!J49+Jefferson!J50+Jefferson!J51+Jefferson!J52+Jefferson!J53+Jefferson!J54+Jefferson!J55+Jefferson!J56+Jefferson!J57+Jefferson!J59+Jefferson!J60+Jefferson!J63</f>
        <v>303006</v>
      </c>
      <c r="J30" s="83">
        <f>Jefferson!J68+Jefferson!J69</f>
        <v>451599</v>
      </c>
      <c r="K30" s="59">
        <f t="shared" si="1"/>
        <v>754605</v>
      </c>
      <c r="L30" s="262" t="str">
        <f t="shared" si="2"/>
        <v>ok</v>
      </c>
      <c r="M30" s="58">
        <f>Jefferson!J73</f>
        <v>754605</v>
      </c>
      <c r="N30" s="59">
        <f>Jefferson!J76+Jefferson!J78+Jefferson!J79+Jefferson!J80+Jefferson!J81+Jefferson!J83+Jefferson!J82+Jefferson!J84+Jefferson!J85+Jefferson!J86+Jefferson!J87+Jefferson!J88+Jefferson!J90+Jefferson!J89+Jefferson!J91</f>
        <v>2011774</v>
      </c>
      <c r="O30" s="59">
        <f t="shared" si="6"/>
        <v>2011774</v>
      </c>
      <c r="P30" s="59">
        <f>SUM(O30,K30)</f>
        <v>2766379</v>
      </c>
      <c r="Q30" s="262" t="str">
        <f t="shared" si="4"/>
        <v>ok</v>
      </c>
      <c r="R30" s="58">
        <f>Jefferson!J95</f>
        <v>2766379</v>
      </c>
      <c r="S30" s="223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</row>
    <row r="31" spans="1:318" ht="15.6">
      <c r="A31" s="260"/>
      <c r="B31" s="5" t="s">
        <v>766</v>
      </c>
      <c r="C31" s="59">
        <f>'Jefferson Davis'!G6+'Jefferson Davis'!G7+'Jefferson Davis'!G8+'Jefferson Davis'!G9</f>
        <v>23570421</v>
      </c>
      <c r="D31" s="59">
        <f>C31</f>
        <v>23570421</v>
      </c>
      <c r="E31" s="59">
        <f>'Jefferson Davis'!G10+'Jefferson Davis'!G11</f>
        <v>36691193</v>
      </c>
      <c r="F31" s="59">
        <f t="shared" si="5"/>
        <v>60261614</v>
      </c>
      <c r="G31" s="262" t="str">
        <f t="shared" si="0"/>
        <v>ok</v>
      </c>
      <c r="H31" s="58">
        <f>'Jefferson Davis'!G13</f>
        <v>60261614</v>
      </c>
      <c r="I31" s="59">
        <f>'Jefferson Davis'!G19+'Jefferson Davis'!G20+'Jefferson Davis'!G21+'Jefferson Davis'!G22+'Jefferson Davis'!G23+'Jefferson Davis'!G24+'Jefferson Davis'!G25+'Jefferson Davis'!G26</f>
        <v>4789319</v>
      </c>
      <c r="J31" s="59">
        <f>'Jefferson Davis'!G27+'Jefferson Davis'!G28</f>
        <v>15498193</v>
      </c>
      <c r="K31" s="59">
        <f t="shared" si="1"/>
        <v>20287512</v>
      </c>
      <c r="L31" s="262" t="str">
        <f t="shared" si="2"/>
        <v>ok</v>
      </c>
      <c r="M31" s="58">
        <f>'Jefferson Davis'!G30</f>
        <v>20287512</v>
      </c>
      <c r="N31" s="59">
        <f>'Jefferson Davis'!G36+'Jefferson Davis'!G38+'Jefferson Davis'!G39+'Jefferson Davis'!G40+'Jefferson Davis'!G41+'Jefferson Davis'!G42+'Jefferson Davis'!G43</f>
        <v>39535651</v>
      </c>
      <c r="O31" s="59">
        <f t="shared" si="6"/>
        <v>39535651</v>
      </c>
      <c r="P31" s="59">
        <f t="shared" si="3"/>
        <v>59823163</v>
      </c>
      <c r="Q31" s="262" t="str">
        <f t="shared" si="4"/>
        <v>ok</v>
      </c>
      <c r="R31" s="58">
        <f>'Jefferson Davis'!G47-'Jefferson Davis'!G33</f>
        <v>59823163</v>
      </c>
      <c r="S31" s="223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</row>
    <row r="32" spans="1:318" ht="15.6">
      <c r="A32" s="260"/>
      <c r="B32" s="5" t="s">
        <v>767</v>
      </c>
      <c r="C32" s="59">
        <f>Lafayette!J7+Lafayette!J8+Lafayette!J9+Lafayette!J13+Lafayette!J12+Lafayette!J14+Lafayette!J15</f>
        <v>390309510</v>
      </c>
      <c r="D32" s="59">
        <f>C32-Lafayette!J14</f>
        <v>357957425</v>
      </c>
      <c r="E32" s="59">
        <f>Lafayette!J18+Lafayette!J19+Lafayette!J20+Lafayette!J21+Lafayette!J23+Lafayette!J24</f>
        <v>1535817947</v>
      </c>
      <c r="F32" s="59">
        <f t="shared" si="5"/>
        <v>1926127457</v>
      </c>
      <c r="G32" s="262" t="str">
        <f t="shared" si="0"/>
        <v>ok</v>
      </c>
      <c r="H32" s="58">
        <f>Lafayette!J26</f>
        <v>1926127457</v>
      </c>
      <c r="I32" s="59">
        <f>Lafayette!J32+Lafayette!J34+Lafayette!J35+Lafayette!J36+Lafayette!J37+Lafayette!J39</f>
        <v>58625761</v>
      </c>
      <c r="J32" s="59">
        <f>Lafayette!J40</f>
        <v>904296819</v>
      </c>
      <c r="K32" s="59">
        <f t="shared" si="1"/>
        <v>962922580</v>
      </c>
      <c r="L32" s="262" t="str">
        <f t="shared" si="2"/>
        <v>ok</v>
      </c>
      <c r="M32" s="58">
        <f>Lafayette!J42</f>
        <v>962922580</v>
      </c>
      <c r="N32" s="59">
        <f>Lafayette!J48+Lafayette!J50+Lafayette!J51+Lafayette!J52+Lafayette!J53</f>
        <v>997511216</v>
      </c>
      <c r="O32" s="59">
        <f t="shared" si="6"/>
        <v>997511216</v>
      </c>
      <c r="P32" s="59">
        <f t="shared" si="3"/>
        <v>1960433796</v>
      </c>
      <c r="Q32" s="262" t="str">
        <f t="shared" si="4"/>
        <v>ok</v>
      </c>
      <c r="R32" s="58">
        <f>Lafayette!J57</f>
        <v>1960433796</v>
      </c>
      <c r="S32" s="223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</row>
    <row r="33" spans="1:318" ht="15.6">
      <c r="A33" s="260"/>
      <c r="B33" s="5" t="s">
        <v>768</v>
      </c>
      <c r="C33" s="59">
        <f>Lafourche!J7+Lafourche!J8+Lafourche!J9+Lafourche!J10+Lafourche!J11</f>
        <v>78975073</v>
      </c>
      <c r="D33" s="59">
        <f>C33</f>
        <v>78975073</v>
      </c>
      <c r="E33" s="59">
        <f>Lafourche!J13+Lafourche!J14</f>
        <v>98974569</v>
      </c>
      <c r="F33" s="59">
        <f t="shared" si="5"/>
        <v>177949642</v>
      </c>
      <c r="G33" s="262" t="str">
        <f t="shared" si="0"/>
        <v>ok</v>
      </c>
      <c r="H33" s="58">
        <f>Lafourche!J16</f>
        <v>177949642</v>
      </c>
      <c r="I33" s="59">
        <f>Lafourche!J24+Lafourche!J25+Lafourche!J26+Lafourche!J27+Lafourche!J29</f>
        <v>10377999</v>
      </c>
      <c r="J33" s="59">
        <f>Lafourche!J30</f>
        <v>43892757</v>
      </c>
      <c r="K33" s="59">
        <f t="shared" si="1"/>
        <v>54270756</v>
      </c>
      <c r="L33" s="262" t="str">
        <f t="shared" si="2"/>
        <v>ok</v>
      </c>
      <c r="M33" s="58">
        <f>Lafourche!J32</f>
        <v>54270756</v>
      </c>
      <c r="N33" s="59">
        <f>Lafourche!J35+Lafourche!J37+Lafourche!J38+Lafourche!J39</f>
        <v>124676922</v>
      </c>
      <c r="O33" s="59">
        <f t="shared" si="6"/>
        <v>124676922</v>
      </c>
      <c r="P33" s="59">
        <f t="shared" si="3"/>
        <v>178947678</v>
      </c>
      <c r="Q33" s="262" t="str">
        <f t="shared" si="4"/>
        <v>ok</v>
      </c>
      <c r="R33" s="58">
        <f>Lafourche!J43</f>
        <v>178947678</v>
      </c>
      <c r="S33" s="22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</row>
    <row r="34" spans="1:318" ht="15.6">
      <c r="A34" s="260"/>
      <c r="B34" s="5" t="s">
        <v>769</v>
      </c>
      <c r="C34" s="59">
        <f>LaSalle!G6+LaSalle!G7+LaSalle!G8</f>
        <v>7242250</v>
      </c>
      <c r="D34" s="59">
        <f>C34</f>
        <v>7242250</v>
      </c>
      <c r="E34" s="59">
        <f>LaSalle!G9</f>
        <v>7095343</v>
      </c>
      <c r="F34" s="59">
        <f t="shared" si="5"/>
        <v>14337593</v>
      </c>
      <c r="G34" s="262" t="str">
        <f t="shared" si="0"/>
        <v>ok</v>
      </c>
      <c r="H34" s="58">
        <f>LaSalle!G11</f>
        <v>14337593</v>
      </c>
      <c r="I34" s="59">
        <f>LaSalle!G14+LaSalle!G15+LaSalle!G16+LaSalle!G17+LaSalle!G19</f>
        <v>2142380</v>
      </c>
      <c r="J34" s="59">
        <f>LaSalle!G20</f>
        <v>300699</v>
      </c>
      <c r="K34" s="59">
        <f t="shared" si="1"/>
        <v>2443079</v>
      </c>
      <c r="L34" s="262" t="str">
        <f t="shared" si="2"/>
        <v>ok</v>
      </c>
      <c r="M34" s="58">
        <f>LaSalle!G22</f>
        <v>2443079</v>
      </c>
      <c r="N34" s="59">
        <f>LaSalle!G25+LaSalle!G26</f>
        <v>11894514</v>
      </c>
      <c r="O34" s="59">
        <f t="shared" si="6"/>
        <v>11894514</v>
      </c>
      <c r="P34" s="59">
        <f t="shared" si="3"/>
        <v>14337593</v>
      </c>
      <c r="Q34" s="262" t="str">
        <f t="shared" si="4"/>
        <v>ok</v>
      </c>
      <c r="R34" s="58">
        <f>LaSalle!G30</f>
        <v>14337593</v>
      </c>
      <c r="S34" s="223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</row>
    <row r="35" spans="1:318" ht="15.6">
      <c r="A35" s="260"/>
      <c r="B35" s="5" t="s">
        <v>770</v>
      </c>
      <c r="C35" s="59">
        <f>Lincoln!G6+Lincoln!G7+Lincoln!G8+Lincoln!G9+Lincoln!G10</f>
        <v>40430967</v>
      </c>
      <c r="D35" s="59">
        <f>C35-Lincoln!G10</f>
        <v>40419385</v>
      </c>
      <c r="E35" s="59">
        <f>Lincoln!G12+Lincoln!G13</f>
        <v>22960409</v>
      </c>
      <c r="F35" s="59">
        <f t="shared" si="5"/>
        <v>63391376</v>
      </c>
      <c r="G35" s="262" t="str">
        <f t="shared" si="0"/>
        <v>ok</v>
      </c>
      <c r="H35" s="58">
        <f>Lincoln!G15</f>
        <v>63391376</v>
      </c>
      <c r="I35" s="59">
        <f>Lincoln!G21+Lincoln!G22+Lincoln!G25</f>
        <v>2463033</v>
      </c>
      <c r="J35" s="59">
        <f>Lincoln!G27+Lincoln!G28+Lincoln!G30</f>
        <v>4773438</v>
      </c>
      <c r="K35" s="59">
        <f t="shared" si="1"/>
        <v>7236471</v>
      </c>
      <c r="L35" s="262" t="str">
        <f t="shared" si="2"/>
        <v>ok</v>
      </c>
      <c r="M35" s="58">
        <f>Lincoln!G32</f>
        <v>7236471</v>
      </c>
      <c r="N35" s="59">
        <f>Lincoln!G35+Lincoln!G37+Lincoln!G38+Lincoln!G39</f>
        <v>56162724</v>
      </c>
      <c r="O35" s="59">
        <f t="shared" si="6"/>
        <v>56162724</v>
      </c>
      <c r="P35" s="59">
        <f t="shared" si="3"/>
        <v>63399195</v>
      </c>
      <c r="Q35" s="262" t="str">
        <f t="shared" si="4"/>
        <v>ok</v>
      </c>
      <c r="R35" s="58">
        <f>Lincoln!G43</f>
        <v>63399195</v>
      </c>
      <c r="S35" s="223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</row>
    <row r="36" spans="1:318" ht="15.6">
      <c r="A36" s="260"/>
      <c r="B36" s="5" t="s">
        <v>809</v>
      </c>
      <c r="C36" s="59">
        <f>Livingston!J6+Livingston!J7+Livingston!J8+Livingston!J9+Livingston!J11+Livingston!J12+Livingston!J13+Livingston!J14</f>
        <v>28011460</v>
      </c>
      <c r="D36" s="59">
        <f>C36-Livingston!J9</f>
        <v>27784195</v>
      </c>
      <c r="E36" s="59">
        <f>Livingston!J16+Livingston!J18+Livingston!J19</f>
        <v>160079549</v>
      </c>
      <c r="F36" s="59">
        <f t="shared" si="5"/>
        <v>188091009</v>
      </c>
      <c r="G36" s="262" t="str">
        <f t="shared" si="0"/>
        <v>ok</v>
      </c>
      <c r="H36" s="58">
        <f>Livingston!J21</f>
        <v>188091009</v>
      </c>
      <c r="I36" s="59">
        <f>Livingston!J29+Livingston!J30+Livingston!J31+Livingston!J32+Livingston!J33+Livingston!J35</f>
        <v>12594096</v>
      </c>
      <c r="J36" s="59">
        <f>Livingston!J36</f>
        <v>81510820</v>
      </c>
      <c r="K36" s="59">
        <f t="shared" si="1"/>
        <v>94104916</v>
      </c>
      <c r="L36" s="262" t="str">
        <f t="shared" si="2"/>
        <v>ok</v>
      </c>
      <c r="M36" s="58">
        <f>Livingston!J38</f>
        <v>94104916</v>
      </c>
      <c r="N36" s="59">
        <f>Livingston!J41+Livingston!J43+Livingston!J44+Livingston!J45+Livingston!J47+Livingston!J46</f>
        <v>97043938</v>
      </c>
      <c r="O36" s="59">
        <f t="shared" si="6"/>
        <v>97043938</v>
      </c>
      <c r="P36" s="59">
        <f t="shared" si="3"/>
        <v>191148854</v>
      </c>
      <c r="Q36" s="262" t="str">
        <f t="shared" si="4"/>
        <v>ok</v>
      </c>
      <c r="R36" s="58">
        <f>Livingston!J51</f>
        <v>191148854</v>
      </c>
      <c r="S36" s="223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</row>
    <row r="37" spans="1:318" ht="15.6">
      <c r="A37" s="261"/>
      <c r="B37" s="5" t="s">
        <v>772</v>
      </c>
      <c r="C37" s="59">
        <f>Madison!G6+Madison!G7+Madison!G8</f>
        <v>14150302</v>
      </c>
      <c r="D37" s="59">
        <f>C37</f>
        <v>14150302</v>
      </c>
      <c r="E37" s="59">
        <f>Madison!G9</f>
        <v>8087139</v>
      </c>
      <c r="F37" s="59">
        <f t="shared" si="5"/>
        <v>22237441</v>
      </c>
      <c r="G37" s="262" t="str">
        <f t="shared" si="0"/>
        <v>ok</v>
      </c>
      <c r="H37" s="58">
        <f>Madison!G11</f>
        <v>22237441</v>
      </c>
      <c r="I37" s="59">
        <f>Madison!G14+Madison!G16</f>
        <v>300101</v>
      </c>
      <c r="J37" s="59">
        <f>Madison!G17</f>
        <v>536212</v>
      </c>
      <c r="K37" s="59">
        <f t="shared" si="1"/>
        <v>836313</v>
      </c>
      <c r="L37" s="262" t="str">
        <f t="shared" si="2"/>
        <v>ok</v>
      </c>
      <c r="M37" s="58">
        <f>Madison!G19</f>
        <v>836313</v>
      </c>
      <c r="N37" s="59">
        <f>Madison!G22+Madison!G24+Madison!G25+Madison!G27+Madison!G26+Madison!G28+Madison!G29+Madison!G30</f>
        <v>21401128</v>
      </c>
      <c r="O37" s="59">
        <f t="shared" si="6"/>
        <v>21401128</v>
      </c>
      <c r="P37" s="59">
        <f t="shared" si="3"/>
        <v>22237441</v>
      </c>
      <c r="Q37" s="262" t="str">
        <f t="shared" si="4"/>
        <v>ok</v>
      </c>
      <c r="R37" s="58">
        <f>Madison!G34</f>
        <v>22237441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</row>
    <row r="38" spans="1:318" ht="15.6">
      <c r="A38" s="260"/>
      <c r="B38" s="5" t="s">
        <v>773</v>
      </c>
      <c r="C38" s="59">
        <f>Morehouse!G6+Morehouse!G7+Morehouse!G8</f>
        <v>7100391</v>
      </c>
      <c r="D38" s="59">
        <f>C38</f>
        <v>7100391</v>
      </c>
      <c r="E38" s="59">
        <f>Morehouse!G10+Morehouse!G11</f>
        <v>13394417</v>
      </c>
      <c r="F38" s="59">
        <f t="shared" si="5"/>
        <v>20494808</v>
      </c>
      <c r="G38" s="262" t="str">
        <f t="shared" si="0"/>
        <v>ok</v>
      </c>
      <c r="H38" s="58">
        <f>Morehouse!G13</f>
        <v>20494808</v>
      </c>
      <c r="I38" s="59">
        <f>Morehouse!G16+Morehouse!G17+Morehouse!G18+Morehouse!G20</f>
        <v>2436585</v>
      </c>
      <c r="J38" s="59">
        <f>0</f>
        <v>0</v>
      </c>
      <c r="K38" s="59">
        <f t="shared" si="1"/>
        <v>2436585</v>
      </c>
      <c r="L38" s="262" t="str">
        <f t="shared" si="2"/>
        <v>ok</v>
      </c>
      <c r="M38" s="58">
        <f>Morehouse!G22</f>
        <v>2436585</v>
      </c>
      <c r="N38" s="59">
        <f>Morehouse!G28+Morehouse!G29+Morehouse!G30</f>
        <v>15965776</v>
      </c>
      <c r="O38" s="59">
        <f t="shared" si="6"/>
        <v>15965776</v>
      </c>
      <c r="P38" s="59">
        <f t="shared" si="3"/>
        <v>18402361</v>
      </c>
      <c r="Q38" s="262" t="str">
        <f t="shared" si="4"/>
        <v>ok</v>
      </c>
      <c r="R38" s="58">
        <f>Morehouse!G34</f>
        <v>18402361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</row>
    <row r="39" spans="1:318" ht="15.6">
      <c r="A39" s="260"/>
      <c r="B39" s="5" t="s">
        <v>774</v>
      </c>
      <c r="C39" s="59">
        <f>Natchitoches!J7+Natchitoches!J8+Natchitoches!J10+Natchitoches!J11</f>
        <v>40668891</v>
      </c>
      <c r="D39" s="59">
        <f>C39-Natchitoches!J10</f>
        <v>39265592</v>
      </c>
      <c r="E39" s="59">
        <f>Natchitoches!J15+Natchitoches!J16+Natchitoches!J17+Natchitoches!J18+Natchitoches!J19+Natchitoches!J20+Natchitoches!J21+Natchitoches!J22+Natchitoches!J24</f>
        <v>50896020</v>
      </c>
      <c r="F39" s="59">
        <f t="shared" si="5"/>
        <v>91564911</v>
      </c>
      <c r="G39" s="262" t="str">
        <f t="shared" si="0"/>
        <v>ok</v>
      </c>
      <c r="H39" s="58">
        <f>Natchitoches!J26</f>
        <v>91564911</v>
      </c>
      <c r="I39" s="59">
        <f>Natchitoches!J29+Natchitoches!J30+Natchitoches!J31+Natchitoches!J32+Natchitoches!J34+Natchitoches!J35+Natchitoches!J37</f>
        <v>7670614</v>
      </c>
      <c r="J39" s="59">
        <f>Natchitoches!J38+Natchitoches!J39+Natchitoches!J40</f>
        <v>7341701</v>
      </c>
      <c r="K39" s="59">
        <f t="shared" si="1"/>
        <v>15012315</v>
      </c>
      <c r="L39" s="262" t="str">
        <f t="shared" si="2"/>
        <v>ok</v>
      </c>
      <c r="M39" s="58">
        <f>Natchitoches!J42</f>
        <v>15012315</v>
      </c>
      <c r="N39" s="59">
        <f>Natchitoches!J45+Natchitoches!J46+Natchitoches!J47</f>
        <v>126956132</v>
      </c>
      <c r="O39" s="59">
        <f t="shared" si="6"/>
        <v>126956132</v>
      </c>
      <c r="P39" s="59">
        <f t="shared" si="3"/>
        <v>141968447</v>
      </c>
      <c r="Q39" s="262" t="str">
        <f t="shared" si="4"/>
        <v>ok</v>
      </c>
      <c r="R39" s="58">
        <f>Natchitoches!J51</f>
        <v>141968447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</row>
    <row r="40" spans="1:318" ht="15.6">
      <c r="A40" s="260"/>
      <c r="B40" s="5" t="s">
        <v>775</v>
      </c>
      <c r="C40" s="59">
        <f>Orleans!H7+Orleans!H8+Orleans!H11+Orleans!H10+Orleans!H13+Orleans!H15+Orleans!H16+Orleans!H17</f>
        <v>400360</v>
      </c>
      <c r="D40" s="59">
        <f>C40</f>
        <v>400360</v>
      </c>
      <c r="E40" s="59">
        <f>Orleans!H19</f>
        <v>1595680</v>
      </c>
      <c r="F40" s="59">
        <f t="shared" si="5"/>
        <v>1996040</v>
      </c>
      <c r="G40" s="262" t="str">
        <f t="shared" si="0"/>
        <v>ok</v>
      </c>
      <c r="H40" s="58">
        <f>Orleans!H21</f>
        <v>1996040</v>
      </c>
      <c r="I40" s="59">
        <f>Orleans!H28+Orleans!H29+Orleans!H30+Orleans!H31+Orleans!H32+Orleans!H33+Orleans!H34+Orleans!H36</f>
        <v>218851</v>
      </c>
      <c r="J40" s="59">
        <f>Orleans!H37</f>
        <v>1481068</v>
      </c>
      <c r="K40" s="59">
        <f t="shared" si="1"/>
        <v>1699919</v>
      </c>
      <c r="L40" s="262" t="str">
        <f t="shared" si="2"/>
        <v>ok</v>
      </c>
      <c r="M40" s="58">
        <f>Orleans!H39</f>
        <v>1699919</v>
      </c>
      <c r="N40" s="59">
        <f>Orleans!H46+Orleans!H47+Orleans!H48+Orleans!H50</f>
        <v>295869</v>
      </c>
      <c r="O40" s="59">
        <f t="shared" si="6"/>
        <v>295869</v>
      </c>
      <c r="P40" s="59">
        <f t="shared" si="3"/>
        <v>1995788</v>
      </c>
      <c r="Q40" s="262" t="str">
        <f t="shared" si="4"/>
        <v>ok</v>
      </c>
      <c r="R40" s="58">
        <f>Orleans!H54</f>
        <v>1995788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</row>
    <row r="41" spans="1:318" ht="15.6">
      <c r="A41" s="260"/>
      <c r="B41" s="5" t="s">
        <v>776</v>
      </c>
      <c r="C41" s="59">
        <f>'Ouachita '!H7+'Ouachita '!H8+'Ouachita '!H10+'Ouachita '!H11+'Ouachita '!H12+'Ouachita '!H14+'Ouachita '!H13+'Ouachita '!H15+'Ouachita '!H17+'Ouachita '!H18</f>
        <v>103761708</v>
      </c>
      <c r="D41" s="59">
        <f>C41-'Ouachita '!H18</f>
        <v>103222033</v>
      </c>
      <c r="E41" s="59">
        <f>'Ouachita '!H19+'Ouachita '!H20</f>
        <v>183595430</v>
      </c>
      <c r="F41" s="59">
        <f t="shared" si="5"/>
        <v>287357138</v>
      </c>
      <c r="G41" s="262" t="str">
        <f t="shared" si="0"/>
        <v>ok</v>
      </c>
      <c r="H41" s="58">
        <f>'Ouachita '!H22</f>
        <v>287357138</v>
      </c>
      <c r="I41" s="59">
        <f>'Ouachita '!H25+'Ouachita '!H26+'Ouachita '!H27+'Ouachita '!H29</f>
        <v>9261232</v>
      </c>
      <c r="J41" s="59">
        <f>'Ouachita '!H30+'Ouachita '!H31</f>
        <v>8110424</v>
      </c>
      <c r="K41" s="59">
        <f t="shared" si="1"/>
        <v>17371656</v>
      </c>
      <c r="L41" s="262" t="str">
        <f t="shared" si="2"/>
        <v>ok</v>
      </c>
      <c r="M41" s="58">
        <f>'Ouachita '!H33</f>
        <v>17371656</v>
      </c>
      <c r="N41" s="59">
        <f>'Ouachita '!H36+'Ouachita '!H38+'Ouachita '!H39+'Ouachita '!H40+'Ouachita '!H41+'Ouachita '!H42+'Ouachita '!H43+'Ouachita '!H44+'Ouachita '!H45+'Ouachita '!H46+'Ouachita '!H47</f>
        <v>269985485</v>
      </c>
      <c r="O41" s="59">
        <f t="shared" si="6"/>
        <v>269985485</v>
      </c>
      <c r="P41" s="59">
        <f t="shared" si="3"/>
        <v>287357141</v>
      </c>
      <c r="Q41" s="262" t="str">
        <f t="shared" si="4"/>
        <v>ok</v>
      </c>
      <c r="R41" s="58">
        <f>'Ouachita '!H51</f>
        <v>287357141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</row>
    <row r="42" spans="1:318" ht="15.6">
      <c r="A42" s="260"/>
      <c r="B42" s="5" t="s">
        <v>777</v>
      </c>
      <c r="C42" s="59">
        <f>Plaquemines!J7+Plaquemines!J8+Plaquemines!J9+Plaquemines!J11</f>
        <v>195623540</v>
      </c>
      <c r="D42" s="59">
        <f t="shared" ref="D42:D47" si="8">C42</f>
        <v>195623540</v>
      </c>
      <c r="E42" s="59">
        <f>Plaquemines!J17+Plaquemines!J18</f>
        <v>576436236</v>
      </c>
      <c r="F42" s="59">
        <f t="shared" si="5"/>
        <v>772059776</v>
      </c>
      <c r="G42" s="262" t="str">
        <f t="shared" si="0"/>
        <v>ok</v>
      </c>
      <c r="H42" s="58">
        <f>Plaquemines!J22</f>
        <v>772059776</v>
      </c>
      <c r="I42" s="59">
        <f>Plaquemines!J26+Plaquemines!J27+Plaquemines!J28+Plaquemines!J29+Plaquemines!J30+Plaquemines!J31+Plaquemines!J32+Plaquemines!J33+Plaquemines!J34</f>
        <v>30093553</v>
      </c>
      <c r="J42" s="59">
        <f>Plaquemines!J39+Plaquemines!J40+Plaquemines!J41+Plaquemines!J42+Plaquemines!J43</f>
        <v>146926975</v>
      </c>
      <c r="K42" s="59">
        <f t="shared" si="1"/>
        <v>177020528</v>
      </c>
      <c r="L42" s="262" t="str">
        <f t="shared" si="2"/>
        <v>ok</v>
      </c>
      <c r="M42" s="58">
        <f>Plaquemines!J47</f>
        <v>177020528</v>
      </c>
      <c r="N42" s="59">
        <f>Plaquemines!J50+Plaquemines!J51+Plaquemines!J52</f>
        <v>595039248</v>
      </c>
      <c r="O42" s="59">
        <f t="shared" si="6"/>
        <v>595039248</v>
      </c>
      <c r="P42" s="59">
        <f t="shared" si="3"/>
        <v>772059776</v>
      </c>
      <c r="Q42" s="262" t="str">
        <f t="shared" si="4"/>
        <v>ok</v>
      </c>
      <c r="R42" s="58">
        <f>Plaquemines!J56</f>
        <v>772059776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</row>
    <row r="43" spans="1:318" ht="15.6">
      <c r="A43" s="260"/>
      <c r="B43" s="5" t="s">
        <v>810</v>
      </c>
      <c r="C43" s="59">
        <f>'Pointe Couppe'!H7+'Pointe Couppe'!H8+'Pointe Couppe'!H9+'Pointe Couppe'!H10+'Pointe Couppe'!H11+'Pointe Couppe'!H13+'Pointe Couppe'!H14</f>
        <v>8894717</v>
      </c>
      <c r="D43" s="59">
        <f t="shared" si="8"/>
        <v>8894717</v>
      </c>
      <c r="E43" s="59">
        <f>'Pointe Couppe'!H16+'Pointe Couppe'!H17</f>
        <v>19108491</v>
      </c>
      <c r="F43" s="59">
        <f t="shared" si="5"/>
        <v>28003208</v>
      </c>
      <c r="G43" s="262" t="str">
        <f t="shared" si="0"/>
        <v>ok</v>
      </c>
      <c r="H43" s="58">
        <f>'Pointe Couppe'!H19</f>
        <v>28003208</v>
      </c>
      <c r="I43" s="59">
        <f>'Pointe Couppe'!H22+'Pointe Couppe'!H23+'Pointe Couppe'!H24+'Pointe Couppe'!H26</f>
        <v>3171847</v>
      </c>
      <c r="J43" s="59">
        <f>'Pointe Couppe'!H27</f>
        <v>8092142</v>
      </c>
      <c r="K43" s="59">
        <f t="shared" si="1"/>
        <v>11263989</v>
      </c>
      <c r="L43" s="262" t="str">
        <f t="shared" si="2"/>
        <v>ok</v>
      </c>
      <c r="M43" s="58">
        <f>'Pointe Couppe'!H29</f>
        <v>11263989</v>
      </c>
      <c r="N43" s="59">
        <f>'Pointe Couppe'!H35+'Pointe Couppe'!H37+'Pointe Couppe'!H38+'Pointe Couppe'!H40</f>
        <v>16739219</v>
      </c>
      <c r="O43" s="59">
        <f t="shared" si="6"/>
        <v>16739219</v>
      </c>
      <c r="P43" s="59">
        <f t="shared" si="3"/>
        <v>28003208</v>
      </c>
      <c r="Q43" s="262" t="str">
        <f t="shared" si="4"/>
        <v>ok</v>
      </c>
      <c r="R43" s="58">
        <f>'Pointe Couppe'!H44</f>
        <v>28003208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</row>
    <row r="44" spans="1:318" ht="15.6">
      <c r="A44" s="260"/>
      <c r="B44" s="5" t="s">
        <v>779</v>
      </c>
      <c r="C44" s="59">
        <f>Rapides!H7+Rapides!H8+Rapides!H9</f>
        <v>73918701</v>
      </c>
      <c r="D44" s="59">
        <f t="shared" si="8"/>
        <v>73918701</v>
      </c>
      <c r="E44" s="59">
        <f>Rapides!H12+Rapides!H13+Rapides!H15+Rapides!H16+Rapides!H17</f>
        <v>54110945</v>
      </c>
      <c r="F44" s="59">
        <f t="shared" si="5"/>
        <v>128029646</v>
      </c>
      <c r="G44" s="262" t="str">
        <f t="shared" si="0"/>
        <v>ok</v>
      </c>
      <c r="H44" s="58">
        <f>Rapides!H19</f>
        <v>128029646</v>
      </c>
      <c r="I44" s="59">
        <f>Rapides!H23+Rapides!H22+Rapides!H24+Rapides!H26</f>
        <v>4089895</v>
      </c>
      <c r="J44" s="59">
        <f>Rapides!H27</f>
        <v>53531400</v>
      </c>
      <c r="K44" s="59">
        <f t="shared" si="1"/>
        <v>57621295</v>
      </c>
      <c r="L44" s="262" t="str">
        <f t="shared" si="2"/>
        <v>ok</v>
      </c>
      <c r="M44" s="58">
        <f>Rapides!H29</f>
        <v>57621295</v>
      </c>
      <c r="N44" s="59">
        <f>Rapides!H32+Rapides!H33+Rapides!H34</f>
        <v>70408350</v>
      </c>
      <c r="O44" s="59">
        <f t="shared" si="6"/>
        <v>70408350</v>
      </c>
      <c r="P44" s="59">
        <f t="shared" si="3"/>
        <v>128029645</v>
      </c>
      <c r="Q44" s="262" t="str">
        <f t="shared" si="4"/>
        <v>ok</v>
      </c>
      <c r="R44" s="58">
        <f>Rapides!H38</f>
        <v>128029645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</row>
    <row r="45" spans="1:318" ht="15.6">
      <c r="A45" s="260"/>
      <c r="B45" s="5" t="s">
        <v>780</v>
      </c>
      <c r="C45" s="59">
        <f>'Red River'!J7+'Red River'!J8+'Red River'!J9+'Red River'!J10</f>
        <v>36120145</v>
      </c>
      <c r="D45" s="59">
        <f t="shared" si="8"/>
        <v>36120145</v>
      </c>
      <c r="E45" s="59">
        <f>'Red River'!J15</f>
        <v>15561174</v>
      </c>
      <c r="F45" s="59">
        <f t="shared" si="5"/>
        <v>51681319</v>
      </c>
      <c r="G45" s="262" t="str">
        <f t="shared" si="0"/>
        <v>ok</v>
      </c>
      <c r="H45" s="58">
        <f>'Red River'!J17</f>
        <v>51681319</v>
      </c>
      <c r="I45" s="59">
        <f>'Red River'!J21+'Red River'!J22</f>
        <v>777501</v>
      </c>
      <c r="J45" s="59">
        <f>'Red River'!J27+'Red River'!J28</f>
        <v>157109</v>
      </c>
      <c r="K45" s="59">
        <f t="shared" si="1"/>
        <v>934610</v>
      </c>
      <c r="L45" s="262" t="str">
        <f t="shared" si="2"/>
        <v>ok</v>
      </c>
      <c r="M45" s="58">
        <f>'Red River'!J32</f>
        <v>934610</v>
      </c>
      <c r="N45" s="59">
        <f>'Red River'!J37+'Red River'!J39+'Red River'!J40+'Red River'!J41+'Red River'!J42+'Red River'!J43</f>
        <v>50746709</v>
      </c>
      <c r="O45" s="59">
        <f t="shared" si="6"/>
        <v>50746709</v>
      </c>
      <c r="P45" s="59">
        <f t="shared" si="3"/>
        <v>51681319</v>
      </c>
      <c r="Q45" s="262" t="str">
        <f t="shared" si="4"/>
        <v>ok</v>
      </c>
      <c r="R45" s="58">
        <f>'Red River'!J47</f>
        <v>51681319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</row>
    <row r="46" spans="1:318" ht="15.6">
      <c r="A46" s="260"/>
      <c r="B46" s="5" t="s">
        <v>781</v>
      </c>
      <c r="C46" s="59">
        <f>Richland!G6+Richland!G7</f>
        <v>10993809</v>
      </c>
      <c r="D46" s="59">
        <f t="shared" si="8"/>
        <v>10993809</v>
      </c>
      <c r="E46" s="59">
        <f>Richland!G9+Richland!G10</f>
        <v>2626068</v>
      </c>
      <c r="F46" s="59">
        <f t="shared" si="5"/>
        <v>13619877</v>
      </c>
      <c r="G46" s="262" t="str">
        <f t="shared" si="0"/>
        <v>ok</v>
      </c>
      <c r="H46" s="58">
        <f>Richland!G12</f>
        <v>13619877</v>
      </c>
      <c r="I46" s="59">
        <f>Richland!G15+Richland!G16</f>
        <v>454119</v>
      </c>
      <c r="J46" s="59">
        <f>0</f>
        <v>0</v>
      </c>
      <c r="K46" s="59">
        <f t="shared" si="1"/>
        <v>454119</v>
      </c>
      <c r="L46" s="262" t="str">
        <f t="shared" si="2"/>
        <v>ok</v>
      </c>
      <c r="M46" s="58">
        <f>Richland!G18</f>
        <v>454119</v>
      </c>
      <c r="N46" s="59">
        <f>Richland!G24+Richland!G25+Richland!G26</f>
        <v>10498247</v>
      </c>
      <c r="O46" s="59">
        <f t="shared" si="6"/>
        <v>10498247</v>
      </c>
      <c r="P46" s="59">
        <f t="shared" si="3"/>
        <v>10952366</v>
      </c>
      <c r="Q46" s="262" t="str">
        <f t="shared" si="4"/>
        <v>ok</v>
      </c>
      <c r="R46" s="58">
        <f>Richland!G30</f>
        <v>10952366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</row>
    <row r="47" spans="1:318" ht="15.6">
      <c r="A47" s="260"/>
      <c r="B47" s="5" t="s">
        <v>782</v>
      </c>
      <c r="C47" s="59">
        <f>Sabine!H7+Sabine!H8</f>
        <v>13250057</v>
      </c>
      <c r="D47" s="59">
        <f t="shared" si="8"/>
        <v>13250057</v>
      </c>
      <c r="E47" s="59">
        <f>Sabine!H10+Sabine!H11+Sabine!H12+Sabine!H13+Sabine!H14+Sabine!H16+Sabine!H17+Sabine!H18</f>
        <v>13877544</v>
      </c>
      <c r="F47" s="59">
        <f t="shared" si="5"/>
        <v>27127601</v>
      </c>
      <c r="G47" s="262" t="str">
        <f t="shared" si="0"/>
        <v>ok</v>
      </c>
      <c r="H47" s="58">
        <f>Sabine!H20</f>
        <v>27127601</v>
      </c>
      <c r="I47" s="59">
        <f>Sabine!H23+Sabine!H24+Sabine!H26</f>
        <v>834842</v>
      </c>
      <c r="J47" s="59">
        <f>Sabine!H27</f>
        <v>952478</v>
      </c>
      <c r="K47" s="59">
        <f t="shared" si="1"/>
        <v>1787320</v>
      </c>
      <c r="L47" s="262" t="str">
        <f t="shared" si="2"/>
        <v>ok</v>
      </c>
      <c r="M47" s="58">
        <f>Sabine!H29</f>
        <v>1787320</v>
      </c>
      <c r="N47" s="59">
        <f>Sabine!H32+Sabine!H33</f>
        <v>25340281</v>
      </c>
      <c r="O47" s="59">
        <f t="shared" si="6"/>
        <v>25340281</v>
      </c>
      <c r="P47" s="59">
        <f t="shared" si="3"/>
        <v>27127601</v>
      </c>
      <c r="Q47" s="262" t="str">
        <f t="shared" si="4"/>
        <v>ok</v>
      </c>
      <c r="R47" s="58">
        <f>Sabine!H37</f>
        <v>27127601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</row>
    <row r="48" spans="1:318" ht="15.6">
      <c r="A48" s="260"/>
      <c r="B48" s="5" t="s">
        <v>811</v>
      </c>
      <c r="C48" s="59">
        <f>'St. Bernard'!H7+'St. Bernard'!H8+'St. Bernard'!H9+'St. Bernard'!H11+'St. Bernard'!H12+'St. Bernard'!H13+'St. Bernard'!H14+'St. Bernard'!H15+'St. Bernard'!H16+'St. Bernard'!H17+'St. Bernard'!H19+'St. Bernard'!H20</f>
        <v>86681667</v>
      </c>
      <c r="D48" s="59">
        <f>C48-'St. Bernard'!H20</f>
        <v>86364420</v>
      </c>
      <c r="E48" s="59">
        <f>'St. Bernard'!H21+'St. Bernard'!H22+'St. Bernard'!H24+'St. Bernard'!H25</f>
        <v>611839283</v>
      </c>
      <c r="F48" s="59">
        <f t="shared" si="5"/>
        <v>698520950</v>
      </c>
      <c r="G48" s="262" t="str">
        <f t="shared" si="0"/>
        <v>ok</v>
      </c>
      <c r="H48" s="58">
        <f>'St. Bernard'!H27</f>
        <v>698520950</v>
      </c>
      <c r="I48" s="59">
        <f>'St. Bernard'!H30+'St. Bernard'!H31+'St. Bernard'!H32+'St. Bernard'!H33+'St. Bernard'!H34+'St. Bernard'!H35+'St. Bernard'!H36+'St. Bernard'!H37+'St. Bernard'!H39</f>
        <v>43263698</v>
      </c>
      <c r="J48" s="59">
        <f>'St. Bernard'!H40</f>
        <v>41156897</v>
      </c>
      <c r="K48" s="59">
        <f t="shared" si="1"/>
        <v>84420595</v>
      </c>
      <c r="L48" s="262" t="str">
        <f t="shared" si="2"/>
        <v>ok</v>
      </c>
      <c r="M48" s="58">
        <f>'St. Bernard'!H42</f>
        <v>84420595</v>
      </c>
      <c r="N48" s="59">
        <f>'St. Bernard'!H45+'St. Bernard'!H47+'St. Bernard'!H48+'St. Bernard'!H49+'St. Bernard'!H50+'St. Bernard'!H51+'St. Bernard'!H52</f>
        <v>614100355</v>
      </c>
      <c r="O48" s="59">
        <f t="shared" si="6"/>
        <v>614100355</v>
      </c>
      <c r="P48" s="59">
        <f t="shared" si="3"/>
        <v>698520950</v>
      </c>
      <c r="Q48" s="262" t="str">
        <f t="shared" si="4"/>
        <v>ok</v>
      </c>
      <c r="R48" s="58">
        <f>'St. Bernard'!H56</f>
        <v>698520950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</row>
    <row r="49" spans="1:318" ht="15.6">
      <c r="A49" s="260"/>
      <c r="B49" s="5" t="s">
        <v>812</v>
      </c>
      <c r="C49" s="59">
        <f>'St. Charles'!J7+'St. Charles'!J8+'St. Charles'!J9+'St. Charles'!J10+'St. Charles'!J12+'St. Charles'!J13+'St. Charles'!J14</f>
        <v>133342429</v>
      </c>
      <c r="D49" s="59">
        <f>C49-'St. Charles'!J12</f>
        <v>132908600</v>
      </c>
      <c r="E49" s="59">
        <f>'St. Charles'!J16+'St. Charles'!J17+'St. Charles'!J19+'St. Charles'!J20+'St. Charles'!J21+'St. Charles'!J22</f>
        <v>337246813</v>
      </c>
      <c r="F49" s="59">
        <f t="shared" si="5"/>
        <v>470589242</v>
      </c>
      <c r="G49" s="262" t="str">
        <f t="shared" si="0"/>
        <v>ok</v>
      </c>
      <c r="H49" s="58">
        <f>'St. Charles'!J24</f>
        <v>470589242</v>
      </c>
      <c r="I49" s="59">
        <f>'St. Charles'!J28+'St. Charles'!J30+'St. Charles'!J31+'St. Charles'!J32+'St. Charles'!J33+'St. Charles'!J34+'St. Charles'!J36</f>
        <v>14597876</v>
      </c>
      <c r="J49" s="59">
        <f>'St. Charles'!J37</f>
        <v>55859644</v>
      </c>
      <c r="K49" s="59">
        <f t="shared" si="1"/>
        <v>70457520</v>
      </c>
      <c r="L49" s="262" t="str">
        <f t="shared" si="2"/>
        <v>ok</v>
      </c>
      <c r="M49" s="58">
        <f>'St. Charles'!J41</f>
        <v>70457520</v>
      </c>
      <c r="N49" s="59">
        <f>'St. Charles'!J48+'St. Charles'!J50+'St. Charles'!J51+'St. Charles'!J52+'St. Charles'!J53+'St. Charles'!J54</f>
        <v>374263254</v>
      </c>
      <c r="O49" s="59">
        <f t="shared" si="6"/>
        <v>374263254</v>
      </c>
      <c r="P49" s="59">
        <f t="shared" si="3"/>
        <v>444720774</v>
      </c>
      <c r="Q49" s="262" t="str">
        <f t="shared" si="4"/>
        <v>ok</v>
      </c>
      <c r="R49" s="58">
        <f>'St. Charles'!J58</f>
        <v>444720774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</row>
    <row r="50" spans="1:318" ht="15.6">
      <c r="A50" s="260"/>
      <c r="B50" s="5" t="s">
        <v>813</v>
      </c>
      <c r="C50" s="59">
        <f>'St. Helena '!H7+'St. Helena '!H8+'St. Helena '!H9+'St. Helena '!H12</f>
        <v>8349918</v>
      </c>
      <c r="D50" s="59">
        <f>C50</f>
        <v>8349918</v>
      </c>
      <c r="E50" s="59">
        <f>'St. Helena '!H16+'St. Helena '!H24+'St. Helena '!H25</f>
        <v>18299315</v>
      </c>
      <c r="F50" s="59">
        <f t="shared" si="5"/>
        <v>26649233</v>
      </c>
      <c r="G50" s="262" t="str">
        <f t="shared" si="0"/>
        <v>ok</v>
      </c>
      <c r="H50" s="58">
        <f>'St. Helena '!H28</f>
        <v>26649233</v>
      </c>
      <c r="I50" s="59">
        <f>'St. Helena '!H32+'St. Helena '!H33+'St. Helena '!H34+'St. Helena '!H37+'St. Helena '!H38</f>
        <v>1572127</v>
      </c>
      <c r="J50" s="59">
        <f>'St. Helena '!H42+'St. Helena '!H43+'St. Helena '!H44+'St. Helena '!H45</f>
        <v>3505435</v>
      </c>
      <c r="K50" s="59">
        <f t="shared" si="1"/>
        <v>5077562</v>
      </c>
      <c r="L50" s="262" t="str">
        <f t="shared" si="2"/>
        <v>ok</v>
      </c>
      <c r="M50" s="58">
        <f>'St. Helena '!H48</f>
        <v>5077562</v>
      </c>
      <c r="N50" s="59">
        <f>'St. Helena '!H51+'St. Helena '!H53+'St. Helena '!H54+'St. Helena '!H55+'St. Helena '!H56</f>
        <v>21571671</v>
      </c>
      <c r="O50" s="59">
        <f t="shared" si="6"/>
        <v>21571671</v>
      </c>
      <c r="P50" s="59">
        <f t="shared" si="3"/>
        <v>26649233</v>
      </c>
      <c r="Q50" s="262" t="str">
        <f t="shared" si="4"/>
        <v>ok</v>
      </c>
      <c r="R50" s="58">
        <f>'St. Helena '!H60</f>
        <v>26649233</v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</row>
    <row r="51" spans="1:318" ht="15.6">
      <c r="A51" s="260"/>
      <c r="B51" s="5" t="s">
        <v>786</v>
      </c>
      <c r="C51" s="59">
        <f>'St. James'!I7+'St. James'!I8+'St. James'!I9+'St. James'!I11+'St. James'!I12+'St. James'!I15+'St. James'!I16</f>
        <v>68947457</v>
      </c>
      <c r="D51" s="59">
        <f>C51-'St. James'!I15</f>
        <v>68651584</v>
      </c>
      <c r="E51" s="59">
        <f>'St. James'!I18+'St. James'!I21+'St. James'!I22</f>
        <v>76767119</v>
      </c>
      <c r="F51" s="59">
        <f t="shared" si="5"/>
        <v>145714576</v>
      </c>
      <c r="G51" s="262" t="str">
        <f t="shared" si="0"/>
        <v>ok</v>
      </c>
      <c r="H51" s="58">
        <f>'St. James'!I24</f>
        <v>145714576</v>
      </c>
      <c r="I51" s="59">
        <f>'St. James'!I29+'St. James'!I30+'St. James'!I31+'St. James'!I32+'St. James'!I34</f>
        <v>8852356</v>
      </c>
      <c r="J51" s="59">
        <f>'St. James'!I35</f>
        <v>9446331</v>
      </c>
      <c r="K51" s="59">
        <f t="shared" si="1"/>
        <v>18298687</v>
      </c>
      <c r="L51" s="262" t="str">
        <f t="shared" si="2"/>
        <v>ok</v>
      </c>
      <c r="M51" s="58">
        <f>'St. James'!I37</f>
        <v>18298687</v>
      </c>
      <c r="N51" s="59">
        <f>'St. James'!I40+'St. James'!I42+'St. James'!I43+'St. James'!I44+'St. James'!I45+'St. James'!I46+'St. James'!I47+'St. James'!I48+'St. James'!I49+'St. James'!I50+'St. James'!I51</f>
        <v>127579525</v>
      </c>
      <c r="O51" s="59">
        <f t="shared" si="6"/>
        <v>127579525</v>
      </c>
      <c r="P51" s="59">
        <f t="shared" si="3"/>
        <v>145878212</v>
      </c>
      <c r="Q51" s="262" t="str">
        <f t="shared" si="4"/>
        <v>ok</v>
      </c>
      <c r="R51" s="58">
        <f>'St. James'!I55</f>
        <v>145878212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</row>
    <row r="52" spans="1:318" ht="15.6">
      <c r="A52" s="260"/>
      <c r="B52" s="5" t="s">
        <v>787</v>
      </c>
      <c r="C52" s="59">
        <f>'St. John the Baptist'!I7+'St. John the Baptist'!I8+'St. John the Baptist'!I10+'St. John the Baptist'!I11+'St. John the Baptist'!I12+'St. John the Baptist'!I13+'St. John the Baptist'!I14+'St. John the Baptist'!I15</f>
        <v>92005379</v>
      </c>
      <c r="D52" s="59">
        <f>C52-'St. John the Baptist'!I8</f>
        <v>91571325</v>
      </c>
      <c r="E52" s="59">
        <f>'St. John the Baptist'!I16+'St. John the Baptist'!I18+'St. John the Baptist'!I20</f>
        <v>215031285</v>
      </c>
      <c r="F52" s="59">
        <f t="shared" si="5"/>
        <v>307036664</v>
      </c>
      <c r="G52" s="262" t="str">
        <f t="shared" si="0"/>
        <v>ok</v>
      </c>
      <c r="H52" s="58">
        <f>'St. John the Baptist'!I22</f>
        <v>307036664</v>
      </c>
      <c r="I52" s="59">
        <f>'St. John the Baptist'!I25+'St. John the Baptist'!I26+'St. John the Baptist'!I27+'St. John the Baptist'!I28+'St. John the Baptist'!I29+'St. John the Baptist'!I30+'St. John the Baptist'!I32</f>
        <v>15018105</v>
      </c>
      <c r="J52" s="59">
        <f>'St. John the Baptist'!I33</f>
        <v>89077845</v>
      </c>
      <c r="K52" s="59">
        <f t="shared" si="1"/>
        <v>104095950</v>
      </c>
      <c r="L52" s="262" t="str">
        <f t="shared" si="2"/>
        <v>ok</v>
      </c>
      <c r="M52" s="58">
        <f>'St. John the Baptist'!I35</f>
        <v>104095950</v>
      </c>
      <c r="N52" s="59">
        <f>'St. John the Baptist'!I38+'St. John the Baptist'!I40+'St. John the Baptist'!I41+'St. John the Baptist'!I43+'St. John the Baptist'!I45</f>
        <v>202940714</v>
      </c>
      <c r="O52" s="59">
        <f t="shared" si="6"/>
        <v>202940714</v>
      </c>
      <c r="P52" s="59">
        <f t="shared" si="3"/>
        <v>307036664</v>
      </c>
      <c r="Q52" s="262" t="str">
        <f t="shared" si="4"/>
        <v>ok</v>
      </c>
      <c r="R52" s="58">
        <f>'St. John the Baptist'!I49</f>
        <v>307036664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</row>
    <row r="53" spans="1:318" ht="15.6">
      <c r="A53" s="260"/>
      <c r="B53" s="5" t="s">
        <v>788</v>
      </c>
      <c r="C53" s="59">
        <f>'St. Landry'!H7+'St. Landry'!H8+'St. Landry'!H9+'St. Landry'!H10+'St. Landry'!H11+'St. Landry'!H12</f>
        <v>8656227</v>
      </c>
      <c r="D53" s="59">
        <f t="shared" ref="D53:D58" si="9">C53</f>
        <v>8656227</v>
      </c>
      <c r="E53" s="59">
        <f>'St. Landry'!H18+'St. Landry'!H19+'St. Landry'!H20</f>
        <v>77493830</v>
      </c>
      <c r="F53" s="59">
        <f t="shared" si="5"/>
        <v>86150057</v>
      </c>
      <c r="G53" s="262" t="str">
        <f t="shared" si="0"/>
        <v>ok</v>
      </c>
      <c r="H53" s="58">
        <f>'St. Landry'!H22</f>
        <v>86150057</v>
      </c>
      <c r="I53" s="59">
        <f>'St. Landry'!H26+'St. Landry'!H27+'St. Landry'!H28+'St. Landry'!H29+'St. Landry'!H30+'St. Landry'!H31+'St. Landry'!H32+'St. Landry'!H33+'St. Landry'!H34+'St. Landry'!H35</f>
        <v>8247294</v>
      </c>
      <c r="J53" s="59">
        <f>'St. Landry'!H41+'St. Landry'!H42+'St. Landry'!H43</f>
        <v>60220640</v>
      </c>
      <c r="K53" s="59">
        <f t="shared" si="1"/>
        <v>68467934</v>
      </c>
      <c r="L53" s="262" t="str">
        <f t="shared" si="2"/>
        <v>ok</v>
      </c>
      <c r="M53" s="58">
        <f>'St. Landry'!H47</f>
        <v>68467934</v>
      </c>
      <c r="N53" s="59">
        <f>'St. Landry'!H50+'St. Landry'!H51+'St. Landry'!H52+'St. Landry'!H53+'St. Landry'!H54</f>
        <v>17682123</v>
      </c>
      <c r="O53" s="59">
        <f t="shared" si="6"/>
        <v>17682123</v>
      </c>
      <c r="P53" s="59">
        <f t="shared" si="3"/>
        <v>86150057</v>
      </c>
      <c r="Q53" s="262" t="str">
        <f t="shared" si="4"/>
        <v>ok</v>
      </c>
      <c r="R53" s="58">
        <f>'St. Landry'!H58</f>
        <v>86150057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</row>
    <row r="54" spans="1:318" ht="15.6">
      <c r="A54" s="260"/>
      <c r="B54" s="5" t="s">
        <v>789</v>
      </c>
      <c r="C54" s="59">
        <f>'St. Martin'!J6+'St. Martin'!J7+'St. Martin'!J8+'St. Martin'!J9</f>
        <v>39648566</v>
      </c>
      <c r="D54" s="59">
        <f t="shared" si="9"/>
        <v>39648566</v>
      </c>
      <c r="E54" s="59">
        <f>'St. Martin'!J11+'St. Martin'!J12</f>
        <v>70733989</v>
      </c>
      <c r="F54" s="59">
        <f t="shared" si="5"/>
        <v>110382555</v>
      </c>
      <c r="G54" s="262" t="str">
        <f t="shared" si="0"/>
        <v>ok</v>
      </c>
      <c r="H54" s="58">
        <f>'St. Martin'!J14</f>
        <v>110382555</v>
      </c>
      <c r="I54" s="59">
        <f>'St. Martin'!J17+'St. Martin'!J18+'St. Martin'!J19+'St. Martin'!J20+'St. Martin'!J21+'St. Martin'!J22+'St. Martin'!J24+'St. Martin'!J26</f>
        <v>4301177</v>
      </c>
      <c r="J54" s="59">
        <f>'St. Martin'!J25+'St. Martin'!J27+'St. Martin'!J28+'St. Martin'!J29</f>
        <v>28669196</v>
      </c>
      <c r="K54" s="59">
        <f t="shared" si="1"/>
        <v>32970373</v>
      </c>
      <c r="L54" s="262" t="str">
        <f t="shared" si="2"/>
        <v>ok</v>
      </c>
      <c r="M54" s="58">
        <f>'St. Martin'!J31</f>
        <v>32970373</v>
      </c>
      <c r="N54" s="59">
        <f>'St. Martin'!J34+'St. Martin'!J36+'St. Martin'!J37+'St. Martin'!J38</f>
        <v>77412182</v>
      </c>
      <c r="O54" s="59">
        <f t="shared" si="6"/>
        <v>77412182</v>
      </c>
      <c r="P54" s="59">
        <f t="shared" si="3"/>
        <v>110382555</v>
      </c>
      <c r="Q54" s="262" t="str">
        <f t="shared" si="4"/>
        <v>ok</v>
      </c>
      <c r="R54" s="58">
        <f>'St. Martin'!J42</f>
        <v>110382555</v>
      </c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</row>
    <row r="55" spans="1:318" ht="15.6">
      <c r="A55" s="260"/>
      <c r="B55" s="5" t="s">
        <v>790</v>
      </c>
      <c r="C55" s="59">
        <f>'St. Mary'!J8+'St. Mary'!J9+'St. Mary'!J10+'St. Mary'!J11+'St. Mary'!J12+'St. Mary'!J13</f>
        <v>35061065</v>
      </c>
      <c r="D55" s="59">
        <f t="shared" si="9"/>
        <v>35061065</v>
      </c>
      <c r="E55" s="59">
        <f>'St. Mary'!J19+'St. Mary'!J20+'St. Mary'!J25+'St. Mary'!J26+'St. Mary'!J28+'St. Mary'!J30+'St. Mary'!J31+'St. Mary'!J32</f>
        <v>132509980</v>
      </c>
      <c r="F55" s="59">
        <f t="shared" si="5"/>
        <v>167571045</v>
      </c>
      <c r="G55" s="262" t="str">
        <f t="shared" si="0"/>
        <v>ok</v>
      </c>
      <c r="H55" s="58">
        <f>'St. Mary'!J36</f>
        <v>167571045</v>
      </c>
      <c r="I55" s="59">
        <f>'St. Mary'!J45+'St. Mary'!J46+'St. Mary'!J47+'St. Mary'!J48+'St. Mary'!J49+'St. Mary'!J50+'St. Mary'!J51+'St. Mary'!J52</f>
        <v>7856818</v>
      </c>
      <c r="J55" s="59">
        <f>'St. Mary'!J57+'St. Mary'!J58+'St. Mary'!J59+'St. Mary'!J60</f>
        <v>42258480</v>
      </c>
      <c r="K55" s="59">
        <f t="shared" si="1"/>
        <v>50115298</v>
      </c>
      <c r="L55" s="262" t="str">
        <f t="shared" si="2"/>
        <v>ok</v>
      </c>
      <c r="M55" s="58">
        <f>'St. Mary'!J64</f>
        <v>50115298</v>
      </c>
      <c r="N55" s="59">
        <f>'St. Mary'!J67+'St. Mary'!J69+'St. Mary'!J70+'St. Mary'!J71</f>
        <v>117675747</v>
      </c>
      <c r="O55" s="59">
        <f t="shared" si="6"/>
        <v>117675747</v>
      </c>
      <c r="P55" s="59">
        <f t="shared" si="3"/>
        <v>167791045</v>
      </c>
      <c r="Q55" s="262" t="str">
        <f t="shared" si="4"/>
        <v>ok</v>
      </c>
      <c r="R55" s="58">
        <f>'St. Mary'!J75</f>
        <v>167791045</v>
      </c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</row>
    <row r="56" spans="1:318" ht="15.6">
      <c r="A56" s="260"/>
      <c r="B56" s="5" t="s">
        <v>791</v>
      </c>
      <c r="C56" s="59">
        <f>'St. Tammany'!J7+'St. Tammany'!J8+'St. Tammany'!J9+'St. Tammany'!J10+'St. Tammany'!J12</f>
        <v>238643716</v>
      </c>
      <c r="D56" s="59">
        <f t="shared" si="9"/>
        <v>238643716</v>
      </c>
      <c r="E56" s="59">
        <f>'St. Tammany'!J13+'St. Tammany'!J14+'St. Tammany'!J16+'St. Tammany'!J17</f>
        <v>493530300</v>
      </c>
      <c r="F56" s="59">
        <f t="shared" si="5"/>
        <v>732174016</v>
      </c>
      <c r="G56" s="262" t="str">
        <f t="shared" si="0"/>
        <v>ok</v>
      </c>
      <c r="H56" s="58">
        <f>'St. Tammany'!J19</f>
        <v>732174016</v>
      </c>
      <c r="I56" s="59">
        <f>'St. Tammany'!J27+'St. Tammany'!J29+'St. Tammany'!J30+'St. Tammany'!J31+'St. Tammany'!J32+'St. Tammany'!J34</f>
        <v>48822768</v>
      </c>
      <c r="J56" s="59">
        <f>'St. Tammany'!J35</f>
        <v>133068597</v>
      </c>
      <c r="K56" s="59">
        <f t="shared" si="1"/>
        <v>181891365</v>
      </c>
      <c r="L56" s="262" t="str">
        <f t="shared" si="2"/>
        <v>ok</v>
      </c>
      <c r="M56" s="58">
        <f>'St. Tammany'!J37</f>
        <v>181891365</v>
      </c>
      <c r="N56" s="59">
        <f>'St. Tammany'!J40+'St. Tammany'!J42+'St. Tammany'!J43+'St. Tammany'!J44+'St. Tammany'!J45+'St. Tammany'!J46+'St. Tammany'!J47+'St. Tammany'!J48+'St. Tammany'!J49+'St. Tammany'!J50+'St. Tammany'!J51+'St. Tammany'!J52</f>
        <v>555013069</v>
      </c>
      <c r="O56" s="59">
        <f t="shared" si="6"/>
        <v>555013069</v>
      </c>
      <c r="P56" s="59">
        <f t="shared" si="3"/>
        <v>736904434</v>
      </c>
      <c r="Q56" s="262" t="str">
        <f t="shared" si="4"/>
        <v>ok</v>
      </c>
      <c r="R56" s="58">
        <f>'St. Tammany'!J56</f>
        <v>736904434</v>
      </c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</row>
    <row r="57" spans="1:318" ht="15.6">
      <c r="A57" s="260"/>
      <c r="B57" s="5" t="s">
        <v>792</v>
      </c>
      <c r="C57" s="59">
        <f>Tangipahoa!H7+Tangipahoa!H9+Tangipahoa!H10</f>
        <v>26406465</v>
      </c>
      <c r="D57" s="59">
        <f t="shared" si="9"/>
        <v>26406465</v>
      </c>
      <c r="E57" s="59">
        <f>Tangipahoa!H11+Tangipahoa!H13</f>
        <v>181665614</v>
      </c>
      <c r="F57" s="59">
        <f t="shared" si="5"/>
        <v>208072079</v>
      </c>
      <c r="G57" s="262" t="str">
        <f t="shared" si="0"/>
        <v>ok</v>
      </c>
      <c r="H57" s="58">
        <f>Tangipahoa!H15</f>
        <v>208072079</v>
      </c>
      <c r="I57" s="59">
        <f>Tangipahoa!H18+Tangipahoa!H19+Tangipahoa!H22</f>
        <v>3285125</v>
      </c>
      <c r="J57" s="59">
        <f>Tangipahoa!H23+Tangipahoa!H24</f>
        <v>9962635</v>
      </c>
      <c r="K57" s="59">
        <f t="shared" si="1"/>
        <v>13247760</v>
      </c>
      <c r="L57" s="262" t="str">
        <f t="shared" si="2"/>
        <v>ok</v>
      </c>
      <c r="M57" s="58">
        <f>Tangipahoa!H26</f>
        <v>13247760</v>
      </c>
      <c r="N57" s="59">
        <f>Tangipahoa!H34+Tangipahoa!H37+Tangipahoa!H38+Tangipahoa!H39</f>
        <v>194673951</v>
      </c>
      <c r="O57" s="59">
        <f t="shared" si="6"/>
        <v>194673951</v>
      </c>
      <c r="P57" s="59">
        <f t="shared" si="3"/>
        <v>207921711</v>
      </c>
      <c r="Q57" s="262" t="str">
        <f t="shared" si="4"/>
        <v>ok</v>
      </c>
      <c r="R57" s="58">
        <f>Tangipahoa!H43</f>
        <v>207921711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</row>
    <row r="58" spans="1:318" ht="15.6">
      <c r="A58" s="260"/>
      <c r="B58" s="5" t="s">
        <v>793</v>
      </c>
      <c r="C58" s="59">
        <f>Tensas!G6+Tensas!G7+Tensas!G9</f>
        <v>4366966</v>
      </c>
      <c r="D58" s="59">
        <f t="shared" si="9"/>
        <v>4366966</v>
      </c>
      <c r="E58" s="59">
        <f>Tensas!G10+Tensas!G11</f>
        <v>8678956</v>
      </c>
      <c r="F58" s="59">
        <f t="shared" si="5"/>
        <v>13045922</v>
      </c>
      <c r="G58" s="262" t="str">
        <f t="shared" si="0"/>
        <v>ok</v>
      </c>
      <c r="H58" s="58">
        <f>Tensas!G13</f>
        <v>13045922</v>
      </c>
      <c r="I58" s="59">
        <f>Tensas!G17+Tensas!G16+Tensas!G19</f>
        <v>305598</v>
      </c>
      <c r="J58" s="59">
        <f>Tensas!G20</f>
        <v>1429057</v>
      </c>
      <c r="K58" s="59">
        <f t="shared" si="1"/>
        <v>1734655</v>
      </c>
      <c r="L58" s="262" t="str">
        <f t="shared" si="2"/>
        <v>ok</v>
      </c>
      <c r="M58" s="58">
        <f>Tensas!G22</f>
        <v>1734655</v>
      </c>
      <c r="N58" s="59">
        <f>Tensas!G25+Tensas!G27+Tensas!G28+Tensas!G29</f>
        <v>11311267</v>
      </c>
      <c r="O58" s="59">
        <f t="shared" si="6"/>
        <v>11311267</v>
      </c>
      <c r="P58" s="59">
        <f t="shared" si="3"/>
        <v>13045922</v>
      </c>
      <c r="Q58" s="262" t="str">
        <f t="shared" si="4"/>
        <v>ok</v>
      </c>
      <c r="R58" s="58">
        <f>Tensas!G33</f>
        <v>13045922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</row>
    <row r="59" spans="1:318" ht="15.6">
      <c r="A59" s="260"/>
      <c r="B59" s="5" t="s">
        <v>794</v>
      </c>
      <c r="C59" s="59">
        <f>Terrebonne!J7+Terrebonne!J8+Terrebonne!J9+Terrebonne!J11+Terrebonne!J12+Terrebonne!J14+Terrebonne!J13</f>
        <v>278669525</v>
      </c>
      <c r="D59" s="59">
        <f>C59-Terrebonne!J13</f>
        <v>276763649</v>
      </c>
      <c r="E59" s="59">
        <f>Terrebonne!J16+Terrebonne!J17+Terrebonne!J18+Terrebonne!J19+Terrebonne!J21+Terrebonne!J22</f>
        <v>478199019</v>
      </c>
      <c r="F59" s="59">
        <f t="shared" si="5"/>
        <v>756868544</v>
      </c>
      <c r="G59" s="262" t="str">
        <f t="shared" si="0"/>
        <v>ok</v>
      </c>
      <c r="H59" s="58">
        <f>Terrebonne!J24</f>
        <v>756868544</v>
      </c>
      <c r="I59" s="59">
        <f>Terrebonne!J29+Terrebonne!J30+Terrebonne!J31+Terrebonne!J32+Terrebonne!J33+Terrebonne!J34+Terrebonne!J35+Terrebonne!J37</f>
        <v>83901457</v>
      </c>
      <c r="J59" s="59">
        <f>Terrebonne!J38</f>
        <v>136844244</v>
      </c>
      <c r="K59" s="59">
        <f t="shared" si="1"/>
        <v>220745701</v>
      </c>
      <c r="L59" s="262" t="str">
        <f t="shared" si="2"/>
        <v>ok</v>
      </c>
      <c r="M59" s="58">
        <f>Terrebonne!J40</f>
        <v>220745701</v>
      </c>
      <c r="N59" s="59">
        <f>Terrebonne!J45+Terrebonne!J47+Terrebonne!J48+Terrebonne!J49+Terrebonne!J50+Terrebonne!J51+Terrebonne!J52+Terrebonne!J53+Terrebonne!J54+Terrebonne!J55+Terrebonne!J56+Terrebonne!J57+Terrebonne!J59</f>
        <v>536210327</v>
      </c>
      <c r="O59" s="59">
        <f t="shared" si="6"/>
        <v>536210327</v>
      </c>
      <c r="P59" s="59">
        <f t="shared" si="3"/>
        <v>756956028</v>
      </c>
      <c r="Q59" s="262" t="str">
        <f t="shared" si="4"/>
        <v>ok</v>
      </c>
      <c r="R59" s="58">
        <f>Terrebonne!J63</f>
        <v>756956028</v>
      </c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</row>
    <row r="60" spans="1:318" ht="15.6">
      <c r="A60" s="260"/>
      <c r="B60" s="5" t="s">
        <v>795</v>
      </c>
      <c r="C60" s="59">
        <f>Union!G6+Union!G7+Union!G8</f>
        <v>18315521</v>
      </c>
      <c r="D60" s="59">
        <f t="shared" ref="D60:D68" si="10">C60</f>
        <v>18315521</v>
      </c>
      <c r="E60" s="59">
        <f>Union!G9</f>
        <v>12227890</v>
      </c>
      <c r="F60" s="59">
        <f t="shared" si="5"/>
        <v>30543411</v>
      </c>
      <c r="G60" s="262" t="str">
        <f t="shared" si="0"/>
        <v>ok</v>
      </c>
      <c r="H60" s="58">
        <f>Union!G11</f>
        <v>30543411</v>
      </c>
      <c r="I60" s="59">
        <f>Union!G14+Union!G15+Union!G16+Union!G17+Union!G18+Union!G20</f>
        <v>2696850</v>
      </c>
      <c r="J60" s="59">
        <f>Union!G19+Union!G21+Union!G22+Union!G23</f>
        <v>7708657</v>
      </c>
      <c r="K60" s="59">
        <f t="shared" si="1"/>
        <v>10405507</v>
      </c>
      <c r="L60" s="262" t="str">
        <f t="shared" si="2"/>
        <v>ok</v>
      </c>
      <c r="M60" s="58">
        <f>Union!G25</f>
        <v>10405507</v>
      </c>
      <c r="N60" s="59">
        <f>Union!G31+Union!G32+Union!G33</f>
        <v>20123710</v>
      </c>
      <c r="O60" s="59">
        <f t="shared" si="6"/>
        <v>20123710</v>
      </c>
      <c r="P60" s="59">
        <f t="shared" si="3"/>
        <v>30529217</v>
      </c>
      <c r="Q60" s="262" t="str">
        <f t="shared" si="4"/>
        <v>ok</v>
      </c>
      <c r="R60" s="58">
        <f>Union!G37</f>
        <v>30529217</v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</row>
    <row r="61" spans="1:318" ht="15.6">
      <c r="A61" s="260"/>
      <c r="B61" s="5" t="s">
        <v>814</v>
      </c>
      <c r="C61" s="59">
        <f>Vermilion!H7+Vermilion!H8+Vermilion!H9+Vermilion!H10+Vermilion!H11</f>
        <v>69793529</v>
      </c>
      <c r="D61" s="59">
        <f t="shared" si="10"/>
        <v>69793529</v>
      </c>
      <c r="E61" s="59">
        <f>Vermilion!H12</f>
        <v>81804386</v>
      </c>
      <c r="F61" s="59">
        <f t="shared" si="5"/>
        <v>151597915</v>
      </c>
      <c r="G61" s="262" t="str">
        <f t="shared" si="0"/>
        <v>ok</v>
      </c>
      <c r="H61" s="58">
        <f>Vermilion!H14</f>
        <v>151597915</v>
      </c>
      <c r="I61" s="59">
        <f>Vermilion!H17+Vermilion!H18+Vermilion!H19+Vermilion!H21+Vermilion!H24</f>
        <v>4429530</v>
      </c>
      <c r="J61" s="59">
        <f>Vermilion!H23+Vermilion!H25</f>
        <v>4852892</v>
      </c>
      <c r="K61" s="59">
        <f t="shared" si="1"/>
        <v>9282422</v>
      </c>
      <c r="L61" s="262" t="str">
        <f t="shared" si="2"/>
        <v>ok</v>
      </c>
      <c r="M61" s="58">
        <f>Vermilion!H27</f>
        <v>9282422</v>
      </c>
      <c r="N61" s="59">
        <f>Vermilion!H33+Vermilion!H35+Vermilion!H36+Vermilion!H37</f>
        <v>141228898</v>
      </c>
      <c r="O61" s="59">
        <f t="shared" si="6"/>
        <v>141228898</v>
      </c>
      <c r="P61" s="59">
        <f t="shared" si="3"/>
        <v>150511320</v>
      </c>
      <c r="Q61" s="262" t="str">
        <f t="shared" si="4"/>
        <v>ok</v>
      </c>
      <c r="R61" s="58">
        <f>Vermilion!H41</f>
        <v>150511320</v>
      </c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</row>
    <row r="62" spans="1:318" ht="15.6">
      <c r="A62" s="260"/>
      <c r="B62" s="5" t="s">
        <v>797</v>
      </c>
      <c r="C62" s="59">
        <f>Vernon!H7+Vernon!H8+Vernon!H9+Vernon!H10</f>
        <v>25607086</v>
      </c>
      <c r="D62" s="59">
        <f t="shared" si="10"/>
        <v>25607086</v>
      </c>
      <c r="E62" s="59">
        <f>Vernon!H12+Vernon!H13+Vernon!H14+Vernon!H15+Vernon!H17+Vernon!H16</f>
        <v>53015684</v>
      </c>
      <c r="F62" s="59">
        <f t="shared" si="5"/>
        <v>78622770</v>
      </c>
      <c r="G62" s="262" t="str">
        <f t="shared" si="0"/>
        <v>ok</v>
      </c>
      <c r="H62" s="58">
        <f>Vernon!H19</f>
        <v>78622770</v>
      </c>
      <c r="I62" s="59">
        <f>Vernon!H22+Vernon!H23+Vernon!H24+Vernon!H26</f>
        <v>2274929</v>
      </c>
      <c r="J62" s="59">
        <f>Vernon!H27</f>
        <v>23278107</v>
      </c>
      <c r="K62" s="59">
        <f t="shared" si="1"/>
        <v>25553036</v>
      </c>
      <c r="L62" s="262" t="str">
        <f t="shared" si="2"/>
        <v>ok</v>
      </c>
      <c r="M62" s="58">
        <f>Vernon!H29</f>
        <v>25553036</v>
      </c>
      <c r="N62" s="59">
        <f>Vernon!H32+Vernon!H34+Vernon!H35+Vernon!H36</f>
        <v>53069733</v>
      </c>
      <c r="O62" s="59">
        <f t="shared" si="6"/>
        <v>53069733</v>
      </c>
      <c r="P62" s="59">
        <f t="shared" si="3"/>
        <v>78622769</v>
      </c>
      <c r="Q62" s="262" t="str">
        <f t="shared" si="4"/>
        <v>ok</v>
      </c>
      <c r="R62" s="58">
        <f>Vernon!H40</f>
        <v>78622769</v>
      </c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</row>
    <row r="63" spans="1:318" ht="15.6">
      <c r="A63" s="260"/>
      <c r="B63" s="5" t="s">
        <v>798</v>
      </c>
      <c r="C63" s="59">
        <f>Washington!J7+Washington!J8+Washington!J9+Washington!J10+Washington!J11+Washington!J12+Washington!J13+Washington!J14</f>
        <v>14122458</v>
      </c>
      <c r="D63" s="59">
        <f t="shared" si="10"/>
        <v>14122458</v>
      </c>
      <c r="E63" s="59">
        <f>Washington!J16+Washington!J17+Washington!J18</f>
        <v>39100282</v>
      </c>
      <c r="F63" s="59">
        <f t="shared" si="5"/>
        <v>53222740</v>
      </c>
      <c r="G63" s="262" t="str">
        <f t="shared" si="0"/>
        <v>ok</v>
      </c>
      <c r="H63" s="58">
        <f>Washington!J20</f>
        <v>53222740</v>
      </c>
      <c r="I63" s="59">
        <f>Washington!J23+Washington!J24+Washington!J25+Washington!J26+Washington!J27+Washington!J29</f>
        <v>4814479</v>
      </c>
      <c r="J63" s="59">
        <f>Washington!J30</f>
        <v>3010000</v>
      </c>
      <c r="K63" s="59">
        <f t="shared" si="1"/>
        <v>7824479</v>
      </c>
      <c r="L63" s="262" t="str">
        <f t="shared" si="2"/>
        <v>ok</v>
      </c>
      <c r="M63" s="58">
        <f>Washington!J32</f>
        <v>7824479</v>
      </c>
      <c r="N63" s="59">
        <f>Washington!J35+Washington!J37+Washington!J38+Washington!J39+Washington!J40+Washington!J41+Washington!J42+Washington!J43</f>
        <v>45398261</v>
      </c>
      <c r="O63" s="59">
        <f t="shared" si="6"/>
        <v>45398261</v>
      </c>
      <c r="P63" s="59">
        <f t="shared" si="3"/>
        <v>53222740</v>
      </c>
      <c r="Q63" s="262" t="str">
        <f t="shared" si="4"/>
        <v>ok</v>
      </c>
      <c r="R63" s="58">
        <f>Washington!J47</f>
        <v>53222740</v>
      </c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</row>
    <row r="64" spans="1:318" ht="15.6">
      <c r="A64" s="260"/>
      <c r="B64" s="5" t="s">
        <v>799</v>
      </c>
      <c r="C64" s="59">
        <f>Webster!H7+Webster!H8+Webster!H9+Webster!H10</f>
        <v>16808235</v>
      </c>
      <c r="D64" s="59">
        <f t="shared" si="10"/>
        <v>16808235</v>
      </c>
      <c r="E64" s="59">
        <f>Webster!H12+Webster!H13</f>
        <v>11754250</v>
      </c>
      <c r="F64" s="59">
        <f t="shared" si="5"/>
        <v>28562485</v>
      </c>
      <c r="G64" s="262" t="str">
        <f t="shared" si="0"/>
        <v>ok</v>
      </c>
      <c r="H64" s="58">
        <f>Webster!H15</f>
        <v>28562485</v>
      </c>
      <c r="I64" s="59">
        <f>Webster!H18+Webster!H19+Webster!H21+Webster!H22+Webster!H23+Webster!H24+Webster!H26</f>
        <v>1041995</v>
      </c>
      <c r="J64" s="59">
        <f>Webster!H27</f>
        <v>3321167</v>
      </c>
      <c r="K64" s="59">
        <f t="shared" si="1"/>
        <v>4363162</v>
      </c>
      <c r="L64" s="262" t="str">
        <f t="shared" si="2"/>
        <v>ok</v>
      </c>
      <c r="M64" s="58">
        <f>Webster!H29</f>
        <v>4363162</v>
      </c>
      <c r="N64" s="59">
        <f>Webster!H32+Webster!H34+Webster!H35+Webster!H36+Webster!H37+Webster!H38+Webster!H39+Webster!H40+Webster!H41+Webster!H42+Webster!H44</f>
        <v>24199323</v>
      </c>
      <c r="O64" s="59">
        <f t="shared" si="6"/>
        <v>24199323</v>
      </c>
      <c r="P64" s="59">
        <f t="shared" si="3"/>
        <v>28562485</v>
      </c>
      <c r="Q64" s="262" t="str">
        <f t="shared" si="4"/>
        <v>ok</v>
      </c>
      <c r="R64" s="58">
        <f>Webster!H48</f>
        <v>28562485</v>
      </c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</row>
    <row r="65" spans="1:318" ht="15.6">
      <c r="A65" s="260"/>
      <c r="B65" s="5" t="s">
        <v>800</v>
      </c>
      <c r="C65" s="59">
        <f>'West Baton Rouge'!G7+'West Baton Rouge'!G8+'West Baton Rouge'!G9+'West Baton Rouge'!G10+'West Baton Rouge'!G11+'West Baton Rouge'!G12+'West Baton Rouge'!G13</f>
        <v>38203320</v>
      </c>
      <c r="D65" s="59">
        <f t="shared" si="10"/>
        <v>38203320</v>
      </c>
      <c r="E65" s="59">
        <f>'West Baton Rouge'!G15+'West Baton Rouge'!G16</f>
        <v>61751667</v>
      </c>
      <c r="F65" s="59">
        <f t="shared" si="5"/>
        <v>99954987</v>
      </c>
      <c r="G65" s="262" t="str">
        <f t="shared" si="0"/>
        <v>ok</v>
      </c>
      <c r="H65" s="58">
        <f>'West Baton Rouge'!G18</f>
        <v>99954987</v>
      </c>
      <c r="I65" s="59">
        <f>'West Baton Rouge'!G21+'West Baton Rouge'!G23</f>
        <v>904971</v>
      </c>
      <c r="J65" s="59">
        <f>'West Baton Rouge'!G24</f>
        <v>8665014</v>
      </c>
      <c r="K65" s="59">
        <f t="shared" si="1"/>
        <v>9569985</v>
      </c>
      <c r="L65" s="262" t="str">
        <f t="shared" si="2"/>
        <v>ok</v>
      </c>
      <c r="M65" s="58">
        <f>'West Baton Rouge'!G26</f>
        <v>9569985</v>
      </c>
      <c r="N65" s="59">
        <f>'West Baton Rouge'!G34+'West Baton Rouge'!G36+'West Baton Rouge'!G37+'West Baton Rouge'!G38</f>
        <v>81328063</v>
      </c>
      <c r="O65" s="59">
        <f t="shared" si="6"/>
        <v>81328063</v>
      </c>
      <c r="P65" s="59">
        <f t="shared" si="3"/>
        <v>90898048</v>
      </c>
      <c r="Q65" s="262" t="str">
        <f t="shared" si="4"/>
        <v>ok</v>
      </c>
      <c r="R65" s="58">
        <f>'West Baton Rouge'!G42</f>
        <v>90898048</v>
      </c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</row>
    <row r="66" spans="1:318" ht="15.6">
      <c r="A66" s="260"/>
      <c r="B66" s="5" t="s">
        <v>801</v>
      </c>
      <c r="C66" s="59">
        <f>'West Carroll'!H7+'West Carroll'!H8+'West Carroll'!H9</f>
        <v>8107425</v>
      </c>
      <c r="D66" s="59">
        <f t="shared" si="10"/>
        <v>8107425</v>
      </c>
      <c r="E66" s="59">
        <f>'West Carroll'!H10</f>
        <v>14156782</v>
      </c>
      <c r="F66" s="59">
        <f t="shared" si="5"/>
        <v>22264207</v>
      </c>
      <c r="G66" s="262" t="str">
        <f t="shared" si="0"/>
        <v>ok</v>
      </c>
      <c r="H66" s="58">
        <f>'West Carroll'!H12</f>
        <v>22264207</v>
      </c>
      <c r="I66" s="59">
        <f>'West Carroll'!H15+'West Carroll'!H16+'West Carroll'!H17+'West Carroll'!H18</f>
        <v>438702</v>
      </c>
      <c r="J66" s="59">
        <f>'West Carroll'!H19+'West Carroll'!H20</f>
        <v>2527245</v>
      </c>
      <c r="K66" s="59">
        <f t="shared" si="1"/>
        <v>2965947</v>
      </c>
      <c r="L66" s="262" t="str">
        <f t="shared" si="2"/>
        <v>ok</v>
      </c>
      <c r="M66" s="58">
        <f>'West Carroll'!H22</f>
        <v>2965947</v>
      </c>
      <c r="N66" s="59">
        <f>'West Carroll'!H28+'West Carroll'!H30+'West Carroll'!H31+'West Carroll'!H32+'West Carroll'!H33</f>
        <v>19117895</v>
      </c>
      <c r="O66" s="59">
        <f t="shared" si="6"/>
        <v>19117895</v>
      </c>
      <c r="P66" s="59">
        <f t="shared" si="3"/>
        <v>22083842</v>
      </c>
      <c r="Q66" s="262" t="str">
        <f t="shared" si="4"/>
        <v>ok</v>
      </c>
      <c r="R66" s="58">
        <f>'West Carroll'!H37</f>
        <v>22083842</v>
      </c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</row>
    <row r="67" spans="1:318" ht="15.6">
      <c r="A67" s="260"/>
      <c r="B67" s="5" t="s">
        <v>802</v>
      </c>
      <c r="C67" s="59">
        <f>'West Feliciana'!J7+'West Feliciana'!J9+'West Feliciana'!J10+'West Feliciana'!J11+'West Feliciana'!J12+'West Feliciana'!J14</f>
        <v>15048203</v>
      </c>
      <c r="D67" s="59">
        <f t="shared" si="10"/>
        <v>15048203</v>
      </c>
      <c r="E67" s="59">
        <f>'West Feliciana'!J16+'West Feliciana'!J18+'West Feliciana'!J21+'West Feliciana'!J22</f>
        <v>29185307</v>
      </c>
      <c r="F67" s="59">
        <f t="shared" si="5"/>
        <v>44233510</v>
      </c>
      <c r="G67" s="262" t="str">
        <f>IF(F67=H67, "ok", "check")</f>
        <v>ok</v>
      </c>
      <c r="H67" s="58">
        <f>'West Feliciana'!J24</f>
        <v>44233510</v>
      </c>
      <c r="I67" s="59">
        <f>'West Feliciana'!J28+'West Feliciana'!J29+'West Feliciana'!J30+'West Feliciana'!J31+'West Feliciana'!J34</f>
        <v>2668680</v>
      </c>
      <c r="J67" s="59">
        <f>'West Feliciana'!J35</f>
        <v>6563852</v>
      </c>
      <c r="K67" s="59">
        <f t="shared" si="1"/>
        <v>9232532</v>
      </c>
      <c r="L67" s="262" t="str">
        <f t="shared" si="2"/>
        <v>ok</v>
      </c>
      <c r="M67" s="58">
        <f>'West Feliciana'!J37</f>
        <v>9232532</v>
      </c>
      <c r="N67" s="59">
        <f>'West Feliciana'!J41+'West Feliciana'!J43+'West Feliciana'!J44+'West Feliciana'!J45+'West Feliciana'!J46+'West Feliciana'!J47+'West Feliciana'!J48+'West Feliciana'!J49</f>
        <v>35000978</v>
      </c>
      <c r="O67" s="59">
        <f t="shared" si="6"/>
        <v>35000978</v>
      </c>
      <c r="P67" s="59">
        <f t="shared" si="3"/>
        <v>44233510</v>
      </c>
      <c r="Q67" s="262" t="str">
        <f t="shared" si="4"/>
        <v>ok</v>
      </c>
      <c r="R67" s="58">
        <f>'West Feliciana'!J53</f>
        <v>44233510</v>
      </c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</row>
    <row r="68" spans="1:318" ht="15.6">
      <c r="A68" s="260"/>
      <c r="B68" s="5" t="s">
        <v>803</v>
      </c>
      <c r="C68" s="59">
        <f>Winn!H7+Winn!H8</f>
        <v>4187145</v>
      </c>
      <c r="D68" s="59">
        <f t="shared" si="10"/>
        <v>4187145</v>
      </c>
      <c r="E68" s="59">
        <f>Winn!H11+Winn!H14+Winn!H15+Winn!H16</f>
        <v>5894411</v>
      </c>
      <c r="F68" s="59">
        <f t="shared" si="5"/>
        <v>10081556</v>
      </c>
      <c r="G68" s="262" t="str">
        <f t="shared" si="0"/>
        <v>ok</v>
      </c>
      <c r="H68" s="58">
        <f>Winn!H18</f>
        <v>10081556</v>
      </c>
      <c r="I68" s="59">
        <f>Winn!H21+Winn!H22+Winn!H24</f>
        <v>496458</v>
      </c>
      <c r="J68" s="59">
        <f>Winn!H25</f>
        <v>1785000</v>
      </c>
      <c r="K68" s="59">
        <f t="shared" si="1"/>
        <v>2281458</v>
      </c>
      <c r="L68" s="262" t="str">
        <f t="shared" si="2"/>
        <v>ok</v>
      </c>
      <c r="M68" s="58">
        <f>Winn!H27</f>
        <v>2281458</v>
      </c>
      <c r="N68" s="59">
        <f>Winn!H31+Winn!H32</f>
        <v>7786956</v>
      </c>
      <c r="O68" s="59">
        <f t="shared" si="6"/>
        <v>7786956</v>
      </c>
      <c r="P68" s="59">
        <f t="shared" si="3"/>
        <v>10068414</v>
      </c>
      <c r="Q68" s="262" t="str">
        <f t="shared" si="4"/>
        <v>ok</v>
      </c>
      <c r="R68" s="58">
        <f>Winn!H36</f>
        <v>10068414</v>
      </c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</row>
    <row r="69" spans="1:318" ht="15.6">
      <c r="A69" s="260"/>
      <c r="G69" s="247"/>
      <c r="H69" s="54"/>
      <c r="L69" s="262"/>
      <c r="M69" s="54"/>
      <c r="Q69" s="262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</row>
    <row r="70" spans="1:318">
      <c r="C70" s="59">
        <f>SUM(C5:C68)</f>
        <v>4233918035.8900003</v>
      </c>
      <c r="D70" s="59"/>
      <c r="E70" s="59">
        <f>SUM(E5:E68)</f>
        <v>10961456260.24</v>
      </c>
      <c r="F70" s="59">
        <f t="shared" ref="F70" si="11">SUM(F5:F68)</f>
        <v>15195374296.130001</v>
      </c>
      <c r="G70" s="247" t="str">
        <f t="shared" ref="G70" si="12">IF(F70=H70, "ok", "check")</f>
        <v>ok</v>
      </c>
      <c r="H70" s="263">
        <f>SUM(H5:H68)</f>
        <v>15195374296.130001</v>
      </c>
      <c r="I70" s="263">
        <f t="shared" ref="I70:K70" si="13">SUM(I5:I68)</f>
        <v>735654170.70000005</v>
      </c>
      <c r="J70" s="263">
        <f t="shared" si="13"/>
        <v>4575285636</v>
      </c>
      <c r="K70" s="263">
        <f t="shared" si="13"/>
        <v>5310939806.6999998</v>
      </c>
      <c r="L70" s="262" t="str">
        <f t="shared" ref="L70" si="14">IF(K70=M70, "ok", "check")</f>
        <v>ok</v>
      </c>
      <c r="M70" s="264">
        <f>SUM(M5:M68)</f>
        <v>5310939806.6999998</v>
      </c>
      <c r="N70" s="264"/>
      <c r="O70" s="264">
        <f t="shared" ref="O70:P70" si="15">SUM(O5:O68)</f>
        <v>10042862161.43</v>
      </c>
      <c r="P70" s="264">
        <f t="shared" si="15"/>
        <v>15353801968.130001</v>
      </c>
      <c r="Q70" s="262" t="str">
        <f t="shared" si="4"/>
        <v>ok</v>
      </c>
      <c r="R70" s="265">
        <f>SUM(R5:R68)</f>
        <v>15353801968.130001</v>
      </c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</row>
  </sheetData>
  <mergeCells count="1">
    <mergeCell ref="A3:B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V315"/>
  <sheetViews>
    <sheetView tabSelected="1" topLeftCell="A25" workbookViewId="0">
      <selection activeCell="J31" sqref="J31:J34"/>
    </sheetView>
  </sheetViews>
  <sheetFormatPr defaultColWidth="8.85546875" defaultRowHeight="14.45"/>
  <cols>
    <col min="1" max="1" width="12.7109375" bestFit="1" customWidth="1"/>
    <col min="2" max="2" width="25.42578125" customWidth="1"/>
    <col min="3" max="3" width="13.85546875" bestFit="1" customWidth="1"/>
    <col min="4" max="5" width="15.140625" bestFit="1" customWidth="1"/>
    <col min="6" max="6" width="16.28515625" bestFit="1" customWidth="1"/>
    <col min="7" max="7" width="13.85546875" bestFit="1" customWidth="1"/>
    <col min="8" max="8" width="14.7109375" bestFit="1" customWidth="1"/>
    <col min="9" max="9" width="21" bestFit="1" customWidth="1"/>
    <col min="10" max="10" width="11.7109375" style="70" customWidth="1"/>
    <col min="11" max="11" width="16.28515625" bestFit="1" customWidth="1"/>
    <col min="12" max="12" width="18.140625" bestFit="1" customWidth="1"/>
    <col min="13" max="13" width="18.85546875" bestFit="1" customWidth="1"/>
    <col min="14" max="14" width="37.28515625" bestFit="1" customWidth="1"/>
    <col min="15" max="15" width="36.85546875" bestFit="1" customWidth="1"/>
    <col min="16" max="16" width="35.7109375" bestFit="1" customWidth="1"/>
    <col min="17" max="17" width="24.42578125" bestFit="1" customWidth="1"/>
    <col min="18" max="18" width="24.28515625" bestFit="1" customWidth="1"/>
    <col min="19" max="19" width="37.28515625" bestFit="1" customWidth="1"/>
    <col min="20" max="20" width="17" bestFit="1" customWidth="1"/>
    <col min="21" max="21" width="23.7109375" bestFit="1" customWidth="1"/>
    <col min="22" max="22" width="11.7109375" bestFit="1" customWidth="1"/>
    <col min="23" max="23" width="14.42578125" bestFit="1" customWidth="1"/>
    <col min="24" max="24" width="17.28515625" hidden="1" customWidth="1"/>
    <col min="25" max="25" width="18.140625" bestFit="1" customWidth="1"/>
    <col min="26" max="26" width="48" bestFit="1" customWidth="1"/>
    <col min="27" max="27" width="19.42578125" bestFit="1" customWidth="1"/>
    <col min="28" max="28" width="21.42578125" bestFit="1" customWidth="1"/>
    <col min="29" max="29" width="25.140625" bestFit="1" customWidth="1"/>
    <col min="30" max="30" width="39.42578125" bestFit="1" customWidth="1"/>
    <col min="31" max="31" width="11.7109375" bestFit="1" customWidth="1"/>
    <col min="32" max="32" width="17.42578125" customWidth="1"/>
    <col min="33" max="33" width="19.7109375" hidden="1" customWidth="1"/>
  </cols>
  <sheetData>
    <row r="1" spans="1:48" ht="15.95" thickBot="1">
      <c r="A1" s="11" t="s">
        <v>715</v>
      </c>
      <c r="B1" s="11"/>
      <c r="C1" s="12"/>
      <c r="D1" s="12"/>
      <c r="E1" s="12"/>
      <c r="F1" s="12"/>
      <c r="G1" s="12"/>
      <c r="H1" s="12"/>
      <c r="I1" s="12"/>
      <c r="J1" s="71"/>
      <c r="K1" s="14"/>
      <c r="L1" s="14"/>
      <c r="M1" s="15"/>
      <c r="N1" s="15"/>
      <c r="O1" s="15"/>
      <c r="P1" s="15"/>
      <c r="Q1" s="15"/>
      <c r="R1" s="15"/>
      <c r="S1" s="15"/>
      <c r="T1" s="15"/>
      <c r="U1" s="15"/>
      <c r="V1" s="15"/>
      <c r="W1" s="13"/>
      <c r="X1" s="14"/>
      <c r="Y1" s="14"/>
      <c r="Z1" s="16"/>
      <c r="AA1" s="17"/>
      <c r="AB1" s="17"/>
      <c r="AC1" s="17"/>
      <c r="AD1" s="17"/>
      <c r="AE1" s="17"/>
      <c r="AF1" s="18"/>
      <c r="AG1" s="19"/>
    </row>
    <row r="2" spans="1:48" ht="17.45" thickBot="1">
      <c r="B2" s="20"/>
      <c r="C2" s="21" t="s">
        <v>716</v>
      </c>
      <c r="D2" s="22"/>
      <c r="E2" s="22"/>
      <c r="F2" s="22"/>
      <c r="G2" s="22"/>
      <c r="H2" s="22"/>
      <c r="I2" s="22"/>
      <c r="J2" s="72"/>
      <c r="K2" s="24"/>
      <c r="L2" s="24"/>
      <c r="M2" s="25"/>
      <c r="N2" s="26" t="s">
        <v>717</v>
      </c>
      <c r="O2" s="25"/>
      <c r="P2" s="25"/>
      <c r="Q2" s="25"/>
      <c r="R2" s="25"/>
      <c r="S2" s="27" t="s">
        <v>718</v>
      </c>
      <c r="T2" s="28"/>
      <c r="U2" s="25"/>
      <c r="V2" s="25"/>
      <c r="W2" s="23"/>
      <c r="X2" s="24"/>
      <c r="Y2" s="24"/>
      <c r="Z2" s="29"/>
      <c r="AA2" s="30" t="s">
        <v>719</v>
      </c>
      <c r="AB2" s="16"/>
      <c r="AC2" s="16"/>
      <c r="AD2" s="16"/>
      <c r="AE2" s="16"/>
      <c r="AF2" s="31"/>
      <c r="AG2" s="32"/>
    </row>
    <row r="3" spans="1:48" ht="15.95" thickBot="1">
      <c r="A3" s="278" t="s">
        <v>720</v>
      </c>
      <c r="B3" s="279"/>
      <c r="C3" s="33" t="s">
        <v>5</v>
      </c>
      <c r="D3" s="34" t="s">
        <v>6</v>
      </c>
      <c r="E3" s="35" t="s">
        <v>47</v>
      </c>
      <c r="F3" s="36" t="s">
        <v>220</v>
      </c>
      <c r="G3" s="69" t="s">
        <v>721</v>
      </c>
      <c r="H3" s="37" t="s">
        <v>722</v>
      </c>
      <c r="I3" s="38" t="s">
        <v>723</v>
      </c>
      <c r="J3" s="73" t="s">
        <v>724</v>
      </c>
      <c r="K3" s="40" t="s">
        <v>724</v>
      </c>
      <c r="L3" s="24"/>
      <c r="M3" s="41" t="s">
        <v>725</v>
      </c>
      <c r="N3" s="42" t="s">
        <v>726</v>
      </c>
      <c r="O3" s="43" t="s">
        <v>727</v>
      </c>
      <c r="P3" s="35" t="s">
        <v>728</v>
      </c>
      <c r="Q3" s="68" t="s">
        <v>729</v>
      </c>
      <c r="R3" s="44" t="s">
        <v>730</v>
      </c>
      <c r="S3" s="45" t="s">
        <v>731</v>
      </c>
      <c r="T3" s="37" t="s">
        <v>732</v>
      </c>
      <c r="U3" s="46" t="s">
        <v>733</v>
      </c>
      <c r="V3" s="39" t="s">
        <v>724</v>
      </c>
      <c r="W3" s="40" t="s">
        <v>724</v>
      </c>
      <c r="X3" s="47"/>
      <c r="Y3" s="24"/>
      <c r="Z3" s="48" t="s">
        <v>734</v>
      </c>
      <c r="AA3" s="49" t="s">
        <v>445</v>
      </c>
      <c r="AB3" s="50" t="s">
        <v>735</v>
      </c>
      <c r="AC3" s="51" t="s">
        <v>736</v>
      </c>
      <c r="AD3" s="52" t="s">
        <v>737</v>
      </c>
      <c r="AE3" s="39" t="s">
        <v>724</v>
      </c>
      <c r="AF3" s="40" t="s">
        <v>724</v>
      </c>
    </row>
    <row r="4" spans="1:48" ht="31.5" thickBot="1">
      <c r="A4" s="280" t="s">
        <v>738</v>
      </c>
      <c r="B4" s="281"/>
      <c r="J4" s="53"/>
      <c r="K4" s="54"/>
      <c r="L4" s="180" t="s">
        <v>16</v>
      </c>
      <c r="V4" s="53"/>
      <c r="W4" s="54"/>
      <c r="X4" s="55" t="s">
        <v>739</v>
      </c>
      <c r="Y4" s="180" t="s">
        <v>91</v>
      </c>
      <c r="AE4" s="53"/>
      <c r="AF4" s="54"/>
    </row>
    <row r="5" spans="1:48" ht="15.6">
      <c r="A5" s="56"/>
      <c r="B5" s="57" t="s">
        <v>740</v>
      </c>
      <c r="J5" s="53"/>
      <c r="K5" s="54"/>
      <c r="L5" s="55" t="s">
        <v>739</v>
      </c>
      <c r="V5" s="53"/>
      <c r="W5" s="54"/>
      <c r="X5" s="55"/>
      <c r="Y5" s="55" t="s">
        <v>739</v>
      </c>
      <c r="AE5" s="53"/>
      <c r="AF5" s="54"/>
    </row>
    <row r="6" spans="1:48" s="104" customFormat="1" ht="15.6">
      <c r="A6" s="108"/>
      <c r="B6" s="109" t="s">
        <v>741</v>
      </c>
      <c r="C6" s="110">
        <f>CSG!C6+CSB!C6</f>
        <v>8972007</v>
      </c>
      <c r="D6" s="110">
        <f>CSG!D6+CSB!D6</f>
        <v>7896569</v>
      </c>
      <c r="E6" s="110">
        <f>CSG!E6+CSB!E6</f>
        <v>571560</v>
      </c>
      <c r="F6" s="110">
        <f>CSG!F6+CSB!F6</f>
        <v>52992711</v>
      </c>
      <c r="G6" s="110">
        <f>CSG!G6+CSB!G6</f>
        <v>6062012</v>
      </c>
      <c r="H6" s="110">
        <f>CSG!H6+CSB!H6</f>
        <v>0</v>
      </c>
      <c r="I6" s="110">
        <f t="shared" ref="I6:I7" si="0">SUM(C6:H6)</f>
        <v>76494859</v>
      </c>
      <c r="J6" s="113" t="str">
        <f t="shared" ref="J6:J69" si="1">IF(I6=K6, "ok", "check")</f>
        <v>ok</v>
      </c>
      <c r="K6" s="111">
        <f>Acadia!H17</f>
        <v>76494859</v>
      </c>
      <c r="L6" s="236"/>
      <c r="M6" s="110">
        <f>CSG!M6+CSB!L6</f>
        <v>1555644</v>
      </c>
      <c r="N6" s="110">
        <f>CSG!N6+CSB!M6</f>
        <v>374244</v>
      </c>
      <c r="O6" s="110">
        <f>CSG!O6+CSB!N6</f>
        <v>1542435</v>
      </c>
      <c r="P6" s="110">
        <f>CSG!P6+CSB!O6</f>
        <v>11233348</v>
      </c>
      <c r="Q6" s="110">
        <f>CSG!Q6+CSB!P6</f>
        <v>0</v>
      </c>
      <c r="R6" s="110">
        <f>CSG!R6+CSB!Q6</f>
        <v>0</v>
      </c>
      <c r="S6" s="110">
        <f>CSG!S6+CSB!R6</f>
        <v>0</v>
      </c>
      <c r="T6" s="110">
        <f>CSG!T6+CSB!S6</f>
        <v>7203993</v>
      </c>
      <c r="U6" s="110">
        <f t="shared" ref="U6:U7" si="2">SUM(M6:T6)</f>
        <v>21909664</v>
      </c>
      <c r="V6" s="113" t="str">
        <f t="shared" ref="V6:V69" si="3">IF(U6=W6, "ok", "check")</f>
        <v>ok</v>
      </c>
      <c r="W6" s="111">
        <f>Acadia!H42</f>
        <v>21909664</v>
      </c>
      <c r="X6" s="112"/>
      <c r="Y6" s="236"/>
      <c r="Z6" s="110">
        <f>Acadia!H49</f>
        <v>40241750</v>
      </c>
      <c r="AA6" s="110">
        <f>Acadia!H51+Acadia!H52+Acadia!H53</f>
        <v>9644334</v>
      </c>
      <c r="AB6" s="110">
        <f>Acadia!H54</f>
        <v>4705745</v>
      </c>
      <c r="AC6" s="110">
        <f t="shared" ref="AC6:AC7" si="4">SUM(Z6:AB6)</f>
        <v>54591829</v>
      </c>
      <c r="AD6" s="110">
        <f>SUM(AC6,U6)</f>
        <v>76501493</v>
      </c>
      <c r="AE6" s="113" t="str">
        <f t="shared" ref="AE6:AE69" si="5">IF(AD6=AF6, "ok", "check")</f>
        <v>ok</v>
      </c>
      <c r="AF6" s="111">
        <f>Acadia!H58</f>
        <v>76501493</v>
      </c>
    </row>
    <row r="7" spans="1:48" ht="15.6">
      <c r="A7" s="56"/>
      <c r="B7" s="3" t="s">
        <v>742</v>
      </c>
      <c r="C7" s="110">
        <f>CSG!C7+CSB!C7</f>
        <v>14858366</v>
      </c>
      <c r="D7" s="110">
        <f>CSG!D7+CSB!D7</f>
        <v>0</v>
      </c>
      <c r="E7" s="110">
        <f>CSG!E7+CSB!E7</f>
        <v>6484761</v>
      </c>
      <c r="F7" s="110">
        <f>CSG!F7+CSB!F7</f>
        <v>10737729</v>
      </c>
      <c r="G7" s="110">
        <f>CSG!G7+CSB!G7</f>
        <v>0</v>
      </c>
      <c r="H7" s="110">
        <f>CSG!H7+CSB!H7</f>
        <v>313803</v>
      </c>
      <c r="I7" s="59">
        <f t="shared" si="0"/>
        <v>32394659</v>
      </c>
      <c r="J7" s="113" t="str">
        <f t="shared" si="1"/>
        <v>ok</v>
      </c>
      <c r="K7" s="58">
        <f>Allen!G13</f>
        <v>32394659</v>
      </c>
      <c r="L7" s="181"/>
      <c r="M7" s="110">
        <f>CSG!M7+CSB!L7</f>
        <v>628113</v>
      </c>
      <c r="N7" s="110">
        <f>CSG!N7+CSB!M7</f>
        <v>0</v>
      </c>
      <c r="O7" s="110">
        <f>CSG!O7+CSB!N7</f>
        <v>88940</v>
      </c>
      <c r="P7" s="110">
        <f>CSG!P7+CSB!O7</f>
        <v>1297691</v>
      </c>
      <c r="Q7" s="110">
        <f>CSG!Q7+CSB!P7</f>
        <v>0</v>
      </c>
      <c r="R7" s="110">
        <f>CSG!R7+CSB!Q7</f>
        <v>0</v>
      </c>
      <c r="S7" s="110">
        <f>CSG!S7+CSB!R7</f>
        <v>0</v>
      </c>
      <c r="T7" s="110">
        <f>CSG!T7+CSB!S7</f>
        <v>48703</v>
      </c>
      <c r="U7" s="59">
        <f t="shared" si="2"/>
        <v>2063447</v>
      </c>
      <c r="V7" s="113" t="str">
        <f t="shared" si="3"/>
        <v>ok</v>
      </c>
      <c r="W7" s="58">
        <f>Allen!G26</f>
        <v>2063447</v>
      </c>
      <c r="X7" s="60"/>
      <c r="Y7" s="181"/>
      <c r="Z7" s="59">
        <f>Allen!G29</f>
        <v>27191700</v>
      </c>
      <c r="AA7" s="59">
        <f>Allen!G31+Allen!G32+Allen!G33+Allen!G34+Allen!G35+Allen!G36+Allen!G37+Allen!G38+Allen!G39+Allen!G40</f>
        <v>16765653</v>
      </c>
      <c r="AB7" s="59">
        <f>Allen!G41</f>
        <v>3848367</v>
      </c>
      <c r="AC7" s="59">
        <f t="shared" si="4"/>
        <v>47805720</v>
      </c>
      <c r="AD7" s="59">
        <f t="shared" ref="AD7:AD10" si="6">SUM(AC7,U7)</f>
        <v>49869167</v>
      </c>
      <c r="AE7" s="113" t="str">
        <f t="shared" si="5"/>
        <v>ok</v>
      </c>
      <c r="AF7" s="58">
        <f>Allen!G45</f>
        <v>49869167</v>
      </c>
    </row>
    <row r="8" spans="1:48" s="104" customFormat="1" ht="15.6">
      <c r="A8" s="108"/>
      <c r="B8" s="109" t="s">
        <v>743</v>
      </c>
      <c r="C8" s="110">
        <f>CSG!C8+CSB!C8</f>
        <v>46091237</v>
      </c>
      <c r="D8" s="110">
        <f>CSG!D8+CSB!D8</f>
        <v>97818553</v>
      </c>
      <c r="E8" s="110">
        <f>CSG!E8+CSB!E8</f>
        <v>31963150</v>
      </c>
      <c r="F8" s="110">
        <f>CSG!F8+CSB!F8</f>
        <v>220457798</v>
      </c>
      <c r="G8" s="110">
        <f>CSG!G8+CSB!G8</f>
        <v>5125945</v>
      </c>
      <c r="H8" s="110">
        <f>CSG!H8+CSB!H8</f>
        <v>1164472</v>
      </c>
      <c r="I8" s="110">
        <f t="shared" ref="I8:I15" si="7">SUM(C8:H8)</f>
        <v>402621155</v>
      </c>
      <c r="J8" s="113" t="str">
        <f t="shared" si="1"/>
        <v>ok</v>
      </c>
      <c r="K8" s="111">
        <f>Ascension!K21</f>
        <v>402621155</v>
      </c>
      <c r="L8" s="182">
        <f>Ascension!I24</f>
        <v>294404</v>
      </c>
      <c r="M8" s="110">
        <f>CSG!M8+CSB!L8</f>
        <v>7744502</v>
      </c>
      <c r="N8" s="110">
        <f>CSG!N8+CSB!M8</f>
        <v>0</v>
      </c>
      <c r="O8" s="110">
        <f>CSG!O8+CSB!N8</f>
        <v>235409</v>
      </c>
      <c r="P8" s="110">
        <f>CSG!P8+CSB!O8</f>
        <v>667416</v>
      </c>
      <c r="Q8" s="110">
        <f>CSG!Q8+CSB!P8</f>
        <v>269707</v>
      </c>
      <c r="R8" s="110">
        <f>CSG!R8+CSB!Q8</f>
        <v>4335000</v>
      </c>
      <c r="S8" s="110">
        <f>CSG!S8+CSB!R8</f>
        <v>80612569</v>
      </c>
      <c r="T8" s="110">
        <f>CSG!T8+CSB!S8</f>
        <v>5130333</v>
      </c>
      <c r="U8" s="110">
        <f t="shared" ref="U8:U15" si="8">SUM(M8:T8)</f>
        <v>98994936</v>
      </c>
      <c r="V8" s="113" t="str">
        <f t="shared" si="3"/>
        <v>ok</v>
      </c>
      <c r="W8" s="111">
        <f>Ascension!K42</f>
        <v>98994936</v>
      </c>
      <c r="X8" s="112"/>
      <c r="Y8" s="182">
        <f>Ascension!I48</f>
        <v>629856</v>
      </c>
      <c r="Z8" s="110">
        <f>Ascension!I51</f>
        <v>127427898</v>
      </c>
      <c r="AA8" s="110">
        <f>Ascension!I53+Ascension!I54+Ascension!I55</f>
        <v>135228122</v>
      </c>
      <c r="AB8" s="110">
        <f>Ascension!I57</f>
        <v>22183308</v>
      </c>
      <c r="AC8" s="110">
        <f t="shared" ref="AC8:AC15" si="9">SUM(Z8:AB8)</f>
        <v>284839328</v>
      </c>
      <c r="AD8" s="110">
        <f t="shared" si="6"/>
        <v>383834264</v>
      </c>
      <c r="AE8" s="113" t="str">
        <f t="shared" si="5"/>
        <v>check</v>
      </c>
      <c r="AF8" s="111">
        <f>Ascension!I61</f>
        <v>383204022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ht="15.6">
      <c r="A9" s="56"/>
      <c r="B9" s="3" t="s">
        <v>744</v>
      </c>
      <c r="C9" s="110">
        <f>CSG!C9+CSB!C9</f>
        <v>2824757</v>
      </c>
      <c r="D9" s="110">
        <f>CSG!D9+CSB!D9</f>
        <v>60417455</v>
      </c>
      <c r="E9" s="110">
        <f>CSG!E9+CSB!E9</f>
        <v>5769470</v>
      </c>
      <c r="F9" s="110">
        <f>CSG!F9+CSB!F9</f>
        <v>0</v>
      </c>
      <c r="G9" s="110">
        <f>CSG!G9+CSB!G9</f>
        <v>0</v>
      </c>
      <c r="H9" s="110">
        <f>CSG!H9+CSB!H9</f>
        <v>0</v>
      </c>
      <c r="I9" s="59">
        <f t="shared" si="7"/>
        <v>69011682</v>
      </c>
      <c r="J9" s="113" t="str">
        <f t="shared" si="1"/>
        <v>ok</v>
      </c>
      <c r="K9" s="58">
        <f>Assumption!H14</f>
        <v>69011682</v>
      </c>
      <c r="L9" s="181"/>
      <c r="M9" s="110">
        <f>CSG!M9+CSB!L9</f>
        <v>1553032</v>
      </c>
      <c r="N9" s="110">
        <f>CSG!N9+CSB!M9</f>
        <v>0</v>
      </c>
      <c r="O9" s="110">
        <f>CSG!O9+CSB!N9</f>
        <v>0</v>
      </c>
      <c r="P9" s="110">
        <f>CSG!P9+CSB!O9</f>
        <v>0</v>
      </c>
      <c r="Q9" s="110">
        <f>CSG!Q9+CSB!P9</f>
        <v>0</v>
      </c>
      <c r="R9" s="110">
        <f>CSG!R9+CSB!Q9</f>
        <v>0</v>
      </c>
      <c r="S9" s="110">
        <f>CSG!S9+CSB!R9</f>
        <v>0</v>
      </c>
      <c r="T9" s="110">
        <f>CSG!T9+CSB!S9</f>
        <v>585713</v>
      </c>
      <c r="U9" s="59">
        <f t="shared" si="8"/>
        <v>2138745</v>
      </c>
      <c r="V9" s="113" t="str">
        <f t="shared" si="3"/>
        <v>ok</v>
      </c>
      <c r="W9" s="58">
        <f>Assumption!H27</f>
        <v>2138745</v>
      </c>
      <c r="X9" s="60"/>
      <c r="Y9" s="181"/>
      <c r="Z9" s="59">
        <f>Assumption!H30</f>
        <v>42293964</v>
      </c>
      <c r="AA9" s="59"/>
      <c r="AB9" s="59">
        <f>Assumption!H32</f>
        <v>24582973</v>
      </c>
      <c r="AC9" s="59">
        <f t="shared" si="9"/>
        <v>66876937</v>
      </c>
      <c r="AD9" s="59">
        <f>SUM(AC9,U9)</f>
        <v>69015682</v>
      </c>
      <c r="AE9" s="237" t="str">
        <f t="shared" si="5"/>
        <v>ok</v>
      </c>
      <c r="AF9" s="58">
        <f>Assumption!H36</f>
        <v>69015682</v>
      </c>
    </row>
    <row r="10" spans="1:48" s="104" customFormat="1" ht="15.6">
      <c r="A10" s="108"/>
      <c r="B10" s="109" t="s">
        <v>745</v>
      </c>
      <c r="C10" s="110">
        <f>CSG!C10+CSB!C10</f>
        <v>9443859</v>
      </c>
      <c r="D10" s="110">
        <f>CSG!D10+CSB!D10</f>
        <v>0</v>
      </c>
      <c r="E10" s="110">
        <f>CSG!E10+CSB!E10</f>
        <v>56433</v>
      </c>
      <c r="F10" s="110">
        <f>CSG!F10+CSB!F10</f>
        <v>4599312</v>
      </c>
      <c r="G10" s="110">
        <f>CSG!G10+CSB!G10</f>
        <v>2631894</v>
      </c>
      <c r="H10" s="110">
        <f>CSG!H10+CSB!H10</f>
        <v>739268</v>
      </c>
      <c r="I10" s="110">
        <f t="shared" si="7"/>
        <v>17470766</v>
      </c>
      <c r="J10" s="113" t="str">
        <f t="shared" si="1"/>
        <v>ok</v>
      </c>
      <c r="K10" s="111">
        <f>Avoyelles!H20</f>
        <v>17470766</v>
      </c>
      <c r="L10" s="182"/>
      <c r="M10" s="110">
        <f>CSG!M10+CSB!L10</f>
        <v>712402</v>
      </c>
      <c r="N10" s="110">
        <f>CSG!N10+CSB!M10</f>
        <v>99940</v>
      </c>
      <c r="O10" s="110">
        <f>CSG!O10+CSB!N10</f>
        <v>0</v>
      </c>
      <c r="P10" s="110">
        <f>CSG!P10+CSB!O10</f>
        <v>0</v>
      </c>
      <c r="Q10" s="110">
        <f>CSG!Q10+CSB!P10</f>
        <v>0</v>
      </c>
      <c r="R10" s="110">
        <f>CSG!R10+CSB!Q10</f>
        <v>0</v>
      </c>
      <c r="S10" s="110">
        <f>CSG!S10+CSB!R10</f>
        <v>0</v>
      </c>
      <c r="T10" s="110">
        <f>CSG!T10+CSB!S10</f>
        <v>36260</v>
      </c>
      <c r="U10" s="110">
        <f t="shared" si="8"/>
        <v>848602</v>
      </c>
      <c r="V10" s="113" t="str">
        <f t="shared" si="3"/>
        <v>ok</v>
      </c>
      <c r="W10" s="111">
        <f>Avoyelles!H32</f>
        <v>848602</v>
      </c>
      <c r="X10" s="112"/>
      <c r="Y10" s="182"/>
      <c r="Z10" s="110">
        <f>Avoyelles!H35</f>
        <v>5189860</v>
      </c>
      <c r="AA10" s="110"/>
      <c r="AB10" s="110">
        <f>Avoyelles!H36</f>
        <v>11432304</v>
      </c>
      <c r="AC10" s="110">
        <f t="shared" si="9"/>
        <v>16622164</v>
      </c>
      <c r="AD10" s="110">
        <f t="shared" si="6"/>
        <v>17470766</v>
      </c>
      <c r="AE10" s="235" t="str">
        <f t="shared" si="5"/>
        <v>ok</v>
      </c>
      <c r="AF10" s="111">
        <f>Avoyelles!H40</f>
        <v>17470766</v>
      </c>
    </row>
    <row r="11" spans="1:48" ht="15.6">
      <c r="A11" s="56"/>
      <c r="B11" s="3" t="s">
        <v>746</v>
      </c>
      <c r="C11" s="110">
        <f>CSG!C11+CSB!C11</f>
        <v>17545772</v>
      </c>
      <c r="D11" s="110">
        <f>CSG!D11+CSB!D11</f>
        <v>0</v>
      </c>
      <c r="E11" s="110">
        <f>CSG!E11+CSB!E11</f>
        <v>6974145</v>
      </c>
      <c r="F11" s="110">
        <f>CSG!F11+CSB!F11</f>
        <v>31536926</v>
      </c>
      <c r="G11" s="110">
        <f>CSG!G11+CSB!G11</f>
        <v>0</v>
      </c>
      <c r="H11" s="110">
        <f>CSG!H11+CSB!H11</f>
        <v>204510</v>
      </c>
      <c r="I11" s="59">
        <f t="shared" si="7"/>
        <v>56261353</v>
      </c>
      <c r="J11" s="113" t="str">
        <f t="shared" si="1"/>
        <v>ok</v>
      </c>
      <c r="K11" s="58">
        <f>Beauregard!G16</f>
        <v>56261353</v>
      </c>
      <c r="L11" s="181"/>
      <c r="M11" s="110">
        <f>CSG!M11+CSB!L11</f>
        <v>1054101</v>
      </c>
      <c r="N11" s="110">
        <f>CSG!N11+CSB!M11</f>
        <v>0</v>
      </c>
      <c r="O11" s="110">
        <f>CSG!O11+CSB!N11</f>
        <v>0</v>
      </c>
      <c r="P11" s="110">
        <f>CSG!P11+CSB!O11</f>
        <v>0</v>
      </c>
      <c r="Q11" s="110">
        <f>CSG!Q11+CSB!P11</f>
        <v>0</v>
      </c>
      <c r="R11" s="110">
        <f>CSG!R11+CSB!Q11</f>
        <v>553200</v>
      </c>
      <c r="S11" s="110">
        <f>CSG!S11+CSB!R11</f>
        <v>4845000</v>
      </c>
      <c r="T11" s="110">
        <f>CSG!T11+CSB!S11</f>
        <v>0</v>
      </c>
      <c r="U11" s="59">
        <f t="shared" si="8"/>
        <v>6452301</v>
      </c>
      <c r="V11" s="113" t="str">
        <f t="shared" si="3"/>
        <v>ok</v>
      </c>
      <c r="W11" s="58">
        <f>Beauregard!G25</f>
        <v>6452301</v>
      </c>
      <c r="X11" s="60"/>
      <c r="Y11" s="181"/>
      <c r="Z11" s="59">
        <f>Beauregard!G28</f>
        <v>26350226</v>
      </c>
      <c r="AA11" s="59">
        <f>Beauregard!G30+Beauregard!G31+Beauregard!G32+Beauregard!G33+Beauregard!G34+Beauregard!G35+Beauregard!G36+Beauregard!G37+Beauregard!G38+Beauregard!G39</f>
        <v>20688356</v>
      </c>
      <c r="AB11" s="59">
        <f>Beauregard!G40</f>
        <v>2770770</v>
      </c>
      <c r="AC11" s="59">
        <f t="shared" si="9"/>
        <v>49809352</v>
      </c>
      <c r="AD11" s="59">
        <f t="shared" ref="AD11:AD33" si="10">SUM(AC11,U11,Y11)</f>
        <v>56261653</v>
      </c>
      <c r="AE11" s="237" t="str">
        <f t="shared" si="5"/>
        <v>ok</v>
      </c>
      <c r="AF11" s="58">
        <f>Beauregard!G44</f>
        <v>56261653</v>
      </c>
    </row>
    <row r="12" spans="1:48" s="104" customFormat="1" ht="15.6">
      <c r="A12" s="108"/>
      <c r="B12" s="109" t="s">
        <v>747</v>
      </c>
      <c r="C12" s="110">
        <f>CSG!C12+CSB!C12</f>
        <v>17166902</v>
      </c>
      <c r="D12" s="110">
        <f>CSG!D12+CSB!D12</f>
        <v>0</v>
      </c>
      <c r="E12" s="110">
        <f>CSG!E12+CSB!E12</f>
        <v>5274448</v>
      </c>
      <c r="F12" s="110">
        <f>CSG!F12+CSB!F12</f>
        <v>22504607</v>
      </c>
      <c r="G12" s="110">
        <f>CSG!G12+CSB!G12</f>
        <v>0</v>
      </c>
      <c r="H12" s="110">
        <f>CSG!H12+CSB!H12</f>
        <v>0</v>
      </c>
      <c r="I12" s="110">
        <f t="shared" si="7"/>
        <v>44945957</v>
      </c>
      <c r="J12" s="113" t="str">
        <f t="shared" si="1"/>
        <v>ok</v>
      </c>
      <c r="K12" s="111">
        <f>Bienville!G10</f>
        <v>44945957</v>
      </c>
      <c r="L12" s="182"/>
      <c r="M12" s="110">
        <f>CSG!M12+CSB!L12</f>
        <v>377396</v>
      </c>
      <c r="N12" s="110">
        <f>CSG!N12+CSB!M12</f>
        <v>80615</v>
      </c>
      <c r="O12" s="110">
        <f>CSG!O12+CSB!N12</f>
        <v>10365000</v>
      </c>
      <c r="P12" s="110">
        <f>CSG!P12+CSB!O12</f>
        <v>0</v>
      </c>
      <c r="Q12" s="110">
        <f>CSG!Q12+CSB!P12</f>
        <v>0</v>
      </c>
      <c r="R12" s="110">
        <f>CSG!R12+CSB!Q12</f>
        <v>0</v>
      </c>
      <c r="S12" s="110">
        <f>CSG!S12+CSB!R12</f>
        <v>0</v>
      </c>
      <c r="T12" s="110">
        <f>CSG!T12+CSB!S12</f>
        <v>2096420</v>
      </c>
      <c r="U12" s="110">
        <f t="shared" si="8"/>
        <v>12919431</v>
      </c>
      <c r="V12" s="113" t="str">
        <f t="shared" si="3"/>
        <v>ok</v>
      </c>
      <c r="W12" s="111">
        <f>Bienville!G22</f>
        <v>12919431</v>
      </c>
      <c r="X12" s="112"/>
      <c r="Y12" s="182"/>
      <c r="Z12" s="110">
        <f>Bienville!G25</f>
        <v>12139607</v>
      </c>
      <c r="AA12" s="110"/>
      <c r="AB12" s="110">
        <f>Bienville!G26</f>
        <v>19886919</v>
      </c>
      <c r="AC12" s="110">
        <f t="shared" si="9"/>
        <v>32026526</v>
      </c>
      <c r="AD12" s="110">
        <f t="shared" si="10"/>
        <v>44945957</v>
      </c>
      <c r="AE12" s="235" t="str">
        <f t="shared" si="5"/>
        <v>ok</v>
      </c>
      <c r="AF12" s="111">
        <f>Bienville!G30</f>
        <v>44945957</v>
      </c>
    </row>
    <row r="13" spans="1:48" ht="15.6">
      <c r="A13" s="56"/>
      <c r="B13" s="3" t="s">
        <v>748</v>
      </c>
      <c r="C13" s="110">
        <f>CSG!C13+CSB!C13</f>
        <v>46723595</v>
      </c>
      <c r="D13" s="110">
        <f>CSG!D13+CSB!D13</f>
        <v>170335</v>
      </c>
      <c r="E13" s="110">
        <f>CSG!E13+CSB!E13</f>
        <v>23298722</v>
      </c>
      <c r="F13" s="110">
        <f>CSG!F13+CSB!F13</f>
        <v>306005443</v>
      </c>
      <c r="G13" s="110">
        <f>CSG!G13+CSB!G13</f>
        <v>0</v>
      </c>
      <c r="H13" s="110">
        <f>CSG!H13+CSB!H13</f>
        <v>960858</v>
      </c>
      <c r="I13" s="59">
        <f t="shared" si="7"/>
        <v>377158953</v>
      </c>
      <c r="J13" s="113" t="str">
        <f t="shared" si="1"/>
        <v>ok</v>
      </c>
      <c r="K13" s="58">
        <f>Bossier!J17</f>
        <v>377158953</v>
      </c>
      <c r="L13" s="181"/>
      <c r="M13" s="110">
        <f>CSG!M13+CSB!L13</f>
        <v>5987167</v>
      </c>
      <c r="N13" s="110">
        <f>CSG!N13+CSB!M13</f>
        <v>0</v>
      </c>
      <c r="O13" s="110">
        <f>CSG!O13+CSB!N13</f>
        <v>0</v>
      </c>
      <c r="P13" s="110">
        <f>CSG!P13+CSB!O13</f>
        <v>0</v>
      </c>
      <c r="Q13" s="110">
        <f>CSG!Q13+CSB!P13</f>
        <v>0</v>
      </c>
      <c r="R13" s="110">
        <f>CSG!R13+CSB!Q13</f>
        <v>5078865</v>
      </c>
      <c r="S13" s="110">
        <f>CSG!S13+CSB!R13</f>
        <v>58596162</v>
      </c>
      <c r="T13" s="110">
        <f>CSG!T13+CSB!S13</f>
        <v>112887</v>
      </c>
      <c r="U13" s="59">
        <f t="shared" si="8"/>
        <v>69775081</v>
      </c>
      <c r="V13" s="113" t="str">
        <f t="shared" si="3"/>
        <v>ok</v>
      </c>
      <c r="W13" s="58">
        <f>Bossier!J28</f>
        <v>69775081</v>
      </c>
      <c r="X13" s="60"/>
      <c r="Y13" s="181">
        <f>Bossier!H31</f>
        <v>15065078</v>
      </c>
      <c r="Z13" s="59">
        <f>Bossier!H34</f>
        <v>234828358</v>
      </c>
      <c r="AA13" s="59">
        <f>Bossier!H36+Bossier!H37+Bossier!H38+Bossier!H39+Bossier!H40+Bossier!H41+Bossier!H42+Bossier!H43</f>
        <v>24349790</v>
      </c>
      <c r="AB13" s="59">
        <f>Bossier!H44</f>
        <v>21073502</v>
      </c>
      <c r="AC13" s="59">
        <f t="shared" si="9"/>
        <v>280251650</v>
      </c>
      <c r="AD13" s="59">
        <f t="shared" si="10"/>
        <v>365091809</v>
      </c>
      <c r="AE13" s="237" t="str">
        <f t="shared" si="5"/>
        <v>check</v>
      </c>
      <c r="AF13" s="58">
        <f>Bossier!H48</f>
        <v>362920254</v>
      </c>
    </row>
    <row r="14" spans="1:48" s="104" customFormat="1">
      <c r="B14" s="109" t="s">
        <v>749</v>
      </c>
      <c r="C14" s="110">
        <f>CSG!C14+CSB!C14</f>
        <v>15950171</v>
      </c>
      <c r="D14" s="110">
        <f>CSG!D14+CSB!D14</f>
        <v>119354639</v>
      </c>
      <c r="E14" s="110">
        <f>CSG!E14+CSB!E14</f>
        <v>56915285</v>
      </c>
      <c r="F14" s="110">
        <f>CSG!F14+CSB!F14</f>
        <v>203943111</v>
      </c>
      <c r="G14" s="110">
        <f>CSG!G14+CSB!G14</f>
        <v>3504844</v>
      </c>
      <c r="H14" s="110">
        <f>CSG!H14+CSB!H14</f>
        <v>213957</v>
      </c>
      <c r="I14" s="110">
        <f t="shared" si="7"/>
        <v>399882007</v>
      </c>
      <c r="J14" s="113" t="str">
        <f t="shared" si="1"/>
        <v>ok</v>
      </c>
      <c r="K14" s="111">
        <f>Caddo!H18</f>
        <v>399882007</v>
      </c>
      <c r="L14" s="182">
        <f>Caddo!H23</f>
        <v>400028674</v>
      </c>
      <c r="M14" s="110">
        <f>CSG!M14+CSB!L14</f>
        <v>5293691</v>
      </c>
      <c r="N14" s="110">
        <f>CSG!N14+CSB!M14</f>
        <v>0</v>
      </c>
      <c r="O14" s="110">
        <f>CSG!O14+CSB!N14</f>
        <v>0</v>
      </c>
      <c r="P14" s="110">
        <f>CSG!P14+CSB!O14</f>
        <v>0</v>
      </c>
      <c r="Q14" s="110">
        <f>CSG!Q14+CSB!P14</f>
        <v>639102</v>
      </c>
      <c r="R14" s="110">
        <f>CSG!R14+CSB!Q14</f>
        <v>3114529</v>
      </c>
      <c r="S14" s="110">
        <f>CSG!S14+CSB!R14</f>
        <v>40226768</v>
      </c>
      <c r="T14" s="110">
        <f>CSG!T14+CSB!S14</f>
        <v>35478</v>
      </c>
      <c r="U14" s="110">
        <f t="shared" si="8"/>
        <v>49309568</v>
      </c>
      <c r="V14" s="113" t="str">
        <f t="shared" si="3"/>
        <v>ok</v>
      </c>
      <c r="W14" s="111">
        <f>Caddo!H38</f>
        <v>49309568</v>
      </c>
      <c r="X14" s="112"/>
      <c r="Y14" s="182">
        <f>Caddo!H41</f>
        <v>0</v>
      </c>
      <c r="Z14" s="110">
        <f>Caddo!H45</f>
        <v>172306406</v>
      </c>
      <c r="AA14" s="110">
        <f>Caddo!H47+Caddo!H48+Caddo!H49+Caddo!H50+Caddo!H51+Caddo!H52+Caddo!H53+Caddo!H54</f>
        <v>111590102</v>
      </c>
      <c r="AB14" s="110">
        <f>Caddo!H56</f>
        <v>66822598</v>
      </c>
      <c r="AC14" s="110">
        <f t="shared" si="9"/>
        <v>350719106</v>
      </c>
      <c r="AD14" s="110">
        <f>SUM(AC14,U14,Y14)</f>
        <v>400028674</v>
      </c>
      <c r="AE14" s="235" t="str">
        <f t="shared" si="5"/>
        <v>ok</v>
      </c>
      <c r="AF14" s="111">
        <f>Caddo!H60</f>
        <v>400028674</v>
      </c>
    </row>
    <row r="15" spans="1:48" ht="15.6">
      <c r="A15" s="56"/>
      <c r="B15" s="3" t="s">
        <v>750</v>
      </c>
      <c r="C15" s="110">
        <f>CSG!C15+CSB!C15</f>
        <v>59174099</v>
      </c>
      <c r="D15" s="110">
        <f>CSG!D15+CSB!D15</f>
        <v>209798185</v>
      </c>
      <c r="E15" s="110">
        <f>CSG!E15+CSB!E15</f>
        <v>58091807</v>
      </c>
      <c r="F15" s="110">
        <f>CSG!F15+CSB!F15</f>
        <v>527880711</v>
      </c>
      <c r="G15" s="110">
        <f>CSG!G15+CSB!G15</f>
        <v>79666</v>
      </c>
      <c r="H15" s="110">
        <f>CSG!H15+CSB!H15</f>
        <v>1431920</v>
      </c>
      <c r="I15" s="59">
        <f t="shared" si="7"/>
        <v>856456388</v>
      </c>
      <c r="J15" s="113" t="str">
        <f t="shared" si="1"/>
        <v>ok</v>
      </c>
      <c r="K15" s="58">
        <f>Calcasieu!J25</f>
        <v>856456388</v>
      </c>
      <c r="L15" s="181">
        <f>Calcasieu!H28</f>
        <v>0</v>
      </c>
      <c r="M15" s="110">
        <f>CSG!M15+CSB!L15</f>
        <v>11587215</v>
      </c>
      <c r="N15" s="110">
        <f>CSG!N15+CSB!M15</f>
        <v>0</v>
      </c>
      <c r="O15" s="110">
        <f>CSG!O15+CSB!N15</f>
        <v>0</v>
      </c>
      <c r="P15" s="110">
        <f>CSG!P15+CSB!O15</f>
        <v>0</v>
      </c>
      <c r="Q15" s="110">
        <f>CSG!Q15+CSB!P15</f>
        <v>58216</v>
      </c>
      <c r="R15" s="110">
        <f>CSG!R15+CSB!Q15</f>
        <v>2749558</v>
      </c>
      <c r="S15" s="110">
        <f>CSG!S15+CSB!R15</f>
        <v>7742132</v>
      </c>
      <c r="T15" s="110">
        <f>CSG!T15+CSB!S15</f>
        <v>1583385</v>
      </c>
      <c r="U15" s="59">
        <f t="shared" si="8"/>
        <v>23720506</v>
      </c>
      <c r="V15" s="113" t="str">
        <f t="shared" si="3"/>
        <v>ok</v>
      </c>
      <c r="W15" s="58">
        <f>Calcasieu!J42</f>
        <v>23720506</v>
      </c>
      <c r="X15" s="60"/>
      <c r="Y15" s="181">
        <f>Calcasieu!H45</f>
        <v>47096091</v>
      </c>
      <c r="Z15" s="59">
        <f>Calcasieu!H48</f>
        <v>518808191</v>
      </c>
      <c r="AA15" s="59">
        <f>Calcasieu!H51+Calcasieu!H52</f>
        <v>178007975</v>
      </c>
      <c r="AB15" s="59">
        <f>Calcasieu!H53</f>
        <v>78053642</v>
      </c>
      <c r="AC15" s="59">
        <f t="shared" si="9"/>
        <v>774869808</v>
      </c>
      <c r="AD15" s="59">
        <f t="shared" si="10"/>
        <v>845686405</v>
      </c>
      <c r="AE15" s="229" t="str">
        <f t="shared" si="5"/>
        <v>check</v>
      </c>
      <c r="AF15" s="58">
        <f>Calcasieu!H57</f>
        <v>845144759</v>
      </c>
    </row>
    <row r="16" spans="1:48" s="104" customFormat="1">
      <c r="B16" s="109" t="s">
        <v>751</v>
      </c>
      <c r="C16" s="110">
        <f>CSG!C16+CSB!C16</f>
        <v>7860568</v>
      </c>
      <c r="D16" s="110">
        <f>CSG!D16+CSB!D16</f>
        <v>0</v>
      </c>
      <c r="E16" s="110">
        <f>CSG!E16+CSB!E16</f>
        <v>1821397</v>
      </c>
      <c r="F16" s="110">
        <f>CSG!F16+CSB!F16</f>
        <v>14109112</v>
      </c>
      <c r="G16" s="110">
        <f>CSG!G16+CSB!G16</f>
        <v>0</v>
      </c>
      <c r="H16" s="110">
        <f>CSG!H16+CSB!H16</f>
        <v>0</v>
      </c>
      <c r="I16" s="110">
        <f t="shared" ref="I16:I43" si="11">SUM(C16:H16)</f>
        <v>23791077</v>
      </c>
      <c r="J16" s="113" t="str">
        <f t="shared" si="1"/>
        <v>ok</v>
      </c>
      <c r="K16" s="111">
        <f>Caldwell!G10</f>
        <v>23791077</v>
      </c>
      <c r="L16" s="182"/>
      <c r="M16" s="110">
        <f>CSG!M16+CSB!L16</f>
        <v>244089</v>
      </c>
      <c r="N16" s="110">
        <f>CSG!N16+CSB!M16</f>
        <v>119522</v>
      </c>
      <c r="O16" s="110">
        <f>CSG!O16+CSB!N16</f>
        <v>0</v>
      </c>
      <c r="P16" s="110">
        <f>CSG!P16+CSB!O16</f>
        <v>0</v>
      </c>
      <c r="Q16" s="110">
        <f>CSG!Q16+CSB!P16</f>
        <v>57698</v>
      </c>
      <c r="R16" s="110">
        <f>CSG!R16+CSB!Q16</f>
        <v>0</v>
      </c>
      <c r="S16" s="110">
        <f>CSG!S16+CSB!R16</f>
        <v>0</v>
      </c>
      <c r="T16" s="110">
        <f>CSG!T16+CSB!S16</f>
        <v>0</v>
      </c>
      <c r="U16" s="110">
        <f t="shared" ref="U16:U21" si="12">SUM(M16:T16)</f>
        <v>421309</v>
      </c>
      <c r="V16" s="113" t="str">
        <f t="shared" si="3"/>
        <v>ok</v>
      </c>
      <c r="W16" s="111">
        <f>Caldwell!G17</f>
        <v>421309</v>
      </c>
      <c r="X16" s="112"/>
      <c r="Y16" s="182"/>
      <c r="Z16" s="110">
        <f>Caldwell!G20</f>
        <v>14109112</v>
      </c>
      <c r="AA16" s="110">
        <f>Caldwell!G21</f>
        <v>6856564</v>
      </c>
      <c r="AB16" s="110">
        <f>Caldwell!G22</f>
        <v>2404092</v>
      </c>
      <c r="AC16" s="110">
        <f t="shared" ref="AC16:AC21" si="13">SUM(Z16:AB16)</f>
        <v>23369768</v>
      </c>
      <c r="AD16" s="110">
        <f t="shared" si="10"/>
        <v>23791077</v>
      </c>
      <c r="AE16" s="229" t="str">
        <f t="shared" si="5"/>
        <v>ok</v>
      </c>
      <c r="AF16" s="111">
        <f>Caldwell!G26</f>
        <v>23791077</v>
      </c>
    </row>
    <row r="17" spans="1:32" ht="15.6">
      <c r="A17" s="56"/>
      <c r="B17" s="3" t="s">
        <v>752</v>
      </c>
      <c r="C17" s="110">
        <f>CSG!C17+CSB!C17</f>
        <v>28467308</v>
      </c>
      <c r="D17" s="110">
        <f>CSG!D17+CSB!D17</f>
        <v>16614795</v>
      </c>
      <c r="E17" s="110">
        <f>CSG!E17+CSB!E17</f>
        <v>0</v>
      </c>
      <c r="F17" s="110">
        <f>CSG!F17+CSB!F17</f>
        <v>123967765</v>
      </c>
      <c r="G17" s="110">
        <f>CSG!G17+CSB!G17</f>
        <v>0</v>
      </c>
      <c r="H17" s="110">
        <f>CSG!H17+CSB!H17</f>
        <v>1969476</v>
      </c>
      <c r="I17" s="59">
        <f t="shared" si="11"/>
        <v>171019344</v>
      </c>
      <c r="J17" s="113" t="str">
        <f t="shared" si="1"/>
        <v>ok</v>
      </c>
      <c r="K17" s="58">
        <f>Cameron!G12</f>
        <v>171019344</v>
      </c>
      <c r="L17" s="181"/>
      <c r="M17" s="110">
        <f>CSG!M17+CSB!L17</f>
        <v>3941757</v>
      </c>
      <c r="N17" s="110">
        <f>CSG!N17+CSB!M17</f>
        <v>0</v>
      </c>
      <c r="O17" s="110">
        <f>CSG!O17+CSB!N17</f>
        <v>0</v>
      </c>
      <c r="P17" s="110">
        <f>CSG!P17+CSB!O17</f>
        <v>0</v>
      </c>
      <c r="Q17" s="110">
        <f>CSG!Q17+CSB!P17</f>
        <v>2623074</v>
      </c>
      <c r="R17" s="110">
        <f>CSG!R17+CSB!Q17</f>
        <v>1420448</v>
      </c>
      <c r="S17" s="110">
        <f>CSG!S17+CSB!R17</f>
        <v>4202746</v>
      </c>
      <c r="T17" s="110">
        <f>CSG!T17+CSB!S17</f>
        <v>17231</v>
      </c>
      <c r="U17" s="59">
        <f t="shared" si="12"/>
        <v>12205256</v>
      </c>
      <c r="V17" s="113" t="str">
        <f t="shared" si="3"/>
        <v>ok</v>
      </c>
      <c r="W17" s="58">
        <f>Cameron!G23</f>
        <v>12205256</v>
      </c>
      <c r="X17" s="60"/>
      <c r="Y17" s="181">
        <f>Cameron!G25</f>
        <v>0</v>
      </c>
      <c r="Z17" s="59">
        <f>Cameron!G28</f>
        <v>118625621</v>
      </c>
      <c r="AA17" s="59">
        <f>Cameron!G30+Cameron!G31+Cameron!G32+Cameron!G33+Cameron!G34</f>
        <v>3067343</v>
      </c>
      <c r="AB17" s="59">
        <f>Cameron!G35</f>
        <v>37121124</v>
      </c>
      <c r="AC17" s="59">
        <f t="shared" si="13"/>
        <v>158814088</v>
      </c>
      <c r="AD17" s="59">
        <f t="shared" si="10"/>
        <v>171019344</v>
      </c>
      <c r="AE17" s="229" t="str">
        <f t="shared" si="5"/>
        <v>ok</v>
      </c>
      <c r="AF17" s="58">
        <f>Cameron!G39</f>
        <v>171019344</v>
      </c>
    </row>
    <row r="18" spans="1:32" s="104" customFormat="1" ht="15.6">
      <c r="A18" s="108"/>
      <c r="B18" s="109" t="s">
        <v>753</v>
      </c>
      <c r="C18" s="110">
        <f>CSG!C18+CSB!C18</f>
        <v>2316921</v>
      </c>
      <c r="D18" s="110">
        <f>CSG!D18+CSB!D18</f>
        <v>0</v>
      </c>
      <c r="E18" s="110">
        <f>CSG!E18+CSB!E18</f>
        <v>1411486</v>
      </c>
      <c r="F18" s="110">
        <f>CSG!F18+CSB!F18</f>
        <v>5862816</v>
      </c>
      <c r="G18" s="110">
        <f>CSG!G18+CSB!G18</f>
        <v>0</v>
      </c>
      <c r="H18" s="110">
        <f>CSG!H18+CSB!H18</f>
        <v>81766</v>
      </c>
      <c r="I18" s="110">
        <f t="shared" si="11"/>
        <v>9672989</v>
      </c>
      <c r="J18" s="113" t="str">
        <f t="shared" si="1"/>
        <v>ok</v>
      </c>
      <c r="K18" s="111">
        <f>Catahoula!H14</f>
        <v>9672989</v>
      </c>
      <c r="L18" s="182"/>
      <c r="M18" s="110">
        <f>CSG!M18+CSB!L18</f>
        <v>144719</v>
      </c>
      <c r="N18" s="110">
        <f>CSG!N18+CSB!M18</f>
        <v>32033</v>
      </c>
      <c r="O18" s="110">
        <f>CSG!O18+CSB!N18</f>
        <v>0</v>
      </c>
      <c r="P18" s="110">
        <f>CSG!P18+CSB!O18</f>
        <v>0</v>
      </c>
      <c r="Q18" s="110">
        <f>CSG!Q18+CSB!P18</f>
        <v>0</v>
      </c>
      <c r="R18" s="110">
        <f>CSG!R18+CSB!Q18</f>
        <v>104000</v>
      </c>
      <c r="S18" s="110">
        <f>CSG!S18+CSB!R18</f>
        <v>272000</v>
      </c>
      <c r="T18" s="110">
        <f>CSG!T18+CSB!S18</f>
        <v>0</v>
      </c>
      <c r="U18" s="110">
        <f t="shared" si="12"/>
        <v>552752</v>
      </c>
      <c r="V18" s="113" t="str">
        <f t="shared" si="3"/>
        <v>ok</v>
      </c>
      <c r="W18" s="111">
        <f>Catahoula!H22</f>
        <v>552752</v>
      </c>
      <c r="X18" s="112"/>
      <c r="Y18" s="182">
        <f>Catahoula!H25</f>
        <v>14777</v>
      </c>
      <c r="Z18" s="110">
        <f>Catahoula!H28</f>
        <v>5750215</v>
      </c>
      <c r="AA18" s="110"/>
      <c r="AB18" s="110">
        <f>Catahoula!H29</f>
        <v>3220628</v>
      </c>
      <c r="AC18" s="110">
        <f t="shared" si="13"/>
        <v>8970843</v>
      </c>
      <c r="AD18" s="110">
        <f t="shared" si="10"/>
        <v>9538372</v>
      </c>
      <c r="AE18" s="229" t="str">
        <f t="shared" si="5"/>
        <v>ok</v>
      </c>
      <c r="AF18" s="111">
        <f>Catahoula!H33</f>
        <v>9538372</v>
      </c>
    </row>
    <row r="19" spans="1:32" ht="15.6">
      <c r="A19" s="56"/>
      <c r="B19" s="3" t="s">
        <v>754</v>
      </c>
      <c r="C19" s="110">
        <f>CSG!C19+CSB!C19</f>
        <v>6269126</v>
      </c>
      <c r="D19" s="110">
        <f>CSG!D19+CSB!D19</f>
        <v>797211</v>
      </c>
      <c r="E19" s="110">
        <f>CSG!E19+CSB!E19</f>
        <v>3084505</v>
      </c>
      <c r="F19" s="110">
        <f>CSG!F19+CSB!F19</f>
        <v>8219499</v>
      </c>
      <c r="G19" s="110">
        <f>CSG!G19+CSB!G19</f>
        <v>0</v>
      </c>
      <c r="H19" s="110">
        <f>CSG!H19+CSB!H19</f>
        <v>129699</v>
      </c>
      <c r="I19" s="59">
        <f t="shared" si="11"/>
        <v>18500040</v>
      </c>
      <c r="J19" s="113" t="str">
        <f t="shared" si="1"/>
        <v>ok</v>
      </c>
      <c r="K19" s="58">
        <f>Claiborne!G13</f>
        <v>18500040</v>
      </c>
      <c r="L19" s="181" t="e">
        <f>'[1]East Baton Rouge'!C33+'[1]East Baton Rouge'!C34</f>
        <v>#REF!</v>
      </c>
      <c r="M19" s="110">
        <f>CSG!M19+CSB!L19</f>
        <v>446867</v>
      </c>
      <c r="N19" s="110">
        <f>CSG!N19+CSB!M19</f>
        <v>57248</v>
      </c>
      <c r="O19" s="110">
        <f>CSG!O19+CSB!N19</f>
        <v>0</v>
      </c>
      <c r="P19" s="110">
        <f>CSG!P19+CSB!O19</f>
        <v>0</v>
      </c>
      <c r="Q19" s="110">
        <f>CSG!Q19+CSB!P19</f>
        <v>14025</v>
      </c>
      <c r="R19" s="110">
        <f>CSG!R19+CSB!Q19</f>
        <v>155000</v>
      </c>
      <c r="S19" s="110">
        <f>CSG!S19+CSB!R19</f>
        <v>1545000</v>
      </c>
      <c r="T19" s="110">
        <f>CSG!T19+CSB!S19</f>
        <v>15626</v>
      </c>
      <c r="U19" s="59">
        <f t="shared" si="12"/>
        <v>2233766</v>
      </c>
      <c r="V19" s="113" t="str">
        <f t="shared" si="3"/>
        <v>ok</v>
      </c>
      <c r="W19" s="58">
        <f>Claiborne!G23</f>
        <v>2233766</v>
      </c>
      <c r="X19" s="60"/>
      <c r="Y19" s="181"/>
      <c r="Z19" s="59">
        <f>Claiborne!G26</f>
        <v>6362770</v>
      </c>
      <c r="AA19" s="59">
        <f>Claiborne!G28+Claiborne!G29+Claiborne!G30+Claiborne!G31+Claiborne!G32+Claiborne!G33</f>
        <v>5284111</v>
      </c>
      <c r="AB19" s="59">
        <f>Claiborne!G34</f>
        <v>4619394</v>
      </c>
      <c r="AC19" s="59">
        <f t="shared" si="13"/>
        <v>16266275</v>
      </c>
      <c r="AD19" s="59">
        <f t="shared" si="10"/>
        <v>18500041</v>
      </c>
      <c r="AE19" s="229" t="str">
        <f t="shared" si="5"/>
        <v>ok</v>
      </c>
      <c r="AF19" s="58">
        <f>Claiborne!G38</f>
        <v>18500041</v>
      </c>
    </row>
    <row r="20" spans="1:32" s="104" customFormat="1" ht="15.6">
      <c r="A20" s="108"/>
      <c r="B20" s="109" t="s">
        <v>755</v>
      </c>
      <c r="C20" s="110">
        <f>CSG!C20+CSB!C20</f>
        <v>9701648</v>
      </c>
      <c r="D20" s="110">
        <f>CSG!D20+CSB!D20</f>
        <v>0</v>
      </c>
      <c r="E20" s="110">
        <f>CSG!E20+CSB!E20</f>
        <v>2168356</v>
      </c>
      <c r="F20" s="110">
        <f>CSG!F20+CSB!F20</f>
        <v>0</v>
      </c>
      <c r="G20" s="110">
        <f>CSG!G20+CSB!G20</f>
        <v>0</v>
      </c>
      <c r="H20" s="110">
        <f>CSG!H20+CSB!H20</f>
        <v>0</v>
      </c>
      <c r="I20" s="110">
        <f t="shared" si="11"/>
        <v>11870004</v>
      </c>
      <c r="J20" s="113" t="str">
        <f t="shared" si="1"/>
        <v>ok</v>
      </c>
      <c r="K20" s="111">
        <f>Concodria!G14</f>
        <v>11870004</v>
      </c>
      <c r="L20" s="182"/>
      <c r="M20" s="110">
        <f>CSG!M20+CSB!L20</f>
        <v>413667</v>
      </c>
      <c r="N20" s="110">
        <f>CSG!N20+CSB!M20</f>
        <v>0</v>
      </c>
      <c r="O20" s="110">
        <f>CSG!O20+CSB!N20</f>
        <v>0</v>
      </c>
      <c r="P20" s="110">
        <f>CSG!P20+CSB!O20</f>
        <v>0</v>
      </c>
      <c r="Q20" s="110">
        <f>CSG!Q20+CSB!P20</f>
        <v>0</v>
      </c>
      <c r="R20" s="110">
        <f>CSG!R20+CSB!Q20</f>
        <v>390767</v>
      </c>
      <c r="S20" s="110">
        <f>CSG!S20+CSB!R20</f>
        <v>9013491</v>
      </c>
      <c r="T20" s="110">
        <f>CSG!T20+CSB!S20</f>
        <v>83974</v>
      </c>
      <c r="U20" s="110">
        <f t="shared" si="12"/>
        <v>9901899</v>
      </c>
      <c r="V20" s="113" t="str">
        <f t="shared" si="3"/>
        <v>ok</v>
      </c>
      <c r="W20" s="111">
        <f>Concodria!G31</f>
        <v>9901899</v>
      </c>
      <c r="X20" s="112"/>
      <c r="Y20" s="182"/>
      <c r="Z20" s="110">
        <f>Concodria!G34</f>
        <v>1120455</v>
      </c>
      <c r="AA20" s="110">
        <f>Concodria!G36+Concodria!G37</f>
        <v>8020129</v>
      </c>
      <c r="AB20" s="110">
        <f>Concodria!G38</f>
        <v>3043150</v>
      </c>
      <c r="AC20" s="110">
        <f t="shared" si="13"/>
        <v>12183734</v>
      </c>
      <c r="AD20" s="110">
        <f t="shared" si="10"/>
        <v>22085633</v>
      </c>
      <c r="AE20" s="229" t="str">
        <f t="shared" si="5"/>
        <v>ok</v>
      </c>
      <c r="AF20" s="111">
        <f>Concodria!G42</f>
        <v>22085633</v>
      </c>
    </row>
    <row r="21" spans="1:32" ht="15.6">
      <c r="A21" s="56"/>
      <c r="B21" s="3" t="s">
        <v>756</v>
      </c>
      <c r="C21" s="110">
        <f>CSG!C21+CSB!C21</f>
        <v>13163025</v>
      </c>
      <c r="D21" s="110">
        <f>CSG!D21+CSB!D21</f>
        <v>20355526</v>
      </c>
      <c r="E21" s="110">
        <f>CSG!E21+CSB!E21</f>
        <v>13662424</v>
      </c>
      <c r="F21" s="110">
        <f>CSG!F21+CSB!F21</f>
        <v>73791900</v>
      </c>
      <c r="G21" s="110">
        <f>CSG!G21+CSB!G21</f>
        <v>0</v>
      </c>
      <c r="H21" s="110">
        <f>CSG!H21+CSB!H21</f>
        <v>38185</v>
      </c>
      <c r="I21" s="59">
        <f t="shared" si="11"/>
        <v>121011060</v>
      </c>
      <c r="J21" s="229" t="str">
        <f t="shared" si="1"/>
        <v>ok</v>
      </c>
      <c r="K21" s="58">
        <f>DeSoto!J13</f>
        <v>121011060</v>
      </c>
      <c r="L21" s="181"/>
      <c r="M21" s="110">
        <f>CSG!M21+CSB!L21</f>
        <v>1107855</v>
      </c>
      <c r="N21" s="110">
        <f>CSG!N21+CSB!M21</f>
        <v>307960</v>
      </c>
      <c r="O21" s="110">
        <f>CSG!O21+CSB!N21</f>
        <v>0</v>
      </c>
      <c r="P21" s="110">
        <f>CSG!P21+CSB!O21</f>
        <v>0</v>
      </c>
      <c r="Q21" s="110">
        <f>CSG!Q21+CSB!P21</f>
        <v>207897</v>
      </c>
      <c r="R21" s="110">
        <f>CSG!R21+CSB!Q21</f>
        <v>5326</v>
      </c>
      <c r="S21" s="110">
        <f>CSG!S21+CSB!R21</f>
        <v>450</v>
      </c>
      <c r="T21" s="110">
        <f>CSG!T21+CSB!S21</f>
        <v>5310804</v>
      </c>
      <c r="U21" s="59">
        <f t="shared" si="12"/>
        <v>6940292</v>
      </c>
      <c r="V21" s="113" t="str">
        <f t="shared" si="3"/>
        <v>ok</v>
      </c>
      <c r="W21" s="58">
        <f>DeSoto!J28</f>
        <v>6940292</v>
      </c>
      <c r="X21" s="60"/>
      <c r="Y21" s="181"/>
      <c r="Z21" s="59">
        <f>DeSoto!H31</f>
        <v>73775949</v>
      </c>
      <c r="AA21" s="59">
        <f>DeSoto!H32</f>
        <v>5776</v>
      </c>
      <c r="AB21" s="59">
        <f>DeSoto!H33</f>
        <v>40277154</v>
      </c>
      <c r="AC21" s="59">
        <f t="shared" si="13"/>
        <v>114058879</v>
      </c>
      <c r="AD21" s="59">
        <f t="shared" si="10"/>
        <v>120999171</v>
      </c>
      <c r="AE21" s="229" t="str">
        <f t="shared" si="5"/>
        <v>check</v>
      </c>
      <c r="AF21" s="58">
        <f>DeSoto!H37</f>
        <v>120997401</v>
      </c>
    </row>
    <row r="22" spans="1:32" s="220" customFormat="1" ht="15.6">
      <c r="A22" s="214"/>
      <c r="B22" s="215" t="s">
        <v>757</v>
      </c>
      <c r="C22" s="110">
        <f>CSG!C22+CSB!C22</f>
        <v>281186029</v>
      </c>
      <c r="D22" s="110">
        <f>CSG!D22+CSB!D22</f>
        <v>287329924</v>
      </c>
      <c r="E22" s="110">
        <f>CSG!E22+CSB!E22</f>
        <v>73043161</v>
      </c>
      <c r="F22" s="110">
        <f>CSG!F22+CSB!F22</f>
        <v>2659051002</v>
      </c>
      <c r="G22" s="110">
        <f>CSG!G22+CSB!G22</f>
        <v>90069227</v>
      </c>
      <c r="H22" s="110">
        <f>CSG!H22+CSB!H22</f>
        <v>494735000</v>
      </c>
      <c r="I22" s="216">
        <f t="shared" si="11"/>
        <v>3885414343</v>
      </c>
      <c r="J22" s="229" t="str">
        <f t="shared" si="1"/>
        <v>ok</v>
      </c>
      <c r="K22" s="217">
        <f>'East Baton Rouge'!J26</f>
        <v>3885414343</v>
      </c>
      <c r="L22" s="218">
        <f>'East Baton Rouge'!H33</f>
        <v>20842929</v>
      </c>
      <c r="M22" s="110">
        <f>CSG!M22+CSB!L22</f>
        <v>98549105</v>
      </c>
      <c r="N22" s="110">
        <f>CSG!N22+CSB!M22</f>
        <v>0</v>
      </c>
      <c r="O22" s="110">
        <f>CSG!O22+CSB!N22</f>
        <v>0</v>
      </c>
      <c r="P22" s="110">
        <f>CSG!P22+CSB!O22</f>
        <v>0</v>
      </c>
      <c r="Q22" s="110">
        <f>CSG!Q22+CSB!P22</f>
        <v>7697870</v>
      </c>
      <c r="R22" s="110">
        <f>CSG!R22+CSB!Q22</f>
        <v>45320502</v>
      </c>
      <c r="S22" s="110">
        <f>CSG!S22+CSB!R22</f>
        <v>2333746380</v>
      </c>
      <c r="T22" s="110">
        <f>CSG!T22+CSB!S22</f>
        <v>60399248</v>
      </c>
      <c r="U22" s="216">
        <f t="shared" ref="U22:U25" si="14">SUM(M22:T22)</f>
        <v>2545713105</v>
      </c>
      <c r="V22" s="229" t="str">
        <f t="shared" si="3"/>
        <v>ok</v>
      </c>
      <c r="W22" s="217">
        <f>'East Baton Rouge'!J46</f>
        <v>2545713105</v>
      </c>
      <c r="X22" s="219"/>
      <c r="Y22" s="218">
        <f>'East Baton Rouge'!H49</f>
        <v>351292</v>
      </c>
      <c r="Z22" s="216">
        <f>'East Baton Rouge'!H52</f>
        <v>650424770</v>
      </c>
      <c r="AA22" s="216">
        <f>'East Baton Rouge'!H54+'East Baton Rouge'!H55+'East Baton Rouge'!H57</f>
        <v>195912751</v>
      </c>
      <c r="AB22" s="216">
        <f>'East Baton Rouge'!H58</f>
        <v>-238705300</v>
      </c>
      <c r="AC22" s="216">
        <f t="shared" ref="AC22:AC25" si="15">SUM(Z22:AB22)</f>
        <v>607632221</v>
      </c>
      <c r="AD22" s="216">
        <f t="shared" si="10"/>
        <v>3153696618</v>
      </c>
      <c r="AE22" s="229" t="str">
        <f t="shared" si="5"/>
        <v>check</v>
      </c>
      <c r="AF22" s="217">
        <f>'East Baton Rouge'!H62</f>
        <v>1424371325</v>
      </c>
    </row>
    <row r="23" spans="1:32">
      <c r="B23" s="3" t="s">
        <v>758</v>
      </c>
      <c r="C23" s="110">
        <f>CSG!C23+CSB!C23</f>
        <v>2305571</v>
      </c>
      <c r="D23" s="110">
        <f>CSG!D23+CSB!D23</f>
        <v>773667</v>
      </c>
      <c r="E23" s="110">
        <f>CSG!E23+CSB!E23</f>
        <v>2552510</v>
      </c>
      <c r="F23" s="110">
        <f>CSG!F23+CSB!F23</f>
        <v>6358983</v>
      </c>
      <c r="G23" s="110">
        <f>CSG!G23+CSB!G23</f>
        <v>0</v>
      </c>
      <c r="H23" s="110">
        <f>CSG!H23+CSB!H23</f>
        <v>1903</v>
      </c>
      <c r="I23" s="59">
        <f t="shared" si="11"/>
        <v>11992634</v>
      </c>
      <c r="J23" s="229" t="str">
        <f t="shared" si="1"/>
        <v>ok</v>
      </c>
      <c r="K23" s="58">
        <f>'East Carroll'!J15</f>
        <v>11992634</v>
      </c>
      <c r="L23" s="181"/>
      <c r="M23" s="110">
        <f>CSG!M23+CSB!L23</f>
        <v>214320</v>
      </c>
      <c r="N23" s="110">
        <f>CSG!N23+CSB!M23</f>
        <v>0</v>
      </c>
      <c r="O23" s="110">
        <f>CSG!O23+CSB!N23</f>
        <v>0</v>
      </c>
      <c r="P23" s="110">
        <f>CSG!P23+CSB!O23</f>
        <v>0</v>
      </c>
      <c r="Q23" s="110">
        <f>CSG!Q23+CSB!P23</f>
        <v>0</v>
      </c>
      <c r="R23" s="110">
        <f>CSG!R23+CSB!Q23</f>
        <v>155028</v>
      </c>
      <c r="S23" s="110">
        <f>CSG!S23+CSB!R23</f>
        <v>457009</v>
      </c>
      <c r="T23" s="110">
        <f>CSG!T23+CSB!S23</f>
        <v>0</v>
      </c>
      <c r="U23" s="59">
        <f t="shared" si="14"/>
        <v>826357</v>
      </c>
      <c r="V23" s="113" t="str">
        <f t="shared" si="3"/>
        <v>ok</v>
      </c>
      <c r="W23" s="58">
        <f>'East Carroll'!J24</f>
        <v>826357</v>
      </c>
      <c r="X23" s="60"/>
      <c r="Y23" s="181"/>
      <c r="Z23" s="59">
        <f>'East Carroll'!H27</f>
        <v>5755524</v>
      </c>
      <c r="AA23" s="59">
        <f>'East Carroll'!H29+'East Carroll'!H30+'East Carroll'!H31+'East Carroll'!H32+'East Carroll'!H33+'East Carroll'!H34+'East Carroll'!H35+'East Carroll'!H36+'East Carroll'!H37</f>
        <v>4564579</v>
      </c>
      <c r="AB23" s="59">
        <f>'East Carroll'!H39</f>
        <v>813860</v>
      </c>
      <c r="AC23" s="59">
        <f t="shared" si="15"/>
        <v>11133963</v>
      </c>
      <c r="AD23" s="59">
        <f t="shared" si="10"/>
        <v>11960320</v>
      </c>
      <c r="AE23" s="229" t="str">
        <f t="shared" si="5"/>
        <v>check</v>
      </c>
      <c r="AF23" s="58">
        <f>'East Carroll'!H43</f>
        <v>11959369</v>
      </c>
    </row>
    <row r="24" spans="1:32" s="104" customFormat="1" ht="15.6">
      <c r="A24" s="108"/>
      <c r="B24" s="109" t="s">
        <v>759</v>
      </c>
      <c r="C24" s="110">
        <f>CSG!C24+CSB!C24</f>
        <v>5002609.6100000003</v>
      </c>
      <c r="D24" s="110">
        <f>CSG!D24+CSB!D24</f>
        <v>0</v>
      </c>
      <c r="E24" s="110">
        <f>CSG!E24+CSB!E24</f>
        <v>1124824.82</v>
      </c>
      <c r="F24" s="110">
        <f>CSG!F24+CSB!F24</f>
        <v>12861749.24</v>
      </c>
      <c r="G24" s="110">
        <f>CSG!G24+CSB!G24</f>
        <v>1923014.46</v>
      </c>
      <c r="H24" s="110">
        <f>CSG!H24+CSB!H24</f>
        <v>0</v>
      </c>
      <c r="I24" s="110">
        <f t="shared" si="11"/>
        <v>20912198.130000003</v>
      </c>
      <c r="J24" s="229" t="str">
        <f t="shared" si="1"/>
        <v>ok</v>
      </c>
      <c r="K24" s="111">
        <f>'East Feliciana'!G12</f>
        <v>20912198.130000003</v>
      </c>
      <c r="L24" s="182">
        <f>'East Feliciana'!G15</f>
        <v>0</v>
      </c>
      <c r="M24" s="110">
        <f>CSG!M24+CSB!L24</f>
        <v>735676.08</v>
      </c>
      <c r="N24" s="110">
        <f>CSG!N24+CSB!M24</f>
        <v>13428</v>
      </c>
      <c r="O24" s="110">
        <f>CSG!O24+CSB!N24</f>
        <v>0</v>
      </c>
      <c r="P24" s="110">
        <f>CSG!P24+CSB!O24</f>
        <v>0</v>
      </c>
      <c r="Q24" s="110">
        <f>CSG!Q24+CSB!P24</f>
        <v>1466996.62</v>
      </c>
      <c r="R24" s="110">
        <f>CSG!R24+CSB!Q24</f>
        <v>0</v>
      </c>
      <c r="S24" s="110">
        <f>CSG!S24+CSB!R24</f>
        <v>0</v>
      </c>
      <c r="T24" s="110">
        <f>CSG!T24+CSB!S24</f>
        <v>0</v>
      </c>
      <c r="U24" s="110">
        <f t="shared" ref="U24" si="16">SUM(M24:T24)</f>
        <v>2216100.7000000002</v>
      </c>
      <c r="V24" s="113" t="str">
        <f t="shared" si="3"/>
        <v>ok</v>
      </c>
      <c r="W24" s="111">
        <f>'East Feliciana'!G23</f>
        <v>2216100.6999999997</v>
      </c>
      <c r="X24" s="112"/>
      <c r="Y24" s="182"/>
      <c r="Z24" s="110">
        <f>'East Feliciana'!G29</f>
        <v>12861749.24</v>
      </c>
      <c r="AA24" s="110">
        <f>'East Feliciana'!G31+'East Feliciana'!G32+'East Feliciana'!G33</f>
        <v>4857564.3600000003</v>
      </c>
      <c r="AB24" s="110">
        <f>'East Feliciana'!G34</f>
        <v>976786.83</v>
      </c>
      <c r="AC24" s="110">
        <f t="shared" ref="AC24" si="17">SUM(Z24:AB24)</f>
        <v>18696100.43</v>
      </c>
      <c r="AD24" s="110">
        <f t="shared" si="10"/>
        <v>20912201.129999999</v>
      </c>
      <c r="AE24" s="229" t="str">
        <f t="shared" si="5"/>
        <v>ok</v>
      </c>
      <c r="AF24" s="111">
        <f>'East Feliciana'!G38</f>
        <v>20912201.129999999</v>
      </c>
    </row>
    <row r="25" spans="1:32" ht="15.6">
      <c r="A25" s="56"/>
      <c r="B25" s="3" t="s">
        <v>760</v>
      </c>
      <c r="C25" s="110">
        <f>CSG!C25+CSB!C25</f>
        <v>11621553</v>
      </c>
      <c r="D25" s="110">
        <f>CSG!D25+CSB!D25</f>
        <v>28105054</v>
      </c>
      <c r="E25" s="110">
        <f>CSG!E25+CSB!E25</f>
        <v>31343</v>
      </c>
      <c r="F25" s="110">
        <f>CSG!F25+CSB!F25</f>
        <v>25909330</v>
      </c>
      <c r="G25" s="110">
        <f>CSG!G25+CSB!G25</f>
        <v>6225622</v>
      </c>
      <c r="H25" s="110">
        <f>CSG!H25+CSB!H25</f>
        <v>5000</v>
      </c>
      <c r="I25" s="59">
        <f t="shared" si="11"/>
        <v>71897902</v>
      </c>
      <c r="J25" s="229" t="str">
        <f t="shared" si="1"/>
        <v>ok</v>
      </c>
      <c r="K25" s="58">
        <f>Evangeline!J16</f>
        <v>71897902</v>
      </c>
      <c r="L25" s="181"/>
      <c r="M25" s="110">
        <f>CSG!M25+CSB!L25</f>
        <v>3242582</v>
      </c>
      <c r="N25" s="110">
        <f>CSG!N25+CSB!M25</f>
        <v>71580</v>
      </c>
      <c r="O25" s="110">
        <f>CSG!O25+CSB!N25</f>
        <v>235916</v>
      </c>
      <c r="P25" s="110">
        <f>CSG!P25+CSB!O25</f>
        <v>31663672</v>
      </c>
      <c r="Q25" s="110">
        <f>CSG!Q25+CSB!P25</f>
        <v>0</v>
      </c>
      <c r="R25" s="110">
        <f>CSG!R25+CSB!Q25</f>
        <v>2338</v>
      </c>
      <c r="S25" s="110">
        <f>CSG!S25+CSB!R25</f>
        <v>22762</v>
      </c>
      <c r="T25" s="110">
        <f>CSG!T25+CSB!S25</f>
        <v>338372</v>
      </c>
      <c r="U25" s="59">
        <f t="shared" si="14"/>
        <v>35577222</v>
      </c>
      <c r="V25" s="113" t="str">
        <f t="shared" si="3"/>
        <v>ok</v>
      </c>
      <c r="W25" s="58">
        <f>Evangeline!J34</f>
        <v>35577222</v>
      </c>
      <c r="X25" s="60"/>
      <c r="Y25" s="181"/>
      <c r="Z25" s="59">
        <f>Evangeline!H37</f>
        <v>22677823</v>
      </c>
      <c r="AA25" s="59">
        <f>Evangeline!H38</f>
        <v>126351</v>
      </c>
      <c r="AB25" s="59">
        <f>Evangeline!H39</f>
        <v>13213016</v>
      </c>
      <c r="AC25" s="59">
        <f t="shared" si="15"/>
        <v>36017190</v>
      </c>
      <c r="AD25" s="59">
        <f t="shared" si="10"/>
        <v>71594412</v>
      </c>
      <c r="AE25" s="229" t="str">
        <f t="shared" si="5"/>
        <v>check</v>
      </c>
      <c r="AF25" s="58">
        <f>Evangeline!H43</f>
        <v>71510554</v>
      </c>
    </row>
    <row r="26" spans="1:32" s="104" customFormat="1" ht="15.6">
      <c r="A26" s="108"/>
      <c r="B26" s="109" t="s">
        <v>761</v>
      </c>
      <c r="C26" s="110">
        <f>CSG!C26+CSB!C26</f>
        <v>8560372</v>
      </c>
      <c r="D26" s="110">
        <f>CSG!D26+CSB!D26</f>
        <v>0</v>
      </c>
      <c r="E26" s="110">
        <f>CSG!E26+CSB!E26</f>
        <v>3796748</v>
      </c>
      <c r="F26" s="110">
        <f>CSG!F26+CSB!F26</f>
        <v>18743780</v>
      </c>
      <c r="G26" s="110">
        <f>CSG!G26+CSB!G26</f>
        <v>0</v>
      </c>
      <c r="H26" s="110">
        <f>CSG!H26+CSB!H26</f>
        <v>0</v>
      </c>
      <c r="I26" s="110">
        <f t="shared" si="11"/>
        <v>31100900</v>
      </c>
      <c r="J26" s="229" t="str">
        <f t="shared" si="1"/>
        <v>ok</v>
      </c>
      <c r="K26" s="111">
        <f>Franklin!G10</f>
        <v>31100900</v>
      </c>
      <c r="L26" s="182"/>
      <c r="M26" s="110">
        <f>CSG!M26+CSB!L26</f>
        <v>635363</v>
      </c>
      <c r="N26" s="110">
        <f>CSG!N26+CSB!M26</f>
        <v>103567</v>
      </c>
      <c r="O26" s="110">
        <f>CSG!O26+CSB!N26</f>
        <v>0</v>
      </c>
      <c r="P26" s="110">
        <f>CSG!P26+CSB!O26</f>
        <v>0</v>
      </c>
      <c r="Q26" s="110">
        <f>CSG!Q26+CSB!P26</f>
        <v>132000</v>
      </c>
      <c r="R26" s="110">
        <f>CSG!R26+CSB!Q26</f>
        <v>0</v>
      </c>
      <c r="S26" s="110">
        <f>CSG!S26+CSB!R26</f>
        <v>0</v>
      </c>
      <c r="T26" s="110">
        <f>CSG!T26+CSB!S26</f>
        <v>1433906</v>
      </c>
      <c r="U26" s="110">
        <f t="shared" ref="U26" si="18">SUM(M26:T26)</f>
        <v>2304836</v>
      </c>
      <c r="V26" s="113" t="str">
        <f t="shared" si="3"/>
        <v>ok</v>
      </c>
      <c r="W26" s="111">
        <f>Franklin!G20</f>
        <v>2304836</v>
      </c>
      <c r="X26" s="112"/>
      <c r="Y26" s="182"/>
      <c r="Z26" s="110">
        <f>Franklin!G23</f>
        <v>18541780</v>
      </c>
      <c r="AA26" s="110"/>
      <c r="AB26" s="110">
        <f>Franklin!G24</f>
        <v>10254284</v>
      </c>
      <c r="AC26" s="110">
        <f t="shared" ref="AC26" si="19">SUM(Z26:AB26)</f>
        <v>28796064</v>
      </c>
      <c r="AD26" s="110">
        <f t="shared" si="10"/>
        <v>31100900</v>
      </c>
      <c r="AE26" s="229" t="str">
        <f t="shared" si="5"/>
        <v>ok</v>
      </c>
      <c r="AF26" s="111">
        <f>Franklin!G28</f>
        <v>31100900</v>
      </c>
    </row>
    <row r="27" spans="1:32" s="159" customFormat="1" ht="15.6">
      <c r="A27" s="221"/>
      <c r="B27" s="222" t="s">
        <v>419</v>
      </c>
      <c r="C27" s="110">
        <f>CSG!C27+CSB!C27</f>
        <v>2263332</v>
      </c>
      <c r="D27" s="110">
        <f>CSG!D27+CSB!D27</f>
        <v>0</v>
      </c>
      <c r="E27" s="110">
        <f>CSG!E27+CSB!E27</f>
        <v>1561092</v>
      </c>
      <c r="F27" s="110">
        <f>CSG!F27+CSB!F27</f>
        <v>6190270</v>
      </c>
      <c r="G27" s="110">
        <f>CSG!G27+CSB!G27</f>
        <v>0</v>
      </c>
      <c r="H27" s="110">
        <f>CSG!H27+CSB!H27</f>
        <v>0</v>
      </c>
      <c r="I27" s="223">
        <f t="shared" si="11"/>
        <v>10014694</v>
      </c>
      <c r="J27" s="229" t="str">
        <f t="shared" si="1"/>
        <v>ok</v>
      </c>
      <c r="K27" s="224">
        <f>Grant!J15</f>
        <v>10014694</v>
      </c>
      <c r="L27" s="225"/>
      <c r="M27" s="110">
        <f>CSG!M27+CSB!L27</f>
        <v>568525</v>
      </c>
      <c r="N27" s="110">
        <f>CSG!N27+CSB!M27</f>
        <v>54442</v>
      </c>
      <c r="O27" s="110">
        <f>CSG!O27+CSB!N27</f>
        <v>0</v>
      </c>
      <c r="P27" s="110">
        <f>CSG!P27+CSB!O27</f>
        <v>0</v>
      </c>
      <c r="Q27" s="110">
        <f>CSG!Q27+CSB!P27</f>
        <v>0</v>
      </c>
      <c r="R27" s="110">
        <f>CSG!R27+CSB!Q27</f>
        <v>95211</v>
      </c>
      <c r="S27" s="110">
        <f>CSG!S27+CSB!R27</f>
        <v>247461</v>
      </c>
      <c r="T27" s="110">
        <f>CSG!T27+CSB!S27</f>
        <v>95093</v>
      </c>
      <c r="U27" s="223">
        <f t="shared" ref="U27:U28" si="20">SUM(M27:T27)</f>
        <v>1060732</v>
      </c>
      <c r="V27" s="229" t="str">
        <f t="shared" si="3"/>
        <v>ok</v>
      </c>
      <c r="W27" s="224">
        <f>Grant!J27</f>
        <v>1060732</v>
      </c>
      <c r="X27" s="226"/>
      <c r="Y27" s="225"/>
      <c r="Z27" s="223">
        <f>Grant!H30</f>
        <v>5498361</v>
      </c>
      <c r="AA27" s="223">
        <f>Grant!H32+Grant!H33+Grant!H34</f>
        <v>1917014</v>
      </c>
      <c r="AB27" s="223">
        <f>Grant!H35</f>
        <v>763746</v>
      </c>
      <c r="AC27" s="223">
        <f t="shared" ref="AC27:AC30" si="21">SUM(Z27:AB27)</f>
        <v>8179121</v>
      </c>
      <c r="AD27" s="223">
        <f t="shared" si="10"/>
        <v>9239853</v>
      </c>
      <c r="AE27" s="229" t="str">
        <f t="shared" si="5"/>
        <v>check</v>
      </c>
      <c r="AF27" s="224">
        <f>Grant!H39</f>
        <v>9110885</v>
      </c>
    </row>
    <row r="28" spans="1:32" s="104" customFormat="1">
      <c r="B28" s="109" t="s">
        <v>762</v>
      </c>
      <c r="C28" s="110">
        <f>CSG!C28+CSB!C28</f>
        <v>41860020</v>
      </c>
      <c r="D28" s="110">
        <f>CSG!D28+CSB!D28</f>
        <v>72229</v>
      </c>
      <c r="E28" s="110">
        <f>CSG!E28+CSB!E28</f>
        <v>8148320</v>
      </c>
      <c r="F28" s="110">
        <f>CSG!F28+CSB!F28</f>
        <v>94220748</v>
      </c>
      <c r="G28" s="110">
        <f>CSG!G28+CSB!G28</f>
        <v>3826329</v>
      </c>
      <c r="H28" s="110">
        <f>CSG!H28+CSB!H28</f>
        <v>1813645</v>
      </c>
      <c r="I28" s="110">
        <f t="shared" si="11"/>
        <v>149941291</v>
      </c>
      <c r="J28" s="229" t="str">
        <f t="shared" si="1"/>
        <v>ok</v>
      </c>
      <c r="K28" s="111">
        <f>Iberia!H21</f>
        <v>149941291</v>
      </c>
      <c r="L28" s="182"/>
      <c r="M28" s="110">
        <f>CSG!M28+CSB!L28</f>
        <v>1799004</v>
      </c>
      <c r="N28" s="110">
        <f>CSG!N28+CSB!M28</f>
        <v>0</v>
      </c>
      <c r="O28" s="110">
        <f>CSG!O28+CSB!N28</f>
        <v>0</v>
      </c>
      <c r="P28" s="110">
        <f>CSG!P28+CSB!O28</f>
        <v>0</v>
      </c>
      <c r="Q28" s="110">
        <f>CSG!Q28+CSB!P28</f>
        <v>1060997</v>
      </c>
      <c r="R28" s="110">
        <f>CSG!R28+CSB!Q28</f>
        <v>1680344</v>
      </c>
      <c r="S28" s="110">
        <f>CSG!S28+CSB!R28</f>
        <v>8169937</v>
      </c>
      <c r="T28" s="110">
        <f>CSG!T28+CSB!S28</f>
        <v>4622425</v>
      </c>
      <c r="U28" s="110">
        <f t="shared" si="20"/>
        <v>17332707</v>
      </c>
      <c r="V28" s="113" t="str">
        <f t="shared" si="3"/>
        <v>ok</v>
      </c>
      <c r="W28" s="111">
        <f>Iberia!H41</f>
        <v>17332707</v>
      </c>
      <c r="X28" s="112"/>
      <c r="Y28" s="182"/>
      <c r="Z28" s="110">
        <f>Iberia!H44</f>
        <v>83346072</v>
      </c>
      <c r="AA28" s="110">
        <f>Iberia!H46+Iberia!H47+Iberia!H48+Iberia!H49+Iberia!H50</f>
        <v>28523557</v>
      </c>
      <c r="AB28" s="110">
        <f>Iberia!H51</f>
        <v>20738955</v>
      </c>
      <c r="AC28" s="110">
        <f t="shared" si="21"/>
        <v>132608584</v>
      </c>
      <c r="AD28" s="110">
        <f t="shared" si="10"/>
        <v>149941291</v>
      </c>
      <c r="AE28" s="229" t="str">
        <f t="shared" si="5"/>
        <v>ok</v>
      </c>
      <c r="AF28" s="111">
        <f>Iberia!H55</f>
        <v>149941291</v>
      </c>
    </row>
    <row r="29" spans="1:32" ht="15.6">
      <c r="A29" s="56"/>
      <c r="B29" s="3" t="s">
        <v>763</v>
      </c>
      <c r="C29" s="110">
        <f>CSG!C29+CSB!C29</f>
        <v>27146054</v>
      </c>
      <c r="D29" s="110">
        <f>CSG!D29+CSB!D29</f>
        <v>0</v>
      </c>
      <c r="E29" s="110">
        <f>CSG!E29+CSB!E29</f>
        <v>11136775</v>
      </c>
      <c r="F29" s="110">
        <f>CSG!F29+CSB!F29</f>
        <v>126203612</v>
      </c>
      <c r="G29" s="110">
        <f>CSG!G29+CSB!G29</f>
        <v>0</v>
      </c>
      <c r="H29" s="110">
        <f>CSG!H29+CSB!H29</f>
        <v>1081847</v>
      </c>
      <c r="I29" s="59">
        <f t="shared" si="11"/>
        <v>165568288</v>
      </c>
      <c r="J29" s="113" t="str">
        <f t="shared" si="1"/>
        <v>ok</v>
      </c>
      <c r="K29" s="58">
        <f>Iberville!J22</f>
        <v>165568288</v>
      </c>
      <c r="L29" s="181"/>
      <c r="M29" s="110">
        <f>CSG!M29+CSB!L29</f>
        <v>4855726</v>
      </c>
      <c r="N29" s="110">
        <f>CSG!N29+CSB!M29</f>
        <v>0</v>
      </c>
      <c r="O29" s="110">
        <f>CSG!O29+CSB!N29</f>
        <v>0</v>
      </c>
      <c r="P29" s="110">
        <f>CSG!P29+CSB!O29</f>
        <v>0</v>
      </c>
      <c r="Q29" s="110">
        <f>CSG!Q29+CSB!P29</f>
        <v>0</v>
      </c>
      <c r="R29" s="110">
        <f>CSG!R29+CSB!Q29</f>
        <v>1159609</v>
      </c>
      <c r="S29" s="110">
        <f>CSG!S29+CSB!R29</f>
        <v>16566384</v>
      </c>
      <c r="T29" s="110">
        <f>CSG!T29+CSB!S29</f>
        <v>535622</v>
      </c>
      <c r="U29" s="59">
        <f t="shared" ref="U29:U43" si="22">SUM(M29:T29)</f>
        <v>23117341</v>
      </c>
      <c r="V29" s="113" t="str">
        <f t="shared" si="3"/>
        <v>ok</v>
      </c>
      <c r="W29" s="58">
        <f>Iberville!J36</f>
        <v>23117341</v>
      </c>
      <c r="X29" s="60"/>
      <c r="Y29" s="181"/>
      <c r="Z29" s="59">
        <f>Iberville!H39</f>
        <v>97712719</v>
      </c>
      <c r="AA29" s="59">
        <f>Iberville!H41+Iberville!H42+Iberville!H43+Iberville!H44+Iberville!H45+Iberville!H46+Iberville!H47+Iberville!H48</f>
        <v>25823670</v>
      </c>
      <c r="AB29" s="59">
        <f>Iberville!H49</f>
        <v>4641483</v>
      </c>
      <c r="AC29" s="59">
        <f t="shared" si="21"/>
        <v>128177872</v>
      </c>
      <c r="AD29" s="59">
        <f t="shared" si="10"/>
        <v>151295213</v>
      </c>
      <c r="AE29" s="229" t="str">
        <f t="shared" si="5"/>
        <v>check</v>
      </c>
      <c r="AF29" s="58">
        <f>Iberville!H53</f>
        <v>149934588</v>
      </c>
    </row>
    <row r="30" spans="1:32" s="104" customFormat="1">
      <c r="B30" s="109" t="s">
        <v>764</v>
      </c>
      <c r="C30" s="110">
        <f>CSG!C30+CSB!C30</f>
        <v>9298920</v>
      </c>
      <c r="D30" s="110">
        <f>CSG!D30+CSB!D30</f>
        <v>0</v>
      </c>
      <c r="E30" s="110">
        <f>CSG!E30+CSB!E30</f>
        <v>4981192</v>
      </c>
      <c r="F30" s="110">
        <f>CSG!F30+CSB!F30</f>
        <v>16451354</v>
      </c>
      <c r="G30" s="110">
        <f>CSG!G30+CSB!G30</f>
        <v>0</v>
      </c>
      <c r="H30" s="110">
        <f>CSG!H30+CSB!H30</f>
        <v>75502</v>
      </c>
      <c r="I30" s="110">
        <f t="shared" si="11"/>
        <v>30806968</v>
      </c>
      <c r="J30" s="113" t="str">
        <f t="shared" si="1"/>
        <v>ok</v>
      </c>
      <c r="K30" s="111">
        <f>'Jackson '!G13</f>
        <v>30806968</v>
      </c>
      <c r="L30" s="182"/>
      <c r="M30" s="110">
        <f>CSG!M30+CSB!L30</f>
        <v>310576</v>
      </c>
      <c r="N30" s="110">
        <f>CSG!N30+CSB!M30</f>
        <v>0</v>
      </c>
      <c r="O30" s="110">
        <f>CSG!O30+CSB!N30</f>
        <v>0</v>
      </c>
      <c r="P30" s="110">
        <f>CSG!P30+CSB!O30</f>
        <v>0</v>
      </c>
      <c r="Q30" s="110">
        <f>CSG!Q30+CSB!P30</f>
        <v>0</v>
      </c>
      <c r="R30" s="110">
        <f>CSG!R30+CSB!Q30</f>
        <v>110115</v>
      </c>
      <c r="S30" s="110">
        <f>CSG!S30+CSB!R30</f>
        <v>491865</v>
      </c>
      <c r="T30" s="110">
        <f>CSG!T30+CSB!S30</f>
        <v>30799</v>
      </c>
      <c r="U30" s="110">
        <f t="shared" si="22"/>
        <v>943355</v>
      </c>
      <c r="V30" s="113" t="str">
        <f t="shared" si="3"/>
        <v>ok</v>
      </c>
      <c r="W30" s="111">
        <f>'Jackson '!G22</f>
        <v>943355</v>
      </c>
      <c r="X30" s="112"/>
      <c r="Y30" s="182"/>
      <c r="Z30" s="110">
        <f>'Jackson '!G25</f>
        <v>16451354</v>
      </c>
      <c r="AA30" s="110">
        <f>'Jackson '!G27+'Jackson '!G28+'Jackson '!G29+'Jackson '!G30+'Jackson '!G31+'Jackson '!G32+'Jackson '!G33+'Jackson '!G34</f>
        <v>10190905</v>
      </c>
      <c r="AB30" s="110">
        <f>'Jackson '!G35</f>
        <v>3188354</v>
      </c>
      <c r="AC30" s="110">
        <f t="shared" si="21"/>
        <v>29830613</v>
      </c>
      <c r="AD30" s="110">
        <f t="shared" si="10"/>
        <v>30773968</v>
      </c>
      <c r="AE30" s="229" t="str">
        <f t="shared" si="5"/>
        <v>ok</v>
      </c>
      <c r="AF30" s="111">
        <f>'Jackson '!G39</f>
        <v>30773968</v>
      </c>
    </row>
    <row r="31" spans="1:32" s="147" customFormat="1" ht="15.6">
      <c r="A31" s="284"/>
      <c r="B31" s="285" t="s">
        <v>765</v>
      </c>
      <c r="C31" s="110">
        <f>CSG!C31+CSB!C31</f>
        <v>89542</v>
      </c>
      <c r="D31" s="110">
        <f>CSG!D31+CSB!D31</f>
        <v>73761</v>
      </c>
      <c r="E31" s="110">
        <f>CSG!E31+CSB!E31</f>
        <v>280012</v>
      </c>
      <c r="F31" s="110">
        <f>CSG!F31+CSB!F31</f>
        <v>1773221</v>
      </c>
      <c r="G31" s="110">
        <f>CSG!G31+CSB!G31</f>
        <v>0</v>
      </c>
      <c r="H31" s="110">
        <f>CSG!H31+CSB!H31</f>
        <v>541700</v>
      </c>
      <c r="I31" s="286">
        <f t="shared" si="11"/>
        <v>2758236</v>
      </c>
      <c r="J31" s="113" t="str">
        <f t="shared" si="1"/>
        <v>ok</v>
      </c>
      <c r="K31" s="287">
        <f>Jefferson!J40</f>
        <v>2758236</v>
      </c>
      <c r="L31" s="288">
        <f>Jefferson!H45</f>
        <v>8143</v>
      </c>
      <c r="M31" s="110">
        <f>CSG!M31+CSB!L31</f>
        <v>62386</v>
      </c>
      <c r="N31" s="110">
        <f>CSG!N31+CSB!M31</f>
        <v>0</v>
      </c>
      <c r="O31" s="110">
        <f>CSG!O31+CSB!N31</f>
        <v>0</v>
      </c>
      <c r="P31" s="110">
        <f>CSG!P31+CSB!O31</f>
        <v>0</v>
      </c>
      <c r="Q31" s="110">
        <f>CSG!Q31+CSB!P31</f>
        <v>0</v>
      </c>
      <c r="R31" s="110">
        <f>CSG!R31+CSB!Q31</f>
        <v>32635</v>
      </c>
      <c r="S31" s="110">
        <f>CSG!S31+CSB!R31</f>
        <v>442518</v>
      </c>
      <c r="T31" s="110">
        <f>CSG!T31+CSB!S31</f>
        <v>217066</v>
      </c>
      <c r="U31" s="286">
        <f t="shared" si="22"/>
        <v>754605</v>
      </c>
      <c r="V31" s="113" t="str">
        <f t="shared" si="3"/>
        <v>ok</v>
      </c>
      <c r="W31" s="287">
        <f>Jefferson!J73</f>
        <v>754605</v>
      </c>
      <c r="X31" s="289"/>
      <c r="Y31" s="288"/>
      <c r="Z31" s="286">
        <f>Jefferson!H76</f>
        <v>877954</v>
      </c>
      <c r="AA31" s="286">
        <f>Jefferson!H78+Jefferson!H79+Jefferson!H80+Jefferson!H81+Jefferson!H82+Jefferson!H83+Jefferson!H84+Jefferson!H85+Jefferson!H86+Jefferson!H87+Jefferson!H89+Jefferson!H90</f>
        <v>399519</v>
      </c>
      <c r="AB31" s="286">
        <f>Jefferson!H91</f>
        <v>107409</v>
      </c>
      <c r="AC31" s="286">
        <f>SUM(Z31:AB31)</f>
        <v>1384882</v>
      </c>
      <c r="AD31" s="286">
        <f>SUM(AC31,U31,Y31)</f>
        <v>2139487</v>
      </c>
      <c r="AE31" s="229" t="str">
        <f t="shared" si="5"/>
        <v>check</v>
      </c>
      <c r="AF31" s="287">
        <f>Jefferson!H95</f>
        <v>2093573</v>
      </c>
    </row>
    <row r="32" spans="1:32" s="104" customFormat="1" ht="15.6">
      <c r="A32" s="108"/>
      <c r="B32" s="109" t="s">
        <v>766</v>
      </c>
      <c r="C32" s="110">
        <f>CSG!C32+CSB!C32</f>
        <v>22622461</v>
      </c>
      <c r="D32" s="110">
        <f>CSG!D32+CSB!D32</f>
        <v>2112204</v>
      </c>
      <c r="E32" s="110">
        <f>CSG!E32+CSB!E32</f>
        <v>1464881</v>
      </c>
      <c r="F32" s="110">
        <f>CSG!F32+CSB!F32</f>
        <v>33983534</v>
      </c>
      <c r="G32" s="110">
        <f>CSG!G32+CSB!G32</f>
        <v>0</v>
      </c>
      <c r="H32" s="110">
        <f>CSG!H32+CSB!H32</f>
        <v>78534</v>
      </c>
      <c r="I32" s="110">
        <f>SUM(C32:H32)</f>
        <v>60261614</v>
      </c>
      <c r="J32" s="113" t="str">
        <f>IF(I32=K32, "ok", "check")</f>
        <v>ok</v>
      </c>
      <c r="K32" s="111">
        <f>'Jefferson Davis'!G13</f>
        <v>60261614</v>
      </c>
      <c r="L32" s="182">
        <f>'Jefferson Davis'!G16</f>
        <v>71146</v>
      </c>
      <c r="M32" s="110">
        <f>CSG!M32+CSB!L32</f>
        <v>1988812</v>
      </c>
      <c r="N32" s="110">
        <f>CSG!N32+CSB!M32</f>
        <v>0</v>
      </c>
      <c r="O32" s="110">
        <f>CSG!O32+CSB!N32</f>
        <v>956000</v>
      </c>
      <c r="P32" s="110">
        <f>CSG!P32+CSB!O32</f>
        <v>14714000</v>
      </c>
      <c r="Q32" s="110">
        <f>CSG!Q32+CSB!P32</f>
        <v>550500</v>
      </c>
      <c r="R32" s="110">
        <f>CSG!R32+CSB!Q32</f>
        <v>0</v>
      </c>
      <c r="S32" s="110">
        <f>CSG!S32+CSB!R32</f>
        <v>0</v>
      </c>
      <c r="T32" s="110">
        <f>CSG!T32+CSB!S32</f>
        <v>2078200</v>
      </c>
      <c r="U32" s="110">
        <f>SUM(M32:T32)</f>
        <v>20287512</v>
      </c>
      <c r="V32" s="113" t="str">
        <f>IF(U32=W32, "ok", "check")</f>
        <v>ok</v>
      </c>
      <c r="W32" s="111">
        <f>'Jefferson Davis'!G30</f>
        <v>20287512</v>
      </c>
      <c r="X32" s="112"/>
      <c r="Y32" s="182">
        <f>'Jefferson Davis'!G33</f>
        <v>509597</v>
      </c>
      <c r="Z32" s="110">
        <f>'Jefferson Davis'!G36</f>
        <v>17105806</v>
      </c>
      <c r="AA32" s="110">
        <f>'Jefferson Davis'!G38+'Jefferson Davis'!G39+'Jefferson Davis'!G40+'Jefferson Davis'!G41+'Jefferson Davis'!G42</f>
        <v>17422040</v>
      </c>
      <c r="AB32" s="110">
        <f>'Jefferson Davis'!G43</f>
        <v>5007805</v>
      </c>
      <c r="AC32" s="110">
        <f>SUM(Z32:AB32)</f>
        <v>39535651</v>
      </c>
      <c r="AD32" s="110">
        <f>SUM(AC32,U32,Y32)</f>
        <v>60332760</v>
      </c>
      <c r="AE32" s="229" t="str">
        <f>IF(AD32=AF32, "ok", "check")</f>
        <v>ok</v>
      </c>
      <c r="AF32" s="111">
        <f>'Jefferson Davis'!G47</f>
        <v>60332760</v>
      </c>
    </row>
    <row r="33" spans="1:32" s="147" customFormat="1" ht="15.6">
      <c r="A33" s="284"/>
      <c r="B33" s="285" t="s">
        <v>767</v>
      </c>
      <c r="C33" s="110">
        <f>CSG!C33+CSB!C33</f>
        <v>20632667</v>
      </c>
      <c r="D33" s="110">
        <f>CSG!D33+CSB!D33</f>
        <v>504218548</v>
      </c>
      <c r="E33" s="110">
        <f>CSG!E33+CSB!E33</f>
        <v>30041185</v>
      </c>
      <c r="F33" s="110">
        <f>CSG!F33+CSB!F33</f>
        <v>1316304239</v>
      </c>
      <c r="G33" s="110">
        <f>CSG!G33+CSB!G33</f>
        <v>22135730</v>
      </c>
      <c r="H33" s="110">
        <f>CSG!H33+CSB!H33</f>
        <v>32795088</v>
      </c>
      <c r="I33" s="286">
        <f t="shared" si="11"/>
        <v>1926127457</v>
      </c>
      <c r="J33" s="113" t="str">
        <f t="shared" si="1"/>
        <v>ok</v>
      </c>
      <c r="K33" s="287">
        <f>Lafayette!J26</f>
        <v>1926127457</v>
      </c>
      <c r="L33" s="288">
        <f>Lafayette!H29</f>
        <v>10285862</v>
      </c>
      <c r="M33" s="110">
        <f>CSG!M33+CSB!L33</f>
        <v>9938502</v>
      </c>
      <c r="N33" s="110">
        <f>CSG!N33+CSB!M33</f>
        <v>0</v>
      </c>
      <c r="O33" s="110">
        <f>CSG!O33+CSB!N33</f>
        <v>0</v>
      </c>
      <c r="P33" s="110">
        <f>CSG!P33+CSB!O33</f>
        <v>0</v>
      </c>
      <c r="Q33" s="110">
        <f>CSG!Q33+CSB!P33</f>
        <v>788161</v>
      </c>
      <c r="R33" s="110">
        <f>CSG!R33+CSB!Q33</f>
        <v>39463487</v>
      </c>
      <c r="S33" s="110">
        <f>CSG!S33+CSB!R33</f>
        <v>904296819</v>
      </c>
      <c r="T33" s="110">
        <f>CSG!T33+CSB!S33</f>
        <v>8435611</v>
      </c>
      <c r="U33" s="286">
        <f t="shared" si="22"/>
        <v>962922580</v>
      </c>
      <c r="V33" s="113" t="str">
        <f t="shared" si="3"/>
        <v>ok</v>
      </c>
      <c r="W33" s="287">
        <f>Lafayette!J42</f>
        <v>962922580</v>
      </c>
      <c r="X33" s="289"/>
      <c r="Y33" s="288"/>
      <c r="Z33" s="286">
        <f>Lafayette!H48</f>
        <v>311019205</v>
      </c>
      <c r="AA33" s="286">
        <f>Lafayette!H50+Lafayette!H51+Lafayette!H52</f>
        <v>174475245</v>
      </c>
      <c r="AB33" s="286">
        <f>Lafayette!H53</f>
        <v>-10964684</v>
      </c>
      <c r="AC33" s="286">
        <f t="shared" ref="AC33:AC42" si="23">SUM(Z33:AB33)</f>
        <v>474529766</v>
      </c>
      <c r="AD33" s="286">
        <f t="shared" si="10"/>
        <v>1437452346</v>
      </c>
      <c r="AE33" s="229" t="str">
        <f t="shared" si="5"/>
        <v>check</v>
      </c>
      <c r="AF33" s="287">
        <f>Lafayette!H57</f>
        <v>922953619</v>
      </c>
    </row>
    <row r="34" spans="1:32" s="104" customFormat="1" ht="15.6">
      <c r="A34" s="108"/>
      <c r="B34" s="109" t="s">
        <v>768</v>
      </c>
      <c r="C34" s="110">
        <f>CSG!C34+CSB!C34</f>
        <v>20213397</v>
      </c>
      <c r="D34" s="110">
        <f>CSG!D34+CSB!D34</f>
        <v>22534040</v>
      </c>
      <c r="E34" s="110">
        <f>CSG!E34+CSB!E34</f>
        <v>2784215</v>
      </c>
      <c r="F34" s="110">
        <f>CSG!F34+CSB!F34</f>
        <v>98974569</v>
      </c>
      <c r="G34" s="110">
        <f>CSG!G34+CSB!G34</f>
        <v>30663568</v>
      </c>
      <c r="H34" s="110">
        <f>CSG!H34+CSB!H34</f>
        <v>2779853</v>
      </c>
      <c r="I34" s="110">
        <f t="shared" si="11"/>
        <v>177949642</v>
      </c>
      <c r="J34" s="113" t="str">
        <f t="shared" si="1"/>
        <v>ok</v>
      </c>
      <c r="K34" s="111">
        <f>Lafourche!J16</f>
        <v>177949642</v>
      </c>
      <c r="L34" s="182">
        <f>Lafourche!H21</f>
        <v>998036</v>
      </c>
      <c r="M34" s="110">
        <f>CSG!M34+CSB!L34</f>
        <v>6270009</v>
      </c>
      <c r="N34" s="110">
        <f>CSG!N34+CSB!M34</f>
        <v>0</v>
      </c>
      <c r="O34" s="110">
        <f>CSG!O34+CSB!N34</f>
        <v>0</v>
      </c>
      <c r="P34" s="110">
        <f>CSG!P34+CSB!O34</f>
        <v>0</v>
      </c>
      <c r="Q34" s="110">
        <f>CSG!Q34+CSB!P34</f>
        <v>1144831</v>
      </c>
      <c r="R34" s="110">
        <f>CSG!R34+CSB!Q34</f>
        <v>2495013</v>
      </c>
      <c r="S34" s="110">
        <f>CSG!S34+CSB!R34</f>
        <v>43892757</v>
      </c>
      <c r="T34" s="110">
        <f>CSG!T34+CSB!S34</f>
        <v>468146</v>
      </c>
      <c r="U34" s="110">
        <f t="shared" si="22"/>
        <v>54270756</v>
      </c>
      <c r="V34" s="113" t="str">
        <f t="shared" si="3"/>
        <v>ok</v>
      </c>
      <c r="W34" s="111">
        <f>Lafourche!J32</f>
        <v>54270756</v>
      </c>
      <c r="X34" s="112"/>
      <c r="Y34" s="182"/>
      <c r="Z34" s="110">
        <f>Lafourche!H35</f>
        <v>40588502</v>
      </c>
      <c r="AA34" s="110">
        <f>Lafourche!H37+Lafourche!H38</f>
        <v>18787481</v>
      </c>
      <c r="AB34" s="110">
        <f>Lafourche!H39</f>
        <v>62759506</v>
      </c>
      <c r="AC34" s="110">
        <f t="shared" si="23"/>
        <v>122135489</v>
      </c>
      <c r="AD34" s="110">
        <f t="shared" ref="AD34:AD47" si="24">SUM(AC34,U34)</f>
        <v>176406245</v>
      </c>
      <c r="AE34" s="229" t="str">
        <f t="shared" si="5"/>
        <v>check</v>
      </c>
      <c r="AF34" s="111">
        <f>Lafourche!H43</f>
        <v>176167431</v>
      </c>
    </row>
    <row r="35" spans="1:32" ht="15.6">
      <c r="A35" s="56"/>
      <c r="B35" s="3" t="s">
        <v>769</v>
      </c>
      <c r="C35" s="110">
        <f>CSG!C35+CSB!C35</f>
        <v>2562628</v>
      </c>
      <c r="D35" s="110">
        <f>CSG!D35+CSB!D35</f>
        <v>0</v>
      </c>
      <c r="E35" s="110">
        <f>CSG!E35+CSB!E35</f>
        <v>4667182</v>
      </c>
      <c r="F35" s="110">
        <f>CSG!F35+CSB!F35</f>
        <v>7095343</v>
      </c>
      <c r="G35" s="110">
        <f>CSG!G35+CSB!G35</f>
        <v>0</v>
      </c>
      <c r="H35" s="110">
        <f>CSG!H35+CSB!H35</f>
        <v>12440</v>
      </c>
      <c r="I35" s="59">
        <f>SUM(C35:H35)</f>
        <v>14337593</v>
      </c>
      <c r="J35" s="113" t="str">
        <f>IF(I35=K35, "ok", "check")</f>
        <v>ok</v>
      </c>
      <c r="K35" s="58">
        <f>LaSalle!G11</f>
        <v>14337593</v>
      </c>
      <c r="L35" s="181"/>
      <c r="M35" s="110">
        <f>CSG!M35+CSB!L35</f>
        <v>1206833</v>
      </c>
      <c r="N35" s="110">
        <f>CSG!N35+CSB!M35</f>
        <v>0</v>
      </c>
      <c r="O35" s="110">
        <f>CSG!O35+CSB!N35</f>
        <v>0</v>
      </c>
      <c r="P35" s="110">
        <f>CSG!P35+CSB!O35</f>
        <v>0</v>
      </c>
      <c r="Q35" s="110">
        <f>CSG!Q35+CSB!P35</f>
        <v>0</v>
      </c>
      <c r="R35" s="110">
        <f>CSG!R35+CSB!Q35</f>
        <v>113744</v>
      </c>
      <c r="S35" s="110">
        <f>CSG!S35+CSB!R35</f>
        <v>300699</v>
      </c>
      <c r="T35" s="110">
        <f>CSG!T35+CSB!S35</f>
        <v>821803</v>
      </c>
      <c r="U35" s="59">
        <f>SUM(M35:T35)</f>
        <v>2443079</v>
      </c>
      <c r="V35" s="113" t="str">
        <f>IF(U35=W35, "ok", "check")</f>
        <v>ok</v>
      </c>
      <c r="W35" s="58">
        <f>LaSalle!G22</f>
        <v>2443079</v>
      </c>
      <c r="X35" s="60"/>
      <c r="Y35" s="181"/>
      <c r="Z35" s="59">
        <f>LaSalle!G25</f>
        <v>6680900</v>
      </c>
      <c r="AA35" s="59"/>
      <c r="AB35" s="59">
        <f>LaSalle!G26</f>
        <v>5213614</v>
      </c>
      <c r="AC35" s="59">
        <f t="shared" ref="AC35" si="25">SUM(Z35:AB35)</f>
        <v>11894514</v>
      </c>
      <c r="AD35" s="59">
        <f>SUM(AC35,U35,Y35)</f>
        <v>14337593</v>
      </c>
      <c r="AE35" s="229" t="str">
        <f>IF(AD35=AF35, "ok", "check")</f>
        <v>ok</v>
      </c>
      <c r="AF35" s="58">
        <f>LaSalle!G30</f>
        <v>14337593</v>
      </c>
    </row>
    <row r="36" spans="1:32" s="104" customFormat="1" ht="15.6">
      <c r="A36" s="108"/>
      <c r="B36" s="109" t="s">
        <v>770</v>
      </c>
      <c r="C36" s="110">
        <f>CSG!C36+CSB!C36</f>
        <v>9467885</v>
      </c>
      <c r="D36" s="110">
        <f>CSG!D36+CSB!D36</f>
        <v>22471496</v>
      </c>
      <c r="E36" s="110">
        <f>CSG!E36+CSB!E36</f>
        <v>7666006</v>
      </c>
      <c r="F36" s="110">
        <f>CSG!F36+CSB!F36</f>
        <v>22960409</v>
      </c>
      <c r="G36" s="110">
        <f>CSG!G36+CSB!G36</f>
        <v>813998</v>
      </c>
      <c r="H36" s="110">
        <f>CSG!H36+CSB!H36</f>
        <v>11582</v>
      </c>
      <c r="I36" s="110">
        <f t="shared" si="11"/>
        <v>63391376</v>
      </c>
      <c r="J36" s="113" t="str">
        <f t="shared" si="1"/>
        <v>ok</v>
      </c>
      <c r="K36" s="111">
        <f>Lincoln!G15</f>
        <v>63391376</v>
      </c>
      <c r="L36" s="182">
        <f>Lincoln!G18</f>
        <v>7819</v>
      </c>
      <c r="M36" s="110">
        <f>CSG!M36+CSB!L36</f>
        <v>1255073</v>
      </c>
      <c r="N36" s="110">
        <f>CSG!N36+CSB!M36</f>
        <v>107370</v>
      </c>
      <c r="O36" s="110">
        <f>CSG!O36+CSB!N36</f>
        <v>487000</v>
      </c>
      <c r="P36" s="110">
        <f>CSG!P36+CSB!O36</f>
        <v>2989000</v>
      </c>
      <c r="Q36" s="110">
        <f>CSG!Q36+CSB!P36</f>
        <v>720960</v>
      </c>
      <c r="R36" s="110">
        <f>CSG!R36+CSB!Q36</f>
        <v>0</v>
      </c>
      <c r="S36" s="110">
        <f>CSG!S36+CSB!R36</f>
        <v>0</v>
      </c>
      <c r="T36" s="110">
        <f>CSG!T36+CSB!S36</f>
        <v>1677068</v>
      </c>
      <c r="U36" s="110">
        <f t="shared" si="22"/>
        <v>7236471</v>
      </c>
      <c r="V36" s="229" t="str">
        <f t="shared" si="3"/>
        <v>ok</v>
      </c>
      <c r="W36" s="111">
        <f>Lincoln!G32</f>
        <v>7236471</v>
      </c>
      <c r="X36" s="112"/>
      <c r="Y36" s="182"/>
      <c r="Z36" s="110">
        <f>Lincoln!G35</f>
        <v>22960409</v>
      </c>
      <c r="AA36" s="110">
        <f>Lincoln!G37+Lincoln!G38</f>
        <v>3010039</v>
      </c>
      <c r="AB36" s="110">
        <f>Lincoln!G39</f>
        <v>30192276</v>
      </c>
      <c r="AC36" s="110">
        <f t="shared" si="23"/>
        <v>56162724</v>
      </c>
      <c r="AD36" s="110">
        <f t="shared" si="24"/>
        <v>63399195</v>
      </c>
      <c r="AE36" s="229" t="str">
        <f t="shared" si="5"/>
        <v>ok</v>
      </c>
      <c r="AF36" s="111">
        <f>Lincoln!G43</f>
        <v>63399195</v>
      </c>
    </row>
    <row r="37" spans="1:32">
      <c r="B37" s="3" t="s">
        <v>771</v>
      </c>
      <c r="C37" s="110">
        <f>CSG!C37+CSB!C37</f>
        <v>18862728</v>
      </c>
      <c r="D37" s="110">
        <f>CSG!D37+CSB!D37</f>
        <v>3408123</v>
      </c>
      <c r="E37" s="110">
        <f>CSG!E37+CSB!E37</f>
        <v>926868</v>
      </c>
      <c r="F37" s="110">
        <f>CSG!F37+CSB!F37</f>
        <v>151212474</v>
      </c>
      <c r="G37" s="110">
        <f>CSG!G37+CSB!G37</f>
        <v>12664543</v>
      </c>
      <c r="H37" s="110">
        <f>CSG!H37+CSB!H37</f>
        <v>1016273</v>
      </c>
      <c r="I37" s="59">
        <f t="shared" si="11"/>
        <v>188091009</v>
      </c>
      <c r="J37" s="113" t="str">
        <f t="shared" si="1"/>
        <v>ok</v>
      </c>
      <c r="K37" s="58">
        <f>Livingston!J21</f>
        <v>188091009</v>
      </c>
      <c r="L37" s="181">
        <f>Livingston!H26</f>
        <v>4057845</v>
      </c>
      <c r="M37" s="110">
        <f>CSG!M37+CSB!L37</f>
        <v>4894046</v>
      </c>
      <c r="N37" s="110">
        <f>CSG!N37+CSB!M37</f>
        <v>0</v>
      </c>
      <c r="O37" s="110">
        <f>CSG!O37+CSB!N37</f>
        <v>0</v>
      </c>
      <c r="P37" s="110">
        <f>CSG!P37+CSB!O37</f>
        <v>0</v>
      </c>
      <c r="Q37" s="110">
        <f>CSG!Q37+CSB!P37</f>
        <v>639810</v>
      </c>
      <c r="R37" s="110">
        <f>CSG!R37+CSB!Q37</f>
        <v>7040540</v>
      </c>
      <c r="S37" s="110">
        <f>CSG!S37+CSB!R37</f>
        <v>81510820</v>
      </c>
      <c r="T37" s="110">
        <f>CSG!T37+CSB!S37</f>
        <v>19700</v>
      </c>
      <c r="U37" s="59">
        <f t="shared" si="22"/>
        <v>94104916</v>
      </c>
      <c r="V37" s="229" t="str">
        <f t="shared" si="3"/>
        <v>ok</v>
      </c>
      <c r="W37" s="58">
        <f>Livingston!J38</f>
        <v>94104916</v>
      </c>
      <c r="X37" s="60"/>
      <c r="Y37" s="181"/>
      <c r="Z37" s="59">
        <f>Livingston!H41</f>
        <v>57658796</v>
      </c>
      <c r="AA37" s="59">
        <f>Livingston!H43+Livingston!H44+Livingston!H45+Livingston!H46</f>
        <v>11159044</v>
      </c>
      <c r="AB37" s="59">
        <f>Livingston!H47</f>
        <v>22515748</v>
      </c>
      <c r="AC37" s="59">
        <f t="shared" si="23"/>
        <v>91333588</v>
      </c>
      <c r="AD37" s="59">
        <f t="shared" si="24"/>
        <v>185438504</v>
      </c>
      <c r="AE37" s="229" t="str">
        <f t="shared" si="5"/>
        <v>check</v>
      </c>
      <c r="AF37" s="58">
        <f>Livingston!H51</f>
        <v>182918983</v>
      </c>
    </row>
    <row r="38" spans="1:32" s="104" customFormat="1" ht="15.6">
      <c r="A38" s="108"/>
      <c r="B38" s="109" t="s">
        <v>772</v>
      </c>
      <c r="C38" s="110">
        <f>CSG!C38+CSB!C38</f>
        <v>6060133</v>
      </c>
      <c r="D38" s="110">
        <f>CSG!D38+CSB!D38</f>
        <v>2972442</v>
      </c>
      <c r="E38" s="110">
        <f>CSG!E38+CSB!E38</f>
        <v>5117727</v>
      </c>
      <c r="F38" s="110">
        <f>CSG!F38+CSB!F38</f>
        <v>8087139</v>
      </c>
      <c r="G38" s="110">
        <f>CSG!G38+CSB!G38</f>
        <v>0</v>
      </c>
      <c r="H38" s="110">
        <f>CSG!H38+CSB!H38</f>
        <v>0</v>
      </c>
      <c r="I38" s="110">
        <f t="shared" ref="I38" si="26">SUM(C38:H38)</f>
        <v>22237441</v>
      </c>
      <c r="J38" s="113" t="str">
        <f t="shared" si="1"/>
        <v>ok</v>
      </c>
      <c r="K38" s="111">
        <f>Madison!G11</f>
        <v>22237441</v>
      </c>
      <c r="L38" s="182"/>
      <c r="M38" s="110">
        <f>CSG!M38+CSB!L38</f>
        <v>263534</v>
      </c>
      <c r="N38" s="110">
        <f>CSG!N38+CSB!M38</f>
        <v>0</v>
      </c>
      <c r="O38" s="110">
        <f>CSG!O38+CSB!N38</f>
        <v>0</v>
      </c>
      <c r="P38" s="110">
        <f>CSG!P38+CSB!O38</f>
        <v>0</v>
      </c>
      <c r="Q38" s="110">
        <f>CSG!Q38+CSB!P38</f>
        <v>0</v>
      </c>
      <c r="R38" s="110">
        <f>CSG!R38+CSB!Q38</f>
        <v>36567</v>
      </c>
      <c r="S38" s="110">
        <f>CSG!S38+CSB!R38</f>
        <v>536212</v>
      </c>
      <c r="T38" s="110">
        <f>CSG!T38+CSB!S38</f>
        <v>0</v>
      </c>
      <c r="U38" s="110">
        <f t="shared" ref="U38" si="27">SUM(M38:T38)</f>
        <v>836313</v>
      </c>
      <c r="V38" s="229" t="str">
        <f t="shared" si="3"/>
        <v>ok</v>
      </c>
      <c r="W38" s="111">
        <f>Madison!G19</f>
        <v>836313</v>
      </c>
      <c r="X38" s="112"/>
      <c r="Y38" s="182"/>
      <c r="Z38" s="110">
        <f>Madison!G22</f>
        <v>8004701</v>
      </c>
      <c r="AA38" s="110">
        <f>Madison!G24+Madison!G25+Madison!G26+Madison!G27+Madison!G28+Madison!G29</f>
        <v>13269967</v>
      </c>
      <c r="AB38" s="110">
        <f>Madison!G30</f>
        <v>126460</v>
      </c>
      <c r="AC38" s="110">
        <f t="shared" ref="AC38" si="28">SUM(Z38:AB38)</f>
        <v>21401128</v>
      </c>
      <c r="AD38" s="110">
        <f t="shared" si="24"/>
        <v>22237441</v>
      </c>
      <c r="AE38" s="229" t="str">
        <f t="shared" si="5"/>
        <v>ok</v>
      </c>
      <c r="AF38" s="111">
        <f>Madison!G34</f>
        <v>22237441</v>
      </c>
    </row>
    <row r="39" spans="1:32" ht="15.6">
      <c r="A39" s="56"/>
      <c r="B39" s="3" t="s">
        <v>773</v>
      </c>
      <c r="C39" s="110">
        <f>CSG!C39+CSB!C39</f>
        <v>4184992</v>
      </c>
      <c r="D39" s="110">
        <f>CSG!D39+CSB!D39</f>
        <v>540000</v>
      </c>
      <c r="E39" s="110">
        <f>CSG!E39+CSB!E39</f>
        <v>2375399</v>
      </c>
      <c r="F39" s="110">
        <f>CSG!F39+CSB!F39</f>
        <v>13394417</v>
      </c>
      <c r="G39" s="110">
        <f>CSG!G39+CSB!G39</f>
        <v>0</v>
      </c>
      <c r="H39" s="110">
        <f>CSG!H39+CSB!H39</f>
        <v>0</v>
      </c>
      <c r="I39" s="59">
        <f t="shared" si="11"/>
        <v>20494808</v>
      </c>
      <c r="J39" s="113" t="str">
        <f t="shared" si="1"/>
        <v>ok</v>
      </c>
      <c r="K39" s="58">
        <f>Morehouse!G13</f>
        <v>20494808</v>
      </c>
      <c r="L39" s="181"/>
      <c r="M39" s="110">
        <f>CSG!M39+CSB!L39</f>
        <v>278282</v>
      </c>
      <c r="N39" s="110">
        <f>CSG!N39+CSB!M39</f>
        <v>0</v>
      </c>
      <c r="O39" s="110">
        <f>CSG!O39+CSB!N39</f>
        <v>0</v>
      </c>
      <c r="P39" s="110">
        <f>CSG!P39+CSB!O39</f>
        <v>0</v>
      </c>
      <c r="Q39" s="110">
        <f>CSG!Q39+CSB!P39</f>
        <v>0</v>
      </c>
      <c r="R39" s="110">
        <f>CSG!R39+CSB!Q39</f>
        <v>37425</v>
      </c>
      <c r="S39" s="110">
        <f>CSG!S39+CSB!R39</f>
        <v>0</v>
      </c>
      <c r="T39" s="110">
        <f>CSG!T39+CSB!S39</f>
        <v>2120878</v>
      </c>
      <c r="U39" s="59">
        <f t="shared" si="22"/>
        <v>2436585</v>
      </c>
      <c r="V39" s="229" t="str">
        <f t="shared" si="3"/>
        <v>ok</v>
      </c>
      <c r="W39" s="58">
        <f>Morehouse!G22</f>
        <v>2436585</v>
      </c>
      <c r="X39" s="60"/>
      <c r="Y39" s="181">
        <f>Morehouse!G25</f>
        <v>2092447</v>
      </c>
      <c r="Z39" s="59">
        <f>Morehouse!G28</f>
        <v>13394417</v>
      </c>
      <c r="AA39" s="59">
        <f>Morehouse!G29</f>
        <v>4444717</v>
      </c>
      <c r="AB39" s="59">
        <f>Morehouse!G30</f>
        <v>-1873358</v>
      </c>
      <c r="AC39" s="59">
        <f t="shared" si="23"/>
        <v>15965776</v>
      </c>
      <c r="AD39" s="59">
        <f t="shared" si="24"/>
        <v>18402361</v>
      </c>
      <c r="AE39" s="229" t="str">
        <f t="shared" si="5"/>
        <v>ok</v>
      </c>
      <c r="AF39" s="58">
        <f>Morehouse!G34</f>
        <v>18402361</v>
      </c>
    </row>
    <row r="40" spans="1:32" s="220" customFormat="1" ht="15.6">
      <c r="A40" s="214"/>
      <c r="B40" s="215" t="s">
        <v>774</v>
      </c>
      <c r="C40" s="110">
        <f>CSG!C40+CSB!C40</f>
        <v>33015305</v>
      </c>
      <c r="D40" s="110">
        <f>CSG!D40+CSB!D40</f>
        <v>0</v>
      </c>
      <c r="E40" s="110">
        <f>CSG!E40+CSB!E40</f>
        <v>6154349</v>
      </c>
      <c r="F40" s="110">
        <f>CSG!F40+CSB!F40</f>
        <v>50896020</v>
      </c>
      <c r="G40" s="110">
        <f>CSG!G40+CSB!G40</f>
        <v>0</v>
      </c>
      <c r="H40" s="110">
        <f>CSG!H40+CSB!H40</f>
        <v>1499237</v>
      </c>
      <c r="I40" s="216">
        <f t="shared" si="11"/>
        <v>91564911</v>
      </c>
      <c r="J40" s="229" t="str">
        <f t="shared" si="1"/>
        <v>ok</v>
      </c>
      <c r="K40" s="217">
        <f>Natchitoches!J26</f>
        <v>91564911</v>
      </c>
      <c r="L40" s="218"/>
      <c r="M40" s="110">
        <f>CSG!M40+CSB!L40</f>
        <v>6027565</v>
      </c>
      <c r="N40" s="110">
        <f>CSG!N40+CSB!M40</f>
        <v>0</v>
      </c>
      <c r="O40" s="110">
        <f>CSG!O40+CSB!N40</f>
        <v>0</v>
      </c>
      <c r="P40" s="110">
        <f>CSG!P40+CSB!O40</f>
        <v>0</v>
      </c>
      <c r="Q40" s="110">
        <f>CSG!Q40+CSB!P40</f>
        <v>0</v>
      </c>
      <c r="R40" s="110">
        <f>CSG!R40+CSB!Q40</f>
        <v>408096</v>
      </c>
      <c r="S40" s="110">
        <f>CSG!S40+CSB!R40</f>
        <v>3883262</v>
      </c>
      <c r="T40" s="110">
        <f>CSG!T40+CSB!S40</f>
        <v>4693392</v>
      </c>
      <c r="U40" s="216">
        <f t="shared" si="22"/>
        <v>15012315</v>
      </c>
      <c r="V40" s="229" t="str">
        <f t="shared" si="3"/>
        <v>ok</v>
      </c>
      <c r="W40" s="217">
        <f>Natchitoches!J42</f>
        <v>15012315</v>
      </c>
      <c r="X40" s="219"/>
      <c r="Y40" s="218"/>
      <c r="Z40" s="216">
        <f>Natchitoches!H45</f>
        <v>32002070</v>
      </c>
      <c r="AA40" s="216">
        <f>Natchitoches!H46</f>
        <v>4291358</v>
      </c>
      <c r="AB40" s="216">
        <f>Natchitoches!H47</f>
        <v>20451359</v>
      </c>
      <c r="AC40" s="216">
        <f t="shared" si="23"/>
        <v>56744787</v>
      </c>
      <c r="AD40" s="216">
        <f t="shared" si="24"/>
        <v>71757102</v>
      </c>
      <c r="AE40" s="229" t="str">
        <f t="shared" si="5"/>
        <v>check</v>
      </c>
      <c r="AF40" s="217">
        <f>Natchitoches!H51</f>
        <v>67034455</v>
      </c>
    </row>
    <row r="41" spans="1:32" ht="15.6">
      <c r="A41" s="56"/>
      <c r="B41" s="3" t="s">
        <v>775</v>
      </c>
      <c r="C41" s="110">
        <f>CSG!C41+CSB!C41</f>
        <v>91036</v>
      </c>
      <c r="D41" s="110">
        <f>CSG!D41+CSB!D41</f>
        <v>190025</v>
      </c>
      <c r="E41" s="110">
        <f>CSG!E41+CSB!E41</f>
        <v>47856</v>
      </c>
      <c r="F41" s="110">
        <f>CSG!F41+CSB!F41</f>
        <v>1595680</v>
      </c>
      <c r="G41" s="110">
        <f>CSG!G41+CSB!G41</f>
        <v>71428</v>
      </c>
      <c r="H41" s="110">
        <f>CSG!H41+CSB!H41</f>
        <v>15</v>
      </c>
      <c r="I41" s="59">
        <f t="shared" si="11"/>
        <v>1996040</v>
      </c>
      <c r="J41" s="113" t="str">
        <f t="shared" si="1"/>
        <v>ok</v>
      </c>
      <c r="K41" s="58">
        <f>Orleans!H21</f>
        <v>1996040</v>
      </c>
      <c r="L41" s="181">
        <f>Orleans!H25</f>
        <v>6435</v>
      </c>
      <c r="M41" s="110">
        <f>CSG!M41+CSB!L41</f>
        <v>93540</v>
      </c>
      <c r="N41" s="110">
        <f>CSG!N41+CSB!M41</f>
        <v>0</v>
      </c>
      <c r="O41" s="110">
        <f>CSG!O41+CSB!N41</f>
        <v>0</v>
      </c>
      <c r="P41" s="110">
        <f>CSG!P41+CSB!O41</f>
        <v>0</v>
      </c>
      <c r="Q41" s="110">
        <f>CSG!Q41+CSB!P41</f>
        <v>19703</v>
      </c>
      <c r="R41" s="110">
        <f>CSG!R41+CSB!Q41</f>
        <v>104932</v>
      </c>
      <c r="S41" s="110">
        <f>CSG!S41+CSB!R41</f>
        <v>1481068</v>
      </c>
      <c r="T41" s="110">
        <f>CSG!T41+CSB!S41</f>
        <v>676</v>
      </c>
      <c r="U41" s="59">
        <f t="shared" si="22"/>
        <v>1699919</v>
      </c>
      <c r="V41" s="229" t="str">
        <f t="shared" si="3"/>
        <v>ok</v>
      </c>
      <c r="W41" s="58">
        <f>Orleans!H39</f>
        <v>1699919</v>
      </c>
      <c r="X41" s="60"/>
      <c r="Y41" s="181">
        <f>Orleans!H43</f>
        <v>6687</v>
      </c>
      <c r="Z41" s="59">
        <f>Orleans!H46</f>
        <v>936247</v>
      </c>
      <c r="AA41" s="59">
        <f>Orleans!H47+Orleans!H48</f>
        <v>124597</v>
      </c>
      <c r="AB41" s="59">
        <f>Orleans!H50</f>
        <v>-764975</v>
      </c>
      <c r="AC41" s="59">
        <f t="shared" si="23"/>
        <v>295869</v>
      </c>
      <c r="AD41" s="59">
        <f t="shared" si="24"/>
        <v>1995788</v>
      </c>
      <c r="AE41" s="229" t="str">
        <f t="shared" si="5"/>
        <v>ok</v>
      </c>
      <c r="AF41" s="58">
        <f>Orleans!H54</f>
        <v>1995788</v>
      </c>
    </row>
    <row r="42" spans="1:32" s="104" customFormat="1">
      <c r="B42" s="109" t="s">
        <v>776</v>
      </c>
      <c r="C42" s="110">
        <f>CSG!C42+CSB!C42</f>
        <v>37436989</v>
      </c>
      <c r="D42" s="110">
        <f>CSG!D42+CSB!D42</f>
        <v>25766100</v>
      </c>
      <c r="E42" s="110">
        <f>CSG!E42+CSB!E42</f>
        <v>36068525</v>
      </c>
      <c r="F42" s="110">
        <f>CSG!F42+CSB!F42</f>
        <v>183536928</v>
      </c>
      <c r="G42" s="110">
        <f>CSG!G42+CSB!G42</f>
        <v>3666821</v>
      </c>
      <c r="H42" s="110">
        <f>CSG!H42+CSB!H42</f>
        <v>881775</v>
      </c>
      <c r="I42" s="110">
        <f t="shared" si="11"/>
        <v>287357138</v>
      </c>
      <c r="J42" s="113" t="str">
        <f t="shared" si="1"/>
        <v>ok</v>
      </c>
      <c r="K42" s="111">
        <f>'Ouachita '!H22</f>
        <v>287357138</v>
      </c>
      <c r="L42" s="182"/>
      <c r="M42" s="110">
        <f>CSG!M42+CSB!L42</f>
        <v>6560293</v>
      </c>
      <c r="N42" s="110">
        <f>CSG!N42+CSB!M42</f>
        <v>0</v>
      </c>
      <c r="O42" s="110">
        <f>CSG!O42+CSB!N42</f>
        <v>0</v>
      </c>
      <c r="P42" s="110">
        <f>CSG!P42+CSB!O42</f>
        <v>0</v>
      </c>
      <c r="Q42" s="110">
        <f>CSG!Q42+CSB!P42</f>
        <v>0</v>
      </c>
      <c r="R42" s="110">
        <f>CSG!R42+CSB!Q42</f>
        <v>1446391</v>
      </c>
      <c r="S42" s="110">
        <f>CSG!S42+CSB!R42</f>
        <v>8107868</v>
      </c>
      <c r="T42" s="110">
        <f>CSG!T42+CSB!S42</f>
        <v>1257104</v>
      </c>
      <c r="U42" s="110">
        <f t="shared" si="22"/>
        <v>17371656</v>
      </c>
      <c r="V42" s="229" t="str">
        <f t="shared" si="3"/>
        <v>ok</v>
      </c>
      <c r="W42" s="111">
        <f>'Ouachita '!H33</f>
        <v>17371656</v>
      </c>
      <c r="X42" s="112"/>
      <c r="Y42" s="182"/>
      <c r="Z42" s="110">
        <f>'Ouachita '!F36</f>
        <v>180966576</v>
      </c>
      <c r="AA42" s="110">
        <f>'Ouachita '!F38+'Ouachita '!F39+'Ouachita '!F40+'Ouachita '!F41+'Ouachita '!F42+'Ouachita '!F43+'Ouachita '!F44+'Ouachita '!F45+'Ouachita '!F46</f>
        <v>82977695</v>
      </c>
      <c r="AB42" s="110">
        <f>'Ouachita '!F47</f>
        <v>3804300</v>
      </c>
      <c r="AC42" s="110">
        <f t="shared" si="23"/>
        <v>267748571</v>
      </c>
      <c r="AD42" s="110">
        <f t="shared" si="24"/>
        <v>285120227</v>
      </c>
      <c r="AE42" s="229" t="str">
        <f t="shared" si="5"/>
        <v>check</v>
      </c>
      <c r="AF42" s="111">
        <f>'Ouachita '!F51</f>
        <v>284692578</v>
      </c>
    </row>
    <row r="43" spans="1:32" ht="15.6">
      <c r="A43" s="56"/>
      <c r="B43" s="3" t="s">
        <v>777</v>
      </c>
      <c r="C43" s="110">
        <f>CSG!C43+CSB!C43</f>
        <v>113631641</v>
      </c>
      <c r="D43" s="110">
        <f>CSG!D43+CSB!D43</f>
        <v>4716345</v>
      </c>
      <c r="E43" s="110">
        <f>CSG!E43+CSB!E43</f>
        <v>75630890</v>
      </c>
      <c r="F43" s="110">
        <f>CSG!F43+CSB!F43</f>
        <v>576436236</v>
      </c>
      <c r="G43" s="110">
        <f>CSG!G43+CSB!G43</f>
        <v>0</v>
      </c>
      <c r="H43" s="110">
        <f>CSG!H43+CSB!H43</f>
        <v>1644664</v>
      </c>
      <c r="I43" s="59">
        <f t="shared" si="11"/>
        <v>772059776</v>
      </c>
      <c r="J43" s="113" t="str">
        <f t="shared" si="1"/>
        <v>ok</v>
      </c>
      <c r="K43" s="58">
        <f>Plaquemines!J22</f>
        <v>772059776</v>
      </c>
      <c r="L43" s="181"/>
      <c r="M43" s="110">
        <f>CSG!M43+CSB!L43</f>
        <v>35965592</v>
      </c>
      <c r="N43" s="110">
        <f>CSG!N43+CSB!M43</f>
        <v>1125993</v>
      </c>
      <c r="O43" s="110">
        <f>CSG!O43+CSB!N43</f>
        <v>3725000</v>
      </c>
      <c r="P43" s="110">
        <f>CSG!P43+CSB!O43</f>
        <v>120669446</v>
      </c>
      <c r="Q43" s="110">
        <f>CSG!Q43+CSB!P43</f>
        <v>33275</v>
      </c>
      <c r="R43" s="110">
        <f>CSG!R43+CSB!Q43</f>
        <v>0</v>
      </c>
      <c r="S43" s="110">
        <f>CSG!S43+CSB!R43</f>
        <v>0</v>
      </c>
      <c r="T43" s="110">
        <f>CSG!T43+CSB!S43</f>
        <v>15501222</v>
      </c>
      <c r="U43" s="59">
        <f t="shared" si="22"/>
        <v>177020528</v>
      </c>
      <c r="V43" s="229" t="str">
        <f t="shared" si="3"/>
        <v>ok</v>
      </c>
      <c r="W43" s="58">
        <f>Plaquemines!J47</f>
        <v>177020528</v>
      </c>
      <c r="X43" s="60"/>
      <c r="Y43" s="181"/>
      <c r="Z43" s="59">
        <f>Plaquemines!H50</f>
        <v>351520486</v>
      </c>
      <c r="AA43" s="59">
        <f>Plaquemines!H51</f>
        <v>96356871</v>
      </c>
      <c r="AB43" s="59">
        <f>Plaquemines!H52</f>
        <v>47980626</v>
      </c>
      <c r="AC43" s="59">
        <f t="shared" ref="AC43" si="29">SUM(Z43:AB43)</f>
        <v>495857983</v>
      </c>
      <c r="AD43" s="59">
        <f t="shared" si="24"/>
        <v>672878511</v>
      </c>
      <c r="AE43" s="229" t="str">
        <f t="shared" si="5"/>
        <v>check</v>
      </c>
      <c r="AF43" s="58">
        <f>Plaquemines!H56</f>
        <v>665998216</v>
      </c>
    </row>
    <row r="44" spans="1:32" s="104" customFormat="1" ht="15.6">
      <c r="A44" s="108"/>
      <c r="B44" s="109" t="s">
        <v>778</v>
      </c>
      <c r="C44" s="110">
        <f>CSG!C44+CSB!C44</f>
        <v>3071974</v>
      </c>
      <c r="D44" s="110">
        <f>CSG!D44+CSB!D44</f>
        <v>706925</v>
      </c>
      <c r="E44" s="110">
        <f>CSG!E44+CSB!E44</f>
        <v>3999351</v>
      </c>
      <c r="F44" s="110">
        <f>CSG!F44+CSB!F44</f>
        <v>19108491</v>
      </c>
      <c r="G44" s="110">
        <f>CSG!G44+CSB!G44</f>
        <v>995852</v>
      </c>
      <c r="H44" s="110">
        <f>CSG!H44+CSB!H44</f>
        <v>120615</v>
      </c>
      <c r="I44" s="110">
        <f t="shared" ref="I44" si="30">SUM(C44:H44)</f>
        <v>28003208</v>
      </c>
      <c r="J44" s="113" t="str">
        <f t="shared" si="1"/>
        <v>ok</v>
      </c>
      <c r="K44" s="111">
        <f>'Pointe Couppe'!H19</f>
        <v>28003208</v>
      </c>
      <c r="L44" s="182"/>
      <c r="M44" s="110">
        <f>CSG!M44+CSB!L44</f>
        <v>1377977</v>
      </c>
      <c r="N44" s="110">
        <f>CSG!N44+CSB!M44</f>
        <v>0</v>
      </c>
      <c r="O44" s="110">
        <f>CSG!O44+CSB!N44</f>
        <v>0</v>
      </c>
      <c r="P44" s="110">
        <f>CSG!P44+CSB!O44</f>
        <v>0</v>
      </c>
      <c r="Q44" s="110">
        <f>CSG!Q44+CSB!P44</f>
        <v>476736</v>
      </c>
      <c r="R44" s="110">
        <f>CSG!R44+CSB!Q44</f>
        <v>536956</v>
      </c>
      <c r="S44" s="110">
        <f>CSG!S44+CSB!R44</f>
        <v>8092142</v>
      </c>
      <c r="T44" s="110">
        <f>CSG!T44+CSB!S44</f>
        <v>780178</v>
      </c>
      <c r="U44" s="110">
        <f t="shared" ref="U44" si="31">SUM(M44:T44)</f>
        <v>11263989</v>
      </c>
      <c r="V44" s="229" t="str">
        <f t="shared" si="3"/>
        <v>ok</v>
      </c>
      <c r="W44" s="111">
        <f>'Pointe Couppe'!H29</f>
        <v>11263989</v>
      </c>
      <c r="X44" s="112"/>
      <c r="Y44" s="182"/>
      <c r="Z44" s="110">
        <f>'Pointe Couppe'!F35</f>
        <v>8923097</v>
      </c>
      <c r="AA44" s="110">
        <f>'Pointe Couppe'!F37+'Pointe Couppe'!F38</f>
        <v>2809988</v>
      </c>
      <c r="AB44" s="110">
        <f>'Pointe Couppe'!F40</f>
        <v>3056026</v>
      </c>
      <c r="AC44" s="110">
        <f t="shared" ref="AC44" si="32">SUM(Z44:AB44)</f>
        <v>14789111</v>
      </c>
      <c r="AD44" s="110">
        <f t="shared" si="24"/>
        <v>26053100</v>
      </c>
      <c r="AE44" s="229" t="str">
        <f t="shared" si="5"/>
        <v>check</v>
      </c>
      <c r="AF44" s="111">
        <f>'Pointe Couppe'!F44</f>
        <v>24403361</v>
      </c>
    </row>
    <row r="45" spans="1:32" ht="15.6">
      <c r="A45" s="56"/>
      <c r="B45" s="3" t="s">
        <v>779</v>
      </c>
      <c r="C45" s="110">
        <f>CSG!C45+CSB!C45</f>
        <v>51085465</v>
      </c>
      <c r="D45" s="110">
        <f>CSG!D45+CSB!D45</f>
        <v>0</v>
      </c>
      <c r="E45" s="110">
        <f>CSG!E45+CSB!E45</f>
        <v>22832720</v>
      </c>
      <c r="F45" s="110">
        <f>CSG!F45+CSB!F45</f>
        <v>54110945</v>
      </c>
      <c r="G45" s="110">
        <f>CSG!G45+CSB!G45</f>
        <v>0</v>
      </c>
      <c r="H45" s="110">
        <f>CSG!H45+CSB!H45</f>
        <v>516</v>
      </c>
      <c r="I45" s="59">
        <f t="shared" ref="I45:I48" si="33">SUM(C45:H45)</f>
        <v>128029646</v>
      </c>
      <c r="J45" s="113" t="str">
        <f t="shared" si="1"/>
        <v>ok</v>
      </c>
      <c r="K45" s="58">
        <f>Rapides!H19</f>
        <v>128029646</v>
      </c>
      <c r="L45" s="181"/>
      <c r="M45" s="110">
        <f>CSG!M45+CSB!L45</f>
        <v>1797609</v>
      </c>
      <c r="N45" s="110">
        <f>CSG!N45+CSB!M45</f>
        <v>0</v>
      </c>
      <c r="O45" s="110">
        <f>CSG!O45+CSB!N45</f>
        <v>0</v>
      </c>
      <c r="P45" s="110">
        <f>CSG!P45+CSB!O45</f>
        <v>0</v>
      </c>
      <c r="Q45" s="110">
        <f>CSG!Q45+CSB!P45</f>
        <v>0</v>
      </c>
      <c r="R45" s="110">
        <f>CSG!R45+CSB!Q45</f>
        <v>1660074</v>
      </c>
      <c r="S45" s="110">
        <f>CSG!S45+CSB!R45</f>
        <v>53531400</v>
      </c>
      <c r="T45" s="110">
        <f>CSG!T45+CSB!S45</f>
        <v>632212</v>
      </c>
      <c r="U45" s="59">
        <f t="shared" ref="U45:U48" si="34">SUM(M45:T45)</f>
        <v>57621295</v>
      </c>
      <c r="V45" s="229" t="str">
        <f t="shared" si="3"/>
        <v>ok</v>
      </c>
      <c r="W45" s="58">
        <f>Rapides!H29</f>
        <v>57621295</v>
      </c>
      <c r="X45" s="60"/>
      <c r="Y45" s="181"/>
      <c r="Z45" s="59">
        <f>Rapides!H32</f>
        <v>26878874</v>
      </c>
      <c r="AA45" s="59">
        <f>Rapides!H33</f>
        <v>3296487</v>
      </c>
      <c r="AB45" s="59">
        <f>Rapides!H34</f>
        <v>40232989</v>
      </c>
      <c r="AC45" s="59">
        <f t="shared" ref="AC45:AC46" si="35">SUM(Z45:AB45)</f>
        <v>70408350</v>
      </c>
      <c r="AD45" s="59">
        <f t="shared" si="24"/>
        <v>128029645</v>
      </c>
      <c r="AE45" s="229" t="str">
        <f t="shared" si="5"/>
        <v>ok</v>
      </c>
      <c r="AF45" s="58">
        <f>Rapides!H38</f>
        <v>128029645</v>
      </c>
    </row>
    <row r="46" spans="1:32" s="104" customFormat="1" ht="15.6">
      <c r="A46" s="108"/>
      <c r="B46" s="109" t="s">
        <v>780</v>
      </c>
      <c r="C46" s="110">
        <f>CSG!C46+CSB!C46</f>
        <v>12619337</v>
      </c>
      <c r="D46" s="110">
        <f>CSG!D46+CSB!D46</f>
        <v>19054888</v>
      </c>
      <c r="E46" s="110">
        <f>CSG!E46+CSB!E46</f>
        <v>4427567</v>
      </c>
      <c r="F46" s="110">
        <f>CSG!F46+CSB!F46</f>
        <v>15561174</v>
      </c>
      <c r="G46" s="110">
        <f>CSG!G46+CSB!G46</f>
        <v>0</v>
      </c>
      <c r="H46" s="110">
        <f>CSG!H46+CSB!H46</f>
        <v>18353</v>
      </c>
      <c r="I46" s="110">
        <f t="shared" si="33"/>
        <v>51681319</v>
      </c>
      <c r="J46" s="113" t="str">
        <f t="shared" si="1"/>
        <v>ok</v>
      </c>
      <c r="K46" s="111">
        <f>'Red River'!J17</f>
        <v>51681319</v>
      </c>
      <c r="L46" s="182" t="e">
        <f>'[1]St. Bernard'!C32</f>
        <v>#REF!</v>
      </c>
      <c r="M46" s="110">
        <f>CSG!M46+CSB!L46</f>
        <v>864102</v>
      </c>
      <c r="N46" s="110">
        <f>CSG!N46+CSB!M46</f>
        <v>70508</v>
      </c>
      <c r="O46" s="110">
        <f>CSG!O46+CSB!N46</f>
        <v>0</v>
      </c>
      <c r="P46" s="110">
        <f>CSG!P46+CSB!O46</f>
        <v>0</v>
      </c>
      <c r="Q46" s="110">
        <f>CSG!Q46+CSB!P46</f>
        <v>0</v>
      </c>
      <c r="R46" s="110">
        <f>CSG!R46+CSB!Q46</f>
        <v>0</v>
      </c>
      <c r="S46" s="110">
        <f>CSG!S46+CSB!R46</f>
        <v>0</v>
      </c>
      <c r="T46" s="110">
        <f>CSG!T46+CSB!S46</f>
        <v>0</v>
      </c>
      <c r="U46" s="110">
        <f t="shared" si="34"/>
        <v>934610</v>
      </c>
      <c r="V46" s="229" t="str">
        <f t="shared" si="3"/>
        <v>ok</v>
      </c>
      <c r="W46" s="111">
        <f>'Red River'!J32</f>
        <v>934610</v>
      </c>
      <c r="X46" s="112"/>
      <c r="Y46" s="182">
        <f>'[1]St. Bernard'!P32</f>
        <v>21051265</v>
      </c>
      <c r="Z46" s="110">
        <f>'Red River'!H37</f>
        <v>15298294</v>
      </c>
      <c r="AA46" s="110">
        <f>'Red River'!H39+'Red River'!H40+'Red River'!H41+'Red River'!H42</f>
        <v>13334619</v>
      </c>
      <c r="AB46" s="110">
        <f>'Red River'!H43</f>
        <v>21749446</v>
      </c>
      <c r="AC46" s="110">
        <f t="shared" si="35"/>
        <v>50382359</v>
      </c>
      <c r="AD46" s="110">
        <f t="shared" si="24"/>
        <v>51316969</v>
      </c>
      <c r="AE46" s="229" t="str">
        <f t="shared" si="5"/>
        <v>check</v>
      </c>
      <c r="AF46" s="111">
        <f>'Red River'!H47</f>
        <v>51315231</v>
      </c>
    </row>
    <row r="47" spans="1:32" ht="15.6">
      <c r="A47" s="56"/>
      <c r="B47" s="3" t="s">
        <v>781</v>
      </c>
      <c r="C47" s="110">
        <f>CSG!C47+CSB!C47</f>
        <v>8156413</v>
      </c>
      <c r="D47" s="110">
        <f>CSG!D47+CSB!D47</f>
        <v>0</v>
      </c>
      <c r="E47" s="110">
        <f>CSG!E47+CSB!E47</f>
        <v>2837396</v>
      </c>
      <c r="F47" s="110">
        <f>CSG!F47+CSB!F47</f>
        <v>2626068</v>
      </c>
      <c r="G47" s="110">
        <f>CSG!G47+CSB!G47</f>
        <v>0</v>
      </c>
      <c r="H47" s="110">
        <f>CSG!H47+CSB!H47</f>
        <v>0</v>
      </c>
      <c r="I47" s="59">
        <f t="shared" si="33"/>
        <v>13619877</v>
      </c>
      <c r="J47" s="113" t="str">
        <f t="shared" si="1"/>
        <v>ok</v>
      </c>
      <c r="K47" s="58">
        <f>Richland!G12</f>
        <v>13619877</v>
      </c>
      <c r="L47" s="181" t="e">
        <f>'[1]St. Charles'!C33</f>
        <v>#REF!</v>
      </c>
      <c r="M47" s="110">
        <f>CSG!M47+CSB!L47</f>
        <v>454119</v>
      </c>
      <c r="N47" s="110">
        <f>CSG!N47+CSB!M47</f>
        <v>0</v>
      </c>
      <c r="O47" s="110">
        <f>CSG!O47+CSB!N47</f>
        <v>0</v>
      </c>
      <c r="P47" s="110">
        <f>CSG!P47+CSB!O47</f>
        <v>0</v>
      </c>
      <c r="Q47" s="110">
        <f>CSG!Q47+CSB!P47</f>
        <v>0</v>
      </c>
      <c r="R47" s="110">
        <f>CSG!R47+CSB!Q47</f>
        <v>0</v>
      </c>
      <c r="S47" s="110">
        <f>CSG!S47+CSB!R47</f>
        <v>0</v>
      </c>
      <c r="T47" s="110">
        <f>CSG!T47+CSB!S47</f>
        <v>0</v>
      </c>
      <c r="U47" s="59">
        <f t="shared" si="34"/>
        <v>454119</v>
      </c>
      <c r="V47" s="229" t="str">
        <f t="shared" si="3"/>
        <v>ok</v>
      </c>
      <c r="W47" s="58">
        <f>Richland!G18</f>
        <v>454119</v>
      </c>
      <c r="X47" s="60"/>
      <c r="Y47" s="181">
        <f>Richland!G21</f>
        <v>2667511</v>
      </c>
      <c r="Z47" s="59">
        <f>Richland!G24</f>
        <v>2626068</v>
      </c>
      <c r="AA47" s="59">
        <f>Richland!G25</f>
        <v>6125046</v>
      </c>
      <c r="AB47" s="59">
        <f>Richland!G26</f>
        <v>1747133</v>
      </c>
      <c r="AC47" s="59">
        <f t="shared" ref="AC47" si="36">SUM(Z47:AB47)</f>
        <v>10498247</v>
      </c>
      <c r="AD47" s="59">
        <f t="shared" si="24"/>
        <v>10952366</v>
      </c>
      <c r="AE47" s="229" t="str">
        <f t="shared" si="5"/>
        <v>ok</v>
      </c>
      <c r="AF47" s="58">
        <f>Richland!G30</f>
        <v>10952366</v>
      </c>
    </row>
    <row r="48" spans="1:32" s="104" customFormat="1" ht="15.6">
      <c r="A48" s="108"/>
      <c r="B48" s="109" t="s">
        <v>782</v>
      </c>
      <c r="C48" s="110">
        <f>CSG!C48+CSB!C48</f>
        <v>9360736</v>
      </c>
      <c r="D48" s="110">
        <f>CSG!D48+CSB!D48</f>
        <v>0</v>
      </c>
      <c r="E48" s="110">
        <f>CSG!E48+CSB!E48</f>
        <v>3889321</v>
      </c>
      <c r="F48" s="110">
        <f>CSG!F48+CSB!F48</f>
        <v>13877544</v>
      </c>
      <c r="G48" s="110">
        <f>CSG!G48+CSB!G48</f>
        <v>0</v>
      </c>
      <c r="H48" s="110">
        <f>CSG!H48+CSB!H48</f>
        <v>0</v>
      </c>
      <c r="I48" s="110">
        <f t="shared" si="33"/>
        <v>27127601</v>
      </c>
      <c r="J48" s="113" t="str">
        <f t="shared" si="1"/>
        <v>ok</v>
      </c>
      <c r="K48" s="111">
        <f>Sabine!H20</f>
        <v>27127601</v>
      </c>
      <c r="L48" s="182"/>
      <c r="M48" s="110">
        <f>CSG!M48+CSB!L48</f>
        <v>483825</v>
      </c>
      <c r="N48" s="110">
        <f>CSG!N48+CSB!M48</f>
        <v>0</v>
      </c>
      <c r="O48" s="110">
        <f>CSG!O48+CSB!N48</f>
        <v>0</v>
      </c>
      <c r="P48" s="110">
        <f>CSG!P48+CSB!O48</f>
        <v>0</v>
      </c>
      <c r="Q48" s="110">
        <f>CSG!Q48+CSB!P48</f>
        <v>0</v>
      </c>
      <c r="R48" s="110">
        <f>CSG!R48+CSB!Q48</f>
        <v>351017</v>
      </c>
      <c r="S48" s="110">
        <f>CSG!S48+CSB!R48</f>
        <v>952478</v>
      </c>
      <c r="T48" s="110">
        <f>CSG!T48+CSB!S48</f>
        <v>0</v>
      </c>
      <c r="U48" s="110">
        <f t="shared" si="34"/>
        <v>1787320</v>
      </c>
      <c r="V48" s="229" t="str">
        <f t="shared" si="3"/>
        <v>ok</v>
      </c>
      <c r="W48" s="111">
        <f>Sabine!H29</f>
        <v>1787320</v>
      </c>
      <c r="X48" s="112"/>
      <c r="Y48" s="182"/>
      <c r="Z48" s="110">
        <f>Sabine!H32</f>
        <v>13520414</v>
      </c>
      <c r="AA48" s="110"/>
      <c r="AB48" s="110">
        <f>Sabine!H33</f>
        <v>11819867</v>
      </c>
      <c r="AC48" s="110">
        <f t="shared" ref="AC48" si="37">SUM(Z48:AB48)</f>
        <v>25340281</v>
      </c>
      <c r="AD48" s="110">
        <f>SUM(AC48,U48)</f>
        <v>27127601</v>
      </c>
      <c r="AE48" s="229" t="str">
        <f t="shared" si="5"/>
        <v>ok</v>
      </c>
      <c r="AF48" s="111">
        <f>Sabine!H37</f>
        <v>27127601</v>
      </c>
    </row>
    <row r="49" spans="1:32" ht="15.6">
      <c r="A49" s="56"/>
      <c r="B49" s="3" t="s">
        <v>783</v>
      </c>
      <c r="C49" s="110">
        <f>CSG!C49+CSB!C49</f>
        <v>48515639</v>
      </c>
      <c r="D49" s="110">
        <f>CSG!D49+CSB!D49</f>
        <v>5294661</v>
      </c>
      <c r="E49" s="110">
        <f>CSG!E49+CSB!E49</f>
        <v>40387289</v>
      </c>
      <c r="F49" s="110">
        <f>CSG!F49+CSB!F49</f>
        <v>602340639</v>
      </c>
      <c r="G49" s="110">
        <f>CSG!G49+CSB!G49</f>
        <v>0</v>
      </c>
      <c r="H49" s="110">
        <f>CSG!H49+CSB!H49</f>
        <v>1982722</v>
      </c>
      <c r="I49" s="59">
        <f>SUM(C49:H49)</f>
        <v>698520950</v>
      </c>
      <c r="J49" s="113" t="str">
        <f t="shared" si="1"/>
        <v>ok</v>
      </c>
      <c r="K49" s="58">
        <f>'St. Bernard'!H27</f>
        <v>698520950</v>
      </c>
      <c r="L49" s="181"/>
      <c r="M49" s="110">
        <f>CSG!M49+CSB!L49</f>
        <v>31577127</v>
      </c>
      <c r="N49" s="110">
        <f>CSG!N49+CSB!M49</f>
        <v>0</v>
      </c>
      <c r="O49" s="110">
        <f>CSG!O49+CSB!N49</f>
        <v>0</v>
      </c>
      <c r="P49" s="110">
        <f>CSG!P49+CSB!O49</f>
        <v>0</v>
      </c>
      <c r="Q49" s="110">
        <f>CSG!Q49+CSB!P49</f>
        <v>0</v>
      </c>
      <c r="R49" s="110">
        <f>CSG!R49+CSB!Q49</f>
        <v>4771572</v>
      </c>
      <c r="S49" s="110">
        <f>CSG!S49+CSB!R49</f>
        <v>41156897</v>
      </c>
      <c r="T49" s="110">
        <f>CSG!T49+CSB!S49</f>
        <v>6914999</v>
      </c>
      <c r="U49" s="59">
        <f t="shared" ref="U49:U51" si="38">SUM(M49:T49)</f>
        <v>84420595</v>
      </c>
      <c r="V49" s="229" t="str">
        <f t="shared" si="3"/>
        <v>ok</v>
      </c>
      <c r="W49" s="58">
        <f>'St. Bernard'!H42</f>
        <v>84420595</v>
      </c>
      <c r="X49" s="60"/>
      <c r="Y49" s="181"/>
      <c r="Z49" s="59">
        <f>'St. Bernard'!F45</f>
        <v>347417372</v>
      </c>
      <c r="AA49" s="59">
        <f>'St. Bernard'!F47+'St. Bernard'!F48+'St. Bernard'!F49+'St. Bernard'!F50+'St. Bernard'!F51</f>
        <v>15937711</v>
      </c>
      <c r="AB49" s="59">
        <f>'St. Bernard'!F52</f>
        <v>21456735</v>
      </c>
      <c r="AC49" s="59">
        <f t="shared" ref="AC49:AC51" si="39">SUM(Z49:AB49)</f>
        <v>384811818</v>
      </c>
      <c r="AD49" s="59">
        <f t="shared" ref="AD49:AD56" si="40">SUM(AC49,U49)</f>
        <v>469232413</v>
      </c>
      <c r="AE49" s="229" t="str">
        <f t="shared" si="5"/>
        <v>check</v>
      </c>
      <c r="AF49" s="58">
        <f>'St. Bernard'!F56</f>
        <v>462272579</v>
      </c>
    </row>
    <row r="50" spans="1:32" s="104" customFormat="1" ht="15.6">
      <c r="A50" s="108"/>
      <c r="B50" s="109" t="s">
        <v>784</v>
      </c>
      <c r="C50" s="110">
        <f>CSG!C50+CSB!C50</f>
        <v>8481394</v>
      </c>
      <c r="D50" s="110">
        <f>CSG!D50+CSB!D50</f>
        <v>92619921</v>
      </c>
      <c r="E50" s="110">
        <f>CSG!E50+CSB!E50</f>
        <v>32894719</v>
      </c>
      <c r="F50" s="110">
        <f>CSG!F50+CSB!F50</f>
        <v>330582656</v>
      </c>
      <c r="G50" s="110">
        <f>CSG!G50+CSB!G50</f>
        <v>5067774</v>
      </c>
      <c r="H50" s="110">
        <f>CSG!H50+CSB!H50</f>
        <v>942778</v>
      </c>
      <c r="I50" s="110">
        <f>SUM(C50:H50)</f>
        <v>470589242</v>
      </c>
      <c r="J50" s="113" t="str">
        <f t="shared" si="1"/>
        <v>ok</v>
      </c>
      <c r="K50" s="111">
        <f>'St. Charles'!J24</f>
        <v>470589242</v>
      </c>
      <c r="L50" s="110"/>
      <c r="M50" s="110">
        <f>CSG!M50+CSB!L50</f>
        <v>6764987</v>
      </c>
      <c r="N50" s="110">
        <f>CSG!N50+CSB!M50</f>
        <v>0</v>
      </c>
      <c r="O50" s="110">
        <f>CSG!O50+CSB!N50</f>
        <v>0</v>
      </c>
      <c r="P50" s="110">
        <f>CSG!P50+CSB!O50</f>
        <v>0</v>
      </c>
      <c r="Q50" s="110">
        <f>CSG!Q50+CSB!P50</f>
        <v>260446</v>
      </c>
      <c r="R50" s="110">
        <f>CSG!R50+CSB!Q50</f>
        <v>4741000</v>
      </c>
      <c r="S50" s="110">
        <f>CSG!S50+CSB!R50</f>
        <v>55859644</v>
      </c>
      <c r="T50" s="110">
        <f>CSG!T50+CSB!S50</f>
        <v>2831443</v>
      </c>
      <c r="U50" s="110">
        <f t="shared" si="38"/>
        <v>70457520</v>
      </c>
      <c r="V50" s="229" t="str">
        <f t="shared" si="3"/>
        <v>ok</v>
      </c>
      <c r="W50" s="111">
        <f>'St. Charles'!J41</f>
        <v>70457520</v>
      </c>
      <c r="X50" s="112"/>
      <c r="Y50" s="110">
        <f>'St. Charles'!H45</f>
        <v>25868468</v>
      </c>
      <c r="Z50" s="110">
        <f>'St. Charles'!H48</f>
        <v>181967376</v>
      </c>
      <c r="AA50" s="110">
        <f>'St. Charles'!H50+'St. Charles'!H51+'St. Charles'!H52+'St. Charles'!H53</f>
        <v>43654724</v>
      </c>
      <c r="AB50" s="110">
        <f>'St. Charles'!H54</f>
        <v>37035528</v>
      </c>
      <c r="AC50" s="110">
        <f t="shared" si="39"/>
        <v>262657628</v>
      </c>
      <c r="AD50" s="110">
        <f>SUM(AC50,U50)</f>
        <v>333115148</v>
      </c>
      <c r="AE50" s="229" t="str">
        <f t="shared" si="5"/>
        <v>check</v>
      </c>
      <c r="AF50" s="111">
        <f>'St. Charles'!H58</f>
        <v>299336235</v>
      </c>
    </row>
    <row r="51" spans="1:32" ht="15.6">
      <c r="A51" s="56"/>
      <c r="B51" s="3" t="s">
        <v>785</v>
      </c>
      <c r="C51" s="110">
        <f>CSG!C51+CSB!C51</f>
        <v>4878772</v>
      </c>
      <c r="D51" s="110">
        <f>CSG!D51+CSB!D51</f>
        <v>986526</v>
      </c>
      <c r="E51" s="110">
        <f>CSG!E51+CSB!E51</f>
        <v>2817120</v>
      </c>
      <c r="F51" s="110">
        <f>CSG!F51+CSB!F51</f>
        <v>17867465</v>
      </c>
      <c r="G51" s="110">
        <f>CSG!G51+CSB!G51</f>
        <v>0</v>
      </c>
      <c r="H51" s="110">
        <f>CSG!H51+CSB!H51</f>
        <v>99350</v>
      </c>
      <c r="I51" s="59">
        <f>SUM(C51:H51)</f>
        <v>26649233</v>
      </c>
      <c r="J51" s="113" t="str">
        <f t="shared" si="1"/>
        <v>ok</v>
      </c>
      <c r="K51" s="58">
        <f>'St. Helena '!H28</f>
        <v>26649233</v>
      </c>
      <c r="L51" s="181"/>
      <c r="M51" s="110">
        <f>CSG!M51+CSB!L51</f>
        <v>1238977</v>
      </c>
      <c r="N51" s="110">
        <f>CSG!N51+CSB!M51</f>
        <v>308432</v>
      </c>
      <c r="O51" s="110">
        <f>CSG!O51+CSB!N51</f>
        <v>428726</v>
      </c>
      <c r="P51" s="110">
        <f>CSG!P51+CSB!O51</f>
        <v>1865000</v>
      </c>
      <c r="Q51" s="110">
        <f>CSG!Q51+CSB!P51</f>
        <v>0</v>
      </c>
      <c r="R51" s="110">
        <f>CSG!R51+CSB!Q51</f>
        <v>0</v>
      </c>
      <c r="S51" s="110">
        <f>CSG!S51+CSB!R51</f>
        <v>0</v>
      </c>
      <c r="T51" s="110">
        <f>CSG!T51+CSB!S51</f>
        <v>1236427</v>
      </c>
      <c r="U51" s="59">
        <f t="shared" si="38"/>
        <v>5077562</v>
      </c>
      <c r="V51" s="229" t="str">
        <f t="shared" si="3"/>
        <v>ok</v>
      </c>
      <c r="W51" s="58">
        <f>'St. Helena '!H48</f>
        <v>5077562</v>
      </c>
      <c r="X51" s="60"/>
      <c r="Y51" s="181"/>
      <c r="Z51" s="59">
        <f>'St. Helena '!H51</f>
        <v>15145601</v>
      </c>
      <c r="AA51" s="59">
        <f>'St. Helena '!H53+'St. Helena '!H54+'St. Helena '!H55</f>
        <v>7154301</v>
      </c>
      <c r="AB51" s="59">
        <f>'St. Helena '!H56</f>
        <v>-728231</v>
      </c>
      <c r="AC51" s="59">
        <f t="shared" si="39"/>
        <v>21571671</v>
      </c>
      <c r="AD51" s="59">
        <f t="shared" si="40"/>
        <v>26649233</v>
      </c>
      <c r="AE51" s="229" t="str">
        <f t="shared" si="5"/>
        <v>ok</v>
      </c>
      <c r="AF51" s="58">
        <f>'St. Helena '!H60</f>
        <v>26649233</v>
      </c>
    </row>
    <row r="52" spans="1:32" s="104" customFormat="1" ht="15.6">
      <c r="A52" s="108"/>
      <c r="B52" s="109" t="s">
        <v>786</v>
      </c>
      <c r="C52" s="110">
        <f>CSG!C52+CSB!C52</f>
        <v>29712967</v>
      </c>
      <c r="D52" s="110">
        <f>CSG!D52+CSB!D52</f>
        <v>12811554</v>
      </c>
      <c r="E52" s="110">
        <f>CSG!E52+CSB!E52</f>
        <v>24776405</v>
      </c>
      <c r="F52" s="110">
        <f>CSG!F52+CSB!F52</f>
        <v>76263476</v>
      </c>
      <c r="G52" s="110">
        <f>CSG!G52+CSB!G52</f>
        <v>1590000</v>
      </c>
      <c r="H52" s="110">
        <f>CSG!H52+CSB!H52</f>
        <v>560174</v>
      </c>
      <c r="I52" s="110">
        <f t="shared" ref="I52:I54" si="41">SUM(C52:H52)</f>
        <v>145714576</v>
      </c>
      <c r="J52" s="113" t="str">
        <f t="shared" si="1"/>
        <v>ok</v>
      </c>
      <c r="K52" s="111">
        <f>'St. James'!I24</f>
        <v>145714576</v>
      </c>
      <c r="L52" s="182">
        <f>'St. James'!G26</f>
        <v>163636</v>
      </c>
      <c r="M52" s="110">
        <f>CSG!M52+CSB!L52</f>
        <v>5704108</v>
      </c>
      <c r="N52" s="110">
        <f>CSG!N52+CSB!M52</f>
        <v>0</v>
      </c>
      <c r="O52" s="110">
        <f>CSG!O52+CSB!N52</f>
        <v>0</v>
      </c>
      <c r="P52" s="110">
        <f>CSG!P52+CSB!O52</f>
        <v>0</v>
      </c>
      <c r="Q52" s="110">
        <f>CSG!Q52+CSB!P52</f>
        <v>0</v>
      </c>
      <c r="R52" s="110">
        <f>CSG!R52+CSB!Q52</f>
        <v>1596153</v>
      </c>
      <c r="S52" s="110">
        <f>CSG!S52+CSB!R52</f>
        <v>9446331</v>
      </c>
      <c r="T52" s="110">
        <f>CSG!T52+CSB!S52</f>
        <v>1552095</v>
      </c>
      <c r="U52" s="110">
        <f t="shared" ref="U52" si="42">SUM(M52:T52)</f>
        <v>18298687</v>
      </c>
      <c r="V52" s="229" t="str">
        <f t="shared" si="3"/>
        <v>ok</v>
      </c>
      <c r="W52" s="111">
        <f>'St. James'!I37</f>
        <v>18298687</v>
      </c>
      <c r="X52" s="112"/>
      <c r="Y52" s="182"/>
      <c r="Z52" s="110">
        <f>'St. James'!G40</f>
        <v>57285911</v>
      </c>
      <c r="AA52" s="110">
        <f>'St. James'!G42+'St. James'!G43+'St. James'!G44+'St. James'!G45+'St. James'!G46+'St. James'!G47+'St. James'!G48+'St. James'!G49+'St. James'!G50</f>
        <v>43371268</v>
      </c>
      <c r="AB52" s="110">
        <f>'St. James'!G51</f>
        <v>4678608</v>
      </c>
      <c r="AC52" s="110">
        <f t="shared" ref="AC52:AC54" si="43">SUM(Z52:AB52)</f>
        <v>105335787</v>
      </c>
      <c r="AD52" s="110">
        <f t="shared" si="40"/>
        <v>123634474</v>
      </c>
      <c r="AE52" s="229" t="str">
        <f t="shared" si="5"/>
        <v>check</v>
      </c>
      <c r="AF52" s="111">
        <f>'St. James'!G55</f>
        <v>122205760</v>
      </c>
    </row>
    <row r="53" spans="1:32" ht="15.6">
      <c r="A53" s="56"/>
      <c r="B53" s="3" t="s">
        <v>787</v>
      </c>
      <c r="C53" s="110">
        <f>CSG!C53+CSB!C53</f>
        <v>70344154</v>
      </c>
      <c r="D53" s="110">
        <f>CSG!D53+CSB!D53</f>
        <v>0</v>
      </c>
      <c r="E53" s="110">
        <f>CSG!E53+CSB!E53</f>
        <v>18014225</v>
      </c>
      <c r="F53" s="110">
        <f>CSG!F53+CSB!F53</f>
        <v>213860831</v>
      </c>
      <c r="G53" s="110">
        <f>CSG!G53+CSB!G53</f>
        <v>3396914</v>
      </c>
      <c r="H53" s="110">
        <f>CSG!H53+CSB!H53</f>
        <v>1420540</v>
      </c>
      <c r="I53" s="59">
        <f t="shared" si="41"/>
        <v>307036664</v>
      </c>
      <c r="J53" s="113" t="str">
        <f t="shared" si="1"/>
        <v>ok</v>
      </c>
      <c r="K53" s="58">
        <f>'St. John the Baptist'!I22</f>
        <v>307036664</v>
      </c>
      <c r="L53" s="181"/>
      <c r="M53" s="110">
        <f>CSG!M53+CSB!L53</f>
        <v>7182977</v>
      </c>
      <c r="N53" s="110">
        <f>CSG!N53+CSB!M53</f>
        <v>0</v>
      </c>
      <c r="O53" s="110">
        <f>CSG!O53+CSB!N53</f>
        <v>0</v>
      </c>
      <c r="P53" s="110">
        <f>CSG!P53+CSB!O53</f>
        <v>0</v>
      </c>
      <c r="Q53" s="110">
        <f>CSG!Q53+CSB!P53</f>
        <v>21935</v>
      </c>
      <c r="R53" s="110">
        <f>CSG!R53+CSB!Q53</f>
        <v>5466032</v>
      </c>
      <c r="S53" s="110">
        <f>CSG!S53+CSB!R53</f>
        <v>89077845</v>
      </c>
      <c r="T53" s="110">
        <f>CSG!T53+CSB!S53</f>
        <v>2347161</v>
      </c>
      <c r="U53" s="59">
        <f>SUM(M53:T53)</f>
        <v>104095950</v>
      </c>
      <c r="V53" s="229" t="str">
        <f t="shared" si="3"/>
        <v>ok</v>
      </c>
      <c r="W53" s="58">
        <f>'St. John the Baptist'!I35</f>
        <v>104095950</v>
      </c>
      <c r="X53" s="60"/>
      <c r="Y53" s="181"/>
      <c r="Z53" s="59">
        <f>'St. John the Baptist'!G38</f>
        <v>6020921</v>
      </c>
      <c r="AA53" s="59">
        <f>'St. John the Baptist'!G40+'St. John the Baptist'!G41</f>
        <v>43916590</v>
      </c>
      <c r="AB53" s="59">
        <f>'St. John the Baptist'!G45</f>
        <v>29514891</v>
      </c>
      <c r="AC53" s="59">
        <f t="shared" si="43"/>
        <v>79452402</v>
      </c>
      <c r="AD53" s="59">
        <f t="shared" si="40"/>
        <v>183548352</v>
      </c>
      <c r="AE53" s="229" t="str">
        <f t="shared" si="5"/>
        <v>check</v>
      </c>
      <c r="AF53" s="58">
        <f>'St. John the Baptist'!G49</f>
        <v>174708763</v>
      </c>
    </row>
    <row r="54" spans="1:32" s="220" customFormat="1" ht="15.6">
      <c r="A54" s="214"/>
      <c r="B54" s="215" t="s">
        <v>788</v>
      </c>
      <c r="C54" s="110">
        <f>CSG!C54+CSB!C54</f>
        <v>3004157</v>
      </c>
      <c r="D54" s="110">
        <f>CSG!D54+CSB!D54</f>
        <v>0</v>
      </c>
      <c r="E54" s="110">
        <f>CSG!E54+CSB!E54</f>
        <v>7002100</v>
      </c>
      <c r="F54" s="110">
        <f>CSG!F54+CSB!F54</f>
        <v>80241672</v>
      </c>
      <c r="G54" s="110">
        <f>CSG!G54+CSB!G54</f>
        <v>430027</v>
      </c>
      <c r="H54" s="110">
        <f>CSG!H54+CSB!H54</f>
        <v>245907</v>
      </c>
      <c r="I54" s="216">
        <f t="shared" si="41"/>
        <v>90923863</v>
      </c>
      <c r="J54" s="229" t="str">
        <f t="shared" si="1"/>
        <v>ok</v>
      </c>
      <c r="K54" s="217">
        <f>'St. Landry'!J22</f>
        <v>90923863</v>
      </c>
      <c r="L54" s="218"/>
      <c r="M54" s="110">
        <f>CSG!M54+CSB!L54</f>
        <v>4669345</v>
      </c>
      <c r="N54" s="110">
        <f>CSG!N54+CSB!M54</f>
        <v>150410</v>
      </c>
      <c r="O54" s="110">
        <f>CSG!O54+CSB!N54</f>
        <v>3159167</v>
      </c>
      <c r="P54" s="110">
        <f>CSG!P54+CSB!O54</f>
        <v>59709667</v>
      </c>
      <c r="Q54" s="110">
        <f>CSG!Q54+CSB!P54</f>
        <v>101389</v>
      </c>
      <c r="R54" s="110">
        <f>CSG!R54+CSB!Q54</f>
        <v>0</v>
      </c>
      <c r="S54" s="110">
        <f>CSG!S54+CSB!R54</f>
        <v>0</v>
      </c>
      <c r="T54" s="110">
        <f>CSG!T54+CSB!S54</f>
        <v>2046893</v>
      </c>
      <c r="U54" s="110">
        <f>SUM(M54:T54)</f>
        <v>69836871</v>
      </c>
      <c r="V54" s="229" t="str">
        <f t="shared" si="3"/>
        <v>ok</v>
      </c>
      <c r="W54" s="217">
        <f>'St. Landry'!J47</f>
        <v>69836871</v>
      </c>
      <c r="X54" s="219"/>
      <c r="Y54" s="218"/>
      <c r="Z54" s="216">
        <f>'St. Landry'!H50</f>
        <v>9000399</v>
      </c>
      <c r="AA54" s="216">
        <f>'St. Landry'!H51+'St. Landry'!H52+'St. Landry'!H53</f>
        <v>6136597</v>
      </c>
      <c r="AB54" s="216">
        <f>'St. Landry'!H54</f>
        <v>2545127</v>
      </c>
      <c r="AC54" s="216">
        <f t="shared" si="43"/>
        <v>17682123</v>
      </c>
      <c r="AD54" s="216">
        <f t="shared" si="40"/>
        <v>87518994</v>
      </c>
      <c r="AE54" s="229" t="str">
        <f t="shared" si="5"/>
        <v>check</v>
      </c>
      <c r="AF54" s="217">
        <f>'St. Landry'!H58</f>
        <v>86150057</v>
      </c>
    </row>
    <row r="55" spans="1:32" ht="15.6">
      <c r="A55" s="56"/>
      <c r="B55" s="3" t="s">
        <v>789</v>
      </c>
      <c r="C55" s="110">
        <f>CSG!C55+CSB!C55</f>
        <v>26425600</v>
      </c>
      <c r="D55" s="110">
        <f>CSG!D55+CSB!D55</f>
        <v>0</v>
      </c>
      <c r="E55" s="110">
        <f>CSG!E55+CSB!E55</f>
        <v>12851670</v>
      </c>
      <c r="F55" s="110">
        <f>CSG!F55+CSB!F55</f>
        <v>70733989</v>
      </c>
      <c r="G55" s="110">
        <f>CSG!G55+CSB!G55</f>
        <v>138381</v>
      </c>
      <c r="H55" s="110">
        <f>CSG!H55+CSB!H55</f>
        <v>232915</v>
      </c>
      <c r="I55" s="59">
        <f t="shared" ref="I55:I57" si="44">SUM(C55:H55)</f>
        <v>110382555</v>
      </c>
      <c r="J55" s="113" t="str">
        <f t="shared" si="1"/>
        <v>ok</v>
      </c>
      <c r="K55" s="58">
        <f>'St. Martin'!J14</f>
        <v>110382555</v>
      </c>
      <c r="L55" s="181"/>
      <c r="M55" s="110">
        <f>CSG!M55+CSB!L55</f>
        <v>1595864</v>
      </c>
      <c r="N55" s="110">
        <f>CSG!N55+CSB!M55</f>
        <v>465766</v>
      </c>
      <c r="O55" s="110">
        <f>CSG!O55+CSB!N55</f>
        <v>1894000</v>
      </c>
      <c r="P55" s="110">
        <f>CSG!P55+CSB!O55</f>
        <v>21010000</v>
      </c>
      <c r="Q55" s="110">
        <f>CSG!Q55+CSB!P55</f>
        <v>89704</v>
      </c>
      <c r="R55" s="110">
        <f>CSG!R55+CSB!Q55</f>
        <v>188692</v>
      </c>
      <c r="S55" s="110">
        <f>CSG!S55+CSB!R55</f>
        <v>502130</v>
      </c>
      <c r="T55" s="110">
        <f>CSG!T55+CSB!S55</f>
        <v>7224217</v>
      </c>
      <c r="U55" s="59">
        <f t="shared" ref="U55" si="45">SUM(M55:T55)</f>
        <v>32970373</v>
      </c>
      <c r="V55" s="229" t="str">
        <f t="shared" si="3"/>
        <v>ok</v>
      </c>
      <c r="W55" s="58">
        <f>'St. Martin'!J31</f>
        <v>32970373</v>
      </c>
      <c r="X55" s="60"/>
      <c r="Y55" s="181"/>
      <c r="Z55" s="59">
        <f>'St. Martin'!H34</f>
        <v>46885579</v>
      </c>
      <c r="AA55" s="59">
        <f>'St. Martin'!H36+'St. Martin'!H37</f>
        <v>31667398</v>
      </c>
      <c r="AB55" s="59">
        <f>'St. Martin'!H38</f>
        <v>-1083675</v>
      </c>
      <c r="AC55" s="59">
        <f t="shared" ref="AC55" si="46">SUM(Z55:AB55)</f>
        <v>77469302</v>
      </c>
      <c r="AD55" s="59">
        <f t="shared" si="40"/>
        <v>110439675</v>
      </c>
      <c r="AE55" s="229" t="str">
        <f t="shared" si="5"/>
        <v>check</v>
      </c>
      <c r="AF55" s="58">
        <f>'St. Martin'!H42</f>
        <v>109996693</v>
      </c>
    </row>
    <row r="56" spans="1:32" s="104" customFormat="1" ht="15.6">
      <c r="A56" s="108"/>
      <c r="B56" s="109" t="s">
        <v>790</v>
      </c>
      <c r="C56" s="110">
        <f>CSG!C56+CSB!C56</f>
        <v>7360985</v>
      </c>
      <c r="D56" s="110">
        <f>CSG!D56+CSB!D56</f>
        <v>15906369</v>
      </c>
      <c r="E56" s="110">
        <f>CSG!E56+CSB!E56</f>
        <v>1461601</v>
      </c>
      <c r="F56" s="110">
        <f>CSG!F56+CSB!F56</f>
        <v>128953548</v>
      </c>
      <c r="G56" s="110">
        <f>CSG!G56+CSB!G56</f>
        <v>13816628</v>
      </c>
      <c r="H56" s="110">
        <f>CSG!H56+CSB!H56</f>
        <v>71914</v>
      </c>
      <c r="I56" s="110">
        <f t="shared" si="44"/>
        <v>167571045</v>
      </c>
      <c r="J56" s="113" t="str">
        <f t="shared" si="1"/>
        <v>ok</v>
      </c>
      <c r="K56" s="111">
        <f>'St. Mary'!J36</f>
        <v>167571045</v>
      </c>
      <c r="L56" s="182"/>
      <c r="M56" s="110">
        <f>CSG!M56+CSB!L56</f>
        <v>3756281</v>
      </c>
      <c r="N56" s="110">
        <f>CSG!N56+CSB!M56</f>
        <v>198000</v>
      </c>
      <c r="O56" s="110">
        <f>CSG!O56+CSB!N56</f>
        <v>0</v>
      </c>
      <c r="P56" s="110">
        <f>CSG!P56+CSB!O56</f>
        <v>0</v>
      </c>
      <c r="Q56" s="110">
        <f>CSG!Q56+CSB!P56</f>
        <v>204452</v>
      </c>
      <c r="R56" s="110">
        <f>CSG!R56+CSB!Q56</f>
        <v>0</v>
      </c>
      <c r="S56" s="110">
        <f>CSG!S56+CSB!R56</f>
        <v>0</v>
      </c>
      <c r="T56" s="110">
        <f>CSG!T56+CSB!S56</f>
        <v>45956565</v>
      </c>
      <c r="U56" s="110">
        <f t="shared" ref="U56:U57" si="47">SUM(M56:T56)</f>
        <v>50115298</v>
      </c>
      <c r="V56" s="229" t="str">
        <f t="shared" si="3"/>
        <v>ok</v>
      </c>
      <c r="W56" s="111">
        <f>'St. Mary'!J64</f>
        <v>50115298</v>
      </c>
      <c r="X56" s="112"/>
      <c r="Y56" s="182"/>
      <c r="Z56" s="110"/>
      <c r="AA56" s="110"/>
      <c r="AB56" s="110"/>
      <c r="AC56" s="110">
        <f t="shared" ref="AC56:AC57" si="48">SUM(Z56:AB56)</f>
        <v>0</v>
      </c>
      <c r="AD56" s="110">
        <f t="shared" si="40"/>
        <v>50115298</v>
      </c>
      <c r="AE56" s="229" t="str">
        <f t="shared" si="5"/>
        <v>check</v>
      </c>
      <c r="AF56" s="111"/>
    </row>
    <row r="57" spans="1:32" ht="15.6">
      <c r="A57" s="56"/>
      <c r="B57" s="3" t="s">
        <v>791</v>
      </c>
      <c r="C57" s="110">
        <f>CSG!C57+CSB!C57</f>
        <v>33872889</v>
      </c>
      <c r="D57" s="110">
        <f>CSG!D57+CSB!D57</f>
        <v>150904335</v>
      </c>
      <c r="E57" s="110">
        <f>CSG!E57+CSB!E57</f>
        <v>53264621</v>
      </c>
      <c r="F57" s="110">
        <f>CSG!F57+CSB!F57</f>
        <v>470164821</v>
      </c>
      <c r="G57" s="110">
        <f>CSG!G57+CSB!G57</f>
        <v>360844</v>
      </c>
      <c r="H57" s="110">
        <f>CSG!H57+CSB!H57</f>
        <v>23606506</v>
      </c>
      <c r="I57" s="59">
        <f t="shared" si="44"/>
        <v>732174016</v>
      </c>
      <c r="J57" s="113" t="str">
        <f t="shared" si="1"/>
        <v>ok</v>
      </c>
      <c r="K57" s="58">
        <f>'St. Tammany'!J19</f>
        <v>732174016</v>
      </c>
      <c r="L57" s="181">
        <f>'St. Tammany'!H24</f>
        <v>4730418</v>
      </c>
      <c r="M57" s="110">
        <f>CSG!M57+CSB!L57</f>
        <v>24247013</v>
      </c>
      <c r="N57" s="110">
        <f>CSG!N57+CSB!M57</f>
        <v>0</v>
      </c>
      <c r="O57" s="110">
        <f>CSG!O57+CSB!N57</f>
        <v>0</v>
      </c>
      <c r="P57" s="110">
        <f>CSG!P57+CSB!O57</f>
        <v>0</v>
      </c>
      <c r="Q57" s="110">
        <f>CSG!Q57+CSB!P57</f>
        <v>8842090</v>
      </c>
      <c r="R57" s="110">
        <f>CSG!R57+CSB!Q57</f>
        <v>9112911</v>
      </c>
      <c r="S57" s="110">
        <f>CSG!S57+CSB!R57</f>
        <v>133068597</v>
      </c>
      <c r="T57" s="110">
        <f>CSG!T57+CSB!S57</f>
        <v>6620754</v>
      </c>
      <c r="U57" s="59">
        <f t="shared" si="47"/>
        <v>181891365</v>
      </c>
      <c r="V57" s="229" t="str">
        <f t="shared" si="3"/>
        <v>ok</v>
      </c>
      <c r="W57" s="58">
        <f>'St. Tammany'!J37</f>
        <v>181891365</v>
      </c>
      <c r="X57" s="60"/>
      <c r="Y57" s="181"/>
      <c r="Z57" s="59">
        <f>'St. Tammany'!H40</f>
        <v>361538436</v>
      </c>
      <c r="AA57" s="59">
        <f>'St. Tammany'!H42+'St. Tammany'!H43+'St. Tammany'!H44+'St. Tammany'!H45+'St. Tammany'!H46+'St. Tammany'!H47+'St. Tammany'!H48+'St. Tammany'!H49+'St. Tammany'!H50+'St. Tammany'!H51</f>
        <v>145503863</v>
      </c>
      <c r="AB57" s="59">
        <f>'St. Tammany'!H52</f>
        <v>35486393</v>
      </c>
      <c r="AC57" s="59">
        <f t="shared" si="48"/>
        <v>542528692</v>
      </c>
      <c r="AD57" s="59">
        <f>SUM(AC57,U57)</f>
        <v>724420057</v>
      </c>
      <c r="AE57" s="229" t="str">
        <f t="shared" si="5"/>
        <v>check</v>
      </c>
      <c r="AF57" s="58">
        <f>'St. Tammany'!H56</f>
        <v>680021782</v>
      </c>
    </row>
    <row r="58" spans="1:32" s="104" customFormat="1" ht="15.6">
      <c r="A58" s="108"/>
      <c r="B58" s="109" t="s">
        <v>792</v>
      </c>
      <c r="C58" s="110">
        <f>CSG!C58+CSB!C58</f>
        <v>16117497</v>
      </c>
      <c r="D58" s="110">
        <f>CSG!D58+CSB!D58</f>
        <v>0</v>
      </c>
      <c r="E58" s="110">
        <f>CSG!E58+CSB!E58</f>
        <v>9874591</v>
      </c>
      <c r="F58" s="110">
        <f>CSG!F58+CSB!F58</f>
        <v>180628136</v>
      </c>
      <c r="G58" s="110">
        <f>CSG!G58+CSB!G58</f>
        <v>414377</v>
      </c>
      <c r="H58" s="110">
        <f>CSG!H58+CSB!H58</f>
        <v>1037478</v>
      </c>
      <c r="I58" s="110">
        <f>SUM(C58:H58)</f>
        <v>208072079</v>
      </c>
      <c r="J58" s="113" t="str">
        <f t="shared" si="1"/>
        <v>ok</v>
      </c>
      <c r="K58" s="111">
        <f>Tangipahoa!H15</f>
        <v>208072079</v>
      </c>
      <c r="L58" s="182"/>
      <c r="M58" s="110">
        <f>CSG!M58+CSB!L58</f>
        <v>2735360</v>
      </c>
      <c r="N58" s="110">
        <f>CSG!N58+CSB!M58</f>
        <v>0</v>
      </c>
      <c r="O58" s="110">
        <f>CSG!O58+CSB!N58</f>
        <v>0</v>
      </c>
      <c r="P58" s="110">
        <f>CSG!P58+CSB!O58</f>
        <v>0</v>
      </c>
      <c r="Q58" s="110">
        <f>CSG!Q58+CSB!P58</f>
        <v>444765</v>
      </c>
      <c r="R58" s="110">
        <f>CSG!R58+CSB!Q58</f>
        <v>105000</v>
      </c>
      <c r="S58" s="110">
        <f>CSG!S58+CSB!R58</f>
        <v>8239663</v>
      </c>
      <c r="T58" s="110">
        <f>CSG!T58+CSB!S58</f>
        <v>1722972</v>
      </c>
      <c r="U58" s="110">
        <f t="shared" ref="U58:U61" si="49">SUM(M58:T58)</f>
        <v>13247760</v>
      </c>
      <c r="V58" s="229" t="str">
        <f t="shared" si="3"/>
        <v>ok</v>
      </c>
      <c r="W58" s="111">
        <f>Tangipahoa!H26</f>
        <v>13247760</v>
      </c>
      <c r="X58" s="112"/>
      <c r="Y58" s="182">
        <f>Tangipahoa!H31</f>
        <v>150368</v>
      </c>
      <c r="Z58" s="110">
        <f>Tangipahoa!H34</f>
        <v>178143136</v>
      </c>
      <c r="AA58" s="110">
        <f>Tangipahoa!H37+Tangipahoa!H38</f>
        <v>1239486</v>
      </c>
      <c r="AB58" s="110">
        <f>Tangipahoa!H39</f>
        <v>15291329</v>
      </c>
      <c r="AC58" s="110">
        <f t="shared" ref="AC58:AC68" si="50">SUM(Z58:AB58)</f>
        <v>194673951</v>
      </c>
      <c r="AD58" s="110">
        <f t="shared" ref="AD58:AD60" si="51">SUM(AC58,U58)</f>
        <v>207921711</v>
      </c>
      <c r="AE58" s="229" t="str">
        <f t="shared" si="5"/>
        <v>ok</v>
      </c>
      <c r="AF58" s="111">
        <f>Tangipahoa!H43</f>
        <v>207921711</v>
      </c>
    </row>
    <row r="59" spans="1:32" ht="15.6">
      <c r="A59" s="56"/>
      <c r="B59" s="3" t="s">
        <v>793</v>
      </c>
      <c r="C59" s="110">
        <f>CSG!C59+CSB!C59</f>
        <v>1972756</v>
      </c>
      <c r="D59" s="110">
        <f>CSG!D59+CSB!D59</f>
        <v>0</v>
      </c>
      <c r="E59" s="110">
        <f>CSG!E59+CSB!E59</f>
        <v>1413886</v>
      </c>
      <c r="F59" s="110">
        <f>CSG!F59+CSB!F59</f>
        <v>0</v>
      </c>
      <c r="G59" s="110">
        <f>CSG!G59+CSB!G59</f>
        <v>8654948</v>
      </c>
      <c r="H59" s="110">
        <f>CSG!H59+CSB!H59</f>
        <v>1004332</v>
      </c>
      <c r="I59" s="59">
        <f t="shared" ref="I59" si="52">SUM(C59:H59)</f>
        <v>13045922</v>
      </c>
      <c r="J59" s="113" t="str">
        <f t="shared" si="1"/>
        <v>ok</v>
      </c>
      <c r="K59" s="58">
        <f>Tensas!G13</f>
        <v>13045922</v>
      </c>
      <c r="L59" s="181"/>
      <c r="M59" s="110">
        <f>CSG!M59+CSB!L59</f>
        <v>186567</v>
      </c>
      <c r="N59" s="110">
        <f>CSG!N59+CSB!M59</f>
        <v>0</v>
      </c>
      <c r="O59" s="110">
        <f>CSG!O59+CSB!N59</f>
        <v>0</v>
      </c>
      <c r="P59" s="110">
        <f>CSG!P59+CSB!O59</f>
        <v>0</v>
      </c>
      <c r="Q59" s="110">
        <f>CSG!Q59+CSB!P59</f>
        <v>52119</v>
      </c>
      <c r="R59" s="110">
        <f>CSG!R59+CSB!Q59</f>
        <v>66912</v>
      </c>
      <c r="S59" s="110">
        <f>CSG!S59+CSB!R59</f>
        <v>1429057</v>
      </c>
      <c r="T59" s="110">
        <f>CSG!T59+CSB!S59</f>
        <v>0</v>
      </c>
      <c r="U59" s="59">
        <f t="shared" si="49"/>
        <v>1734655</v>
      </c>
      <c r="V59" s="229" t="str">
        <f t="shared" si="3"/>
        <v>ok</v>
      </c>
      <c r="W59" s="58">
        <f>Tensas!G22</f>
        <v>1734655</v>
      </c>
      <c r="X59" s="60"/>
      <c r="Y59" s="181"/>
      <c r="Z59" s="59">
        <f>Tensas!G25</f>
        <v>7158979</v>
      </c>
      <c r="AA59" s="59">
        <f>Tensas!G27+Tensas!G28</f>
        <v>1004332</v>
      </c>
      <c r="AB59" s="59">
        <f>Tensas!G29</f>
        <v>3147956</v>
      </c>
      <c r="AC59" s="59">
        <f t="shared" si="50"/>
        <v>11311267</v>
      </c>
      <c r="AD59" s="59">
        <f t="shared" si="51"/>
        <v>13045922</v>
      </c>
      <c r="AE59" s="229" t="str">
        <f t="shared" si="5"/>
        <v>ok</v>
      </c>
      <c r="AF59" s="58">
        <f>Tensas!G33</f>
        <v>13045922</v>
      </c>
    </row>
    <row r="60" spans="1:32" s="104" customFormat="1" ht="15.6">
      <c r="A60" s="108"/>
      <c r="B60" s="109" t="s">
        <v>794</v>
      </c>
      <c r="C60" s="110">
        <f>CSG!C60+CSB!C60</f>
        <v>117934986</v>
      </c>
      <c r="D60" s="110">
        <f>CSG!D60+CSB!D60</f>
        <v>70112242</v>
      </c>
      <c r="E60" s="110">
        <f>CSG!E60+CSB!E60</f>
        <v>21176342</v>
      </c>
      <c r="F60" s="110">
        <f>CSG!F60+CSB!F60</f>
        <v>474476160</v>
      </c>
      <c r="G60" s="110">
        <f>CSG!G60+CSB!G60</f>
        <v>65339646</v>
      </c>
      <c r="H60" s="110">
        <f>CSG!H60+CSB!H60</f>
        <v>7829168</v>
      </c>
      <c r="I60" s="110">
        <f t="shared" ref="I60:I61" si="53">SUM(C60:H60)</f>
        <v>756868544</v>
      </c>
      <c r="J60" s="113" t="str">
        <f t="shared" si="1"/>
        <v>ok</v>
      </c>
      <c r="K60" s="111">
        <f>Terrebonne!J24:J24</f>
        <v>756868544</v>
      </c>
      <c r="L60" s="182"/>
      <c r="M60" s="110">
        <f>CSG!M60+CSB!L60</f>
        <v>26559310</v>
      </c>
      <c r="N60" s="110">
        <f>CSG!N60+CSB!M60</f>
        <v>0</v>
      </c>
      <c r="O60" s="110">
        <f>CSG!O60+CSB!N60</f>
        <v>0</v>
      </c>
      <c r="P60" s="110">
        <f>CSG!P60+CSB!O60</f>
        <v>0</v>
      </c>
      <c r="Q60" s="110">
        <f>CSG!Q60+CSB!P60</f>
        <v>10857652</v>
      </c>
      <c r="R60" s="110">
        <f>CSG!R60+CSB!Q60</f>
        <v>7861367</v>
      </c>
      <c r="S60" s="110">
        <f>CSG!S60+CSB!R60</f>
        <v>136844244</v>
      </c>
      <c r="T60" s="110">
        <f>CSG!T60+CSB!S60</f>
        <v>38623128</v>
      </c>
      <c r="U60" s="110">
        <f t="shared" si="49"/>
        <v>220745701</v>
      </c>
      <c r="V60" s="229" t="str">
        <f t="shared" si="3"/>
        <v>ok</v>
      </c>
      <c r="W60" s="111">
        <f>Terrebonne!J40</f>
        <v>220745701</v>
      </c>
      <c r="X60" s="112"/>
      <c r="Y60" s="182"/>
      <c r="Z60" s="110">
        <f>Terrebonne!H45</f>
        <v>260584619</v>
      </c>
      <c r="AA60" s="110">
        <f>Terrebonne!H47+Terrebonne!H48+Terrebonne!H49+Terrebonne!H50+Terrebonne!H51+Terrebonne!H52+Terrebonne!H53+Terrebonne!H54</f>
        <v>65076279</v>
      </c>
      <c r="AB60" s="110">
        <f>Terrebonne!H59</f>
        <v>20178033</v>
      </c>
      <c r="AC60" s="110">
        <f t="shared" si="50"/>
        <v>345838931</v>
      </c>
      <c r="AD60" s="110">
        <f t="shared" si="51"/>
        <v>566584632</v>
      </c>
      <c r="AE60" s="229" t="str">
        <f t="shared" si="5"/>
        <v>check</v>
      </c>
      <c r="AF60" s="111">
        <f>Terrebonne!H63</f>
        <v>531144096</v>
      </c>
    </row>
    <row r="61" spans="1:32" ht="15.6">
      <c r="A61" s="56"/>
      <c r="B61" s="3" t="s">
        <v>795</v>
      </c>
      <c r="C61" s="110">
        <f>CSG!C61+CSB!C61</f>
        <v>6259472</v>
      </c>
      <c r="D61" s="110">
        <f>CSG!D61+CSB!D61</f>
        <v>7413268</v>
      </c>
      <c r="E61" s="110">
        <f>CSG!E61+CSB!E61</f>
        <v>4642781</v>
      </c>
      <c r="F61" s="110">
        <f>CSG!F61+CSB!F61</f>
        <v>12227890</v>
      </c>
      <c r="G61" s="110">
        <f>CSG!G61+CSB!G61</f>
        <v>0</v>
      </c>
      <c r="H61" s="110">
        <f>CSG!H61+CSB!H61</f>
        <v>0</v>
      </c>
      <c r="I61" s="59">
        <f t="shared" si="53"/>
        <v>30543411</v>
      </c>
      <c r="J61" s="113" t="str">
        <f t="shared" si="1"/>
        <v>ok</v>
      </c>
      <c r="K61" s="58">
        <f>Union!G11</f>
        <v>30543411</v>
      </c>
      <c r="L61" s="181"/>
      <c r="M61" s="110">
        <f>CSG!M61+CSB!L61</f>
        <v>911561</v>
      </c>
      <c r="N61" s="110">
        <f>CSG!N61+CSB!M61</f>
        <v>355020</v>
      </c>
      <c r="O61" s="110">
        <f>CSG!O61+CSB!N61</f>
        <v>18000</v>
      </c>
      <c r="P61" s="110">
        <f>CSG!P61+CSB!O61</f>
        <v>217000</v>
      </c>
      <c r="Q61" s="110">
        <f>CSG!Q61+CSB!P61</f>
        <v>30838</v>
      </c>
      <c r="R61" s="110">
        <f>CSG!R61+CSB!Q61</f>
        <v>222837</v>
      </c>
      <c r="S61" s="110">
        <f>CSG!S61+CSB!R61</f>
        <v>180000</v>
      </c>
      <c r="T61" s="110">
        <f>CSG!T61+CSB!S61</f>
        <v>8470251</v>
      </c>
      <c r="U61" s="59">
        <f t="shared" si="49"/>
        <v>10405507</v>
      </c>
      <c r="V61" s="229" t="str">
        <f t="shared" si="3"/>
        <v>ok</v>
      </c>
      <c r="W61" s="58">
        <f>Union!G25</f>
        <v>10405507</v>
      </c>
      <c r="X61" s="60"/>
      <c r="Y61" s="181">
        <f>Union!G28</f>
        <v>14194</v>
      </c>
      <c r="Z61" s="59">
        <f>Union!G31</f>
        <v>11812890</v>
      </c>
      <c r="AA61" s="59">
        <f>Union!G32</f>
        <v>5000081</v>
      </c>
      <c r="AB61" s="59">
        <f>Union!G33</f>
        <v>3310739</v>
      </c>
      <c r="AC61" s="59">
        <f t="shared" si="50"/>
        <v>20123710</v>
      </c>
      <c r="AD61" s="59">
        <f>SUM(AC61,U61)</f>
        <v>30529217</v>
      </c>
      <c r="AE61" s="229" t="str">
        <f t="shared" si="5"/>
        <v>ok</v>
      </c>
      <c r="AF61" s="58">
        <f>Union!G37</f>
        <v>30529217</v>
      </c>
    </row>
    <row r="62" spans="1:32" s="104" customFormat="1" ht="15.6">
      <c r="A62" s="108"/>
      <c r="B62" s="109" t="s">
        <v>796</v>
      </c>
      <c r="C62" s="110">
        <f>CSG!C62+CSB!C62</f>
        <v>59064295</v>
      </c>
      <c r="D62" s="110">
        <f>CSG!D62+CSB!D62</f>
        <v>0</v>
      </c>
      <c r="E62" s="110">
        <f>CSG!E62+CSB!E62</f>
        <v>577792</v>
      </c>
      <c r="F62" s="110">
        <f>CSG!F62+CSB!F62</f>
        <v>81804386</v>
      </c>
      <c r="G62" s="110">
        <f>CSG!G62+CSB!G62</f>
        <v>10125535</v>
      </c>
      <c r="H62" s="110">
        <f>CSG!H62+CSB!H62</f>
        <v>25907</v>
      </c>
      <c r="I62" s="110">
        <f>SUM(C62:H62)</f>
        <v>151597915</v>
      </c>
      <c r="J62" s="113" t="str">
        <f t="shared" si="1"/>
        <v>ok</v>
      </c>
      <c r="K62" s="111">
        <f>Vermilion!H14</f>
        <v>151597915</v>
      </c>
      <c r="L62" s="182"/>
      <c r="M62" s="110">
        <f>CSG!M62+CSB!L62</f>
        <v>4054530</v>
      </c>
      <c r="N62" s="110">
        <f>CSG!N62+CSB!M62</f>
        <v>0</v>
      </c>
      <c r="O62" s="110">
        <f>CSG!O62+CSB!N62</f>
        <v>0</v>
      </c>
      <c r="P62" s="110">
        <f>CSG!P62+CSB!O62</f>
        <v>0</v>
      </c>
      <c r="Q62" s="110">
        <f>CSG!Q62+CSB!P62</f>
        <v>0</v>
      </c>
      <c r="R62" s="110">
        <f>CSG!R62+CSB!Q62</f>
        <v>375000</v>
      </c>
      <c r="S62" s="110">
        <f>CSG!S62+CSB!R62</f>
        <v>3355287</v>
      </c>
      <c r="T62" s="110">
        <f>CSG!T62+CSB!S62</f>
        <v>1497605</v>
      </c>
      <c r="U62" s="110">
        <f t="shared" ref="U62:U69" si="54">SUM(M62:T62)</f>
        <v>9282422</v>
      </c>
      <c r="V62" s="229" t="str">
        <f t="shared" si="3"/>
        <v>ok</v>
      </c>
      <c r="W62" s="111">
        <f>Vermilion!H27</f>
        <v>9282422</v>
      </c>
      <c r="X62" s="112"/>
      <c r="Y62" s="182"/>
      <c r="Z62" s="110">
        <f>Vermilion!H33</f>
        <v>80040061</v>
      </c>
      <c r="AA62" s="110">
        <f>Vermilion!H35+Vermilion!H36</f>
        <v>40954264</v>
      </c>
      <c r="AB62" s="110">
        <f>Vermilion!H37</f>
        <v>20234573</v>
      </c>
      <c r="AC62" s="110">
        <f t="shared" si="50"/>
        <v>141228898</v>
      </c>
      <c r="AD62" s="110">
        <f t="shared" ref="AD62:AD64" si="55">SUM(AC62,U62)</f>
        <v>150511320</v>
      </c>
      <c r="AE62" s="229" t="str">
        <f t="shared" si="5"/>
        <v>ok</v>
      </c>
      <c r="AF62" s="111">
        <f>Vermilion!H41</f>
        <v>150511320</v>
      </c>
    </row>
    <row r="63" spans="1:32" ht="15.6">
      <c r="A63" s="56"/>
      <c r="B63" s="3" t="s">
        <v>797</v>
      </c>
      <c r="C63" s="110">
        <f>CSG!C63+CSB!C63</f>
        <v>17372780</v>
      </c>
      <c r="D63" s="110">
        <f>CSG!D63+CSB!D63</f>
        <v>1246151</v>
      </c>
      <c r="E63" s="110">
        <f>CSG!E63+CSB!E63</f>
        <v>6948566</v>
      </c>
      <c r="F63" s="110">
        <f>CSG!F63+CSB!F63</f>
        <v>53015684</v>
      </c>
      <c r="G63" s="110">
        <f>CSG!G63+CSB!G63</f>
        <v>0</v>
      </c>
      <c r="H63" s="110">
        <f>CSG!H63+CSB!H63</f>
        <v>39589</v>
      </c>
      <c r="I63" s="59">
        <f t="shared" ref="I63:I65" si="56">SUM(C63:H63)</f>
        <v>78622770</v>
      </c>
      <c r="J63" s="113" t="str">
        <f t="shared" si="1"/>
        <v>ok</v>
      </c>
      <c r="K63" s="58">
        <f>Vernon!H19</f>
        <v>78622770</v>
      </c>
      <c r="L63" s="181"/>
      <c r="M63" s="110">
        <f>CSG!M63+CSB!L63</f>
        <v>1330284</v>
      </c>
      <c r="N63" s="110">
        <f>CSG!N63+CSB!M63</f>
        <v>0</v>
      </c>
      <c r="O63" s="110">
        <f>CSG!O63+CSB!N63</f>
        <v>0</v>
      </c>
      <c r="P63" s="110">
        <f>CSG!P63+CSB!O63</f>
        <v>0</v>
      </c>
      <c r="Q63" s="110">
        <f>CSG!Q63+CSB!P63</f>
        <v>0</v>
      </c>
      <c r="R63" s="110">
        <f>CSG!R63+CSB!Q63</f>
        <v>899766</v>
      </c>
      <c r="S63" s="110">
        <f>CSG!S63+CSB!R63</f>
        <v>23278107</v>
      </c>
      <c r="T63" s="110">
        <f>CSG!T63+CSB!S63</f>
        <v>44879</v>
      </c>
      <c r="U63" s="59">
        <f t="shared" si="54"/>
        <v>25553036</v>
      </c>
      <c r="V63" s="229" t="str">
        <f t="shared" si="3"/>
        <v>ok</v>
      </c>
      <c r="W63" s="58">
        <f>Vernon!H29</f>
        <v>25553036</v>
      </c>
      <c r="X63" s="60"/>
      <c r="Y63" s="181"/>
      <c r="Z63" s="59">
        <f>Vernon!H32</f>
        <v>43245853</v>
      </c>
      <c r="AA63" s="59">
        <f>Vernon!H35+Vernon!H34</f>
        <v>3133421</v>
      </c>
      <c r="AB63" s="59">
        <f>Vernon!H36</f>
        <v>6690459</v>
      </c>
      <c r="AC63" s="59">
        <f t="shared" si="50"/>
        <v>53069733</v>
      </c>
      <c r="AD63" s="59">
        <f t="shared" si="55"/>
        <v>78622769</v>
      </c>
      <c r="AE63" s="229" t="str">
        <f t="shared" si="5"/>
        <v>ok</v>
      </c>
      <c r="AF63" s="58">
        <f>Vernon!H40</f>
        <v>78622769</v>
      </c>
    </row>
    <row r="64" spans="1:32" s="104" customFormat="1" ht="15.6">
      <c r="A64" s="108"/>
      <c r="B64" s="109" t="s">
        <v>798</v>
      </c>
      <c r="C64" s="110">
        <f>CSG!C64+CSB!C64</f>
        <v>3482370</v>
      </c>
      <c r="D64" s="110">
        <f>CSG!D64+CSB!D64</f>
        <v>2571647</v>
      </c>
      <c r="E64" s="110">
        <f>CSG!E64+CSB!E64</f>
        <v>5404719</v>
      </c>
      <c r="F64" s="110">
        <f>CSG!F64+CSB!F64</f>
        <v>39100282</v>
      </c>
      <c r="G64" s="110">
        <f>CSG!G64+CSB!G64</f>
        <v>175037</v>
      </c>
      <c r="H64" s="110">
        <f>CSG!H64+CSB!H64</f>
        <v>2488685</v>
      </c>
      <c r="I64" s="110">
        <f t="shared" si="56"/>
        <v>53222740</v>
      </c>
      <c r="J64" s="113" t="str">
        <f t="shared" si="1"/>
        <v>ok</v>
      </c>
      <c r="K64" s="111">
        <f>Washington!J20</f>
        <v>53222740</v>
      </c>
      <c r="L64" s="182"/>
      <c r="M64" s="110">
        <f>CSG!M64+CSB!L64</f>
        <v>809043</v>
      </c>
      <c r="N64" s="110">
        <f>CSG!N64+CSB!M64</f>
        <v>0</v>
      </c>
      <c r="O64" s="110">
        <f>CSG!O64+CSB!N64</f>
        <v>0</v>
      </c>
      <c r="P64" s="110">
        <f>CSG!P64+CSB!O64</f>
        <v>0</v>
      </c>
      <c r="Q64" s="110">
        <f>CSG!Q64+CSB!P64</f>
        <v>620471</v>
      </c>
      <c r="R64" s="110">
        <f>CSG!R64+CSB!Q64</f>
        <v>1529830</v>
      </c>
      <c r="S64" s="110">
        <f>CSG!S64+CSB!R64</f>
        <v>3010000</v>
      </c>
      <c r="T64" s="110">
        <f>CSG!T64+CSB!S64</f>
        <v>1855135</v>
      </c>
      <c r="U64" s="110">
        <f t="shared" si="54"/>
        <v>7824479</v>
      </c>
      <c r="V64" s="229" t="str">
        <f t="shared" si="3"/>
        <v>ok</v>
      </c>
      <c r="W64" s="111">
        <f>Washington!H32</f>
        <v>7824479</v>
      </c>
      <c r="X64" s="112"/>
      <c r="Y64" s="182"/>
      <c r="Z64" s="110">
        <f>Washington!H35</f>
        <v>34644356</v>
      </c>
      <c r="AA64" s="110">
        <f>Washington!H37+Washington!H38+Washington!H39+Washington!H40+Washington!H41+Washington!H42</f>
        <v>9168919</v>
      </c>
      <c r="AB64" s="110">
        <f>Washington!H43</f>
        <v>1388728</v>
      </c>
      <c r="AC64" s="110">
        <f t="shared" si="50"/>
        <v>45202003</v>
      </c>
      <c r="AD64" s="110">
        <f t="shared" si="55"/>
        <v>53026482</v>
      </c>
      <c r="AE64" s="229" t="str">
        <f t="shared" si="5"/>
        <v>ok</v>
      </c>
      <c r="AF64" s="111">
        <f>Washington!H47</f>
        <v>53026482</v>
      </c>
    </row>
    <row r="65" spans="1:33" ht="15.6">
      <c r="A65" s="56"/>
      <c r="B65" s="3" t="s">
        <v>799</v>
      </c>
      <c r="C65" s="110">
        <f>CSG!C65+CSB!C65</f>
        <v>4804541</v>
      </c>
      <c r="D65" s="110">
        <f>CSG!D65+CSB!D65</f>
        <v>6021598</v>
      </c>
      <c r="E65" s="110">
        <f>CSG!E65+CSB!E65</f>
        <v>5707961</v>
      </c>
      <c r="F65" s="110">
        <f>CSG!F65+CSB!F65</f>
        <v>11754250</v>
      </c>
      <c r="G65" s="110">
        <f>CSG!G65+CSB!G65</f>
        <v>0</v>
      </c>
      <c r="H65" s="110">
        <f>CSG!H65+CSB!H65</f>
        <v>274135</v>
      </c>
      <c r="I65" s="59">
        <f t="shared" si="56"/>
        <v>28562485</v>
      </c>
      <c r="J65" s="113" t="str">
        <f t="shared" si="1"/>
        <v>ok</v>
      </c>
      <c r="K65" s="58">
        <f>Webster!H15</f>
        <v>28562485</v>
      </c>
      <c r="L65" s="181"/>
      <c r="M65" s="110">
        <f>CSG!M65+CSB!L65</f>
        <v>424160</v>
      </c>
      <c r="N65" s="110">
        <f>CSG!N65+CSB!M65</f>
        <v>0</v>
      </c>
      <c r="O65" s="110">
        <f>CSG!O65+CSB!N65</f>
        <v>0</v>
      </c>
      <c r="P65" s="110">
        <f>CSG!P65+CSB!O65</f>
        <v>0</v>
      </c>
      <c r="Q65" s="110">
        <f>CSG!Q65+CSB!P65</f>
        <v>159042</v>
      </c>
      <c r="R65" s="110">
        <f>CSG!R65+CSB!Q65</f>
        <v>402128</v>
      </c>
      <c r="S65" s="110">
        <f>CSG!S65+CSB!R65</f>
        <v>3321167</v>
      </c>
      <c r="T65" s="110">
        <f>CSG!T65+CSB!S65</f>
        <v>56665</v>
      </c>
      <c r="U65" s="59">
        <f t="shared" si="54"/>
        <v>4363162</v>
      </c>
      <c r="V65" s="229" t="str">
        <f t="shared" si="3"/>
        <v>ok</v>
      </c>
      <c r="W65" s="58">
        <f>Webster!H29</f>
        <v>4363162</v>
      </c>
      <c r="X65" s="60"/>
      <c r="Y65" s="181"/>
      <c r="Z65" s="59">
        <f>Webster!H32</f>
        <v>11457377</v>
      </c>
      <c r="AA65" s="59">
        <f>Webster!H34+Webster!H35+Webster!H36+Webster!H37+Webster!H38+Webster!H39+Webster!H40+Webster!H41+Webster!H42</f>
        <v>10361941</v>
      </c>
      <c r="AB65" s="59">
        <f>Webster!H44</f>
        <v>2380005</v>
      </c>
      <c r="AC65" s="59">
        <f t="shared" si="50"/>
        <v>24199323</v>
      </c>
      <c r="AD65" s="59">
        <f>SUM(AC65,U65)</f>
        <v>28562485</v>
      </c>
      <c r="AE65" s="229" t="str">
        <f t="shared" si="5"/>
        <v>ok</v>
      </c>
      <c r="AF65" s="58">
        <f>Webster!H48</f>
        <v>28562485</v>
      </c>
    </row>
    <row r="66" spans="1:33" s="104" customFormat="1" ht="15.6">
      <c r="A66" s="108"/>
      <c r="B66" s="109" t="s">
        <v>800</v>
      </c>
      <c r="C66" s="110">
        <f>CSG!C66+CSB!C66</f>
        <v>8562880</v>
      </c>
      <c r="D66" s="110">
        <f>CSG!D66+CSB!D66</f>
        <v>20307785</v>
      </c>
      <c r="E66" s="110">
        <f>CSG!E66+CSB!E66</f>
        <v>7588547</v>
      </c>
      <c r="F66" s="110">
        <f>CSG!F66+CSB!F66</f>
        <v>61751667</v>
      </c>
      <c r="G66" s="110">
        <f>CSG!G66+CSB!G66</f>
        <v>1744108</v>
      </c>
      <c r="H66" s="110">
        <f>CSG!H66+CSB!H66</f>
        <v>0</v>
      </c>
      <c r="I66" s="110">
        <f>SUM(C66:H66)</f>
        <v>99954987</v>
      </c>
      <c r="J66" s="113" t="str">
        <f t="shared" si="1"/>
        <v>ok</v>
      </c>
      <c r="K66" s="111">
        <f>'West Baton Rouge'!G18</f>
        <v>99954987</v>
      </c>
      <c r="L66" s="182"/>
      <c r="M66" s="110">
        <f>CSG!M66+CSB!L66</f>
        <v>496221</v>
      </c>
      <c r="N66" s="110">
        <f>CSG!N66+CSB!M66</f>
        <v>0</v>
      </c>
      <c r="O66" s="110">
        <f>CSG!O66+CSB!N66</f>
        <v>0</v>
      </c>
      <c r="P66" s="110">
        <f>CSG!P66+CSB!O66</f>
        <v>0</v>
      </c>
      <c r="Q66" s="110">
        <f>CSG!Q66+CSB!P66</f>
        <v>0</v>
      </c>
      <c r="R66" s="110">
        <f>CSG!R66+CSB!Q66</f>
        <v>408750</v>
      </c>
      <c r="S66" s="110">
        <f>CSG!S66+CSB!R66</f>
        <v>8665014</v>
      </c>
      <c r="T66" s="110">
        <f>CSG!T66+CSB!S66</f>
        <v>0</v>
      </c>
      <c r="U66" s="110">
        <f t="shared" si="54"/>
        <v>9569985</v>
      </c>
      <c r="V66" s="229" t="str">
        <f t="shared" si="3"/>
        <v>ok</v>
      </c>
      <c r="W66" s="111">
        <f>'West Baton Rouge'!G26</f>
        <v>9569985</v>
      </c>
      <c r="X66" s="112"/>
      <c r="Y66" s="182">
        <f>'West Baton Rouge'!G31</f>
        <v>9056939</v>
      </c>
      <c r="Z66" s="110">
        <f>'West Baton Rouge'!G34</f>
        <v>57589285</v>
      </c>
      <c r="AA66" s="110">
        <f>'West Baton Rouge'!G36+'West Baton Rouge'!G37</f>
        <v>728256</v>
      </c>
      <c r="AB66" s="110">
        <f>'West Baton Rouge'!G38</f>
        <v>23010522</v>
      </c>
      <c r="AC66" s="110">
        <f t="shared" si="50"/>
        <v>81328063</v>
      </c>
      <c r="AD66" s="110">
        <f t="shared" ref="AD66" si="57">SUM(AC66,U66)</f>
        <v>90898048</v>
      </c>
      <c r="AE66" s="229" t="str">
        <f t="shared" si="5"/>
        <v>ok</v>
      </c>
      <c r="AF66" s="111">
        <f>'West Baton Rouge'!G42</f>
        <v>90898048</v>
      </c>
    </row>
    <row r="67" spans="1:33" ht="15.6">
      <c r="A67" s="56"/>
      <c r="B67" s="3" t="s">
        <v>801</v>
      </c>
      <c r="C67" s="110">
        <f>CSG!C67+CSB!C67</f>
        <v>6004251</v>
      </c>
      <c r="D67" s="110">
        <f>CSG!D67+CSB!D67</f>
        <v>0</v>
      </c>
      <c r="E67" s="110">
        <f>CSG!E67+CSB!E67</f>
        <v>1318697</v>
      </c>
      <c r="F67" s="110">
        <f>CSG!F67+CSB!F67</f>
        <v>14156782</v>
      </c>
      <c r="G67" s="110">
        <f>CSG!G67+CSB!G67</f>
        <v>0</v>
      </c>
      <c r="H67" s="110">
        <f>CSG!H67+CSB!H67</f>
        <v>784477</v>
      </c>
      <c r="I67" s="59">
        <f t="shared" ref="I67" si="58">SUM(C67:H67)</f>
        <v>22264207</v>
      </c>
      <c r="J67" s="113" t="str">
        <f t="shared" si="1"/>
        <v>ok</v>
      </c>
      <c r="K67" s="58">
        <f>'West Carroll'!H12</f>
        <v>22264207</v>
      </c>
      <c r="M67" s="110">
        <f>CSG!M67+CSB!L67</f>
        <v>220827</v>
      </c>
      <c r="N67" s="110">
        <f>CSG!N67+CSB!M67</f>
        <v>98075</v>
      </c>
      <c r="O67" s="110">
        <f>CSG!O67+CSB!N67</f>
        <v>0</v>
      </c>
      <c r="P67" s="110">
        <f>CSG!P67+CSB!O67</f>
        <v>0</v>
      </c>
      <c r="Q67" s="110">
        <f>CSG!Q67+CSB!P67</f>
        <v>0</v>
      </c>
      <c r="R67" s="110">
        <f>CSG!R67+CSB!Q67</f>
        <v>14133</v>
      </c>
      <c r="S67" s="110">
        <f>CSG!S67+CSB!R67</f>
        <v>84805</v>
      </c>
      <c r="T67" s="110">
        <f>CSG!T67+CSB!S67</f>
        <v>2548107</v>
      </c>
      <c r="U67" s="59">
        <f t="shared" si="54"/>
        <v>2965947</v>
      </c>
      <c r="V67" s="229" t="str">
        <f t="shared" si="3"/>
        <v>ok</v>
      </c>
      <c r="W67" s="58">
        <f>'West Carroll'!H22</f>
        <v>2965947</v>
      </c>
      <c r="X67" s="60"/>
      <c r="Z67" s="59">
        <f>'West Carroll'!H28</f>
        <v>14057844</v>
      </c>
      <c r="AA67" s="59">
        <f>'West Carroll'!H30+'West Carroll'!H31+'West Carroll'!H32</f>
        <v>6220880</v>
      </c>
      <c r="AB67" s="59">
        <f>'West Carroll'!H33</f>
        <v>-1160829</v>
      </c>
      <c r="AC67" s="59">
        <f t="shared" si="50"/>
        <v>19117895</v>
      </c>
      <c r="AD67" s="59">
        <f>SUM(AC67,U67)</f>
        <v>22083842</v>
      </c>
      <c r="AE67" s="229" t="str">
        <f t="shared" si="5"/>
        <v>ok</v>
      </c>
      <c r="AF67" s="58">
        <f>'West Carroll'!H37</f>
        <v>22083842</v>
      </c>
    </row>
    <row r="68" spans="1:33" s="104" customFormat="1" ht="15.6">
      <c r="A68" s="108"/>
      <c r="B68" s="109" t="s">
        <v>802</v>
      </c>
      <c r="C68" s="110">
        <f>CSG!C68+CSB!C68</f>
        <v>1754436</v>
      </c>
      <c r="D68" s="110">
        <f>CSG!D68+CSB!D68</f>
        <v>14337857</v>
      </c>
      <c r="E68" s="110">
        <f>CSG!E68+CSB!E68</f>
        <v>410117</v>
      </c>
      <c r="F68" s="110">
        <f>CSG!F68+CSB!F68</f>
        <v>27495848</v>
      </c>
      <c r="G68" s="110">
        <f>CSG!G68+CSB!G68</f>
        <v>53694</v>
      </c>
      <c r="H68" s="110">
        <f>CSG!H68+CSB!H68</f>
        <v>181558</v>
      </c>
      <c r="I68" s="110">
        <f>SUM(C68:H68)</f>
        <v>44233510</v>
      </c>
      <c r="J68" s="113" t="str">
        <f t="shared" si="1"/>
        <v>ok</v>
      </c>
      <c r="K68" s="111">
        <f>'West Feliciana'!J24</f>
        <v>44233510</v>
      </c>
      <c r="L68" s="244"/>
      <c r="M68" s="110">
        <f>CSG!M68+CSB!L68</f>
        <v>571932</v>
      </c>
      <c r="N68" s="110">
        <f>CSG!N68+CSB!M68</f>
        <v>0</v>
      </c>
      <c r="O68" s="110">
        <f>CSG!O68+CSB!N68</f>
        <v>0</v>
      </c>
      <c r="P68" s="110">
        <f>CSG!P68+CSB!O68</f>
        <v>0</v>
      </c>
      <c r="Q68" s="110">
        <f>CSG!Q68+CSB!P68</f>
        <v>0</v>
      </c>
      <c r="R68" s="110">
        <f>CSG!R68+CSB!Q68</f>
        <v>320523</v>
      </c>
      <c r="S68" s="110">
        <f>CSG!S68+CSB!R68</f>
        <v>6563852</v>
      </c>
      <c r="T68" s="110">
        <f>CSG!T68+CSB!S68</f>
        <v>1776225</v>
      </c>
      <c r="U68" s="110">
        <f t="shared" si="54"/>
        <v>9232532</v>
      </c>
      <c r="V68" s="229" t="str">
        <f t="shared" si="3"/>
        <v>ok</v>
      </c>
      <c r="W68" s="111">
        <f>'West Feliciana'!J37</f>
        <v>9232532</v>
      </c>
      <c r="X68" s="112"/>
      <c r="Y68" s="244"/>
      <c r="Z68" s="110">
        <f>'West Feliciana'!H41</f>
        <v>14221175</v>
      </c>
      <c r="AA68" s="110">
        <f>'West Feliciana'!H43+'West Feliciana'!H44+'West Feliciana'!H45+'West Feliciana'!H46+'West Feliciana'!H47+'West Feliciana'!H48</f>
        <v>6484253</v>
      </c>
      <c r="AB68" s="110">
        <f>'West Feliciana'!H49</f>
        <v>6586757</v>
      </c>
      <c r="AC68" s="110">
        <f t="shared" si="50"/>
        <v>27292185</v>
      </c>
      <c r="AD68" s="110">
        <f t="shared" ref="AD68:AD69" si="59">SUM(AC68,U68)</f>
        <v>36524717</v>
      </c>
      <c r="AE68" s="229" t="str">
        <f t="shared" si="5"/>
        <v>check</v>
      </c>
      <c r="AF68" s="111">
        <f>'West Feliciana'!H53</f>
        <v>33177367</v>
      </c>
    </row>
    <row r="69" spans="1:33" s="159" customFormat="1" ht="15.6">
      <c r="A69" s="221"/>
      <c r="B69" s="222" t="s">
        <v>803</v>
      </c>
      <c r="C69" s="110">
        <f>CSG!C69+CSB!C69</f>
        <v>1954725</v>
      </c>
      <c r="D69" s="110">
        <f>CSG!D69+CSB!D69</f>
        <v>0</v>
      </c>
      <c r="E69" s="110">
        <f>CSG!E69+CSB!E69</f>
        <v>2232420</v>
      </c>
      <c r="F69" s="110">
        <f>CSG!F69+CSB!F69</f>
        <v>5894411</v>
      </c>
      <c r="G69" s="110">
        <f>CSG!G69+CSB!G69</f>
        <v>0</v>
      </c>
      <c r="H69" s="110">
        <f>CSG!H69+CSB!H69</f>
        <v>0</v>
      </c>
      <c r="I69" s="223">
        <f>SUM(C69:H69)</f>
        <v>10081556</v>
      </c>
      <c r="J69" s="229" t="str">
        <f t="shared" si="1"/>
        <v>ok</v>
      </c>
      <c r="K69" s="224">
        <f>Winn!H18</f>
        <v>10081556</v>
      </c>
      <c r="M69" s="110">
        <f>CSG!M69+CSB!L69</f>
        <v>271458</v>
      </c>
      <c r="N69" s="110">
        <f>CSG!N69+CSB!M69</f>
        <v>0</v>
      </c>
      <c r="O69" s="110">
        <f>CSG!O69+CSB!N69</f>
        <v>0</v>
      </c>
      <c r="P69" s="110">
        <f>CSG!P69+CSB!O69</f>
        <v>0</v>
      </c>
      <c r="Q69" s="110">
        <f>CSG!Q69+CSB!P69</f>
        <v>0</v>
      </c>
      <c r="R69" s="110">
        <f>CSG!R69+CSB!Q69</f>
        <v>225000</v>
      </c>
      <c r="S69" s="110">
        <f>CSG!S69+CSB!R69</f>
        <v>1785000</v>
      </c>
      <c r="T69" s="110">
        <f>CSG!T69+CSB!S69</f>
        <v>0</v>
      </c>
      <c r="U69" s="223">
        <f t="shared" si="54"/>
        <v>2281458</v>
      </c>
      <c r="V69" s="229" t="str">
        <f t="shared" si="3"/>
        <v>ok</v>
      </c>
      <c r="W69" s="224">
        <f>Winn!H27</f>
        <v>2281458</v>
      </c>
      <c r="X69" s="226"/>
      <c r="Y69" s="230">
        <f>Winn!H28</f>
        <v>13144</v>
      </c>
      <c r="Z69" s="223">
        <f>Winn!H31</f>
        <v>3884412</v>
      </c>
      <c r="AA69" s="223"/>
      <c r="AB69" s="223">
        <f>Winn!H32</f>
        <v>3902544</v>
      </c>
      <c r="AC69" s="223">
        <f t="shared" ref="AC69" si="60">SUM(Z69:AB69)</f>
        <v>7786956</v>
      </c>
      <c r="AD69" s="223">
        <f t="shared" si="59"/>
        <v>10068414</v>
      </c>
      <c r="AE69" s="229" t="str">
        <f t="shared" si="5"/>
        <v>ok</v>
      </c>
      <c r="AF69" s="224">
        <f>Winn!H36</f>
        <v>10068414</v>
      </c>
    </row>
    <row r="70" spans="1:33" ht="15.6">
      <c r="A70" s="56"/>
      <c r="J70"/>
      <c r="AG70" s="61"/>
    </row>
    <row r="71" spans="1:33" s="3" customFormat="1" ht="15.6">
      <c r="A71" s="62"/>
      <c r="B71" s="63" t="s">
        <v>804</v>
      </c>
      <c r="C71" s="64">
        <f t="shared" ref="C71:H71" si="61">SUM(C8:C8)</f>
        <v>46091237</v>
      </c>
      <c r="D71" s="64">
        <f t="shared" si="61"/>
        <v>97818553</v>
      </c>
      <c r="E71" s="64">
        <f t="shared" si="61"/>
        <v>31963150</v>
      </c>
      <c r="F71" s="64">
        <f t="shared" si="61"/>
        <v>220457798</v>
      </c>
      <c r="G71" s="64">
        <f t="shared" si="61"/>
        <v>5125945</v>
      </c>
      <c r="H71" s="64">
        <f t="shared" si="61"/>
        <v>1164472</v>
      </c>
      <c r="I71" s="74">
        <f>SUM(I6:I69)</f>
        <v>15189932473.130001</v>
      </c>
      <c r="J71" s="75" t="str">
        <f t="shared" ref="J71" si="62">IF(I71=K71, "ok", "check")</f>
        <v>ok</v>
      </c>
      <c r="K71" s="66">
        <f>SUM(K6:K70)</f>
        <v>15189932473.130001</v>
      </c>
      <c r="L71" s="66" t="e">
        <f>SUM(L6:L70)</f>
        <v>#REF!</v>
      </c>
      <c r="M71" s="66">
        <f t="shared" ref="M71:T71" si="63">SUM(M8:M8)</f>
        <v>7744502</v>
      </c>
      <c r="N71" s="67">
        <f t="shared" si="63"/>
        <v>0</v>
      </c>
      <c r="O71" s="66">
        <f t="shared" si="63"/>
        <v>235409</v>
      </c>
      <c r="P71" s="66">
        <f t="shared" si="63"/>
        <v>667416</v>
      </c>
      <c r="Q71" s="66">
        <f t="shared" si="63"/>
        <v>269707</v>
      </c>
      <c r="R71" s="66">
        <f t="shared" si="63"/>
        <v>4335000</v>
      </c>
      <c r="S71" s="66">
        <f t="shared" si="63"/>
        <v>80612569</v>
      </c>
      <c r="T71" s="66">
        <f t="shared" si="63"/>
        <v>5130333</v>
      </c>
      <c r="U71" s="66">
        <f>SUM(U6:U69)</f>
        <v>5312308743.6999998</v>
      </c>
      <c r="V71" s="65" t="str">
        <f>IF(U71=W71, "ok", "check")</f>
        <v>ok</v>
      </c>
      <c r="W71" s="66">
        <f>SUM(W6:W70)</f>
        <v>5312308743.6999998</v>
      </c>
      <c r="X71" s="66" t="e">
        <f>SUM(#REF!)</f>
        <v>#REF!</v>
      </c>
      <c r="Y71" s="66">
        <f>SUM(Y6:Y70)</f>
        <v>124587714</v>
      </c>
      <c r="Z71" s="124">
        <f>SUM(Z8:Z70)</f>
        <v>5125423182.2399998</v>
      </c>
      <c r="AA71" s="66">
        <f>SUM(AA8:AA70)</f>
        <v>1704013936.3600001</v>
      </c>
      <c r="AB71" s="66">
        <f>SUM(AB8:AB70)</f>
        <v>650404481.82999992</v>
      </c>
      <c r="AC71" s="66">
        <f>SUM(AC8:AC70)</f>
        <v>7479841600.4300003</v>
      </c>
      <c r="AD71" s="66">
        <f>SUM(AD6:AD70)</f>
        <v>12957584728.130001</v>
      </c>
      <c r="AE71" s="65" t="str">
        <f>IF(AD71=AF71, "ok", "check")</f>
        <v>check</v>
      </c>
      <c r="AF71" s="66">
        <f>SUM(AF6:AF70)</f>
        <v>10506234348.130001</v>
      </c>
    </row>
    <row r="72" spans="1:33">
      <c r="J72"/>
    </row>
    <row r="73" spans="1:33">
      <c r="B73" t="s">
        <v>805</v>
      </c>
      <c r="J73"/>
    </row>
    <row r="74" spans="1:33">
      <c r="J74"/>
    </row>
    <row r="75" spans="1:33">
      <c r="J75"/>
    </row>
    <row r="76" spans="1:33">
      <c r="J76"/>
    </row>
    <row r="77" spans="1:33">
      <c r="J77"/>
    </row>
    <row r="78" spans="1:33">
      <c r="J78"/>
    </row>
    <row r="79" spans="1:33">
      <c r="J79"/>
    </row>
    <row r="80" spans="1:33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 ht="15"/>
    <row r="315" spans="10:10" ht="15"/>
  </sheetData>
  <mergeCells count="2">
    <mergeCell ref="A3:B3"/>
    <mergeCell ref="A4: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SharedWithUsers xmlns="a04dc2bb-3752-482a-bef8-a3d7520562f3">
      <UserInfo>
        <DisplayName>Ivey, Jefferson</DisplayName>
        <AccountId>14</AccountId>
        <AccountType/>
      </UserInfo>
      <UserInfo>
        <DisplayName>Kannan, Sinduja</DisplayName>
        <AccountId>82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8678C1A-F3EA-445C-B876-89CF7CD8A0D9}"/>
</file>

<file path=customXml/itemProps2.xml><?xml version="1.0" encoding="utf-8"?>
<ds:datastoreItem xmlns:ds="http://schemas.openxmlformats.org/officeDocument/2006/customXml" ds:itemID="{3BAF5E0E-E2BF-449D-887D-96EBF09404F7}"/>
</file>

<file path=customXml/itemProps3.xml><?xml version="1.0" encoding="utf-8"?>
<ds:datastoreItem xmlns:ds="http://schemas.openxmlformats.org/officeDocument/2006/customXml" ds:itemID="{88A39033-2F95-4E29-8049-789A9584B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lnorwa2</dc:creator>
  <cp:keywords/>
  <dc:description/>
  <cp:lastModifiedBy>Luftig, Valerio</cp:lastModifiedBy>
  <cp:revision/>
  <dcterms:created xsi:type="dcterms:W3CDTF">2011-10-31T17:22:17Z</dcterms:created>
  <dcterms:modified xsi:type="dcterms:W3CDTF">2025-06-17T20:21:24Z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