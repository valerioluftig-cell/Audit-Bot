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 autoCompressPictures="0" defaultThemeVersion="124226"/>
  <xr:revisionPtr revIDLastSave="10" documentId="11_816A26FEA8935FBAB332724C21441CAE24F666FB" xr6:coauthVersionLast="47" xr6:coauthVersionMax="47" xr10:uidLastSave="{6E245BB5-3448-444D-89A1-42F14F1776F1}"/>
  <bookViews>
    <workbookView xWindow="0" yWindow="0" windowWidth="22965" windowHeight="15240" tabRatio="875" firstSheet="54" activeTab="64" xr2:uid="{00000000-000D-0000-FFFF-FFFF00000000}"/>
  </bookViews>
  <sheets>
    <sheet name="Acadia" sheetId="144" r:id="rId1"/>
    <sheet name="Allen" sheetId="145" r:id="rId2"/>
    <sheet name="Assumption" sheetId="146" r:id="rId3"/>
    <sheet name="Avoyelles" sheetId="197" r:id="rId4"/>
    <sheet name="Beauregard" sheetId="198" r:id="rId5"/>
    <sheet name="Bienville" sheetId="147" r:id="rId6"/>
    <sheet name="Bossier" sheetId="148" r:id="rId7"/>
    <sheet name="Caddo" sheetId="199" r:id="rId8"/>
    <sheet name="Calcasieu" sheetId="149" r:id="rId9"/>
    <sheet name="Caldwell" sheetId="156" r:id="rId10"/>
    <sheet name="Cameron" sheetId="157" r:id="rId11"/>
    <sheet name="Catahoula" sheetId="158" r:id="rId12"/>
    <sheet name="Claiborne" sheetId="159" r:id="rId13"/>
    <sheet name="Concordia" sheetId="160" r:id="rId14"/>
    <sheet name="DeSoto" sheetId="161" r:id="rId15"/>
    <sheet name="East Baton Rouge" sheetId="162" r:id="rId16"/>
    <sheet name="East Carroll" sheetId="183" r:id="rId17"/>
    <sheet name="East Feliciana" sheetId="184" r:id="rId18"/>
    <sheet name="Evangeline" sheetId="185" r:id="rId19"/>
    <sheet name="Franklin" sheetId="186" r:id="rId20"/>
    <sheet name="Grant" sheetId="187" r:id="rId21"/>
    <sheet name="Iberia" sheetId="188" r:id="rId22"/>
    <sheet name="Iberville" sheetId="189" r:id="rId23"/>
    <sheet name="Jackson" sheetId="190" r:id="rId24"/>
    <sheet name="Jefferson Davis" sheetId="191" r:id="rId25"/>
    <sheet name="Jefferson" sheetId="192" r:id="rId26"/>
    <sheet name="Lafayette" sheetId="193" r:id="rId27"/>
    <sheet name="Lafourche" sheetId="194" r:id="rId28"/>
    <sheet name="LaSalle" sheetId="195" r:id="rId29"/>
    <sheet name="Lincoln" sheetId="196" r:id="rId30"/>
    <sheet name="Livingston" sheetId="163" r:id="rId31"/>
    <sheet name="Madison" sheetId="164" r:id="rId32"/>
    <sheet name="Morehouse" sheetId="165" r:id="rId33"/>
    <sheet name="Natchitoches (2)" sheetId="205" r:id="rId34"/>
    <sheet name="Natchitoches" sheetId="166" r:id="rId35"/>
    <sheet name="Orleans" sheetId="167" r:id="rId36"/>
    <sheet name="Ouachita" sheetId="168" r:id="rId37"/>
    <sheet name="Plaquemines" sheetId="169" r:id="rId38"/>
    <sheet name="Pointe Couppe " sheetId="200" r:id="rId39"/>
    <sheet name="Rapides" sheetId="170" r:id="rId40"/>
    <sheet name="Red River" sheetId="171" r:id="rId41"/>
    <sheet name="Richland" sheetId="172" r:id="rId42"/>
    <sheet name="Sabine" sheetId="173" r:id="rId43"/>
    <sheet name="St. Bernard" sheetId="174" r:id="rId44"/>
    <sheet name="St. Charles" sheetId="175" r:id="rId45"/>
    <sheet name="St. Helena" sheetId="201" r:id="rId46"/>
    <sheet name="St. James" sheetId="176" r:id="rId47"/>
    <sheet name="St. John the Baptist" sheetId="177" r:id="rId48"/>
    <sheet name="St. Martin" sheetId="179" r:id="rId49"/>
    <sheet name="St. Tammany" sheetId="180" r:id="rId50"/>
    <sheet name="Tangipahoa" sheetId="181" r:id="rId51"/>
    <sheet name="Tensas" sheetId="155" r:id="rId52"/>
    <sheet name="St. Landry" sheetId="178" r:id="rId53"/>
    <sheet name="St. Mary" sheetId="204" r:id="rId54"/>
    <sheet name="Terrebonne" sheetId="182" r:id="rId55"/>
    <sheet name="Union" sheetId="202" r:id="rId56"/>
    <sheet name="Vermillion" sheetId="154" r:id="rId57"/>
    <sheet name="Vernon" sheetId="153" r:id="rId58"/>
    <sheet name="Washington " sheetId="151" r:id="rId59"/>
    <sheet name="Webster" sheetId="152" r:id="rId60"/>
    <sheet name="West Baton Rouge" sheetId="142" r:id="rId61"/>
    <sheet name="West Carroll" sheetId="143" r:id="rId62"/>
    <sheet name="West Feliciana" sheetId="203" r:id="rId63"/>
    <sheet name="Winn" sheetId="150" r:id="rId64"/>
    <sheet name="Cross Sectional" sheetId="3" r:id="rId65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48" i="204" l="1"/>
  <c r="S13" i="205" l="1"/>
  <c r="S16" i="205"/>
  <c r="R18" i="205"/>
  <c r="Q18" i="205"/>
  <c r="L24" i="205"/>
  <c r="M24" i="205"/>
  <c r="N24" i="205"/>
  <c r="O24" i="205"/>
  <c r="P24" i="205"/>
  <c r="Q24" i="205"/>
  <c r="Q26" i="205" s="1"/>
  <c r="L18" i="205"/>
  <c r="M18" i="205"/>
  <c r="N18" i="205"/>
  <c r="O18" i="205"/>
  <c r="P18" i="205"/>
  <c r="L10" i="205"/>
  <c r="M10" i="205"/>
  <c r="N10" i="205"/>
  <c r="O10" i="205"/>
  <c r="P10" i="205"/>
  <c r="Q10" i="205"/>
  <c r="S21" i="205"/>
  <c r="S22" i="205"/>
  <c r="S24" i="205"/>
  <c r="S14" i="205"/>
  <c r="S15" i="205"/>
  <c r="R24" i="205"/>
  <c r="R26" i="205"/>
  <c r="K24" i="205"/>
  <c r="K18" i="205"/>
  <c r="K26" i="205"/>
  <c r="S7" i="205"/>
  <c r="S8" i="205"/>
  <c r="S10" i="205"/>
  <c r="R10" i="205"/>
  <c r="K10" i="205"/>
  <c r="K35" i="203"/>
  <c r="K27" i="203"/>
  <c r="K37" i="203"/>
  <c r="AA68" i="3"/>
  <c r="W68" i="3"/>
  <c r="V68" i="3"/>
  <c r="U68" i="3"/>
  <c r="S68" i="3"/>
  <c r="P68" i="3"/>
  <c r="O68" i="3"/>
  <c r="M68" i="3"/>
  <c r="K19" i="203"/>
  <c r="K68" i="3"/>
  <c r="H68" i="3"/>
  <c r="G68" i="3"/>
  <c r="D68" i="3"/>
  <c r="C68" i="3"/>
  <c r="B68" i="3"/>
  <c r="Q35" i="203"/>
  <c r="R9" i="203"/>
  <c r="R10" i="203"/>
  <c r="R11" i="203"/>
  <c r="R12" i="203"/>
  <c r="R13" i="203"/>
  <c r="R14" i="203"/>
  <c r="R15" i="203"/>
  <c r="R16" i="203"/>
  <c r="R30" i="203"/>
  <c r="R31" i="203"/>
  <c r="R32" i="203"/>
  <c r="R33" i="203"/>
  <c r="R35" i="203"/>
  <c r="R22" i="203"/>
  <c r="R23" i="203"/>
  <c r="R24" i="203"/>
  <c r="R25" i="203"/>
  <c r="R27" i="203"/>
  <c r="R37" i="203"/>
  <c r="Q27" i="203"/>
  <c r="Q37" i="203"/>
  <c r="P35" i="203"/>
  <c r="P27" i="203"/>
  <c r="P37" i="203"/>
  <c r="O35" i="203"/>
  <c r="O27" i="203"/>
  <c r="O37" i="203"/>
  <c r="N35" i="203"/>
  <c r="N27" i="203"/>
  <c r="N37" i="203"/>
  <c r="M35" i="203"/>
  <c r="M27" i="203"/>
  <c r="M37" i="203"/>
  <c r="L35" i="203"/>
  <c r="L27" i="203"/>
  <c r="L37" i="203"/>
  <c r="R7" i="203"/>
  <c r="R8" i="203"/>
  <c r="R17" i="203"/>
  <c r="R19" i="203"/>
  <c r="Q19" i="203"/>
  <c r="P19" i="203"/>
  <c r="O19" i="203"/>
  <c r="N19" i="203"/>
  <c r="M19" i="203"/>
  <c r="L19" i="203"/>
  <c r="R32" i="204"/>
  <c r="R33" i="204"/>
  <c r="R34" i="204"/>
  <c r="R35" i="204"/>
  <c r="R36" i="204"/>
  <c r="R37" i="204"/>
  <c r="R38" i="204"/>
  <c r="R39" i="204"/>
  <c r="R40" i="204"/>
  <c r="R41" i="204"/>
  <c r="R42" i="204"/>
  <c r="R43" i="204"/>
  <c r="R44" i="204"/>
  <c r="R45" i="204"/>
  <c r="R46" i="204"/>
  <c r="R48" i="204"/>
  <c r="K48" i="204"/>
  <c r="L48" i="204"/>
  <c r="M48" i="204"/>
  <c r="N48" i="204"/>
  <c r="O48" i="204"/>
  <c r="P48" i="204"/>
  <c r="O29" i="204"/>
  <c r="P29" i="204"/>
  <c r="Q29" i="204"/>
  <c r="R20" i="204"/>
  <c r="R21" i="204"/>
  <c r="R22" i="204"/>
  <c r="R23" i="204"/>
  <c r="R24" i="204"/>
  <c r="R25" i="204"/>
  <c r="R26" i="204"/>
  <c r="R27" i="204"/>
  <c r="R29" i="204"/>
  <c r="N29" i="204"/>
  <c r="R9" i="204"/>
  <c r="R10" i="204"/>
  <c r="R11" i="204"/>
  <c r="R50" i="204"/>
  <c r="Q50" i="204"/>
  <c r="P50" i="204"/>
  <c r="O50" i="204"/>
  <c r="N50" i="204"/>
  <c r="M29" i="204"/>
  <c r="M50" i="204"/>
  <c r="L29" i="204"/>
  <c r="L50" i="204"/>
  <c r="K29" i="204"/>
  <c r="K50" i="204"/>
  <c r="R7" i="204"/>
  <c r="R8" i="204"/>
  <c r="R12" i="204"/>
  <c r="R13" i="204"/>
  <c r="R14" i="204"/>
  <c r="R15" i="204"/>
  <c r="R17" i="204"/>
  <c r="Q17" i="204"/>
  <c r="P17" i="204"/>
  <c r="O17" i="204"/>
  <c r="N17" i="204"/>
  <c r="M17" i="204"/>
  <c r="L17" i="204"/>
  <c r="K17" i="204"/>
  <c r="K31" i="202"/>
  <c r="K22" i="202"/>
  <c r="K33" i="202"/>
  <c r="AA61" i="3"/>
  <c r="W61" i="3"/>
  <c r="S61" i="3"/>
  <c r="P61" i="3"/>
  <c r="M61" i="3"/>
  <c r="K11" i="202"/>
  <c r="K61" i="3"/>
  <c r="F61" i="3"/>
  <c r="D61" i="3"/>
  <c r="C61" i="3"/>
  <c r="B61" i="3"/>
  <c r="Q15" i="202"/>
  <c r="Q16" i="202"/>
  <c r="Q17" i="202"/>
  <c r="Q18" i="202"/>
  <c r="Q19" i="202"/>
  <c r="Q20" i="202"/>
  <c r="Q22" i="202"/>
  <c r="P22" i="202"/>
  <c r="L11" i="202"/>
  <c r="M11" i="202"/>
  <c r="N11" i="202"/>
  <c r="O11" i="202"/>
  <c r="P11" i="202"/>
  <c r="Q6" i="202"/>
  <c r="Q7" i="202"/>
  <c r="Q8" i="202"/>
  <c r="Q9" i="202"/>
  <c r="Q11" i="202"/>
  <c r="Q28" i="202"/>
  <c r="Q29" i="202"/>
  <c r="Q31" i="202"/>
  <c r="Q25" i="202"/>
  <c r="Q33" i="202"/>
  <c r="P31" i="202"/>
  <c r="P33" i="202"/>
  <c r="O31" i="202"/>
  <c r="O22" i="202"/>
  <c r="O33" i="202"/>
  <c r="N31" i="202"/>
  <c r="N22" i="202"/>
  <c r="N33" i="202"/>
  <c r="M31" i="202"/>
  <c r="M22" i="202"/>
  <c r="M33" i="202"/>
  <c r="L31" i="202"/>
  <c r="L22" i="202"/>
  <c r="L33" i="202"/>
  <c r="K27" i="201"/>
  <c r="K21" i="201"/>
  <c r="K29" i="201"/>
  <c r="AA51" i="3"/>
  <c r="W51" i="3"/>
  <c r="S51" i="3"/>
  <c r="P51" i="3"/>
  <c r="M51" i="3"/>
  <c r="K13" i="201"/>
  <c r="K51" i="3"/>
  <c r="G51" i="3"/>
  <c r="D51" i="3"/>
  <c r="B51" i="3"/>
  <c r="O21" i="201"/>
  <c r="O27" i="201"/>
  <c r="O29" i="201"/>
  <c r="O13" i="201"/>
  <c r="Q17" i="201"/>
  <c r="Q18" i="201"/>
  <c r="Q19" i="201"/>
  <c r="Q21" i="201"/>
  <c r="Q24" i="201"/>
  <c r="Q25" i="201"/>
  <c r="Q27" i="201"/>
  <c r="Q29" i="201"/>
  <c r="P21" i="201"/>
  <c r="P27" i="201"/>
  <c r="P29" i="201"/>
  <c r="N21" i="201"/>
  <c r="N27" i="201"/>
  <c r="N29" i="201"/>
  <c r="M21" i="201"/>
  <c r="M27" i="201"/>
  <c r="M29" i="201"/>
  <c r="L21" i="201"/>
  <c r="L27" i="201"/>
  <c r="L29" i="201"/>
  <c r="Q7" i="201"/>
  <c r="Q8" i="201"/>
  <c r="Q9" i="201"/>
  <c r="Q10" i="201"/>
  <c r="Q11" i="201"/>
  <c r="Q13" i="201"/>
  <c r="P13" i="201"/>
  <c r="N13" i="201"/>
  <c r="M13" i="201"/>
  <c r="L13" i="201"/>
  <c r="K33" i="200"/>
  <c r="K22" i="200"/>
  <c r="K35" i="200"/>
  <c r="AA44" i="3"/>
  <c r="U44" i="3"/>
  <c r="T44" i="3"/>
  <c r="S44" i="3"/>
  <c r="O44" i="3"/>
  <c r="M44" i="3"/>
  <c r="K14" i="200"/>
  <c r="K44" i="3"/>
  <c r="F44" i="3"/>
  <c r="H44" i="3"/>
  <c r="G44" i="3"/>
  <c r="C44" i="3"/>
  <c r="B44" i="3"/>
  <c r="L33" i="200"/>
  <c r="M33" i="200"/>
  <c r="N33" i="200"/>
  <c r="O33" i="200"/>
  <c r="P33" i="200"/>
  <c r="Q33" i="200"/>
  <c r="R33" i="200"/>
  <c r="S28" i="200"/>
  <c r="S29" i="200"/>
  <c r="S30" i="200"/>
  <c r="S31" i="200"/>
  <c r="S33" i="200"/>
  <c r="S18" i="200"/>
  <c r="S19" i="200"/>
  <c r="S20" i="200"/>
  <c r="S22" i="200"/>
  <c r="S25" i="200"/>
  <c r="S35" i="200"/>
  <c r="R22" i="200"/>
  <c r="R35" i="200"/>
  <c r="Q22" i="200"/>
  <c r="Q35" i="200"/>
  <c r="P22" i="200"/>
  <c r="P35" i="200"/>
  <c r="O22" i="200"/>
  <c r="O35" i="200"/>
  <c r="N22" i="200"/>
  <c r="N35" i="200"/>
  <c r="M22" i="200"/>
  <c r="M35" i="200"/>
  <c r="L22" i="200"/>
  <c r="L35" i="200"/>
  <c r="S6" i="200"/>
  <c r="S7" i="200"/>
  <c r="S8" i="200"/>
  <c r="S9" i="200"/>
  <c r="S10" i="200"/>
  <c r="S11" i="200"/>
  <c r="S12" i="200"/>
  <c r="S14" i="200"/>
  <c r="R14" i="200"/>
  <c r="Q14" i="200"/>
  <c r="P14" i="200"/>
  <c r="O14" i="200"/>
  <c r="N14" i="200"/>
  <c r="M14" i="200"/>
  <c r="L14" i="200"/>
  <c r="K60" i="199"/>
  <c r="K36" i="199"/>
  <c r="K30" i="199"/>
  <c r="K62" i="199"/>
  <c r="AA14" i="3"/>
  <c r="M14" i="3"/>
  <c r="N14" i="3"/>
  <c r="O14" i="3"/>
  <c r="Q14" i="3"/>
  <c r="U14" i="3"/>
  <c r="V14" i="3"/>
  <c r="W14" i="3"/>
  <c r="X14" i="3"/>
  <c r="T14" i="3"/>
  <c r="Y14" i="3"/>
  <c r="Z14" i="3"/>
  <c r="U15" i="3"/>
  <c r="S14" i="3"/>
  <c r="R14" i="3"/>
  <c r="K18" i="199"/>
  <c r="K14" i="3"/>
  <c r="B14" i="3"/>
  <c r="C14" i="3"/>
  <c r="D14" i="3"/>
  <c r="G14" i="3"/>
  <c r="I14" i="3"/>
  <c r="J14" i="3"/>
  <c r="T60" i="199"/>
  <c r="U40" i="199"/>
  <c r="U42" i="199"/>
  <c r="U43" i="199"/>
  <c r="U44" i="199"/>
  <c r="U45" i="199"/>
  <c r="U46" i="199"/>
  <c r="U47" i="199"/>
  <c r="U48" i="199"/>
  <c r="U49" i="199"/>
  <c r="U50" i="199"/>
  <c r="U52" i="199"/>
  <c r="U53" i="199"/>
  <c r="U54" i="199"/>
  <c r="U56" i="199"/>
  <c r="U57" i="199"/>
  <c r="U58" i="199"/>
  <c r="U60" i="199"/>
  <c r="U33" i="199"/>
  <c r="U34" i="199"/>
  <c r="U36" i="199"/>
  <c r="U22" i="199"/>
  <c r="U23" i="199"/>
  <c r="U24" i="199"/>
  <c r="U25" i="199"/>
  <c r="U26" i="199"/>
  <c r="U27" i="199"/>
  <c r="U28" i="199"/>
  <c r="U30" i="199"/>
  <c r="U62" i="199"/>
  <c r="T36" i="199"/>
  <c r="T30" i="199"/>
  <c r="T62" i="199"/>
  <c r="S60" i="199"/>
  <c r="S36" i="199"/>
  <c r="S30" i="199"/>
  <c r="S62" i="199"/>
  <c r="R60" i="199"/>
  <c r="R36" i="199"/>
  <c r="R30" i="199"/>
  <c r="R62" i="199"/>
  <c r="Q60" i="199"/>
  <c r="Q36" i="199"/>
  <c r="Q30" i="199"/>
  <c r="Q62" i="199"/>
  <c r="P60" i="199"/>
  <c r="P36" i="199"/>
  <c r="P30" i="199"/>
  <c r="P62" i="199"/>
  <c r="O60" i="199"/>
  <c r="O36" i="199"/>
  <c r="O30" i="199"/>
  <c r="O62" i="199"/>
  <c r="N60" i="199"/>
  <c r="N36" i="199"/>
  <c r="N30" i="199"/>
  <c r="N62" i="199"/>
  <c r="M60" i="199"/>
  <c r="M36" i="199"/>
  <c r="M30" i="199"/>
  <c r="M62" i="199"/>
  <c r="L60" i="199"/>
  <c r="L36" i="199"/>
  <c r="L30" i="199"/>
  <c r="L62" i="199"/>
  <c r="U6" i="199"/>
  <c r="U7" i="199"/>
  <c r="U9" i="199"/>
  <c r="U10" i="199"/>
  <c r="U11" i="199"/>
  <c r="U12" i="199"/>
  <c r="U13" i="199"/>
  <c r="U14" i="199"/>
  <c r="U15" i="199"/>
  <c r="U16" i="199"/>
  <c r="U18" i="199"/>
  <c r="T18" i="199"/>
  <c r="S18" i="199"/>
  <c r="R18" i="199"/>
  <c r="Q18" i="199"/>
  <c r="P18" i="199"/>
  <c r="O18" i="199"/>
  <c r="N18" i="199"/>
  <c r="M18" i="199"/>
  <c r="L18" i="199"/>
  <c r="W11" i="3"/>
  <c r="X11" i="3"/>
  <c r="M11" i="3"/>
  <c r="P11" i="3"/>
  <c r="Q11" i="3"/>
  <c r="K23" i="198"/>
  <c r="T11" i="3"/>
  <c r="Y11" i="3"/>
  <c r="K39" i="198"/>
  <c r="K19" i="198"/>
  <c r="K41" i="198"/>
  <c r="AA11" i="3"/>
  <c r="Z11" i="3"/>
  <c r="S11" i="3"/>
  <c r="R11" i="3"/>
  <c r="K11" i="198"/>
  <c r="K11" i="3"/>
  <c r="B11" i="3"/>
  <c r="D11" i="3"/>
  <c r="I11" i="3"/>
  <c r="J11" i="3"/>
  <c r="T7" i="198"/>
  <c r="L23" i="198"/>
  <c r="M23" i="198"/>
  <c r="N23" i="198"/>
  <c r="O23" i="198"/>
  <c r="P23" i="198"/>
  <c r="Q23" i="198"/>
  <c r="R23" i="198"/>
  <c r="S23" i="198"/>
  <c r="T22" i="198"/>
  <c r="T23" i="198"/>
  <c r="T26" i="198"/>
  <c r="T28" i="198"/>
  <c r="T29" i="198"/>
  <c r="T30" i="198"/>
  <c r="T31" i="198"/>
  <c r="T32" i="198"/>
  <c r="T33" i="198"/>
  <c r="T34" i="198"/>
  <c r="T35" i="198"/>
  <c r="T36" i="198"/>
  <c r="T37" i="198"/>
  <c r="T39" i="198"/>
  <c r="T15" i="198"/>
  <c r="T16" i="198"/>
  <c r="T17" i="198"/>
  <c r="T19" i="198"/>
  <c r="T41" i="198"/>
  <c r="S39" i="198"/>
  <c r="S19" i="198"/>
  <c r="S41" i="198"/>
  <c r="R39" i="198"/>
  <c r="R19" i="198"/>
  <c r="R41" i="198"/>
  <c r="Q39" i="198"/>
  <c r="Q19" i="198"/>
  <c r="Q41" i="198"/>
  <c r="P39" i="198"/>
  <c r="P19" i="198"/>
  <c r="P41" i="198"/>
  <c r="O39" i="198"/>
  <c r="O19" i="198"/>
  <c r="O41" i="198"/>
  <c r="N39" i="198"/>
  <c r="N19" i="198"/>
  <c r="N41" i="198"/>
  <c r="M39" i="198"/>
  <c r="M19" i="198"/>
  <c r="M41" i="198"/>
  <c r="L39" i="198"/>
  <c r="L19" i="198"/>
  <c r="L41" i="198"/>
  <c r="T6" i="198"/>
  <c r="T8" i="198"/>
  <c r="T9" i="198"/>
  <c r="T11" i="198"/>
  <c r="S11" i="198"/>
  <c r="R11" i="198"/>
  <c r="Q11" i="198"/>
  <c r="P11" i="198"/>
  <c r="O11" i="198"/>
  <c r="N11" i="198"/>
  <c r="M11" i="198"/>
  <c r="L11" i="198"/>
  <c r="M10" i="3"/>
  <c r="P10" i="3"/>
  <c r="Q10" i="3"/>
  <c r="U10" i="3"/>
  <c r="W10" i="3"/>
  <c r="X10" i="3"/>
  <c r="T10" i="3"/>
  <c r="Y10" i="3"/>
  <c r="K36" i="197"/>
  <c r="K21" i="197"/>
  <c r="K38" i="197"/>
  <c r="AA10" i="3"/>
  <c r="Z10" i="3"/>
  <c r="S10" i="3"/>
  <c r="R10" i="3"/>
  <c r="B10" i="3"/>
  <c r="D10" i="3"/>
  <c r="F10" i="3"/>
  <c r="G10" i="3"/>
  <c r="I10" i="3"/>
  <c r="K12" i="197"/>
  <c r="K10" i="3"/>
  <c r="J10" i="3"/>
  <c r="L36" i="197"/>
  <c r="L21" i="197"/>
  <c r="L38" i="197"/>
  <c r="M36" i="197"/>
  <c r="M21" i="197"/>
  <c r="M38" i="197"/>
  <c r="N36" i="197"/>
  <c r="N21" i="197"/>
  <c r="N38" i="197"/>
  <c r="O36" i="197"/>
  <c r="O21" i="197"/>
  <c r="O38" i="197"/>
  <c r="P36" i="197"/>
  <c r="P21" i="197"/>
  <c r="P38" i="197"/>
  <c r="Q36" i="197"/>
  <c r="Q21" i="197"/>
  <c r="Q38" i="197"/>
  <c r="R36" i="197"/>
  <c r="R21" i="197"/>
  <c r="R38" i="197"/>
  <c r="S36" i="197"/>
  <c r="S21" i="197"/>
  <c r="S38" i="197"/>
  <c r="T27" i="197"/>
  <c r="T28" i="197"/>
  <c r="T29" i="197"/>
  <c r="T30" i="197"/>
  <c r="T31" i="197"/>
  <c r="T32" i="197"/>
  <c r="T33" i="197"/>
  <c r="T34" i="197"/>
  <c r="T36" i="197"/>
  <c r="T24" i="197"/>
  <c r="T17" i="197"/>
  <c r="T18" i="197"/>
  <c r="T19" i="197"/>
  <c r="T21" i="197"/>
  <c r="T38" i="197"/>
  <c r="T9" i="197"/>
  <c r="T6" i="197"/>
  <c r="T7" i="197"/>
  <c r="T8" i="197"/>
  <c r="T10" i="197"/>
  <c r="T12" i="197"/>
  <c r="S12" i="197"/>
  <c r="R12" i="197"/>
  <c r="Q12" i="197"/>
  <c r="P12" i="197"/>
  <c r="O12" i="197"/>
  <c r="N12" i="197"/>
  <c r="M12" i="197"/>
  <c r="L12" i="197"/>
  <c r="M31" i="3"/>
  <c r="P31" i="3"/>
  <c r="Q31" i="3"/>
  <c r="U31" i="3"/>
  <c r="W31" i="3"/>
  <c r="X31" i="3"/>
  <c r="K30" i="192"/>
  <c r="T31" i="3"/>
  <c r="Y31" i="3"/>
  <c r="K26" i="192"/>
  <c r="K39" i="192"/>
  <c r="K41" i="192"/>
  <c r="AA31" i="3"/>
  <c r="Z31" i="3"/>
  <c r="M35" i="3"/>
  <c r="Q35" i="3"/>
  <c r="W35" i="3"/>
  <c r="X35" i="3"/>
  <c r="Y35" i="3"/>
  <c r="K30" i="195"/>
  <c r="K18" i="195"/>
  <c r="K32" i="195"/>
  <c r="AA35" i="3"/>
  <c r="Z35" i="3"/>
  <c r="S31" i="3"/>
  <c r="R31" i="3"/>
  <c r="S35" i="3"/>
  <c r="R35" i="3"/>
  <c r="M33" i="3"/>
  <c r="O33" i="3"/>
  <c r="P33" i="3"/>
  <c r="Q33" i="3"/>
  <c r="K34" i="193"/>
  <c r="S33" i="3"/>
  <c r="R33" i="3"/>
  <c r="M34" i="3"/>
  <c r="O34" i="3"/>
  <c r="Q34" i="3"/>
  <c r="K26" i="194"/>
  <c r="S34" i="3"/>
  <c r="R34" i="3"/>
  <c r="M36" i="3"/>
  <c r="O36" i="3"/>
  <c r="Q36" i="3"/>
  <c r="K22" i="196"/>
  <c r="S36" i="3"/>
  <c r="R36" i="3"/>
  <c r="B35" i="3"/>
  <c r="D35" i="3"/>
  <c r="I35" i="3"/>
  <c r="K10" i="195"/>
  <c r="K35" i="3"/>
  <c r="J35" i="3"/>
  <c r="M13" i="3"/>
  <c r="Q13" i="3"/>
  <c r="V13" i="3"/>
  <c r="W13" i="3"/>
  <c r="X13" i="3"/>
  <c r="T13" i="3"/>
  <c r="Y13" i="3"/>
  <c r="K21" i="148"/>
  <c r="K28" i="148"/>
  <c r="K36" i="148"/>
  <c r="K38" i="148"/>
  <c r="AA13" i="3"/>
  <c r="Z13" i="3"/>
  <c r="M15" i="3"/>
  <c r="N15" i="3"/>
  <c r="O15" i="3"/>
  <c r="P15" i="3"/>
  <c r="Q15" i="3"/>
  <c r="V15" i="3"/>
  <c r="W15" i="3"/>
  <c r="X15" i="3"/>
  <c r="T15" i="3"/>
  <c r="Y15" i="3"/>
  <c r="K64" i="149"/>
  <c r="K35" i="149"/>
  <c r="K41" i="149"/>
  <c r="K66" i="149"/>
  <c r="AA15" i="3"/>
  <c r="Z15" i="3"/>
  <c r="M16" i="3"/>
  <c r="O16" i="3"/>
  <c r="Q16" i="3"/>
  <c r="W16" i="3"/>
  <c r="X16" i="3"/>
  <c r="Y16" i="3"/>
  <c r="K25" i="156"/>
  <c r="K19" i="156"/>
  <c r="K27" i="156"/>
  <c r="AA16" i="3"/>
  <c r="Z16" i="3"/>
  <c r="M17" i="3"/>
  <c r="N17" i="3"/>
  <c r="O17" i="3"/>
  <c r="Q17" i="3"/>
  <c r="U17" i="3"/>
  <c r="V17" i="3"/>
  <c r="W17" i="3"/>
  <c r="X17" i="3"/>
  <c r="Y17" i="3"/>
  <c r="K54" i="157"/>
  <c r="K21" i="157"/>
  <c r="K25" i="157"/>
  <c r="K56" i="157"/>
  <c r="AA17" i="3"/>
  <c r="Z17" i="3"/>
  <c r="M18" i="3"/>
  <c r="Q18" i="3"/>
  <c r="W18" i="3"/>
  <c r="X18" i="3"/>
  <c r="T18" i="3"/>
  <c r="Y18" i="3"/>
  <c r="K20" i="158"/>
  <c r="K25" i="158"/>
  <c r="K31" i="158"/>
  <c r="K33" i="158"/>
  <c r="AA18" i="3"/>
  <c r="Z18" i="3"/>
  <c r="M19" i="3"/>
  <c r="Q19" i="3"/>
  <c r="U19" i="3"/>
  <c r="W19" i="3"/>
  <c r="X19" i="3"/>
  <c r="T19" i="3"/>
  <c r="Y19" i="3"/>
  <c r="K22" i="159"/>
  <c r="K27" i="159"/>
  <c r="K33" i="159"/>
  <c r="K35" i="159"/>
  <c r="AA19" i="3"/>
  <c r="Z19" i="3"/>
  <c r="M20" i="3"/>
  <c r="P20" i="3"/>
  <c r="Q20" i="3"/>
  <c r="W20" i="3"/>
  <c r="X20" i="3"/>
  <c r="T20" i="3"/>
  <c r="Y20" i="3"/>
  <c r="K23" i="160"/>
  <c r="K28" i="160"/>
  <c r="K37" i="160"/>
  <c r="K39" i="160"/>
  <c r="AA20" i="3"/>
  <c r="Z20" i="3"/>
  <c r="M21" i="3"/>
  <c r="O21" i="3"/>
  <c r="P21" i="3"/>
  <c r="Q21" i="3"/>
  <c r="V21" i="3"/>
  <c r="W21" i="3"/>
  <c r="X21" i="3"/>
  <c r="T21" i="3"/>
  <c r="Y21" i="3"/>
  <c r="K47" i="161"/>
  <c r="K24" i="161"/>
  <c r="K29" i="161"/>
  <c r="K49" i="161"/>
  <c r="AA21" i="3"/>
  <c r="Z21" i="3"/>
  <c r="M22" i="3"/>
  <c r="O22" i="3"/>
  <c r="P22" i="3"/>
  <c r="Q22" i="3"/>
  <c r="U22" i="3"/>
  <c r="V22" i="3"/>
  <c r="W22" i="3"/>
  <c r="X22" i="3"/>
  <c r="T22" i="3"/>
  <c r="Y22" i="3"/>
  <c r="K30" i="162"/>
  <c r="K37" i="162"/>
  <c r="K46" i="162"/>
  <c r="K48" i="162"/>
  <c r="AA22" i="3"/>
  <c r="Z22" i="3"/>
  <c r="M23" i="3"/>
  <c r="Q23" i="3"/>
  <c r="W23" i="3"/>
  <c r="X23" i="3"/>
  <c r="T23" i="3"/>
  <c r="Y23" i="3"/>
  <c r="K29" i="183"/>
  <c r="K23" i="183"/>
  <c r="K18" i="183"/>
  <c r="K31" i="183"/>
  <c r="AA23" i="3"/>
  <c r="Z23" i="3"/>
  <c r="M24" i="3"/>
  <c r="Q24" i="3"/>
  <c r="U24" i="3"/>
  <c r="V24" i="3"/>
  <c r="X24" i="3"/>
  <c r="T24" i="3"/>
  <c r="Y24" i="3"/>
  <c r="K38" i="184"/>
  <c r="K21" i="184"/>
  <c r="K40" i="184"/>
  <c r="AA24" i="3"/>
  <c r="Z24" i="3"/>
  <c r="M25" i="3"/>
  <c r="Q25" i="3"/>
  <c r="V25" i="3"/>
  <c r="X25" i="3"/>
  <c r="Y25" i="3"/>
  <c r="K31" i="185"/>
  <c r="K21" i="185"/>
  <c r="K33" i="185"/>
  <c r="AA25" i="3"/>
  <c r="Z25" i="3"/>
  <c r="M26" i="3"/>
  <c r="Q26" i="3"/>
  <c r="W26" i="3"/>
  <c r="X26" i="3"/>
  <c r="Y26" i="3"/>
  <c r="K31" i="186"/>
  <c r="K17" i="186"/>
  <c r="K33" i="186"/>
  <c r="AA26" i="3"/>
  <c r="Z26" i="3"/>
  <c r="M27" i="3"/>
  <c r="Q27" i="3"/>
  <c r="W27" i="3"/>
  <c r="X27" i="3"/>
  <c r="Y27" i="3"/>
  <c r="K16" i="187"/>
  <c r="K29" i="187"/>
  <c r="K31" i="187"/>
  <c r="AA27" i="3"/>
  <c r="Z27" i="3"/>
  <c r="M28" i="3"/>
  <c r="O28" i="3"/>
  <c r="Q28" i="3"/>
  <c r="U28" i="3"/>
  <c r="V28" i="3"/>
  <c r="W28" i="3"/>
  <c r="X28" i="3"/>
  <c r="Y28" i="3"/>
  <c r="K33" i="188"/>
  <c r="K24" i="188"/>
  <c r="K35" i="188"/>
  <c r="AA28" i="3"/>
  <c r="Z28" i="3"/>
  <c r="M29" i="3"/>
  <c r="Q29" i="3"/>
  <c r="U29" i="3"/>
  <c r="W29" i="3"/>
  <c r="X29" i="3"/>
  <c r="Y29" i="3"/>
  <c r="K29" i="189"/>
  <c r="K20" i="189"/>
  <c r="K31" i="189"/>
  <c r="AA29" i="3"/>
  <c r="Z29" i="3"/>
  <c r="M30" i="3"/>
  <c r="P30" i="3"/>
  <c r="Q30" i="3"/>
  <c r="U30" i="3"/>
  <c r="V30" i="3"/>
  <c r="W30" i="3"/>
  <c r="X30" i="3"/>
  <c r="T30" i="3"/>
  <c r="Y30" i="3"/>
  <c r="K32" i="190"/>
  <c r="K19" i="190"/>
  <c r="K24" i="190"/>
  <c r="K34" i="190"/>
  <c r="AA30" i="3"/>
  <c r="Z30" i="3"/>
  <c r="M32" i="3"/>
  <c r="P32" i="3"/>
  <c r="Q32" i="3"/>
  <c r="V32" i="3"/>
  <c r="W32" i="3"/>
  <c r="X32" i="3"/>
  <c r="T32" i="3"/>
  <c r="Y32" i="3"/>
  <c r="K39" i="191"/>
  <c r="K21" i="191"/>
  <c r="K26" i="191"/>
  <c r="K41" i="191"/>
  <c r="AA32" i="3"/>
  <c r="Z32" i="3"/>
  <c r="U33" i="3"/>
  <c r="V33" i="3"/>
  <c r="W33" i="3"/>
  <c r="X33" i="3"/>
  <c r="Y33" i="3"/>
  <c r="K51" i="193"/>
  <c r="K53" i="193"/>
  <c r="AA33" i="3"/>
  <c r="Z33" i="3"/>
  <c r="U34" i="3"/>
  <c r="W34" i="3"/>
  <c r="X34" i="3"/>
  <c r="Y34" i="3"/>
  <c r="K42" i="194"/>
  <c r="K44" i="194"/>
  <c r="AA34" i="3"/>
  <c r="Z34" i="3"/>
  <c r="U36" i="3"/>
  <c r="W36" i="3"/>
  <c r="X36" i="3"/>
  <c r="Y36" i="3"/>
  <c r="K31" i="196"/>
  <c r="K33" i="196"/>
  <c r="AA36" i="3"/>
  <c r="Z36" i="3"/>
  <c r="M37" i="3"/>
  <c r="N37" i="3"/>
  <c r="O37" i="3"/>
  <c r="Q37" i="3"/>
  <c r="U37" i="3"/>
  <c r="V37" i="3"/>
  <c r="W37" i="3"/>
  <c r="X37" i="3"/>
  <c r="Y37" i="3"/>
  <c r="K59" i="163"/>
  <c r="K33" i="163"/>
  <c r="K61" i="163"/>
  <c r="AA37" i="3"/>
  <c r="Z37" i="3"/>
  <c r="M38" i="3"/>
  <c r="Q38" i="3"/>
  <c r="W38" i="3"/>
  <c r="X38" i="3"/>
  <c r="Y38" i="3"/>
  <c r="K25" i="164"/>
  <c r="K19" i="164"/>
  <c r="K27" i="164"/>
  <c r="AA38" i="3"/>
  <c r="Z38" i="3"/>
  <c r="M39" i="3"/>
  <c r="O39" i="3"/>
  <c r="P39" i="3"/>
  <c r="Q39" i="3"/>
  <c r="W39" i="3"/>
  <c r="X39" i="3"/>
  <c r="T39" i="3"/>
  <c r="Y39" i="3"/>
  <c r="K30" i="165"/>
  <c r="K20" i="165"/>
  <c r="K32" i="165"/>
  <c r="AA39" i="3"/>
  <c r="Z39" i="3"/>
  <c r="M40" i="3"/>
  <c r="P40" i="3"/>
  <c r="Q40" i="3"/>
  <c r="U40" i="3"/>
  <c r="W40" i="3"/>
  <c r="X40" i="3"/>
  <c r="Y40" i="3"/>
  <c r="K30" i="166"/>
  <c r="K22" i="166"/>
  <c r="K32" i="166"/>
  <c r="AA40" i="3"/>
  <c r="Z40" i="3"/>
  <c r="M41" i="3"/>
  <c r="O41" i="3"/>
  <c r="P41" i="3"/>
  <c r="Q41" i="3"/>
  <c r="U41" i="3"/>
  <c r="W41" i="3"/>
  <c r="X41" i="3"/>
  <c r="T41" i="3"/>
  <c r="Y41" i="3"/>
  <c r="K46" i="167"/>
  <c r="K32" i="167"/>
  <c r="K37" i="167"/>
  <c r="K48" i="167"/>
  <c r="AA41" i="3"/>
  <c r="Z41" i="3"/>
  <c r="M42" i="3"/>
  <c r="N42" i="3"/>
  <c r="P42" i="3"/>
  <c r="Q42" i="3"/>
  <c r="U42" i="3"/>
  <c r="W42" i="3"/>
  <c r="X42" i="3"/>
  <c r="Y42" i="3"/>
  <c r="K40" i="168"/>
  <c r="K28" i="168"/>
  <c r="K42" i="168"/>
  <c r="AA42" i="3"/>
  <c r="Z42" i="3"/>
  <c r="M43" i="3"/>
  <c r="O43" i="3"/>
  <c r="P43" i="3"/>
  <c r="Q43" i="3"/>
  <c r="U43" i="3"/>
  <c r="W43" i="3"/>
  <c r="X43" i="3"/>
  <c r="T43" i="3"/>
  <c r="Y43" i="3"/>
  <c r="K37" i="169"/>
  <c r="K25" i="169"/>
  <c r="K39" i="169"/>
  <c r="AA43" i="3"/>
  <c r="Z43" i="3"/>
  <c r="Q44" i="3"/>
  <c r="X44" i="3"/>
  <c r="Y44" i="3"/>
  <c r="Z44" i="3"/>
  <c r="M45" i="3"/>
  <c r="Q45" i="3"/>
  <c r="U45" i="3"/>
  <c r="W45" i="3"/>
  <c r="X45" i="3"/>
  <c r="Y45" i="3"/>
  <c r="K34" i="170"/>
  <c r="K20" i="170"/>
  <c r="K36" i="170"/>
  <c r="AA45" i="3"/>
  <c r="Z45" i="3"/>
  <c r="M46" i="3"/>
  <c r="Q46" i="3"/>
  <c r="U46" i="3"/>
  <c r="W46" i="3"/>
  <c r="X46" i="3"/>
  <c r="T46" i="3"/>
  <c r="Y46" i="3"/>
  <c r="K42" i="171"/>
  <c r="K21" i="171"/>
  <c r="K44" i="171"/>
  <c r="AA46" i="3"/>
  <c r="Z46" i="3"/>
  <c r="M47" i="3"/>
  <c r="P47" i="3"/>
  <c r="Q47" i="3"/>
  <c r="W47" i="3"/>
  <c r="X47" i="3"/>
  <c r="T47" i="3"/>
  <c r="Y47" i="3"/>
  <c r="K25" i="172"/>
  <c r="K16" i="172"/>
  <c r="K27" i="172"/>
  <c r="AA47" i="3"/>
  <c r="Z47" i="3"/>
  <c r="M48" i="3"/>
  <c r="Q48" i="3"/>
  <c r="W48" i="3"/>
  <c r="X48" i="3"/>
  <c r="T48" i="3"/>
  <c r="Y48" i="3"/>
  <c r="K16" i="173"/>
  <c r="K25" i="173"/>
  <c r="K27" i="173"/>
  <c r="AA48" i="3"/>
  <c r="Z48" i="3"/>
  <c r="M49" i="3"/>
  <c r="O49" i="3"/>
  <c r="P49" i="3"/>
  <c r="Q49" i="3"/>
  <c r="U49" i="3"/>
  <c r="X49" i="3"/>
  <c r="T49" i="3"/>
  <c r="Y49" i="3"/>
  <c r="K59" i="174"/>
  <c r="K29" i="174"/>
  <c r="K61" i="174"/>
  <c r="AA49" i="3"/>
  <c r="Z49" i="3"/>
  <c r="M50" i="3"/>
  <c r="O50" i="3"/>
  <c r="P50" i="3"/>
  <c r="Q50" i="3"/>
  <c r="U50" i="3"/>
  <c r="V50" i="3"/>
  <c r="W50" i="3"/>
  <c r="X50" i="3"/>
  <c r="T50" i="3"/>
  <c r="Y50" i="3"/>
  <c r="K45" i="175"/>
  <c r="K30" i="175"/>
  <c r="K36" i="175"/>
  <c r="K47" i="175"/>
  <c r="AA50" i="3"/>
  <c r="Z50" i="3"/>
  <c r="Q51" i="3"/>
  <c r="X51" i="3"/>
  <c r="Y51" i="3"/>
  <c r="Z51" i="3"/>
  <c r="M52" i="3"/>
  <c r="O52" i="3"/>
  <c r="Q52" i="3"/>
  <c r="U52" i="3"/>
  <c r="W52" i="3"/>
  <c r="X52" i="3"/>
  <c r="Y52" i="3"/>
  <c r="K47" i="176"/>
  <c r="K24" i="176"/>
  <c r="K49" i="176"/>
  <c r="AA52" i="3"/>
  <c r="Z52" i="3"/>
  <c r="K38" i="177"/>
  <c r="K25" i="177"/>
  <c r="K30" i="177"/>
  <c r="K40" i="177"/>
  <c r="Y53" i="3"/>
  <c r="AA53" i="3"/>
  <c r="Z53" i="3"/>
  <c r="M54" i="3"/>
  <c r="O54" i="3"/>
  <c r="Q54" i="3"/>
  <c r="U54" i="3"/>
  <c r="V54" i="3"/>
  <c r="W54" i="3"/>
  <c r="X54" i="3"/>
  <c r="Y54" i="3"/>
  <c r="K52" i="178"/>
  <c r="K28" i="178"/>
  <c r="K54" i="178"/>
  <c r="AA54" i="3"/>
  <c r="Z54" i="3"/>
  <c r="M55" i="3"/>
  <c r="O55" i="3"/>
  <c r="P55" i="3"/>
  <c r="Q55" i="3"/>
  <c r="W55" i="3"/>
  <c r="X55" i="3"/>
  <c r="Y55" i="3"/>
  <c r="K23" i="179"/>
  <c r="K50" i="179"/>
  <c r="K52" i="179"/>
  <c r="AA55" i="3"/>
  <c r="Z55" i="3"/>
  <c r="Q56" i="3"/>
  <c r="X56" i="3"/>
  <c r="Y56" i="3"/>
  <c r="Z56" i="3"/>
  <c r="M57" i="3"/>
  <c r="N57" i="3"/>
  <c r="P57" i="3"/>
  <c r="Q57" i="3"/>
  <c r="U57" i="3"/>
  <c r="W57" i="3"/>
  <c r="X57" i="3"/>
  <c r="T57" i="3"/>
  <c r="Y57" i="3"/>
  <c r="K27" i="180"/>
  <c r="K33" i="180"/>
  <c r="K42" i="180"/>
  <c r="K44" i="180"/>
  <c r="AA57" i="3"/>
  <c r="Z57" i="3"/>
  <c r="M58" i="3"/>
  <c r="O58" i="3"/>
  <c r="Q58" i="3"/>
  <c r="U58" i="3"/>
  <c r="V58" i="3"/>
  <c r="W58" i="3"/>
  <c r="X58" i="3"/>
  <c r="Y58" i="3"/>
  <c r="K33" i="181"/>
  <c r="K20" i="181"/>
  <c r="K35" i="181"/>
  <c r="AA58" i="3"/>
  <c r="Z58" i="3"/>
  <c r="M59" i="3"/>
  <c r="O59" i="3"/>
  <c r="Q59" i="3"/>
  <c r="W59" i="3"/>
  <c r="X59" i="3"/>
  <c r="Y59" i="3"/>
  <c r="J32" i="155"/>
  <c r="J21" i="155"/>
  <c r="J34" i="155"/>
  <c r="AA59" i="3"/>
  <c r="Z59" i="3"/>
  <c r="M60" i="3"/>
  <c r="O60" i="3"/>
  <c r="P60" i="3"/>
  <c r="Q60" i="3"/>
  <c r="U60" i="3"/>
  <c r="V60" i="3"/>
  <c r="W60" i="3"/>
  <c r="X60" i="3"/>
  <c r="Y60" i="3"/>
  <c r="K66" i="182"/>
  <c r="K36" i="182"/>
  <c r="K68" i="182"/>
  <c r="AA60" i="3"/>
  <c r="Z60" i="3"/>
  <c r="Q61" i="3"/>
  <c r="X61" i="3"/>
  <c r="Y61" i="3"/>
  <c r="Z61" i="3"/>
  <c r="M62" i="3"/>
  <c r="O62" i="3"/>
  <c r="P62" i="3"/>
  <c r="Q62" i="3"/>
  <c r="V62" i="3"/>
  <c r="W62" i="3"/>
  <c r="X62" i="3"/>
  <c r="T62" i="3"/>
  <c r="Y62" i="3"/>
  <c r="K39" i="154"/>
  <c r="K28" i="154"/>
  <c r="K41" i="154"/>
  <c r="AA62" i="3"/>
  <c r="Z62" i="3"/>
  <c r="M63" i="3"/>
  <c r="Q63" i="3"/>
  <c r="U63" i="3"/>
  <c r="W63" i="3"/>
  <c r="X63" i="3"/>
  <c r="Y63" i="3"/>
  <c r="K21" i="153"/>
  <c r="K37" i="153"/>
  <c r="K39" i="153"/>
  <c r="AA63" i="3"/>
  <c r="Z63" i="3"/>
  <c r="M64" i="3"/>
  <c r="O64" i="3"/>
  <c r="P64" i="3"/>
  <c r="Q64" i="3"/>
  <c r="W64" i="3"/>
  <c r="X64" i="3"/>
  <c r="Y64" i="3"/>
  <c r="K35" i="151"/>
  <c r="K24" i="151"/>
  <c r="K28" i="151"/>
  <c r="K37" i="151"/>
  <c r="AA64" i="3"/>
  <c r="Z64" i="3"/>
  <c r="M65" i="3"/>
  <c r="N65" i="3"/>
  <c r="O65" i="3"/>
  <c r="P65" i="3"/>
  <c r="Q65" i="3"/>
  <c r="U65" i="3"/>
  <c r="V65" i="3"/>
  <c r="W65" i="3"/>
  <c r="X65" i="3"/>
  <c r="T65" i="3"/>
  <c r="Y65" i="3"/>
  <c r="I21" i="152"/>
  <c r="I26" i="152"/>
  <c r="I34" i="152"/>
  <c r="I36" i="152"/>
  <c r="AA65" i="3"/>
  <c r="Z65" i="3"/>
  <c r="M66" i="3"/>
  <c r="Q66" i="3"/>
  <c r="U66" i="3"/>
  <c r="W66" i="3"/>
  <c r="X66" i="3"/>
  <c r="T66" i="3"/>
  <c r="Y66" i="3"/>
  <c r="L34" i="142"/>
  <c r="L25" i="142"/>
  <c r="L19" i="142"/>
  <c r="L36" i="142"/>
  <c r="AA66" i="3"/>
  <c r="Z66" i="3"/>
  <c r="M67" i="3"/>
  <c r="P67" i="3"/>
  <c r="Q67" i="3"/>
  <c r="U67" i="3"/>
  <c r="V67" i="3"/>
  <c r="W67" i="3"/>
  <c r="X67" i="3"/>
  <c r="T67" i="3"/>
  <c r="Y67" i="3"/>
  <c r="K17" i="143"/>
  <c r="K27" i="143"/>
  <c r="K29" i="143"/>
  <c r="AA67" i="3"/>
  <c r="Z67" i="3"/>
  <c r="Q68" i="3"/>
  <c r="X68" i="3"/>
  <c r="Y68" i="3"/>
  <c r="Z68" i="3"/>
  <c r="M69" i="3"/>
  <c r="Q69" i="3"/>
  <c r="V69" i="3"/>
  <c r="X69" i="3"/>
  <c r="Y69" i="3"/>
  <c r="I17" i="150"/>
  <c r="I32" i="150"/>
  <c r="I34" i="150"/>
  <c r="Z69" i="3"/>
  <c r="B36" i="3"/>
  <c r="C36" i="3"/>
  <c r="D36" i="3"/>
  <c r="G36" i="3"/>
  <c r="H36" i="3"/>
  <c r="I36" i="3"/>
  <c r="K14" i="196"/>
  <c r="K36" i="3"/>
  <c r="J36" i="3"/>
  <c r="B30" i="3"/>
  <c r="D30" i="3"/>
  <c r="I30" i="3"/>
  <c r="K11" i="190"/>
  <c r="K30" i="3"/>
  <c r="J30" i="3"/>
  <c r="B32" i="3"/>
  <c r="C32" i="3"/>
  <c r="D32" i="3"/>
  <c r="G32" i="3"/>
  <c r="I32" i="3"/>
  <c r="K12" i="191"/>
  <c r="K32" i="3"/>
  <c r="J32" i="3"/>
  <c r="B31" i="3"/>
  <c r="D31" i="3"/>
  <c r="F31" i="3"/>
  <c r="I31" i="3"/>
  <c r="K17" i="192"/>
  <c r="K31" i="3"/>
  <c r="J31" i="3"/>
  <c r="B33" i="3"/>
  <c r="C33" i="3"/>
  <c r="D33" i="3"/>
  <c r="G33" i="3"/>
  <c r="H33" i="3"/>
  <c r="I33" i="3"/>
  <c r="K19" i="193"/>
  <c r="K33" i="3"/>
  <c r="J33" i="3"/>
  <c r="B34" i="3"/>
  <c r="C34" i="3"/>
  <c r="D34" i="3"/>
  <c r="G34" i="3"/>
  <c r="H34" i="3"/>
  <c r="I34" i="3"/>
  <c r="K15" i="194"/>
  <c r="K34" i="3"/>
  <c r="J34" i="3"/>
  <c r="M42" i="194"/>
  <c r="M44" i="194"/>
  <c r="S33" i="194"/>
  <c r="M15" i="194"/>
  <c r="N39" i="193"/>
  <c r="N40" i="193"/>
  <c r="N41" i="193"/>
  <c r="N42" i="193"/>
  <c r="N43" i="193"/>
  <c r="N44" i="193"/>
  <c r="N45" i="193"/>
  <c r="N46" i="193"/>
  <c r="N47" i="193"/>
  <c r="N48" i="193"/>
  <c r="N49" i="193"/>
  <c r="S25" i="196"/>
  <c r="S26" i="196"/>
  <c r="S27" i="196"/>
  <c r="S28" i="196"/>
  <c r="S29" i="196"/>
  <c r="S31" i="196"/>
  <c r="S18" i="196"/>
  <c r="S19" i="196"/>
  <c r="S20" i="196"/>
  <c r="S22" i="196"/>
  <c r="S33" i="196"/>
  <c r="R31" i="196"/>
  <c r="R22" i="196"/>
  <c r="R33" i="196"/>
  <c r="Q31" i="196"/>
  <c r="Q22" i="196"/>
  <c r="Q33" i="196"/>
  <c r="P31" i="196"/>
  <c r="P22" i="196"/>
  <c r="P33" i="196"/>
  <c r="O31" i="196"/>
  <c r="O22" i="196"/>
  <c r="O33" i="196"/>
  <c r="N31" i="196"/>
  <c r="N22" i="196"/>
  <c r="N33" i="196"/>
  <c r="M31" i="196"/>
  <c r="M22" i="196"/>
  <c r="M33" i="196"/>
  <c r="L31" i="196"/>
  <c r="L22" i="196"/>
  <c r="L33" i="196"/>
  <c r="S6" i="196"/>
  <c r="S7" i="196"/>
  <c r="S8" i="196"/>
  <c r="S9" i="196"/>
  <c r="S10" i="196"/>
  <c r="S11" i="196"/>
  <c r="S12" i="196"/>
  <c r="S14" i="196"/>
  <c r="R14" i="196"/>
  <c r="Q14" i="196"/>
  <c r="P14" i="196"/>
  <c r="O14" i="196"/>
  <c r="N14" i="196"/>
  <c r="M14" i="196"/>
  <c r="L14" i="196"/>
  <c r="R21" i="195"/>
  <c r="R23" i="195"/>
  <c r="R24" i="195"/>
  <c r="R25" i="195"/>
  <c r="R26" i="195"/>
  <c r="R27" i="195"/>
  <c r="R28" i="195"/>
  <c r="R30" i="195"/>
  <c r="R14" i="195"/>
  <c r="R15" i="195"/>
  <c r="R16" i="195"/>
  <c r="R18" i="195"/>
  <c r="R32" i="195"/>
  <c r="Q30" i="195"/>
  <c r="Q18" i="195"/>
  <c r="Q32" i="195"/>
  <c r="P30" i="195"/>
  <c r="P18" i="195"/>
  <c r="P32" i="195"/>
  <c r="O30" i="195"/>
  <c r="O18" i="195"/>
  <c r="O32" i="195"/>
  <c r="N30" i="195"/>
  <c r="N18" i="195"/>
  <c r="N32" i="195"/>
  <c r="M30" i="195"/>
  <c r="M18" i="195"/>
  <c r="M32" i="195"/>
  <c r="L30" i="195"/>
  <c r="L18" i="195"/>
  <c r="L32" i="195"/>
  <c r="R6" i="195"/>
  <c r="R7" i="195"/>
  <c r="R8" i="195"/>
  <c r="R10" i="195"/>
  <c r="Q10" i="195"/>
  <c r="P10" i="195"/>
  <c r="O10" i="195"/>
  <c r="N10" i="195"/>
  <c r="M10" i="195"/>
  <c r="L10" i="195"/>
  <c r="S19" i="194"/>
  <c r="S20" i="194"/>
  <c r="S21" i="194"/>
  <c r="S22" i="194"/>
  <c r="S23" i="194"/>
  <c r="S24" i="194"/>
  <c r="S26" i="194"/>
  <c r="S29" i="194"/>
  <c r="S31" i="194"/>
  <c r="S32" i="194"/>
  <c r="S34" i="194"/>
  <c r="S36" i="194"/>
  <c r="S37" i="194"/>
  <c r="S38" i="194"/>
  <c r="S39" i="194"/>
  <c r="S40" i="194"/>
  <c r="S42" i="194"/>
  <c r="S44" i="194"/>
  <c r="R26" i="194"/>
  <c r="R42" i="194"/>
  <c r="R44" i="194"/>
  <c r="Q26" i="194"/>
  <c r="Q42" i="194"/>
  <c r="Q44" i="194"/>
  <c r="P26" i="194"/>
  <c r="P42" i="194"/>
  <c r="P44" i="194"/>
  <c r="O26" i="194"/>
  <c r="O42" i="194"/>
  <c r="O44" i="194"/>
  <c r="N26" i="194"/>
  <c r="N42" i="194"/>
  <c r="N44" i="194"/>
  <c r="L26" i="194"/>
  <c r="L42" i="194"/>
  <c r="L44" i="194"/>
  <c r="S7" i="194"/>
  <c r="S8" i="194"/>
  <c r="S9" i="194"/>
  <c r="S10" i="194"/>
  <c r="S11" i="194"/>
  <c r="S12" i="194"/>
  <c r="S13" i="194"/>
  <c r="S15" i="194"/>
  <c r="R15" i="194"/>
  <c r="Q15" i="194"/>
  <c r="P15" i="194"/>
  <c r="O15" i="194"/>
  <c r="N15" i="194"/>
  <c r="L15" i="194"/>
  <c r="N23" i="193"/>
  <c r="N24" i="193"/>
  <c r="N25" i="193"/>
  <c r="N26" i="193"/>
  <c r="N27" i="193"/>
  <c r="N28" i="193"/>
  <c r="N29" i="193"/>
  <c r="N30" i="193"/>
  <c r="N31" i="193"/>
  <c r="N32" i="193"/>
  <c r="N34" i="193"/>
  <c r="N38" i="193"/>
  <c r="N51" i="193"/>
  <c r="N53" i="193"/>
  <c r="M34" i="193"/>
  <c r="M51" i="193"/>
  <c r="M53" i="193"/>
  <c r="L34" i="193"/>
  <c r="L51" i="193"/>
  <c r="L53" i="193"/>
  <c r="N6" i="193"/>
  <c r="N7" i="193"/>
  <c r="N8" i="193"/>
  <c r="N9" i="193"/>
  <c r="N10" i="193"/>
  <c r="N11" i="193"/>
  <c r="N12" i="193"/>
  <c r="N13" i="193"/>
  <c r="N14" i="193"/>
  <c r="N15" i="193"/>
  <c r="N16" i="193"/>
  <c r="N17" i="193"/>
  <c r="N19" i="193"/>
  <c r="M19" i="193"/>
  <c r="L19" i="193"/>
  <c r="R34" i="192"/>
  <c r="R33" i="192"/>
  <c r="R35" i="192"/>
  <c r="R36" i="192"/>
  <c r="R37" i="192"/>
  <c r="R39" i="192"/>
  <c r="R21" i="192"/>
  <c r="R22" i="192"/>
  <c r="R23" i="192"/>
  <c r="R24" i="192"/>
  <c r="R25" i="192"/>
  <c r="R26" i="192"/>
  <c r="R29" i="192"/>
  <c r="R30" i="192"/>
  <c r="R41" i="192"/>
  <c r="O26" i="192"/>
  <c r="O30" i="192"/>
  <c r="O39" i="192"/>
  <c r="O41" i="192"/>
  <c r="P26" i="192"/>
  <c r="P39" i="192"/>
  <c r="P30" i="192"/>
  <c r="P41" i="192"/>
  <c r="O17" i="192"/>
  <c r="P17" i="192"/>
  <c r="L12" i="170"/>
  <c r="Q26" i="192"/>
  <c r="Q30" i="192"/>
  <c r="Q39" i="192"/>
  <c r="Q41" i="192"/>
  <c r="N26" i="192"/>
  <c r="N30" i="192"/>
  <c r="N39" i="192"/>
  <c r="N41" i="192"/>
  <c r="M26" i="192"/>
  <c r="M30" i="192"/>
  <c r="M39" i="192"/>
  <c r="M41" i="192"/>
  <c r="L26" i="192"/>
  <c r="L30" i="192"/>
  <c r="L39" i="192"/>
  <c r="L41" i="192"/>
  <c r="R7" i="192"/>
  <c r="R8" i="192"/>
  <c r="R9" i="192"/>
  <c r="R10" i="192"/>
  <c r="R11" i="192"/>
  <c r="R12" i="192"/>
  <c r="R13" i="192"/>
  <c r="R14" i="192"/>
  <c r="R15" i="192"/>
  <c r="R16" i="192"/>
  <c r="R17" i="192"/>
  <c r="Q17" i="192"/>
  <c r="N17" i="192"/>
  <c r="M17" i="192"/>
  <c r="L17" i="192"/>
  <c r="S32" i="3"/>
  <c r="S30" i="3"/>
  <c r="S29" i="3"/>
  <c r="K12" i="189"/>
  <c r="K29" i="3"/>
  <c r="D29" i="3"/>
  <c r="B29" i="3"/>
  <c r="S28" i="3"/>
  <c r="K12" i="188"/>
  <c r="K28" i="3"/>
  <c r="G28" i="3"/>
  <c r="D28" i="3"/>
  <c r="B28" i="3"/>
  <c r="S27" i="3"/>
  <c r="K9" i="187"/>
  <c r="K27" i="3"/>
  <c r="D27" i="3"/>
  <c r="B27" i="3"/>
  <c r="S26" i="3"/>
  <c r="K10" i="186"/>
  <c r="K26" i="3"/>
  <c r="D26" i="3"/>
  <c r="B26" i="3"/>
  <c r="Q19" i="191"/>
  <c r="Q20" i="191"/>
  <c r="Q16" i="191"/>
  <c r="Q17" i="191"/>
  <c r="Q18" i="191"/>
  <c r="Q21" i="191"/>
  <c r="L21" i="191"/>
  <c r="M21" i="191"/>
  <c r="N21" i="191"/>
  <c r="O21" i="191"/>
  <c r="P21" i="191"/>
  <c r="Q29" i="191"/>
  <c r="Q30" i="191"/>
  <c r="Q31" i="191"/>
  <c r="Q32" i="191"/>
  <c r="Q33" i="191"/>
  <c r="Q34" i="191"/>
  <c r="Q35" i="191"/>
  <c r="Q36" i="191"/>
  <c r="Q37" i="191"/>
  <c r="Q39" i="191"/>
  <c r="Q24" i="191"/>
  <c r="Q26" i="191"/>
  <c r="Q41" i="191"/>
  <c r="P39" i="191"/>
  <c r="P26" i="191"/>
  <c r="P41" i="191"/>
  <c r="O39" i="191"/>
  <c r="O26" i="191"/>
  <c r="O41" i="191"/>
  <c r="N39" i="191"/>
  <c r="N26" i="191"/>
  <c r="N41" i="191"/>
  <c r="M39" i="191"/>
  <c r="M26" i="191"/>
  <c r="M41" i="191"/>
  <c r="L39" i="191"/>
  <c r="L26" i="191"/>
  <c r="L41" i="191"/>
  <c r="Q6" i="191"/>
  <c r="Q7" i="191"/>
  <c r="Q8" i="191"/>
  <c r="Q9" i="191"/>
  <c r="Q10" i="191"/>
  <c r="Q12" i="191"/>
  <c r="P12" i="191"/>
  <c r="O12" i="191"/>
  <c r="N12" i="191"/>
  <c r="M12" i="191"/>
  <c r="L12" i="191"/>
  <c r="Q32" i="190"/>
  <c r="Q24" i="190"/>
  <c r="Q19" i="190"/>
  <c r="Q11" i="190"/>
  <c r="S27" i="190"/>
  <c r="S28" i="190"/>
  <c r="S29" i="190"/>
  <c r="S30" i="190"/>
  <c r="S32" i="190"/>
  <c r="S15" i="190"/>
  <c r="S16" i="190"/>
  <c r="S17" i="190"/>
  <c r="S19" i="190"/>
  <c r="S22" i="190"/>
  <c r="S24" i="190"/>
  <c r="S34" i="190"/>
  <c r="R32" i="190"/>
  <c r="R19" i="190"/>
  <c r="R24" i="190"/>
  <c r="R34" i="190"/>
  <c r="P32" i="190"/>
  <c r="P19" i="190"/>
  <c r="P24" i="190"/>
  <c r="P34" i="190"/>
  <c r="O32" i="190"/>
  <c r="O19" i="190"/>
  <c r="O24" i="190"/>
  <c r="O34" i="190"/>
  <c r="N32" i="190"/>
  <c r="N19" i="190"/>
  <c r="N24" i="190"/>
  <c r="N34" i="190"/>
  <c r="M32" i="190"/>
  <c r="M19" i="190"/>
  <c r="M24" i="190"/>
  <c r="M34" i="190"/>
  <c r="L32" i="190"/>
  <c r="L19" i="190"/>
  <c r="L24" i="190"/>
  <c r="L34" i="190"/>
  <c r="S6" i="190"/>
  <c r="S7" i="190"/>
  <c r="S8" i="190"/>
  <c r="S9" i="190"/>
  <c r="S11" i="190"/>
  <c r="R11" i="190"/>
  <c r="P11" i="190"/>
  <c r="O11" i="190"/>
  <c r="N11" i="190"/>
  <c r="M11" i="190"/>
  <c r="L11" i="190"/>
  <c r="L29" i="189"/>
  <c r="M29" i="189"/>
  <c r="N29" i="189"/>
  <c r="O29" i="189"/>
  <c r="P29" i="189"/>
  <c r="Q29" i="189"/>
  <c r="R29" i="189"/>
  <c r="S29" i="189"/>
  <c r="T24" i="189"/>
  <c r="T25" i="189"/>
  <c r="T26" i="189"/>
  <c r="T27" i="189"/>
  <c r="T28" i="189"/>
  <c r="T29" i="189"/>
  <c r="L12" i="189"/>
  <c r="M12" i="189"/>
  <c r="N12" i="189"/>
  <c r="O12" i="189"/>
  <c r="P12" i="189"/>
  <c r="Q12" i="189"/>
  <c r="R12" i="189"/>
  <c r="S12" i="189"/>
  <c r="T6" i="189"/>
  <c r="T7" i="189"/>
  <c r="T8" i="189"/>
  <c r="T9" i="189"/>
  <c r="T10" i="189"/>
  <c r="T11" i="189"/>
  <c r="T12" i="189"/>
  <c r="T16" i="189"/>
  <c r="T17" i="189"/>
  <c r="T18" i="189"/>
  <c r="T19" i="189"/>
  <c r="T20" i="189"/>
  <c r="T31" i="189"/>
  <c r="S20" i="189"/>
  <c r="S31" i="189"/>
  <c r="R20" i="189"/>
  <c r="R31" i="189"/>
  <c r="Q20" i="189"/>
  <c r="Q31" i="189"/>
  <c r="P20" i="189"/>
  <c r="P31" i="189"/>
  <c r="O20" i="189"/>
  <c r="O31" i="189"/>
  <c r="N20" i="189"/>
  <c r="N31" i="189"/>
  <c r="M20" i="189"/>
  <c r="M31" i="189"/>
  <c r="L20" i="189"/>
  <c r="L31" i="189"/>
  <c r="S7" i="188"/>
  <c r="S8" i="188"/>
  <c r="S9" i="188"/>
  <c r="S10" i="188"/>
  <c r="S11" i="188"/>
  <c r="S20" i="188"/>
  <c r="S21" i="188"/>
  <c r="S22" i="188"/>
  <c r="S23" i="188"/>
  <c r="S28" i="188"/>
  <c r="L24" i="188"/>
  <c r="M24" i="188"/>
  <c r="N24" i="188"/>
  <c r="O24" i="188"/>
  <c r="P24" i="188"/>
  <c r="Q24" i="188"/>
  <c r="R24" i="188"/>
  <c r="S16" i="188"/>
  <c r="S17" i="188"/>
  <c r="S18" i="188"/>
  <c r="S19" i="188"/>
  <c r="S24" i="188"/>
  <c r="S29" i="188"/>
  <c r="S30" i="188"/>
  <c r="S31" i="188"/>
  <c r="S32" i="188"/>
  <c r="S33" i="188"/>
  <c r="S35" i="188"/>
  <c r="R33" i="188"/>
  <c r="R35" i="188"/>
  <c r="Q33" i="188"/>
  <c r="Q35" i="188"/>
  <c r="P33" i="188"/>
  <c r="P35" i="188"/>
  <c r="O33" i="188"/>
  <c r="O35" i="188"/>
  <c r="N33" i="188"/>
  <c r="N35" i="188"/>
  <c r="M33" i="188"/>
  <c r="M35" i="188"/>
  <c r="L33" i="188"/>
  <c r="L35" i="188"/>
  <c r="S6" i="188"/>
  <c r="S12" i="188"/>
  <c r="R12" i="188"/>
  <c r="Q12" i="188"/>
  <c r="P12" i="188"/>
  <c r="O12" i="188"/>
  <c r="N12" i="188"/>
  <c r="M12" i="188"/>
  <c r="L12" i="188"/>
  <c r="Q7" i="187"/>
  <c r="L16" i="187"/>
  <c r="L29" i="187"/>
  <c r="L31" i="187"/>
  <c r="M29" i="187"/>
  <c r="M16" i="187"/>
  <c r="M31" i="187"/>
  <c r="N16" i="187"/>
  <c r="N29" i="187"/>
  <c r="N31" i="187"/>
  <c r="O16" i="187"/>
  <c r="O29" i="187"/>
  <c r="O31" i="187"/>
  <c r="P29" i="187"/>
  <c r="P16" i="187"/>
  <c r="P31" i="187"/>
  <c r="Q13" i="187"/>
  <c r="Q14" i="187"/>
  <c r="Q15" i="187"/>
  <c r="Q16" i="187"/>
  <c r="Q20" i="187"/>
  <c r="Q21" i="187"/>
  <c r="Q22" i="187"/>
  <c r="Q24" i="187"/>
  <c r="Q25" i="187"/>
  <c r="Q27" i="187"/>
  <c r="Q26" i="187"/>
  <c r="Q28" i="187"/>
  <c r="Q29" i="187"/>
  <c r="Q31" i="187"/>
  <c r="Q6" i="187"/>
  <c r="Q8" i="187"/>
  <c r="Q9" i="187"/>
  <c r="P9" i="187"/>
  <c r="O9" i="187"/>
  <c r="N9" i="187"/>
  <c r="M9" i="187"/>
  <c r="L9" i="187"/>
  <c r="R16" i="186"/>
  <c r="R28" i="186"/>
  <c r="R29" i="186"/>
  <c r="R21" i="186"/>
  <c r="R22" i="186"/>
  <c r="R23" i="186"/>
  <c r="R24" i="186"/>
  <c r="R25" i="186"/>
  <c r="R26" i="186"/>
  <c r="R27" i="186"/>
  <c r="P17" i="186"/>
  <c r="Q17" i="186"/>
  <c r="R14" i="186"/>
  <c r="R15" i="186"/>
  <c r="R17" i="186"/>
  <c r="O17" i="186"/>
  <c r="L17" i="186"/>
  <c r="L31" i="186"/>
  <c r="L33" i="186"/>
  <c r="M17" i="186"/>
  <c r="M31" i="186"/>
  <c r="M33" i="186"/>
  <c r="N17" i="186"/>
  <c r="N31" i="186"/>
  <c r="N33" i="186"/>
  <c r="O31" i="186"/>
  <c r="O33" i="186"/>
  <c r="P31" i="186"/>
  <c r="P33" i="186"/>
  <c r="Q31" i="186"/>
  <c r="Q33" i="186"/>
  <c r="R31" i="186"/>
  <c r="R33" i="186"/>
  <c r="R6" i="186"/>
  <c r="R7" i="186"/>
  <c r="R8" i="186"/>
  <c r="R10" i="186"/>
  <c r="Q10" i="186"/>
  <c r="P10" i="186"/>
  <c r="O10" i="186"/>
  <c r="N10" i="186"/>
  <c r="M10" i="186"/>
  <c r="L10" i="186"/>
  <c r="S25" i="3"/>
  <c r="K11" i="185"/>
  <c r="K25" i="3"/>
  <c r="D25" i="3"/>
  <c r="B25" i="3"/>
  <c r="L31" i="185"/>
  <c r="L21" i="185"/>
  <c r="L33" i="185"/>
  <c r="M31" i="185"/>
  <c r="M21" i="185"/>
  <c r="M33" i="185"/>
  <c r="N31" i="185"/>
  <c r="N21" i="185"/>
  <c r="N33" i="185"/>
  <c r="O31" i="185"/>
  <c r="O21" i="185"/>
  <c r="O33" i="185"/>
  <c r="P31" i="185"/>
  <c r="P21" i="185"/>
  <c r="P33" i="185"/>
  <c r="Q31" i="185"/>
  <c r="Q21" i="185"/>
  <c r="Q33" i="185"/>
  <c r="R31" i="185"/>
  <c r="R21" i="185"/>
  <c r="R33" i="185"/>
  <c r="S31" i="185"/>
  <c r="S21" i="185"/>
  <c r="S33" i="185"/>
  <c r="T16" i="185"/>
  <c r="T15" i="185"/>
  <c r="T17" i="185"/>
  <c r="T18" i="185"/>
  <c r="T19" i="185"/>
  <c r="T21" i="185"/>
  <c r="T26" i="185"/>
  <c r="T27" i="185"/>
  <c r="T28" i="185"/>
  <c r="T29" i="185"/>
  <c r="T31" i="185"/>
  <c r="T33" i="185"/>
  <c r="T7" i="185"/>
  <c r="T8" i="185"/>
  <c r="T9" i="185"/>
  <c r="T6" i="185"/>
  <c r="R11" i="185"/>
  <c r="S11" i="185"/>
  <c r="T11" i="185"/>
  <c r="Q11" i="185"/>
  <c r="P11" i="185"/>
  <c r="O11" i="185"/>
  <c r="N11" i="185"/>
  <c r="M11" i="185"/>
  <c r="L11" i="185"/>
  <c r="R31" i="169"/>
  <c r="R32" i="169"/>
  <c r="R33" i="169"/>
  <c r="R34" i="169"/>
  <c r="R35" i="169"/>
  <c r="R37" i="169"/>
  <c r="R18" i="169"/>
  <c r="R19" i="169"/>
  <c r="R20" i="169"/>
  <c r="R21" i="169"/>
  <c r="R22" i="169"/>
  <c r="R23" i="169"/>
  <c r="R25" i="169"/>
  <c r="R28" i="169"/>
  <c r="R39" i="169"/>
  <c r="T53" i="3"/>
  <c r="G53" i="3"/>
  <c r="D53" i="3"/>
  <c r="S24" i="3"/>
  <c r="K13" i="184"/>
  <c r="K24" i="3"/>
  <c r="G24" i="3"/>
  <c r="D24" i="3"/>
  <c r="B24" i="3"/>
  <c r="S23" i="3"/>
  <c r="K11" i="183"/>
  <c r="K23" i="3"/>
  <c r="D23" i="3"/>
  <c r="B23" i="3"/>
  <c r="L38" i="184"/>
  <c r="L21" i="184"/>
  <c r="L40" i="184"/>
  <c r="M38" i="184"/>
  <c r="M21" i="184"/>
  <c r="M40" i="184"/>
  <c r="N38" i="184"/>
  <c r="N21" i="184"/>
  <c r="N40" i="184"/>
  <c r="O28" i="184"/>
  <c r="O29" i="184"/>
  <c r="O30" i="184"/>
  <c r="O32" i="184"/>
  <c r="O33" i="184"/>
  <c r="O34" i="184"/>
  <c r="O35" i="184"/>
  <c r="O36" i="184"/>
  <c r="O38" i="184"/>
  <c r="O24" i="184"/>
  <c r="O17" i="184"/>
  <c r="O18" i="184"/>
  <c r="O19" i="184"/>
  <c r="O21" i="184"/>
  <c r="O40" i="184"/>
  <c r="L29" i="183"/>
  <c r="L23" i="183"/>
  <c r="L18" i="183"/>
  <c r="L31" i="183"/>
  <c r="M29" i="183"/>
  <c r="M23" i="183"/>
  <c r="M18" i="183"/>
  <c r="M31" i="183"/>
  <c r="N29" i="183"/>
  <c r="N23" i="183"/>
  <c r="N18" i="183"/>
  <c r="N31" i="183"/>
  <c r="O29" i="183"/>
  <c r="O23" i="183"/>
  <c r="O18" i="183"/>
  <c r="O31" i="183"/>
  <c r="P29" i="183"/>
  <c r="P23" i="183"/>
  <c r="P18" i="183"/>
  <c r="P31" i="183"/>
  <c r="Q29" i="183"/>
  <c r="Q23" i="183"/>
  <c r="Q18" i="183"/>
  <c r="Q31" i="183"/>
  <c r="R26" i="183"/>
  <c r="R27" i="183"/>
  <c r="R29" i="183"/>
  <c r="R21" i="183"/>
  <c r="R23" i="183"/>
  <c r="R15" i="183"/>
  <c r="R16" i="183"/>
  <c r="R18" i="183"/>
  <c r="R31" i="183"/>
  <c r="S23" i="183"/>
  <c r="T23" i="183"/>
  <c r="U23" i="183"/>
  <c r="V23" i="183"/>
  <c r="W23" i="183"/>
  <c r="X23" i="183"/>
  <c r="Y23" i="183"/>
  <c r="Z23" i="183"/>
  <c r="O27" i="184"/>
  <c r="O6" i="184"/>
  <c r="O8" i="184"/>
  <c r="O9" i="184"/>
  <c r="O10" i="184"/>
  <c r="O11" i="184"/>
  <c r="O13" i="184"/>
  <c r="N13" i="184"/>
  <c r="M13" i="184"/>
  <c r="L13" i="184"/>
  <c r="R6" i="183"/>
  <c r="R7" i="183"/>
  <c r="R8" i="183"/>
  <c r="R9" i="183"/>
  <c r="R11" i="183"/>
  <c r="Q11" i="183"/>
  <c r="P11" i="183"/>
  <c r="O11" i="183"/>
  <c r="N11" i="183"/>
  <c r="M11" i="183"/>
  <c r="L11" i="183"/>
  <c r="S69" i="3"/>
  <c r="I10" i="150"/>
  <c r="K69" i="3"/>
  <c r="D69" i="3"/>
  <c r="B69" i="3"/>
  <c r="S67" i="3"/>
  <c r="K9" i="143"/>
  <c r="K67" i="3"/>
  <c r="D67" i="3"/>
  <c r="B67" i="3"/>
  <c r="S66" i="3"/>
  <c r="L13" i="142"/>
  <c r="K66" i="3"/>
  <c r="G66" i="3"/>
  <c r="D66" i="3"/>
  <c r="C66" i="3"/>
  <c r="B66" i="3"/>
  <c r="S65" i="3"/>
  <c r="I11" i="152"/>
  <c r="K65" i="3"/>
  <c r="H65" i="3"/>
  <c r="D65" i="3"/>
  <c r="C65" i="3"/>
  <c r="B65" i="3"/>
  <c r="S64" i="3"/>
  <c r="K14" i="151"/>
  <c r="K64" i="3"/>
  <c r="G64" i="3"/>
  <c r="D64" i="3"/>
  <c r="B64" i="3"/>
  <c r="S63" i="3"/>
  <c r="K13" i="153"/>
  <c r="K63" i="3"/>
  <c r="D63" i="3"/>
  <c r="B63" i="3"/>
  <c r="S62" i="3"/>
  <c r="K17" i="154"/>
  <c r="K62" i="3"/>
  <c r="G62" i="3"/>
  <c r="D62" i="3"/>
  <c r="B62" i="3"/>
  <c r="S60" i="3"/>
  <c r="K23" i="182"/>
  <c r="K60" i="3"/>
  <c r="F60" i="3"/>
  <c r="G60" i="3"/>
  <c r="D60" i="3"/>
  <c r="C60" i="3"/>
  <c r="B60" i="3"/>
  <c r="S59" i="3"/>
  <c r="J13" i="155"/>
  <c r="K59" i="3"/>
  <c r="D59" i="3"/>
  <c r="B59" i="3"/>
  <c r="S58" i="3"/>
  <c r="K13" i="181"/>
  <c r="K58" i="3"/>
  <c r="G58" i="3"/>
  <c r="D58" i="3"/>
  <c r="B58" i="3"/>
  <c r="S57" i="3"/>
  <c r="K17" i="180"/>
  <c r="K57" i="3"/>
  <c r="H57" i="3"/>
  <c r="G57" i="3"/>
  <c r="D57" i="3"/>
  <c r="C57" i="3"/>
  <c r="B57" i="3"/>
  <c r="S55" i="3"/>
  <c r="K12" i="179"/>
  <c r="K55" i="3"/>
  <c r="G55" i="3"/>
  <c r="D55" i="3"/>
  <c r="B55" i="3"/>
  <c r="S54" i="3"/>
  <c r="K16" i="178"/>
  <c r="K54" i="3"/>
  <c r="H54" i="3"/>
  <c r="G54" i="3"/>
  <c r="D54" i="3"/>
  <c r="B54" i="3"/>
  <c r="S53" i="3"/>
  <c r="W53" i="3"/>
  <c r="U53" i="3"/>
  <c r="O53" i="3"/>
  <c r="M53" i="3"/>
  <c r="L53" i="3"/>
  <c r="K16" i="177"/>
  <c r="K53" i="3"/>
  <c r="H53" i="3"/>
  <c r="F53" i="3"/>
  <c r="B53" i="3"/>
  <c r="U29" i="142"/>
  <c r="U30" i="142"/>
  <c r="U31" i="142"/>
  <c r="U32" i="142"/>
  <c r="U28" i="142"/>
  <c r="U22" i="142"/>
  <c r="U23" i="142"/>
  <c r="U17" i="142"/>
  <c r="U6" i="142"/>
  <c r="U7" i="142"/>
  <c r="U8" i="142"/>
  <c r="U9" i="142"/>
  <c r="U10" i="142"/>
  <c r="U11" i="142"/>
  <c r="U5" i="142"/>
  <c r="P19" i="142"/>
  <c r="P25" i="142"/>
  <c r="P34" i="142"/>
  <c r="P36" i="142"/>
  <c r="Q19" i="142"/>
  <c r="Q34" i="142"/>
  <c r="Q25" i="142"/>
  <c r="Q36" i="142"/>
  <c r="R19" i="142"/>
  <c r="R34" i="142"/>
  <c r="R25" i="142"/>
  <c r="R36" i="142"/>
  <c r="S19" i="142"/>
  <c r="S25" i="142"/>
  <c r="S34" i="142"/>
  <c r="S36" i="142"/>
  <c r="T19" i="142"/>
  <c r="T25" i="142"/>
  <c r="T34" i="142"/>
  <c r="T36" i="142"/>
  <c r="U19" i="142"/>
  <c r="U25" i="142"/>
  <c r="U34" i="142"/>
  <c r="U36" i="142"/>
  <c r="P13" i="142"/>
  <c r="Q13" i="142"/>
  <c r="R13" i="142"/>
  <c r="S13" i="142"/>
  <c r="T13" i="142"/>
  <c r="U13" i="142"/>
  <c r="O23" i="182"/>
  <c r="S40" i="182"/>
  <c r="S41" i="182"/>
  <c r="S42" i="182"/>
  <c r="S43" i="182"/>
  <c r="S44" i="182"/>
  <c r="S45" i="182"/>
  <c r="S46" i="182"/>
  <c r="S47" i="182"/>
  <c r="S48" i="182"/>
  <c r="S49" i="182"/>
  <c r="S50" i="182"/>
  <c r="S51" i="182"/>
  <c r="S52" i="182"/>
  <c r="S53" i="182"/>
  <c r="S54" i="182"/>
  <c r="S55" i="182"/>
  <c r="S56" i="182"/>
  <c r="S57" i="182"/>
  <c r="S58" i="182"/>
  <c r="S59" i="182"/>
  <c r="S60" i="182"/>
  <c r="S61" i="182"/>
  <c r="S62" i="182"/>
  <c r="S63" i="182"/>
  <c r="S64" i="182"/>
  <c r="S66" i="182"/>
  <c r="S26" i="182"/>
  <c r="S27" i="182"/>
  <c r="S28" i="182"/>
  <c r="S29" i="182"/>
  <c r="S30" i="182"/>
  <c r="S31" i="182"/>
  <c r="S32" i="182"/>
  <c r="S33" i="182"/>
  <c r="S34" i="182"/>
  <c r="S36" i="182"/>
  <c r="S68" i="182"/>
  <c r="R66" i="182"/>
  <c r="R36" i="182"/>
  <c r="R68" i="182"/>
  <c r="S7" i="182"/>
  <c r="S8" i="182"/>
  <c r="Q9" i="182"/>
  <c r="S9" i="182"/>
  <c r="S11" i="182"/>
  <c r="S12" i="182"/>
  <c r="Q13" i="182"/>
  <c r="S13" i="182"/>
  <c r="Q14" i="182"/>
  <c r="S14" i="182"/>
  <c r="S15" i="182"/>
  <c r="S16" i="182"/>
  <c r="Q17" i="182"/>
  <c r="S17" i="182"/>
  <c r="Q18" i="182"/>
  <c r="S18" i="182"/>
  <c r="Q19" i="182"/>
  <c r="S19" i="182"/>
  <c r="Q20" i="182"/>
  <c r="S20" i="182"/>
  <c r="Q21" i="182"/>
  <c r="S21" i="182"/>
  <c r="S23" i="182"/>
  <c r="R23" i="182"/>
  <c r="K11" i="171"/>
  <c r="K15" i="171"/>
  <c r="L22" i="3"/>
  <c r="L49" i="3"/>
  <c r="L50" i="3"/>
  <c r="L71" i="3"/>
  <c r="Q66" i="182"/>
  <c r="Q36" i="182"/>
  <c r="Q68" i="182"/>
  <c r="P66" i="182"/>
  <c r="P36" i="182"/>
  <c r="P68" i="182"/>
  <c r="O66" i="182"/>
  <c r="O36" i="182"/>
  <c r="O68" i="182"/>
  <c r="N66" i="182"/>
  <c r="N36" i="182"/>
  <c r="N68" i="182"/>
  <c r="M66" i="182"/>
  <c r="M36" i="182"/>
  <c r="M68" i="182"/>
  <c r="L66" i="182"/>
  <c r="L36" i="182"/>
  <c r="L68" i="182"/>
  <c r="Q23" i="182"/>
  <c r="P23" i="182"/>
  <c r="N23" i="182"/>
  <c r="M23" i="182"/>
  <c r="L23" i="182"/>
  <c r="P20" i="181"/>
  <c r="P33" i="181"/>
  <c r="P35" i="181"/>
  <c r="O20" i="181"/>
  <c r="O25" i="181"/>
  <c r="O33" i="181"/>
  <c r="O35" i="181"/>
  <c r="N33" i="181"/>
  <c r="Q23" i="181"/>
  <c r="O13" i="155"/>
  <c r="O21" i="155"/>
  <c r="O32" i="155"/>
  <c r="O34" i="155"/>
  <c r="P13" i="155"/>
  <c r="P21" i="155"/>
  <c r="P32" i="155"/>
  <c r="P34" i="155"/>
  <c r="R25" i="155"/>
  <c r="R26" i="155"/>
  <c r="Q28" i="181"/>
  <c r="Q29" i="181"/>
  <c r="Q30" i="181"/>
  <c r="Q31" i="181"/>
  <c r="Q33" i="181"/>
  <c r="Q16" i="181"/>
  <c r="Q17" i="181"/>
  <c r="Q18" i="181"/>
  <c r="Q20" i="181"/>
  <c r="Q25" i="181"/>
  <c r="Q35" i="181"/>
  <c r="N20" i="181"/>
  <c r="N35" i="181"/>
  <c r="M33" i="181"/>
  <c r="M20" i="181"/>
  <c r="M35" i="181"/>
  <c r="L33" i="181"/>
  <c r="L20" i="181"/>
  <c r="L35" i="181"/>
  <c r="Q7" i="181"/>
  <c r="Q8" i="181"/>
  <c r="Q9" i="181"/>
  <c r="Q10" i="181"/>
  <c r="Q11" i="181"/>
  <c r="Q13" i="181"/>
  <c r="P13" i="181"/>
  <c r="O13" i="181"/>
  <c r="N13" i="181"/>
  <c r="M13" i="181"/>
  <c r="L13" i="181"/>
  <c r="L27" i="180"/>
  <c r="L33" i="180"/>
  <c r="L42" i="180"/>
  <c r="L44" i="180"/>
  <c r="M27" i="180"/>
  <c r="M33" i="180"/>
  <c r="M42" i="180"/>
  <c r="M44" i="180"/>
  <c r="N27" i="180"/>
  <c r="N33" i="180"/>
  <c r="N42" i="180"/>
  <c r="N44" i="180"/>
  <c r="O27" i="180"/>
  <c r="O33" i="180"/>
  <c r="O42" i="180"/>
  <c r="O44" i="180"/>
  <c r="P30" i="180"/>
  <c r="P31" i="180"/>
  <c r="P33" i="180"/>
  <c r="P37" i="180"/>
  <c r="P38" i="180"/>
  <c r="P39" i="180"/>
  <c r="P40" i="180"/>
  <c r="P42" i="180"/>
  <c r="P21" i="180"/>
  <c r="P22" i="180"/>
  <c r="P23" i="180"/>
  <c r="P24" i="180"/>
  <c r="P25" i="180"/>
  <c r="P27" i="180"/>
  <c r="P7" i="180"/>
  <c r="P8" i="180"/>
  <c r="P10" i="180"/>
  <c r="P11" i="180"/>
  <c r="P12" i="180"/>
  <c r="P13" i="180"/>
  <c r="P14" i="180"/>
  <c r="P15" i="180"/>
  <c r="P17" i="180"/>
  <c r="O17" i="180"/>
  <c r="N17" i="180"/>
  <c r="M17" i="180"/>
  <c r="L17" i="180"/>
  <c r="S48" i="179"/>
  <c r="S38" i="179"/>
  <c r="S39" i="179"/>
  <c r="S40" i="179"/>
  <c r="S34" i="179"/>
  <c r="S17" i="179"/>
  <c r="S18" i="179"/>
  <c r="S19" i="179"/>
  <c r="S20" i="179"/>
  <c r="S21" i="179"/>
  <c r="S16" i="179"/>
  <c r="S30" i="179"/>
  <c r="S31" i="179"/>
  <c r="S32" i="179"/>
  <c r="S33" i="179"/>
  <c r="S35" i="179"/>
  <c r="S36" i="179"/>
  <c r="S37" i="179"/>
  <c r="S41" i="179"/>
  <c r="S42" i="179"/>
  <c r="S43" i="179"/>
  <c r="S44" i="179"/>
  <c r="S45" i="179"/>
  <c r="S46" i="179"/>
  <c r="S47" i="179"/>
  <c r="S50" i="179"/>
  <c r="S23" i="179"/>
  <c r="S26" i="179"/>
  <c r="S52" i="179"/>
  <c r="R50" i="179"/>
  <c r="R23" i="179"/>
  <c r="R52" i="179"/>
  <c r="Q50" i="179"/>
  <c r="Q23" i="179"/>
  <c r="Q52" i="179"/>
  <c r="P50" i="179"/>
  <c r="P23" i="179"/>
  <c r="P52" i="179"/>
  <c r="O50" i="179"/>
  <c r="O23" i="179"/>
  <c r="O52" i="179"/>
  <c r="N50" i="179"/>
  <c r="N23" i="179"/>
  <c r="N52" i="179"/>
  <c r="M50" i="179"/>
  <c r="M23" i="179"/>
  <c r="M52" i="179"/>
  <c r="L50" i="179"/>
  <c r="L23" i="179"/>
  <c r="L52" i="179"/>
  <c r="S7" i="179"/>
  <c r="S8" i="179"/>
  <c r="S9" i="179"/>
  <c r="S10" i="179"/>
  <c r="S12" i="179"/>
  <c r="R12" i="179"/>
  <c r="Q12" i="179"/>
  <c r="P12" i="179"/>
  <c r="O12" i="179"/>
  <c r="N12" i="179"/>
  <c r="M12" i="179"/>
  <c r="L12" i="179"/>
  <c r="R28" i="178"/>
  <c r="P28" i="178"/>
  <c r="P52" i="178"/>
  <c r="P54" i="178"/>
  <c r="Q28" i="178"/>
  <c r="Q52" i="178"/>
  <c r="Q54" i="178"/>
  <c r="R52" i="178"/>
  <c r="R54" i="178"/>
  <c r="T33" i="178"/>
  <c r="T34" i="178"/>
  <c r="T35" i="178"/>
  <c r="T36" i="178"/>
  <c r="T37" i="178"/>
  <c r="T38" i="178"/>
  <c r="T39" i="178"/>
  <c r="T40" i="178"/>
  <c r="T41" i="178"/>
  <c r="T42" i="178"/>
  <c r="T43" i="178"/>
  <c r="T44" i="178"/>
  <c r="T45" i="178"/>
  <c r="T46" i="178"/>
  <c r="T47" i="178"/>
  <c r="T48" i="178"/>
  <c r="T49" i="178"/>
  <c r="T50" i="178"/>
  <c r="T51" i="178"/>
  <c r="T20" i="178"/>
  <c r="T21" i="178"/>
  <c r="T22" i="178"/>
  <c r="T23" i="178"/>
  <c r="T24" i="178"/>
  <c r="T25" i="178"/>
  <c r="T26" i="178"/>
  <c r="T28" i="178"/>
  <c r="S28" i="178"/>
  <c r="R16" i="178"/>
  <c r="Q16" i="178"/>
  <c r="P16" i="178"/>
  <c r="T7" i="178"/>
  <c r="T32" i="178"/>
  <c r="T52" i="178"/>
  <c r="T54" i="178"/>
  <c r="S52" i="178"/>
  <c r="S54" i="178"/>
  <c r="O28" i="178"/>
  <c r="O52" i="178"/>
  <c r="O54" i="178"/>
  <c r="N28" i="178"/>
  <c r="N52" i="178"/>
  <c r="N54" i="178"/>
  <c r="M28" i="178"/>
  <c r="M52" i="178"/>
  <c r="M54" i="178"/>
  <c r="L28" i="178"/>
  <c r="L52" i="178"/>
  <c r="L54" i="178"/>
  <c r="T6" i="178"/>
  <c r="T8" i="178"/>
  <c r="T9" i="178"/>
  <c r="T10" i="178"/>
  <c r="T12" i="178"/>
  <c r="T13" i="178"/>
  <c r="T14" i="178"/>
  <c r="T16" i="178"/>
  <c r="S16" i="178"/>
  <c r="O16" i="178"/>
  <c r="N16" i="178"/>
  <c r="M16" i="178"/>
  <c r="L16" i="178"/>
  <c r="P25" i="177"/>
  <c r="P38" i="177"/>
  <c r="P40" i="177"/>
  <c r="P16" i="177"/>
  <c r="R6" i="177"/>
  <c r="S22" i="3"/>
  <c r="K19" i="162"/>
  <c r="K22" i="3"/>
  <c r="G22" i="3"/>
  <c r="E22" i="3"/>
  <c r="D22" i="3"/>
  <c r="C22" i="3"/>
  <c r="B22" i="3"/>
  <c r="P13" i="162"/>
  <c r="P14" i="162"/>
  <c r="P15" i="162"/>
  <c r="P16" i="162"/>
  <c r="P17" i="162"/>
  <c r="P25" i="162"/>
  <c r="P26" i="162"/>
  <c r="P27" i="162"/>
  <c r="P28" i="162"/>
  <c r="P33" i="162"/>
  <c r="P41" i="162"/>
  <c r="P42" i="162"/>
  <c r="P43" i="162"/>
  <c r="P44" i="162"/>
  <c r="S52" i="3"/>
  <c r="K14" i="176"/>
  <c r="K52" i="3"/>
  <c r="G52" i="3"/>
  <c r="E52" i="3"/>
  <c r="D52" i="3"/>
  <c r="C52" i="3"/>
  <c r="B52" i="3"/>
  <c r="O47" i="176"/>
  <c r="P20" i="176"/>
  <c r="P21" i="176"/>
  <c r="P22" i="176"/>
  <c r="P18" i="176"/>
  <c r="P11" i="176"/>
  <c r="P12" i="176"/>
  <c r="O14" i="176"/>
  <c r="R33" i="177"/>
  <c r="R34" i="177"/>
  <c r="R35" i="177"/>
  <c r="R36" i="177"/>
  <c r="R38" i="177"/>
  <c r="R20" i="177"/>
  <c r="R21" i="177"/>
  <c r="R22" i="177"/>
  <c r="R23" i="177"/>
  <c r="R25" i="177"/>
  <c r="R28" i="177"/>
  <c r="R30" i="177"/>
  <c r="R40" i="177"/>
  <c r="Q38" i="177"/>
  <c r="Q25" i="177"/>
  <c r="Q30" i="177"/>
  <c r="Q40" i="177"/>
  <c r="O38" i="177"/>
  <c r="O25" i="177"/>
  <c r="O30" i="177"/>
  <c r="O40" i="177"/>
  <c r="N38" i="177"/>
  <c r="N25" i="177"/>
  <c r="N30" i="177"/>
  <c r="N40" i="177"/>
  <c r="M38" i="177"/>
  <c r="M25" i="177"/>
  <c r="M30" i="177"/>
  <c r="M40" i="177"/>
  <c r="L38" i="177"/>
  <c r="L25" i="177"/>
  <c r="L30" i="177"/>
  <c r="L40" i="177"/>
  <c r="R7" i="177"/>
  <c r="R8" i="177"/>
  <c r="R9" i="177"/>
  <c r="R10" i="177"/>
  <c r="R11" i="177"/>
  <c r="R12" i="177"/>
  <c r="R13" i="177"/>
  <c r="R14" i="177"/>
  <c r="R16" i="177"/>
  <c r="Q16" i="177"/>
  <c r="O16" i="177"/>
  <c r="N16" i="177"/>
  <c r="M16" i="177"/>
  <c r="L16" i="177"/>
  <c r="P19" i="176"/>
  <c r="P24" i="176"/>
  <c r="P27" i="176"/>
  <c r="P29" i="176"/>
  <c r="P30" i="176"/>
  <c r="P31" i="176"/>
  <c r="P32" i="176"/>
  <c r="P33" i="176"/>
  <c r="P34" i="176"/>
  <c r="P35" i="176"/>
  <c r="P36" i="176"/>
  <c r="P38" i="176"/>
  <c r="P39" i="176"/>
  <c r="P40" i="176"/>
  <c r="P42" i="176"/>
  <c r="P43" i="176"/>
  <c r="P44" i="176"/>
  <c r="P45" i="176"/>
  <c r="P47" i="176"/>
  <c r="P49" i="176"/>
  <c r="O24" i="176"/>
  <c r="O49" i="176"/>
  <c r="N24" i="176"/>
  <c r="N47" i="176"/>
  <c r="N49" i="176"/>
  <c r="M24" i="176"/>
  <c r="M47" i="176"/>
  <c r="M49" i="176"/>
  <c r="L24" i="176"/>
  <c r="L47" i="176"/>
  <c r="L49" i="176"/>
  <c r="P7" i="176"/>
  <c r="P8" i="176"/>
  <c r="P9" i="176"/>
  <c r="P10" i="176"/>
  <c r="P14" i="176"/>
  <c r="N14" i="176"/>
  <c r="M14" i="176"/>
  <c r="L14" i="176"/>
  <c r="S50" i="3"/>
  <c r="K19" i="175"/>
  <c r="K50" i="3"/>
  <c r="F50" i="3"/>
  <c r="H50" i="3"/>
  <c r="G50" i="3"/>
  <c r="D50" i="3"/>
  <c r="C50" i="3"/>
  <c r="B50" i="3"/>
  <c r="P33" i="175"/>
  <c r="P34" i="175"/>
  <c r="P36" i="175"/>
  <c r="O36" i="175"/>
  <c r="P14" i="175"/>
  <c r="P15" i="175"/>
  <c r="P16" i="175"/>
  <c r="S49" i="3"/>
  <c r="K19" i="174"/>
  <c r="K49" i="3"/>
  <c r="H49" i="3"/>
  <c r="G49" i="3"/>
  <c r="D49" i="3"/>
  <c r="C49" i="3"/>
  <c r="B49" i="3"/>
  <c r="N59" i="174"/>
  <c r="N29" i="174"/>
  <c r="N61" i="174"/>
  <c r="O59" i="174"/>
  <c r="P48" i="174"/>
  <c r="P49" i="174"/>
  <c r="P50" i="174"/>
  <c r="P51" i="174"/>
  <c r="P41" i="174"/>
  <c r="P42" i="174"/>
  <c r="P43" i="174"/>
  <c r="P44" i="174"/>
  <c r="P45" i="174"/>
  <c r="P46" i="174"/>
  <c r="P47" i="174"/>
  <c r="P24" i="174"/>
  <c r="P25" i="174"/>
  <c r="P26" i="174"/>
  <c r="P27" i="174"/>
  <c r="N19" i="174"/>
  <c r="P14" i="174"/>
  <c r="P8" i="174"/>
  <c r="P9" i="174"/>
  <c r="P10" i="174"/>
  <c r="P11" i="174"/>
  <c r="P12" i="174"/>
  <c r="P13" i="174"/>
  <c r="P15" i="174"/>
  <c r="P16" i="174"/>
  <c r="P17" i="174"/>
  <c r="P7" i="174"/>
  <c r="L33" i="174"/>
  <c r="M33" i="174"/>
  <c r="N33" i="174"/>
  <c r="O33" i="174"/>
  <c r="P32" i="174"/>
  <c r="P33" i="174"/>
  <c r="K33" i="174"/>
  <c r="P39" i="175"/>
  <c r="P40" i="175"/>
  <c r="P41" i="175"/>
  <c r="P42" i="175"/>
  <c r="P43" i="175"/>
  <c r="P45" i="175"/>
  <c r="P23" i="175"/>
  <c r="P24" i="175"/>
  <c r="P25" i="175"/>
  <c r="P26" i="175"/>
  <c r="P27" i="175"/>
  <c r="P28" i="175"/>
  <c r="P30" i="175"/>
  <c r="P47" i="175"/>
  <c r="O45" i="175"/>
  <c r="O30" i="175"/>
  <c r="O47" i="175"/>
  <c r="N45" i="175"/>
  <c r="N30" i="175"/>
  <c r="N36" i="175"/>
  <c r="N47" i="175"/>
  <c r="M45" i="175"/>
  <c r="M30" i="175"/>
  <c r="M36" i="175"/>
  <c r="M47" i="175"/>
  <c r="L45" i="175"/>
  <c r="L30" i="175"/>
  <c r="L36" i="175"/>
  <c r="L47" i="175"/>
  <c r="P7" i="175"/>
  <c r="P8" i="175"/>
  <c r="P10" i="175"/>
  <c r="P11" i="175"/>
  <c r="P12" i="175"/>
  <c r="P13" i="175"/>
  <c r="P17" i="175"/>
  <c r="P19" i="175"/>
  <c r="O19" i="175"/>
  <c r="N19" i="175"/>
  <c r="M19" i="175"/>
  <c r="L19" i="175"/>
  <c r="P37" i="174"/>
  <c r="P39" i="174"/>
  <c r="P40" i="174"/>
  <c r="P52" i="174"/>
  <c r="P54" i="174"/>
  <c r="P55" i="174"/>
  <c r="P56" i="174"/>
  <c r="P57" i="174"/>
  <c r="P59" i="174"/>
  <c r="P22" i="174"/>
  <c r="P23" i="174"/>
  <c r="P29" i="174"/>
  <c r="P61" i="174"/>
  <c r="O29" i="174"/>
  <c r="O61" i="174"/>
  <c r="M59" i="174"/>
  <c r="M29" i="174"/>
  <c r="M61" i="174"/>
  <c r="L59" i="174"/>
  <c r="L29" i="174"/>
  <c r="L61" i="174"/>
  <c r="P19" i="174"/>
  <c r="O19" i="174"/>
  <c r="M19" i="174"/>
  <c r="L19" i="174"/>
  <c r="S48" i="3"/>
  <c r="K10" i="173"/>
  <c r="K48" i="3"/>
  <c r="D48" i="3"/>
  <c r="B48" i="3"/>
  <c r="L16" i="173"/>
  <c r="L25" i="173"/>
  <c r="L27" i="173"/>
  <c r="M16" i="173"/>
  <c r="M25" i="173"/>
  <c r="M27" i="173"/>
  <c r="N16" i="173"/>
  <c r="N25" i="173"/>
  <c r="N27" i="173"/>
  <c r="O16" i="173"/>
  <c r="O25" i="173"/>
  <c r="O27" i="173"/>
  <c r="P16" i="173"/>
  <c r="P25" i="173"/>
  <c r="P27" i="173"/>
  <c r="Q14" i="173"/>
  <c r="Q13" i="173"/>
  <c r="Q16" i="173"/>
  <c r="Q19" i="173"/>
  <c r="Q22" i="173"/>
  <c r="Q23" i="173"/>
  <c r="Q25" i="173"/>
  <c r="Q27" i="173"/>
  <c r="Q8" i="173"/>
  <c r="Q7" i="173"/>
  <c r="S47" i="3"/>
  <c r="K10" i="172"/>
  <c r="K47" i="3"/>
  <c r="D47" i="3"/>
  <c r="B47" i="3"/>
  <c r="Q8" i="172"/>
  <c r="Q7" i="172"/>
  <c r="S46" i="3"/>
  <c r="K46" i="3"/>
  <c r="H46" i="3"/>
  <c r="D46" i="3"/>
  <c r="C46" i="3"/>
  <c r="B46" i="3"/>
  <c r="Q21" i="171"/>
  <c r="Q42" i="171"/>
  <c r="Q44" i="171"/>
  <c r="R31" i="171"/>
  <c r="R32" i="171"/>
  <c r="R33" i="171"/>
  <c r="R34" i="171"/>
  <c r="R35" i="171"/>
  <c r="R36" i="171"/>
  <c r="R37" i="171"/>
  <c r="R38" i="171"/>
  <c r="R39" i="171"/>
  <c r="R40" i="171"/>
  <c r="R30" i="171"/>
  <c r="R23" i="171"/>
  <c r="R19" i="171"/>
  <c r="Q11" i="171"/>
  <c r="R8" i="171"/>
  <c r="R7" i="171"/>
  <c r="R6" i="171"/>
  <c r="L11" i="171"/>
  <c r="L15" i="171"/>
  <c r="M11" i="171"/>
  <c r="M15" i="171"/>
  <c r="N11" i="171"/>
  <c r="N15" i="171"/>
  <c r="O11" i="171"/>
  <c r="O15" i="171"/>
  <c r="P11" i="171"/>
  <c r="P15" i="171"/>
  <c r="Q15" i="171"/>
  <c r="R9" i="171"/>
  <c r="R11" i="171"/>
  <c r="R15" i="171"/>
  <c r="Q10" i="173"/>
  <c r="P10" i="173"/>
  <c r="O10" i="173"/>
  <c r="N10" i="173"/>
  <c r="M10" i="173"/>
  <c r="L10" i="173"/>
  <c r="R27" i="171"/>
  <c r="R42" i="171"/>
  <c r="R21" i="171"/>
  <c r="R44" i="171"/>
  <c r="P42" i="171"/>
  <c r="P21" i="171"/>
  <c r="P44" i="171"/>
  <c r="O42" i="171"/>
  <c r="O21" i="171"/>
  <c r="O44" i="171"/>
  <c r="N42" i="171"/>
  <c r="N21" i="171"/>
  <c r="N44" i="171"/>
  <c r="M42" i="171"/>
  <c r="M21" i="171"/>
  <c r="M44" i="171"/>
  <c r="L42" i="171"/>
  <c r="L21" i="171"/>
  <c r="L44" i="171"/>
  <c r="S45" i="3"/>
  <c r="K12" i="170"/>
  <c r="K45" i="3"/>
  <c r="D45" i="3"/>
  <c r="B45" i="3"/>
  <c r="O29" i="170"/>
  <c r="O26" i="170"/>
  <c r="O27" i="170"/>
  <c r="O24" i="170"/>
  <c r="O25" i="170"/>
  <c r="O28" i="170"/>
  <c r="O17" i="170"/>
  <c r="O16" i="170"/>
  <c r="P12" i="170"/>
  <c r="O7" i="170"/>
  <c r="O8" i="170"/>
  <c r="O9" i="170"/>
  <c r="O10" i="170"/>
  <c r="O12" i="170"/>
  <c r="S43" i="3"/>
  <c r="K14" i="169"/>
  <c r="K43" i="3"/>
  <c r="H43" i="3"/>
  <c r="G43" i="3"/>
  <c r="F43" i="3"/>
  <c r="D43" i="3"/>
  <c r="C43" i="3"/>
  <c r="B43" i="3"/>
  <c r="R10" i="169"/>
  <c r="R11" i="169"/>
  <c r="S42" i="3"/>
  <c r="K19" i="168"/>
  <c r="K42" i="3"/>
  <c r="H42" i="3"/>
  <c r="G42" i="3"/>
  <c r="E42" i="3"/>
  <c r="D42" i="3"/>
  <c r="C42" i="3"/>
  <c r="B42" i="3"/>
  <c r="P28" i="168"/>
  <c r="P40" i="168"/>
  <c r="P42" i="168"/>
  <c r="R26" i="168"/>
  <c r="P19" i="168"/>
  <c r="Q22" i="172"/>
  <c r="Q23" i="172"/>
  <c r="Q25" i="172"/>
  <c r="Q13" i="172"/>
  <c r="Q14" i="172"/>
  <c r="Q16" i="172"/>
  <c r="Q27" i="172"/>
  <c r="P25" i="172"/>
  <c r="P16" i="172"/>
  <c r="P27" i="172"/>
  <c r="O25" i="172"/>
  <c r="O16" i="172"/>
  <c r="O27" i="172"/>
  <c r="N25" i="172"/>
  <c r="N16" i="172"/>
  <c r="N27" i="172"/>
  <c r="M25" i="172"/>
  <c r="M16" i="172"/>
  <c r="M27" i="172"/>
  <c r="L25" i="172"/>
  <c r="L16" i="172"/>
  <c r="L27" i="172"/>
  <c r="Q10" i="172"/>
  <c r="P10" i="172"/>
  <c r="O10" i="172"/>
  <c r="N10" i="172"/>
  <c r="M10" i="172"/>
  <c r="L10" i="172"/>
  <c r="P20" i="170"/>
  <c r="P34" i="170"/>
  <c r="P36" i="170"/>
  <c r="O18" i="170"/>
  <c r="O20" i="170"/>
  <c r="O30" i="170"/>
  <c r="O31" i="170"/>
  <c r="O32" i="170"/>
  <c r="O34" i="170"/>
  <c r="O36" i="170"/>
  <c r="N20" i="170"/>
  <c r="N34" i="170"/>
  <c r="N36" i="170"/>
  <c r="M20" i="170"/>
  <c r="M34" i="170"/>
  <c r="M36" i="170"/>
  <c r="L20" i="170"/>
  <c r="L34" i="170"/>
  <c r="L36" i="170"/>
  <c r="N12" i="170"/>
  <c r="M12" i="170"/>
  <c r="Q37" i="169"/>
  <c r="Q25" i="169"/>
  <c r="Q39" i="169"/>
  <c r="P37" i="169"/>
  <c r="P25" i="169"/>
  <c r="P39" i="169"/>
  <c r="O37" i="169"/>
  <c r="O25" i="169"/>
  <c r="O39" i="169"/>
  <c r="N37" i="169"/>
  <c r="N25" i="169"/>
  <c r="N39" i="169"/>
  <c r="M37" i="169"/>
  <c r="M25" i="169"/>
  <c r="M39" i="169"/>
  <c r="L37" i="169"/>
  <c r="L25" i="169"/>
  <c r="L39" i="169"/>
  <c r="R7" i="169"/>
  <c r="R8" i="169"/>
  <c r="R9" i="169"/>
  <c r="R12" i="169"/>
  <c r="R14" i="169"/>
  <c r="Q14" i="169"/>
  <c r="P14" i="169"/>
  <c r="O14" i="169"/>
  <c r="N14" i="169"/>
  <c r="M14" i="169"/>
  <c r="L14" i="169"/>
  <c r="R23" i="168"/>
  <c r="R24" i="168"/>
  <c r="R25" i="168"/>
  <c r="R28" i="168"/>
  <c r="R33" i="168"/>
  <c r="R34" i="168"/>
  <c r="R36" i="168"/>
  <c r="R37" i="168"/>
  <c r="R38" i="168"/>
  <c r="R40" i="168"/>
  <c r="R42" i="168"/>
  <c r="Q28" i="168"/>
  <c r="Q40" i="168"/>
  <c r="Q42" i="168"/>
  <c r="O28" i="168"/>
  <c r="O40" i="168"/>
  <c r="O42" i="168"/>
  <c r="N28" i="168"/>
  <c r="N40" i="168"/>
  <c r="N42" i="168"/>
  <c r="M28" i="168"/>
  <c r="M40" i="168"/>
  <c r="M42" i="168"/>
  <c r="L28" i="168"/>
  <c r="L40" i="168"/>
  <c r="L42" i="168"/>
  <c r="R7" i="168"/>
  <c r="R8" i="168"/>
  <c r="R10" i="168"/>
  <c r="R11" i="168"/>
  <c r="R12" i="168"/>
  <c r="R13" i="168"/>
  <c r="R14" i="168"/>
  <c r="R15" i="168"/>
  <c r="R16" i="168"/>
  <c r="R17" i="168"/>
  <c r="R19" i="168"/>
  <c r="Q19" i="168"/>
  <c r="O19" i="168"/>
  <c r="N19" i="168"/>
  <c r="M19" i="168"/>
  <c r="L19" i="168"/>
  <c r="S41" i="3"/>
  <c r="K21" i="167"/>
  <c r="K41" i="3"/>
  <c r="G41" i="3"/>
  <c r="F41" i="3"/>
  <c r="D41" i="3"/>
  <c r="C41" i="3"/>
  <c r="B41" i="3"/>
  <c r="S42" i="167"/>
  <c r="S43" i="167"/>
  <c r="S44" i="167"/>
  <c r="N25" i="166"/>
  <c r="N26" i="166"/>
  <c r="N27" i="166"/>
  <c r="N28" i="166"/>
  <c r="N30" i="166"/>
  <c r="N16" i="166"/>
  <c r="N17" i="166"/>
  <c r="N18" i="166"/>
  <c r="N19" i="166"/>
  <c r="N20" i="166"/>
  <c r="N22" i="166"/>
  <c r="N32" i="166"/>
  <c r="S40" i="3"/>
  <c r="K13" i="166"/>
  <c r="K40" i="3"/>
  <c r="H40" i="3"/>
  <c r="D40" i="3"/>
  <c r="B40" i="3"/>
  <c r="L30" i="166"/>
  <c r="M30" i="166"/>
  <c r="L22" i="166"/>
  <c r="M22" i="166"/>
  <c r="L13" i="166"/>
  <c r="M13" i="166"/>
  <c r="N7" i="166"/>
  <c r="N8" i="166"/>
  <c r="N9" i="166"/>
  <c r="N10" i="166"/>
  <c r="N11" i="166"/>
  <c r="N13" i="166"/>
  <c r="S39" i="3"/>
  <c r="K12" i="165"/>
  <c r="K39" i="3"/>
  <c r="G39" i="3"/>
  <c r="D39" i="3"/>
  <c r="C39" i="3"/>
  <c r="S23" i="165"/>
  <c r="S38" i="3"/>
  <c r="K12" i="164"/>
  <c r="K38" i="3"/>
  <c r="D38" i="3"/>
  <c r="B38" i="3"/>
  <c r="L19" i="164"/>
  <c r="S37" i="3"/>
  <c r="K20" i="163"/>
  <c r="K37" i="3"/>
  <c r="G37" i="3"/>
  <c r="F37" i="3"/>
  <c r="D37" i="3"/>
  <c r="C37" i="3"/>
  <c r="B37" i="3"/>
  <c r="R8" i="163"/>
  <c r="R9" i="163"/>
  <c r="R10" i="163"/>
  <c r="R11" i="163"/>
  <c r="R12" i="163"/>
  <c r="R13" i="163"/>
  <c r="R14" i="163"/>
  <c r="R15" i="163"/>
  <c r="R16" i="163"/>
  <c r="R17" i="163"/>
  <c r="R18" i="163"/>
  <c r="S40" i="167"/>
  <c r="S41" i="167"/>
  <c r="S46" i="167"/>
  <c r="S24" i="167"/>
  <c r="S25" i="167"/>
  <c r="S26" i="167"/>
  <c r="S27" i="167"/>
  <c r="S28" i="167"/>
  <c r="S29" i="167"/>
  <c r="S30" i="167"/>
  <c r="S32" i="167"/>
  <c r="S35" i="167"/>
  <c r="S37" i="167"/>
  <c r="S48" i="167"/>
  <c r="R46" i="167"/>
  <c r="R32" i="167"/>
  <c r="R37" i="167"/>
  <c r="R48" i="167"/>
  <c r="Q46" i="167"/>
  <c r="Q32" i="167"/>
  <c r="Q37" i="167"/>
  <c r="Q48" i="167"/>
  <c r="P46" i="167"/>
  <c r="P32" i="167"/>
  <c r="P37" i="167"/>
  <c r="P48" i="167"/>
  <c r="O46" i="167"/>
  <c r="O32" i="167"/>
  <c r="O37" i="167"/>
  <c r="O48" i="167"/>
  <c r="N46" i="167"/>
  <c r="N32" i="167"/>
  <c r="N37" i="167"/>
  <c r="N48" i="167"/>
  <c r="M46" i="167"/>
  <c r="M32" i="167"/>
  <c r="M37" i="167"/>
  <c r="M48" i="167"/>
  <c r="L46" i="167"/>
  <c r="L32" i="167"/>
  <c r="L37" i="167"/>
  <c r="L48" i="167"/>
  <c r="S7" i="167"/>
  <c r="S8" i="167"/>
  <c r="S9" i="167"/>
  <c r="S10" i="167"/>
  <c r="S11" i="167"/>
  <c r="S12" i="167"/>
  <c r="S13" i="167"/>
  <c r="S14" i="167"/>
  <c r="S15" i="167"/>
  <c r="S16" i="167"/>
  <c r="S17" i="167"/>
  <c r="S18" i="167"/>
  <c r="S19" i="167"/>
  <c r="S21" i="167"/>
  <c r="R21" i="167"/>
  <c r="Q21" i="167"/>
  <c r="P21" i="167"/>
  <c r="O21" i="167"/>
  <c r="N21" i="167"/>
  <c r="M21" i="167"/>
  <c r="L21" i="167"/>
  <c r="M32" i="166"/>
  <c r="L32" i="166"/>
  <c r="S26" i="165"/>
  <c r="S27" i="165"/>
  <c r="S28" i="165"/>
  <c r="S30" i="165"/>
  <c r="S15" i="165"/>
  <c r="S16" i="165"/>
  <c r="S17" i="165"/>
  <c r="S18" i="165"/>
  <c r="S20" i="165"/>
  <c r="S32" i="165"/>
  <c r="R30" i="165"/>
  <c r="R20" i="165"/>
  <c r="R32" i="165"/>
  <c r="Q30" i="165"/>
  <c r="Q20" i="165"/>
  <c r="Q32" i="165"/>
  <c r="P30" i="165"/>
  <c r="P20" i="165"/>
  <c r="P32" i="165"/>
  <c r="O30" i="165"/>
  <c r="O20" i="165"/>
  <c r="O32" i="165"/>
  <c r="N30" i="165"/>
  <c r="N20" i="165"/>
  <c r="N32" i="165"/>
  <c r="M30" i="165"/>
  <c r="M20" i="165"/>
  <c r="M32" i="165"/>
  <c r="L30" i="165"/>
  <c r="L20" i="165"/>
  <c r="L32" i="165"/>
  <c r="S7" i="165"/>
  <c r="S8" i="165"/>
  <c r="S9" i="165"/>
  <c r="S10" i="165"/>
  <c r="S12" i="165"/>
  <c r="R12" i="165"/>
  <c r="Q12" i="165"/>
  <c r="P12" i="165"/>
  <c r="O12" i="165"/>
  <c r="N12" i="165"/>
  <c r="M12" i="165"/>
  <c r="L12" i="165"/>
  <c r="R22" i="164"/>
  <c r="R23" i="164"/>
  <c r="R25" i="164"/>
  <c r="R17" i="164"/>
  <c r="R19" i="164"/>
  <c r="R27" i="164"/>
  <c r="Q25" i="164"/>
  <c r="Q19" i="164"/>
  <c r="Q27" i="164"/>
  <c r="P25" i="164"/>
  <c r="P19" i="164"/>
  <c r="P27" i="164"/>
  <c r="O25" i="164"/>
  <c r="O19" i="164"/>
  <c r="O27" i="164"/>
  <c r="N25" i="164"/>
  <c r="N19" i="164"/>
  <c r="N27" i="164"/>
  <c r="M25" i="164"/>
  <c r="M19" i="164"/>
  <c r="M27" i="164"/>
  <c r="L25" i="164"/>
  <c r="L27" i="164"/>
  <c r="R7" i="164"/>
  <c r="R8" i="164"/>
  <c r="R9" i="164"/>
  <c r="R10" i="164"/>
  <c r="R12" i="164"/>
  <c r="Q12" i="164"/>
  <c r="P12" i="164"/>
  <c r="O12" i="164"/>
  <c r="N12" i="164"/>
  <c r="M12" i="164"/>
  <c r="L12" i="164"/>
  <c r="R24" i="163"/>
  <c r="R25" i="163"/>
  <c r="R26" i="163"/>
  <c r="R27" i="163"/>
  <c r="R28" i="163"/>
  <c r="R29" i="163"/>
  <c r="R30" i="163"/>
  <c r="R31" i="163"/>
  <c r="R33" i="163"/>
  <c r="R37" i="163"/>
  <c r="R38" i="163"/>
  <c r="R40" i="163"/>
  <c r="R41" i="163"/>
  <c r="R42" i="163"/>
  <c r="R43" i="163"/>
  <c r="R44" i="163"/>
  <c r="R46" i="163"/>
  <c r="R47" i="163"/>
  <c r="R48" i="163"/>
  <c r="R49" i="163"/>
  <c r="R51" i="163"/>
  <c r="R52" i="163"/>
  <c r="R53" i="163"/>
  <c r="R54" i="163"/>
  <c r="R55" i="163"/>
  <c r="R56" i="163"/>
  <c r="R57" i="163"/>
  <c r="R59" i="163"/>
  <c r="R61" i="163"/>
  <c r="Q33" i="163"/>
  <c r="Q59" i="163"/>
  <c r="Q61" i="163"/>
  <c r="P33" i="163"/>
  <c r="P59" i="163"/>
  <c r="P61" i="163"/>
  <c r="O33" i="163"/>
  <c r="O59" i="163"/>
  <c r="O61" i="163"/>
  <c r="N33" i="163"/>
  <c r="N59" i="163"/>
  <c r="N61" i="163"/>
  <c r="M33" i="163"/>
  <c r="M59" i="163"/>
  <c r="M61" i="163"/>
  <c r="L33" i="163"/>
  <c r="L59" i="163"/>
  <c r="L61" i="163"/>
  <c r="R7" i="163"/>
  <c r="R20" i="163"/>
  <c r="Q20" i="163"/>
  <c r="P20" i="163"/>
  <c r="O20" i="163"/>
  <c r="N20" i="163"/>
  <c r="M20" i="163"/>
  <c r="L20" i="163"/>
  <c r="L30" i="162"/>
  <c r="M30" i="162"/>
  <c r="N30" i="162"/>
  <c r="O30" i="162"/>
  <c r="P23" i="162"/>
  <c r="P24" i="162"/>
  <c r="P30" i="162"/>
  <c r="L19" i="162"/>
  <c r="M19" i="162"/>
  <c r="N19" i="162"/>
  <c r="O19" i="162"/>
  <c r="P7" i="162"/>
  <c r="P8" i="162"/>
  <c r="P9" i="162"/>
  <c r="P10" i="162"/>
  <c r="P11" i="162"/>
  <c r="P12" i="162"/>
  <c r="P19" i="162"/>
  <c r="S21" i="3"/>
  <c r="B21" i="3"/>
  <c r="K13" i="161"/>
  <c r="K21" i="3"/>
  <c r="G21" i="3"/>
  <c r="D21" i="3"/>
  <c r="C21" i="3"/>
  <c r="P34" i="162"/>
  <c r="P35" i="162"/>
  <c r="P37" i="162"/>
  <c r="P40" i="162"/>
  <c r="P46" i="162"/>
  <c r="P48" i="162"/>
  <c r="O37" i="162"/>
  <c r="O46" i="162"/>
  <c r="O48" i="162"/>
  <c r="N37" i="162"/>
  <c r="N46" i="162"/>
  <c r="N48" i="162"/>
  <c r="M37" i="162"/>
  <c r="M46" i="162"/>
  <c r="M48" i="162"/>
  <c r="L37" i="162"/>
  <c r="L46" i="162"/>
  <c r="L48" i="162"/>
  <c r="R34" i="161"/>
  <c r="R35" i="161"/>
  <c r="R36" i="161"/>
  <c r="R37" i="161"/>
  <c r="R38" i="161"/>
  <c r="R39" i="161"/>
  <c r="R40" i="161"/>
  <c r="R41" i="161"/>
  <c r="R42" i="161"/>
  <c r="R43" i="161"/>
  <c r="R44" i="161"/>
  <c r="R45" i="161"/>
  <c r="L21" i="148"/>
  <c r="L28" i="148"/>
  <c r="L36" i="148"/>
  <c r="L38" i="148"/>
  <c r="M21" i="148"/>
  <c r="M28" i="148"/>
  <c r="M36" i="148"/>
  <c r="M38" i="148"/>
  <c r="N21" i="148"/>
  <c r="N28" i="148"/>
  <c r="N36" i="148"/>
  <c r="N38" i="148"/>
  <c r="O21" i="148"/>
  <c r="O28" i="148"/>
  <c r="O36" i="148"/>
  <c r="O38" i="148"/>
  <c r="P21" i="148"/>
  <c r="P28" i="148"/>
  <c r="P36" i="148"/>
  <c r="P38" i="148"/>
  <c r="Q21" i="148"/>
  <c r="Q28" i="148"/>
  <c r="Q36" i="148"/>
  <c r="Q38" i="148"/>
  <c r="R21" i="148"/>
  <c r="R28" i="148"/>
  <c r="R36" i="148"/>
  <c r="R38" i="148"/>
  <c r="S18" i="148"/>
  <c r="S19" i="148"/>
  <c r="S21" i="148"/>
  <c r="S25" i="148"/>
  <c r="S26" i="148"/>
  <c r="S28" i="148"/>
  <c r="S31" i="148"/>
  <c r="S32" i="148"/>
  <c r="S33" i="148"/>
  <c r="S34" i="148"/>
  <c r="S36" i="148"/>
  <c r="S38" i="148"/>
  <c r="L23" i="160"/>
  <c r="L28" i="160"/>
  <c r="L37" i="160"/>
  <c r="L39" i="160"/>
  <c r="M23" i="160"/>
  <c r="M28" i="160"/>
  <c r="M37" i="160"/>
  <c r="M39" i="160"/>
  <c r="N23" i="160"/>
  <c r="N28" i="160"/>
  <c r="N37" i="160"/>
  <c r="N39" i="160"/>
  <c r="O23" i="160"/>
  <c r="O28" i="160"/>
  <c r="O37" i="160"/>
  <c r="O39" i="160"/>
  <c r="P23" i="160"/>
  <c r="P28" i="160"/>
  <c r="P37" i="160"/>
  <c r="P39" i="160"/>
  <c r="Q19" i="160"/>
  <c r="Q20" i="160"/>
  <c r="Q21" i="160"/>
  <c r="Q23" i="160"/>
  <c r="Q26" i="160"/>
  <c r="Q28" i="160"/>
  <c r="Q31" i="160"/>
  <c r="Q32" i="160"/>
  <c r="Q33" i="160"/>
  <c r="Q34" i="160"/>
  <c r="Q35" i="160"/>
  <c r="Q37" i="160"/>
  <c r="Q39" i="160"/>
  <c r="R8" i="161"/>
  <c r="P24" i="161"/>
  <c r="P47" i="161"/>
  <c r="P29" i="161"/>
  <c r="P49" i="161"/>
  <c r="Q47" i="161"/>
  <c r="Q29" i="161"/>
  <c r="Q24" i="161"/>
  <c r="P13" i="161"/>
  <c r="Q13" i="161"/>
  <c r="R33" i="161"/>
  <c r="R47" i="161"/>
  <c r="R17" i="161"/>
  <c r="R18" i="161"/>
  <c r="R19" i="161"/>
  <c r="R20" i="161"/>
  <c r="R21" i="161"/>
  <c r="R22" i="161"/>
  <c r="R24" i="161"/>
  <c r="R27" i="161"/>
  <c r="R29" i="161"/>
  <c r="R49" i="161"/>
  <c r="Q49" i="161"/>
  <c r="O47" i="161"/>
  <c r="O24" i="161"/>
  <c r="O29" i="161"/>
  <c r="O49" i="161"/>
  <c r="N47" i="161"/>
  <c r="N24" i="161"/>
  <c r="N29" i="161"/>
  <c r="N49" i="161"/>
  <c r="M47" i="161"/>
  <c r="M24" i="161"/>
  <c r="M29" i="161"/>
  <c r="M49" i="161"/>
  <c r="L47" i="161"/>
  <c r="L24" i="161"/>
  <c r="L29" i="161"/>
  <c r="L49" i="161"/>
  <c r="R6" i="161"/>
  <c r="R7" i="161"/>
  <c r="R9" i="161"/>
  <c r="R10" i="161"/>
  <c r="R11" i="161"/>
  <c r="R13" i="161"/>
  <c r="O13" i="161"/>
  <c r="N13" i="161"/>
  <c r="M13" i="161"/>
  <c r="L13" i="161"/>
  <c r="L22" i="159"/>
  <c r="L27" i="159"/>
  <c r="L33" i="159"/>
  <c r="L35" i="159"/>
  <c r="M22" i="159"/>
  <c r="M27" i="159"/>
  <c r="M33" i="159"/>
  <c r="M35" i="159"/>
  <c r="N22" i="159"/>
  <c r="N27" i="159"/>
  <c r="N33" i="159"/>
  <c r="N35" i="159"/>
  <c r="O22" i="159"/>
  <c r="O27" i="159"/>
  <c r="O33" i="159"/>
  <c r="O35" i="159"/>
  <c r="P22" i="159"/>
  <c r="P27" i="159"/>
  <c r="P33" i="159"/>
  <c r="P35" i="159"/>
  <c r="Q22" i="159"/>
  <c r="Q27" i="159"/>
  <c r="Q33" i="159"/>
  <c r="Q35" i="159"/>
  <c r="R18" i="159"/>
  <c r="R19" i="159"/>
  <c r="R20" i="159"/>
  <c r="R22" i="159"/>
  <c r="R25" i="159"/>
  <c r="R27" i="159"/>
  <c r="R30" i="159"/>
  <c r="R31" i="159"/>
  <c r="R33" i="159"/>
  <c r="R35" i="159"/>
  <c r="K16" i="160"/>
  <c r="S20" i="3"/>
  <c r="K20" i="3"/>
  <c r="G20" i="3"/>
  <c r="D20" i="3"/>
  <c r="B20" i="3"/>
  <c r="K14" i="159"/>
  <c r="S19" i="3"/>
  <c r="K19" i="3"/>
  <c r="F19" i="3"/>
  <c r="G19" i="3"/>
  <c r="D19" i="3"/>
  <c r="C19" i="3"/>
  <c r="B19" i="3"/>
  <c r="R12" i="159"/>
  <c r="K14" i="148"/>
  <c r="K27" i="146"/>
  <c r="K20" i="146"/>
  <c r="K29" i="146"/>
  <c r="K49" i="145"/>
  <c r="K27" i="145"/>
  <c r="K22" i="145"/>
  <c r="K51" i="145"/>
  <c r="L20" i="158"/>
  <c r="L25" i="158"/>
  <c r="L31" i="158"/>
  <c r="L33" i="158"/>
  <c r="M20" i="158"/>
  <c r="M25" i="158"/>
  <c r="M31" i="158"/>
  <c r="M33" i="158"/>
  <c r="N20" i="158"/>
  <c r="N25" i="158"/>
  <c r="N31" i="158"/>
  <c r="N33" i="158"/>
  <c r="O20" i="158"/>
  <c r="O25" i="158"/>
  <c r="O31" i="158"/>
  <c r="O33" i="158"/>
  <c r="P20" i="158"/>
  <c r="P25" i="158"/>
  <c r="P31" i="158"/>
  <c r="P33" i="158"/>
  <c r="Q20" i="158"/>
  <c r="Q25" i="158"/>
  <c r="Q31" i="158"/>
  <c r="Q33" i="158"/>
  <c r="R17" i="158"/>
  <c r="R18" i="158"/>
  <c r="R20" i="158"/>
  <c r="R23" i="158"/>
  <c r="R25" i="158"/>
  <c r="R28" i="158"/>
  <c r="R29" i="158"/>
  <c r="R31" i="158"/>
  <c r="R33" i="158"/>
  <c r="Q8" i="160"/>
  <c r="Q7" i="160"/>
  <c r="Q9" i="160"/>
  <c r="Q10" i="160"/>
  <c r="Q11" i="160"/>
  <c r="Q12" i="160"/>
  <c r="Q13" i="160"/>
  <c r="Q14" i="160"/>
  <c r="Q16" i="160"/>
  <c r="L16" i="160"/>
  <c r="M16" i="160"/>
  <c r="N16" i="160"/>
  <c r="O16" i="160"/>
  <c r="P16" i="160"/>
  <c r="L14" i="159"/>
  <c r="M14" i="159"/>
  <c r="N14" i="159"/>
  <c r="O14" i="159"/>
  <c r="P14" i="159"/>
  <c r="Q14" i="159"/>
  <c r="R9" i="159"/>
  <c r="R7" i="159"/>
  <c r="R8" i="159"/>
  <c r="R10" i="159"/>
  <c r="R11" i="159"/>
  <c r="R14" i="159"/>
  <c r="K13" i="158"/>
  <c r="K51" i="144"/>
  <c r="K26" i="144"/>
  <c r="K31" i="144"/>
  <c r="K53" i="144"/>
  <c r="AA7" i="3"/>
  <c r="AA8" i="3"/>
  <c r="AA9" i="3"/>
  <c r="K29" i="147"/>
  <c r="K17" i="147"/>
  <c r="K31" i="147"/>
  <c r="AA12" i="3"/>
  <c r="AA71" i="3"/>
  <c r="S18" i="3"/>
  <c r="M7" i="3"/>
  <c r="M8" i="3"/>
  <c r="M9" i="3"/>
  <c r="M12" i="3"/>
  <c r="M71" i="3"/>
  <c r="K18" i="3"/>
  <c r="F18" i="3"/>
  <c r="B18" i="3"/>
  <c r="D18" i="3"/>
  <c r="I18" i="3"/>
  <c r="R9" i="158"/>
  <c r="R10" i="158"/>
  <c r="R11" i="158"/>
  <c r="L13" i="158"/>
  <c r="M13" i="158"/>
  <c r="N13" i="158"/>
  <c r="O13" i="158"/>
  <c r="P13" i="158"/>
  <c r="Q13" i="158"/>
  <c r="R7" i="158"/>
  <c r="R8" i="158"/>
  <c r="R13" i="158"/>
  <c r="S17" i="3"/>
  <c r="K12" i="157"/>
  <c r="K17" i="3"/>
  <c r="B17" i="3"/>
  <c r="D17" i="3"/>
  <c r="E17" i="3"/>
  <c r="F17" i="3"/>
  <c r="I17" i="3"/>
  <c r="J17" i="3"/>
  <c r="S16" i="3"/>
  <c r="K10" i="156"/>
  <c r="K16" i="3"/>
  <c r="G16" i="3"/>
  <c r="C16" i="3"/>
  <c r="B16" i="3"/>
  <c r="O35" i="157"/>
  <c r="O36" i="157"/>
  <c r="O37" i="157"/>
  <c r="O38" i="157"/>
  <c r="O39" i="157"/>
  <c r="O40" i="157"/>
  <c r="O41" i="157"/>
  <c r="O42" i="157"/>
  <c r="O43" i="157"/>
  <c r="O44" i="157"/>
  <c r="O45" i="157"/>
  <c r="O46" i="157"/>
  <c r="O47" i="157"/>
  <c r="O7" i="157"/>
  <c r="O8" i="157"/>
  <c r="L25" i="157"/>
  <c r="M25" i="157"/>
  <c r="N25" i="157"/>
  <c r="O25" i="157"/>
  <c r="O29" i="157"/>
  <c r="O30" i="157"/>
  <c r="O32" i="157"/>
  <c r="O33" i="157"/>
  <c r="O34" i="157"/>
  <c r="O48" i="157"/>
  <c r="O49" i="157"/>
  <c r="O50" i="157"/>
  <c r="O51" i="157"/>
  <c r="O52" i="157"/>
  <c r="O54" i="157"/>
  <c r="O16" i="157"/>
  <c r="O17" i="157"/>
  <c r="O18" i="157"/>
  <c r="O19" i="157"/>
  <c r="O21" i="157"/>
  <c r="O56" i="157"/>
  <c r="N54" i="157"/>
  <c r="N21" i="157"/>
  <c r="N56" i="157"/>
  <c r="M54" i="157"/>
  <c r="M21" i="157"/>
  <c r="M56" i="157"/>
  <c r="L54" i="157"/>
  <c r="L21" i="157"/>
  <c r="L56" i="157"/>
  <c r="O6" i="157"/>
  <c r="O10" i="157"/>
  <c r="O12" i="157"/>
  <c r="N12" i="157"/>
  <c r="M12" i="157"/>
  <c r="L12" i="157"/>
  <c r="S23" i="156"/>
  <c r="L25" i="156"/>
  <c r="L19" i="156"/>
  <c r="L27" i="156"/>
  <c r="M25" i="156"/>
  <c r="M19" i="156"/>
  <c r="M27" i="156"/>
  <c r="N25" i="156"/>
  <c r="N19" i="156"/>
  <c r="N27" i="156"/>
  <c r="O25" i="156"/>
  <c r="O19" i="156"/>
  <c r="O27" i="156"/>
  <c r="P25" i="156"/>
  <c r="P19" i="156"/>
  <c r="P27" i="156"/>
  <c r="Q25" i="156"/>
  <c r="Q19" i="156"/>
  <c r="Q27" i="156"/>
  <c r="R25" i="156"/>
  <c r="R19" i="156"/>
  <c r="R27" i="156"/>
  <c r="S22" i="156"/>
  <c r="S25" i="156"/>
  <c r="S14" i="156"/>
  <c r="S15" i="156"/>
  <c r="S16" i="156"/>
  <c r="S17" i="156"/>
  <c r="S19" i="156"/>
  <c r="S27" i="156"/>
  <c r="S8" i="156"/>
  <c r="S7" i="156"/>
  <c r="S6" i="156"/>
  <c r="S10" i="156"/>
  <c r="Q10" i="156"/>
  <c r="R10" i="156"/>
  <c r="P10" i="156"/>
  <c r="O10" i="156"/>
  <c r="N10" i="156"/>
  <c r="M10" i="156"/>
  <c r="L10" i="156"/>
  <c r="R28" i="155"/>
  <c r="R30" i="155"/>
  <c r="R32" i="155"/>
  <c r="R17" i="155"/>
  <c r="R18" i="155"/>
  <c r="R19" i="155"/>
  <c r="R21" i="155"/>
  <c r="R34" i="155"/>
  <c r="Q32" i="155"/>
  <c r="Q21" i="155"/>
  <c r="Q34" i="155"/>
  <c r="N32" i="155"/>
  <c r="N21" i="155"/>
  <c r="N34" i="155"/>
  <c r="M32" i="155"/>
  <c r="M21" i="155"/>
  <c r="M34" i="155"/>
  <c r="L32" i="155"/>
  <c r="L21" i="155"/>
  <c r="L34" i="155"/>
  <c r="K32" i="155"/>
  <c r="K21" i="155"/>
  <c r="K34" i="155"/>
  <c r="R7" i="155"/>
  <c r="R8" i="155"/>
  <c r="R9" i="155"/>
  <c r="R10" i="155"/>
  <c r="R11" i="155"/>
  <c r="R13" i="155"/>
  <c r="Q13" i="155"/>
  <c r="N13" i="155"/>
  <c r="M13" i="155"/>
  <c r="L13" i="155"/>
  <c r="K13" i="155"/>
  <c r="S25" i="154"/>
  <c r="S21" i="154"/>
  <c r="S22" i="154"/>
  <c r="S23" i="154"/>
  <c r="S24" i="154"/>
  <c r="S26" i="154"/>
  <c r="S28" i="154"/>
  <c r="S35" i="154"/>
  <c r="S34" i="154"/>
  <c r="S36" i="154"/>
  <c r="S37" i="154"/>
  <c r="S39" i="154"/>
  <c r="S31" i="154"/>
  <c r="S41" i="154"/>
  <c r="R39" i="154"/>
  <c r="R28" i="154"/>
  <c r="R41" i="154"/>
  <c r="Q39" i="154"/>
  <c r="Q28" i="154"/>
  <c r="Q41" i="154"/>
  <c r="P39" i="154"/>
  <c r="P28" i="154"/>
  <c r="P41" i="154"/>
  <c r="O39" i="154"/>
  <c r="O28" i="154"/>
  <c r="O41" i="154"/>
  <c r="N39" i="154"/>
  <c r="N28" i="154"/>
  <c r="N41" i="154"/>
  <c r="M39" i="154"/>
  <c r="M28" i="154"/>
  <c r="M41" i="154"/>
  <c r="L39" i="154"/>
  <c r="L28" i="154"/>
  <c r="L41" i="154"/>
  <c r="S9" i="154"/>
  <c r="S14" i="154"/>
  <c r="S7" i="154"/>
  <c r="S8" i="154"/>
  <c r="S10" i="154"/>
  <c r="S11" i="154"/>
  <c r="S12" i="154"/>
  <c r="S13" i="154"/>
  <c r="S15" i="154"/>
  <c r="S17" i="154"/>
  <c r="R17" i="154"/>
  <c r="Q17" i="154"/>
  <c r="P17" i="154"/>
  <c r="O17" i="154"/>
  <c r="N17" i="154"/>
  <c r="M17" i="154"/>
  <c r="L17" i="154"/>
  <c r="V28" i="154"/>
  <c r="V39" i="154"/>
  <c r="U28" i="154"/>
  <c r="U39" i="154"/>
  <c r="T28" i="154"/>
  <c r="T39" i="154"/>
  <c r="V21" i="153"/>
  <c r="V37" i="153"/>
  <c r="V39" i="153"/>
  <c r="U17" i="153"/>
  <c r="U18" i="153"/>
  <c r="U19" i="153"/>
  <c r="U21" i="153"/>
  <c r="U25" i="153"/>
  <c r="U26" i="153"/>
  <c r="U27" i="153"/>
  <c r="U28" i="153"/>
  <c r="U29" i="153"/>
  <c r="U30" i="153"/>
  <c r="U31" i="153"/>
  <c r="U32" i="153"/>
  <c r="U33" i="153"/>
  <c r="U34" i="153"/>
  <c r="U35" i="153"/>
  <c r="U37" i="153"/>
  <c r="U39" i="153"/>
  <c r="T21" i="153"/>
  <c r="T37" i="153"/>
  <c r="T39" i="153"/>
  <c r="S21" i="153"/>
  <c r="S37" i="153"/>
  <c r="S39" i="153"/>
  <c r="R21" i="153"/>
  <c r="R37" i="153"/>
  <c r="R39" i="153"/>
  <c r="Q21" i="153"/>
  <c r="Q37" i="153"/>
  <c r="Q39" i="153"/>
  <c r="P21" i="153"/>
  <c r="P37" i="153"/>
  <c r="P39" i="153"/>
  <c r="O21" i="153"/>
  <c r="O37" i="153"/>
  <c r="O39" i="153"/>
  <c r="N21" i="153"/>
  <c r="N37" i="153"/>
  <c r="N39" i="153"/>
  <c r="M21" i="153"/>
  <c r="M37" i="153"/>
  <c r="M39" i="153"/>
  <c r="L21" i="153"/>
  <c r="L37" i="153"/>
  <c r="L39" i="153"/>
  <c r="V13" i="153"/>
  <c r="U7" i="153"/>
  <c r="U8" i="153"/>
  <c r="U9" i="153"/>
  <c r="U10" i="153"/>
  <c r="U11" i="153"/>
  <c r="U13" i="153"/>
  <c r="T13" i="153"/>
  <c r="S13" i="153"/>
  <c r="R13" i="153"/>
  <c r="Q13" i="153"/>
  <c r="P13" i="153"/>
  <c r="O13" i="153"/>
  <c r="N13" i="153"/>
  <c r="M13" i="153"/>
  <c r="L13" i="153"/>
  <c r="S32" i="151"/>
  <c r="S33" i="151"/>
  <c r="S35" i="151"/>
  <c r="S27" i="151"/>
  <c r="S28" i="151"/>
  <c r="S22" i="151"/>
  <c r="S17" i="151"/>
  <c r="S18" i="151"/>
  <c r="S19" i="151"/>
  <c r="S20" i="151"/>
  <c r="S21" i="151"/>
  <c r="S24" i="151"/>
  <c r="S37" i="151"/>
  <c r="R35" i="151"/>
  <c r="R24" i="151"/>
  <c r="R28" i="151"/>
  <c r="Q35" i="151"/>
  <c r="Q24" i="151"/>
  <c r="Q28" i="151"/>
  <c r="Q37" i="151"/>
  <c r="P35" i="151"/>
  <c r="P28" i="151"/>
  <c r="P24" i="151"/>
  <c r="P37" i="151"/>
  <c r="O24" i="151"/>
  <c r="O35" i="151"/>
  <c r="O28" i="151"/>
  <c r="O37" i="151"/>
  <c r="N35" i="151"/>
  <c r="N24" i="151"/>
  <c r="N28" i="151"/>
  <c r="N37" i="151"/>
  <c r="M35" i="151"/>
  <c r="M28" i="151"/>
  <c r="M24" i="151"/>
  <c r="M37" i="151"/>
  <c r="L35" i="151"/>
  <c r="L24" i="151"/>
  <c r="L28" i="151"/>
  <c r="L37" i="151"/>
  <c r="S8" i="151"/>
  <c r="S6" i="151"/>
  <c r="S7" i="151"/>
  <c r="S9" i="151"/>
  <c r="S10" i="151"/>
  <c r="S11" i="151"/>
  <c r="S12" i="151"/>
  <c r="S14" i="151"/>
  <c r="R14" i="151"/>
  <c r="Q14" i="151"/>
  <c r="P14" i="151"/>
  <c r="O14" i="151"/>
  <c r="N14" i="151"/>
  <c r="M14" i="151"/>
  <c r="L14" i="151"/>
  <c r="J21" i="152"/>
  <c r="K21" i="152"/>
  <c r="L21" i="152"/>
  <c r="M21" i="152"/>
  <c r="N21" i="152"/>
  <c r="O15" i="152"/>
  <c r="O16" i="152"/>
  <c r="O17" i="152"/>
  <c r="O18" i="152"/>
  <c r="O19" i="152"/>
  <c r="O21" i="152"/>
  <c r="O29" i="152"/>
  <c r="O30" i="152"/>
  <c r="O31" i="152"/>
  <c r="O32" i="152"/>
  <c r="O34" i="152"/>
  <c r="O24" i="152"/>
  <c r="O26" i="152"/>
  <c r="O36" i="152"/>
  <c r="N34" i="152"/>
  <c r="N26" i="152"/>
  <c r="N36" i="152"/>
  <c r="M34" i="152"/>
  <c r="M36" i="152"/>
  <c r="L34" i="152"/>
  <c r="L26" i="152"/>
  <c r="L36" i="152"/>
  <c r="K34" i="152"/>
  <c r="K26" i="152"/>
  <c r="K36" i="152"/>
  <c r="J34" i="152"/>
  <c r="J36" i="152"/>
  <c r="M26" i="152"/>
  <c r="J26" i="152"/>
  <c r="O7" i="152"/>
  <c r="O9" i="152"/>
  <c r="O6" i="152"/>
  <c r="O8" i="152"/>
  <c r="O11" i="152"/>
  <c r="N11" i="152"/>
  <c r="M11" i="152"/>
  <c r="L11" i="152"/>
  <c r="K11" i="152"/>
  <c r="J11" i="152"/>
  <c r="M13" i="142"/>
  <c r="J17" i="150"/>
  <c r="J32" i="150"/>
  <c r="J34" i="150"/>
  <c r="K17" i="150"/>
  <c r="K32" i="150"/>
  <c r="K34" i="150"/>
  <c r="L17" i="150"/>
  <c r="L32" i="150"/>
  <c r="L34" i="150"/>
  <c r="M17" i="150"/>
  <c r="M32" i="150"/>
  <c r="M34" i="150"/>
  <c r="N17" i="150"/>
  <c r="N32" i="150"/>
  <c r="N34" i="150"/>
  <c r="O14" i="150"/>
  <c r="O15" i="150"/>
  <c r="O17" i="150"/>
  <c r="O23" i="150"/>
  <c r="O24" i="150"/>
  <c r="O25" i="150"/>
  <c r="O26" i="150"/>
  <c r="O27" i="150"/>
  <c r="O28" i="150"/>
  <c r="O29" i="150"/>
  <c r="O30" i="150"/>
  <c r="O32" i="150"/>
  <c r="O19" i="150"/>
  <c r="O34" i="150"/>
  <c r="P17" i="150"/>
  <c r="P32" i="150"/>
  <c r="P34" i="150"/>
  <c r="M17" i="143"/>
  <c r="M27" i="143"/>
  <c r="M29" i="143"/>
  <c r="N17" i="143"/>
  <c r="N27" i="143"/>
  <c r="N29" i="143"/>
  <c r="O17" i="143"/>
  <c r="O27" i="143"/>
  <c r="O29" i="143"/>
  <c r="P17" i="143"/>
  <c r="P27" i="143"/>
  <c r="P29" i="143"/>
  <c r="Q17" i="143"/>
  <c r="Q27" i="143"/>
  <c r="Q29" i="143"/>
  <c r="R13" i="143"/>
  <c r="R14" i="143"/>
  <c r="R15" i="143"/>
  <c r="R17" i="143"/>
  <c r="R20" i="143"/>
  <c r="R24" i="143"/>
  <c r="R27" i="143"/>
  <c r="R29" i="143"/>
  <c r="L17" i="143"/>
  <c r="L27" i="143"/>
  <c r="L29" i="143"/>
  <c r="O8" i="150"/>
  <c r="O7" i="150"/>
  <c r="O6" i="150"/>
  <c r="O10" i="150"/>
  <c r="P10" i="150"/>
  <c r="N10" i="150"/>
  <c r="M10" i="150"/>
  <c r="L10" i="150"/>
  <c r="K10" i="150"/>
  <c r="J10" i="150"/>
  <c r="S15" i="3"/>
  <c r="K21" i="149"/>
  <c r="K15" i="3"/>
  <c r="G15" i="3"/>
  <c r="D15" i="3"/>
  <c r="C15" i="3"/>
  <c r="C7" i="3"/>
  <c r="C9" i="3"/>
  <c r="C13" i="3"/>
  <c r="C71" i="3"/>
  <c r="B15" i="3"/>
  <c r="Q28" i="149"/>
  <c r="Q29" i="149"/>
  <c r="Q30" i="149"/>
  <c r="Q31" i="149"/>
  <c r="Q25" i="149"/>
  <c r="Q26" i="149"/>
  <c r="Q27" i="149"/>
  <c r="Q32" i="149"/>
  <c r="Q35" i="149"/>
  <c r="M64" i="149"/>
  <c r="M35" i="149"/>
  <c r="M41" i="149"/>
  <c r="M66" i="149"/>
  <c r="L35" i="149"/>
  <c r="L41" i="149"/>
  <c r="L64" i="149"/>
  <c r="L66" i="149"/>
  <c r="N41" i="149"/>
  <c r="O41" i="149"/>
  <c r="P41" i="149"/>
  <c r="Q39" i="149"/>
  <c r="Q41" i="149"/>
  <c r="M21" i="149"/>
  <c r="N21" i="149"/>
  <c r="Q45" i="149"/>
  <c r="Q46" i="149"/>
  <c r="Q47" i="149"/>
  <c r="Q49" i="149"/>
  <c r="Q50" i="149"/>
  <c r="Q51" i="149"/>
  <c r="Q52" i="149"/>
  <c r="Q53" i="149"/>
  <c r="Q55" i="149"/>
  <c r="Q56" i="149"/>
  <c r="Q57" i="149"/>
  <c r="Q58" i="149"/>
  <c r="Q59" i="149"/>
  <c r="Q60" i="149"/>
  <c r="Q61" i="149"/>
  <c r="Q62" i="149"/>
  <c r="Q64" i="149"/>
  <c r="Q66" i="149"/>
  <c r="P64" i="149"/>
  <c r="P35" i="149"/>
  <c r="P66" i="149"/>
  <c r="O64" i="149"/>
  <c r="O35" i="149"/>
  <c r="O66" i="149"/>
  <c r="N64" i="149"/>
  <c r="N35" i="149"/>
  <c r="N66" i="149"/>
  <c r="Q6" i="149"/>
  <c r="Q7" i="149"/>
  <c r="Q9" i="149"/>
  <c r="Q10" i="149"/>
  <c r="Q11" i="149"/>
  <c r="Q12" i="149"/>
  <c r="Q14" i="149"/>
  <c r="Q15" i="149"/>
  <c r="Q16" i="149"/>
  <c r="Q17" i="149"/>
  <c r="Q18" i="149"/>
  <c r="Q19" i="149"/>
  <c r="Q21" i="149"/>
  <c r="P21" i="149"/>
  <c r="O21" i="149"/>
  <c r="L21" i="149"/>
  <c r="S13" i="3"/>
  <c r="K13" i="3"/>
  <c r="G13" i="3"/>
  <c r="D13" i="3"/>
  <c r="D7" i="3"/>
  <c r="D8" i="3"/>
  <c r="D9" i="3"/>
  <c r="D12" i="3"/>
  <c r="D71" i="3"/>
  <c r="B13" i="3"/>
  <c r="L14" i="148"/>
  <c r="M14" i="148"/>
  <c r="N14" i="148"/>
  <c r="O14" i="148"/>
  <c r="P14" i="148"/>
  <c r="Q14" i="148"/>
  <c r="R14" i="148"/>
  <c r="S7" i="148"/>
  <c r="S8" i="148"/>
  <c r="S9" i="148"/>
  <c r="S10" i="148"/>
  <c r="S11" i="148"/>
  <c r="S12" i="148"/>
  <c r="S14" i="148"/>
  <c r="W12" i="3"/>
  <c r="S12" i="3"/>
  <c r="N12" i="3"/>
  <c r="Q12" i="3"/>
  <c r="K9" i="147"/>
  <c r="K12" i="3"/>
  <c r="B12" i="3"/>
  <c r="I12" i="3"/>
  <c r="J12" i="3"/>
  <c r="P20" i="147"/>
  <c r="P21" i="147"/>
  <c r="P22" i="147"/>
  <c r="P23" i="147"/>
  <c r="P24" i="147"/>
  <c r="P25" i="147"/>
  <c r="P26" i="147"/>
  <c r="P27" i="147"/>
  <c r="P29" i="147"/>
  <c r="O29" i="147"/>
  <c r="O17" i="147"/>
  <c r="O31" i="147"/>
  <c r="P13" i="147"/>
  <c r="P14" i="147"/>
  <c r="P15" i="147"/>
  <c r="P17" i="147"/>
  <c r="N29" i="147"/>
  <c r="N17" i="147"/>
  <c r="N31" i="147"/>
  <c r="M29" i="147"/>
  <c r="M17" i="147"/>
  <c r="M31" i="147"/>
  <c r="L29" i="147"/>
  <c r="L17" i="147"/>
  <c r="L31" i="147"/>
  <c r="P6" i="147"/>
  <c r="P7" i="147"/>
  <c r="P9" i="147"/>
  <c r="O9" i="147"/>
  <c r="N9" i="147"/>
  <c r="M9" i="147"/>
  <c r="L9" i="147"/>
  <c r="S9" i="3"/>
  <c r="W9" i="3"/>
  <c r="V9" i="3"/>
  <c r="P9" i="3"/>
  <c r="P71" i="3"/>
  <c r="O9" i="3"/>
  <c r="O8" i="3"/>
  <c r="O71" i="3"/>
  <c r="K11" i="146"/>
  <c r="K9" i="3"/>
  <c r="G9" i="3"/>
  <c r="B9" i="3"/>
  <c r="I9" i="3"/>
  <c r="N20" i="146"/>
  <c r="L20" i="146"/>
  <c r="L27" i="146"/>
  <c r="L29" i="146"/>
  <c r="M20" i="146"/>
  <c r="M27" i="146"/>
  <c r="M29" i="146"/>
  <c r="N27" i="146"/>
  <c r="N29" i="146"/>
  <c r="O27" i="146"/>
  <c r="O20" i="146"/>
  <c r="O29" i="146"/>
  <c r="P15" i="146"/>
  <c r="P16" i="146"/>
  <c r="P17" i="146"/>
  <c r="P18" i="146"/>
  <c r="P20" i="146"/>
  <c r="P23" i="146"/>
  <c r="P24" i="146"/>
  <c r="P25" i="146"/>
  <c r="P27" i="146"/>
  <c r="P29" i="146"/>
  <c r="P6" i="146"/>
  <c r="P7" i="146"/>
  <c r="P8" i="146"/>
  <c r="P9" i="146"/>
  <c r="P11" i="146"/>
  <c r="O11" i="146"/>
  <c r="N11" i="146"/>
  <c r="M11" i="146"/>
  <c r="L11" i="146"/>
  <c r="W8" i="3"/>
  <c r="T8" i="3"/>
  <c r="S8" i="3"/>
  <c r="K14" i="145"/>
  <c r="K8" i="3"/>
  <c r="G8" i="3"/>
  <c r="B8" i="3"/>
  <c r="L49" i="145"/>
  <c r="M49" i="145"/>
  <c r="N49" i="145"/>
  <c r="O49" i="145"/>
  <c r="P49" i="145"/>
  <c r="Q49" i="145"/>
  <c r="R49" i="145"/>
  <c r="S30" i="145"/>
  <c r="S31" i="145"/>
  <c r="S32" i="145"/>
  <c r="S33" i="145"/>
  <c r="S34" i="145"/>
  <c r="S35" i="145"/>
  <c r="S36" i="145"/>
  <c r="S37" i="145"/>
  <c r="S38" i="145"/>
  <c r="S39" i="145"/>
  <c r="S40" i="145"/>
  <c r="S41" i="145"/>
  <c r="S42" i="145"/>
  <c r="S43" i="145"/>
  <c r="S44" i="145"/>
  <c r="S45" i="145"/>
  <c r="S46" i="145"/>
  <c r="S47" i="145"/>
  <c r="S49" i="145"/>
  <c r="S19" i="145"/>
  <c r="S20" i="145"/>
  <c r="L22" i="145"/>
  <c r="M22" i="145"/>
  <c r="N22" i="145"/>
  <c r="O22" i="145"/>
  <c r="P22" i="145"/>
  <c r="Q22" i="145"/>
  <c r="R22" i="145"/>
  <c r="S18" i="145"/>
  <c r="S22" i="145"/>
  <c r="S25" i="145"/>
  <c r="S27" i="145"/>
  <c r="S51" i="145"/>
  <c r="R27" i="145"/>
  <c r="R51" i="145"/>
  <c r="Q27" i="145"/>
  <c r="Q51" i="145"/>
  <c r="P27" i="145"/>
  <c r="P51" i="145"/>
  <c r="O27" i="145"/>
  <c r="O51" i="145"/>
  <c r="N27" i="145"/>
  <c r="N51" i="145"/>
  <c r="M27" i="145"/>
  <c r="M51" i="145"/>
  <c r="L27" i="145"/>
  <c r="L51" i="145"/>
  <c r="S7" i="145"/>
  <c r="S8" i="145"/>
  <c r="S9" i="145"/>
  <c r="S10" i="145"/>
  <c r="S11" i="145"/>
  <c r="S12" i="145"/>
  <c r="S14" i="145"/>
  <c r="R14" i="145"/>
  <c r="Q14" i="145"/>
  <c r="P14" i="145"/>
  <c r="O14" i="145"/>
  <c r="N14" i="145"/>
  <c r="M14" i="145"/>
  <c r="L14" i="145"/>
  <c r="W7" i="3"/>
  <c r="U7" i="3"/>
  <c r="S7" i="3"/>
  <c r="K16" i="144"/>
  <c r="K7" i="3"/>
  <c r="G7" i="3"/>
  <c r="B7" i="3"/>
  <c r="P7" i="144"/>
  <c r="P8" i="144"/>
  <c r="P9" i="144"/>
  <c r="P10" i="144"/>
  <c r="P11" i="144"/>
  <c r="P12" i="144"/>
  <c r="P13" i="144"/>
  <c r="P14" i="144"/>
  <c r="P45" i="144"/>
  <c r="P46" i="144"/>
  <c r="P47" i="144"/>
  <c r="P48" i="144"/>
  <c r="P49" i="144"/>
  <c r="P51" i="144"/>
  <c r="P20" i="144"/>
  <c r="P21" i="144"/>
  <c r="P22" i="144"/>
  <c r="P23" i="144"/>
  <c r="P24" i="144"/>
  <c r="P26" i="144"/>
  <c r="P29" i="144"/>
  <c r="P31" i="144"/>
  <c r="P53" i="144"/>
  <c r="O51" i="144"/>
  <c r="O26" i="144"/>
  <c r="O31" i="144"/>
  <c r="O53" i="144"/>
  <c r="N51" i="144"/>
  <c r="N26" i="144"/>
  <c r="N31" i="144"/>
  <c r="N53" i="144"/>
  <c r="M51" i="144"/>
  <c r="M26" i="144"/>
  <c r="M31" i="144"/>
  <c r="M53" i="144"/>
  <c r="L51" i="144"/>
  <c r="L26" i="144"/>
  <c r="L31" i="144"/>
  <c r="L53" i="144"/>
  <c r="P6" i="144"/>
  <c r="P16" i="144"/>
  <c r="O16" i="144"/>
  <c r="N16" i="144"/>
  <c r="M16" i="144"/>
  <c r="L16" i="144"/>
  <c r="U71" i="3"/>
  <c r="V71" i="3"/>
  <c r="X7" i="3"/>
  <c r="X8" i="3"/>
  <c r="X9" i="3"/>
  <c r="X12" i="3"/>
  <c r="X53" i="3"/>
  <c r="X71" i="3"/>
  <c r="Q9" i="3"/>
  <c r="Y9" i="3"/>
  <c r="Q53" i="3"/>
  <c r="Q7" i="3"/>
  <c r="Y7" i="3"/>
  <c r="Q8" i="3"/>
  <c r="Y8" i="3"/>
  <c r="R19" i="3"/>
  <c r="R20" i="3"/>
  <c r="E71" i="3"/>
  <c r="G71" i="3"/>
  <c r="H71" i="3"/>
  <c r="I68" i="3"/>
  <c r="I40" i="3"/>
  <c r="R68" i="3"/>
  <c r="J68" i="3"/>
  <c r="R24" i="3"/>
  <c r="I24" i="3"/>
  <c r="J24" i="3"/>
  <c r="I20" i="3"/>
  <c r="J20" i="3"/>
  <c r="I42" i="3"/>
  <c r="J42" i="3"/>
  <c r="I69" i="3"/>
  <c r="J69" i="3"/>
  <c r="Q9" i="143"/>
  <c r="P9" i="143"/>
  <c r="O9" i="143"/>
  <c r="N9" i="143"/>
  <c r="M9" i="143"/>
  <c r="L9" i="143"/>
  <c r="R7" i="143"/>
  <c r="R6" i="143"/>
  <c r="M34" i="142"/>
  <c r="M25" i="142"/>
  <c r="M19" i="142"/>
  <c r="M36" i="142"/>
  <c r="N34" i="142"/>
  <c r="N25" i="142"/>
  <c r="N19" i="142"/>
  <c r="N36" i="142"/>
  <c r="O34" i="142"/>
  <c r="O25" i="142"/>
  <c r="O19" i="142"/>
  <c r="O36" i="142"/>
  <c r="O13" i="142"/>
  <c r="N13" i="142"/>
  <c r="R42" i="3"/>
  <c r="R69" i="3"/>
  <c r="I67" i="3"/>
  <c r="J67" i="3"/>
  <c r="R67" i="3"/>
  <c r="R63" i="3"/>
  <c r="R9" i="143"/>
  <c r="I66" i="3"/>
  <c r="J66" i="3"/>
  <c r="R66" i="3"/>
  <c r="I63" i="3"/>
  <c r="J63" i="3"/>
  <c r="R65" i="3"/>
  <c r="I65" i="3"/>
  <c r="J65" i="3"/>
  <c r="I61" i="3"/>
  <c r="R62" i="3"/>
  <c r="I62" i="3"/>
  <c r="J62" i="3"/>
  <c r="J61" i="3"/>
  <c r="I59" i="3"/>
  <c r="J59" i="3"/>
  <c r="R61" i="3"/>
  <c r="I55" i="3"/>
  <c r="J55" i="3"/>
  <c r="I48" i="3"/>
  <c r="J48" i="3"/>
  <c r="I47" i="3"/>
  <c r="J47" i="3"/>
  <c r="R47" i="3"/>
  <c r="R48" i="3"/>
  <c r="R59" i="3"/>
  <c r="R40" i="3"/>
  <c r="R55" i="3"/>
  <c r="I46" i="3"/>
  <c r="J46" i="3"/>
  <c r="R46" i="3"/>
  <c r="I45" i="3"/>
  <c r="J45" i="3"/>
  <c r="R45" i="3"/>
  <c r="R38" i="3"/>
  <c r="J40" i="3"/>
  <c r="I38" i="3"/>
  <c r="J38" i="3"/>
  <c r="I27" i="3"/>
  <c r="J27" i="3"/>
  <c r="I28" i="3"/>
  <c r="J28" i="3"/>
  <c r="R28" i="3"/>
  <c r="R27" i="3"/>
  <c r="I26" i="3"/>
  <c r="J26" i="3"/>
  <c r="I25" i="3"/>
  <c r="J25" i="3"/>
  <c r="I21" i="3"/>
  <c r="I7" i="3"/>
  <c r="I8" i="3"/>
  <c r="I13" i="3"/>
  <c r="I15" i="3"/>
  <c r="I16" i="3"/>
  <c r="I19" i="3"/>
  <c r="I22" i="3"/>
  <c r="I23" i="3"/>
  <c r="I29" i="3"/>
  <c r="I37" i="3"/>
  <c r="I39" i="3"/>
  <c r="I41" i="3"/>
  <c r="I43" i="3"/>
  <c r="I44" i="3"/>
  <c r="I49" i="3"/>
  <c r="I50" i="3"/>
  <c r="I51" i="3"/>
  <c r="I52" i="3"/>
  <c r="I53" i="3"/>
  <c r="I54" i="3"/>
  <c r="I56" i="3"/>
  <c r="I57" i="3"/>
  <c r="I58" i="3"/>
  <c r="I60" i="3"/>
  <c r="I64" i="3"/>
  <c r="I71" i="3"/>
  <c r="J23" i="3"/>
  <c r="R23" i="3"/>
  <c r="J19" i="3"/>
  <c r="R25" i="3"/>
  <c r="R26" i="3"/>
  <c r="R30" i="3"/>
  <c r="R32" i="3"/>
  <c r="R15" i="3"/>
  <c r="J16" i="3"/>
  <c r="R8" i="3"/>
  <c r="R7" i="3"/>
  <c r="J8" i="3"/>
  <c r="Z8" i="3"/>
  <c r="Z7" i="3"/>
  <c r="J44" i="3"/>
  <c r="R44" i="3"/>
  <c r="J54" i="3"/>
  <c r="R54" i="3"/>
  <c r="J51" i="3"/>
  <c r="R51" i="3"/>
  <c r="R39" i="3"/>
  <c r="J39" i="3"/>
  <c r="J37" i="3"/>
  <c r="R37" i="3"/>
  <c r="R22" i="3"/>
  <c r="J22" i="3"/>
  <c r="R29" i="3"/>
  <c r="J29" i="3"/>
  <c r="R64" i="3"/>
  <c r="R60" i="3"/>
  <c r="R58" i="3"/>
  <c r="R57" i="3"/>
  <c r="R56" i="3"/>
  <c r="R53" i="3"/>
  <c r="R52" i="3"/>
  <c r="R50" i="3"/>
  <c r="R49" i="3"/>
  <c r="R43" i="3"/>
  <c r="R41" i="3"/>
  <c r="J64" i="3"/>
  <c r="J60" i="3"/>
  <c r="J58" i="3"/>
  <c r="J57" i="3"/>
  <c r="J56" i="3"/>
  <c r="J53" i="3"/>
  <c r="J52" i="3"/>
  <c r="J50" i="3"/>
  <c r="J49" i="3"/>
  <c r="J43" i="3"/>
  <c r="J41" i="3"/>
  <c r="J7" i="3"/>
  <c r="W71" i="3"/>
  <c r="J15" i="3"/>
  <c r="T71" i="3"/>
  <c r="N71" i="3"/>
  <c r="R13" i="3"/>
  <c r="J13" i="3"/>
  <c r="P31" i="147"/>
  <c r="Y12" i="3"/>
  <c r="Z12" i="3"/>
  <c r="R12" i="3"/>
  <c r="Z9" i="3"/>
  <c r="J9" i="3"/>
  <c r="B71" i="3"/>
  <c r="R9" i="3"/>
  <c r="R37" i="151"/>
  <c r="R17" i="3"/>
  <c r="J18" i="3"/>
  <c r="K71" i="3"/>
  <c r="S71" i="3"/>
  <c r="F71" i="3"/>
  <c r="R16" i="3"/>
  <c r="R18" i="3"/>
  <c r="Y71" i="3"/>
  <c r="Z71" i="3"/>
  <c r="R21" i="3"/>
  <c r="Q71" i="3"/>
  <c r="R71" i="3"/>
  <c r="J71" i="3"/>
  <c r="J21" i="3"/>
  <c r="S18" i="205" l="1"/>
  <c r="S26" i="205" s="1"/>
  <c r="P26" i="205"/>
  <c r="O26" i="205"/>
  <c r="N26" i="205"/>
  <c r="M26" i="205"/>
  <c r="L26" i="205"/>
</calcChain>
</file>

<file path=xl/sharedStrings.xml><?xml version="1.0" encoding="utf-8"?>
<sst xmlns="http://schemas.openxmlformats.org/spreadsheetml/2006/main" count="2968" uniqueCount="936">
  <si>
    <t>Acadia Combined Balance Sheet</t>
  </si>
  <si>
    <t xml:space="preserve">                      Issued: December 31, 2014</t>
  </si>
  <si>
    <t>General Fund</t>
  </si>
  <si>
    <t>Parish Road Fund</t>
  </si>
  <si>
    <t>Sales Tax Fund</t>
  </si>
  <si>
    <t>1% Sales Tax District No. 2 Fund</t>
  </si>
  <si>
    <t>Other Governmental Funds</t>
  </si>
  <si>
    <t>Total Governmental Funds</t>
  </si>
  <si>
    <t>Assets:</t>
  </si>
  <si>
    <t xml:space="preserve">Cash </t>
  </si>
  <si>
    <t>Investments</t>
  </si>
  <si>
    <t>Tax Receivable</t>
  </si>
  <si>
    <t>Special assessments receivable</t>
  </si>
  <si>
    <t>Other receivables</t>
  </si>
  <si>
    <t>Due from other governmental entities, net of allowance</t>
  </si>
  <si>
    <t>for doubtful accounts</t>
  </si>
  <si>
    <t>Due from other funds</t>
  </si>
  <si>
    <t>Due from component units</t>
  </si>
  <si>
    <t>Total assets:</t>
  </si>
  <si>
    <t>LIABILITIES AND FUND BALANCES</t>
  </si>
  <si>
    <t>Liabilities:</t>
  </si>
  <si>
    <t>Accounts payable</t>
  </si>
  <si>
    <t>Retainage payable</t>
  </si>
  <si>
    <t>Accrued liabilities and other payables</t>
  </si>
  <si>
    <t>Unearned revenue</t>
  </si>
  <si>
    <t>Due to other funds</t>
  </si>
  <si>
    <t>Total liabilities:</t>
  </si>
  <si>
    <t>DEFERRED INFLOWS OF RESOURCES</t>
  </si>
  <si>
    <t>Unavailable revenue- special assessments</t>
  </si>
  <si>
    <t>Total deferred inflows of resources</t>
  </si>
  <si>
    <t>Fund Balances</t>
  </si>
  <si>
    <t>Restricted for:</t>
  </si>
  <si>
    <t>Property tax dedication</t>
  </si>
  <si>
    <t>Sales tax dedication</t>
  </si>
  <si>
    <t>Debt retirement</t>
  </si>
  <si>
    <t>Mosquito control</t>
  </si>
  <si>
    <t>Cooperative extension operation and maintenance</t>
  </si>
  <si>
    <t>Committed to:</t>
  </si>
  <si>
    <t>Road maintenance and construction</t>
  </si>
  <si>
    <t>Health unit operation and maintenance</t>
  </si>
  <si>
    <t>Rice Arena operation and maintenance</t>
  </si>
  <si>
    <t>Assigned:</t>
  </si>
  <si>
    <t>Capital projects</t>
  </si>
  <si>
    <t>Economic development</t>
  </si>
  <si>
    <t>Airport</t>
  </si>
  <si>
    <t>Other</t>
  </si>
  <si>
    <t>Unassigned</t>
  </si>
  <si>
    <t>Total fund balances:</t>
  </si>
  <si>
    <t>Total liabilities and fund balances:</t>
  </si>
  <si>
    <t>Allen Combined Balance Sheet</t>
  </si>
  <si>
    <t>General</t>
  </si>
  <si>
    <t>Solid Waste Fund</t>
  </si>
  <si>
    <t>Hospital Retrofit Fund</t>
  </si>
  <si>
    <t>Compact Fund</t>
  </si>
  <si>
    <t>Road District #2 Mtc. Fund</t>
  </si>
  <si>
    <t>Road District #3 Mtc. Fund</t>
  </si>
  <si>
    <t>Nonmajor Governmental Funds</t>
  </si>
  <si>
    <t>Cash</t>
  </si>
  <si>
    <t>Receivables</t>
  </si>
  <si>
    <t>Due from other governments</t>
  </si>
  <si>
    <t>Inventory</t>
  </si>
  <si>
    <t>Prepaid assets</t>
  </si>
  <si>
    <t>Total Assets:</t>
  </si>
  <si>
    <t>DEFERRED INFLOWS OF RESROUCES</t>
  </si>
  <si>
    <t xml:space="preserve">Unavailable revenue </t>
  </si>
  <si>
    <t>Nonspendable - prepaids</t>
  </si>
  <si>
    <t>Nonspendable- inventroy</t>
  </si>
  <si>
    <t>Restricted:</t>
  </si>
  <si>
    <t>Judicial</t>
  </si>
  <si>
    <t>Other general government</t>
  </si>
  <si>
    <t>Public safety</t>
  </si>
  <si>
    <t>Public works</t>
  </si>
  <si>
    <t>Sanitation</t>
  </si>
  <si>
    <t>Debt service</t>
  </si>
  <si>
    <t>Committed:</t>
  </si>
  <si>
    <t xml:space="preserve">Negative unassigned </t>
  </si>
  <si>
    <t xml:space="preserve">Unassigned </t>
  </si>
  <si>
    <t>Total fund balance:</t>
  </si>
  <si>
    <t>Total liabilities, deffered inflows of resources and fund balances:</t>
  </si>
  <si>
    <t>Assumption Combined Balance Sheet</t>
  </si>
  <si>
    <t xml:space="preserve">  Issued: December 31, 2014</t>
  </si>
  <si>
    <t>Sales and Use Tax</t>
  </si>
  <si>
    <t>Solid Waste</t>
  </si>
  <si>
    <t xml:space="preserve">Section Eight Housing </t>
  </si>
  <si>
    <t>Total</t>
  </si>
  <si>
    <t>Cash and cash equivalents</t>
  </si>
  <si>
    <t>Salaries payable</t>
  </si>
  <si>
    <t>Other liabilities</t>
  </si>
  <si>
    <t>Restricted</t>
  </si>
  <si>
    <t>Assigned</t>
  </si>
  <si>
    <t>Avoyelles Combined Balance Sheet</t>
  </si>
  <si>
    <t xml:space="preserve">General </t>
  </si>
  <si>
    <t>Road &amp; Bridge</t>
  </si>
  <si>
    <t>Drainage</t>
  </si>
  <si>
    <t>Health Unit</t>
  </si>
  <si>
    <t>Library</t>
  </si>
  <si>
    <t>Section 8</t>
  </si>
  <si>
    <t>Brudd Construction LCDBG</t>
  </si>
  <si>
    <t>Cash and interest-bearing deposits</t>
  </si>
  <si>
    <t>Due from other governmental units</t>
  </si>
  <si>
    <t>Prepaid items</t>
  </si>
  <si>
    <t>LIABILITIES, DEFERRED INFLOWS OF RESOURCES AND FUND BALANCES</t>
  </si>
  <si>
    <t>Accounts, salaries, and other payables</t>
  </si>
  <si>
    <t>Unavailable revenue</t>
  </si>
  <si>
    <t>Nonspendable</t>
  </si>
  <si>
    <t xml:space="preserve">Public safety </t>
  </si>
  <si>
    <t>Health and welfare</t>
  </si>
  <si>
    <t>Culture and recreation</t>
  </si>
  <si>
    <t>Unassigned (deficit)</t>
  </si>
  <si>
    <t>Beauregard Combined Balance Sheet</t>
  </si>
  <si>
    <t>Parishwide Road Special Revenue</t>
  </si>
  <si>
    <t>Road District No. 6 Special Revenue</t>
  </si>
  <si>
    <t>Sales Tax District No. 1 Special Revenue</t>
  </si>
  <si>
    <t>Health Unit Special Revenue</t>
  </si>
  <si>
    <t>Criminal Court Special Revenue</t>
  </si>
  <si>
    <t>South Beau. Rec. Dist. No. 2 Special Revenue</t>
  </si>
  <si>
    <t>South Beau. Rec. Dist. No. 2 Capital Projects</t>
  </si>
  <si>
    <t>Equity in pooled cash</t>
  </si>
  <si>
    <t>Interfund receivable</t>
  </si>
  <si>
    <t>LIABILITIES</t>
  </si>
  <si>
    <t>Payroll liabilities</t>
  </si>
  <si>
    <t>Interfund payable</t>
  </si>
  <si>
    <t>Fund Balances:</t>
  </si>
  <si>
    <t>Nonspendable - inventory</t>
  </si>
  <si>
    <t>Purchases of equipment</t>
  </si>
  <si>
    <t>Total liabilities, deferred inflows of resources, and fund balances:</t>
  </si>
  <si>
    <t>Bienville Combined Balance Sheet</t>
  </si>
  <si>
    <t>Road Maintenance</t>
  </si>
  <si>
    <t>Debt Service Fund</t>
  </si>
  <si>
    <t>Salaries and related payable</t>
  </si>
  <si>
    <t>Deferred revenues</t>
  </si>
  <si>
    <t>Non spendable</t>
  </si>
  <si>
    <t>Bossier Combined Balance Sheet</t>
  </si>
  <si>
    <t>HIghway</t>
  </si>
  <si>
    <t>Capital Improvement</t>
  </si>
  <si>
    <t>LCDA Sewer Construction</t>
  </si>
  <si>
    <t>Corrections</t>
  </si>
  <si>
    <t>LCDA Public Improvements</t>
  </si>
  <si>
    <t>Restricted cash</t>
  </si>
  <si>
    <t>Advance to waterworks/sewer district</t>
  </si>
  <si>
    <t>LIABILITIES, DEFERRED INFLOWS OF RESOURCES, AND FUND BALANCES</t>
  </si>
  <si>
    <t>Property taxes</t>
  </si>
  <si>
    <t>Caddo Combined Balance Sheet</t>
  </si>
  <si>
    <t>Shreve Memorial Library Fund</t>
  </si>
  <si>
    <t>Detention Facilities Fund</t>
  </si>
  <si>
    <t>Solid Waste Disposal Fund</t>
  </si>
  <si>
    <t>Public Works Fund</t>
  </si>
  <si>
    <t>Head Start Fund</t>
  </si>
  <si>
    <t>Biomedical Fund</t>
  </si>
  <si>
    <t>Capital Outlay Fund</t>
  </si>
  <si>
    <t>Criminal Justice Fund</t>
  </si>
  <si>
    <t>Receivables, net:</t>
  </si>
  <si>
    <t>Ad valorem taxes</t>
  </si>
  <si>
    <t>Paving assessments</t>
  </si>
  <si>
    <t>Accrued interest</t>
  </si>
  <si>
    <t>Inventories</t>
  </si>
  <si>
    <t>Other assets</t>
  </si>
  <si>
    <t>Accrued liabilities</t>
  </si>
  <si>
    <t>Due to component units</t>
  </si>
  <si>
    <t>Due to other governments</t>
  </si>
  <si>
    <t>Unavailable revenue - property taxes</t>
  </si>
  <si>
    <t>Unavailable revenue - special assessments</t>
  </si>
  <si>
    <t>Total deferred inflows:</t>
  </si>
  <si>
    <t>Nonspendable:</t>
  </si>
  <si>
    <t>Prepaid expenses</t>
  </si>
  <si>
    <t>Criminal justice</t>
  </si>
  <si>
    <t>Highways, streets and drainage</t>
  </si>
  <si>
    <t>Building facilities</t>
  </si>
  <si>
    <t>Contingencies</t>
  </si>
  <si>
    <t>Subsequent year's expenditures</t>
  </si>
  <si>
    <t>Assigned to:</t>
  </si>
  <si>
    <t>Special services</t>
  </si>
  <si>
    <t>Future claims</t>
  </si>
  <si>
    <t>Total liabilities. Deferred inflows,  and fund balances:</t>
  </si>
  <si>
    <t>Calcasieu Combined Balance Sheet</t>
  </si>
  <si>
    <t>Public Works Operating Fund</t>
  </si>
  <si>
    <t>Office of Juvenille Justice Services Fund</t>
  </si>
  <si>
    <t>Calcasieu Parish Library Fund</t>
  </si>
  <si>
    <t>Road Capital Improvement Fund</t>
  </si>
  <si>
    <t>Cash and Cash Equivalents</t>
  </si>
  <si>
    <t>Receivable (net of allowance for uncollectibles):</t>
  </si>
  <si>
    <t>Sales taxes</t>
  </si>
  <si>
    <t>Franchise taxes</t>
  </si>
  <si>
    <t>Interest receivable</t>
  </si>
  <si>
    <t>Intergovernmental receivable</t>
  </si>
  <si>
    <t>Loans receivable</t>
  </si>
  <si>
    <t>Intergovernmental payable</t>
  </si>
  <si>
    <t>Enterprize zone rebate liability</t>
  </si>
  <si>
    <t>Property taxes levied for the next fiscal year</t>
  </si>
  <si>
    <t>Agriculture and community services</t>
  </si>
  <si>
    <t>Public works operations</t>
  </si>
  <si>
    <t>Library purposes</t>
  </si>
  <si>
    <t>Roads and infrastructure</t>
  </si>
  <si>
    <t>Other restrictions</t>
  </si>
  <si>
    <t>Animal services</t>
  </si>
  <si>
    <t>Parks operations</t>
  </si>
  <si>
    <t>Training center operations</t>
  </si>
  <si>
    <t>Future capital needs</t>
  </si>
  <si>
    <t>Matching funds for capital grants</t>
  </si>
  <si>
    <t>Major infrastructure</t>
  </si>
  <si>
    <t>Cooperative endeavor agreements</t>
  </si>
  <si>
    <t>Caldwell Combined Balance Sheet</t>
  </si>
  <si>
    <t>Recreation</t>
  </si>
  <si>
    <t>Blacktop Road</t>
  </si>
  <si>
    <t>Bayou Dechere Resevoir</t>
  </si>
  <si>
    <t>LCDBG</t>
  </si>
  <si>
    <t>Saleries and related payables</t>
  </si>
  <si>
    <t>Due to other agencies</t>
  </si>
  <si>
    <t xml:space="preserve">Restricted </t>
  </si>
  <si>
    <t>Cameron Combined Balance Sheet</t>
  </si>
  <si>
    <t>Road &amp; Bridge Maintenance</t>
  </si>
  <si>
    <t xml:space="preserve">Long-Term Community Recovery </t>
  </si>
  <si>
    <t>Non-Major</t>
  </si>
  <si>
    <t>Receivables, net</t>
  </si>
  <si>
    <t>Inventory, at cost</t>
  </si>
  <si>
    <t>Interfund receivables</t>
  </si>
  <si>
    <t>Interfund payables</t>
  </si>
  <si>
    <t>Tourism development</t>
  </si>
  <si>
    <t>Commited to:</t>
  </si>
  <si>
    <t>Infrastructure maintenance</t>
  </si>
  <si>
    <t>Law enforcement building construction</t>
  </si>
  <si>
    <t>Library construction</t>
  </si>
  <si>
    <t>Administrative building construction</t>
  </si>
  <si>
    <t>Other capital projects</t>
  </si>
  <si>
    <t>Other purposes</t>
  </si>
  <si>
    <t>judicial</t>
  </si>
  <si>
    <t>Othercapital projects</t>
  </si>
  <si>
    <t>Catahoula Combined Balance Sheet</t>
  </si>
  <si>
    <t>Road and Bridge</t>
  </si>
  <si>
    <t>Hard Surfacing</t>
  </si>
  <si>
    <t>Heatlh Unit</t>
  </si>
  <si>
    <t>Cash restricted for debt service</t>
  </si>
  <si>
    <t>Cash restricted for capital project</t>
  </si>
  <si>
    <t>Salaries and related payables</t>
  </si>
  <si>
    <t>Ad valorem taxes and state revenue sharing - unavailable</t>
  </si>
  <si>
    <t>Claiborne Combined Balance Sheet</t>
  </si>
  <si>
    <t>Parish Road</t>
  </si>
  <si>
    <t>Library Maintenance</t>
  </si>
  <si>
    <t>Sales Tax</t>
  </si>
  <si>
    <t>Criminal Court</t>
  </si>
  <si>
    <t>Due from other agencies</t>
  </si>
  <si>
    <t>Deferred charges</t>
  </si>
  <si>
    <t>Accounts, salaries and other payables</t>
  </si>
  <si>
    <t>Unavailable ad valorem tax revenue</t>
  </si>
  <si>
    <t>Restricted fund balances</t>
  </si>
  <si>
    <t>Unassigned fund balances</t>
  </si>
  <si>
    <t>Concordia Combined Balance Sheet</t>
  </si>
  <si>
    <t>Major Funds</t>
  </si>
  <si>
    <t>Drainage Fund</t>
  </si>
  <si>
    <t>Road Debt Service Fund</t>
  </si>
  <si>
    <t>Public Health Fund</t>
  </si>
  <si>
    <t>Cash and cash equivalents - restricted</t>
  </si>
  <si>
    <t xml:space="preserve">Accounts recievable </t>
  </si>
  <si>
    <t>Ad valorem taxes receivable, net</t>
  </si>
  <si>
    <t xml:space="preserve">Sales and use taxes recievable </t>
  </si>
  <si>
    <t>Severancetaxes receivable</t>
  </si>
  <si>
    <t>State revenue sharing receivable</t>
  </si>
  <si>
    <t>Accrued payroll and benefits</t>
  </si>
  <si>
    <t>Unavailable ad valorem taxes</t>
  </si>
  <si>
    <t>Committed</t>
  </si>
  <si>
    <t>Special reverse projects</t>
  </si>
  <si>
    <t>DeSoto Combined Balance Sheet</t>
  </si>
  <si>
    <t>Road Fund</t>
  </si>
  <si>
    <t>Airport Fund</t>
  </si>
  <si>
    <t>Jail Fund</t>
  </si>
  <si>
    <t>Revenue Receivables</t>
  </si>
  <si>
    <t>Due from Other Funds</t>
  </si>
  <si>
    <t>Noncurrent Receivable</t>
  </si>
  <si>
    <t>Master bank Overdrafts</t>
  </si>
  <si>
    <t>Due  to other governments</t>
  </si>
  <si>
    <t xml:space="preserve"> </t>
  </si>
  <si>
    <t>Advance from grantors</t>
  </si>
  <si>
    <t>Deposits</t>
  </si>
  <si>
    <t>Unavailable Property Taxes</t>
  </si>
  <si>
    <t>Public Safety</t>
  </si>
  <si>
    <t>Roads</t>
  </si>
  <si>
    <t>Sanitation </t>
  </si>
  <si>
    <t>Health &amp; Welfare</t>
  </si>
  <si>
    <t>Witness &amp; Juror Fees</t>
  </si>
  <si>
    <t>Self-Insured Premiums</t>
  </si>
  <si>
    <t>Animal Control</t>
  </si>
  <si>
    <t>East Baton Rouge Combined Balance Sheet</t>
  </si>
  <si>
    <t>Library Board of Control</t>
  </si>
  <si>
    <t>Grants</t>
  </si>
  <si>
    <t>Capital Projects</t>
  </si>
  <si>
    <t>Cash and cash equivalents (note 3)</t>
  </si>
  <si>
    <t>Investments (note 3)</t>
  </si>
  <si>
    <t>Property taxes receivable - net (note 4)</t>
  </si>
  <si>
    <t>Gross receipts business taxes receivable</t>
  </si>
  <si>
    <t>Sales taxes receivable</t>
  </si>
  <si>
    <t>Interest and penalties receivable on taxes</t>
  </si>
  <si>
    <t>Accounts receivable - net (note 13) </t>
  </si>
  <si>
    <t xml:space="preserve">Accrued interest receivable </t>
  </si>
  <si>
    <t>Due from other funds (Note 11)</t>
  </si>
  <si>
    <t>Due from other governments (Note 11)</t>
  </si>
  <si>
    <t>Accounts and contracts payable</t>
  </si>
  <si>
    <t>Due to other funds (Note 11)</t>
  </si>
  <si>
    <t>Accrued payables</t>
  </si>
  <si>
    <t>Deposits and escrow accounts</t>
  </si>
  <si>
    <t>Unavailable revenue- property taxes</t>
  </si>
  <si>
    <t>Unavailable revenue- revenue sharing</t>
  </si>
  <si>
    <t>Resources recieved before time requirements</t>
  </si>
  <si>
    <t>East Carroll Combined Balance Sheet</t>
  </si>
  <si>
    <t>Road Maintenance and Construction</t>
  </si>
  <si>
    <t>Garbage District No. 1</t>
  </si>
  <si>
    <t>Drainage Maintenance</t>
  </si>
  <si>
    <t>Nonmajor Governmental</t>
  </si>
  <si>
    <t xml:space="preserve">Total </t>
  </si>
  <si>
    <t>Deferred Inflows of Resources</t>
  </si>
  <si>
    <t>East Feliciana Combined Balance Sheet</t>
  </si>
  <si>
    <t>Roads and Bridges</t>
  </si>
  <si>
    <t>Accounts</t>
  </si>
  <si>
    <t>Taxes</t>
  </si>
  <si>
    <t>Due from other govt agencies</t>
  </si>
  <si>
    <t>Due to other govt agencies</t>
  </si>
  <si>
    <t>Deferred inflows of resources:</t>
  </si>
  <si>
    <t>Fund Balances (Deficit):</t>
  </si>
  <si>
    <t>Health unit oper/maintenance</t>
  </si>
  <si>
    <t>Homeland security</t>
  </si>
  <si>
    <t>Solid waste management</t>
  </si>
  <si>
    <t>Road improvements</t>
  </si>
  <si>
    <t>Coroner/court operations</t>
  </si>
  <si>
    <t>Claims and judgements</t>
  </si>
  <si>
    <t>Evangeline Combined Balance Sheet</t>
  </si>
  <si>
    <t>Criminal Court Fund</t>
  </si>
  <si>
    <t>Industrial District No. 1</t>
  </si>
  <si>
    <t>Crooked Creek Recreation Fund</t>
  </si>
  <si>
    <t>Reddell Sewer System Maintenance Fund</t>
  </si>
  <si>
    <t>Cemetery District Maintenance Fund</t>
  </si>
  <si>
    <t>Country Estate Sewer System Fund</t>
  </si>
  <si>
    <t>Eugene Subdivision Sewer System Fund</t>
  </si>
  <si>
    <t>Health Unit Maintenance</t>
  </si>
  <si>
    <t>Due from other gonvernmental units</t>
  </si>
  <si>
    <t>Cash overdraft</t>
  </si>
  <si>
    <t xml:space="preserve">Sewer deposits payable </t>
  </si>
  <si>
    <t>Assigned-</t>
  </si>
  <si>
    <t>Public Works</t>
  </si>
  <si>
    <t>Health and Welfare</t>
  </si>
  <si>
    <t>Franklin Combined Balance Sheet</t>
  </si>
  <si>
    <t>Parish Equipment</t>
  </si>
  <si>
    <t>IKE GUSTAV</t>
  </si>
  <si>
    <t>Payroll withholdings payable</t>
  </si>
  <si>
    <t>Fund Equity - Fund Balances</t>
  </si>
  <si>
    <t>Other General Government</t>
  </si>
  <si>
    <t>Grant Parish Combined Balance Sheet</t>
  </si>
  <si>
    <t>Parish Road Maintenance</t>
  </si>
  <si>
    <t>Sanitary Landfill Maintenance</t>
  </si>
  <si>
    <t>Head Start</t>
  </si>
  <si>
    <t>South Grant Sewer</t>
  </si>
  <si>
    <t>Receivables (net)</t>
  </si>
  <si>
    <t>Interfund Receivables</t>
  </si>
  <si>
    <t>Interfund Payables</t>
  </si>
  <si>
    <t>Maintenance</t>
  </si>
  <si>
    <t>Construction</t>
  </si>
  <si>
    <t>Committed To:</t>
  </si>
  <si>
    <t>Litter Abatement</t>
  </si>
  <si>
    <t>General Purposes</t>
  </si>
  <si>
    <t>Iberia Combined Balance Sheet</t>
  </si>
  <si>
    <t>Public Library</t>
  </si>
  <si>
    <t>Public Buildings Maintenance</t>
  </si>
  <si>
    <t>Paarish Wide Drainage Maintenance</t>
  </si>
  <si>
    <t>Royalty</t>
  </si>
  <si>
    <t>Mosquito Control/ Drainage Program</t>
  </si>
  <si>
    <t>Advance to component unit</t>
  </si>
  <si>
    <t>Due from other governmental agencies</t>
  </si>
  <si>
    <t>Accrued expenses</t>
  </si>
  <si>
    <t>Contracts payable</t>
  </si>
  <si>
    <t>Due to other governmental agencies</t>
  </si>
  <si>
    <t>Advances from grantors and assessments</t>
  </si>
  <si>
    <t xml:space="preserve">Committed </t>
  </si>
  <si>
    <t>Iberville Combined Balance Sheet</t>
  </si>
  <si>
    <t>Public Building Maintenance</t>
  </si>
  <si>
    <t>Sales Tax Roads</t>
  </si>
  <si>
    <t>Iberville Parish Medical Facility CSBG</t>
  </si>
  <si>
    <t>Louisiana Recovery Authority</t>
  </si>
  <si>
    <t>Receivables (net of allowance for uncollectible)</t>
  </si>
  <si>
    <t>Due From Other Funds</t>
  </si>
  <si>
    <t>Cash - restricted</t>
  </si>
  <si>
    <t>Other payables</t>
  </si>
  <si>
    <t>Non Spendable</t>
  </si>
  <si>
    <t xml:space="preserve">Assigned </t>
  </si>
  <si>
    <t>Jackson Combined Balance Sheet</t>
  </si>
  <si>
    <t>Asphalt Fund</t>
  </si>
  <si>
    <t>Prepaid Items</t>
  </si>
  <si>
    <t>Sequrity deposits</t>
  </si>
  <si>
    <t>Unavailable revenue-property taxes</t>
  </si>
  <si>
    <t>Nonspendable - prepaid items</t>
  </si>
  <si>
    <t>Jefferson Combined Balance Sheet</t>
  </si>
  <si>
    <t>Road Sales Tax No. 1 Sales Tax Fund</t>
  </si>
  <si>
    <t>Section 8 Housing Fund</t>
  </si>
  <si>
    <t>Road Sales Tax No. 1 Sinking Fund</t>
  </si>
  <si>
    <t>Restricted cash and cash equivalents</t>
  </si>
  <si>
    <t>Deposits to others</t>
  </si>
  <si>
    <t>PUblic works</t>
  </si>
  <si>
    <t>Jali capital project</t>
  </si>
  <si>
    <t>Federal and State Grants</t>
  </si>
  <si>
    <t xml:space="preserve">East Bank Consolidated Fire Dictrict </t>
  </si>
  <si>
    <t xml:space="preserve">Drainage and Pump Station Capital </t>
  </si>
  <si>
    <t>Road &amp; Street Capital Improvements</t>
  </si>
  <si>
    <t>Share of pooled assets</t>
  </si>
  <si>
    <t>Receivables, net of allowances for estimated uncollectibles</t>
  </si>
  <si>
    <t xml:space="preserve">Intrerest </t>
  </si>
  <si>
    <t>Ad valorem tax</t>
  </si>
  <si>
    <t xml:space="preserve">Accounts  </t>
  </si>
  <si>
    <t>Intergovernmental</t>
  </si>
  <si>
    <t xml:space="preserve">Inventories </t>
  </si>
  <si>
    <t>Deposits and other assets</t>
  </si>
  <si>
    <t xml:space="preserve">Deposits  </t>
  </si>
  <si>
    <t xml:space="preserve">Other payables and accruals </t>
  </si>
  <si>
    <t xml:space="preserve">                </t>
  </si>
  <si>
    <t>Lafayette Combined Balance Sheet</t>
  </si>
  <si>
    <t xml:space="preserve">                      Issued: October 31, 2014</t>
  </si>
  <si>
    <t>Sales Tax Capital Improvements</t>
  </si>
  <si>
    <t>Accounts receivable, net</t>
  </si>
  <si>
    <t>Allowance for uncollectible loans</t>
  </si>
  <si>
    <t>Assessments receivable</t>
  </si>
  <si>
    <t>Accrued interest receivable</t>
  </si>
  <si>
    <t>Inventories, at cost</t>
  </si>
  <si>
    <t>Accrued salaries and benefits</t>
  </si>
  <si>
    <t>Nonspendable -</t>
  </si>
  <si>
    <t>Restricted -</t>
  </si>
  <si>
    <t>Capital expenditures</t>
  </si>
  <si>
    <t xml:space="preserve">Operations and maintenance </t>
  </si>
  <si>
    <t>Purpose of grantors and donors</t>
  </si>
  <si>
    <t>Committed -</t>
  </si>
  <si>
    <t>Incomplete projects</t>
  </si>
  <si>
    <t xml:space="preserve">Assigned - </t>
  </si>
  <si>
    <t>Lafourche Combined Balance Sheet</t>
  </si>
  <si>
    <t>Library Commission</t>
  </si>
  <si>
    <t>2005 Road Construction</t>
  </si>
  <si>
    <t>Capital Projects Fund</t>
  </si>
  <si>
    <t>Non-Major Funds</t>
  </si>
  <si>
    <t>Other current assets</t>
  </si>
  <si>
    <t>Accounts payable and accrued expenses</t>
  </si>
  <si>
    <t>Contracts and retainages payable</t>
  </si>
  <si>
    <t>Salaries and benefits payable</t>
  </si>
  <si>
    <t>Due to other governmental units</t>
  </si>
  <si>
    <t>Other current liabilities</t>
  </si>
  <si>
    <t>Non-spendable for prepaid assets</t>
  </si>
  <si>
    <t>Judicial programs</t>
  </si>
  <si>
    <t>Federal and state grant programs</t>
  </si>
  <si>
    <t>Commited:</t>
  </si>
  <si>
    <t>Health and community services</t>
  </si>
  <si>
    <t>LaSalle Combined Balance Sheet</t>
  </si>
  <si>
    <t>Courthouse Maintenance</t>
  </si>
  <si>
    <t>Garbage District</t>
  </si>
  <si>
    <t>Cash and equivalents</t>
  </si>
  <si>
    <t>Prepaid lease payments</t>
  </si>
  <si>
    <t>Total Fund Equity- fund balances (deficit)</t>
  </si>
  <si>
    <t>Lincoln Combined Balance Sheet</t>
  </si>
  <si>
    <t>Road Construction Fund</t>
  </si>
  <si>
    <t>Road Maintenance Fund</t>
  </si>
  <si>
    <t>Library Fund</t>
  </si>
  <si>
    <t>Solid Waste Disposal Equipment Reserve Fund</t>
  </si>
  <si>
    <t>Hospital Proceeds Fund</t>
  </si>
  <si>
    <t>Due from other entities</t>
  </si>
  <si>
    <t>Due to other entities</t>
  </si>
  <si>
    <t>Total fund equity</t>
  </si>
  <si>
    <t>Total liabilities and fund equity</t>
  </si>
  <si>
    <t>Livingston Combined Balance Sheet</t>
  </si>
  <si>
    <t>General  Fund</t>
  </si>
  <si>
    <t>Health Unit Fund</t>
  </si>
  <si>
    <t>Jail Sales Tax Fund</t>
  </si>
  <si>
    <t>Courthouse Capital Project Fund</t>
  </si>
  <si>
    <t>Road 06 Sinking Fund</t>
  </si>
  <si>
    <t>Other Governemntal Funds</t>
  </si>
  <si>
    <t>Pooled Cash in Other Funds</t>
  </si>
  <si>
    <t>Receivables, net of allowance</t>
  </si>
  <si>
    <t>Restricted assets:</t>
  </si>
  <si>
    <t xml:space="preserve">Inventory </t>
  </si>
  <si>
    <t>Advance to jail sales tax fund</t>
  </si>
  <si>
    <t>Accounts payables</t>
  </si>
  <si>
    <t>Deficit in Pooled Cash</t>
  </si>
  <si>
    <t>Accrued expenses payable</t>
  </si>
  <si>
    <t>Advances from other funds</t>
  </si>
  <si>
    <t>Non-spendable:</t>
  </si>
  <si>
    <t>Advances</t>
  </si>
  <si>
    <t>Criminal court</t>
  </si>
  <si>
    <t>Criminal court witness</t>
  </si>
  <si>
    <t>Grant expenditures</t>
  </si>
  <si>
    <t>State grant programs</t>
  </si>
  <si>
    <t>Federal grant programs</t>
  </si>
  <si>
    <t>Bingo</t>
  </si>
  <si>
    <t>Court fees</t>
  </si>
  <si>
    <t>Health unit</t>
  </si>
  <si>
    <t>Road</t>
  </si>
  <si>
    <t>Total fund balances (Deficits):</t>
  </si>
  <si>
    <t>Total liabilities and fund balances (Deficits):</t>
  </si>
  <si>
    <t>Madison Combined Balance Sheet</t>
  </si>
  <si>
    <t>Garbage Maintenance</t>
  </si>
  <si>
    <t>Courthouse and Jail</t>
  </si>
  <si>
    <t>Morehouse Combined Balance Sheet</t>
  </si>
  <si>
    <t>Building Maintenance</t>
  </si>
  <si>
    <t>Due from other Funds</t>
  </si>
  <si>
    <t>Bank overdraft</t>
  </si>
  <si>
    <t>Payroll accruals and withholdings</t>
  </si>
  <si>
    <t>Restricted for special revenue</t>
  </si>
  <si>
    <t>Unassigned for special revenue (deficit)</t>
  </si>
  <si>
    <t>Natchitoches Combined Balance Sheet</t>
  </si>
  <si>
    <t>Parish Library Fund</t>
  </si>
  <si>
    <t>Disposal Solid Waste</t>
  </si>
  <si>
    <t>Government Building Fund</t>
  </si>
  <si>
    <t>Nonmajor Funds</t>
  </si>
  <si>
    <t>Revenue receivables</t>
  </si>
  <si>
    <t xml:space="preserve">LIABILITIES </t>
  </si>
  <si>
    <t>Accrued Payroll</t>
  </si>
  <si>
    <t>Due to Other Governments</t>
  </si>
  <si>
    <t xml:space="preserve">                      Issued: May 31, 2014</t>
  </si>
  <si>
    <t>Capital Projects Sales Tax Fund</t>
  </si>
  <si>
    <t>Prepaid Expenses</t>
  </si>
  <si>
    <t>Orleans Combined Balance Sheet</t>
  </si>
  <si>
    <t>(amounts in thousands)</t>
  </si>
  <si>
    <t>HUD</t>
  </si>
  <si>
    <t>Federal UDAG</t>
  </si>
  <si>
    <t>FEMA</t>
  </si>
  <si>
    <t>Debt Service</t>
  </si>
  <si>
    <t>Louisiana Office of Community Development</t>
  </si>
  <si>
    <t>Receivables (net of allowance for uncollectibles):</t>
  </si>
  <si>
    <t>Grantee loans</t>
  </si>
  <si>
    <t>Advances to other funds</t>
  </si>
  <si>
    <t>Retainages payable</t>
  </si>
  <si>
    <t xml:space="preserve">Advances from other funds </t>
  </si>
  <si>
    <t>Total deferred inflows of resources:</t>
  </si>
  <si>
    <t>Total liabilities,deferred inflows of resources,  and fund balances:</t>
  </si>
  <si>
    <t>Ouachita Combined Balance Sheet</t>
  </si>
  <si>
    <t>Aggregate remaining funds</t>
  </si>
  <si>
    <t>Special Revenue Funds</t>
  </si>
  <si>
    <t xml:space="preserve">General Fund 001 </t>
  </si>
  <si>
    <t>Public Works Fund 102</t>
  </si>
  <si>
    <t xml:space="preserve">Fire Department Fund 104 </t>
  </si>
  <si>
    <t>Public Library Fund 105</t>
  </si>
  <si>
    <t>Correctional Center Fund 110</t>
  </si>
  <si>
    <t>Urban System Fund 132</t>
  </si>
  <si>
    <t>Receivables:</t>
  </si>
  <si>
    <t>Special assessments</t>
  </si>
  <si>
    <t>Prepaid expenses and other assets</t>
  </si>
  <si>
    <t>LIABILITIES AND FUND EQUITY</t>
  </si>
  <si>
    <t>Unearned revenues</t>
  </si>
  <si>
    <t>Deposits held</t>
  </si>
  <si>
    <t>Fund Equity</t>
  </si>
  <si>
    <t>Fund balances</t>
  </si>
  <si>
    <t>Spendable:</t>
  </si>
  <si>
    <t>Total liabilities and fund equity:</t>
  </si>
  <si>
    <t>Plaquemines Combined Balance Sheet</t>
  </si>
  <si>
    <t>Fire Fighting</t>
  </si>
  <si>
    <t>FEMA Management</t>
  </si>
  <si>
    <t>Series 2012 A Coastal Restorations</t>
  </si>
  <si>
    <t>Series 2012 B Courthouse</t>
  </si>
  <si>
    <t>Capital Improvements</t>
  </si>
  <si>
    <t>Receivables (net of allowances for uncollectibles)</t>
  </si>
  <si>
    <t>Interfund loan</t>
  </si>
  <si>
    <t>Compensated absences payable</t>
  </si>
  <si>
    <t>Deposits due others</t>
  </si>
  <si>
    <t>Unassigned (Deficit)</t>
  </si>
  <si>
    <t>Pointe Coupee Combined Balance Sheet</t>
  </si>
  <si>
    <t>Parishwide drainage</t>
  </si>
  <si>
    <t>Pointe Coupee Library (1)</t>
  </si>
  <si>
    <t>Detention Center</t>
  </si>
  <si>
    <t>Road Construction</t>
  </si>
  <si>
    <t>Debt Service Road Improvement</t>
  </si>
  <si>
    <t>Unavailable revenues</t>
  </si>
  <si>
    <t>Rapides Combined Balance Sheet</t>
  </si>
  <si>
    <t>Road and Bridge Fund</t>
  </si>
  <si>
    <t>Fire Protection District No. 2 Fund</t>
  </si>
  <si>
    <t>2014 Total Governmental Funds</t>
  </si>
  <si>
    <t>2013 Total Governmental Funds</t>
  </si>
  <si>
    <t>Reserved for:</t>
  </si>
  <si>
    <t>Employee benefits</t>
  </si>
  <si>
    <t>Red River Combined Balance Sheet</t>
  </si>
  <si>
    <t>Ambulance Service Fund</t>
  </si>
  <si>
    <t>Unit 1 Road Fund</t>
  </si>
  <si>
    <t>Public Facilities Maintenance Fund</t>
  </si>
  <si>
    <t>Other non-major Governmental Funda</t>
  </si>
  <si>
    <t>DEFERRED OUTLFLOWS OF RESOURCES</t>
  </si>
  <si>
    <t>Total Assets and deferred outflows</t>
  </si>
  <si>
    <t>Dedicated property taxes</t>
  </si>
  <si>
    <t>Dedicated sales taxes</t>
  </si>
  <si>
    <t>Court fees for juror compensation</t>
  </si>
  <si>
    <t>Criminal court costs</t>
  </si>
  <si>
    <t>Ambulance services</t>
  </si>
  <si>
    <t>Road maintenance and improvements</t>
  </si>
  <si>
    <t>Public facilities maintenance</t>
  </si>
  <si>
    <t>Buildings and infrastructure</t>
  </si>
  <si>
    <t>Total liabilities, deferred inflows, and fund balances:</t>
  </si>
  <si>
    <t>Richland Combined Balance Sheet</t>
  </si>
  <si>
    <t>ASSETS</t>
  </si>
  <si>
    <t>Fund Balance</t>
  </si>
  <si>
    <t>Sabine Combined Balance Sheet</t>
  </si>
  <si>
    <t>Liabilities</t>
  </si>
  <si>
    <t>Payroll accruals and witholdings</t>
  </si>
  <si>
    <t>Deferred inflows of resources</t>
  </si>
  <si>
    <t>Restricted for maintenance and operation</t>
  </si>
  <si>
    <t>St. Bernard Combined Balance Sheet</t>
  </si>
  <si>
    <t>CDBG Disaster Fund</t>
  </si>
  <si>
    <t>Disaster Recovery Fund</t>
  </si>
  <si>
    <t>Consolidated Fire Protection District No. 1-2</t>
  </si>
  <si>
    <t>Non-Major Governmental Funds</t>
  </si>
  <si>
    <t>Investments - land held for sale</t>
  </si>
  <si>
    <t>Sales and use taxes</t>
  </si>
  <si>
    <t>Cable franchise fees</t>
  </si>
  <si>
    <t xml:space="preserve">Grass liens receivable </t>
  </si>
  <si>
    <t>Prepaid</t>
  </si>
  <si>
    <t>Salaries and payroll deductions payable</t>
  </si>
  <si>
    <t>Advance collections</t>
  </si>
  <si>
    <t>Short-term certificates of indebtedness</t>
  </si>
  <si>
    <t xml:space="preserve">Nonspendable </t>
  </si>
  <si>
    <t>Mortgage refunding</t>
  </si>
  <si>
    <t>Federal programs</t>
  </si>
  <si>
    <t>Council on aging</t>
  </si>
  <si>
    <t>Road lighting</t>
  </si>
  <si>
    <t>Health</t>
  </si>
  <si>
    <t>Communication</t>
  </si>
  <si>
    <t>Garbage</t>
  </si>
  <si>
    <t>Court operations</t>
  </si>
  <si>
    <t>Capital outlay</t>
  </si>
  <si>
    <t>BP oil spill</t>
  </si>
  <si>
    <t xml:space="preserve">Commited </t>
  </si>
  <si>
    <t>Contingency</t>
  </si>
  <si>
    <t>Recovery</t>
  </si>
  <si>
    <t>Total liabilities, deferred inflows and fund balances:</t>
  </si>
  <si>
    <t>St. Charles Combined Balance Sheet</t>
  </si>
  <si>
    <t>Road &amp; Drainage Maintenance &amp; Operation</t>
  </si>
  <si>
    <t>Recreation Maintenance &amp; Operation</t>
  </si>
  <si>
    <t>Sewer General Obligation Sinking</t>
  </si>
  <si>
    <t>Cash and Cash equivalents</t>
  </si>
  <si>
    <t>Prepaid fees</t>
  </si>
  <si>
    <t>Commited</t>
  </si>
  <si>
    <t>St. Helena Combined Balance Sheet</t>
  </si>
  <si>
    <t>Road Building &amp; Maintenance Fund</t>
  </si>
  <si>
    <t>LRA CDBG Fund</t>
  </si>
  <si>
    <t>LGAP Grants fund</t>
  </si>
  <si>
    <t>Other accrued liabilities</t>
  </si>
  <si>
    <t>Total fund balance (deficit):</t>
  </si>
  <si>
    <t>St. James Combined Balance Sheet</t>
  </si>
  <si>
    <t>Courthouse, Jail, and Public Buildings Maintenance</t>
  </si>
  <si>
    <t>CDBG Diaster Recovery Projects</t>
  </si>
  <si>
    <t>Payroll deductions and withholdings payable</t>
  </si>
  <si>
    <t>Nonspendable -prepaid items and Inventory</t>
  </si>
  <si>
    <t>Restricted for</t>
  </si>
  <si>
    <t>Highways and streets</t>
  </si>
  <si>
    <t>Commited for</t>
  </si>
  <si>
    <t>Public transportation</t>
  </si>
  <si>
    <t>Assigned for</t>
  </si>
  <si>
    <t>St. John the Baptist Combined Balance Sheet</t>
  </si>
  <si>
    <t>Sales Tax District</t>
  </si>
  <si>
    <t>1992 General Obligation Sinking</t>
  </si>
  <si>
    <t>2010 Sewer Construction Bond</t>
  </si>
  <si>
    <t>2014 General Obligation Bond</t>
  </si>
  <si>
    <t>Receivables (net of allowances for uncollectible)</t>
  </si>
  <si>
    <t>St. Martin Combined Balance Sheet</t>
  </si>
  <si>
    <t xml:space="preserve">    Issued: December 31, 2014</t>
  </si>
  <si>
    <t>District #1 Sales Tax Revenue Fund</t>
  </si>
  <si>
    <t>District #2 Sales Tax Revenue Fund</t>
  </si>
  <si>
    <t>Parishwide Bond Sinking Fund</t>
  </si>
  <si>
    <t>Due from other governmental entities</t>
  </si>
  <si>
    <t>Due to other governmental entities</t>
  </si>
  <si>
    <t>DEFERRED INFLOWS OF RESOURCES:</t>
  </si>
  <si>
    <t>Sales tax dedications</t>
  </si>
  <si>
    <t>St.Tammany Combined Balance Sheet</t>
  </si>
  <si>
    <t xml:space="preserve">     Issued: December 31, 2014</t>
  </si>
  <si>
    <t>010, 012 General Fund</t>
  </si>
  <si>
    <t>013 St. Tammany Parish Library</t>
  </si>
  <si>
    <t>015 Public Works</t>
  </si>
  <si>
    <t>300 Capital Improvements - General</t>
  </si>
  <si>
    <t>Total Non-Major Governmental Funds</t>
  </si>
  <si>
    <t>Receivables, net of allowances for uncollectibles:</t>
  </si>
  <si>
    <t>Ad valorem/parcel fees</t>
  </si>
  <si>
    <t>Sales and use tax</t>
  </si>
  <si>
    <t>Restricted assets</t>
  </si>
  <si>
    <t>Unavailable revenue-ad valorem/parcel fees</t>
  </si>
  <si>
    <t>Unavailable revenue-state revenue sharing</t>
  </si>
  <si>
    <t>Nonspendable, prepaid items</t>
  </si>
  <si>
    <t>Total liabilities, deferred inflows of resouces, and fund balances:</t>
  </si>
  <si>
    <t>Tangipahoa Combined Balance Sheet</t>
  </si>
  <si>
    <t xml:space="preserve"> General Fund</t>
  </si>
  <si>
    <t>Road and Bridge Funds</t>
  </si>
  <si>
    <t>Long Term Recovery Fund</t>
  </si>
  <si>
    <t xml:space="preserve">Receivables, net </t>
  </si>
  <si>
    <t>Restricted assets - cash</t>
  </si>
  <si>
    <t>Deferred Inflow of Resources</t>
  </si>
  <si>
    <t>Grant Funds</t>
  </si>
  <si>
    <t>Total Deferred inflow of Resources</t>
  </si>
  <si>
    <t>Total fund balances</t>
  </si>
  <si>
    <t xml:space="preserve">Total liabilities, Deferred inflow of Resources, </t>
  </si>
  <si>
    <t>and fund balances:</t>
  </si>
  <si>
    <t>Tensas Combined Balance Sheet</t>
  </si>
  <si>
    <t>    Issued: December 31, 2014</t>
  </si>
  <si>
    <t>Ambulance Fund</t>
  </si>
  <si>
    <t>Waste Collection Fund</t>
  </si>
  <si>
    <t>Landfill Site Fund</t>
  </si>
  <si>
    <t>Fire Protection Fund</t>
  </si>
  <si>
    <t>-</t>
  </si>
  <si>
    <t>Amounts held by trustee for landfill closure and post-closure care costs</t>
  </si>
  <si>
    <t>Intergovernmental payables</t>
  </si>
  <si>
    <t>Fund Balances (deficit)</t>
  </si>
  <si>
    <t>Landfill closure</t>
  </si>
  <si>
    <t>Committed for:</t>
  </si>
  <si>
    <t>Special revenue projects</t>
  </si>
  <si>
    <t>Unassigned, reported in:</t>
  </si>
  <si>
    <t>St. Landry Combined Balance Sheet</t>
  </si>
  <si>
    <t>Road and Bridge Maintenance Fund</t>
  </si>
  <si>
    <t>Health Unit Maintenance Fund</t>
  </si>
  <si>
    <t>Airport Maintenance Fund</t>
  </si>
  <si>
    <t>LCDBG Disaster Recovery Fund</t>
  </si>
  <si>
    <t>Road District 1 Sales Tax</t>
  </si>
  <si>
    <t>Road District 1 Construction</t>
  </si>
  <si>
    <t>Road District 1 Sinking Fund</t>
  </si>
  <si>
    <t>Cash and cash equivalents, restricted</t>
  </si>
  <si>
    <t xml:space="preserve">Receivables </t>
  </si>
  <si>
    <t>Investments, restricted</t>
  </si>
  <si>
    <t>Due from agency funds</t>
  </si>
  <si>
    <t>Accrued expenditures</t>
  </si>
  <si>
    <t>Defered revenue</t>
  </si>
  <si>
    <t>Due to agency funds</t>
  </si>
  <si>
    <t>Prepaids</t>
  </si>
  <si>
    <t>Prisoner expense and jury witness</t>
  </si>
  <si>
    <t>Judicial expenses</t>
  </si>
  <si>
    <t>Parish road construction</t>
  </si>
  <si>
    <t>General contingencies</t>
  </si>
  <si>
    <t xml:space="preserve">Assigned to </t>
  </si>
  <si>
    <t>St. Mary Combined Balance Sheet</t>
  </si>
  <si>
    <t>Road Construction &amp; Maintenance Fund</t>
  </si>
  <si>
    <t>Sanitation Fund</t>
  </si>
  <si>
    <t>Capital Improvement Fund</t>
  </si>
  <si>
    <t>CDBG Recovery Fund</t>
  </si>
  <si>
    <t>Combined Sewer Construction Fund</t>
  </si>
  <si>
    <t>Receivables (net, where applicable of</t>
  </si>
  <si>
    <t xml:space="preserve"> allowances for uncollectibles)</t>
  </si>
  <si>
    <t xml:space="preserve">Accounts payable </t>
  </si>
  <si>
    <t>Advance from other funds</t>
  </si>
  <si>
    <t>Nonspendable- non-current receivables</t>
  </si>
  <si>
    <t>Use in specific geographic areas</t>
  </si>
  <si>
    <t>Assigned for:</t>
  </si>
  <si>
    <t>General government</t>
  </si>
  <si>
    <t>Urban redevelopment and housing</t>
  </si>
  <si>
    <t>Terrebonne Combined Balance Sheet</t>
  </si>
  <si>
    <t>Public Safety Fund</t>
  </si>
  <si>
    <t>Grant Fund</t>
  </si>
  <si>
    <t>Drainage Maintenance Fund</t>
  </si>
  <si>
    <t>Terrebonne Levee &amp; Conservation District Fund</t>
  </si>
  <si>
    <t>Economic loans</t>
  </si>
  <si>
    <t>Accounts payable and accrued expenditures</t>
  </si>
  <si>
    <t>Liability for work completed on contracts</t>
  </si>
  <si>
    <t>Grant Advancement</t>
  </si>
  <si>
    <t>Payable from restricted assets:</t>
  </si>
  <si>
    <t>Tenents' escrow accounts</t>
  </si>
  <si>
    <t>Dedicated emergency</t>
  </si>
  <si>
    <t>Broadmoor trees</t>
  </si>
  <si>
    <t>Levee and conservation</t>
  </si>
  <si>
    <t>Other special purposes</t>
  </si>
  <si>
    <t>Commited for:</t>
  </si>
  <si>
    <t>Non-district recreation</t>
  </si>
  <si>
    <t>Parish prisoners</t>
  </si>
  <si>
    <t>City marshall</t>
  </si>
  <si>
    <t>Coastal restoration</t>
  </si>
  <si>
    <t>Road and bridge</t>
  </si>
  <si>
    <t>Union Combined Balance Sheet</t>
  </si>
  <si>
    <t>Sales Tax Landfill</t>
  </si>
  <si>
    <t>LIABILITIES, DEFERRED INFLOWS AND FUND EQUITY</t>
  </si>
  <si>
    <t>Deferred Inflows:</t>
  </si>
  <si>
    <t>Grant revenues pending</t>
  </si>
  <si>
    <t>Fund equity- fund balances</t>
  </si>
  <si>
    <t>Total fund equity- fund balances:</t>
  </si>
  <si>
    <t>Total liabilities, deferred inflows, and fund equity:</t>
  </si>
  <si>
    <t>Vermillion Combined Balance Sheet</t>
  </si>
  <si>
    <t>                      Issued: December 31, 2013</t>
  </si>
  <si>
    <t>Issued December 31, 2014</t>
  </si>
  <si>
    <t>1976 Sales Tax Fund</t>
  </si>
  <si>
    <t>1978 Sales Tax Fund</t>
  </si>
  <si>
    <t>1994 Sales Tax Fund</t>
  </si>
  <si>
    <t>Royalty Road Fund</t>
  </si>
  <si>
    <t>Parishwide Public Improvement Maintenance Fund</t>
  </si>
  <si>
    <t>Project Account Fund</t>
  </si>
  <si>
    <t>Total (Memorandum Only)</t>
  </si>
  <si>
    <t>Accounts receivable</t>
  </si>
  <si>
    <t>Ad valorem tax receivable, net</t>
  </si>
  <si>
    <t>Due from component unit</t>
  </si>
  <si>
    <t>Deferred revenue</t>
  </si>
  <si>
    <t>Vernon Combined Balance Sheet</t>
  </si>
  <si>
    <t>Parishwide Maintenance Fund</t>
  </si>
  <si>
    <t>Sanitary Landfill Fund</t>
  </si>
  <si>
    <t>Courthouse and Jail Maintenance Fund</t>
  </si>
  <si>
    <t>Parishwide Overlay Fund</t>
  </si>
  <si>
    <t>Library Maintenance Fund</t>
  </si>
  <si>
    <t>Workforce Investment Act Fund</t>
  </si>
  <si>
    <t>Investments, at fair value</t>
  </si>
  <si>
    <t>Legislative</t>
  </si>
  <si>
    <t>Finance and administration</t>
  </si>
  <si>
    <t>Washington Combined Balance Sheet</t>
  </si>
  <si>
    <t>  Issued: December 31, 2014</t>
  </si>
  <si>
    <t xml:space="preserve">Ciminal justice Sales Tax </t>
  </si>
  <si>
    <t>Parish Transportation Fund</t>
  </si>
  <si>
    <t>Sales Tax Split .67%</t>
  </si>
  <si>
    <t>HMGP Grant Fund</t>
  </si>
  <si>
    <t>Debt Service PTF Revenue Bonds</t>
  </si>
  <si>
    <t>FEMA Receivable</t>
  </si>
  <si>
    <t>Net investment in joint venture</t>
  </si>
  <si>
    <t>Advanced revenue</t>
  </si>
  <si>
    <t>Compensated absences</t>
  </si>
  <si>
    <t xml:space="preserve">- </t>
  </si>
  <si>
    <t>Total Deferred Inflows of Resources</t>
  </si>
  <si>
    <t>Funds Balances (deficits)</t>
  </si>
  <si>
    <t>Total liabilities, deferred inflows or resources, and fund balances:</t>
  </si>
  <si>
    <t>Webster Combined Balance Sheet</t>
  </si>
  <si>
    <t>Special 2.5 Mill tax</t>
  </si>
  <si>
    <t>Prepaids items</t>
  </si>
  <si>
    <t>Accounts payable vendors</t>
  </si>
  <si>
    <t>Accounts payable liabilities</t>
  </si>
  <si>
    <t>Taxes paid under protest</t>
  </si>
  <si>
    <t>Deferred Inflows of resources:</t>
  </si>
  <si>
    <t>Total fund equity-fund balances (deficits):</t>
  </si>
  <si>
    <t>Nonspendable-prepaid items</t>
  </si>
  <si>
    <t xml:space="preserve">Total fund balances </t>
  </si>
  <si>
    <t>Total Liabilities, deferred inflows resources, and fund balances</t>
  </si>
  <si>
    <t>West Baton Rouge Combined Balance Sheet</t>
  </si>
  <si>
    <t>Road Trust Fund</t>
  </si>
  <si>
    <t>Community Centers</t>
  </si>
  <si>
    <t>Central Communications</t>
  </si>
  <si>
    <t xml:space="preserve">Correctional Facility </t>
  </si>
  <si>
    <t>Investments - restricted</t>
  </si>
  <si>
    <t>Taxes receivable</t>
  </si>
  <si>
    <t>Grant advances</t>
  </si>
  <si>
    <t>Nonspendable fund balance</t>
  </si>
  <si>
    <t>Restricted fund balance</t>
  </si>
  <si>
    <t>Committed fund balance</t>
  </si>
  <si>
    <t>Assigned fund balance</t>
  </si>
  <si>
    <t>Unassigned fund balance</t>
  </si>
  <si>
    <t>Total liabilities, deferred inflows of resources and fund balances:</t>
  </si>
  <si>
    <t>West Carroll Combined Balance Sheet</t>
  </si>
  <si>
    <t>Parish Wide Road Tax</t>
  </si>
  <si>
    <t>Communications district</t>
  </si>
  <si>
    <t>Miscellaneous Emergency</t>
  </si>
  <si>
    <t>Nonmajor</t>
  </si>
  <si>
    <t>Deposits held in trust</t>
  </si>
  <si>
    <t xml:space="preserve">Deferred Inflows </t>
  </si>
  <si>
    <t>Protested taxes held pending settlement</t>
  </si>
  <si>
    <t>Fund equity- fund balances:</t>
  </si>
  <si>
    <t>Total liabilities , deferred inflows, and fund balances:</t>
  </si>
  <si>
    <t>St. Feliciana Combined Balance Sheet</t>
  </si>
  <si>
    <t>Road Improvement</t>
  </si>
  <si>
    <t xml:space="preserve">Economic Development </t>
  </si>
  <si>
    <t>Library Construction</t>
  </si>
  <si>
    <t>Accrued expenses and liabilities</t>
  </si>
  <si>
    <t xml:space="preserve">Fund Balances </t>
  </si>
  <si>
    <t>Winn Parish Combined Balance Sheet</t>
  </si>
  <si>
    <t>2013 Total Governemntal Funds</t>
  </si>
  <si>
    <t>DEFERRED INFLOWS- DEFERRED REVENUES</t>
  </si>
  <si>
    <t>Public works and other</t>
  </si>
  <si>
    <t>Industrial development</t>
  </si>
  <si>
    <t>2014-CBS</t>
  </si>
  <si>
    <t>Current Assets:</t>
  </si>
  <si>
    <t>Non-Current Assets:</t>
  </si>
  <si>
    <t>Current Liabilities:</t>
  </si>
  <si>
    <t>Fund Equity:</t>
  </si>
  <si>
    <t>Denotes Error Found in Statement</t>
  </si>
  <si>
    <t>Other Assets</t>
  </si>
  <si>
    <t>Transfers</t>
  </si>
  <si>
    <t>Total Assets (Sum)</t>
  </si>
  <si>
    <t>Accuracy</t>
  </si>
  <si>
    <t>Deferred Outflows of Resources</t>
  </si>
  <si>
    <t>Accounts Payable</t>
  </si>
  <si>
    <t>Deferred Revenues</t>
  </si>
  <si>
    <t>Government Transfers</t>
  </si>
  <si>
    <t>Other Liabilities</t>
  </si>
  <si>
    <t>Total Liabilities (Sum)</t>
  </si>
  <si>
    <t>Reserved</t>
  </si>
  <si>
    <t>Unreserved (Designated)</t>
  </si>
  <si>
    <t>Unreserved (Undesignated)</t>
  </si>
  <si>
    <t>Total Fund Balances (Sum)</t>
  </si>
  <si>
    <t>Total Liabilites and Fund Balances (Sum)</t>
  </si>
  <si>
    <t>County's Statement Not Available</t>
  </si>
  <si>
    <t>PARISH</t>
  </si>
  <si>
    <t>County</t>
  </si>
  <si>
    <t>Acadia</t>
  </si>
  <si>
    <t>Allen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</si>
  <si>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</si>
  <si>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</si>
  <si>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</si>
  <si>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</si>
  <si>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</si>
  <si>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</si>
  <si>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</si>
  <si>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</si>
  <si>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</si>
  <si>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</si>
  <si>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</si>
  <si>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</si>
  <si>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DeSoto</t>
  </si>
  <si>
    <t>East Baton Rouge</t>
  </si>
  <si>
    <t>East Carroll</t>
  </si>
  <si>
    <t>East Feliciana</t>
  </si>
  <si>
    <t>Evangeline</t>
  </si>
  <si>
    <t>Franklin</t>
  </si>
  <si>
    <t>Grant</t>
  </si>
  <si>
    <t>Iberia</t>
  </si>
  <si>
    <t>Iberville</t>
  </si>
  <si>
    <t>Jackson</t>
  </si>
  <si>
    <t>Jefferson</t>
  </si>
  <si>
    <t>Jefferson Davis</t>
  </si>
  <si>
    <t>Lafayette</t>
  </si>
  <si>
    <t>Lafourche</t>
  </si>
  <si>
    <t>LaSalle</t>
  </si>
  <si>
    <t>Lincoln</t>
  </si>
  <si>
    <t>Livingston</t>
  </si>
  <si>
    <t>Madison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</si>
  <si>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</si>
  <si>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</si>
  <si>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</si>
  <si>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</si>
  <si>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</si>
  <si>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</si>
  <si>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</si>
  <si>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</si>
  <si>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Richland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</si>
  <si>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</si>
  <si>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</si>
  <si>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</si>
  <si>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</si>
  <si>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</si>
  <si>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</si>
  <si>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</si>
  <si>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</si>
  <si>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</si>
  <si>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</si>
  <si>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</si>
  <si>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</si>
  <si>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</si>
  <si>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</si>
  <si>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Vermillion</t>
  </si>
  <si>
    <t>Vernon</t>
  </si>
  <si>
    <t>Washington</t>
  </si>
  <si>
    <t>Webster</t>
  </si>
  <si>
    <t>West Baton Rouge</t>
  </si>
  <si>
    <t>West Carroll</t>
  </si>
  <si>
    <t>West Feliciana</t>
  </si>
  <si>
    <t>Winn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</si>
</sst>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FF00"/>
      <name val="Calibri"/>
      <family val="2"/>
    </font>
    <font>
      <sz val="11"/>
      <color rgb="FFFFFF00"/>
      <name val="Calibri"/>
      <family val="2"/>
      <scheme val="minor"/>
    </font>
    <font>
      <b/>
      <u/>
      <sz val="11"/>
      <color indexed="8"/>
      <name val="Calibri"/>
      <family val="2"/>
    </font>
    <font>
      <b/>
      <sz val="12"/>
      <name val="Calibri"/>
      <family val="2"/>
    </font>
    <font>
      <sz val="11"/>
      <color indexed="10"/>
      <name val="Calibri"/>
      <family val="2"/>
    </font>
    <font>
      <b/>
      <i/>
      <sz val="11"/>
      <name val="Arial Black"/>
      <family val="2"/>
    </font>
    <font>
      <b/>
      <sz val="11"/>
      <color theme="1"/>
      <name val="Arial Black"/>
      <family val="2"/>
    </font>
    <font>
      <b/>
      <i/>
      <sz val="11"/>
      <color theme="1"/>
      <name val="Arial Black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9"/>
      <name val="Calibri"/>
      <family val="2"/>
    </font>
    <font>
      <b/>
      <sz val="11"/>
      <color indexed="8"/>
      <name val="Arial"/>
      <family val="2"/>
    </font>
    <font>
      <sz val="11"/>
      <color rgb="FFFF0000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10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</font>
    <font>
      <sz val="11"/>
      <color theme="1"/>
      <name val="Calibri"/>
    </font>
    <font>
      <b/>
      <sz val="11"/>
      <name val="Calibri"/>
    </font>
    <font>
      <b/>
      <sz val="11"/>
      <color rgb="FFFFFF00"/>
      <name val="Calibri"/>
      <family val="2"/>
      <scheme val="minor"/>
    </font>
    <font>
      <b/>
      <sz val="11"/>
      <color rgb="FFFFFF00"/>
      <name val="Calibri"/>
      <family val="2"/>
    </font>
    <font>
      <b/>
      <u/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u val="singleAccounting"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948B54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D63A3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</cellStyleXfs>
  <cellXfs count="265">
    <xf numFmtId="0" fontId="0" fillId="0" borderId="0" xfId="0"/>
    <xf numFmtId="0" fontId="3" fillId="0" borderId="0" xfId="0" applyFont="1" applyAlignment="1">
      <alignment horizontal="center" wrapText="1"/>
    </xf>
    <xf numFmtId="0" fontId="4" fillId="6" borderId="0" xfId="0" applyFont="1" applyFill="1"/>
    <xf numFmtId="0" fontId="5" fillId="6" borderId="0" xfId="0" applyFont="1" applyFill="1"/>
    <xf numFmtId="0" fontId="6" fillId="0" borderId="0" xfId="0" applyFont="1"/>
    <xf numFmtId="0" fontId="5" fillId="10" borderId="0" xfId="0" applyFont="1" applyFill="1"/>
    <xf numFmtId="0" fontId="4" fillId="10" borderId="0" xfId="0" applyFont="1" applyFill="1"/>
    <xf numFmtId="0" fontId="5" fillId="13" borderId="0" xfId="0" applyFont="1" applyFill="1"/>
    <xf numFmtId="0" fontId="4" fillId="13" borderId="0" xfId="0" applyFont="1" applyFill="1"/>
    <xf numFmtId="0" fontId="7" fillId="15" borderId="1" xfId="0" applyFont="1" applyFill="1" applyBorder="1" applyAlignment="1">
      <alignment wrapText="1"/>
    </xf>
    <xf numFmtId="0" fontId="0" fillId="15" borderId="2" xfId="0" applyFill="1" applyBorder="1"/>
    <xf numFmtId="0" fontId="0" fillId="0" borderId="3" xfId="0" applyBorder="1"/>
    <xf numFmtId="0" fontId="0" fillId="0" borderId="4" xfId="0" applyBorder="1"/>
    <xf numFmtId="0" fontId="0" fillId="16" borderId="2" xfId="0" applyFill="1" applyBorder="1"/>
    <xf numFmtId="0" fontId="0" fillId="16" borderId="0" xfId="0" applyFill="1"/>
    <xf numFmtId="0" fontId="0" fillId="17" borderId="0" xfId="0" applyFill="1"/>
    <xf numFmtId="0" fontId="0" fillId="17" borderId="2" xfId="0" applyFill="1" applyBorder="1"/>
    <xf numFmtId="0" fontId="8" fillId="0" borderId="5" xfId="0" applyFont="1" applyBorder="1" applyAlignment="1">
      <alignment horizontal="center"/>
    </xf>
    <xf numFmtId="0" fontId="7" fillId="0" borderId="0" xfId="0" applyFont="1" applyAlignment="1">
      <alignment wrapText="1"/>
    </xf>
    <xf numFmtId="0" fontId="9" fillId="15" borderId="6" xfId="0" applyFont="1" applyFill="1" applyBorder="1"/>
    <xf numFmtId="0" fontId="0" fillId="15" borderId="0" xfId="0" applyFill="1"/>
    <xf numFmtId="0" fontId="0" fillId="0" borderId="5" xfId="0" applyBorder="1"/>
    <xf numFmtId="0" fontId="0" fillId="0" borderId="7" xfId="0" applyBorder="1"/>
    <xf numFmtId="0" fontId="9" fillId="16" borderId="6" xfId="0" applyFont="1" applyFill="1" applyBorder="1"/>
    <xf numFmtId="0" fontId="0" fillId="0" borderId="8" xfId="0" applyBorder="1"/>
    <xf numFmtId="0" fontId="0" fillId="17" borderId="6" xfId="0" applyFill="1" applyBorder="1"/>
    <xf numFmtId="0" fontId="8" fillId="0" borderId="9" xfId="0" applyFont="1" applyBorder="1" applyAlignment="1">
      <alignment horizontal="center"/>
    </xf>
    <xf numFmtId="0" fontId="0" fillId="0" borderId="0" xfId="0" applyAlignment="1">
      <alignment wrapText="1"/>
    </xf>
    <xf numFmtId="0" fontId="0" fillId="20" borderId="5" xfId="0" applyFill="1" applyBorder="1"/>
    <xf numFmtId="0" fontId="0" fillId="20" borderId="7" xfId="0" applyFill="1" applyBorder="1"/>
    <xf numFmtId="0" fontId="0" fillId="20" borderId="12" xfId="0" applyFill="1" applyBorder="1"/>
    <xf numFmtId="0" fontId="0" fillId="20" borderId="13" xfId="0" applyFill="1" applyBorder="1"/>
    <xf numFmtId="0" fontId="11" fillId="17" borderId="14" xfId="0" applyFont="1" applyFill="1" applyBorder="1"/>
    <xf numFmtId="0" fontId="9" fillId="17" borderId="15" xfId="0" applyFont="1" applyFill="1" applyBorder="1"/>
    <xf numFmtId="0" fontId="8" fillId="20" borderId="9" xfId="0" applyFont="1" applyFill="1" applyBorder="1" applyAlignment="1">
      <alignment horizontal="center"/>
    </xf>
    <xf numFmtId="0" fontId="12" fillId="15" borderId="3" xfId="0" applyFont="1" applyFill="1" applyBorder="1" applyAlignment="1">
      <alignment wrapText="1"/>
    </xf>
    <xf numFmtId="0" fontId="13" fillId="2" borderId="11" xfId="0" applyFont="1" applyFill="1" applyBorder="1"/>
    <xf numFmtId="0" fontId="13" fillId="7" borderId="16" xfId="0" applyFont="1" applyFill="1" applyBorder="1"/>
    <xf numFmtId="0" fontId="13" fillId="3" borderId="16" xfId="0" applyFont="1" applyFill="1" applyBorder="1"/>
    <xf numFmtId="0" fontId="13" fillId="14" borderId="16" xfId="0" applyFont="1" applyFill="1" applyBorder="1"/>
    <xf numFmtId="0" fontId="13" fillId="4" borderId="16" xfId="0" applyFont="1" applyFill="1" applyBorder="1"/>
    <xf numFmtId="0" fontId="13" fillId="5" borderId="16" xfId="0" applyFont="1" applyFill="1" applyBorder="1"/>
    <xf numFmtId="0" fontId="14" fillId="15" borderId="14" xfId="0" applyFont="1" applyFill="1" applyBorder="1"/>
    <xf numFmtId="0" fontId="15" fillId="20" borderId="17" xfId="0" applyFont="1" applyFill="1" applyBorder="1" applyAlignment="1">
      <alignment horizontal="center"/>
    </xf>
    <xf numFmtId="0" fontId="15" fillId="20" borderId="18" xfId="0" applyFont="1" applyFill="1" applyBorder="1" applyAlignment="1">
      <alignment horizontal="center"/>
    </xf>
    <xf numFmtId="0" fontId="13" fillId="7" borderId="11" xfId="0" applyFont="1" applyFill="1" applyBorder="1"/>
    <xf numFmtId="0" fontId="13" fillId="9" borderId="16" xfId="0" applyFont="1" applyFill="1" applyBorder="1"/>
    <xf numFmtId="0" fontId="13" fillId="8" borderId="16" xfId="0" applyFont="1" applyFill="1" applyBorder="1"/>
    <xf numFmtId="0" fontId="13" fillId="14" borderId="19" xfId="0" applyFont="1" applyFill="1" applyBorder="1"/>
    <xf numFmtId="0" fontId="14" fillId="16" borderId="14" xfId="0" applyFont="1" applyFill="1" applyBorder="1"/>
    <xf numFmtId="0" fontId="13" fillId="11" borderId="16" xfId="0" applyFont="1" applyFill="1" applyBorder="1"/>
    <xf numFmtId="0" fontId="13" fillId="22" borderId="16" xfId="0" applyFont="1" applyFill="1" applyBorder="1"/>
    <xf numFmtId="0" fontId="13" fillId="12" borderId="1" xfId="0" applyFont="1" applyFill="1" applyBorder="1"/>
    <xf numFmtId="0" fontId="14" fillId="17" borderId="19" xfId="0" applyFont="1" applyFill="1" applyBorder="1"/>
    <xf numFmtId="0" fontId="14" fillId="17" borderId="15" xfId="0" applyFont="1" applyFill="1" applyBorder="1"/>
    <xf numFmtId="0" fontId="16" fillId="23" borderId="3" xfId="0" applyFont="1" applyFill="1" applyBorder="1" applyAlignment="1">
      <alignment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19" fillId="0" borderId="0" xfId="0" applyFont="1" applyAlignment="1">
      <alignment wrapText="1"/>
    </xf>
    <xf numFmtId="0" fontId="20" fillId="24" borderId="0" xfId="0" applyFont="1" applyFill="1" applyAlignment="1">
      <alignment wrapText="1"/>
    </xf>
    <xf numFmtId="3" fontId="12" fillId="24" borderId="0" xfId="0" applyNumberFormat="1" applyFont="1" applyFill="1"/>
    <xf numFmtId="0" fontId="21" fillId="24" borderId="0" xfId="0" applyFont="1" applyFill="1" applyAlignment="1">
      <alignment horizontal="center"/>
    </xf>
    <xf numFmtId="3" fontId="12" fillId="24" borderId="0" xfId="0" applyNumberFormat="1" applyFont="1" applyFill="1" applyAlignment="1">
      <alignment horizontal="center"/>
    </xf>
    <xf numFmtId="0" fontId="13" fillId="25" borderId="16" xfId="0" applyFont="1" applyFill="1" applyBorder="1"/>
    <xf numFmtId="0" fontId="12" fillId="0" borderId="0" xfId="0" applyFont="1" applyAlignment="1">
      <alignment horizontal="left" wrapText="1"/>
    </xf>
    <xf numFmtId="0" fontId="21" fillId="26" borderId="0" xfId="0" applyFont="1" applyFill="1" applyAlignment="1">
      <alignment horizontal="center"/>
    </xf>
    <xf numFmtId="3" fontId="18" fillId="27" borderId="0" xfId="0" applyNumberFormat="1" applyFont="1" applyFill="1" applyAlignment="1">
      <alignment horizontal="center"/>
    </xf>
    <xf numFmtId="0" fontId="22" fillId="0" borderId="0" xfId="0" applyFont="1"/>
    <xf numFmtId="41" fontId="0" fillId="2" borderId="0" xfId="0" applyNumberFormat="1" applyFill="1"/>
    <xf numFmtId="41" fontId="0" fillId="0" borderId="0" xfId="0" applyNumberFormat="1"/>
    <xf numFmtId="41" fontId="0" fillId="3" borderId="0" xfId="0" applyNumberFormat="1" applyFill="1"/>
    <xf numFmtId="41" fontId="0" fillId="4" borderId="0" xfId="0" applyNumberFormat="1" applyFill="1"/>
    <xf numFmtId="41" fontId="5" fillId="6" borderId="0" xfId="1" applyNumberFormat="1" applyFont="1" applyFill="1"/>
    <xf numFmtId="41" fontId="0" fillId="7" borderId="0" xfId="0" applyNumberFormat="1" applyFill="1"/>
    <xf numFmtId="41" fontId="0" fillId="8" borderId="0" xfId="0" applyNumberFormat="1" applyFill="1"/>
    <xf numFmtId="41" fontId="5" fillId="10" borderId="0" xfId="1" applyNumberFormat="1" applyFont="1" applyFill="1"/>
    <xf numFmtId="41" fontId="0" fillId="11" borderId="0" xfId="0" applyNumberFormat="1" applyFill="1"/>
    <xf numFmtId="41" fontId="5" fillId="13" borderId="0" xfId="1" applyNumberFormat="1" applyFont="1" applyFill="1"/>
    <xf numFmtId="41" fontId="0" fillId="14" borderId="0" xfId="0" applyNumberFormat="1" applyFill="1"/>
    <xf numFmtId="41" fontId="0" fillId="5" borderId="0" xfId="0" applyNumberFormat="1" applyFill="1"/>
    <xf numFmtId="41" fontId="0" fillId="12" borderId="0" xfId="0" applyNumberFormat="1" applyFill="1"/>
    <xf numFmtId="41" fontId="0" fillId="0" borderId="15" xfId="0" applyNumberFormat="1" applyBorder="1"/>
    <xf numFmtId="0" fontId="23" fillId="0" borderId="0" xfId="0" applyFont="1"/>
    <xf numFmtId="0" fontId="25" fillId="0" borderId="0" xfId="0" applyFont="1" applyAlignment="1">
      <alignment horizontal="center"/>
    </xf>
    <xf numFmtId="3" fontId="26" fillId="0" borderId="0" xfId="0" applyNumberFormat="1" applyFont="1"/>
    <xf numFmtId="0" fontId="27" fillId="17" borderId="14" xfId="0" applyFont="1" applyFill="1" applyBorder="1" applyAlignment="1">
      <alignment horizontal="center" vertical="center" wrapText="1"/>
    </xf>
    <xf numFmtId="41" fontId="24" fillId="0" borderId="0" xfId="0" applyNumberFormat="1" applyFont="1"/>
    <xf numFmtId="41" fontId="0" fillId="28" borderId="0" xfId="0" applyNumberFormat="1" applyFill="1"/>
    <xf numFmtId="3" fontId="28" fillId="9" borderId="15" xfId="0" applyNumberFormat="1" applyFont="1" applyFill="1" applyBorder="1"/>
    <xf numFmtId="41" fontId="0" fillId="0" borderId="2" xfId="0" applyNumberFormat="1" applyBorder="1"/>
    <xf numFmtId="0" fontId="0" fillId="0" borderId="2" xfId="0" applyBorder="1"/>
    <xf numFmtId="0" fontId="28" fillId="0" borderId="0" xfId="0" applyFont="1" applyAlignment="1">
      <alignment horizontal="right"/>
    </xf>
    <xf numFmtId="3" fontId="28" fillId="0" borderId="0" xfId="0" applyNumberFormat="1" applyFont="1"/>
    <xf numFmtId="3" fontId="0" fillId="0" borderId="2" xfId="0" applyNumberFormat="1" applyBorder="1"/>
    <xf numFmtId="41" fontId="0" fillId="9" borderId="0" xfId="0" applyNumberFormat="1" applyFill="1"/>
    <xf numFmtId="0" fontId="13" fillId="0" borderId="0" xfId="0" applyFont="1"/>
    <xf numFmtId="41" fontId="29" fillId="14" borderId="0" xfId="0" applyNumberFormat="1" applyFont="1" applyFill="1"/>
    <xf numFmtId="0" fontId="28" fillId="22" borderId="0" xfId="0" applyFont="1" applyFill="1"/>
    <xf numFmtId="0" fontId="5" fillId="0" borderId="0" xfId="0" applyFont="1"/>
    <xf numFmtId="164" fontId="0" fillId="0" borderId="0" xfId="1" applyNumberFormat="1" applyFont="1"/>
    <xf numFmtId="41" fontId="5" fillId="13" borderId="0" xfId="0" applyNumberFormat="1" applyFont="1" applyFill="1"/>
    <xf numFmtId="0" fontId="2" fillId="0" borderId="0" xfId="0" applyFont="1"/>
    <xf numFmtId="0" fontId="31" fillId="0" borderId="0" xfId="0" applyFont="1"/>
    <xf numFmtId="3" fontId="31" fillId="0" borderId="0" xfId="0" applyNumberFormat="1" applyFont="1"/>
    <xf numFmtId="0" fontId="32" fillId="0" borderId="0" xfId="0" applyFont="1"/>
    <xf numFmtId="0" fontId="30" fillId="4" borderId="16" xfId="0" applyFont="1" applyFill="1" applyBorder="1"/>
    <xf numFmtId="3" fontId="31" fillId="0" borderId="15" xfId="0" applyNumberFormat="1" applyFont="1" applyBorder="1"/>
    <xf numFmtId="3" fontId="0" fillId="0" borderId="15" xfId="0" applyNumberFormat="1" applyBorder="1"/>
    <xf numFmtId="0" fontId="0" fillId="0" borderId="15" xfId="0" applyBorder="1"/>
    <xf numFmtId="0" fontId="31" fillId="0" borderId="15" xfId="0" applyFont="1" applyBorder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center"/>
    </xf>
    <xf numFmtId="0" fontId="4" fillId="29" borderId="0" xfId="0" applyFont="1" applyFill="1"/>
    <xf numFmtId="0" fontId="4" fillId="9" borderId="0" xfId="0" applyFont="1" applyFill="1"/>
    <xf numFmtId="0" fontId="33" fillId="29" borderId="0" xfId="0" applyFont="1" applyFill="1"/>
    <xf numFmtId="3" fontId="34" fillId="29" borderId="15" xfId="0" applyNumberFormat="1" applyFont="1" applyFill="1" applyBorder="1"/>
    <xf numFmtId="3" fontId="33" fillId="29" borderId="15" xfId="0" applyNumberFormat="1" applyFont="1" applyFill="1" applyBorder="1"/>
    <xf numFmtId="0" fontId="33" fillId="9" borderId="0" xfId="0" applyFont="1" applyFill="1"/>
    <xf numFmtId="3" fontId="34" fillId="9" borderId="15" xfId="0" applyNumberFormat="1" applyFont="1" applyFill="1" applyBorder="1"/>
    <xf numFmtId="0" fontId="33" fillId="9" borderId="15" xfId="0" applyFont="1" applyFill="1" applyBorder="1"/>
    <xf numFmtId="3" fontId="33" fillId="9" borderId="15" xfId="0" applyNumberFormat="1" applyFont="1" applyFill="1" applyBorder="1"/>
    <xf numFmtId="0" fontId="33" fillId="13" borderId="0" xfId="0" applyFont="1" applyFill="1"/>
    <xf numFmtId="3" fontId="34" fillId="13" borderId="0" xfId="0" applyNumberFormat="1" applyFont="1" applyFill="1"/>
    <xf numFmtId="3" fontId="33" fillId="13" borderId="0" xfId="0" applyNumberFormat="1" applyFont="1" applyFill="1"/>
    <xf numFmtId="0" fontId="28" fillId="8" borderId="0" xfId="0" applyFont="1" applyFill="1"/>
    <xf numFmtId="0" fontId="28" fillId="5" borderId="0" xfId="0" applyFont="1" applyFill="1"/>
    <xf numFmtId="164" fontId="0" fillId="0" borderId="0" xfId="1" applyNumberFormat="1" applyFont="1" applyFill="1" applyBorder="1"/>
    <xf numFmtId="164" fontId="28" fillId="12" borderId="0" xfId="1" applyNumberFormat="1" applyFont="1" applyFill="1" applyBorder="1"/>
    <xf numFmtId="0" fontId="28" fillId="0" borderId="2" xfId="0" applyFont="1" applyBorder="1"/>
    <xf numFmtId="164" fontId="28" fillId="0" borderId="2" xfId="1" applyNumberFormat="1" applyFont="1" applyFill="1" applyBorder="1"/>
    <xf numFmtId="41" fontId="24" fillId="11" borderId="0" xfId="0" applyNumberFormat="1" applyFont="1" applyFill="1"/>
    <xf numFmtId="164" fontId="28" fillId="11" borderId="0" xfId="1" applyNumberFormat="1" applyFont="1" applyFill="1" applyBorder="1"/>
    <xf numFmtId="164" fontId="28" fillId="22" borderId="0" xfId="1" applyNumberFormat="1" applyFont="1" applyFill="1" applyBorder="1"/>
    <xf numFmtId="164" fontId="33" fillId="29" borderId="0" xfId="1" applyNumberFormat="1" applyFont="1" applyFill="1"/>
    <xf numFmtId="164" fontId="33" fillId="29" borderId="0" xfId="1" applyNumberFormat="1" applyFont="1" applyFill="1" applyBorder="1"/>
    <xf numFmtId="3" fontId="34" fillId="9" borderId="0" xfId="0" applyNumberFormat="1" applyFont="1" applyFill="1"/>
    <xf numFmtId="3" fontId="33" fillId="9" borderId="0" xfId="0" applyNumberFormat="1" applyFont="1" applyFill="1"/>
    <xf numFmtId="0" fontId="30" fillId="12" borderId="12" xfId="0" applyFont="1" applyFill="1" applyBorder="1"/>
    <xf numFmtId="0" fontId="31" fillId="0" borderId="2" xfId="0" applyFont="1" applyBorder="1"/>
    <xf numFmtId="0" fontId="30" fillId="7" borderId="0" xfId="0" applyFont="1" applyFill="1"/>
    <xf numFmtId="0" fontId="30" fillId="8" borderId="0" xfId="0" applyFont="1" applyFill="1"/>
    <xf numFmtId="0" fontId="30" fillId="14" borderId="0" xfId="0" applyFont="1" applyFill="1"/>
    <xf numFmtId="0" fontId="30" fillId="2" borderId="0" xfId="0" applyFont="1" applyFill="1"/>
    <xf numFmtId="0" fontId="30" fillId="3" borderId="0" xfId="0" applyFont="1" applyFill="1"/>
    <xf numFmtId="0" fontId="23" fillId="0" borderId="0" xfId="0" applyFont="1" applyAlignment="1">
      <alignment horizontal="center" wrapText="1"/>
    </xf>
    <xf numFmtId="0" fontId="28" fillId="9" borderId="0" xfId="0" applyFont="1" applyFill="1"/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 wrapText="1"/>
    </xf>
    <xf numFmtId="164" fontId="28" fillId="25" borderId="0" xfId="1" applyNumberFormat="1" applyFont="1" applyFill="1" applyBorder="1" applyAlignment="1">
      <alignment horizontal="right"/>
    </xf>
    <xf numFmtId="164" fontId="28" fillId="2" borderId="0" xfId="1" applyNumberFormat="1" applyFont="1" applyFill="1" applyBorder="1"/>
    <xf numFmtId="164" fontId="0" fillId="0" borderId="0" xfId="1" applyNumberFormat="1" applyFont="1" applyBorder="1"/>
    <xf numFmtId="164" fontId="28" fillId="3" borderId="0" xfId="1" applyNumberFormat="1" applyFont="1" applyFill="1" applyBorder="1"/>
    <xf numFmtId="164" fontId="28" fillId="30" borderId="0" xfId="1" applyNumberFormat="1" applyFont="1" applyFill="1" applyBorder="1"/>
    <xf numFmtId="164" fontId="0" fillId="0" borderId="0" xfId="1" applyNumberFormat="1" applyFont="1" applyFill="1"/>
    <xf numFmtId="164" fontId="0" fillId="0" borderId="2" xfId="1" applyNumberFormat="1" applyFont="1" applyBorder="1"/>
    <xf numFmtId="164" fontId="28" fillId="7" borderId="0" xfId="1" applyNumberFormat="1" applyFont="1" applyFill="1" applyBorder="1"/>
    <xf numFmtId="164" fontId="28" fillId="0" borderId="0" xfId="1" applyNumberFormat="1" applyFont="1" applyFill="1" applyBorder="1"/>
    <xf numFmtId="164" fontId="28" fillId="14" borderId="0" xfId="1" applyNumberFormat="1" applyFont="1" applyFill="1" applyBorder="1"/>
    <xf numFmtId="164" fontId="30" fillId="8" borderId="0" xfId="1" applyNumberFormat="1" applyFont="1" applyFill="1" applyBorder="1"/>
    <xf numFmtId="164" fontId="5" fillId="10" borderId="0" xfId="1" applyNumberFormat="1" applyFont="1" applyFill="1" applyBorder="1"/>
    <xf numFmtId="164" fontId="5" fillId="10" borderId="0" xfId="1" applyNumberFormat="1" applyFont="1" applyFill="1"/>
    <xf numFmtId="164" fontId="30" fillId="12" borderId="0" xfId="1" applyNumberFormat="1" applyFont="1" applyFill="1" applyBorder="1"/>
    <xf numFmtId="41" fontId="5" fillId="0" borderId="0" xfId="1" applyNumberFormat="1" applyFont="1" applyFill="1"/>
    <xf numFmtId="0" fontId="33" fillId="0" borderId="0" xfId="0" applyFont="1"/>
    <xf numFmtId="164" fontId="5" fillId="13" borderId="0" xfId="1" applyNumberFormat="1" applyFont="1" applyFill="1"/>
    <xf numFmtId="164" fontId="28" fillId="2" borderId="0" xfId="1" applyNumberFormat="1" applyFont="1" applyFill="1" applyBorder="1" applyAlignment="1">
      <alignment wrapText="1"/>
    </xf>
    <xf numFmtId="164" fontId="0" fillId="0" borderId="0" xfId="1" applyNumberFormat="1" applyFont="1" applyAlignment="1">
      <alignment wrapText="1"/>
    </xf>
    <xf numFmtId="164" fontId="28" fillId="3" borderId="0" xfId="1" applyNumberFormat="1" applyFont="1" applyFill="1" applyBorder="1" applyAlignment="1">
      <alignment wrapText="1"/>
    </xf>
    <xf numFmtId="164" fontId="0" fillId="0" borderId="2" xfId="1" applyNumberFormat="1" applyFont="1" applyBorder="1" applyAlignment="1">
      <alignment vertical="center" wrapText="1"/>
    </xf>
    <xf numFmtId="164" fontId="34" fillId="29" borderId="15" xfId="1" applyNumberFormat="1" applyFont="1" applyFill="1" applyBorder="1" applyAlignment="1">
      <alignment vertical="center" wrapText="1"/>
    </xf>
    <xf numFmtId="164" fontId="33" fillId="29" borderId="15" xfId="1" applyNumberFormat="1" applyFont="1" applyFill="1" applyBorder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64" fontId="5" fillId="10" borderId="0" xfId="1" applyNumberFormat="1" applyFont="1" applyFill="1" applyAlignment="1">
      <alignment vertical="center" wrapText="1"/>
    </xf>
    <xf numFmtId="164" fontId="5" fillId="13" borderId="0" xfId="1" applyNumberFormat="1" applyFont="1" applyFill="1" applyAlignment="1">
      <alignment vertical="center" wrapText="1"/>
    </xf>
    <xf numFmtId="164" fontId="23" fillId="0" borderId="0" xfId="1" applyNumberFormat="1" applyFont="1"/>
    <xf numFmtId="164" fontId="5" fillId="29" borderId="0" xfId="1" applyNumberFormat="1" applyFont="1" applyFill="1"/>
    <xf numFmtId="164" fontId="5" fillId="29" borderId="0" xfId="1" applyNumberFormat="1" applyFont="1" applyFill="1" applyBorder="1"/>
    <xf numFmtId="41" fontId="0" fillId="22" borderId="0" xfId="0" applyNumberFormat="1" applyFill="1"/>
    <xf numFmtId="41" fontId="0" fillId="0" borderId="0" xfId="2" applyNumberFormat="1" applyFont="1" applyBorder="1"/>
    <xf numFmtId="165" fontId="0" fillId="0" borderId="0" xfId="2" applyNumberFormat="1" applyFont="1" applyBorder="1"/>
    <xf numFmtId="0" fontId="35" fillId="0" borderId="0" xfId="0" applyFont="1"/>
    <xf numFmtId="0" fontId="23" fillId="0" borderId="15" xfId="0" applyFont="1" applyBorder="1" applyAlignment="1">
      <alignment horizontal="right" vertical="top"/>
    </xf>
    <xf numFmtId="0" fontId="28" fillId="11" borderId="0" xfId="0" applyFont="1" applyFill="1"/>
    <xf numFmtId="0" fontId="37" fillId="11" borderId="0" xfId="0" applyFont="1" applyFill="1"/>
    <xf numFmtId="41" fontId="0" fillId="25" borderId="0" xfId="0" applyNumberFormat="1" applyFill="1"/>
    <xf numFmtId="41" fontId="23" fillId="0" borderId="0" xfId="2" applyNumberFormat="1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23" fillId="0" borderId="15" xfId="0" applyFont="1" applyBorder="1"/>
    <xf numFmtId="0" fontId="23" fillId="0" borderId="15" xfId="0" applyFont="1" applyBorder="1" applyAlignment="1">
      <alignment horizontal="center" vertical="center" wrapText="1"/>
    </xf>
    <xf numFmtId="41" fontId="36" fillId="0" borderId="0" xfId="0" applyNumberFormat="1" applyFont="1"/>
    <xf numFmtId="41" fontId="38" fillId="0" borderId="0" xfId="2" applyNumberFormat="1" applyFont="1" applyBorder="1" applyAlignment="1">
      <alignment horizontal="center" vertical="center"/>
    </xf>
    <xf numFmtId="0" fontId="4" fillId="0" borderId="0" xfId="0" applyFont="1"/>
    <xf numFmtId="0" fontId="12" fillId="0" borderId="0" xfId="0" applyFont="1"/>
    <xf numFmtId="41" fontId="1" fillId="0" borderId="0" xfId="2" applyNumberFormat="1" applyFont="1" applyBorder="1" applyAlignment="1"/>
    <xf numFmtId="164" fontId="0" fillId="0" borderId="0" xfId="2" applyNumberFormat="1" applyFont="1"/>
    <xf numFmtId="41" fontId="0" fillId="31" borderId="0" xfId="0" applyNumberFormat="1" applyFill="1"/>
    <xf numFmtId="41" fontId="23" fillId="0" borderId="15" xfId="2" applyNumberFormat="1" applyFont="1" applyBorder="1" applyAlignment="1">
      <alignment horizontal="left" vertical="center"/>
    </xf>
    <xf numFmtId="164" fontId="28" fillId="4" borderId="16" xfId="1" applyNumberFormat="1" applyFont="1" applyFill="1" applyBorder="1" applyAlignment="1">
      <alignment horizontal="right"/>
    </xf>
    <xf numFmtId="164" fontId="0" fillId="3" borderId="0" xfId="1" applyNumberFormat="1" applyFont="1" applyFill="1"/>
    <xf numFmtId="164" fontId="28" fillId="25" borderId="16" xfId="1" applyNumberFormat="1" applyFont="1" applyFill="1" applyBorder="1" applyAlignment="1">
      <alignment horizontal="right"/>
    </xf>
    <xf numFmtId="0" fontId="0" fillId="9" borderId="0" xfId="0" applyFill="1"/>
    <xf numFmtId="0" fontId="5" fillId="9" borderId="0" xfId="0" applyFont="1" applyFill="1"/>
    <xf numFmtId="41" fontId="23" fillId="0" borderId="0" xfId="2" applyNumberFormat="1" applyFont="1" applyBorder="1" applyAlignment="1"/>
    <xf numFmtId="41" fontId="0" fillId="0" borderId="15" xfId="2" applyNumberFormat="1" applyFont="1" applyFill="1" applyBorder="1"/>
    <xf numFmtId="41" fontId="0" fillId="0" borderId="15" xfId="2" applyNumberFormat="1" applyFont="1" applyBorder="1"/>
    <xf numFmtId="41" fontId="0" fillId="0" borderId="0" xfId="2" applyNumberFormat="1" applyFont="1" applyFill="1"/>
    <xf numFmtId="41" fontId="0" fillId="0" borderId="0" xfId="2" applyNumberFormat="1" applyFont="1"/>
    <xf numFmtId="41" fontId="0" fillId="9" borderId="0" xfId="2" applyNumberFormat="1" applyFont="1" applyFill="1"/>
    <xf numFmtId="0" fontId="39" fillId="0" borderId="0" xfId="0" applyFont="1" applyAlignment="1">
      <alignment horizontal="center" wrapText="1"/>
    </xf>
    <xf numFmtId="0" fontId="24" fillId="0" borderId="0" xfId="0" applyFont="1"/>
    <xf numFmtId="0" fontId="0" fillId="0" borderId="0" xfId="0" applyAlignment="1">
      <alignment vertical="center"/>
    </xf>
    <xf numFmtId="41" fontId="5" fillId="10" borderId="0" xfId="0" applyNumberFormat="1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2" fontId="0" fillId="2" borderId="0" xfId="0" applyNumberFormat="1" applyFill="1"/>
    <xf numFmtId="2" fontId="0" fillId="0" borderId="0" xfId="0" applyNumberFormat="1"/>
    <xf numFmtId="2" fontId="0" fillId="3" borderId="0" xfId="0" applyNumberFormat="1" applyFill="1"/>
    <xf numFmtId="2" fontId="0" fillId="4" borderId="0" xfId="0" applyNumberFormat="1" applyFill="1"/>
    <xf numFmtId="2" fontId="5" fillId="6" borderId="0" xfId="1" applyNumberFormat="1" applyFont="1" applyFill="1"/>
    <xf numFmtId="2" fontId="0" fillId="7" borderId="0" xfId="0" applyNumberFormat="1" applyFill="1"/>
    <xf numFmtId="2" fontId="5" fillId="10" borderId="0" xfId="1" applyNumberFormat="1" applyFont="1" applyFill="1"/>
    <xf numFmtId="2" fontId="0" fillId="11" borderId="0" xfId="0" applyNumberFormat="1" applyFill="1"/>
    <xf numFmtId="2" fontId="0" fillId="12" borderId="0" xfId="0" applyNumberFormat="1" applyFill="1"/>
    <xf numFmtId="2" fontId="5" fillId="13" borderId="0" xfId="1" applyNumberFormat="1" applyFont="1" applyFill="1"/>
    <xf numFmtId="0" fontId="40" fillId="0" borderId="0" xfId="0" applyFont="1" applyAlignment="1">
      <alignment horizontal="left" wrapText="1"/>
    </xf>
    <xf numFmtId="3" fontId="24" fillId="0" borderId="0" xfId="0" applyNumberFormat="1" applyFont="1"/>
    <xf numFmtId="3" fontId="24" fillId="0" borderId="0" xfId="0" applyNumberFormat="1" applyFont="1" applyAlignment="1">
      <alignment horizontal="center"/>
    </xf>
    <xf numFmtId="3" fontId="41" fillId="0" borderId="0" xfId="0" applyNumberFormat="1" applyFont="1"/>
    <xf numFmtId="0" fontId="42" fillId="0" borderId="0" xfId="0" applyFont="1"/>
    <xf numFmtId="0" fontId="41" fillId="0" borderId="0" xfId="0" applyFont="1"/>
    <xf numFmtId="41" fontId="24" fillId="0" borderId="0" xfId="1" applyNumberFormat="1" applyFont="1" applyFill="1"/>
    <xf numFmtId="3" fontId="18" fillId="32" borderId="0" xfId="0" applyNumberFormat="1" applyFont="1" applyFill="1" applyAlignment="1">
      <alignment horizontal="center"/>
    </xf>
    <xf numFmtId="0" fontId="18" fillId="32" borderId="0" xfId="0" applyFont="1" applyFill="1" applyAlignment="1">
      <alignment horizontal="center"/>
    </xf>
    <xf numFmtId="164" fontId="28" fillId="14" borderId="19" xfId="1" applyNumberFormat="1" applyFont="1" applyFill="1" applyBorder="1" applyAlignment="1">
      <alignment horizontal="right"/>
    </xf>
    <xf numFmtId="0" fontId="23" fillId="0" borderId="15" xfId="0" applyFont="1" applyBorder="1" applyAlignment="1">
      <alignment horizontal="center" vertical="center"/>
    </xf>
    <xf numFmtId="41" fontId="24" fillId="14" borderId="0" xfId="0" applyNumberFormat="1" applyFont="1" applyFill="1"/>
    <xf numFmtId="41" fontId="24" fillId="0" borderId="2" xfId="0" applyNumberFormat="1" applyFont="1" applyBorder="1"/>
    <xf numFmtId="164" fontId="24" fillId="0" borderId="0" xfId="1" applyNumberFormat="1" applyFont="1" applyFill="1"/>
    <xf numFmtId="164" fontId="24" fillId="0" borderId="2" xfId="1" applyNumberFormat="1" applyFont="1" applyFill="1" applyBorder="1"/>
    <xf numFmtId="164" fontId="5" fillId="6" borderId="0" xfId="1" applyNumberFormat="1" applyFont="1" applyFill="1"/>
    <xf numFmtId="41" fontId="5" fillId="33" borderId="0" xfId="0" applyNumberFormat="1" applyFont="1" applyFill="1"/>
    <xf numFmtId="0" fontId="5" fillId="34" borderId="0" xfId="0" applyFont="1" applyFill="1"/>
    <xf numFmtId="0" fontId="5" fillId="35" borderId="0" xfId="0" applyFont="1" applyFill="1"/>
    <xf numFmtId="0" fontId="2" fillId="0" borderId="0" xfId="0" applyFont="1" applyAlignment="1">
      <alignment horizontal="center"/>
    </xf>
    <xf numFmtId="0" fontId="23" fillId="0" borderId="15" xfId="0" applyFont="1" applyBorder="1" applyAlignment="1">
      <alignment horizontal="center" wrapText="1"/>
    </xf>
    <xf numFmtId="41" fontId="5" fillId="36" borderId="0" xfId="0" applyNumberFormat="1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10" fillId="18" borderId="10" xfId="0" applyFont="1" applyFill="1" applyBorder="1" applyAlignment="1">
      <alignment horizontal="left"/>
    </xf>
    <xf numFmtId="0" fontId="10" fillId="19" borderId="1" xfId="0" applyFont="1" applyFill="1" applyBorder="1" applyAlignment="1">
      <alignment horizontal="left"/>
    </xf>
    <xf numFmtId="0" fontId="10" fillId="19" borderId="11" xfId="0" applyFont="1" applyFill="1" applyBorder="1" applyAlignment="1">
      <alignment horizontal="left"/>
    </xf>
    <xf numFmtId="0" fontId="10" fillId="21" borderId="1" xfId="0" applyFont="1" applyFill="1" applyBorder="1" applyAlignment="1">
      <alignment horizontal="left"/>
    </xf>
    <xf numFmtId="0" fontId="10" fillId="21" borderId="10" xfId="0" applyFont="1" applyFill="1" applyBorder="1" applyAlignment="1">
      <alignment horizontal="left"/>
    </xf>
    <xf numFmtId="0" fontId="10" fillId="21" borderId="11" xfId="0" applyFont="1" applyFill="1" applyBorder="1" applyAlignment="1">
      <alignment horizontal="left"/>
    </xf>
    <xf numFmtId="0" fontId="23" fillId="0" borderId="15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23" fillId="0" borderId="15" xfId="0" applyFont="1" applyBorder="1" applyAlignment="1">
      <alignment horizontal="center" wrapText="1"/>
    </xf>
    <xf numFmtId="41" fontId="23" fillId="0" borderId="15" xfId="2" applyNumberFormat="1" applyFont="1" applyBorder="1" applyAlignment="1">
      <alignment horizontal="center"/>
    </xf>
  </cellXfs>
  <cellStyles count="29">
    <cellStyle name="Comma" xfId="1" builtinId="3"/>
    <cellStyle name="Currency" xfId="2" builtinId="4"/>
    <cellStyle name="Followed Hyperlink" xfId="6" builtinId="9" hidden="1"/>
    <cellStyle name="Followed Hyperlink" xfId="4" builtinId="9" hidden="1"/>
    <cellStyle name="Followed Hyperlink" xfId="10" builtinId="9" hidden="1"/>
    <cellStyle name="Followed Hyperlink" xfId="14" builtinId="9" hidden="1"/>
    <cellStyle name="Followed Hyperlink" xfId="18" builtinId="9" hidden="1"/>
    <cellStyle name="Followed Hyperlink" xfId="22" builtinId="9" hidden="1"/>
    <cellStyle name="Followed Hyperlink" xfId="16" builtinId="9" hidden="1"/>
    <cellStyle name="Followed Hyperlink" xfId="8" builtinId="9" hidden="1"/>
    <cellStyle name="Followed Hyperlink" xfId="20" builtinId="9" hidden="1"/>
    <cellStyle name="Followed Hyperlink" xfId="24" builtinId="9" hidden="1"/>
    <cellStyle name="Followed Hyperlink" xfId="12" builtinId="9" hidden="1"/>
    <cellStyle name="Followed Hyperlink" xfId="28" builtinId="9" hidden="1"/>
    <cellStyle name="Followed Hyperlink" xfId="26" builtinId="9" hidden="1"/>
    <cellStyle name="Hyperlink" xfId="11" builtinId="8" hidden="1"/>
    <cellStyle name="Hyperlink" xfId="13" builtinId="8" hidden="1"/>
    <cellStyle name="Hyperlink" xfId="15" builtinId="8" hidden="1"/>
    <cellStyle name="Hyperlink" xfId="5" builtinId="8" hidden="1"/>
    <cellStyle name="Hyperlink" xfId="3" builtinId="8" hidden="1"/>
    <cellStyle name="Hyperlink" xfId="7" builtinId="8" hidden="1"/>
    <cellStyle name="Hyperlink" xfId="23" builtinId="8" hidden="1"/>
    <cellStyle name="Hyperlink" xfId="27" builtinId="8" hidden="1"/>
    <cellStyle name="Hyperlink" xfId="25" builtinId="8" hidden="1"/>
    <cellStyle name="Hyperlink" xfId="9" builtinId="8" hidden="1"/>
    <cellStyle name="Hyperlink" xfId="19" builtinId="8" hidden="1"/>
    <cellStyle name="Hyperlink" xfId="21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Light16"/>
  <colors>
    <mruColors>
      <color rgb="FFC0504D"/>
      <color rgb="FF4BACC6"/>
      <color rgb="FF7D63A3"/>
      <color rgb="FF00CCFF"/>
      <color rgb="FF800080"/>
      <color rgb="FF33CCCC"/>
      <color rgb="FFCC99FF"/>
      <color rgb="FF339966"/>
      <color rgb="FFCC6600"/>
      <color rgb="FF8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workbookViewId="0">
      <selection activeCell="K53" sqref="K53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3" width="16.42578125" customWidth="1"/>
    <col min="14" max="14" width="19" customWidth="1"/>
    <col min="15" max="15" width="16.42578125" customWidth="1"/>
    <col min="16" max="16" width="17.7109375" customWidth="1"/>
  </cols>
  <sheetData>
    <row r="1" spans="1:16" ht="18.75">
      <c r="D1" s="251" t="s">
        <v>0</v>
      </c>
      <c r="E1" s="251"/>
      <c r="F1" s="251"/>
      <c r="G1" s="251"/>
      <c r="H1" s="251"/>
      <c r="I1" s="251"/>
      <c r="J1" s="251"/>
      <c r="K1" s="251"/>
    </row>
    <row r="2" spans="1:16">
      <c r="D2" s="252" t="s">
        <v>1</v>
      </c>
      <c r="E2" s="252"/>
      <c r="F2" s="252"/>
      <c r="G2" s="252"/>
      <c r="H2" s="252"/>
      <c r="I2" s="252"/>
      <c r="J2" s="252"/>
      <c r="K2" s="252"/>
    </row>
    <row r="4" spans="1:16" ht="45">
      <c r="K4" s="1" t="s">
        <v>2</v>
      </c>
      <c r="L4" s="1" t="s">
        <v>3</v>
      </c>
      <c r="M4" s="1" t="s">
        <v>4</v>
      </c>
      <c r="N4" s="1" t="s">
        <v>5</v>
      </c>
      <c r="O4" s="1" t="s">
        <v>6</v>
      </c>
      <c r="P4" s="1" t="s">
        <v>7</v>
      </c>
    </row>
    <row r="5" spans="1:16">
      <c r="A5" t="s">
        <v>8</v>
      </c>
    </row>
    <row r="6" spans="1:16">
      <c r="B6" t="s">
        <v>9</v>
      </c>
      <c r="K6" s="72">
        <v>540140</v>
      </c>
      <c r="L6" s="73">
        <v>1236744</v>
      </c>
      <c r="M6" s="73">
        <v>2071316</v>
      </c>
      <c r="N6" s="73">
        <v>402027</v>
      </c>
      <c r="O6" s="73">
        <v>4721780</v>
      </c>
      <c r="P6" s="73">
        <f>SUM(K6:O6)</f>
        <v>8972007</v>
      </c>
    </row>
    <row r="7" spans="1:16">
      <c r="B7" t="s">
        <v>10</v>
      </c>
      <c r="K7" s="77">
        <v>146420</v>
      </c>
      <c r="L7" s="73">
        <v>12735</v>
      </c>
      <c r="M7" s="73">
        <v>4012797</v>
      </c>
      <c r="N7" s="73">
        <v>137096</v>
      </c>
      <c r="O7" s="73">
        <v>3587521</v>
      </c>
      <c r="P7" s="73">
        <f t="shared" ref="P7:P14" si="0">SUM(K7:O7)</f>
        <v>7896569</v>
      </c>
    </row>
    <row r="8" spans="1:16">
      <c r="B8" t="s">
        <v>11</v>
      </c>
      <c r="K8" s="74">
        <v>205441</v>
      </c>
      <c r="L8" s="73">
        <v>125026</v>
      </c>
      <c r="M8" s="73"/>
      <c r="N8" s="73"/>
      <c r="O8" s="73">
        <v>166701</v>
      </c>
      <c r="P8" s="73">
        <f t="shared" si="0"/>
        <v>497168</v>
      </c>
    </row>
    <row r="9" spans="1:16">
      <c r="B9" t="s">
        <v>12</v>
      </c>
      <c r="K9" s="73"/>
      <c r="L9" s="73"/>
      <c r="M9" s="73"/>
      <c r="N9" s="73"/>
      <c r="O9" s="73">
        <v>18188</v>
      </c>
      <c r="P9" s="73">
        <f t="shared" si="0"/>
        <v>18188</v>
      </c>
    </row>
    <row r="10" spans="1:16">
      <c r="B10" t="s">
        <v>13</v>
      </c>
      <c r="K10" s="74">
        <v>53983</v>
      </c>
      <c r="L10" s="73"/>
      <c r="M10" s="73"/>
      <c r="N10" s="73"/>
      <c r="O10" s="73">
        <v>2221</v>
      </c>
      <c r="P10" s="73">
        <f t="shared" si="0"/>
        <v>56204</v>
      </c>
    </row>
    <row r="11" spans="1:16">
      <c r="B11" t="s">
        <v>14</v>
      </c>
      <c r="K11" s="73"/>
      <c r="L11" s="73"/>
      <c r="M11" s="73"/>
      <c r="N11" s="73"/>
      <c r="O11" s="73"/>
      <c r="P11" s="73">
        <f t="shared" si="0"/>
        <v>0</v>
      </c>
    </row>
    <row r="12" spans="1:16">
      <c r="C12" t="s">
        <v>15</v>
      </c>
      <c r="K12" s="75">
        <v>1976300</v>
      </c>
      <c r="L12" s="73">
        <v>1115492</v>
      </c>
      <c r="M12" s="73">
        <v>596161</v>
      </c>
      <c r="N12" s="73">
        <v>169936</v>
      </c>
      <c r="O12" s="73">
        <v>1503096</v>
      </c>
      <c r="P12" s="73">
        <f t="shared" si="0"/>
        <v>5360985</v>
      </c>
    </row>
    <row r="13" spans="1:16">
      <c r="B13" t="s">
        <v>16</v>
      </c>
      <c r="K13" s="75">
        <v>92143</v>
      </c>
      <c r="L13" s="73"/>
      <c r="M13" s="73"/>
      <c r="N13" s="73"/>
      <c r="O13" s="73"/>
      <c r="P13" s="73">
        <f t="shared" si="0"/>
        <v>92143</v>
      </c>
    </row>
    <row r="14" spans="1:16">
      <c r="B14" t="s">
        <v>17</v>
      </c>
      <c r="K14" s="75">
        <v>20249</v>
      </c>
      <c r="L14" s="73"/>
      <c r="M14" s="73"/>
      <c r="N14" s="73"/>
      <c r="O14" s="73"/>
      <c r="P14" s="73">
        <f t="shared" si="0"/>
        <v>20249</v>
      </c>
    </row>
    <row r="15" spans="1:16">
      <c r="K15" s="93"/>
      <c r="L15" s="93"/>
      <c r="M15" s="93"/>
      <c r="N15" s="93"/>
      <c r="O15" s="93"/>
      <c r="P15" s="93"/>
    </row>
    <row r="16" spans="1:16" s="3" customFormat="1">
      <c r="A16" s="2"/>
      <c r="B16" s="2"/>
      <c r="C16" s="2"/>
      <c r="D16" s="2"/>
      <c r="E16" s="2" t="s">
        <v>18</v>
      </c>
      <c r="K16" s="76">
        <f t="shared" ref="K16:P16" si="1">SUM(K6:K14)</f>
        <v>3034676</v>
      </c>
      <c r="L16" s="76">
        <f t="shared" si="1"/>
        <v>2489997</v>
      </c>
      <c r="M16" s="76">
        <f t="shared" si="1"/>
        <v>6680274</v>
      </c>
      <c r="N16" s="76">
        <f t="shared" si="1"/>
        <v>709059</v>
      </c>
      <c r="O16" s="76">
        <f t="shared" si="1"/>
        <v>9999507</v>
      </c>
      <c r="P16" s="76">
        <f t="shared" si="1"/>
        <v>22913513</v>
      </c>
    </row>
    <row r="17" spans="1:16">
      <c r="K17" s="73"/>
      <c r="L17" s="73"/>
      <c r="M17" s="73"/>
      <c r="N17" s="73"/>
      <c r="O17" s="73"/>
      <c r="P17" s="73"/>
    </row>
    <row r="18" spans="1:16">
      <c r="A18" s="4" t="s">
        <v>19</v>
      </c>
      <c r="K18" s="73"/>
      <c r="L18" s="73"/>
      <c r="M18" s="73"/>
      <c r="N18" s="73"/>
      <c r="O18" s="73"/>
      <c r="P18" s="73"/>
    </row>
    <row r="19" spans="1:16">
      <c r="B19" t="s">
        <v>20</v>
      </c>
      <c r="K19" s="73"/>
      <c r="L19" s="73"/>
      <c r="M19" s="73"/>
      <c r="N19" s="73"/>
      <c r="O19" s="73"/>
      <c r="P19" s="73"/>
    </row>
    <row r="20" spans="1:16">
      <c r="C20" t="s">
        <v>21</v>
      </c>
      <c r="K20" s="77">
        <v>296256</v>
      </c>
      <c r="L20" s="73">
        <v>30127</v>
      </c>
      <c r="M20" s="73">
        <v>363174</v>
      </c>
      <c r="N20" s="73">
        <v>7842</v>
      </c>
      <c r="O20" s="73">
        <v>174085</v>
      </c>
      <c r="P20" s="73">
        <f>SUM(K20:O20)</f>
        <v>871484</v>
      </c>
    </row>
    <row r="21" spans="1:16">
      <c r="C21" t="s">
        <v>22</v>
      </c>
      <c r="K21" s="73"/>
      <c r="L21" s="73"/>
      <c r="M21" s="73">
        <v>7879</v>
      </c>
      <c r="N21" s="73"/>
      <c r="O21" s="73"/>
      <c r="P21" s="73">
        <f>SUM(K21:O21)</f>
        <v>7879</v>
      </c>
    </row>
    <row r="22" spans="1:16">
      <c r="C22" t="s">
        <v>23</v>
      </c>
      <c r="K22" s="77">
        <v>509448</v>
      </c>
      <c r="L22" s="73">
        <v>41776</v>
      </c>
      <c r="M22" s="73"/>
      <c r="N22" s="73"/>
      <c r="O22" s="73">
        <v>55702</v>
      </c>
      <c r="P22" s="73">
        <f>SUM(K22:O22)</f>
        <v>606926</v>
      </c>
    </row>
    <row r="23" spans="1:16">
      <c r="C23" t="s">
        <v>24</v>
      </c>
      <c r="K23" s="73"/>
      <c r="L23" s="73">
        <v>45000</v>
      </c>
      <c r="M23" s="73"/>
      <c r="N23" s="73"/>
      <c r="O23" s="73"/>
      <c r="P23" s="73">
        <f t="shared" ref="P23:P24" si="2">SUM(K23:O23)</f>
        <v>45000</v>
      </c>
    </row>
    <row r="24" spans="1:16">
      <c r="C24" t="s">
        <v>25</v>
      </c>
      <c r="K24" s="73"/>
      <c r="L24" s="73">
        <v>45977</v>
      </c>
      <c r="M24" s="73">
        <v>30914</v>
      </c>
      <c r="N24" s="73"/>
      <c r="O24" s="73">
        <v>15252</v>
      </c>
      <c r="P24" s="73">
        <f t="shared" si="2"/>
        <v>92143</v>
      </c>
    </row>
    <row r="25" spans="1:16">
      <c r="K25" s="93"/>
      <c r="L25" s="93"/>
      <c r="M25" s="93"/>
      <c r="N25" s="93"/>
      <c r="O25" s="93"/>
      <c r="P25" s="93"/>
    </row>
    <row r="26" spans="1:16" s="5" customFormat="1">
      <c r="B26" s="6"/>
      <c r="C26" s="6"/>
      <c r="D26" s="6"/>
      <c r="E26" s="6" t="s">
        <v>26</v>
      </c>
      <c r="K26" s="79">
        <f t="shared" ref="K26:P26" si="3">SUM(K20:K24)</f>
        <v>805704</v>
      </c>
      <c r="L26" s="79">
        <f t="shared" si="3"/>
        <v>162880</v>
      </c>
      <c r="M26" s="79">
        <f t="shared" si="3"/>
        <v>401967</v>
      </c>
      <c r="N26" s="79">
        <f t="shared" si="3"/>
        <v>7842</v>
      </c>
      <c r="O26" s="79">
        <f t="shared" si="3"/>
        <v>245039</v>
      </c>
      <c r="P26" s="79">
        <f t="shared" si="3"/>
        <v>1623432</v>
      </c>
    </row>
    <row r="27" spans="1:16">
      <c r="K27" s="73"/>
      <c r="L27" s="73"/>
      <c r="M27" s="73"/>
      <c r="N27" s="73"/>
      <c r="O27" s="73"/>
      <c r="P27" s="73"/>
    </row>
    <row r="28" spans="1:16">
      <c r="A28" s="71" t="s">
        <v>27</v>
      </c>
      <c r="K28" s="73"/>
      <c r="L28" s="73"/>
      <c r="M28" s="73"/>
      <c r="N28" s="73"/>
      <c r="O28" s="73"/>
      <c r="P28" s="73"/>
    </row>
    <row r="29" spans="1:16">
      <c r="C29" t="s">
        <v>28</v>
      </c>
      <c r="K29" s="85"/>
      <c r="L29" s="85"/>
      <c r="M29" s="85"/>
      <c r="N29" s="85"/>
      <c r="O29" s="85">
        <v>18188</v>
      </c>
      <c r="P29" s="85">
        <f>SUM(K29:O29)</f>
        <v>18188</v>
      </c>
    </row>
    <row r="30" spans="1:16">
      <c r="K30" s="73"/>
      <c r="L30" s="73"/>
      <c r="M30" s="73"/>
      <c r="N30" s="73"/>
      <c r="O30" s="73"/>
      <c r="P30" s="73"/>
    </row>
    <row r="31" spans="1:16" s="5" customFormat="1">
      <c r="B31" s="6"/>
      <c r="C31" s="6"/>
      <c r="D31" s="6"/>
      <c r="E31" s="6" t="s">
        <v>29</v>
      </c>
      <c r="K31" s="79">
        <f t="shared" ref="K31:P31" si="4">SUM(K29:K29)</f>
        <v>0</v>
      </c>
      <c r="L31" s="79">
        <f t="shared" si="4"/>
        <v>0</v>
      </c>
      <c r="M31" s="79">
        <f t="shared" si="4"/>
        <v>0</v>
      </c>
      <c r="N31" s="79">
        <f t="shared" si="4"/>
        <v>0</v>
      </c>
      <c r="O31" s="79">
        <f t="shared" si="4"/>
        <v>18188</v>
      </c>
      <c r="P31" s="79">
        <f t="shared" si="4"/>
        <v>18188</v>
      </c>
    </row>
    <row r="32" spans="1:16">
      <c r="K32" s="73"/>
      <c r="L32" s="73"/>
      <c r="M32" s="73"/>
      <c r="N32" s="73"/>
      <c r="O32" s="73"/>
      <c r="P32" s="73"/>
    </row>
    <row r="33" spans="2:16">
      <c r="B33" t="s">
        <v>30</v>
      </c>
      <c r="K33" s="73"/>
      <c r="L33" s="73"/>
      <c r="M33" s="73"/>
      <c r="N33" s="73"/>
      <c r="O33" s="73"/>
      <c r="P33" s="73"/>
    </row>
    <row r="34" spans="2:16">
      <c r="C34" t="s">
        <v>31</v>
      </c>
      <c r="K34" s="73"/>
      <c r="L34" s="73"/>
      <c r="M34" s="73"/>
      <c r="N34" s="73"/>
      <c r="O34" s="73"/>
      <c r="P34" s="73"/>
    </row>
    <row r="35" spans="2:16">
      <c r="D35" t="s">
        <v>32</v>
      </c>
      <c r="K35" s="80">
        <v>523200</v>
      </c>
      <c r="L35" s="73">
        <v>2327117</v>
      </c>
      <c r="M35" s="73"/>
      <c r="N35" s="73"/>
      <c r="O35" s="73"/>
      <c r="P35" s="73">
        <v>2850317</v>
      </c>
    </row>
    <row r="36" spans="2:16">
      <c r="D36" t="s">
        <v>33</v>
      </c>
      <c r="K36" s="73"/>
      <c r="L36" s="73"/>
      <c r="M36" s="73">
        <v>6278307</v>
      </c>
      <c r="N36" s="73">
        <v>701217</v>
      </c>
      <c r="O36" s="73"/>
      <c r="P36" s="73">
        <v>6979524</v>
      </c>
    </row>
    <row r="37" spans="2:16">
      <c r="D37" t="s">
        <v>34</v>
      </c>
      <c r="K37" s="73"/>
      <c r="L37" s="73"/>
      <c r="M37" s="73"/>
      <c r="N37" s="73"/>
      <c r="O37" s="73">
        <v>1657465</v>
      </c>
      <c r="P37" s="73">
        <v>1657465</v>
      </c>
    </row>
    <row r="38" spans="2:16">
      <c r="D38" t="s">
        <v>35</v>
      </c>
      <c r="K38" s="73"/>
      <c r="L38" s="73"/>
      <c r="M38" s="73"/>
      <c r="N38" s="73"/>
      <c r="O38" s="73">
        <v>1920316</v>
      </c>
      <c r="P38" s="73">
        <v>1920316</v>
      </c>
    </row>
    <row r="39" spans="2:16">
      <c r="D39" t="s">
        <v>36</v>
      </c>
      <c r="K39" s="73"/>
      <c r="L39" s="73"/>
      <c r="M39" s="73"/>
      <c r="N39" s="73"/>
      <c r="O39" s="73">
        <v>1537845</v>
      </c>
      <c r="P39" s="73">
        <v>1537845</v>
      </c>
    </row>
    <row r="40" spans="2:16">
      <c r="C40" t="s">
        <v>37</v>
      </c>
      <c r="K40" s="73"/>
      <c r="L40" s="73"/>
      <c r="M40" s="73"/>
      <c r="N40" s="73"/>
      <c r="O40" s="73"/>
      <c r="P40" s="73"/>
    </row>
    <row r="41" spans="2:16">
      <c r="D41" t="s">
        <v>38</v>
      </c>
      <c r="K41" s="73"/>
      <c r="L41" s="73"/>
      <c r="M41" s="73"/>
      <c r="N41" s="73"/>
      <c r="O41" s="73">
        <v>978527</v>
      </c>
      <c r="P41" s="73">
        <v>978527</v>
      </c>
    </row>
    <row r="42" spans="2:16">
      <c r="D42" t="s">
        <v>39</v>
      </c>
      <c r="K42" s="73"/>
      <c r="L42" s="73"/>
      <c r="M42" s="73"/>
      <c r="N42" s="73"/>
      <c r="O42" s="73">
        <v>1581065</v>
      </c>
      <c r="P42" s="73">
        <v>1581065</v>
      </c>
    </row>
    <row r="43" spans="2:16">
      <c r="D43" t="s">
        <v>40</v>
      </c>
      <c r="K43" s="73"/>
      <c r="L43" s="73"/>
      <c r="M43" s="73"/>
      <c r="N43" s="73"/>
      <c r="O43" s="73">
        <v>840917</v>
      </c>
      <c r="P43" s="73">
        <v>840917</v>
      </c>
    </row>
    <row r="44" spans="2:16">
      <c r="C44" t="s">
        <v>41</v>
      </c>
      <c r="K44" s="73"/>
      <c r="L44" s="73"/>
      <c r="M44" s="73"/>
      <c r="N44" s="73"/>
      <c r="O44" s="73"/>
      <c r="P44" s="73"/>
    </row>
    <row r="45" spans="2:16">
      <c r="D45" t="s">
        <v>42</v>
      </c>
      <c r="K45" s="73"/>
      <c r="L45" s="73"/>
      <c r="M45" s="73"/>
      <c r="N45" s="73"/>
      <c r="O45" s="73">
        <v>267910</v>
      </c>
      <c r="P45" s="73">
        <f t="shared" ref="P45:P49" si="5">SUM(K45:O45)</f>
        <v>267910</v>
      </c>
    </row>
    <row r="46" spans="2:16">
      <c r="D46" t="s">
        <v>43</v>
      </c>
      <c r="K46" s="73"/>
      <c r="L46" s="73"/>
      <c r="M46" s="73"/>
      <c r="N46" s="73"/>
      <c r="O46" s="73">
        <v>632064</v>
      </c>
      <c r="P46" s="73">
        <f t="shared" si="5"/>
        <v>632064</v>
      </c>
    </row>
    <row r="47" spans="2:16">
      <c r="D47" t="s">
        <v>44</v>
      </c>
      <c r="K47" s="73"/>
      <c r="L47" s="73"/>
      <c r="M47" s="73"/>
      <c r="N47" s="73"/>
      <c r="O47" s="73">
        <v>276955</v>
      </c>
      <c r="P47" s="73">
        <f t="shared" si="5"/>
        <v>276955</v>
      </c>
    </row>
    <row r="48" spans="2:16">
      <c r="D48" t="s">
        <v>45</v>
      </c>
      <c r="K48" s="73"/>
      <c r="L48" s="73"/>
      <c r="M48" s="73"/>
      <c r="N48" s="73"/>
      <c r="O48" s="73">
        <v>43216</v>
      </c>
      <c r="P48" s="73">
        <f t="shared" si="5"/>
        <v>43216</v>
      </c>
    </row>
    <row r="49" spans="3:16">
      <c r="C49" t="s">
        <v>46</v>
      </c>
      <c r="K49" s="84">
        <v>1705772</v>
      </c>
      <c r="L49" s="73"/>
      <c r="M49" s="73"/>
      <c r="N49" s="73"/>
      <c r="O49" s="73"/>
      <c r="P49" s="73">
        <f t="shared" si="5"/>
        <v>1705772</v>
      </c>
    </row>
    <row r="50" spans="3:16">
      <c r="K50" s="93"/>
      <c r="L50" s="93"/>
      <c r="M50" s="93"/>
      <c r="N50" s="93"/>
      <c r="O50" s="93"/>
      <c r="P50" s="93"/>
    </row>
    <row r="51" spans="3:16" s="5" customFormat="1">
      <c r="D51" s="6"/>
      <c r="E51" s="6" t="s">
        <v>47</v>
      </c>
      <c r="K51" s="79">
        <f t="shared" ref="K51:P51" si="6">SUM(K34:K49)</f>
        <v>2228972</v>
      </c>
      <c r="L51" s="79">
        <f t="shared" si="6"/>
        <v>2327117</v>
      </c>
      <c r="M51" s="79">
        <f t="shared" si="6"/>
        <v>6278307</v>
      </c>
      <c r="N51" s="79">
        <f t="shared" si="6"/>
        <v>701217</v>
      </c>
      <c r="O51" s="79">
        <f t="shared" si="6"/>
        <v>9736280</v>
      </c>
      <c r="P51" s="79">
        <f t="shared" si="6"/>
        <v>21271893</v>
      </c>
    </row>
    <row r="52" spans="3:16">
      <c r="K52" s="73"/>
      <c r="L52" s="73"/>
      <c r="M52" s="73"/>
      <c r="N52" s="73"/>
      <c r="O52" s="73"/>
      <c r="P52" s="73"/>
    </row>
    <row r="53" spans="3:16" s="7" customFormat="1">
      <c r="D53" s="8"/>
      <c r="E53" s="8" t="s">
        <v>48</v>
      </c>
      <c r="K53" s="81">
        <f t="shared" ref="K53:P53" si="7">SUM(K51,K26,K31)</f>
        <v>3034676</v>
      </c>
      <c r="L53" s="81">
        <f t="shared" si="7"/>
        <v>2489997</v>
      </c>
      <c r="M53" s="81">
        <f t="shared" si="7"/>
        <v>6680274</v>
      </c>
      <c r="N53" s="81">
        <f t="shared" si="7"/>
        <v>709059</v>
      </c>
      <c r="O53" s="81">
        <f t="shared" si="7"/>
        <v>9999507</v>
      </c>
      <c r="P53" s="81">
        <f t="shared" si="7"/>
        <v>22913513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1"/>
  <sheetViews>
    <sheetView workbookViewId="0">
      <selection activeCell="K52" sqref="K52"/>
    </sheetView>
  </sheetViews>
  <sheetFormatPr defaultColWidth="8.85546875" defaultRowHeight="15"/>
  <cols>
    <col min="11" max="11" width="16.85546875" customWidth="1"/>
    <col min="12" max="13" width="16.28515625" customWidth="1"/>
    <col min="14" max="14" width="15.85546875" customWidth="1"/>
    <col min="15" max="15" width="16.85546875" customWidth="1"/>
    <col min="16" max="16" width="16.7109375" customWidth="1"/>
    <col min="17" max="17" width="14.28515625" customWidth="1"/>
    <col min="18" max="18" width="15.85546875" customWidth="1"/>
    <col min="19" max="19" width="14.7109375" customWidth="1"/>
  </cols>
  <sheetData>
    <row r="1" spans="1:21" ht="18.75">
      <c r="D1" s="251" t="s">
        <v>49</v>
      </c>
      <c r="E1" s="251"/>
      <c r="F1" s="251"/>
      <c r="G1" s="251"/>
      <c r="H1" s="251"/>
      <c r="I1" s="251"/>
      <c r="J1" s="251"/>
      <c r="K1" s="251"/>
    </row>
    <row r="2" spans="1:21">
      <c r="D2" s="252" t="s">
        <v>1</v>
      </c>
      <c r="E2" s="252"/>
      <c r="F2" s="252"/>
      <c r="G2" s="252"/>
      <c r="H2" s="252"/>
      <c r="I2" s="252"/>
      <c r="J2" s="252"/>
      <c r="K2" s="252"/>
    </row>
    <row r="3" spans="1:21">
      <c r="D3" s="57"/>
      <c r="E3" s="57"/>
      <c r="F3" s="57"/>
      <c r="G3" s="57"/>
      <c r="H3" s="57"/>
      <c r="I3" s="57"/>
      <c r="J3" s="57"/>
      <c r="K3" s="57"/>
    </row>
    <row r="4" spans="1:21">
      <c r="P4" s="57"/>
      <c r="Q4" s="57"/>
      <c r="R4" s="57"/>
    </row>
    <row r="5" spans="1:21" ht="45">
      <c r="K5" s="1" t="s">
        <v>50</v>
      </c>
      <c r="L5" s="1" t="s">
        <v>51</v>
      </c>
      <c r="M5" s="1" t="s">
        <v>52</v>
      </c>
      <c r="N5" s="1" t="s">
        <v>53</v>
      </c>
      <c r="O5" s="1" t="s">
        <v>3</v>
      </c>
      <c r="P5" s="1" t="s">
        <v>54</v>
      </c>
      <c r="Q5" s="1" t="s">
        <v>55</v>
      </c>
      <c r="R5" s="1" t="s">
        <v>56</v>
      </c>
      <c r="S5" s="1" t="s">
        <v>7</v>
      </c>
    </row>
    <row r="6" spans="1:21">
      <c r="A6" t="s">
        <v>8</v>
      </c>
    </row>
    <row r="7" spans="1:21">
      <c r="B7" t="s">
        <v>57</v>
      </c>
      <c r="K7" s="72">
        <v>240932</v>
      </c>
      <c r="L7" s="73">
        <v>547105</v>
      </c>
      <c r="M7" s="73">
        <v>187</v>
      </c>
      <c r="N7" s="73">
        <v>294855</v>
      </c>
      <c r="O7" s="73">
        <v>11995</v>
      </c>
      <c r="P7" s="73">
        <v>832228</v>
      </c>
      <c r="Q7" s="73">
        <v>1631244</v>
      </c>
      <c r="R7" s="73">
        <v>1305121</v>
      </c>
      <c r="S7" s="73">
        <f t="shared" ref="S7:S12" si="0">SUM(K7:R7)</f>
        <v>4863667</v>
      </c>
    </row>
    <row r="8" spans="1:21">
      <c r="B8" t="s">
        <v>58</v>
      </c>
      <c r="K8" s="74">
        <v>234039</v>
      </c>
      <c r="L8" s="73"/>
      <c r="M8" s="73"/>
      <c r="N8" s="73">
        <v>98228</v>
      </c>
      <c r="O8" s="73"/>
      <c r="P8" s="73">
        <v>602271</v>
      </c>
      <c r="Q8" s="73">
        <v>534089</v>
      </c>
      <c r="R8" s="73">
        <v>1330446</v>
      </c>
      <c r="S8" s="73">
        <f t="shared" si="0"/>
        <v>2799073</v>
      </c>
    </row>
    <row r="9" spans="1:21">
      <c r="B9" t="s">
        <v>59</v>
      </c>
      <c r="K9" s="75">
        <v>281570</v>
      </c>
      <c r="L9" s="73">
        <v>131093</v>
      </c>
      <c r="M9" s="73"/>
      <c r="N9" s="73"/>
      <c r="O9" s="73">
        <v>32096</v>
      </c>
      <c r="P9" s="73"/>
      <c r="Q9" s="73"/>
      <c r="R9" s="73">
        <v>142310</v>
      </c>
      <c r="S9" s="73">
        <f t="shared" si="0"/>
        <v>587069</v>
      </c>
    </row>
    <row r="10" spans="1:21">
      <c r="B10" t="s">
        <v>60</v>
      </c>
      <c r="K10" s="95"/>
      <c r="L10" s="73"/>
      <c r="M10" s="73"/>
      <c r="N10" s="73"/>
      <c r="O10" s="73"/>
      <c r="P10" s="73"/>
      <c r="Q10" s="73"/>
      <c r="R10" s="73">
        <v>45179</v>
      </c>
      <c r="S10" s="73">
        <f t="shared" si="0"/>
        <v>45179</v>
      </c>
    </row>
    <row r="11" spans="1:21">
      <c r="B11" t="s">
        <v>16</v>
      </c>
      <c r="K11" s="75">
        <v>41502</v>
      </c>
      <c r="L11" s="73"/>
      <c r="M11" s="73"/>
      <c r="N11" s="73"/>
      <c r="O11" s="73"/>
      <c r="P11" s="73">
        <v>224</v>
      </c>
      <c r="Q11" s="73">
        <v>626</v>
      </c>
      <c r="R11" s="73">
        <v>20107</v>
      </c>
      <c r="S11" s="73">
        <f t="shared" si="0"/>
        <v>62459</v>
      </c>
    </row>
    <row r="12" spans="1:21">
      <c r="B12" t="s">
        <v>61</v>
      </c>
      <c r="K12" s="73"/>
      <c r="L12" s="73"/>
      <c r="M12" s="73"/>
      <c r="N12" s="73">
        <v>2989</v>
      </c>
      <c r="O12" s="73"/>
      <c r="P12" s="73"/>
      <c r="Q12" s="73"/>
      <c r="R12" s="73"/>
      <c r="S12" s="73">
        <f t="shared" si="0"/>
        <v>2989</v>
      </c>
    </row>
    <row r="13" spans="1:21">
      <c r="K13" s="93"/>
      <c r="L13" s="93"/>
      <c r="M13" s="93"/>
      <c r="N13" s="93"/>
      <c r="O13" s="93"/>
      <c r="P13" s="93"/>
      <c r="Q13" s="93"/>
      <c r="R13" s="93"/>
      <c r="S13" s="93"/>
    </row>
    <row r="14" spans="1:21">
      <c r="A14" s="2"/>
      <c r="B14" s="2"/>
      <c r="C14" s="2"/>
      <c r="D14" s="2"/>
      <c r="E14" s="2" t="s">
        <v>62</v>
      </c>
      <c r="F14" s="3"/>
      <c r="G14" s="3"/>
      <c r="H14" s="3"/>
      <c r="I14" s="3"/>
      <c r="J14" s="3"/>
      <c r="K14" s="76">
        <f t="shared" ref="K14:S14" si="1">SUM(K7:K12)</f>
        <v>798043</v>
      </c>
      <c r="L14" s="76">
        <f t="shared" si="1"/>
        <v>678198</v>
      </c>
      <c r="M14" s="76">
        <f t="shared" si="1"/>
        <v>187</v>
      </c>
      <c r="N14" s="76">
        <f t="shared" si="1"/>
        <v>396072</v>
      </c>
      <c r="O14" s="76">
        <f t="shared" si="1"/>
        <v>44091</v>
      </c>
      <c r="P14" s="76">
        <f t="shared" si="1"/>
        <v>1434723</v>
      </c>
      <c r="Q14" s="76">
        <f t="shared" si="1"/>
        <v>2165959</v>
      </c>
      <c r="R14" s="76">
        <f t="shared" si="1"/>
        <v>2843163</v>
      </c>
      <c r="S14" s="76">
        <f t="shared" si="1"/>
        <v>8360436</v>
      </c>
      <c r="T14" s="3"/>
      <c r="U14" s="3"/>
    </row>
    <row r="15" spans="1:21">
      <c r="K15" s="73"/>
      <c r="L15" s="73"/>
      <c r="M15" s="73"/>
      <c r="N15" s="73"/>
      <c r="O15" s="73"/>
      <c r="P15" s="73"/>
      <c r="Q15" s="73"/>
      <c r="R15" s="73"/>
      <c r="S15" s="73"/>
    </row>
    <row r="16" spans="1:21">
      <c r="A16" s="4" t="s">
        <v>19</v>
      </c>
      <c r="K16" s="73"/>
      <c r="L16" s="73"/>
      <c r="M16" s="73"/>
      <c r="N16" s="73"/>
      <c r="O16" s="73"/>
      <c r="P16" s="73"/>
      <c r="Q16" s="73"/>
      <c r="R16" s="73"/>
      <c r="S16" s="73"/>
    </row>
    <row r="17" spans="1:21">
      <c r="B17" t="s">
        <v>20</v>
      </c>
      <c r="K17" s="73"/>
      <c r="L17" s="73"/>
      <c r="M17" s="73"/>
      <c r="N17" s="73"/>
      <c r="O17" s="73"/>
      <c r="P17" s="73"/>
      <c r="Q17" s="73"/>
      <c r="R17" s="73"/>
      <c r="S17" s="73"/>
    </row>
    <row r="18" spans="1:21">
      <c r="C18" t="s">
        <v>21</v>
      </c>
      <c r="K18" s="77">
        <v>76705</v>
      </c>
      <c r="L18" s="73">
        <v>131565</v>
      </c>
      <c r="M18" s="73"/>
      <c r="N18" s="61">
        <v>11830</v>
      </c>
      <c r="O18" s="73">
        <v>52130</v>
      </c>
      <c r="P18" s="73">
        <v>35637</v>
      </c>
      <c r="Q18" s="73">
        <v>34224</v>
      </c>
      <c r="R18" s="73">
        <v>284546</v>
      </c>
      <c r="S18" s="73">
        <f>SUM(K18:R18)</f>
        <v>626637</v>
      </c>
    </row>
    <row r="19" spans="1:21">
      <c r="C19" t="s">
        <v>24</v>
      </c>
      <c r="K19" s="73"/>
      <c r="L19" s="73"/>
      <c r="M19" s="73"/>
      <c r="O19" s="73"/>
      <c r="P19" s="73"/>
      <c r="Q19" s="73"/>
      <c r="R19" s="73">
        <v>48703</v>
      </c>
      <c r="S19" s="73">
        <f t="shared" ref="S19:S20" si="2">SUM(K19:R19)</f>
        <v>48703</v>
      </c>
    </row>
    <row r="20" spans="1:21">
      <c r="C20" t="s">
        <v>25</v>
      </c>
      <c r="K20" s="78">
        <v>4923</v>
      </c>
      <c r="L20" s="73"/>
      <c r="M20" s="73"/>
      <c r="N20">
        <v>3715</v>
      </c>
      <c r="O20" s="73">
        <v>24829</v>
      </c>
      <c r="P20" s="73"/>
      <c r="Q20" s="73"/>
      <c r="R20" s="73">
        <v>28992</v>
      </c>
      <c r="S20" s="73">
        <f t="shared" si="2"/>
        <v>62459</v>
      </c>
    </row>
    <row r="21" spans="1:21">
      <c r="K21" s="93"/>
      <c r="L21" s="93"/>
      <c r="M21" s="93"/>
      <c r="N21" s="94"/>
      <c r="O21" s="93"/>
      <c r="P21" s="93"/>
      <c r="Q21" s="93"/>
      <c r="R21" s="93"/>
      <c r="S21" s="93"/>
    </row>
    <row r="22" spans="1:21">
      <c r="A22" s="5"/>
      <c r="B22" s="6"/>
      <c r="C22" s="6"/>
      <c r="D22" s="6"/>
      <c r="E22" s="6" t="s">
        <v>26</v>
      </c>
      <c r="F22" s="5"/>
      <c r="G22" s="5"/>
      <c r="H22" s="5"/>
      <c r="I22" s="5"/>
      <c r="J22" s="5"/>
      <c r="K22" s="79">
        <f>SUM(K18:K20)</f>
        <v>81628</v>
      </c>
      <c r="L22" s="79">
        <f t="shared" ref="L22:S22" si="3">SUM(L18:L20)</f>
        <v>131565</v>
      </c>
      <c r="M22" s="79">
        <f t="shared" si="3"/>
        <v>0</v>
      </c>
      <c r="N22" s="79">
        <f t="shared" si="3"/>
        <v>15545</v>
      </c>
      <c r="O22" s="79">
        <f t="shared" si="3"/>
        <v>76959</v>
      </c>
      <c r="P22" s="79">
        <f t="shared" si="3"/>
        <v>35637</v>
      </c>
      <c r="Q22" s="79">
        <f t="shared" si="3"/>
        <v>34224</v>
      </c>
      <c r="R22" s="79">
        <f t="shared" si="3"/>
        <v>362241</v>
      </c>
      <c r="S22" s="79">
        <f t="shared" si="3"/>
        <v>737799</v>
      </c>
      <c r="T22" s="5"/>
      <c r="U22" s="5"/>
    </row>
    <row r="23" spans="1:21">
      <c r="K23" s="73"/>
      <c r="L23" s="73"/>
      <c r="M23" s="73"/>
      <c r="N23" s="73"/>
      <c r="O23" s="73"/>
      <c r="P23" s="73"/>
      <c r="Q23" s="73"/>
      <c r="R23" s="73"/>
      <c r="S23" s="73"/>
    </row>
    <row r="24" spans="1:21">
      <c r="A24" s="71" t="s">
        <v>63</v>
      </c>
      <c r="K24" s="73"/>
      <c r="L24" s="73"/>
      <c r="M24" s="73"/>
      <c r="N24" s="73"/>
      <c r="O24" s="73"/>
      <c r="P24" s="73"/>
      <c r="Q24" s="73"/>
      <c r="R24" s="73"/>
      <c r="S24" s="73"/>
    </row>
    <row r="25" spans="1:21">
      <c r="C25" t="s">
        <v>64</v>
      </c>
      <c r="K25" s="85">
        <v>20863</v>
      </c>
      <c r="L25" s="85"/>
      <c r="M25" s="85"/>
      <c r="N25" s="85"/>
      <c r="O25" s="85"/>
      <c r="P25" s="85">
        <v>51888</v>
      </c>
      <c r="Q25" s="85">
        <v>36961</v>
      </c>
      <c r="R25" s="85">
        <v>143440</v>
      </c>
      <c r="S25" s="85">
        <f>SUM(K25:R25)</f>
        <v>253152</v>
      </c>
    </row>
    <row r="26" spans="1:21">
      <c r="K26" s="73"/>
      <c r="L26" s="73"/>
      <c r="M26" s="73"/>
      <c r="N26" s="73"/>
      <c r="O26" s="73"/>
      <c r="P26" s="73"/>
      <c r="Q26" s="73"/>
      <c r="R26" s="73"/>
      <c r="S26" s="73"/>
    </row>
    <row r="27" spans="1:21">
      <c r="A27" s="5"/>
      <c r="B27" s="6"/>
      <c r="C27" s="6"/>
      <c r="D27" s="6"/>
      <c r="E27" s="6" t="s">
        <v>29</v>
      </c>
      <c r="F27" s="5"/>
      <c r="G27" s="5"/>
      <c r="H27" s="5"/>
      <c r="I27" s="5"/>
      <c r="J27" s="5"/>
      <c r="K27" s="79">
        <f t="shared" ref="K27:S27" si="4">SUM(K25:K25)</f>
        <v>20863</v>
      </c>
      <c r="L27" s="79">
        <f t="shared" si="4"/>
        <v>0</v>
      </c>
      <c r="M27" s="79">
        <f t="shared" si="4"/>
        <v>0</v>
      </c>
      <c r="N27" s="79">
        <f t="shared" si="4"/>
        <v>0</v>
      </c>
      <c r="O27" s="79">
        <f t="shared" si="4"/>
        <v>0</v>
      </c>
      <c r="P27" s="79">
        <f t="shared" si="4"/>
        <v>51888</v>
      </c>
      <c r="Q27" s="79">
        <f t="shared" si="4"/>
        <v>36961</v>
      </c>
      <c r="R27" s="79">
        <f t="shared" si="4"/>
        <v>143440</v>
      </c>
      <c r="S27" s="79">
        <f t="shared" si="4"/>
        <v>253152</v>
      </c>
      <c r="T27" s="5"/>
      <c r="U27" s="5"/>
    </row>
    <row r="28" spans="1:21">
      <c r="K28" s="73"/>
      <c r="L28" s="73"/>
      <c r="M28" s="73"/>
      <c r="N28" s="73"/>
      <c r="O28" s="73"/>
      <c r="P28" s="73"/>
      <c r="Q28" s="73"/>
      <c r="R28" s="73"/>
      <c r="S28" s="73"/>
    </row>
    <row r="29" spans="1:21">
      <c r="B29" t="s">
        <v>30</v>
      </c>
      <c r="K29" s="73"/>
      <c r="L29" s="73"/>
      <c r="M29" s="73"/>
      <c r="N29" s="73"/>
      <c r="O29" s="73"/>
      <c r="P29" s="73"/>
      <c r="Q29" s="73"/>
      <c r="R29" s="73"/>
      <c r="S29" s="73"/>
    </row>
    <row r="30" spans="1:21">
      <c r="C30" t="s">
        <v>65</v>
      </c>
      <c r="K30" s="73"/>
      <c r="L30" s="73"/>
      <c r="M30" s="73"/>
      <c r="N30" s="73">
        <v>2989</v>
      </c>
      <c r="O30" s="73"/>
      <c r="P30" s="73"/>
      <c r="Q30" s="73"/>
      <c r="R30" s="73"/>
      <c r="S30" s="73">
        <f t="shared" ref="S30:S46" si="5">SUM(K30:R30)</f>
        <v>2989</v>
      </c>
    </row>
    <row r="31" spans="1:21">
      <c r="C31" t="s">
        <v>66</v>
      </c>
      <c r="K31" s="73"/>
      <c r="L31" s="73"/>
      <c r="M31" s="73"/>
      <c r="N31" s="73"/>
      <c r="O31" s="73"/>
      <c r="P31" s="73"/>
      <c r="Q31" s="73"/>
      <c r="R31" s="73">
        <v>45179</v>
      </c>
      <c r="S31" s="73">
        <f t="shared" si="5"/>
        <v>45179</v>
      </c>
    </row>
    <row r="32" spans="1:21">
      <c r="C32" t="s">
        <v>67</v>
      </c>
      <c r="K32" s="73"/>
      <c r="L32" s="73"/>
      <c r="M32" s="73"/>
      <c r="N32" s="73"/>
      <c r="O32" s="73"/>
      <c r="P32" s="73"/>
      <c r="Q32" s="73"/>
      <c r="R32" s="73"/>
      <c r="S32" s="73">
        <f t="shared" si="5"/>
        <v>0</v>
      </c>
    </row>
    <row r="33" spans="3:19">
      <c r="D33" t="s">
        <v>68</v>
      </c>
      <c r="K33" s="73"/>
      <c r="L33" s="73"/>
      <c r="M33" s="73"/>
      <c r="N33" s="73"/>
      <c r="O33" s="73"/>
      <c r="P33" s="73"/>
      <c r="Q33" s="73"/>
      <c r="R33" s="73">
        <v>707217</v>
      </c>
      <c r="S33" s="73">
        <f t="shared" si="5"/>
        <v>707217</v>
      </c>
    </row>
    <row r="34" spans="3:19">
      <c r="D34" t="s">
        <v>69</v>
      </c>
      <c r="K34" s="73"/>
      <c r="L34" s="73"/>
      <c r="M34" s="73"/>
      <c r="N34" s="73">
        <v>377538</v>
      </c>
      <c r="O34" s="73"/>
      <c r="P34" s="73"/>
      <c r="Q34" s="73"/>
      <c r="R34" s="73"/>
      <c r="S34" s="73">
        <f t="shared" si="5"/>
        <v>377538</v>
      </c>
    </row>
    <row r="35" spans="3:19">
      <c r="D35" t="s">
        <v>70</v>
      </c>
      <c r="K35" s="73"/>
      <c r="L35" s="73"/>
      <c r="M35" s="73"/>
      <c r="N35" s="73"/>
      <c r="O35" s="73"/>
      <c r="P35" s="73"/>
      <c r="Q35" s="73"/>
      <c r="R35" s="73">
        <v>874</v>
      </c>
      <c r="S35" s="73">
        <f t="shared" si="5"/>
        <v>874</v>
      </c>
    </row>
    <row r="36" spans="3:19">
      <c r="D36" t="s">
        <v>71</v>
      </c>
      <c r="K36" s="73"/>
      <c r="L36" s="73"/>
      <c r="M36" s="73"/>
      <c r="N36" s="73"/>
      <c r="O36" s="73">
        <v>32096</v>
      </c>
      <c r="P36" s="73">
        <v>1347198</v>
      </c>
      <c r="Q36" s="73">
        <v>2094774</v>
      </c>
      <c r="R36" s="73">
        <v>1404273</v>
      </c>
      <c r="S36" s="73">
        <f t="shared" si="5"/>
        <v>4878341</v>
      </c>
    </row>
    <row r="37" spans="3:19">
      <c r="D37" t="s">
        <v>43</v>
      </c>
      <c r="K37" s="73"/>
      <c r="L37" s="73"/>
      <c r="M37" s="73"/>
      <c r="N37" s="73"/>
      <c r="O37" s="73"/>
      <c r="P37" s="73"/>
      <c r="Q37" s="73"/>
      <c r="R37" s="73">
        <v>29735</v>
      </c>
      <c r="S37" s="73">
        <f t="shared" si="5"/>
        <v>29735</v>
      </c>
    </row>
    <row r="38" spans="3:19">
      <c r="D38" t="s">
        <v>72</v>
      </c>
      <c r="K38" s="73"/>
      <c r="L38" s="73">
        <v>546633</v>
      </c>
      <c r="M38" s="73"/>
      <c r="N38" s="73"/>
      <c r="O38" s="73"/>
      <c r="P38" s="73"/>
      <c r="Q38" s="73"/>
      <c r="R38" s="73"/>
      <c r="S38" s="73">
        <f t="shared" si="5"/>
        <v>546633</v>
      </c>
    </row>
    <row r="39" spans="3:19">
      <c r="D39" t="s">
        <v>42</v>
      </c>
      <c r="K39" s="73"/>
      <c r="L39" s="73"/>
      <c r="M39" s="73">
        <v>187</v>
      </c>
      <c r="N39" s="73"/>
      <c r="O39" s="73"/>
      <c r="P39" s="73"/>
      <c r="Q39" s="73"/>
      <c r="R39" s="73">
        <v>120650</v>
      </c>
      <c r="S39" s="73">
        <f t="shared" si="5"/>
        <v>120837</v>
      </c>
    </row>
    <row r="40" spans="3:19">
      <c r="D40" t="s">
        <v>73</v>
      </c>
      <c r="K40" s="73"/>
      <c r="L40" s="73"/>
      <c r="M40" s="73"/>
      <c r="N40" s="73"/>
      <c r="O40" s="73"/>
      <c r="P40" s="73"/>
      <c r="Q40" s="73"/>
      <c r="R40" s="73">
        <v>256</v>
      </c>
      <c r="S40" s="73">
        <f t="shared" si="5"/>
        <v>256</v>
      </c>
    </row>
    <row r="41" spans="3:19">
      <c r="C41" t="s">
        <v>74</v>
      </c>
      <c r="K41" s="73"/>
      <c r="L41" s="73"/>
      <c r="M41" s="73"/>
      <c r="N41" s="73"/>
      <c r="O41" s="73"/>
      <c r="P41" s="73"/>
      <c r="Q41" s="73"/>
      <c r="R41" s="73"/>
      <c r="S41" s="73">
        <f t="shared" si="5"/>
        <v>0</v>
      </c>
    </row>
    <row r="42" spans="3:19">
      <c r="D42" t="s">
        <v>69</v>
      </c>
      <c r="K42" s="73"/>
      <c r="L42" s="73"/>
      <c r="M42" s="73"/>
      <c r="N42" s="73"/>
      <c r="O42" s="73"/>
      <c r="P42" s="73"/>
      <c r="Q42" s="73"/>
      <c r="R42" s="73">
        <v>1142</v>
      </c>
      <c r="S42" s="73">
        <f t="shared" si="5"/>
        <v>1142</v>
      </c>
    </row>
    <row r="43" spans="3:19" ht="14.25" customHeight="1">
      <c r="C43" t="s">
        <v>41</v>
      </c>
      <c r="K43" s="73"/>
      <c r="L43" s="73"/>
      <c r="M43" s="73"/>
      <c r="N43" s="73"/>
      <c r="O43" s="73"/>
      <c r="P43" s="73"/>
      <c r="Q43" s="73"/>
      <c r="R43" s="73"/>
      <c r="S43" s="73">
        <f t="shared" si="5"/>
        <v>0</v>
      </c>
    </row>
    <row r="44" spans="3:19">
      <c r="D44" t="s">
        <v>69</v>
      </c>
      <c r="K44" s="90"/>
      <c r="L44" s="73"/>
      <c r="M44" s="73"/>
      <c r="N44" s="73"/>
      <c r="O44" s="73"/>
      <c r="P44" s="73"/>
      <c r="Q44" s="73"/>
      <c r="R44" s="73">
        <v>20767</v>
      </c>
      <c r="S44" s="73">
        <f t="shared" si="5"/>
        <v>20767</v>
      </c>
    </row>
    <row r="45" spans="3:19">
      <c r="D45" t="s">
        <v>71</v>
      </c>
      <c r="K45" s="90"/>
      <c r="L45" s="73"/>
      <c r="M45" s="73"/>
      <c r="N45" s="73"/>
      <c r="O45" s="73"/>
      <c r="P45" s="73"/>
      <c r="Q45" s="73"/>
      <c r="R45" s="73">
        <v>8713</v>
      </c>
      <c r="S45" s="73">
        <f t="shared" si="5"/>
        <v>8713</v>
      </c>
    </row>
    <row r="46" spans="3:19">
      <c r="C46" t="s">
        <v>75</v>
      </c>
      <c r="K46" s="73"/>
      <c r="L46" s="73"/>
      <c r="M46" s="73"/>
      <c r="N46" s="73"/>
      <c r="O46" s="73">
        <v>-64964</v>
      </c>
      <c r="P46" s="73"/>
      <c r="Q46" s="73"/>
      <c r="R46" s="73">
        <v>-1324</v>
      </c>
      <c r="S46" s="73">
        <f t="shared" si="5"/>
        <v>-66288</v>
      </c>
    </row>
    <row r="47" spans="3:19">
      <c r="C47" t="s">
        <v>76</v>
      </c>
      <c r="K47" s="84">
        <v>695552</v>
      </c>
      <c r="L47" s="73"/>
      <c r="M47" s="73"/>
      <c r="N47" s="73"/>
      <c r="O47" s="73"/>
      <c r="P47" s="73"/>
      <c r="Q47" s="73"/>
      <c r="R47" s="73"/>
      <c r="S47" s="73">
        <f>SUM(K47:R47)</f>
        <v>695552</v>
      </c>
    </row>
    <row r="48" spans="3:19">
      <c r="K48" s="93"/>
      <c r="L48" s="93"/>
      <c r="M48" s="93"/>
      <c r="N48" s="93"/>
      <c r="O48" s="93"/>
      <c r="P48" s="93"/>
      <c r="Q48" s="93"/>
      <c r="R48" s="93"/>
      <c r="S48" s="93"/>
    </row>
    <row r="49" spans="1:21">
      <c r="A49" s="5"/>
      <c r="B49" s="5"/>
      <c r="C49" s="5"/>
      <c r="D49" s="6"/>
      <c r="E49" s="6" t="s">
        <v>77</v>
      </c>
      <c r="F49" s="5"/>
      <c r="G49" s="5"/>
      <c r="H49" s="5"/>
      <c r="I49" s="5"/>
      <c r="J49" s="5"/>
      <c r="K49" s="79">
        <f>SUM(K30:K47)</f>
        <v>695552</v>
      </c>
      <c r="L49" s="79">
        <f t="shared" ref="L49:S49" si="6">SUM(L30:L47)</f>
        <v>546633</v>
      </c>
      <c r="M49" s="79">
        <f t="shared" si="6"/>
        <v>187</v>
      </c>
      <c r="N49" s="79">
        <f t="shared" si="6"/>
        <v>380527</v>
      </c>
      <c r="O49" s="79">
        <f t="shared" si="6"/>
        <v>-32868</v>
      </c>
      <c r="P49" s="79">
        <f t="shared" si="6"/>
        <v>1347198</v>
      </c>
      <c r="Q49" s="79">
        <f t="shared" si="6"/>
        <v>2094774</v>
      </c>
      <c r="R49" s="79">
        <f t="shared" si="6"/>
        <v>2337482</v>
      </c>
      <c r="S49" s="79">
        <f t="shared" si="6"/>
        <v>7369485</v>
      </c>
      <c r="T49" s="5"/>
      <c r="U49" s="5"/>
    </row>
    <row r="50" spans="1:21">
      <c r="K50" s="73"/>
      <c r="L50" s="73"/>
      <c r="M50" s="73"/>
      <c r="N50" s="73"/>
      <c r="O50" s="73"/>
      <c r="P50" s="73"/>
      <c r="Q50" s="73"/>
      <c r="R50" s="73"/>
      <c r="S50" s="73"/>
    </row>
    <row r="51" spans="1:21">
      <c r="A51" s="7"/>
      <c r="B51" s="7"/>
      <c r="C51" s="7"/>
      <c r="D51" s="8"/>
      <c r="E51" s="8" t="s">
        <v>78</v>
      </c>
      <c r="F51" s="7"/>
      <c r="G51" s="7"/>
      <c r="H51" s="7"/>
      <c r="I51" s="7"/>
      <c r="J51" s="7"/>
      <c r="K51" s="81">
        <f>K49+K27+K22</f>
        <v>798043</v>
      </c>
      <c r="L51" s="81">
        <f t="shared" ref="L51:S51" si="7">L49+L27+L22</f>
        <v>678198</v>
      </c>
      <c r="M51" s="81">
        <f t="shared" si="7"/>
        <v>187</v>
      </c>
      <c r="N51" s="81">
        <f t="shared" si="7"/>
        <v>396072</v>
      </c>
      <c r="O51" s="81">
        <f t="shared" si="7"/>
        <v>44091</v>
      </c>
      <c r="P51" s="81">
        <f t="shared" si="7"/>
        <v>1434723</v>
      </c>
      <c r="Q51" s="81">
        <f t="shared" si="7"/>
        <v>2165959</v>
      </c>
      <c r="R51" s="81">
        <f t="shared" si="7"/>
        <v>2843163</v>
      </c>
      <c r="S51" s="81">
        <f t="shared" si="7"/>
        <v>8360436</v>
      </c>
      <c r="T51" s="7"/>
      <c r="U51" s="7"/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"/>
  <sheetViews>
    <sheetView workbookViewId="0">
      <selection activeCell="K29" sqref="K29"/>
    </sheetView>
  </sheetViews>
  <sheetFormatPr defaultColWidth="8.85546875" defaultRowHeight="15"/>
  <cols>
    <col min="11" max="11" width="14.140625" customWidth="1"/>
    <col min="12" max="12" width="16.42578125" customWidth="1"/>
    <col min="13" max="13" width="15.85546875" customWidth="1"/>
    <col min="14" max="14" width="14.7109375" customWidth="1"/>
    <col min="15" max="15" width="14" customWidth="1"/>
    <col min="16" max="16" width="15.7109375" customWidth="1"/>
  </cols>
  <sheetData>
    <row r="1" spans="1:16" ht="18.75">
      <c r="D1" s="251" t="s">
        <v>79</v>
      </c>
      <c r="E1" s="251"/>
      <c r="F1" s="251"/>
      <c r="G1" s="251"/>
      <c r="H1" s="251"/>
      <c r="I1" s="251"/>
      <c r="J1" s="251"/>
      <c r="K1" s="251"/>
    </row>
    <row r="2" spans="1:16">
      <c r="D2" s="252" t="s">
        <v>80</v>
      </c>
      <c r="E2" s="252"/>
      <c r="F2" s="252"/>
      <c r="G2" s="252"/>
      <c r="H2" s="252"/>
      <c r="I2" s="252"/>
      <c r="J2" s="252"/>
      <c r="K2" s="252"/>
    </row>
    <row r="4" spans="1:16" ht="54.75" customHeight="1">
      <c r="K4" s="1" t="s">
        <v>2</v>
      </c>
      <c r="L4" s="1" t="s">
        <v>81</v>
      </c>
      <c r="M4" s="1" t="s">
        <v>82</v>
      </c>
      <c r="N4" s="1" t="s">
        <v>83</v>
      </c>
      <c r="O4" s="1" t="s">
        <v>6</v>
      </c>
      <c r="P4" s="1" t="s">
        <v>84</v>
      </c>
    </row>
    <row r="5" spans="1:16">
      <c r="A5" t="s">
        <v>8</v>
      </c>
    </row>
    <row r="6" spans="1:16">
      <c r="B6" t="s">
        <v>85</v>
      </c>
      <c r="K6" s="72">
        <v>868790</v>
      </c>
      <c r="L6" s="73">
        <v>198524</v>
      </c>
      <c r="M6" s="73">
        <v>129671</v>
      </c>
      <c r="N6" s="73">
        <v>13058</v>
      </c>
      <c r="O6" s="73">
        <v>1614714</v>
      </c>
      <c r="P6" s="73">
        <f>SUM(K6:O6)</f>
        <v>2824757</v>
      </c>
    </row>
    <row r="7" spans="1:16">
      <c r="B7" t="s">
        <v>10</v>
      </c>
      <c r="K7" s="77">
        <v>6190618</v>
      </c>
      <c r="L7" s="73">
        <v>1663083</v>
      </c>
      <c r="M7" s="73">
        <v>1065776</v>
      </c>
      <c r="N7" s="73"/>
      <c r="O7" s="73">
        <v>9204014</v>
      </c>
      <c r="P7" s="73">
        <f>SUM(K7:O7)</f>
        <v>18123491</v>
      </c>
    </row>
    <row r="8" spans="1:16">
      <c r="B8" t="s">
        <v>58</v>
      </c>
      <c r="K8" s="74">
        <v>1286511</v>
      </c>
      <c r="L8" s="73">
        <v>300205</v>
      </c>
      <c r="M8" s="73">
        <v>192531</v>
      </c>
      <c r="N8" s="73">
        <v>2782</v>
      </c>
      <c r="O8" s="73">
        <v>3987441</v>
      </c>
      <c r="P8" s="73">
        <f>SUM(K8:O8)</f>
        <v>5769470</v>
      </c>
    </row>
    <row r="9" spans="1:16">
      <c r="B9" t="s">
        <v>16</v>
      </c>
      <c r="K9" s="75">
        <v>4395</v>
      </c>
      <c r="L9" s="73"/>
      <c r="M9" s="73"/>
      <c r="N9" s="73"/>
      <c r="O9" s="73">
        <v>55062</v>
      </c>
      <c r="P9" s="73">
        <f>SUM(K9:O9)</f>
        <v>59457</v>
      </c>
    </row>
    <row r="10" spans="1:16">
      <c r="K10" s="93"/>
      <c r="L10" s="93"/>
      <c r="M10" s="93"/>
      <c r="N10" s="93"/>
      <c r="O10" s="93"/>
      <c r="P10" s="93"/>
    </row>
    <row r="11" spans="1:16">
      <c r="A11" s="2"/>
      <c r="B11" s="2"/>
      <c r="C11" s="2"/>
      <c r="D11" s="2"/>
      <c r="E11" s="2" t="s">
        <v>18</v>
      </c>
      <c r="F11" s="3"/>
      <c r="G11" s="3"/>
      <c r="H11" s="3"/>
      <c r="I11" s="3"/>
      <c r="J11" s="3"/>
      <c r="K11" s="76">
        <f t="shared" ref="K11:P11" si="0">SUM(K6:K9)</f>
        <v>8350314</v>
      </c>
      <c r="L11" s="76">
        <f t="shared" si="0"/>
        <v>2161812</v>
      </c>
      <c r="M11" s="76">
        <f t="shared" si="0"/>
        <v>1387978</v>
      </c>
      <c r="N11" s="76">
        <f t="shared" si="0"/>
        <v>15840</v>
      </c>
      <c r="O11" s="76">
        <f t="shared" si="0"/>
        <v>14861231</v>
      </c>
      <c r="P11" s="76">
        <f t="shared" si="0"/>
        <v>26777175</v>
      </c>
    </row>
    <row r="12" spans="1:16">
      <c r="K12" s="73"/>
      <c r="L12" s="73"/>
      <c r="M12" s="73"/>
      <c r="N12" s="73"/>
      <c r="O12" s="73"/>
      <c r="P12" s="73"/>
    </row>
    <row r="13" spans="1:16">
      <c r="A13" s="4" t="s">
        <v>19</v>
      </c>
      <c r="K13" s="73"/>
      <c r="L13" s="73"/>
      <c r="M13" s="73"/>
      <c r="N13" s="73"/>
      <c r="O13" s="73"/>
      <c r="P13" s="73"/>
    </row>
    <row r="14" spans="1:16">
      <c r="B14" t="s">
        <v>20</v>
      </c>
      <c r="K14" s="73"/>
      <c r="L14" s="73"/>
      <c r="M14" s="73"/>
      <c r="N14" s="73"/>
      <c r="O14" s="73"/>
      <c r="P14" s="73"/>
    </row>
    <row r="15" spans="1:16">
      <c r="C15" t="s">
        <v>21</v>
      </c>
      <c r="K15" s="77">
        <v>43061</v>
      </c>
      <c r="L15" s="73">
        <v>17906</v>
      </c>
      <c r="M15" s="73">
        <v>224</v>
      </c>
      <c r="N15" s="73">
        <v>-1476</v>
      </c>
      <c r="O15" s="73">
        <v>494562</v>
      </c>
      <c r="P15" s="73">
        <f>SUM(K15:O15)</f>
        <v>554277</v>
      </c>
    </row>
    <row r="16" spans="1:16">
      <c r="C16" t="s">
        <v>86</v>
      </c>
      <c r="K16" s="77">
        <v>16882</v>
      </c>
      <c r="L16" s="73">
        <v>20227</v>
      </c>
      <c r="M16" s="73"/>
      <c r="N16" s="73"/>
      <c r="O16" s="73">
        <v>92776</v>
      </c>
      <c r="P16" s="73">
        <f>SUM(K16:O16)</f>
        <v>129885</v>
      </c>
    </row>
    <row r="17" spans="1:16">
      <c r="C17" t="s">
        <v>25</v>
      </c>
      <c r="K17" s="78">
        <v>49146</v>
      </c>
      <c r="L17" s="73">
        <v>3097</v>
      </c>
      <c r="M17" s="73"/>
      <c r="N17" s="73"/>
      <c r="O17" s="73">
        <v>7214</v>
      </c>
      <c r="P17" s="73">
        <f>SUM(K17:O17)</f>
        <v>59457</v>
      </c>
    </row>
    <row r="18" spans="1:16">
      <c r="C18" t="s">
        <v>87</v>
      </c>
      <c r="K18" s="82">
        <v>217186</v>
      </c>
      <c r="L18" s="73">
        <v>11144</v>
      </c>
      <c r="M18" s="73"/>
      <c r="N18" s="73">
        <v>2144</v>
      </c>
      <c r="O18" s="73">
        <v>192160</v>
      </c>
      <c r="P18" s="73">
        <f>SUM(K18:O18)</f>
        <v>422634</v>
      </c>
    </row>
    <row r="19" spans="1:16">
      <c r="K19" s="93"/>
      <c r="L19" s="93"/>
      <c r="M19" s="93"/>
      <c r="N19" s="93"/>
      <c r="O19" s="93"/>
      <c r="P19" s="93"/>
    </row>
    <row r="20" spans="1:16">
      <c r="A20" s="5"/>
      <c r="B20" s="6"/>
      <c r="C20" s="6"/>
      <c r="D20" s="6"/>
      <c r="E20" s="6" t="s">
        <v>26</v>
      </c>
      <c r="F20" s="5"/>
      <c r="G20" s="5"/>
      <c r="H20" s="5"/>
      <c r="I20" s="5"/>
      <c r="J20" s="5"/>
      <c r="K20" s="79">
        <f t="shared" ref="K20:P20" si="1">SUM(K15:K18)</f>
        <v>326275</v>
      </c>
      <c r="L20" s="79">
        <f t="shared" si="1"/>
        <v>52374</v>
      </c>
      <c r="M20" s="79">
        <f t="shared" si="1"/>
        <v>224</v>
      </c>
      <c r="N20" s="79">
        <f t="shared" si="1"/>
        <v>668</v>
      </c>
      <c r="O20" s="79">
        <f t="shared" si="1"/>
        <v>786712</v>
      </c>
      <c r="P20" s="79">
        <f t="shared" si="1"/>
        <v>1166253</v>
      </c>
    </row>
    <row r="21" spans="1:16">
      <c r="K21" s="73"/>
      <c r="L21" s="73"/>
      <c r="M21" s="73"/>
      <c r="N21" s="73"/>
      <c r="O21" s="73"/>
      <c r="P21" s="73"/>
    </row>
    <row r="22" spans="1:16">
      <c r="B22" t="s">
        <v>30</v>
      </c>
      <c r="K22" s="73"/>
      <c r="L22" s="73"/>
      <c r="M22" s="73"/>
      <c r="N22" s="73"/>
      <c r="O22" s="73"/>
      <c r="P22" s="73"/>
    </row>
    <row r="23" spans="1:16">
      <c r="C23" t="s">
        <v>88</v>
      </c>
      <c r="K23" s="73"/>
      <c r="L23" s="73">
        <v>2109438</v>
      </c>
      <c r="M23" s="73"/>
      <c r="N23" s="73">
        <v>6673</v>
      </c>
      <c r="O23" s="73">
        <v>13173048</v>
      </c>
      <c r="P23" s="73">
        <f>SUM(K23:O23)</f>
        <v>15289159</v>
      </c>
    </row>
    <row r="24" spans="1:16">
      <c r="C24" t="s">
        <v>89</v>
      </c>
      <c r="K24" s="91">
        <v>36555</v>
      </c>
      <c r="L24" s="73"/>
      <c r="M24" s="73">
        <v>1387754</v>
      </c>
      <c r="N24" s="73">
        <v>8499</v>
      </c>
      <c r="O24" s="73">
        <v>901471</v>
      </c>
      <c r="P24" s="73">
        <f>SUM(K24:O24)</f>
        <v>2334279</v>
      </c>
    </row>
    <row r="25" spans="1:16">
      <c r="C25" t="s">
        <v>46</v>
      </c>
      <c r="K25" s="84">
        <v>7987484</v>
      </c>
      <c r="L25" s="73"/>
      <c r="M25" s="73"/>
      <c r="N25" s="73"/>
      <c r="O25" s="73"/>
      <c r="P25" s="73">
        <f>SUM(K25:O25)</f>
        <v>7987484</v>
      </c>
    </row>
    <row r="26" spans="1:16">
      <c r="K26" s="93"/>
      <c r="L26" s="93"/>
      <c r="M26" s="93"/>
      <c r="N26" s="93"/>
      <c r="O26" s="93"/>
      <c r="P26" s="93"/>
    </row>
    <row r="27" spans="1:16">
      <c r="A27" s="5"/>
      <c r="B27" s="5"/>
      <c r="C27" s="5"/>
      <c r="D27" s="6"/>
      <c r="E27" s="6" t="s">
        <v>77</v>
      </c>
      <c r="F27" s="5"/>
      <c r="G27" s="5"/>
      <c r="H27" s="5"/>
      <c r="I27" s="5"/>
      <c r="J27" s="5"/>
      <c r="K27" s="79">
        <f>SUM(K23:K25)</f>
        <v>8024039</v>
      </c>
      <c r="L27" s="79">
        <f t="shared" ref="L27:P27" si="2">SUM(L23:L25)</f>
        <v>2109438</v>
      </c>
      <c r="M27" s="79">
        <f t="shared" si="2"/>
        <v>1387754</v>
      </c>
      <c r="N27" s="79">
        <f t="shared" si="2"/>
        <v>15172</v>
      </c>
      <c r="O27" s="79">
        <f t="shared" si="2"/>
        <v>14074519</v>
      </c>
      <c r="P27" s="79">
        <f t="shared" si="2"/>
        <v>25610922</v>
      </c>
    </row>
    <row r="28" spans="1:16">
      <c r="K28" s="73"/>
      <c r="L28" s="73"/>
      <c r="M28" s="73"/>
      <c r="N28" s="73"/>
      <c r="O28" s="73"/>
      <c r="P28" s="73"/>
    </row>
    <row r="29" spans="1:16">
      <c r="A29" s="7"/>
      <c r="B29" s="7"/>
      <c r="C29" s="7"/>
      <c r="D29" s="8"/>
      <c r="E29" s="8" t="s">
        <v>48</v>
      </c>
      <c r="F29" s="7"/>
      <c r="G29" s="7"/>
      <c r="H29" s="7"/>
      <c r="I29" s="7"/>
      <c r="J29" s="7"/>
      <c r="K29" s="81">
        <f>SUM(K27,K20)</f>
        <v>8350314</v>
      </c>
      <c r="L29" s="81">
        <f t="shared" ref="L29:P29" si="3">SUM(L27,L20)</f>
        <v>2161812</v>
      </c>
      <c r="M29" s="81">
        <f t="shared" si="3"/>
        <v>1387978</v>
      </c>
      <c r="N29" s="81">
        <f t="shared" si="3"/>
        <v>15840</v>
      </c>
      <c r="O29" s="81">
        <f t="shared" si="3"/>
        <v>14861231</v>
      </c>
      <c r="P29" s="81">
        <f t="shared" si="3"/>
        <v>26777175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8"/>
  <sheetViews>
    <sheetView workbookViewId="0">
      <selection activeCell="G7" sqref="G7"/>
    </sheetView>
  </sheetViews>
  <sheetFormatPr defaultColWidth="8.85546875" defaultRowHeight="15"/>
  <cols>
    <col min="1" max="1" width="5.710937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5" width="19.42578125" customWidth="1"/>
    <col min="16" max="16" width="18.42578125" customWidth="1"/>
    <col min="17" max="18" width="17.42578125" customWidth="1"/>
    <col min="19" max="19" width="17.7109375" customWidth="1"/>
    <col min="20" max="20" width="19.85546875" bestFit="1" customWidth="1"/>
  </cols>
  <sheetData>
    <row r="1" spans="1:20" ht="18.75">
      <c r="D1" s="251" t="s">
        <v>90</v>
      </c>
      <c r="E1" s="251"/>
      <c r="F1" s="251"/>
      <c r="G1" s="251"/>
      <c r="H1" s="251"/>
      <c r="I1" s="251"/>
      <c r="J1" s="251"/>
      <c r="K1" s="251"/>
    </row>
    <row r="2" spans="1:20">
      <c r="D2" s="252" t="s">
        <v>1</v>
      </c>
      <c r="E2" s="252"/>
      <c r="F2" s="252"/>
      <c r="G2" s="252"/>
      <c r="H2" s="252"/>
      <c r="I2" s="252"/>
      <c r="J2" s="252"/>
      <c r="K2" s="252"/>
    </row>
    <row r="3" spans="1:20">
      <c r="D3" s="57"/>
      <c r="E3" s="57"/>
      <c r="F3" s="57"/>
      <c r="G3" s="57"/>
      <c r="H3" s="57"/>
      <c r="I3" s="57"/>
      <c r="J3" s="57"/>
      <c r="K3" s="57"/>
    </row>
    <row r="4" spans="1:20" ht="45">
      <c r="K4" s="1" t="s">
        <v>91</v>
      </c>
      <c r="L4" s="1" t="s">
        <v>92</v>
      </c>
      <c r="M4" s="1" t="s">
        <v>82</v>
      </c>
      <c r="N4" s="1" t="s">
        <v>93</v>
      </c>
      <c r="O4" s="1" t="s">
        <v>94</v>
      </c>
      <c r="P4" s="1" t="s">
        <v>95</v>
      </c>
      <c r="Q4" s="1" t="s">
        <v>96</v>
      </c>
      <c r="R4" s="1" t="s">
        <v>97</v>
      </c>
      <c r="S4" s="1" t="s">
        <v>6</v>
      </c>
      <c r="T4" s="1" t="s">
        <v>7</v>
      </c>
    </row>
    <row r="5" spans="1:20">
      <c r="A5" t="s">
        <v>8</v>
      </c>
    </row>
    <row r="6" spans="1:20">
      <c r="B6" t="s">
        <v>98</v>
      </c>
      <c r="K6" s="72">
        <v>858064</v>
      </c>
      <c r="L6" s="73">
        <v>1095076</v>
      </c>
      <c r="M6" s="73">
        <v>3825801</v>
      </c>
      <c r="N6" s="73">
        <v>463470</v>
      </c>
      <c r="O6" s="73">
        <v>1699451</v>
      </c>
      <c r="P6" s="73">
        <v>983701</v>
      </c>
      <c r="Q6" s="73">
        <v>207348</v>
      </c>
      <c r="R6" s="73">
        <v>33</v>
      </c>
      <c r="S6" s="73">
        <v>310915</v>
      </c>
      <c r="T6" s="73">
        <f>SUM(K6:S6)</f>
        <v>9443859</v>
      </c>
    </row>
    <row r="7" spans="1:20">
      <c r="B7" t="s">
        <v>58</v>
      </c>
      <c r="K7" s="74">
        <v>54360</v>
      </c>
      <c r="L7" s="73"/>
      <c r="M7" s="73"/>
      <c r="N7" s="73"/>
      <c r="O7" s="73"/>
      <c r="P7" s="73"/>
      <c r="Q7" s="73">
        <v>1299</v>
      </c>
      <c r="R7" s="73"/>
      <c r="S7" s="73">
        <v>774</v>
      </c>
      <c r="T7" s="73">
        <f>SUM(K7:S7)</f>
        <v>56433</v>
      </c>
    </row>
    <row r="8" spans="1:20">
      <c r="B8" t="s">
        <v>99</v>
      </c>
      <c r="K8" s="75">
        <v>366301</v>
      </c>
      <c r="L8" s="73">
        <v>182785</v>
      </c>
      <c r="M8" s="73">
        <v>274162</v>
      </c>
      <c r="N8" s="73">
        <v>418315</v>
      </c>
      <c r="O8" s="73">
        <v>479260</v>
      </c>
      <c r="P8" s="73">
        <v>740903</v>
      </c>
      <c r="Q8" s="73"/>
      <c r="R8" s="73">
        <v>149799</v>
      </c>
      <c r="S8" s="73">
        <v>20369</v>
      </c>
      <c r="T8" s="73">
        <f>SUM(K8:S8)</f>
        <v>2631894</v>
      </c>
    </row>
    <row r="9" spans="1:20">
      <c r="B9" t="s">
        <v>16</v>
      </c>
      <c r="K9" s="73"/>
      <c r="L9" s="73"/>
      <c r="M9" s="73"/>
      <c r="N9" s="73"/>
      <c r="O9" s="73"/>
      <c r="P9" s="73"/>
      <c r="Q9" s="73"/>
      <c r="R9" s="73"/>
      <c r="S9" s="73">
        <v>2153</v>
      </c>
      <c r="T9" s="73">
        <f>SUM(K9:S9)</f>
        <v>2153</v>
      </c>
    </row>
    <row r="10" spans="1:20">
      <c r="B10" t="s">
        <v>100</v>
      </c>
      <c r="K10" s="82">
        <v>38135</v>
      </c>
      <c r="L10" s="73">
        <v>29523</v>
      </c>
      <c r="M10" s="73">
        <v>22694</v>
      </c>
      <c r="N10" s="73">
        <v>15137</v>
      </c>
      <c r="O10" s="73">
        <v>8637</v>
      </c>
      <c r="P10" s="73">
        <v>29863</v>
      </c>
      <c r="Q10" s="73">
        <v>1109</v>
      </c>
      <c r="R10" s="73"/>
      <c r="S10" s="73">
        <v>3622</v>
      </c>
      <c r="T10" s="73">
        <f>SUM(K10:S10)</f>
        <v>148720</v>
      </c>
    </row>
    <row r="11" spans="1:20">
      <c r="K11" s="73"/>
      <c r="L11" s="73"/>
      <c r="M11" s="73"/>
      <c r="N11" s="73"/>
      <c r="O11" s="73"/>
      <c r="P11" s="73"/>
      <c r="Q11" s="73"/>
      <c r="R11" s="73"/>
      <c r="S11" s="73"/>
      <c r="T11" s="73"/>
    </row>
    <row r="12" spans="1:20" s="3" customFormat="1">
      <c r="A12" s="2"/>
      <c r="B12" s="2"/>
      <c r="C12" s="2"/>
      <c r="D12" s="2"/>
      <c r="E12" s="2" t="s">
        <v>62</v>
      </c>
      <c r="K12" s="76">
        <f t="shared" ref="K12:T12" si="0">SUM(K6:K10)</f>
        <v>1316860</v>
      </c>
      <c r="L12" s="76">
        <f t="shared" si="0"/>
        <v>1307384</v>
      </c>
      <c r="M12" s="76">
        <f t="shared" si="0"/>
        <v>4122657</v>
      </c>
      <c r="N12" s="76">
        <f t="shared" si="0"/>
        <v>896922</v>
      </c>
      <c r="O12" s="76">
        <f t="shared" si="0"/>
        <v>2187348</v>
      </c>
      <c r="P12" s="76">
        <f t="shared" si="0"/>
        <v>1754467</v>
      </c>
      <c r="Q12" s="76">
        <f t="shared" si="0"/>
        <v>209756</v>
      </c>
      <c r="R12" s="76">
        <f t="shared" si="0"/>
        <v>149832</v>
      </c>
      <c r="S12" s="76">
        <f t="shared" si="0"/>
        <v>337833</v>
      </c>
      <c r="T12" s="76">
        <f t="shared" si="0"/>
        <v>12283059</v>
      </c>
    </row>
    <row r="13" spans="1:20">
      <c r="K13" s="73"/>
      <c r="L13" s="73"/>
      <c r="M13" s="73"/>
      <c r="N13" s="73"/>
      <c r="O13" s="73"/>
      <c r="P13" s="73"/>
      <c r="Q13" s="73"/>
      <c r="R13" s="73"/>
      <c r="S13" s="73"/>
      <c r="T13" s="73"/>
    </row>
    <row r="14" spans="1:20">
      <c r="A14" s="71" t="s">
        <v>101</v>
      </c>
      <c r="K14" s="73"/>
      <c r="L14" s="73"/>
      <c r="M14" s="73"/>
      <c r="N14" s="73"/>
      <c r="O14" s="73"/>
      <c r="P14" s="73"/>
      <c r="Q14" s="73"/>
      <c r="R14" s="73"/>
      <c r="S14" s="73"/>
      <c r="T14" s="73"/>
    </row>
    <row r="15" spans="1:20">
      <c r="K15" s="73"/>
      <c r="L15" s="73"/>
      <c r="M15" s="73"/>
      <c r="N15" s="73"/>
      <c r="O15" s="73"/>
      <c r="P15" s="73"/>
      <c r="Q15" s="73"/>
      <c r="R15" s="73"/>
      <c r="S15" s="73"/>
      <c r="T15" s="73"/>
    </row>
    <row r="16" spans="1:20">
      <c r="B16" t="s">
        <v>20</v>
      </c>
      <c r="K16" s="73"/>
      <c r="L16" s="73"/>
      <c r="M16" s="73"/>
      <c r="N16" s="73"/>
      <c r="O16" s="73"/>
      <c r="P16" s="73"/>
      <c r="Q16" s="73"/>
      <c r="R16" s="73"/>
      <c r="S16" s="73"/>
      <c r="T16" s="73"/>
    </row>
    <row r="17" spans="1:20">
      <c r="C17" t="s">
        <v>102</v>
      </c>
      <c r="K17" s="77">
        <v>122570</v>
      </c>
      <c r="L17" s="73">
        <v>57110</v>
      </c>
      <c r="M17" s="73">
        <v>259132</v>
      </c>
      <c r="N17" s="73">
        <v>29119</v>
      </c>
      <c r="O17" s="73">
        <v>23273</v>
      </c>
      <c r="P17" s="73">
        <v>53739</v>
      </c>
      <c r="Q17" s="73">
        <v>1638</v>
      </c>
      <c r="R17" s="73">
        <v>149799</v>
      </c>
      <c r="S17" s="73">
        <v>16022</v>
      </c>
      <c r="T17" s="73">
        <f>SUM(K17:S17)</f>
        <v>712402</v>
      </c>
    </row>
    <row r="18" spans="1:20">
      <c r="C18" t="s">
        <v>24</v>
      </c>
      <c r="K18" s="73"/>
      <c r="L18" s="73"/>
      <c r="M18" s="73"/>
      <c r="N18" s="73"/>
      <c r="O18" s="73"/>
      <c r="P18" s="73"/>
      <c r="Q18" s="73">
        <v>36260</v>
      </c>
      <c r="R18" s="73"/>
      <c r="S18" s="73"/>
      <c r="T18" s="73">
        <f>SUM(K18:S18)</f>
        <v>36260</v>
      </c>
    </row>
    <row r="19" spans="1:20">
      <c r="C19" t="s">
        <v>25</v>
      </c>
      <c r="K19" s="82">
        <v>2153</v>
      </c>
      <c r="L19" s="73"/>
      <c r="M19" s="73"/>
      <c r="N19" s="73"/>
      <c r="O19" s="73"/>
      <c r="P19" s="73"/>
      <c r="Q19" s="73"/>
      <c r="R19" s="73"/>
      <c r="S19" s="73"/>
      <c r="T19" s="73">
        <f>SUM(K19:S19)</f>
        <v>2153</v>
      </c>
    </row>
    <row r="20" spans="1:20">
      <c r="K20" s="73"/>
      <c r="L20" s="73"/>
      <c r="M20" s="73"/>
      <c r="N20" s="73"/>
      <c r="O20" s="73"/>
      <c r="P20" s="73"/>
      <c r="Q20" s="73"/>
      <c r="R20" s="73"/>
      <c r="S20" s="73"/>
      <c r="T20" s="73"/>
    </row>
    <row r="21" spans="1:20" s="5" customFormat="1">
      <c r="B21" s="6"/>
      <c r="C21" s="6"/>
      <c r="D21" s="6"/>
      <c r="E21" s="6" t="s">
        <v>26</v>
      </c>
      <c r="K21" s="79">
        <f>SUM(K17:K19)</f>
        <v>124723</v>
      </c>
      <c r="L21" s="79">
        <f>SUM(L17:L19)</f>
        <v>57110</v>
      </c>
      <c r="M21" s="79">
        <f>SUM(M17:M19)</f>
        <v>259132</v>
      </c>
      <c r="N21" s="79">
        <f>SUM(N17:N20)</f>
        <v>29119</v>
      </c>
      <c r="O21" s="79">
        <f>SUM(O17:O19)</f>
        <v>23273</v>
      </c>
      <c r="P21" s="79">
        <f t="shared" ref="P21:R21" si="1">SUM(P17:P19)</f>
        <v>53739</v>
      </c>
      <c r="Q21" s="79">
        <f t="shared" si="1"/>
        <v>37898</v>
      </c>
      <c r="R21" s="79">
        <f t="shared" si="1"/>
        <v>149799</v>
      </c>
      <c r="S21" s="79">
        <f>SUM(S17:S19)</f>
        <v>16022</v>
      </c>
      <c r="T21" s="79">
        <f>SUM(T17:T19)</f>
        <v>750815</v>
      </c>
    </row>
    <row r="22" spans="1:20">
      <c r="K22" s="73"/>
      <c r="L22" s="73"/>
      <c r="M22" s="73"/>
      <c r="N22" s="73"/>
      <c r="O22" s="73"/>
      <c r="P22" s="73"/>
      <c r="Q22" s="73"/>
      <c r="R22" s="73"/>
      <c r="S22" s="73"/>
      <c r="T22" s="73"/>
    </row>
    <row r="23" spans="1:20">
      <c r="A23" s="71" t="s">
        <v>27</v>
      </c>
      <c r="K23" s="73"/>
      <c r="L23" s="73"/>
      <c r="M23" s="73"/>
      <c r="N23" s="73"/>
      <c r="O23" s="73"/>
      <c r="P23" s="73"/>
      <c r="Q23" s="73"/>
      <c r="R23" s="73"/>
      <c r="S23" s="73"/>
      <c r="T23" s="73"/>
    </row>
    <row r="24" spans="1:20">
      <c r="C24" t="s">
        <v>103</v>
      </c>
      <c r="K24" s="85">
        <v>78528</v>
      </c>
      <c r="L24" s="85"/>
      <c r="M24" s="85"/>
      <c r="N24" s="85">
        <v>62869</v>
      </c>
      <c r="O24" s="85">
        <v>71834</v>
      </c>
      <c r="P24" s="85">
        <v>111343</v>
      </c>
      <c r="Q24" s="85"/>
      <c r="R24" s="85"/>
      <c r="S24" s="85"/>
      <c r="T24" s="85">
        <f>SUM(K24:S24)</f>
        <v>324574</v>
      </c>
    </row>
    <row r="25" spans="1:20">
      <c r="K25" s="73"/>
      <c r="L25" s="73"/>
      <c r="M25" s="73"/>
      <c r="N25" s="73"/>
      <c r="O25" s="73"/>
      <c r="P25" s="73"/>
      <c r="Q25" s="73"/>
      <c r="R25" s="73"/>
      <c r="S25" s="73"/>
      <c r="T25" s="73"/>
    </row>
    <row r="26" spans="1:20">
      <c r="B26" t="s">
        <v>30</v>
      </c>
      <c r="K26" s="73"/>
      <c r="L26" s="73"/>
      <c r="M26" s="73"/>
      <c r="N26" s="73"/>
      <c r="O26" s="73"/>
      <c r="P26" s="73"/>
      <c r="Q26" s="73"/>
      <c r="R26" s="73"/>
      <c r="S26" s="73"/>
      <c r="T26" s="73"/>
    </row>
    <row r="27" spans="1:20">
      <c r="C27" t="s">
        <v>104</v>
      </c>
      <c r="K27" s="80">
        <v>38135</v>
      </c>
      <c r="L27" s="73">
        <v>29523</v>
      </c>
      <c r="M27" s="73">
        <v>22694</v>
      </c>
      <c r="N27" s="73">
        <v>15137</v>
      </c>
      <c r="O27" s="73">
        <v>8637</v>
      </c>
      <c r="P27" s="73">
        <v>29863</v>
      </c>
      <c r="Q27" s="73">
        <v>1109</v>
      </c>
      <c r="R27" s="73"/>
      <c r="S27" s="73">
        <v>3622</v>
      </c>
      <c r="T27" s="73">
        <f>SUM(K27:S27)</f>
        <v>148720</v>
      </c>
    </row>
    <row r="28" spans="1:20">
      <c r="C28" t="s">
        <v>88</v>
      </c>
      <c r="K28" s="73"/>
      <c r="L28" s="73"/>
      <c r="M28" s="73"/>
      <c r="N28" s="73"/>
      <c r="O28" s="73"/>
      <c r="P28" s="73"/>
      <c r="Q28" s="73"/>
      <c r="R28" s="73"/>
      <c r="S28" s="73"/>
      <c r="T28" s="73">
        <f>SUM(K28:S28)</f>
        <v>0</v>
      </c>
    </row>
    <row r="29" spans="1:20">
      <c r="D29" t="s">
        <v>105</v>
      </c>
      <c r="K29" s="73"/>
      <c r="L29" s="73"/>
      <c r="M29" s="73"/>
      <c r="N29" s="73"/>
      <c r="O29" s="73"/>
      <c r="P29" s="73"/>
      <c r="Q29" s="73"/>
      <c r="R29" s="73"/>
      <c r="S29" s="73">
        <v>24786</v>
      </c>
      <c r="T29" s="73">
        <f>SUM(K29:S29)</f>
        <v>24786</v>
      </c>
    </row>
    <row r="30" spans="1:20">
      <c r="D30" t="s">
        <v>71</v>
      </c>
      <c r="K30" s="73"/>
      <c r="L30" s="73">
        <v>1220751</v>
      </c>
      <c r="M30" s="73">
        <v>3840831</v>
      </c>
      <c r="N30" s="73">
        <v>789797</v>
      </c>
      <c r="O30" s="73"/>
      <c r="P30" s="73"/>
      <c r="Q30" s="73"/>
      <c r="R30" s="73">
        <v>33</v>
      </c>
      <c r="S30" s="73">
        <v>74395</v>
      </c>
      <c r="T30" s="73">
        <f t="shared" ref="T30:T34" si="2">SUM(K30:S30)</f>
        <v>5925807</v>
      </c>
    </row>
    <row r="31" spans="1:20">
      <c r="D31" t="s">
        <v>106</v>
      </c>
      <c r="K31" s="73"/>
      <c r="L31" s="73"/>
      <c r="M31" s="73"/>
      <c r="N31" s="73"/>
      <c r="O31" s="73">
        <v>2083604</v>
      </c>
      <c r="P31" s="73"/>
      <c r="Q31" s="73">
        <v>170749</v>
      </c>
      <c r="R31" s="73"/>
      <c r="S31" s="73"/>
      <c r="T31" s="73">
        <f t="shared" si="2"/>
        <v>2254353</v>
      </c>
    </row>
    <row r="32" spans="1:20">
      <c r="D32" t="s">
        <v>107</v>
      </c>
      <c r="K32" s="73"/>
      <c r="L32" s="73"/>
      <c r="M32" s="73"/>
      <c r="N32" s="73"/>
      <c r="O32" s="73"/>
      <c r="P32" s="73">
        <v>1559522</v>
      </c>
      <c r="Q32" s="73"/>
      <c r="R32" s="73"/>
      <c r="S32" s="73"/>
      <c r="T32" s="73">
        <f t="shared" si="2"/>
        <v>1559522</v>
      </c>
    </row>
    <row r="33" spans="3:20">
      <c r="D33" t="s">
        <v>43</v>
      </c>
      <c r="K33" s="73"/>
      <c r="L33" s="73"/>
      <c r="M33" s="73"/>
      <c r="N33" s="73"/>
      <c r="O33" s="73"/>
      <c r="P33" s="73"/>
      <c r="Q33" s="73"/>
      <c r="R33" s="73"/>
      <c r="S33" s="73">
        <v>222948</v>
      </c>
      <c r="T33" s="73">
        <f t="shared" si="2"/>
        <v>222948</v>
      </c>
    </row>
    <row r="34" spans="3:20">
      <c r="C34" t="s">
        <v>108</v>
      </c>
      <c r="K34" s="84">
        <v>1075474</v>
      </c>
      <c r="L34" s="73"/>
      <c r="M34" s="73"/>
      <c r="N34" s="73"/>
      <c r="O34" s="73"/>
      <c r="P34" s="73"/>
      <c r="Q34" s="73"/>
      <c r="R34" s="73"/>
      <c r="S34" s="73">
        <v>-3940</v>
      </c>
      <c r="T34" s="73">
        <f t="shared" si="2"/>
        <v>1071534</v>
      </c>
    </row>
    <row r="35" spans="3:20">
      <c r="K35" s="73"/>
      <c r="L35" s="73"/>
      <c r="M35" s="73"/>
      <c r="N35" s="73"/>
      <c r="O35" s="73"/>
      <c r="P35" s="73"/>
      <c r="Q35" s="73"/>
      <c r="R35" s="73"/>
      <c r="S35" s="73"/>
      <c r="T35" s="73"/>
    </row>
    <row r="36" spans="3:20" s="5" customFormat="1">
      <c r="D36" s="6"/>
      <c r="E36" s="6" t="s">
        <v>77</v>
      </c>
      <c r="K36" s="79">
        <f>SUM(K27:K35)</f>
        <v>1113609</v>
      </c>
      <c r="L36" s="79">
        <f t="shared" ref="L36:T36" si="3">SUM(L27:L34)</f>
        <v>1250274</v>
      </c>
      <c r="M36" s="79">
        <f t="shared" si="3"/>
        <v>3863525</v>
      </c>
      <c r="N36" s="79">
        <f t="shared" si="3"/>
        <v>804934</v>
      </c>
      <c r="O36" s="79">
        <f t="shared" si="3"/>
        <v>2092241</v>
      </c>
      <c r="P36" s="79">
        <f t="shared" si="3"/>
        <v>1589385</v>
      </c>
      <c r="Q36" s="79">
        <f t="shared" si="3"/>
        <v>171858</v>
      </c>
      <c r="R36" s="79">
        <f t="shared" si="3"/>
        <v>33</v>
      </c>
      <c r="S36" s="79">
        <f t="shared" si="3"/>
        <v>321811</v>
      </c>
      <c r="T36" s="79">
        <f t="shared" si="3"/>
        <v>11207670</v>
      </c>
    </row>
    <row r="37" spans="3:20">
      <c r="K37" s="73"/>
      <c r="L37" s="73"/>
      <c r="M37" s="73"/>
      <c r="N37" s="73"/>
      <c r="O37" s="73"/>
      <c r="P37" s="73"/>
      <c r="Q37" s="73"/>
      <c r="R37" s="73"/>
      <c r="S37" s="73"/>
      <c r="T37" s="73"/>
    </row>
    <row r="38" spans="3:20" s="7" customFormat="1">
      <c r="D38" s="8"/>
      <c r="E38" s="8" t="s">
        <v>48</v>
      </c>
      <c r="K38" s="81">
        <f>SUM(K36+K24+K21)</f>
        <v>1316860</v>
      </c>
      <c r="L38" s="81">
        <f t="shared" ref="L38:T38" si="4">SUM(L36+L24+L21)</f>
        <v>1307384</v>
      </c>
      <c r="M38" s="81">
        <f t="shared" si="4"/>
        <v>4122657</v>
      </c>
      <c r="N38" s="81">
        <f t="shared" si="4"/>
        <v>896922</v>
      </c>
      <c r="O38" s="81">
        <f t="shared" si="4"/>
        <v>2187348</v>
      </c>
      <c r="P38" s="81">
        <f t="shared" si="4"/>
        <v>1754467</v>
      </c>
      <c r="Q38" s="81">
        <f t="shared" si="4"/>
        <v>209756</v>
      </c>
      <c r="R38" s="81">
        <f t="shared" si="4"/>
        <v>149832</v>
      </c>
      <c r="S38" s="81">
        <f t="shared" si="4"/>
        <v>337833</v>
      </c>
      <c r="T38" s="81">
        <f t="shared" si="4"/>
        <v>12283059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1"/>
  <sheetViews>
    <sheetView zoomScale="90" zoomScaleNormal="90" zoomScalePageLayoutView="90" workbookViewId="0">
      <selection activeCell="K41" sqref="K41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22.4257812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8" width="16.42578125" customWidth="1"/>
    <col min="19" max="19" width="18" customWidth="1"/>
    <col min="20" max="20" width="17.28515625" customWidth="1"/>
  </cols>
  <sheetData>
    <row r="1" spans="1:20" ht="18.75">
      <c r="D1" s="251" t="s">
        <v>109</v>
      </c>
      <c r="E1" s="251"/>
      <c r="F1" s="251"/>
      <c r="G1" s="251"/>
      <c r="H1" s="251"/>
      <c r="I1" s="251"/>
      <c r="J1" s="251"/>
      <c r="K1" s="251"/>
    </row>
    <row r="2" spans="1:20">
      <c r="D2" s="252" t="s">
        <v>1</v>
      </c>
      <c r="E2" s="252"/>
      <c r="F2" s="252"/>
      <c r="G2" s="252"/>
      <c r="H2" s="252"/>
      <c r="I2" s="252"/>
      <c r="J2" s="252"/>
      <c r="K2" s="252"/>
    </row>
    <row r="4" spans="1:20" ht="45">
      <c r="K4" s="1" t="s">
        <v>2</v>
      </c>
      <c r="L4" s="1" t="s">
        <v>110</v>
      </c>
      <c r="M4" s="1" t="s">
        <v>111</v>
      </c>
      <c r="N4" s="1" t="s">
        <v>112</v>
      </c>
      <c r="O4" s="1" t="s">
        <v>113</v>
      </c>
      <c r="P4" s="1" t="s">
        <v>114</v>
      </c>
      <c r="Q4" s="1" t="s">
        <v>115</v>
      </c>
      <c r="R4" s="1" t="s">
        <v>116</v>
      </c>
      <c r="S4" s="1" t="s">
        <v>56</v>
      </c>
      <c r="T4" s="1" t="s">
        <v>7</v>
      </c>
    </row>
    <row r="5" spans="1:20">
      <c r="A5" t="s">
        <v>8</v>
      </c>
    </row>
    <row r="6" spans="1:20">
      <c r="B6" t="s">
        <v>117</v>
      </c>
      <c r="K6" s="72">
        <v>558156</v>
      </c>
      <c r="L6" s="73">
        <v>964630</v>
      </c>
      <c r="M6" s="73">
        <v>789100</v>
      </c>
      <c r="N6" s="73">
        <v>3863482</v>
      </c>
      <c r="O6" s="73">
        <v>2026435</v>
      </c>
      <c r="P6" s="73">
        <v>24397</v>
      </c>
      <c r="Q6" s="73">
        <v>868165</v>
      </c>
      <c r="R6" s="73">
        <v>227293</v>
      </c>
      <c r="S6" s="73">
        <v>8224114</v>
      </c>
      <c r="T6" s="73">
        <f>SUM(K6:S6)</f>
        <v>17545772</v>
      </c>
    </row>
    <row r="7" spans="1:20">
      <c r="B7" t="s">
        <v>58</v>
      </c>
      <c r="K7" s="74">
        <v>1052346</v>
      </c>
      <c r="L7" s="73">
        <v>44561</v>
      </c>
      <c r="M7" s="73">
        <v>955138</v>
      </c>
      <c r="N7" s="73">
        <v>753419</v>
      </c>
      <c r="O7" s="73">
        <v>562752</v>
      </c>
      <c r="P7" s="73">
        <v>51243</v>
      </c>
      <c r="Q7" s="73">
        <v>534125</v>
      </c>
      <c r="R7" s="73"/>
      <c r="S7" s="73">
        <v>3020561</v>
      </c>
      <c r="T7" s="73">
        <f>SUM(K7:S7)</f>
        <v>6974145</v>
      </c>
    </row>
    <row r="8" spans="1:20">
      <c r="B8" t="s">
        <v>118</v>
      </c>
      <c r="K8" s="74">
        <v>23950</v>
      </c>
      <c r="L8" s="73">
        <v>11404</v>
      </c>
      <c r="M8" s="73"/>
      <c r="N8" s="73"/>
      <c r="O8" s="73"/>
      <c r="P8" s="73"/>
      <c r="Q8" s="73"/>
      <c r="R8" s="73">
        <v>75510</v>
      </c>
      <c r="S8" s="73"/>
      <c r="T8" s="73">
        <f>SUM(K8:S8)</f>
        <v>110864</v>
      </c>
    </row>
    <row r="9" spans="1:20">
      <c r="B9" t="s">
        <v>60</v>
      </c>
      <c r="K9" s="73"/>
      <c r="L9" s="73"/>
      <c r="M9" s="73">
        <v>31579</v>
      </c>
      <c r="N9" s="73"/>
      <c r="O9" s="73"/>
      <c r="P9" s="73"/>
      <c r="Q9" s="73"/>
      <c r="R9" s="73"/>
      <c r="S9" s="73">
        <v>172931</v>
      </c>
      <c r="T9" s="73">
        <f>SUM(K9:S9)</f>
        <v>204510</v>
      </c>
    </row>
    <row r="10" spans="1:20">
      <c r="K10" s="73"/>
      <c r="L10" s="73"/>
      <c r="M10" s="73"/>
      <c r="N10" s="73"/>
      <c r="O10" s="73"/>
      <c r="P10" s="73"/>
      <c r="Q10" s="73"/>
      <c r="R10" s="73"/>
      <c r="S10" s="73"/>
      <c r="T10" s="73"/>
    </row>
    <row r="11" spans="1:20" s="3" customFormat="1">
      <c r="A11" s="2"/>
      <c r="B11" s="2"/>
      <c r="C11" s="2"/>
      <c r="D11" s="2"/>
      <c r="E11" s="2" t="s">
        <v>18</v>
      </c>
      <c r="K11" s="76">
        <f t="shared" ref="K11:T11" si="0">SUM(K6:K9)</f>
        <v>1634452</v>
      </c>
      <c r="L11" s="76">
        <f t="shared" si="0"/>
        <v>1020595</v>
      </c>
      <c r="M11" s="76">
        <f t="shared" si="0"/>
        <v>1775817</v>
      </c>
      <c r="N11" s="76">
        <f t="shared" si="0"/>
        <v>4616901</v>
      </c>
      <c r="O11" s="76">
        <f t="shared" si="0"/>
        <v>2589187</v>
      </c>
      <c r="P11" s="76">
        <f t="shared" si="0"/>
        <v>75640</v>
      </c>
      <c r="Q11" s="76">
        <f t="shared" si="0"/>
        <v>1402290</v>
      </c>
      <c r="R11" s="76">
        <f t="shared" si="0"/>
        <v>302803</v>
      </c>
      <c r="S11" s="76">
        <f t="shared" si="0"/>
        <v>11417606</v>
      </c>
      <c r="T11" s="76">
        <f t="shared" si="0"/>
        <v>24835291</v>
      </c>
    </row>
    <row r="12" spans="1:20">
      <c r="K12" s="73"/>
      <c r="L12" s="73"/>
      <c r="M12" s="73"/>
      <c r="N12" s="73"/>
      <c r="O12" s="73"/>
      <c r="P12" s="73"/>
      <c r="Q12" s="73"/>
      <c r="R12" s="73"/>
      <c r="S12" s="73"/>
      <c r="T12" s="73"/>
    </row>
    <row r="13" spans="1:20">
      <c r="A13" s="4" t="s">
        <v>119</v>
      </c>
      <c r="K13" s="73"/>
      <c r="L13" s="73"/>
      <c r="M13" s="73"/>
      <c r="N13" s="73"/>
      <c r="O13" s="73"/>
      <c r="P13" s="73"/>
      <c r="Q13" s="73"/>
      <c r="R13" s="73"/>
      <c r="S13" s="73"/>
      <c r="T13" s="73"/>
    </row>
    <row r="14" spans="1:20">
      <c r="B14" t="s">
        <v>20</v>
      </c>
      <c r="K14" s="73"/>
      <c r="L14" s="73"/>
      <c r="M14" s="73"/>
      <c r="N14" s="73"/>
      <c r="O14" s="73"/>
      <c r="P14" s="73"/>
      <c r="Q14" s="73"/>
      <c r="R14" s="73"/>
      <c r="S14" s="73"/>
      <c r="T14" s="73"/>
    </row>
    <row r="15" spans="1:20">
      <c r="C15" t="s">
        <v>21</v>
      </c>
      <c r="K15" s="77">
        <v>147115</v>
      </c>
      <c r="L15" s="73">
        <v>9960</v>
      </c>
      <c r="M15" s="73">
        <v>106431</v>
      </c>
      <c r="N15" s="73">
        <v>125706</v>
      </c>
      <c r="O15" s="73">
        <v>20011</v>
      </c>
      <c r="P15" s="73">
        <v>24755</v>
      </c>
      <c r="Q15" s="73">
        <v>19134</v>
      </c>
      <c r="R15" s="73">
        <v>169925</v>
      </c>
      <c r="S15" s="73">
        <v>225745</v>
      </c>
      <c r="T15" s="73">
        <f>SUM(K15:S15)</f>
        <v>848782</v>
      </c>
    </row>
    <row r="16" spans="1:20">
      <c r="C16" t="s">
        <v>120</v>
      </c>
      <c r="K16" s="82">
        <v>179556</v>
      </c>
      <c r="L16" s="73"/>
      <c r="M16" s="73"/>
      <c r="N16" s="73"/>
      <c r="O16" s="73"/>
      <c r="P16" s="73"/>
      <c r="Q16" s="73"/>
      <c r="R16" s="73"/>
      <c r="S16" s="73"/>
      <c r="T16" s="73">
        <f>SUM(K16:S16)</f>
        <v>179556</v>
      </c>
    </row>
    <row r="17" spans="1:20">
      <c r="C17" t="s">
        <v>121</v>
      </c>
      <c r="K17" s="73"/>
      <c r="L17" s="73"/>
      <c r="M17" s="73"/>
      <c r="N17" s="73"/>
      <c r="O17" s="73"/>
      <c r="P17" s="73"/>
      <c r="Q17" s="73"/>
      <c r="R17" s="73"/>
      <c r="S17" s="73">
        <v>110864</v>
      </c>
      <c r="T17" s="73">
        <f>SUM(K17:S17)</f>
        <v>110864</v>
      </c>
    </row>
    <row r="18" spans="1:20">
      <c r="K18" s="73"/>
      <c r="L18" s="73"/>
      <c r="M18" s="73"/>
      <c r="N18" s="73"/>
      <c r="O18" s="73"/>
      <c r="P18" s="73"/>
      <c r="Q18" s="73"/>
      <c r="R18" s="73"/>
      <c r="S18" s="73"/>
      <c r="T18" s="73"/>
    </row>
    <row r="19" spans="1:20" s="5" customFormat="1">
      <c r="B19" s="6"/>
      <c r="C19" s="6"/>
      <c r="D19" s="6"/>
      <c r="E19" s="6" t="s">
        <v>26</v>
      </c>
      <c r="K19" s="79">
        <f t="shared" ref="K19:T19" si="1">SUM(K15:K17)</f>
        <v>326671</v>
      </c>
      <c r="L19" s="79">
        <f t="shared" si="1"/>
        <v>9960</v>
      </c>
      <c r="M19" s="79">
        <f t="shared" si="1"/>
        <v>106431</v>
      </c>
      <c r="N19" s="79">
        <f t="shared" si="1"/>
        <v>125706</v>
      </c>
      <c r="O19" s="79">
        <f t="shared" si="1"/>
        <v>20011</v>
      </c>
      <c r="P19" s="79">
        <f t="shared" si="1"/>
        <v>24755</v>
      </c>
      <c r="Q19" s="79">
        <f t="shared" si="1"/>
        <v>19134</v>
      </c>
      <c r="R19" s="79">
        <f t="shared" si="1"/>
        <v>169925</v>
      </c>
      <c r="S19" s="79">
        <f t="shared" si="1"/>
        <v>336609</v>
      </c>
      <c r="T19" s="79">
        <f t="shared" si="1"/>
        <v>1139202</v>
      </c>
    </row>
    <row r="20" spans="1:20">
      <c r="K20" s="73"/>
      <c r="L20" s="73"/>
      <c r="M20" s="73"/>
      <c r="N20" s="73"/>
      <c r="O20" s="73"/>
      <c r="P20" s="73"/>
      <c r="Q20" s="73"/>
      <c r="R20" s="73"/>
      <c r="S20" s="73"/>
      <c r="T20" s="73"/>
    </row>
    <row r="21" spans="1:20">
      <c r="A21" s="71" t="s">
        <v>27</v>
      </c>
      <c r="K21" s="73"/>
      <c r="L21" s="73"/>
      <c r="M21" s="73"/>
      <c r="N21" s="73"/>
      <c r="O21" s="73"/>
      <c r="P21" s="73"/>
      <c r="Q21" s="73"/>
      <c r="R21" s="73"/>
      <c r="S21" s="73"/>
      <c r="T21" s="73"/>
    </row>
    <row r="22" spans="1:20">
      <c r="B22" t="s">
        <v>103</v>
      </c>
      <c r="K22" s="85">
        <v>142282</v>
      </c>
      <c r="L22" s="85"/>
      <c r="M22" s="85">
        <v>18968</v>
      </c>
      <c r="N22" s="85"/>
      <c r="O22" s="85">
        <v>17879</v>
      </c>
      <c r="P22" s="85"/>
      <c r="Q22" s="85">
        <v>6802</v>
      </c>
      <c r="R22" s="85"/>
      <c r="S22" s="85">
        <v>96186</v>
      </c>
      <c r="T22" s="85">
        <f>SUM(K22:S22)</f>
        <v>282117</v>
      </c>
    </row>
    <row r="23" spans="1:20">
      <c r="C23" t="s">
        <v>29</v>
      </c>
      <c r="K23" s="73">
        <f>K22</f>
        <v>142282</v>
      </c>
      <c r="L23" s="73">
        <f t="shared" ref="L23:T23" si="2">L22</f>
        <v>0</v>
      </c>
      <c r="M23" s="73">
        <f t="shared" si="2"/>
        <v>18968</v>
      </c>
      <c r="N23" s="73">
        <f t="shared" si="2"/>
        <v>0</v>
      </c>
      <c r="O23" s="73">
        <f t="shared" si="2"/>
        <v>17879</v>
      </c>
      <c r="P23" s="73">
        <f t="shared" si="2"/>
        <v>0</v>
      </c>
      <c r="Q23" s="73">
        <f t="shared" si="2"/>
        <v>6802</v>
      </c>
      <c r="R23" s="73">
        <f t="shared" si="2"/>
        <v>0</v>
      </c>
      <c r="S23" s="73">
        <f t="shared" si="2"/>
        <v>96186</v>
      </c>
      <c r="T23" s="73">
        <f t="shared" si="2"/>
        <v>282117</v>
      </c>
    </row>
    <row r="24" spans="1:20">
      <c r="K24" s="73"/>
      <c r="L24" s="73"/>
      <c r="M24" s="73"/>
      <c r="N24" s="73"/>
      <c r="O24" s="73"/>
      <c r="P24" s="73"/>
      <c r="Q24" s="73"/>
      <c r="R24" s="73"/>
      <c r="S24" s="73"/>
      <c r="T24" s="73"/>
    </row>
    <row r="25" spans="1:20">
      <c r="B25" t="s">
        <v>122</v>
      </c>
      <c r="K25" s="73"/>
      <c r="L25" s="73"/>
      <c r="M25" s="73"/>
      <c r="N25" s="73"/>
      <c r="O25" s="73"/>
      <c r="P25" s="73"/>
      <c r="Q25" s="73"/>
      <c r="R25" s="73"/>
      <c r="S25" s="73"/>
      <c r="T25" s="73"/>
    </row>
    <row r="26" spans="1:20">
      <c r="C26" t="s">
        <v>123</v>
      </c>
      <c r="K26" s="73"/>
      <c r="L26" s="73"/>
      <c r="M26" s="73">
        <v>31579</v>
      </c>
      <c r="N26" s="73"/>
      <c r="O26" s="73"/>
      <c r="P26" s="73"/>
      <c r="Q26" s="73"/>
      <c r="R26" s="73"/>
      <c r="S26" s="73">
        <v>172931</v>
      </c>
      <c r="T26" s="73">
        <f>SUM(K26:S26)</f>
        <v>204510</v>
      </c>
    </row>
    <row r="27" spans="1:20">
      <c r="C27" t="s">
        <v>67</v>
      </c>
      <c r="K27" s="73"/>
      <c r="L27" s="73"/>
      <c r="M27" s="73"/>
      <c r="N27" s="73"/>
      <c r="O27" s="73"/>
      <c r="P27" s="73"/>
      <c r="Q27" s="73"/>
      <c r="R27" s="73"/>
      <c r="S27" s="73"/>
      <c r="T27" s="73"/>
    </row>
    <row r="28" spans="1:20">
      <c r="D28" t="s">
        <v>124</v>
      </c>
      <c r="K28" s="73"/>
      <c r="L28" s="73">
        <v>306908</v>
      </c>
      <c r="M28" s="73"/>
      <c r="N28" s="73"/>
      <c r="O28" s="73"/>
      <c r="P28" s="73"/>
      <c r="Q28" s="73"/>
      <c r="R28" s="73"/>
      <c r="S28" s="73"/>
      <c r="T28" s="73">
        <f t="shared" ref="T28:T37" si="3">SUM(K28:S28)</f>
        <v>306908</v>
      </c>
    </row>
    <row r="29" spans="1:20">
      <c r="D29" t="s">
        <v>70</v>
      </c>
      <c r="K29" s="73"/>
      <c r="L29" s="73"/>
      <c r="M29" s="73"/>
      <c r="N29" s="73"/>
      <c r="O29" s="73"/>
      <c r="P29" s="73"/>
      <c r="Q29" s="73"/>
      <c r="R29" s="73"/>
      <c r="S29" s="73">
        <v>1932609</v>
      </c>
      <c r="T29" s="73">
        <f t="shared" si="3"/>
        <v>1932609</v>
      </c>
    </row>
    <row r="30" spans="1:20">
      <c r="D30" t="s">
        <v>71</v>
      </c>
      <c r="K30" s="73"/>
      <c r="L30" s="73">
        <v>703727</v>
      </c>
      <c r="M30" s="73">
        <v>1618839</v>
      </c>
      <c r="N30" s="73"/>
      <c r="O30" s="73"/>
      <c r="P30" s="73"/>
      <c r="Q30" s="73"/>
      <c r="R30" s="73"/>
      <c r="S30" s="73">
        <v>4220434</v>
      </c>
      <c r="T30" s="73">
        <f t="shared" si="3"/>
        <v>6543000</v>
      </c>
    </row>
    <row r="31" spans="1:20">
      <c r="D31" t="s">
        <v>106</v>
      </c>
      <c r="K31" s="73"/>
      <c r="L31" s="73"/>
      <c r="M31" s="73"/>
      <c r="N31" s="73"/>
      <c r="O31" s="73">
        <v>2551297</v>
      </c>
      <c r="P31" s="73"/>
      <c r="Q31" s="73"/>
      <c r="R31" s="73"/>
      <c r="S31" s="73"/>
      <c r="T31" s="73">
        <f t="shared" si="3"/>
        <v>2551297</v>
      </c>
    </row>
    <row r="32" spans="1:20">
      <c r="D32" t="s">
        <v>107</v>
      </c>
      <c r="K32" s="73"/>
      <c r="L32" s="73"/>
      <c r="M32" s="73"/>
      <c r="N32" s="73"/>
      <c r="O32" s="73"/>
      <c r="P32" s="73"/>
      <c r="Q32" s="73"/>
      <c r="R32" s="73"/>
      <c r="S32" s="73">
        <v>536904</v>
      </c>
      <c r="T32" s="73">
        <f t="shared" si="3"/>
        <v>536904</v>
      </c>
    </row>
    <row r="33" spans="3:20">
      <c r="D33" t="s">
        <v>72</v>
      </c>
      <c r="K33" s="73"/>
      <c r="L33" s="73"/>
      <c r="M33" s="73"/>
      <c r="N33" s="73">
        <v>4491195</v>
      </c>
      <c r="O33" s="73"/>
      <c r="P33" s="73"/>
      <c r="Q33" s="73"/>
      <c r="R33" s="73"/>
      <c r="S33" s="73"/>
      <c r="T33" s="73">
        <f t="shared" si="3"/>
        <v>4491195</v>
      </c>
    </row>
    <row r="34" spans="3:20">
      <c r="D34" t="s">
        <v>69</v>
      </c>
      <c r="K34" s="73"/>
      <c r="L34" s="73"/>
      <c r="M34" s="73"/>
      <c r="N34" s="73"/>
      <c r="O34" s="73"/>
      <c r="P34" s="73"/>
      <c r="Q34" s="73"/>
      <c r="R34" s="73"/>
      <c r="S34" s="73">
        <v>151475</v>
      </c>
      <c r="T34" s="73">
        <f t="shared" si="3"/>
        <v>151475</v>
      </c>
    </row>
    <row r="35" spans="3:20">
      <c r="D35" t="s">
        <v>42</v>
      </c>
      <c r="K35" s="73"/>
      <c r="L35" s="73"/>
      <c r="M35" s="73"/>
      <c r="N35" s="73"/>
      <c r="O35" s="73"/>
      <c r="P35" s="73"/>
      <c r="Q35" s="73"/>
      <c r="R35" s="73"/>
      <c r="S35" s="73">
        <v>3820546</v>
      </c>
      <c r="T35" s="73">
        <f t="shared" si="3"/>
        <v>3820546</v>
      </c>
    </row>
    <row r="36" spans="3:20">
      <c r="D36" t="s">
        <v>73</v>
      </c>
      <c r="K36" s="73"/>
      <c r="L36" s="73"/>
      <c r="M36" s="73"/>
      <c r="N36" s="73"/>
      <c r="O36" s="73"/>
      <c r="P36" s="73"/>
      <c r="Q36" s="73"/>
      <c r="R36" s="73"/>
      <c r="S36" s="73">
        <v>149912</v>
      </c>
      <c r="T36" s="73">
        <f t="shared" si="3"/>
        <v>149912</v>
      </c>
    </row>
    <row r="37" spans="3:20">
      <c r="C37" t="s">
        <v>46</v>
      </c>
      <c r="K37" s="84">
        <v>1165499</v>
      </c>
      <c r="L37" s="73"/>
      <c r="M37" s="73"/>
      <c r="N37" s="73"/>
      <c r="O37" s="73"/>
      <c r="P37" s="73">
        <v>50885</v>
      </c>
      <c r="Q37" s="73">
        <v>1376354</v>
      </c>
      <c r="R37" s="73">
        <v>132878</v>
      </c>
      <c r="S37" s="73"/>
      <c r="T37" s="73">
        <f t="shared" si="3"/>
        <v>2725616</v>
      </c>
    </row>
    <row r="38" spans="3:20">
      <c r="K38" s="73"/>
      <c r="L38" s="73"/>
      <c r="M38" s="73"/>
      <c r="N38" s="73"/>
      <c r="O38" s="73"/>
      <c r="P38" s="73"/>
      <c r="Q38" s="73"/>
      <c r="R38" s="73"/>
      <c r="S38" s="73"/>
      <c r="T38" s="73"/>
    </row>
    <row r="39" spans="3:20" s="5" customFormat="1">
      <c r="D39" s="6"/>
      <c r="E39" s="6" t="s">
        <v>77</v>
      </c>
      <c r="K39" s="79">
        <f>SUM(K26:K37)</f>
        <v>1165499</v>
      </c>
      <c r="L39" s="79">
        <f>SUM(L26:L37)</f>
        <v>1010635</v>
      </c>
      <c r="M39" s="79">
        <f>SUM(M26:M37)</f>
        <v>1650418</v>
      </c>
      <c r="N39" s="79">
        <f t="shared" ref="N39:O39" si="4">SUM(N26:N37)</f>
        <v>4491195</v>
      </c>
      <c r="O39" s="79">
        <f t="shared" si="4"/>
        <v>2551297</v>
      </c>
      <c r="P39" s="79">
        <f>SUM(P26:P37)</f>
        <v>50885</v>
      </c>
      <c r="Q39" s="79">
        <f>SUM(Q26:Q37)</f>
        <v>1376354</v>
      </c>
      <c r="R39" s="79">
        <f>SUM(R26:R37)</f>
        <v>132878</v>
      </c>
      <c r="S39" s="79">
        <f>SUM(S26:S37)</f>
        <v>10984811</v>
      </c>
      <c r="T39" s="79">
        <f>SUM(T26:T37)</f>
        <v>23413972</v>
      </c>
    </row>
    <row r="40" spans="3:20">
      <c r="K40" s="73"/>
      <c r="L40" s="73"/>
      <c r="M40" s="73"/>
      <c r="N40" s="73"/>
      <c r="O40" s="73"/>
      <c r="P40" s="73"/>
      <c r="Q40" s="73"/>
      <c r="R40" s="73"/>
      <c r="S40" s="73"/>
      <c r="T40" s="73"/>
    </row>
    <row r="41" spans="3:20" s="7" customFormat="1">
      <c r="D41" s="8"/>
      <c r="E41" s="8" t="s">
        <v>125</v>
      </c>
      <c r="K41" s="81">
        <f t="shared" ref="K41:T41" si="5">K39+K22+K19</f>
        <v>1634452</v>
      </c>
      <c r="L41" s="81">
        <f t="shared" si="5"/>
        <v>1020595</v>
      </c>
      <c r="M41" s="81">
        <f t="shared" si="5"/>
        <v>1775817</v>
      </c>
      <c r="N41" s="81">
        <f t="shared" si="5"/>
        <v>4616901</v>
      </c>
      <c r="O41" s="81">
        <f t="shared" si="5"/>
        <v>2589187</v>
      </c>
      <c r="P41" s="81">
        <f t="shared" si="5"/>
        <v>75640</v>
      </c>
      <c r="Q41" s="81">
        <f t="shared" si="5"/>
        <v>1402290</v>
      </c>
      <c r="R41" s="81">
        <f t="shared" si="5"/>
        <v>302803</v>
      </c>
      <c r="S41" s="81">
        <f t="shared" si="5"/>
        <v>11417606</v>
      </c>
      <c r="T41" s="81">
        <f t="shared" si="5"/>
        <v>24835291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1"/>
  <sheetViews>
    <sheetView workbookViewId="0">
      <selection activeCell="K31" sqref="K31"/>
    </sheetView>
  </sheetViews>
  <sheetFormatPr defaultColWidth="8.85546875" defaultRowHeight="15"/>
  <cols>
    <col min="11" max="11" width="15.140625" customWidth="1"/>
    <col min="12" max="12" width="14.42578125" customWidth="1"/>
    <col min="13" max="13" width="16.42578125" customWidth="1"/>
    <col min="14" max="14" width="14.7109375" customWidth="1"/>
    <col min="15" max="15" width="15.7109375" customWidth="1"/>
    <col min="16" max="16" width="14.140625" customWidth="1"/>
  </cols>
  <sheetData>
    <row r="1" spans="1:16" ht="18.75">
      <c r="D1" s="251" t="s">
        <v>126</v>
      </c>
      <c r="E1" s="251"/>
      <c r="F1" s="251"/>
      <c r="G1" s="251"/>
      <c r="H1" s="251"/>
      <c r="I1" s="251"/>
      <c r="J1" s="251"/>
      <c r="K1" s="251"/>
    </row>
    <row r="2" spans="1:16">
      <c r="D2" s="252" t="s">
        <v>80</v>
      </c>
      <c r="E2" s="252"/>
      <c r="F2" s="252"/>
      <c r="G2" s="252"/>
      <c r="H2" s="252"/>
      <c r="I2" s="252"/>
      <c r="J2" s="252"/>
      <c r="K2" s="252"/>
    </row>
    <row r="4" spans="1:16" ht="45">
      <c r="K4" s="1" t="s">
        <v>2</v>
      </c>
      <c r="L4" s="1" t="s">
        <v>127</v>
      </c>
      <c r="M4" s="1" t="s">
        <v>82</v>
      </c>
      <c r="N4" s="1" t="s">
        <v>128</v>
      </c>
      <c r="O4" s="1" t="s">
        <v>6</v>
      </c>
      <c r="P4" s="1" t="s">
        <v>84</v>
      </c>
    </row>
    <row r="5" spans="1:16">
      <c r="A5" t="s">
        <v>8</v>
      </c>
    </row>
    <row r="6" spans="1:16">
      <c r="B6" t="s">
        <v>85</v>
      </c>
      <c r="K6" s="72">
        <v>4705355</v>
      </c>
      <c r="L6" s="73">
        <v>7519393</v>
      </c>
      <c r="M6" s="73">
        <v>3666093</v>
      </c>
      <c r="N6" s="73">
        <v>1027431</v>
      </c>
      <c r="O6" s="73">
        <v>248630</v>
      </c>
      <c r="P6" s="73">
        <f>SUM(K6:O6)</f>
        <v>17166902</v>
      </c>
    </row>
    <row r="7" spans="1:16">
      <c r="B7" t="s">
        <v>58</v>
      </c>
      <c r="K7" s="74">
        <v>1810762</v>
      </c>
      <c r="L7" s="73">
        <v>1957619</v>
      </c>
      <c r="M7" s="73">
        <v>367810</v>
      </c>
      <c r="N7" s="73">
        <v>1131815</v>
      </c>
      <c r="O7" s="73">
        <v>6442</v>
      </c>
      <c r="P7" s="73">
        <f>SUM(K7:O7)</f>
        <v>5274448</v>
      </c>
    </row>
    <row r="8" spans="1:16">
      <c r="K8" s="93"/>
      <c r="L8" s="93"/>
      <c r="M8" s="93"/>
      <c r="N8" s="93"/>
      <c r="O8" s="93"/>
      <c r="P8" s="93"/>
    </row>
    <row r="9" spans="1:16">
      <c r="A9" s="2"/>
      <c r="B9" s="2"/>
      <c r="C9" s="2"/>
      <c r="D9" s="2"/>
      <c r="E9" s="2" t="s">
        <v>18</v>
      </c>
      <c r="F9" s="3"/>
      <c r="G9" s="3"/>
      <c r="H9" s="3"/>
      <c r="I9" s="3"/>
      <c r="J9" s="3"/>
      <c r="K9" s="76">
        <f t="shared" ref="K9:P9" si="0">SUM(K6:K7)</f>
        <v>6516117</v>
      </c>
      <c r="L9" s="76">
        <f t="shared" si="0"/>
        <v>9477012</v>
      </c>
      <c r="M9" s="76">
        <f t="shared" si="0"/>
        <v>4033903</v>
      </c>
      <c r="N9" s="76">
        <f t="shared" si="0"/>
        <v>2159246</v>
      </c>
      <c r="O9" s="76">
        <f t="shared" si="0"/>
        <v>255072</v>
      </c>
      <c r="P9" s="76">
        <f t="shared" si="0"/>
        <v>22441350</v>
      </c>
    </row>
    <row r="10" spans="1:16">
      <c r="K10" s="73"/>
      <c r="L10" s="73"/>
      <c r="M10" s="73"/>
      <c r="N10" s="73"/>
      <c r="O10" s="73"/>
      <c r="P10" s="73"/>
    </row>
    <row r="11" spans="1:16">
      <c r="A11" s="4" t="s">
        <v>19</v>
      </c>
      <c r="K11" s="73"/>
      <c r="L11" s="73"/>
      <c r="M11" s="73"/>
      <c r="N11" s="73"/>
      <c r="O11" s="73"/>
      <c r="P11" s="73"/>
    </row>
    <row r="12" spans="1:16">
      <c r="B12" t="s">
        <v>20</v>
      </c>
      <c r="K12" s="73"/>
      <c r="L12" s="73"/>
      <c r="M12" s="73"/>
      <c r="N12" s="73"/>
      <c r="O12" s="73"/>
      <c r="P12" s="73"/>
    </row>
    <row r="13" spans="1:16">
      <c r="C13" t="s">
        <v>21</v>
      </c>
      <c r="K13" s="77">
        <v>93421</v>
      </c>
      <c r="L13" s="73">
        <v>21716</v>
      </c>
      <c r="M13" s="73">
        <v>95478</v>
      </c>
      <c r="N13" s="73"/>
      <c r="O13" s="73"/>
      <c r="P13" s="73">
        <f>SUM(K13:O13)</f>
        <v>210615</v>
      </c>
    </row>
    <row r="14" spans="1:16">
      <c r="C14" t="s">
        <v>129</v>
      </c>
      <c r="K14" s="77">
        <v>7411</v>
      </c>
      <c r="L14" s="73">
        <v>22841</v>
      </c>
      <c r="M14" s="73"/>
      <c r="N14" s="73"/>
      <c r="O14" s="73"/>
      <c r="P14" s="73">
        <f>SUM(K14:O14)</f>
        <v>30252</v>
      </c>
    </row>
    <row r="15" spans="1:16">
      <c r="C15" t="s">
        <v>130</v>
      </c>
      <c r="K15" s="92">
        <v>70000</v>
      </c>
      <c r="L15" s="85"/>
      <c r="M15" s="85"/>
      <c r="N15" s="85"/>
      <c r="O15" s="85"/>
      <c r="P15" s="85">
        <f>SUM(K15:O15)</f>
        <v>70000</v>
      </c>
    </row>
    <row r="16" spans="1:16">
      <c r="K16" s="96"/>
      <c r="L16" s="73"/>
      <c r="M16" s="73"/>
      <c r="N16" s="73"/>
      <c r="O16" s="73"/>
      <c r="P16" s="73"/>
    </row>
    <row r="17" spans="1:16">
      <c r="A17" s="5"/>
      <c r="B17" s="6"/>
      <c r="C17" s="6"/>
      <c r="D17" s="6"/>
      <c r="E17" s="6" t="s">
        <v>26</v>
      </c>
      <c r="F17" s="5"/>
      <c r="G17" s="5"/>
      <c r="H17" s="5"/>
      <c r="I17" s="5"/>
      <c r="J17" s="5"/>
      <c r="K17" s="79">
        <f t="shared" ref="K17:P17" si="1">SUM(K13:K15)</f>
        <v>170832</v>
      </c>
      <c r="L17" s="79">
        <f t="shared" si="1"/>
        <v>44557</v>
      </c>
      <c r="M17" s="79">
        <f t="shared" si="1"/>
        <v>95478</v>
      </c>
      <c r="N17" s="79">
        <f t="shared" si="1"/>
        <v>0</v>
      </c>
      <c r="O17" s="79">
        <f t="shared" si="1"/>
        <v>0</v>
      </c>
      <c r="P17" s="79">
        <f t="shared" si="1"/>
        <v>310867</v>
      </c>
    </row>
    <row r="18" spans="1:16">
      <c r="K18" s="73"/>
      <c r="L18" s="73"/>
      <c r="M18" s="73"/>
      <c r="N18" s="73"/>
      <c r="O18" s="73"/>
      <c r="P18" s="73"/>
    </row>
    <row r="19" spans="1:16">
      <c r="B19" t="s">
        <v>30</v>
      </c>
      <c r="K19" s="73"/>
      <c r="L19" s="73"/>
      <c r="M19" s="73"/>
      <c r="N19" s="73"/>
      <c r="O19" s="73"/>
      <c r="P19" s="73"/>
    </row>
    <row r="20" spans="1:16">
      <c r="C20" t="s">
        <v>131</v>
      </c>
      <c r="K20" s="73"/>
      <c r="L20" s="73"/>
      <c r="M20" s="73"/>
      <c r="N20" s="73"/>
      <c r="O20" s="73">
        <v>16</v>
      </c>
      <c r="P20" s="73">
        <f t="shared" ref="P20:P26" si="2">SUM(K20:O20)</f>
        <v>16</v>
      </c>
    </row>
    <row r="21" spans="1:16">
      <c r="C21" t="s">
        <v>88</v>
      </c>
      <c r="K21" s="73"/>
      <c r="L21" s="73"/>
      <c r="M21" s="73"/>
      <c r="N21" s="73"/>
      <c r="O21" s="73"/>
      <c r="P21" s="73">
        <f t="shared" si="2"/>
        <v>0</v>
      </c>
    </row>
    <row r="22" spans="1:16">
      <c r="D22" t="s">
        <v>69</v>
      </c>
      <c r="K22" s="73"/>
      <c r="L22" s="73"/>
      <c r="M22" s="73"/>
      <c r="N22" s="73"/>
      <c r="O22" s="73">
        <v>146447</v>
      </c>
      <c r="P22" s="73">
        <f t="shared" si="2"/>
        <v>146447</v>
      </c>
    </row>
    <row r="23" spans="1:16">
      <c r="D23" t="s">
        <v>71</v>
      </c>
      <c r="K23" s="73"/>
      <c r="L23" s="73">
        <v>9432455</v>
      </c>
      <c r="M23" s="73">
        <v>3938425</v>
      </c>
      <c r="N23" s="73"/>
      <c r="O23" s="73">
        <v>14464</v>
      </c>
      <c r="P23" s="73">
        <f t="shared" si="2"/>
        <v>13385344</v>
      </c>
    </row>
    <row r="24" spans="1:16">
      <c r="D24" t="s">
        <v>106</v>
      </c>
      <c r="K24" s="73"/>
      <c r="L24" s="73"/>
      <c r="M24" s="73"/>
      <c r="N24" s="73"/>
      <c r="O24" s="73">
        <v>57744</v>
      </c>
      <c r="P24" s="73">
        <f t="shared" si="2"/>
        <v>57744</v>
      </c>
    </row>
    <row r="25" spans="1:16">
      <c r="D25" t="s">
        <v>43</v>
      </c>
      <c r="K25" s="73"/>
      <c r="L25" s="73"/>
      <c r="M25" s="73"/>
      <c r="N25" s="73"/>
      <c r="O25" s="73">
        <v>34025</v>
      </c>
      <c r="P25" s="73">
        <f t="shared" si="2"/>
        <v>34025</v>
      </c>
    </row>
    <row r="26" spans="1:16">
      <c r="C26" t="s">
        <v>89</v>
      </c>
      <c r="K26" s="73"/>
      <c r="L26" s="73"/>
      <c r="M26" s="73"/>
      <c r="N26" s="73">
        <v>2159246</v>
      </c>
      <c r="O26" s="73">
        <v>2376</v>
      </c>
      <c r="P26" s="73">
        <f t="shared" si="2"/>
        <v>2161622</v>
      </c>
    </row>
    <row r="27" spans="1:16">
      <c r="C27" t="s">
        <v>46</v>
      </c>
      <c r="K27" s="84">
        <v>6345285</v>
      </c>
      <c r="L27" s="73"/>
      <c r="M27" s="73"/>
      <c r="N27" s="73"/>
      <c r="O27" s="73"/>
      <c r="P27" s="73">
        <f>SUM(K27:O27)</f>
        <v>6345285</v>
      </c>
    </row>
    <row r="28" spans="1:16">
      <c r="K28" s="93"/>
      <c r="L28" s="93"/>
      <c r="M28" s="93"/>
      <c r="N28" s="93"/>
      <c r="O28" s="93"/>
      <c r="P28" s="93"/>
    </row>
    <row r="29" spans="1:16">
      <c r="A29" s="5"/>
      <c r="B29" s="5"/>
      <c r="C29" s="5"/>
      <c r="D29" s="6"/>
      <c r="E29" s="6" t="s">
        <v>77</v>
      </c>
      <c r="F29" s="5"/>
      <c r="G29" s="5"/>
      <c r="H29" s="5"/>
      <c r="I29" s="5"/>
      <c r="J29" s="5"/>
      <c r="K29" s="79">
        <f>SUM(K21:K27)</f>
        <v>6345285</v>
      </c>
      <c r="L29" s="79">
        <f t="shared" ref="L29:N29" si="3">SUM(L21:L27)</f>
        <v>9432455</v>
      </c>
      <c r="M29" s="79">
        <f t="shared" si="3"/>
        <v>3938425</v>
      </c>
      <c r="N29" s="79">
        <f t="shared" si="3"/>
        <v>2159246</v>
      </c>
      <c r="O29" s="79">
        <f>SUM(O20:O27)</f>
        <v>255072</v>
      </c>
      <c r="P29" s="79">
        <f>SUM(P20:P27)</f>
        <v>22130483</v>
      </c>
    </row>
    <row r="30" spans="1:16">
      <c r="K30" s="73"/>
      <c r="L30" s="73"/>
      <c r="M30" s="73"/>
      <c r="N30" s="73"/>
      <c r="O30" s="73"/>
      <c r="P30" s="73"/>
    </row>
    <row r="31" spans="1:16">
      <c r="A31" s="7"/>
      <c r="B31" s="7"/>
      <c r="C31" s="7"/>
      <c r="D31" s="8"/>
      <c r="E31" s="8" t="s">
        <v>48</v>
      </c>
      <c r="F31" s="7"/>
      <c r="G31" s="7"/>
      <c r="H31" s="7"/>
      <c r="I31" s="7"/>
      <c r="J31" s="7"/>
      <c r="K31" s="81">
        <f>SUM(K29,K17)</f>
        <v>6516117</v>
      </c>
      <c r="L31" s="81">
        <f t="shared" ref="L31:P31" si="4">SUM(L29,L17)</f>
        <v>9477012</v>
      </c>
      <c r="M31" s="81">
        <f t="shared" si="4"/>
        <v>4033903</v>
      </c>
      <c r="N31" s="81">
        <f t="shared" si="4"/>
        <v>2159246</v>
      </c>
      <c r="O31" s="81">
        <f t="shared" si="4"/>
        <v>255072</v>
      </c>
      <c r="P31" s="81">
        <f t="shared" si="4"/>
        <v>22441350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8"/>
  <sheetViews>
    <sheetView zoomScale="70" zoomScaleNormal="70" zoomScalePageLayoutView="70" workbookViewId="0">
      <selection activeCell="K36" sqref="K36"/>
    </sheetView>
  </sheetViews>
  <sheetFormatPr defaultColWidth="8.85546875" defaultRowHeight="15"/>
  <cols>
    <col min="11" max="11" width="15.28515625" customWidth="1"/>
    <col min="12" max="12" width="15" customWidth="1"/>
    <col min="13" max="13" width="14.42578125" customWidth="1"/>
    <col min="14" max="14" width="16.28515625" customWidth="1"/>
    <col min="15" max="15" width="14.7109375" customWidth="1"/>
    <col min="16" max="16" width="16.85546875" customWidth="1"/>
    <col min="17" max="17" width="15.28515625" customWidth="1"/>
    <col min="18" max="19" width="14.7109375" customWidth="1"/>
  </cols>
  <sheetData>
    <row r="1" spans="1:19" ht="18.75">
      <c r="D1" s="251" t="s">
        <v>132</v>
      </c>
      <c r="E1" s="251"/>
      <c r="F1" s="251"/>
      <c r="G1" s="251"/>
      <c r="H1" s="251"/>
      <c r="I1" s="251"/>
      <c r="J1" s="251"/>
      <c r="K1" s="251"/>
    </row>
    <row r="2" spans="1:19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9">
      <c r="D3" s="57"/>
      <c r="E3" s="57"/>
      <c r="F3" s="57"/>
      <c r="G3" s="57"/>
      <c r="H3" s="57"/>
      <c r="I3" s="57"/>
      <c r="J3" s="57"/>
      <c r="K3" s="57"/>
    </row>
    <row r="4" spans="1:19">
      <c r="P4" s="57"/>
      <c r="Q4" s="57"/>
      <c r="R4" s="57"/>
    </row>
    <row r="5" spans="1:19" ht="45">
      <c r="K5" s="1" t="s">
        <v>50</v>
      </c>
      <c r="L5" s="1" t="s">
        <v>133</v>
      </c>
      <c r="M5" s="1" t="s">
        <v>95</v>
      </c>
      <c r="N5" s="1" t="s">
        <v>134</v>
      </c>
      <c r="O5" s="1" t="s">
        <v>135</v>
      </c>
      <c r="P5" s="1" t="s">
        <v>136</v>
      </c>
      <c r="Q5" s="1" t="s">
        <v>137</v>
      </c>
      <c r="R5" s="1" t="s">
        <v>6</v>
      </c>
      <c r="S5" s="1" t="s">
        <v>7</v>
      </c>
    </row>
    <row r="6" spans="1:19">
      <c r="A6" t="s">
        <v>8</v>
      </c>
    </row>
    <row r="7" spans="1:19">
      <c r="B7" t="s">
        <v>85</v>
      </c>
      <c r="K7" s="72">
        <v>4175695</v>
      </c>
      <c r="L7" s="73">
        <v>5369423</v>
      </c>
      <c r="M7" s="73">
        <v>8807171</v>
      </c>
      <c r="N7" s="73">
        <v>8191172</v>
      </c>
      <c r="O7" s="73">
        <v>66569</v>
      </c>
      <c r="P7" s="73">
        <v>2403514</v>
      </c>
      <c r="Q7" s="73">
        <v>1542077</v>
      </c>
      <c r="R7" s="73">
        <v>9948521</v>
      </c>
      <c r="S7" s="73">
        <f t="shared" ref="S7:S12" si="0">SUM(K7:R7)</f>
        <v>40504142</v>
      </c>
    </row>
    <row r="8" spans="1:19">
      <c r="B8" t="s">
        <v>10</v>
      </c>
      <c r="K8" s="77">
        <v>170335</v>
      </c>
      <c r="L8" s="73"/>
      <c r="M8" s="73"/>
      <c r="N8" s="73"/>
      <c r="O8" s="73"/>
      <c r="P8" s="73"/>
      <c r="Q8" s="73"/>
      <c r="R8" s="73"/>
      <c r="S8" s="73">
        <f t="shared" si="0"/>
        <v>170335</v>
      </c>
    </row>
    <row r="9" spans="1:19">
      <c r="B9" t="s">
        <v>58</v>
      </c>
      <c r="K9" s="74">
        <v>2966234</v>
      </c>
      <c r="L9" s="73">
        <v>4354103</v>
      </c>
      <c r="M9" s="73">
        <v>7367030</v>
      </c>
      <c r="N9" s="73">
        <v>1053726</v>
      </c>
      <c r="O9" s="73"/>
      <c r="P9" s="73">
        <v>2971772</v>
      </c>
      <c r="Q9" s="73">
        <v>3324947</v>
      </c>
      <c r="R9" s="73">
        <v>1036700</v>
      </c>
      <c r="S9" s="73">
        <f t="shared" si="0"/>
        <v>23074512</v>
      </c>
    </row>
    <row r="10" spans="1:19">
      <c r="B10" t="s">
        <v>138</v>
      </c>
      <c r="K10" s="95"/>
      <c r="L10" s="73"/>
      <c r="M10" s="73">
        <v>21875</v>
      </c>
      <c r="N10" s="73"/>
      <c r="O10" s="73">
        <v>3037776</v>
      </c>
      <c r="P10" s="73"/>
      <c r="Q10" s="73"/>
      <c r="R10" s="73">
        <v>1819576</v>
      </c>
      <c r="S10" s="73">
        <f t="shared" si="0"/>
        <v>4879227</v>
      </c>
    </row>
    <row r="11" spans="1:19">
      <c r="B11" t="s">
        <v>16</v>
      </c>
      <c r="K11" s="75">
        <v>69371</v>
      </c>
      <c r="L11" s="73"/>
      <c r="M11" s="73"/>
      <c r="N11" s="73"/>
      <c r="O11" s="73"/>
      <c r="P11" s="73"/>
      <c r="Q11" s="73"/>
      <c r="R11" s="73">
        <v>6373</v>
      </c>
      <c r="S11" s="73">
        <f t="shared" si="0"/>
        <v>75744</v>
      </c>
    </row>
    <row r="12" spans="1:19">
      <c r="B12" t="s">
        <v>139</v>
      </c>
      <c r="K12" s="73"/>
      <c r="L12" s="73"/>
      <c r="M12" s="73"/>
      <c r="N12" s="73"/>
      <c r="O12" s="73">
        <v>8243332</v>
      </c>
      <c r="P12" s="73"/>
      <c r="Q12" s="73"/>
      <c r="R12" s="73"/>
      <c r="S12" s="73">
        <f t="shared" si="0"/>
        <v>8243332</v>
      </c>
    </row>
    <row r="13" spans="1:19">
      <c r="K13" s="93"/>
      <c r="L13" s="93"/>
      <c r="M13" s="93"/>
      <c r="N13" s="93"/>
      <c r="O13" s="93"/>
      <c r="P13" s="93"/>
      <c r="Q13" s="93"/>
      <c r="R13" s="93"/>
      <c r="S13" s="93"/>
    </row>
    <row r="14" spans="1:19">
      <c r="A14" s="2"/>
      <c r="B14" s="2"/>
      <c r="C14" s="2"/>
      <c r="D14" s="2"/>
      <c r="E14" s="2" t="s">
        <v>62</v>
      </c>
      <c r="F14" s="3"/>
      <c r="G14" s="3"/>
      <c r="H14" s="3"/>
      <c r="I14" s="3"/>
      <c r="J14" s="3"/>
      <c r="K14" s="76">
        <f t="shared" ref="K14:S14" si="1">SUM(K7:K12)</f>
        <v>7381635</v>
      </c>
      <c r="L14" s="76">
        <f t="shared" si="1"/>
        <v>9723526</v>
      </c>
      <c r="M14" s="76">
        <f t="shared" si="1"/>
        <v>16196076</v>
      </c>
      <c r="N14" s="76">
        <f t="shared" si="1"/>
        <v>9244898</v>
      </c>
      <c r="O14" s="76">
        <f t="shared" si="1"/>
        <v>11347677</v>
      </c>
      <c r="P14" s="76">
        <f t="shared" si="1"/>
        <v>5375286</v>
      </c>
      <c r="Q14" s="76">
        <f t="shared" si="1"/>
        <v>4867024</v>
      </c>
      <c r="R14" s="76">
        <f t="shared" si="1"/>
        <v>12811170</v>
      </c>
      <c r="S14" s="76">
        <f t="shared" si="1"/>
        <v>76947292</v>
      </c>
    </row>
    <row r="15" spans="1:19">
      <c r="K15" s="73"/>
      <c r="L15" s="73"/>
      <c r="M15" s="73"/>
      <c r="N15" s="73"/>
      <c r="O15" s="73"/>
      <c r="P15" s="73"/>
      <c r="Q15" s="73"/>
      <c r="R15" s="73"/>
      <c r="S15" s="73"/>
    </row>
    <row r="16" spans="1:19">
      <c r="A16" s="4" t="s">
        <v>140</v>
      </c>
      <c r="K16" s="73"/>
      <c r="L16" s="73"/>
      <c r="M16" s="73"/>
      <c r="N16" s="73"/>
      <c r="O16" s="73"/>
      <c r="P16" s="73"/>
      <c r="Q16" s="73"/>
      <c r="R16" s="73"/>
      <c r="S16" s="73"/>
    </row>
    <row r="17" spans="1:19">
      <c r="B17" t="s">
        <v>20</v>
      </c>
      <c r="K17" s="73"/>
      <c r="L17" s="73"/>
      <c r="M17" s="73"/>
      <c r="N17" s="73"/>
      <c r="O17" s="73"/>
      <c r="P17" s="73"/>
      <c r="Q17" s="73"/>
      <c r="R17" s="73"/>
      <c r="S17" s="73"/>
    </row>
    <row r="18" spans="1:19">
      <c r="C18" t="s">
        <v>21</v>
      </c>
      <c r="K18" s="77">
        <v>353048</v>
      </c>
      <c r="L18" s="73">
        <v>526769</v>
      </c>
      <c r="M18" s="73">
        <v>384043</v>
      </c>
      <c r="N18" s="61">
        <v>56514</v>
      </c>
      <c r="O18" s="73"/>
      <c r="P18" s="73">
        <v>248149</v>
      </c>
      <c r="Q18" s="73">
        <v>3324947</v>
      </c>
      <c r="R18" s="73">
        <v>223062</v>
      </c>
      <c r="S18" s="73">
        <f>SUM(K18:R18)</f>
        <v>5116532</v>
      </c>
    </row>
    <row r="19" spans="1:19">
      <c r="C19" t="s">
        <v>25</v>
      </c>
      <c r="K19" s="73"/>
      <c r="L19" s="73">
        <v>55782</v>
      </c>
      <c r="M19" s="73"/>
      <c r="N19">
        <v>11300</v>
      </c>
      <c r="O19" s="73"/>
      <c r="P19" s="73"/>
      <c r="Q19" s="73"/>
      <c r="R19" s="73">
        <v>8662</v>
      </c>
      <c r="S19" s="73">
        <f t="shared" ref="S19" si="2">SUM(K19:R19)</f>
        <v>75744</v>
      </c>
    </row>
    <row r="20" spans="1:19">
      <c r="K20" s="93"/>
      <c r="L20" s="93"/>
      <c r="M20" s="93"/>
      <c r="N20" s="94"/>
      <c r="O20" s="93"/>
      <c r="P20" s="93"/>
      <c r="Q20" s="93"/>
      <c r="R20" s="93"/>
      <c r="S20" s="93"/>
    </row>
    <row r="21" spans="1:19">
      <c r="A21" s="5"/>
      <c r="B21" s="6"/>
      <c r="C21" s="6"/>
      <c r="D21" s="6"/>
      <c r="E21" s="6" t="s">
        <v>26</v>
      </c>
      <c r="F21" s="5"/>
      <c r="G21" s="5"/>
      <c r="H21" s="5"/>
      <c r="I21" s="5"/>
      <c r="J21" s="5"/>
      <c r="K21" s="79">
        <f t="shared" ref="K21:S21" si="3">SUM(K18:K19)</f>
        <v>353048</v>
      </c>
      <c r="L21" s="79">
        <f t="shared" si="3"/>
        <v>582551</v>
      </c>
      <c r="M21" s="79">
        <f t="shared" si="3"/>
        <v>384043</v>
      </c>
      <c r="N21" s="79">
        <f t="shared" si="3"/>
        <v>67814</v>
      </c>
      <c r="O21" s="79">
        <f t="shared" si="3"/>
        <v>0</v>
      </c>
      <c r="P21" s="79">
        <f t="shared" si="3"/>
        <v>248149</v>
      </c>
      <c r="Q21" s="79">
        <f t="shared" si="3"/>
        <v>3324947</v>
      </c>
      <c r="R21" s="79">
        <f t="shared" si="3"/>
        <v>231724</v>
      </c>
      <c r="S21" s="79">
        <f t="shared" si="3"/>
        <v>5192276</v>
      </c>
    </row>
    <row r="22" spans="1:19">
      <c r="K22" s="73"/>
      <c r="L22" s="73"/>
      <c r="M22" s="73"/>
      <c r="N22" s="73"/>
      <c r="O22" s="73"/>
      <c r="P22" s="73"/>
      <c r="Q22" s="73"/>
      <c r="R22" s="73"/>
      <c r="S22" s="73"/>
    </row>
    <row r="23" spans="1:19">
      <c r="A23" s="71" t="s">
        <v>63</v>
      </c>
      <c r="K23" s="73"/>
      <c r="L23" s="73"/>
      <c r="M23" s="73"/>
      <c r="N23" s="73"/>
      <c r="O23" s="73"/>
      <c r="P23" s="73"/>
      <c r="Q23" s="73"/>
      <c r="R23" s="73"/>
      <c r="S23" s="73"/>
    </row>
    <row r="24" spans="1:19">
      <c r="B24" t="s">
        <v>103</v>
      </c>
      <c r="K24" s="73"/>
      <c r="L24" s="73"/>
      <c r="M24" s="73"/>
      <c r="N24" s="73"/>
      <c r="O24" s="73"/>
      <c r="P24" s="73"/>
      <c r="Q24" s="73"/>
      <c r="R24" s="73"/>
      <c r="S24" s="73"/>
    </row>
    <row r="25" spans="1:19">
      <c r="C25" t="s">
        <v>141</v>
      </c>
      <c r="K25" s="73">
        <v>1948025</v>
      </c>
      <c r="L25" s="73">
        <v>1966068</v>
      </c>
      <c r="M25" s="73">
        <v>7404640</v>
      </c>
      <c r="N25" s="73"/>
      <c r="O25" s="73"/>
      <c r="P25" s="73">
        <v>2934461</v>
      </c>
      <c r="Q25" s="73"/>
      <c r="R25" s="73">
        <v>811884</v>
      </c>
      <c r="S25" s="73">
        <f>SUM(K25:R25)</f>
        <v>15065078</v>
      </c>
    </row>
    <row r="26" spans="1:19">
      <c r="C26" t="s">
        <v>45</v>
      </c>
      <c r="K26" s="73">
        <v>73369</v>
      </c>
      <c r="L26" s="73">
        <v>450013</v>
      </c>
      <c r="M26" s="73">
        <v>5117</v>
      </c>
      <c r="N26" s="73">
        <v>16695</v>
      </c>
      <c r="O26" s="73"/>
      <c r="P26" s="73">
        <v>4747</v>
      </c>
      <c r="Q26" s="73">
        <v>113041</v>
      </c>
      <c r="R26" s="73">
        <v>6963</v>
      </c>
      <c r="S26" s="73">
        <f>SUM(K26:R26)</f>
        <v>669945</v>
      </c>
    </row>
    <row r="27" spans="1:19">
      <c r="K27" s="93"/>
      <c r="L27" s="93"/>
      <c r="M27" s="93"/>
      <c r="N27" s="93"/>
      <c r="O27" s="93"/>
      <c r="P27" s="93"/>
      <c r="Q27" s="93"/>
      <c r="R27" s="93"/>
      <c r="S27" s="93"/>
    </row>
    <row r="28" spans="1:19">
      <c r="A28" s="5"/>
      <c r="B28" s="6"/>
      <c r="C28" s="6"/>
      <c r="D28" s="6"/>
      <c r="E28" s="6" t="s">
        <v>29</v>
      </c>
      <c r="F28" s="5"/>
      <c r="G28" s="5"/>
      <c r="H28" s="5"/>
      <c r="I28" s="5"/>
      <c r="J28" s="5"/>
      <c r="K28" s="79">
        <f>SUM(K24:K26)</f>
        <v>2021394</v>
      </c>
      <c r="L28" s="79">
        <f t="shared" ref="L28:S28" si="4">SUM(L24:L26)</f>
        <v>2416081</v>
      </c>
      <c r="M28" s="79">
        <f t="shared" si="4"/>
        <v>7409757</v>
      </c>
      <c r="N28" s="79">
        <f t="shared" si="4"/>
        <v>16695</v>
      </c>
      <c r="O28" s="79">
        <f t="shared" si="4"/>
        <v>0</v>
      </c>
      <c r="P28" s="79">
        <f t="shared" si="4"/>
        <v>2939208</v>
      </c>
      <c r="Q28" s="79">
        <f t="shared" si="4"/>
        <v>113041</v>
      </c>
      <c r="R28" s="79">
        <f t="shared" si="4"/>
        <v>818847</v>
      </c>
      <c r="S28" s="79">
        <f t="shared" si="4"/>
        <v>15735023</v>
      </c>
    </row>
    <row r="29" spans="1:19">
      <c r="K29" s="73"/>
      <c r="L29" s="73"/>
      <c r="M29" s="73"/>
      <c r="N29" s="73"/>
      <c r="O29" s="73"/>
      <c r="P29" s="73"/>
      <c r="Q29" s="73"/>
      <c r="R29" s="73"/>
      <c r="S29" s="73"/>
    </row>
    <row r="30" spans="1:19">
      <c r="B30" t="s">
        <v>30</v>
      </c>
      <c r="K30" s="73"/>
      <c r="L30" s="73"/>
      <c r="M30" s="73"/>
      <c r="N30" s="73"/>
      <c r="O30" s="73"/>
      <c r="P30" s="73"/>
      <c r="Q30" s="73"/>
      <c r="R30" s="73"/>
      <c r="S30" s="73"/>
    </row>
    <row r="31" spans="1:19">
      <c r="C31" t="s">
        <v>104</v>
      </c>
      <c r="K31" s="73"/>
      <c r="L31" s="73"/>
      <c r="M31" s="73"/>
      <c r="N31" s="73"/>
      <c r="O31" s="73">
        <v>8243332</v>
      </c>
      <c r="P31" s="73"/>
      <c r="Q31" s="73"/>
      <c r="R31" s="73"/>
      <c r="S31" s="73">
        <f t="shared" ref="S31:S34" si="5">SUM(K31:R31)</f>
        <v>8243332</v>
      </c>
    </row>
    <row r="32" spans="1:19">
      <c r="C32" t="s">
        <v>88</v>
      </c>
      <c r="K32" s="73"/>
      <c r="L32" s="73"/>
      <c r="M32" s="73">
        <v>8009313</v>
      </c>
      <c r="N32" s="73">
        <v>9022454</v>
      </c>
      <c r="O32" s="73">
        <v>3104345</v>
      </c>
      <c r="P32" s="73">
        <v>748940</v>
      </c>
      <c r="Q32" s="73"/>
      <c r="R32" s="73">
        <v>6720965</v>
      </c>
      <c r="S32" s="73">
        <f t="shared" si="5"/>
        <v>27606017</v>
      </c>
    </row>
    <row r="33" spans="1:19">
      <c r="C33" t="s">
        <v>89</v>
      </c>
      <c r="K33" s="91">
        <v>3087683</v>
      </c>
      <c r="L33" s="73">
        <v>6724894</v>
      </c>
      <c r="M33" s="73">
        <v>392963</v>
      </c>
      <c r="N33" s="73">
        <v>137935</v>
      </c>
      <c r="O33" s="73"/>
      <c r="P33" s="73">
        <v>1438989</v>
      </c>
      <c r="Q33" s="73">
        <v>1429036</v>
      </c>
      <c r="R33" s="73">
        <v>5039634</v>
      </c>
      <c r="S33" s="73">
        <f t="shared" si="5"/>
        <v>18251134</v>
      </c>
    </row>
    <row r="34" spans="1:19">
      <c r="C34" t="s">
        <v>76</v>
      </c>
      <c r="K34" s="84">
        <v>1919510</v>
      </c>
      <c r="L34" s="73"/>
      <c r="M34" s="73"/>
      <c r="N34" s="73"/>
      <c r="O34" s="73"/>
      <c r="P34" s="73"/>
      <c r="Q34" s="73"/>
      <c r="R34" s="73"/>
      <c r="S34" s="73">
        <f t="shared" si="5"/>
        <v>1919510</v>
      </c>
    </row>
    <row r="35" spans="1:19">
      <c r="K35" s="93"/>
      <c r="L35" s="93"/>
      <c r="M35" s="93"/>
      <c r="N35" s="93"/>
      <c r="O35" s="93"/>
      <c r="P35" s="93"/>
      <c r="Q35" s="93"/>
      <c r="R35" s="93"/>
      <c r="S35" s="93"/>
    </row>
    <row r="36" spans="1:19">
      <c r="A36" s="5"/>
      <c r="B36" s="5"/>
      <c r="C36" s="5"/>
      <c r="D36" s="6"/>
      <c r="E36" s="6" t="s">
        <v>77</v>
      </c>
      <c r="F36" s="5"/>
      <c r="G36" s="5"/>
      <c r="H36" s="5"/>
      <c r="I36" s="5"/>
      <c r="J36" s="5"/>
      <c r="K36" s="79">
        <f t="shared" ref="K36:S36" si="6">SUM(K31:K34)</f>
        <v>5007193</v>
      </c>
      <c r="L36" s="79">
        <f t="shared" si="6"/>
        <v>6724894</v>
      </c>
      <c r="M36" s="79">
        <f t="shared" si="6"/>
        <v>8402276</v>
      </c>
      <c r="N36" s="79">
        <f t="shared" si="6"/>
        <v>9160389</v>
      </c>
      <c r="O36" s="79">
        <f t="shared" si="6"/>
        <v>11347677</v>
      </c>
      <c r="P36" s="79">
        <f t="shared" si="6"/>
        <v>2187929</v>
      </c>
      <c r="Q36" s="79">
        <f t="shared" si="6"/>
        <v>1429036</v>
      </c>
      <c r="R36" s="79">
        <f t="shared" si="6"/>
        <v>11760599</v>
      </c>
      <c r="S36" s="79">
        <f t="shared" si="6"/>
        <v>56019993</v>
      </c>
    </row>
    <row r="37" spans="1:19">
      <c r="K37" s="73"/>
      <c r="L37" s="73"/>
      <c r="M37" s="73"/>
      <c r="N37" s="73"/>
      <c r="O37" s="73"/>
      <c r="P37" s="73"/>
      <c r="Q37" s="73"/>
      <c r="R37" s="73"/>
      <c r="S37" s="73"/>
    </row>
    <row r="38" spans="1:19">
      <c r="A38" s="7"/>
      <c r="B38" s="7"/>
      <c r="C38" s="7"/>
      <c r="D38" s="8"/>
      <c r="E38" s="8" t="s">
        <v>78</v>
      </c>
      <c r="F38" s="7"/>
      <c r="G38" s="7"/>
      <c r="H38" s="7"/>
      <c r="I38" s="7"/>
      <c r="J38" s="7"/>
      <c r="K38" s="81">
        <f>SUM(K21+K28+K36)</f>
        <v>7381635</v>
      </c>
      <c r="L38" s="81">
        <f t="shared" ref="L38:S38" si="7">SUM(L21+L28+L36)</f>
        <v>9723526</v>
      </c>
      <c r="M38" s="81">
        <f t="shared" si="7"/>
        <v>16196076</v>
      </c>
      <c r="N38" s="81">
        <f t="shared" si="7"/>
        <v>9244898</v>
      </c>
      <c r="O38" s="81">
        <f t="shared" si="7"/>
        <v>11347677</v>
      </c>
      <c r="P38" s="81">
        <f t="shared" si="7"/>
        <v>5375286</v>
      </c>
      <c r="Q38" s="81">
        <f t="shared" si="7"/>
        <v>4867024</v>
      </c>
      <c r="R38" s="81">
        <f t="shared" si="7"/>
        <v>12811170</v>
      </c>
      <c r="S38" s="81">
        <f t="shared" si="7"/>
        <v>76947292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62"/>
  <sheetViews>
    <sheetView topLeftCell="A13" zoomScale="80" zoomScaleNormal="80" zoomScalePageLayoutView="80" workbookViewId="0">
      <selection activeCell="K47" sqref="K47:K48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8.4257812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9" width="16.42578125" customWidth="1"/>
    <col min="20" max="20" width="18" customWidth="1"/>
    <col min="21" max="21" width="17.28515625" customWidth="1"/>
  </cols>
  <sheetData>
    <row r="1" spans="1:21" ht="18.75">
      <c r="D1" s="251" t="s">
        <v>142</v>
      </c>
      <c r="E1" s="251"/>
      <c r="F1" s="251"/>
      <c r="G1" s="251"/>
      <c r="H1" s="251"/>
      <c r="I1" s="251"/>
      <c r="J1" s="251"/>
      <c r="K1" s="251"/>
    </row>
    <row r="2" spans="1:21">
      <c r="D2" s="252" t="s">
        <v>1</v>
      </c>
      <c r="E2" s="252"/>
      <c r="F2" s="252"/>
      <c r="G2" s="252"/>
      <c r="H2" s="252"/>
      <c r="I2" s="252"/>
      <c r="J2" s="252"/>
      <c r="K2" s="252"/>
    </row>
    <row r="4" spans="1:21" ht="32.25" customHeight="1">
      <c r="K4" s="1" t="s">
        <v>2</v>
      </c>
      <c r="L4" s="1" t="s">
        <v>143</v>
      </c>
      <c r="M4" s="1" t="s">
        <v>144</v>
      </c>
      <c r="N4" s="1" t="s">
        <v>145</v>
      </c>
      <c r="O4" s="1" t="s">
        <v>146</v>
      </c>
      <c r="P4" s="1" t="s">
        <v>147</v>
      </c>
      <c r="Q4" s="1" t="s">
        <v>148</v>
      </c>
      <c r="R4" s="1" t="s">
        <v>149</v>
      </c>
      <c r="S4" s="1" t="s">
        <v>150</v>
      </c>
      <c r="T4" s="1" t="s">
        <v>6</v>
      </c>
      <c r="U4" s="1" t="s">
        <v>7</v>
      </c>
    </row>
    <row r="5" spans="1:21">
      <c r="A5" t="s">
        <v>8</v>
      </c>
    </row>
    <row r="6" spans="1:21">
      <c r="B6" t="s">
        <v>85</v>
      </c>
      <c r="K6" s="72">
        <v>4050798</v>
      </c>
      <c r="L6" s="73">
        <v>4652337</v>
      </c>
      <c r="M6" s="73">
        <v>74242</v>
      </c>
      <c r="N6" s="73">
        <v>1836315</v>
      </c>
      <c r="O6" s="73">
        <v>1161308</v>
      </c>
      <c r="P6" s="73"/>
      <c r="Q6" s="73"/>
      <c r="R6" s="73">
        <v>1278346</v>
      </c>
      <c r="S6" s="73"/>
      <c r="T6" s="73">
        <v>2423536</v>
      </c>
      <c r="U6" s="73">
        <f>SUM(K6:T6)</f>
        <v>15476882</v>
      </c>
    </row>
    <row r="7" spans="1:21">
      <c r="B7" t="s">
        <v>10</v>
      </c>
      <c r="K7" s="77">
        <v>42798639</v>
      </c>
      <c r="L7" s="73"/>
      <c r="M7" s="73">
        <v>790823</v>
      </c>
      <c r="N7" s="73">
        <v>19398481</v>
      </c>
      <c r="O7" s="73">
        <v>12267698</v>
      </c>
      <c r="P7" s="73"/>
      <c r="Q7" s="73"/>
      <c r="R7" s="73">
        <v>13509976</v>
      </c>
      <c r="S7" s="73"/>
      <c r="T7" s="73">
        <v>25597710</v>
      </c>
      <c r="U7" s="73">
        <f t="shared" ref="U7:U15" si="0">SUM(K7:T7)</f>
        <v>114363327</v>
      </c>
    </row>
    <row r="8" spans="1:21">
      <c r="B8" t="s">
        <v>151</v>
      </c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</row>
    <row r="9" spans="1:21">
      <c r="C9" t="s">
        <v>152</v>
      </c>
      <c r="K9" s="74">
        <v>6259610</v>
      </c>
      <c r="L9" s="73">
        <v>14004529</v>
      </c>
      <c r="M9" s="73">
        <v>7984497</v>
      </c>
      <c r="N9" s="73"/>
      <c r="O9" s="73">
        <v>6242739</v>
      </c>
      <c r="P9" s="73"/>
      <c r="Q9" s="73">
        <v>2647217</v>
      </c>
      <c r="R9" s="73"/>
      <c r="S9" s="73">
        <v>4861016</v>
      </c>
      <c r="T9" s="73">
        <v>13798567</v>
      </c>
      <c r="U9" s="73">
        <f t="shared" si="0"/>
        <v>55798175</v>
      </c>
    </row>
    <row r="10" spans="1:21">
      <c r="C10" t="s">
        <v>153</v>
      </c>
      <c r="K10" s="73"/>
      <c r="L10" s="73"/>
      <c r="M10" s="73"/>
      <c r="N10" s="73"/>
      <c r="O10" s="73">
        <v>210777</v>
      </c>
      <c r="P10" s="73"/>
      <c r="Q10" s="73"/>
      <c r="R10" s="73"/>
      <c r="S10" s="73"/>
      <c r="T10" s="73"/>
      <c r="U10" s="73">
        <f t="shared" si="0"/>
        <v>210777</v>
      </c>
    </row>
    <row r="11" spans="1:21">
      <c r="C11" t="s">
        <v>45</v>
      </c>
      <c r="K11" s="74">
        <v>64493</v>
      </c>
      <c r="L11" s="73"/>
      <c r="M11" s="73">
        <v>208</v>
      </c>
      <c r="N11" s="73">
        <v>10948</v>
      </c>
      <c r="O11" s="73"/>
      <c r="P11" s="73"/>
      <c r="Q11" s="73"/>
      <c r="R11" s="73"/>
      <c r="S11" s="73"/>
      <c r="T11" s="73">
        <v>215445</v>
      </c>
      <c r="U11" s="73">
        <f t="shared" si="0"/>
        <v>291094</v>
      </c>
    </row>
    <row r="12" spans="1:21">
      <c r="C12" t="s">
        <v>154</v>
      </c>
      <c r="K12" s="74">
        <v>133264</v>
      </c>
      <c r="L12" s="73"/>
      <c r="M12" s="73">
        <v>2442</v>
      </c>
      <c r="N12" s="73">
        <v>60412</v>
      </c>
      <c r="O12" s="73">
        <v>38201</v>
      </c>
      <c r="P12" s="73"/>
      <c r="Q12" s="73"/>
      <c r="R12" s="73">
        <v>42055</v>
      </c>
      <c r="S12" s="73"/>
      <c r="T12" s="73">
        <v>79722</v>
      </c>
      <c r="U12" s="73">
        <f t="shared" si="0"/>
        <v>356096</v>
      </c>
    </row>
    <row r="13" spans="1:21">
      <c r="B13" t="s">
        <v>16</v>
      </c>
      <c r="K13" s="75">
        <v>1191129</v>
      </c>
      <c r="L13" s="73">
        <v>223421</v>
      </c>
      <c r="M13" s="73">
        <v>110701</v>
      </c>
      <c r="N13" s="73">
        <v>530502</v>
      </c>
      <c r="O13" s="73">
        <v>432651</v>
      </c>
      <c r="P13" s="73"/>
      <c r="Q13" s="73"/>
      <c r="R13" s="73">
        <v>455926</v>
      </c>
      <c r="S13" s="73"/>
      <c r="T13" s="73">
        <v>1284047</v>
      </c>
      <c r="U13" s="73">
        <f t="shared" si="0"/>
        <v>4228377</v>
      </c>
    </row>
    <row r="14" spans="1:21">
      <c r="B14" t="s">
        <v>59</v>
      </c>
      <c r="K14" s="75">
        <v>158300</v>
      </c>
      <c r="L14" s="73">
        <v>259508</v>
      </c>
      <c r="M14" s="73">
        <v>181778</v>
      </c>
      <c r="N14" s="73">
        <v>554903</v>
      </c>
      <c r="O14" s="73">
        <v>1615801</v>
      </c>
      <c r="P14" s="73"/>
      <c r="Q14" s="73">
        <v>49200</v>
      </c>
      <c r="R14" s="73"/>
      <c r="S14" s="73">
        <v>89329</v>
      </c>
      <c r="T14" s="73">
        <v>596025</v>
      </c>
      <c r="U14" s="73">
        <f t="shared" si="0"/>
        <v>3504844</v>
      </c>
    </row>
    <row r="15" spans="1:21">
      <c r="B15" t="s">
        <v>155</v>
      </c>
      <c r="K15" s="73"/>
      <c r="L15" s="73"/>
      <c r="M15" s="73"/>
      <c r="N15" s="73"/>
      <c r="O15" s="73">
        <v>97808</v>
      </c>
      <c r="P15" s="73"/>
      <c r="Q15" s="73"/>
      <c r="R15" s="73"/>
      <c r="S15" s="73"/>
      <c r="T15" s="73"/>
      <c r="U15" s="73">
        <f t="shared" si="0"/>
        <v>97808</v>
      </c>
    </row>
    <row r="16" spans="1:21">
      <c r="B16" t="s">
        <v>156</v>
      </c>
      <c r="K16" s="73"/>
      <c r="L16" s="73">
        <v>116149</v>
      </c>
      <c r="M16" s="73"/>
      <c r="N16" s="73"/>
      <c r="O16" s="73"/>
      <c r="P16" s="73"/>
      <c r="Q16" s="73"/>
      <c r="R16" s="73"/>
      <c r="S16" s="73"/>
      <c r="T16" s="73"/>
      <c r="U16" s="73">
        <f>SUM(K16:T16)</f>
        <v>116149</v>
      </c>
    </row>
    <row r="17" spans="1:21"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</row>
    <row r="18" spans="1:21" s="3" customFormat="1">
      <c r="A18" s="2"/>
      <c r="B18" s="2"/>
      <c r="C18" s="2"/>
      <c r="D18" s="2"/>
      <c r="E18" s="2" t="s">
        <v>18</v>
      </c>
      <c r="K18" s="76">
        <f t="shared" ref="K18:S18" si="1">SUM(K6:K16)</f>
        <v>54656233</v>
      </c>
      <c r="L18" s="76">
        <f t="shared" si="1"/>
        <v>19255944</v>
      </c>
      <c r="M18" s="76">
        <f t="shared" si="1"/>
        <v>9144691</v>
      </c>
      <c r="N18" s="76">
        <f t="shared" si="1"/>
        <v>22391561</v>
      </c>
      <c r="O18" s="76">
        <f t="shared" si="1"/>
        <v>22066983</v>
      </c>
      <c r="P18" s="76">
        <f t="shared" si="1"/>
        <v>0</v>
      </c>
      <c r="Q18" s="76">
        <f t="shared" si="1"/>
        <v>2696417</v>
      </c>
      <c r="R18" s="76">
        <f t="shared" si="1"/>
        <v>15286303</v>
      </c>
      <c r="S18" s="76">
        <f t="shared" si="1"/>
        <v>4950345</v>
      </c>
      <c r="T18" s="76">
        <f>SUM(T6:T16)</f>
        <v>43995052</v>
      </c>
      <c r="U18" s="76">
        <f>SUM(U6:U16)</f>
        <v>194443529</v>
      </c>
    </row>
    <row r="19" spans="1:21"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</row>
    <row r="20" spans="1:21">
      <c r="A20" s="4" t="s">
        <v>19</v>
      </c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</row>
    <row r="21" spans="1:21">
      <c r="B21" t="s">
        <v>20</v>
      </c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</row>
    <row r="22" spans="1:21">
      <c r="C22" t="s">
        <v>21</v>
      </c>
      <c r="K22" s="77">
        <v>117176</v>
      </c>
      <c r="L22" s="73">
        <v>223421</v>
      </c>
      <c r="M22" s="73">
        <v>167064</v>
      </c>
      <c r="N22" s="73">
        <v>282200</v>
      </c>
      <c r="O22" s="73">
        <v>556181</v>
      </c>
      <c r="P22" s="73"/>
      <c r="Q22" s="73">
        <v>230614</v>
      </c>
      <c r="R22" s="73">
        <v>632951</v>
      </c>
      <c r="S22" s="73"/>
      <c r="T22" s="73">
        <v>626010</v>
      </c>
      <c r="U22" s="73">
        <f>SUM(K22:T22)</f>
        <v>2835617</v>
      </c>
    </row>
    <row r="23" spans="1:21">
      <c r="C23" t="s">
        <v>157</v>
      </c>
      <c r="K23" s="77">
        <v>154394</v>
      </c>
      <c r="L23" s="73">
        <v>155575</v>
      </c>
      <c r="M23" s="73">
        <v>29305</v>
      </c>
      <c r="N23" s="73">
        <v>54604</v>
      </c>
      <c r="O23" s="73">
        <v>153622</v>
      </c>
      <c r="P23" s="73"/>
      <c r="Q23" s="73"/>
      <c r="R23" s="73"/>
      <c r="S23" s="73"/>
      <c r="T23" s="73">
        <v>371076</v>
      </c>
      <c r="U23" s="73">
        <f t="shared" ref="U23:U27" si="2">SUM(K23:T23)</f>
        <v>918576</v>
      </c>
    </row>
    <row r="24" spans="1:21">
      <c r="C24" t="s">
        <v>22</v>
      </c>
      <c r="K24" s="73"/>
      <c r="L24" s="73"/>
      <c r="M24" s="73"/>
      <c r="N24" s="73"/>
      <c r="O24" s="73"/>
      <c r="P24" s="73"/>
      <c r="Q24" s="73"/>
      <c r="R24" s="73">
        <v>353334</v>
      </c>
      <c r="S24" s="73"/>
      <c r="T24" s="73"/>
      <c r="U24" s="73">
        <f t="shared" si="2"/>
        <v>353334</v>
      </c>
    </row>
    <row r="25" spans="1:21">
      <c r="C25" t="s">
        <v>25</v>
      </c>
      <c r="K25" s="73"/>
      <c r="L25" s="73"/>
      <c r="M25" s="73"/>
      <c r="N25" s="73"/>
      <c r="O25" s="73"/>
      <c r="P25" s="73"/>
      <c r="Q25" s="73">
        <v>1539057</v>
      </c>
      <c r="R25" s="73"/>
      <c r="S25" s="73">
        <v>2813006</v>
      </c>
      <c r="T25" s="73">
        <v>223421</v>
      </c>
      <c r="U25" s="73">
        <f t="shared" si="2"/>
        <v>4575484</v>
      </c>
    </row>
    <row r="26" spans="1:21">
      <c r="C26" t="s">
        <v>24</v>
      </c>
      <c r="K26" s="98">
        <v>35478</v>
      </c>
      <c r="L26" s="73"/>
      <c r="M26" s="73"/>
      <c r="N26" s="73"/>
      <c r="O26" s="73"/>
      <c r="P26" s="73"/>
      <c r="Q26" s="73"/>
      <c r="R26" s="73"/>
      <c r="S26" s="73"/>
      <c r="T26" s="73"/>
      <c r="U26" s="73">
        <f t="shared" si="2"/>
        <v>35478</v>
      </c>
    </row>
    <row r="27" spans="1:21">
      <c r="C27" t="s">
        <v>158</v>
      </c>
      <c r="K27" s="73"/>
      <c r="L27" s="73"/>
      <c r="M27" s="73">
        <v>520956</v>
      </c>
      <c r="N27" s="73"/>
      <c r="O27" s="73"/>
      <c r="P27" s="73"/>
      <c r="Q27" s="73"/>
      <c r="R27" s="73"/>
      <c r="S27" s="73"/>
      <c r="T27" s="73"/>
      <c r="U27" s="73">
        <f t="shared" si="2"/>
        <v>520956</v>
      </c>
    </row>
    <row r="28" spans="1:21">
      <c r="C28" t="s">
        <v>159</v>
      </c>
      <c r="K28" s="78">
        <v>14769</v>
      </c>
      <c r="L28" s="73"/>
      <c r="M28" s="73"/>
      <c r="N28" s="73">
        <v>3202</v>
      </c>
      <c r="O28" s="73">
        <v>12845</v>
      </c>
      <c r="P28" s="73"/>
      <c r="Q28" s="73"/>
      <c r="R28" s="73"/>
      <c r="S28" s="73">
        <v>78154</v>
      </c>
      <c r="T28" s="73">
        <v>9176</v>
      </c>
      <c r="U28" s="73">
        <f>SUM(K28:T28)</f>
        <v>118146</v>
      </c>
    </row>
    <row r="29" spans="1:21"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</row>
    <row r="30" spans="1:21" s="5" customFormat="1">
      <c r="B30" s="6"/>
      <c r="C30" s="6"/>
      <c r="D30" s="6"/>
      <c r="E30" s="6" t="s">
        <v>26</v>
      </c>
      <c r="K30" s="79">
        <f t="shared" ref="K30:S30" si="3">SUM(K22:K28)</f>
        <v>321817</v>
      </c>
      <c r="L30" s="79">
        <f t="shared" si="3"/>
        <v>378996</v>
      </c>
      <c r="M30" s="79">
        <f t="shared" si="3"/>
        <v>717325</v>
      </c>
      <c r="N30" s="79">
        <f t="shared" si="3"/>
        <v>340006</v>
      </c>
      <c r="O30" s="79">
        <f t="shared" si="3"/>
        <v>722648</v>
      </c>
      <c r="P30" s="79">
        <f t="shared" si="3"/>
        <v>0</v>
      </c>
      <c r="Q30" s="79">
        <f t="shared" si="3"/>
        <v>1769671</v>
      </c>
      <c r="R30" s="79">
        <f t="shared" si="3"/>
        <v>986285</v>
      </c>
      <c r="S30" s="79">
        <f t="shared" si="3"/>
        <v>2891160</v>
      </c>
      <c r="T30" s="79">
        <f>SUM(T22:T28)</f>
        <v>1229683</v>
      </c>
      <c r="U30" s="79">
        <f>SUM(U22:U28)</f>
        <v>9357591</v>
      </c>
    </row>
    <row r="31" spans="1:21"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</row>
    <row r="32" spans="1:21">
      <c r="A32" s="71" t="s">
        <v>27</v>
      </c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</row>
    <row r="33" spans="1:21">
      <c r="A33" s="71"/>
      <c r="B33" t="s">
        <v>160</v>
      </c>
      <c r="K33" s="73">
        <v>66472</v>
      </c>
      <c r="L33" s="73">
        <v>123269</v>
      </c>
      <c r="M33" s="73">
        <v>76073</v>
      </c>
      <c r="N33" s="73"/>
      <c r="O33" s="73">
        <v>52029</v>
      </c>
      <c r="P33" s="73"/>
      <c r="Q33" s="73">
        <v>15517</v>
      </c>
      <c r="R33" s="73"/>
      <c r="S33" s="73">
        <v>21548</v>
      </c>
      <c r="T33" s="73">
        <v>119337</v>
      </c>
      <c r="U33" s="73">
        <f>SUM(K33:T33)</f>
        <v>474245</v>
      </c>
    </row>
    <row r="34" spans="1:21">
      <c r="B34" t="s">
        <v>161</v>
      </c>
      <c r="K34" s="85"/>
      <c r="L34" s="85"/>
      <c r="M34" s="85"/>
      <c r="N34" s="85"/>
      <c r="O34" s="85">
        <v>106570</v>
      </c>
      <c r="P34" s="85"/>
      <c r="Q34" s="85"/>
      <c r="R34" s="85"/>
      <c r="S34" s="85"/>
      <c r="T34" s="85"/>
      <c r="U34" s="85">
        <f>SUM(K34:T34)</f>
        <v>106570</v>
      </c>
    </row>
    <row r="35" spans="1:21"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</row>
    <row r="36" spans="1:21" s="5" customFormat="1">
      <c r="B36" s="6"/>
      <c r="C36" s="6"/>
      <c r="D36" s="6"/>
      <c r="E36" s="6" t="s">
        <v>162</v>
      </c>
      <c r="K36" s="79">
        <f>SUM(K33:K34)</f>
        <v>66472</v>
      </c>
      <c r="L36" s="79">
        <f t="shared" ref="L36:S36" si="4">SUM(L33:L34)</f>
        <v>123269</v>
      </c>
      <c r="M36" s="79">
        <f t="shared" si="4"/>
        <v>76073</v>
      </c>
      <c r="N36" s="79">
        <f t="shared" si="4"/>
        <v>0</v>
      </c>
      <c r="O36" s="79">
        <f t="shared" si="4"/>
        <v>158599</v>
      </c>
      <c r="P36" s="79">
        <f t="shared" si="4"/>
        <v>0</v>
      </c>
      <c r="Q36" s="79">
        <f t="shared" si="4"/>
        <v>15517</v>
      </c>
      <c r="R36" s="79">
        <f t="shared" si="4"/>
        <v>0</v>
      </c>
      <c r="S36" s="79">
        <f t="shared" si="4"/>
        <v>21548</v>
      </c>
      <c r="T36" s="79">
        <f>SUM(T33:T34)</f>
        <v>119337</v>
      </c>
      <c r="U36" s="79">
        <f>SUM(U33:U34)</f>
        <v>580815</v>
      </c>
    </row>
    <row r="37" spans="1:21"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</row>
    <row r="38" spans="1:21">
      <c r="B38" t="s">
        <v>122</v>
      </c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</row>
    <row r="39" spans="1:21">
      <c r="C39" t="s">
        <v>163</v>
      </c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</row>
    <row r="40" spans="1:21">
      <c r="D40" t="s">
        <v>164</v>
      </c>
      <c r="K40" s="73"/>
      <c r="L40" s="73">
        <v>116149</v>
      </c>
      <c r="M40" s="73"/>
      <c r="N40" s="73"/>
      <c r="O40" s="73"/>
      <c r="P40" s="73"/>
      <c r="Q40" s="73"/>
      <c r="R40" s="73"/>
      <c r="S40" s="73"/>
      <c r="T40" s="73"/>
      <c r="U40" s="73">
        <f t="shared" ref="U40:U58" si="5">SUM(K40:T40)</f>
        <v>116149</v>
      </c>
    </row>
    <row r="41" spans="1:21">
      <c r="C41" t="s">
        <v>31</v>
      </c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</row>
    <row r="42" spans="1:21">
      <c r="D42" t="s">
        <v>165</v>
      </c>
      <c r="K42" s="73"/>
      <c r="L42" s="73"/>
      <c r="M42" s="73">
        <v>8121127</v>
      </c>
      <c r="N42" s="73"/>
      <c r="O42" s="73"/>
      <c r="P42" s="73"/>
      <c r="Q42" s="73"/>
      <c r="R42" s="73"/>
      <c r="S42" s="73">
        <v>1999865</v>
      </c>
      <c r="T42" s="73">
        <v>3624174</v>
      </c>
      <c r="U42" s="73">
        <f t="shared" si="5"/>
        <v>13745166</v>
      </c>
    </row>
    <row r="43" spans="1:21">
      <c r="D43" t="s">
        <v>106</v>
      </c>
      <c r="K43" s="73"/>
      <c r="L43" s="73"/>
      <c r="M43" s="73"/>
      <c r="N43" s="73"/>
      <c r="O43" s="73"/>
      <c r="P43" s="73"/>
      <c r="Q43" s="73"/>
      <c r="R43" s="73"/>
      <c r="S43" s="73"/>
      <c r="T43" s="73">
        <v>4552822</v>
      </c>
      <c r="U43" s="73">
        <f t="shared" si="5"/>
        <v>4552822</v>
      </c>
    </row>
    <row r="44" spans="1:21">
      <c r="D44" t="s">
        <v>166</v>
      </c>
      <c r="K44" s="73"/>
      <c r="L44" s="73"/>
      <c r="M44" s="73"/>
      <c r="N44" s="73"/>
      <c r="O44" s="73">
        <v>19345933</v>
      </c>
      <c r="P44" s="73"/>
      <c r="Q44" s="73"/>
      <c r="R44" s="73"/>
      <c r="S44" s="73"/>
      <c r="T44" s="73"/>
      <c r="U44" s="73">
        <f t="shared" si="5"/>
        <v>19345933</v>
      </c>
    </row>
    <row r="45" spans="1:21">
      <c r="D45" t="s">
        <v>167</v>
      </c>
      <c r="K45" s="73"/>
      <c r="L45" s="73"/>
      <c r="M45" s="73"/>
      <c r="N45" s="73"/>
      <c r="O45" s="73"/>
      <c r="P45" s="73"/>
      <c r="Q45" s="73"/>
      <c r="R45" s="73"/>
      <c r="S45" s="73"/>
      <c r="T45" s="73">
        <v>7739454</v>
      </c>
      <c r="U45" s="73">
        <f t="shared" si="5"/>
        <v>7739454</v>
      </c>
    </row>
    <row r="46" spans="1:21">
      <c r="D46" t="s">
        <v>72</v>
      </c>
      <c r="K46" s="73"/>
      <c r="L46" s="73"/>
      <c r="M46" s="73"/>
      <c r="N46" s="73">
        <v>21744403</v>
      </c>
      <c r="O46" s="73"/>
      <c r="P46" s="73"/>
      <c r="Q46" s="73"/>
      <c r="R46" s="73"/>
      <c r="S46" s="73"/>
      <c r="T46" s="73"/>
      <c r="U46" s="73">
        <f t="shared" si="5"/>
        <v>21744403</v>
      </c>
    </row>
    <row r="47" spans="1:21">
      <c r="D47" t="s">
        <v>107</v>
      </c>
      <c r="K47" s="73"/>
      <c r="L47" s="73">
        <v>18637530</v>
      </c>
      <c r="M47" s="73"/>
      <c r="N47" s="73"/>
      <c r="O47" s="73"/>
      <c r="P47" s="73"/>
      <c r="Q47" s="73"/>
      <c r="R47" s="73"/>
      <c r="S47" s="73"/>
      <c r="T47" s="73">
        <v>3065257</v>
      </c>
      <c r="U47" s="73">
        <f t="shared" si="5"/>
        <v>21702787</v>
      </c>
    </row>
    <row r="48" spans="1:21">
      <c r="D48" t="s">
        <v>43</v>
      </c>
      <c r="K48" s="73"/>
      <c r="L48" s="73"/>
      <c r="M48" s="73"/>
      <c r="N48" s="73"/>
      <c r="O48" s="73"/>
      <c r="P48" s="73"/>
      <c r="Q48" s="73">
        <v>509783</v>
      </c>
      <c r="R48" s="73"/>
      <c r="S48" s="73"/>
      <c r="T48" s="73"/>
      <c r="U48" s="73">
        <f t="shared" si="5"/>
        <v>509783</v>
      </c>
    </row>
    <row r="49" spans="3:21">
      <c r="D49" t="s">
        <v>73</v>
      </c>
      <c r="K49" s="73"/>
      <c r="L49" s="73"/>
      <c r="M49" s="73"/>
      <c r="N49" s="73"/>
      <c r="O49" s="73"/>
      <c r="P49" s="73"/>
      <c r="Q49" s="73"/>
      <c r="R49" s="73"/>
      <c r="S49" s="73"/>
      <c r="T49" s="73">
        <v>2961531</v>
      </c>
      <c r="U49" s="73">
        <f t="shared" si="5"/>
        <v>2961531</v>
      </c>
    </row>
    <row r="50" spans="3:21">
      <c r="D50" t="s">
        <v>42</v>
      </c>
      <c r="K50" s="73"/>
      <c r="L50" s="73"/>
      <c r="M50" s="73"/>
      <c r="N50" s="73"/>
      <c r="O50" s="73"/>
      <c r="P50" s="73"/>
      <c r="Q50" s="73"/>
      <c r="R50" s="73">
        <v>14300018</v>
      </c>
      <c r="S50" s="73"/>
      <c r="T50" s="73">
        <v>8820578</v>
      </c>
      <c r="U50" s="73">
        <f t="shared" si="5"/>
        <v>23120596</v>
      </c>
    </row>
    <row r="51" spans="3:21">
      <c r="C51" t="s">
        <v>37</v>
      </c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</row>
    <row r="52" spans="3:21">
      <c r="D52" t="s">
        <v>168</v>
      </c>
      <c r="K52" s="80">
        <v>37337820</v>
      </c>
      <c r="L52" s="73"/>
      <c r="M52" s="73"/>
      <c r="N52" s="73"/>
      <c r="O52" s="73"/>
      <c r="P52" s="73"/>
      <c r="Q52" s="73"/>
      <c r="R52" s="73"/>
      <c r="S52" s="73"/>
      <c r="T52" s="73"/>
      <c r="U52" s="73">
        <f t="shared" si="5"/>
        <v>37337820</v>
      </c>
    </row>
    <row r="53" spans="3:21">
      <c r="D53" t="s">
        <v>43</v>
      </c>
      <c r="K53" s="73"/>
      <c r="L53" s="73"/>
      <c r="M53" s="73"/>
      <c r="N53" s="73"/>
      <c r="O53" s="73"/>
      <c r="P53" s="73"/>
      <c r="Q53" s="73"/>
      <c r="R53" s="73"/>
      <c r="S53" s="73"/>
      <c r="T53" s="73">
        <v>987522</v>
      </c>
      <c r="U53" s="73">
        <f t="shared" si="5"/>
        <v>987522</v>
      </c>
    </row>
    <row r="54" spans="3:21">
      <c r="D54" t="s">
        <v>169</v>
      </c>
      <c r="K54" s="80">
        <v>465823</v>
      </c>
      <c r="L54" s="73"/>
      <c r="M54" s="73">
        <v>230166</v>
      </c>
      <c r="N54" s="73">
        <v>307152</v>
      </c>
      <c r="O54" s="73">
        <v>1839803</v>
      </c>
      <c r="P54" s="73"/>
      <c r="Q54" s="73">
        <v>401446</v>
      </c>
      <c r="R54" s="73"/>
      <c r="S54" s="73">
        <v>37772</v>
      </c>
      <c r="T54" s="73">
        <v>1563606</v>
      </c>
      <c r="U54" s="73">
        <f t="shared" si="5"/>
        <v>4845768</v>
      </c>
    </row>
    <row r="55" spans="3:21">
      <c r="C55" t="s">
        <v>170</v>
      </c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</row>
    <row r="56" spans="3:21">
      <c r="D56" t="s">
        <v>171</v>
      </c>
      <c r="K56" s="73"/>
      <c r="L56" s="73"/>
      <c r="M56" s="73"/>
      <c r="N56" s="73"/>
      <c r="O56" s="73"/>
      <c r="P56" s="73"/>
      <c r="Q56" s="73"/>
      <c r="R56" s="73"/>
      <c r="S56" s="73"/>
      <c r="T56" s="73">
        <v>9331088</v>
      </c>
      <c r="U56" s="73">
        <f t="shared" si="5"/>
        <v>9331088</v>
      </c>
    </row>
    <row r="57" spans="3:21">
      <c r="D57" t="s">
        <v>172</v>
      </c>
      <c r="K57" s="182">
        <v>600000</v>
      </c>
      <c r="L57" s="73"/>
      <c r="M57" s="73"/>
      <c r="N57" s="73"/>
      <c r="O57" s="73"/>
      <c r="P57" s="73"/>
      <c r="Q57" s="73"/>
      <c r="R57" s="73"/>
      <c r="S57" s="73"/>
      <c r="T57" s="73"/>
      <c r="U57" s="73">
        <f t="shared" si="5"/>
        <v>600000</v>
      </c>
    </row>
    <row r="58" spans="3:21">
      <c r="C58" t="s">
        <v>46</v>
      </c>
      <c r="K58" s="84">
        <v>15864301</v>
      </c>
      <c r="L58" s="73"/>
      <c r="M58" s="73"/>
      <c r="N58" s="73"/>
      <c r="O58" s="73"/>
      <c r="P58" s="73"/>
      <c r="Q58" s="73"/>
      <c r="R58" s="73"/>
      <c r="S58" s="73"/>
      <c r="T58" s="73"/>
      <c r="U58" s="73">
        <f t="shared" si="5"/>
        <v>15864301</v>
      </c>
    </row>
    <row r="59" spans="3:21"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</row>
    <row r="60" spans="3:21" s="5" customFormat="1">
      <c r="D60" s="6"/>
      <c r="E60" s="6" t="s">
        <v>77</v>
      </c>
      <c r="K60" s="79">
        <f t="shared" ref="K60:P60" si="6">SUM(K39:K58)</f>
        <v>54267944</v>
      </c>
      <c r="L60" s="79">
        <f t="shared" si="6"/>
        <v>18753679</v>
      </c>
      <c r="M60" s="79">
        <f t="shared" si="6"/>
        <v>8351293</v>
      </c>
      <c r="N60" s="79">
        <f t="shared" si="6"/>
        <v>22051555</v>
      </c>
      <c r="O60" s="79">
        <f t="shared" si="6"/>
        <v>21185736</v>
      </c>
      <c r="P60" s="79">
        <f t="shared" si="6"/>
        <v>0</v>
      </c>
      <c r="Q60" s="79">
        <f>SUM(Q39:Q58)</f>
        <v>911229</v>
      </c>
      <c r="R60" s="79">
        <f t="shared" ref="R60:S60" si="7">SUM(R39:R58)</f>
        <v>14300018</v>
      </c>
      <c r="S60" s="79">
        <f t="shared" si="7"/>
        <v>2037637</v>
      </c>
      <c r="T60" s="79">
        <f>SUM(T39:T58)</f>
        <v>42646032</v>
      </c>
      <c r="U60" s="79">
        <f>SUM(U39:U58)</f>
        <v>184505123</v>
      </c>
    </row>
    <row r="61" spans="3:21"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</row>
    <row r="62" spans="3:21" s="7" customFormat="1">
      <c r="D62" s="8"/>
      <c r="E62" s="8" t="s">
        <v>173</v>
      </c>
      <c r="K62" s="81">
        <f t="shared" ref="K62:U62" si="8">K60+K36+K30</f>
        <v>54656233</v>
      </c>
      <c r="L62" s="81">
        <f t="shared" si="8"/>
        <v>19255944</v>
      </c>
      <c r="M62" s="81">
        <f t="shared" si="8"/>
        <v>9144691</v>
      </c>
      <c r="N62" s="81">
        <f t="shared" si="8"/>
        <v>22391561</v>
      </c>
      <c r="O62" s="81">
        <f t="shared" si="8"/>
        <v>22066983</v>
      </c>
      <c r="P62" s="81">
        <f t="shared" si="8"/>
        <v>0</v>
      </c>
      <c r="Q62" s="81">
        <f t="shared" si="8"/>
        <v>2696417</v>
      </c>
      <c r="R62" s="81">
        <f t="shared" si="8"/>
        <v>15286303</v>
      </c>
      <c r="S62" s="81">
        <f t="shared" si="8"/>
        <v>4950345</v>
      </c>
      <c r="T62" s="81">
        <f t="shared" si="8"/>
        <v>43995052</v>
      </c>
      <c r="U62" s="81">
        <f t="shared" si="8"/>
        <v>194443529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6"/>
  <sheetViews>
    <sheetView topLeftCell="A31" workbookViewId="0">
      <selection activeCell="K16" sqref="K16"/>
    </sheetView>
  </sheetViews>
  <sheetFormatPr defaultColWidth="8.85546875" defaultRowHeight="15"/>
  <cols>
    <col min="11" max="11" width="17" customWidth="1"/>
    <col min="12" max="13" width="16.28515625" customWidth="1"/>
    <col min="14" max="14" width="15" customWidth="1"/>
    <col min="15" max="15" width="16.28515625" customWidth="1"/>
    <col min="16" max="16" width="15.42578125" customWidth="1"/>
    <col min="17" max="17" width="15.28515625" customWidth="1"/>
  </cols>
  <sheetData>
    <row r="1" spans="1:17" ht="18.75">
      <c r="D1" s="251" t="s">
        <v>174</v>
      </c>
      <c r="E1" s="251"/>
      <c r="F1" s="251"/>
      <c r="G1" s="251"/>
      <c r="H1" s="251"/>
      <c r="I1" s="251"/>
      <c r="J1" s="251"/>
      <c r="K1" s="251"/>
    </row>
    <row r="2" spans="1:17">
      <c r="D2" s="252" t="s">
        <v>1</v>
      </c>
      <c r="E2" s="252"/>
      <c r="F2" s="252"/>
      <c r="G2" s="252"/>
      <c r="H2" s="252"/>
      <c r="I2" s="252"/>
      <c r="J2" s="252"/>
      <c r="K2" s="252"/>
    </row>
    <row r="4" spans="1:17" ht="45">
      <c r="K4" s="1" t="s">
        <v>2</v>
      </c>
      <c r="L4" s="1" t="s">
        <v>175</v>
      </c>
      <c r="M4" s="1" t="s">
        <v>176</v>
      </c>
      <c r="N4" s="1" t="s">
        <v>177</v>
      </c>
      <c r="O4" s="1" t="s">
        <v>178</v>
      </c>
      <c r="P4" s="1" t="s">
        <v>56</v>
      </c>
      <c r="Q4" s="1" t="s">
        <v>7</v>
      </c>
    </row>
    <row r="5" spans="1:17">
      <c r="A5" t="s">
        <v>8</v>
      </c>
    </row>
    <row r="6" spans="1:17">
      <c r="B6" t="s">
        <v>179</v>
      </c>
      <c r="K6" s="72">
        <v>13551446</v>
      </c>
      <c r="L6" s="73">
        <v>6565108</v>
      </c>
      <c r="M6" s="73">
        <v>1654498</v>
      </c>
      <c r="N6" s="73">
        <v>1265610</v>
      </c>
      <c r="O6" s="73">
        <v>24111044</v>
      </c>
      <c r="P6" s="73">
        <v>9718103</v>
      </c>
      <c r="Q6" s="73">
        <f>SUM(K6:P6)</f>
        <v>56865809</v>
      </c>
    </row>
    <row r="7" spans="1:17">
      <c r="B7" t="s">
        <v>10</v>
      </c>
      <c r="K7" s="77">
        <v>47934238</v>
      </c>
      <c r="L7" s="73">
        <v>24075466</v>
      </c>
      <c r="M7" s="73">
        <v>6045826</v>
      </c>
      <c r="N7" s="73">
        <v>4625424</v>
      </c>
      <c r="O7" s="73">
        <v>88207759</v>
      </c>
      <c r="P7" s="73">
        <v>32237731</v>
      </c>
      <c r="Q7" s="73">
        <f>SUM(K7:P7)</f>
        <v>203126444</v>
      </c>
    </row>
    <row r="8" spans="1:17">
      <c r="B8" t="s">
        <v>180</v>
      </c>
      <c r="K8" s="73"/>
      <c r="L8" s="73"/>
      <c r="M8" s="73"/>
      <c r="N8" s="73"/>
      <c r="O8" s="73"/>
      <c r="P8" s="73"/>
      <c r="Q8" s="73"/>
    </row>
    <row r="9" spans="1:17">
      <c r="C9" t="s">
        <v>141</v>
      </c>
      <c r="K9" s="74">
        <v>11445770</v>
      </c>
      <c r="L9" s="73"/>
      <c r="M9" s="73">
        <v>5978869</v>
      </c>
      <c r="N9" s="73">
        <v>9886992</v>
      </c>
      <c r="O9" s="73">
        <v>5955341</v>
      </c>
      <c r="P9" s="73">
        <v>13393692</v>
      </c>
      <c r="Q9" s="73">
        <f t="shared" ref="Q9:Q19" si="0">SUM(K9:P9)</f>
        <v>46660664</v>
      </c>
    </row>
    <row r="10" spans="1:17">
      <c r="C10" t="s">
        <v>181</v>
      </c>
      <c r="K10" s="73"/>
      <c r="L10" s="73">
        <v>883373</v>
      </c>
      <c r="M10" s="73"/>
      <c r="N10" s="73"/>
      <c r="O10" s="73">
        <v>1664193</v>
      </c>
      <c r="P10" s="73">
        <v>611253</v>
      </c>
      <c r="Q10" s="73">
        <f t="shared" si="0"/>
        <v>3158819</v>
      </c>
    </row>
    <row r="11" spans="1:17">
      <c r="C11" t="s">
        <v>182</v>
      </c>
      <c r="K11" s="74">
        <v>306693</v>
      </c>
      <c r="L11" s="73"/>
      <c r="M11" s="73"/>
      <c r="N11" s="73"/>
      <c r="O11" s="73"/>
      <c r="P11" s="73"/>
      <c r="Q11" s="73">
        <f t="shared" si="0"/>
        <v>306693</v>
      </c>
    </row>
    <row r="12" spans="1:17">
      <c r="B12" t="s">
        <v>183</v>
      </c>
      <c r="K12" s="74">
        <v>87255</v>
      </c>
      <c r="L12" s="73">
        <v>40812</v>
      </c>
      <c r="M12" s="73">
        <v>11252</v>
      </c>
      <c r="N12" s="73">
        <v>9545</v>
      </c>
      <c r="O12" s="73">
        <v>149696</v>
      </c>
      <c r="P12" s="73">
        <v>56962</v>
      </c>
      <c r="Q12" s="73">
        <f t="shared" si="0"/>
        <v>355522</v>
      </c>
    </row>
    <row r="13" spans="1:17">
      <c r="B13" t="s">
        <v>13</v>
      </c>
      <c r="K13" s="74">
        <v>3963032</v>
      </c>
      <c r="L13" s="73"/>
      <c r="M13" s="73">
        <v>25357</v>
      </c>
      <c r="N13" s="73">
        <v>29</v>
      </c>
      <c r="O13" s="73"/>
      <c r="P13" s="73">
        <v>93232</v>
      </c>
      <c r="Q13" s="73">
        <v>4081650</v>
      </c>
    </row>
    <row r="14" spans="1:17">
      <c r="B14" t="s">
        <v>184</v>
      </c>
      <c r="K14" s="74">
        <v>252131</v>
      </c>
      <c r="L14" s="73">
        <v>4460</v>
      </c>
      <c r="M14" s="73">
        <v>223705</v>
      </c>
      <c r="N14" s="73"/>
      <c r="O14" s="73">
        <v>322310</v>
      </c>
      <c r="P14" s="73">
        <v>1194029</v>
      </c>
      <c r="Q14" s="73">
        <f t="shared" si="0"/>
        <v>1996635</v>
      </c>
    </row>
    <row r="15" spans="1:17">
      <c r="B15" t="s">
        <v>16</v>
      </c>
      <c r="K15" s="75">
        <v>547460</v>
      </c>
      <c r="L15" s="73"/>
      <c r="M15" s="73">
        <v>1505</v>
      </c>
      <c r="N15" s="73">
        <v>4456</v>
      </c>
      <c r="O15" s="73"/>
      <c r="P15" s="73">
        <v>169048</v>
      </c>
      <c r="Q15" s="73">
        <f t="shared" si="0"/>
        <v>722469</v>
      </c>
    </row>
    <row r="16" spans="1:17">
      <c r="B16" t="s">
        <v>17</v>
      </c>
      <c r="K16" s="75">
        <v>26195</v>
      </c>
      <c r="L16" s="73"/>
      <c r="M16" s="73"/>
      <c r="N16" s="73"/>
      <c r="O16" s="73"/>
      <c r="P16" s="73">
        <v>930</v>
      </c>
      <c r="Q16" s="73">
        <f t="shared" si="0"/>
        <v>27125</v>
      </c>
    </row>
    <row r="17" spans="1:17">
      <c r="B17" t="s">
        <v>185</v>
      </c>
      <c r="K17" s="74">
        <v>33189</v>
      </c>
      <c r="L17" s="73"/>
      <c r="M17" s="73"/>
      <c r="N17" s="73"/>
      <c r="O17" s="73"/>
      <c r="P17" s="73"/>
      <c r="Q17" s="73">
        <f t="shared" si="0"/>
        <v>33189</v>
      </c>
    </row>
    <row r="18" spans="1:17">
      <c r="B18" t="s">
        <v>100</v>
      </c>
      <c r="K18" s="73"/>
      <c r="L18" s="73"/>
      <c r="M18" s="73">
        <v>30746</v>
      </c>
      <c r="N18" s="73"/>
      <c r="O18" s="73"/>
      <c r="P18" s="73">
        <v>35170</v>
      </c>
      <c r="Q18" s="73">
        <f t="shared" si="0"/>
        <v>65916</v>
      </c>
    </row>
    <row r="19" spans="1:17">
      <c r="B19" t="s">
        <v>60</v>
      </c>
      <c r="K19" s="73"/>
      <c r="L19" s="73">
        <v>747312</v>
      </c>
      <c r="M19" s="73"/>
      <c r="N19" s="73"/>
      <c r="O19" s="73"/>
      <c r="P19" s="73">
        <v>428089</v>
      </c>
      <c r="Q19" s="73">
        <f t="shared" si="0"/>
        <v>1175401</v>
      </c>
    </row>
    <row r="20" spans="1:17">
      <c r="K20" s="93"/>
      <c r="L20" s="93"/>
      <c r="M20" s="93"/>
      <c r="N20" s="93"/>
      <c r="O20" s="93"/>
      <c r="P20" s="93"/>
      <c r="Q20" s="93"/>
    </row>
    <row r="21" spans="1:17">
      <c r="A21" s="2"/>
      <c r="B21" s="2"/>
      <c r="C21" s="2"/>
      <c r="D21" s="2"/>
      <c r="E21" s="2" t="s">
        <v>18</v>
      </c>
      <c r="F21" s="3"/>
      <c r="G21" s="3"/>
      <c r="H21" s="3"/>
      <c r="I21" s="3"/>
      <c r="J21" s="3"/>
      <c r="K21" s="76">
        <f>SUM(K6:K19)</f>
        <v>78147409</v>
      </c>
      <c r="L21" s="76">
        <f>SUM(L6:L19)</f>
        <v>32316531</v>
      </c>
      <c r="M21" s="76">
        <f t="shared" ref="M21:N21" si="1">SUM(M6:M19)</f>
        <v>13971758</v>
      </c>
      <c r="N21" s="76">
        <f t="shared" si="1"/>
        <v>15792056</v>
      </c>
      <c r="O21" s="76">
        <f>SUM(O6:O19)</f>
        <v>120410343</v>
      </c>
      <c r="P21" s="76">
        <f>SUM(P6:P19)</f>
        <v>57938239</v>
      </c>
      <c r="Q21" s="76">
        <f>SUM(Q6:Q19)</f>
        <v>318576336</v>
      </c>
    </row>
    <row r="22" spans="1:17">
      <c r="K22" s="73"/>
      <c r="L22" s="73"/>
      <c r="M22" s="73"/>
      <c r="N22" s="73"/>
      <c r="O22" s="73"/>
      <c r="P22" s="73"/>
      <c r="Q22" s="73"/>
    </row>
    <row r="23" spans="1:17">
      <c r="A23" s="4" t="s">
        <v>19</v>
      </c>
      <c r="K23" s="73"/>
      <c r="L23" s="73"/>
      <c r="M23" s="73"/>
      <c r="N23" s="73"/>
      <c r="O23" s="73"/>
      <c r="P23" s="73"/>
      <c r="Q23" s="73"/>
    </row>
    <row r="24" spans="1:17">
      <c r="B24" t="s">
        <v>20</v>
      </c>
      <c r="K24" s="73"/>
      <c r="L24" s="73"/>
      <c r="M24" s="73"/>
      <c r="N24" s="73"/>
      <c r="O24" s="73"/>
      <c r="P24" s="73"/>
      <c r="Q24" s="73"/>
    </row>
    <row r="25" spans="1:17">
      <c r="C25" t="s">
        <v>21</v>
      </c>
      <c r="K25" s="77">
        <v>1530460</v>
      </c>
      <c r="L25" s="73">
        <v>1066469</v>
      </c>
      <c r="M25" s="73">
        <v>132234</v>
      </c>
      <c r="N25" s="73">
        <v>104967</v>
      </c>
      <c r="O25" s="73">
        <v>1416409</v>
      </c>
      <c r="P25" s="73">
        <v>1285041</v>
      </c>
      <c r="Q25" s="73">
        <f>SUM(K25:P25)</f>
        <v>5535580</v>
      </c>
    </row>
    <row r="26" spans="1:17">
      <c r="C26" t="s">
        <v>157</v>
      </c>
      <c r="K26" s="82">
        <v>297380</v>
      </c>
      <c r="L26" s="73">
        <v>235919</v>
      </c>
      <c r="M26" s="73">
        <v>109926</v>
      </c>
      <c r="N26" s="73">
        <v>140146</v>
      </c>
      <c r="O26" s="73"/>
      <c r="P26" s="73">
        <v>116324</v>
      </c>
      <c r="Q26" s="73">
        <f>SUM(K26:P26)</f>
        <v>899695</v>
      </c>
    </row>
    <row r="27" spans="1:17">
      <c r="C27" t="s">
        <v>186</v>
      </c>
      <c r="K27" s="73"/>
      <c r="L27" s="73"/>
      <c r="M27" s="73"/>
      <c r="N27" s="73"/>
      <c r="O27" s="73"/>
      <c r="P27" s="73">
        <v>292884</v>
      </c>
      <c r="Q27" s="73">
        <f>SUM(K27:P27)</f>
        <v>292884</v>
      </c>
    </row>
    <row r="28" spans="1:17">
      <c r="C28" t="s">
        <v>25</v>
      </c>
      <c r="K28" s="78">
        <v>175076</v>
      </c>
      <c r="L28" s="73"/>
      <c r="M28" s="73"/>
      <c r="N28" s="73"/>
      <c r="O28" s="73"/>
      <c r="P28" s="73">
        <v>563212</v>
      </c>
      <c r="Q28" s="73">
        <f t="shared" ref="Q28:Q31" si="2">SUM(K28:P28)</f>
        <v>738288</v>
      </c>
    </row>
    <row r="29" spans="1:17">
      <c r="C29" t="s">
        <v>158</v>
      </c>
      <c r="K29" s="78">
        <v>26439</v>
      </c>
      <c r="L29" s="73">
        <v>308</v>
      </c>
      <c r="M29" s="73"/>
      <c r="N29" s="73"/>
      <c r="O29" s="73"/>
      <c r="P29" s="73">
        <v>29834</v>
      </c>
      <c r="Q29" s="73">
        <f t="shared" si="2"/>
        <v>56581</v>
      </c>
    </row>
    <row r="30" spans="1:17">
      <c r="C30" t="s">
        <v>24</v>
      </c>
      <c r="K30" s="98">
        <v>2292</v>
      </c>
      <c r="L30" s="73"/>
      <c r="M30" s="73">
        <v>29765</v>
      </c>
      <c r="N30" s="73"/>
      <c r="O30" s="73"/>
      <c r="P30" s="73">
        <v>1054250</v>
      </c>
      <c r="Q30" s="73">
        <f t="shared" si="2"/>
        <v>1086307</v>
      </c>
    </row>
    <row r="31" spans="1:17">
      <c r="C31" t="s">
        <v>22</v>
      </c>
      <c r="K31" s="77">
        <v>34899</v>
      </c>
      <c r="L31" s="73">
        <v>26341</v>
      </c>
      <c r="M31" s="73"/>
      <c r="N31" s="73">
        <v>4456</v>
      </c>
      <c r="O31" s="73">
        <v>175177</v>
      </c>
      <c r="P31" s="73">
        <v>255072</v>
      </c>
      <c r="Q31" s="73">
        <f t="shared" si="2"/>
        <v>495945</v>
      </c>
    </row>
    <row r="32" spans="1:17">
      <c r="C32" t="s">
        <v>87</v>
      </c>
      <c r="K32" s="82">
        <v>92400</v>
      </c>
      <c r="L32" s="73">
        <v>86320</v>
      </c>
      <c r="M32" s="73"/>
      <c r="N32" s="73"/>
      <c r="O32" s="73"/>
      <c r="P32" s="73">
        <v>38598</v>
      </c>
      <c r="Q32" s="73">
        <f>SUM(K32:P32)</f>
        <v>217318</v>
      </c>
    </row>
    <row r="33" spans="1:17">
      <c r="C33" t="s">
        <v>187</v>
      </c>
      <c r="L33" s="61">
        <v>154500</v>
      </c>
      <c r="Q33" s="61">
        <v>154500</v>
      </c>
    </row>
    <row r="34" spans="1:17">
      <c r="K34" s="94"/>
      <c r="L34" s="97"/>
      <c r="M34" s="94"/>
      <c r="N34" s="94"/>
      <c r="O34" s="94"/>
      <c r="P34" s="94"/>
      <c r="Q34" s="97"/>
    </row>
    <row r="35" spans="1:17">
      <c r="A35" s="5"/>
      <c r="B35" s="6"/>
      <c r="C35" s="6"/>
      <c r="D35" s="6"/>
      <c r="E35" s="6" t="s">
        <v>26</v>
      </c>
      <c r="F35" s="5"/>
      <c r="G35" s="5"/>
      <c r="H35" s="5"/>
      <c r="I35" s="5"/>
      <c r="J35" s="5"/>
      <c r="K35" s="79">
        <f>SUM(K25:K32)</f>
        <v>2158946</v>
      </c>
      <c r="L35" s="79">
        <f>SUM(L25:L33)</f>
        <v>1569857</v>
      </c>
      <c r="M35" s="79">
        <f>SUM(M25:M33)</f>
        <v>271925</v>
      </c>
      <c r="N35" s="79">
        <f>SUM(N25:N32)</f>
        <v>249569</v>
      </c>
      <c r="O35" s="79">
        <f>SUM(O25:O32)</f>
        <v>1591586</v>
      </c>
      <c r="P35" s="79">
        <f>SUM(P25:P32)</f>
        <v>3635215</v>
      </c>
      <c r="Q35" s="79">
        <f>SUM(Q25:Q33)</f>
        <v>9477098</v>
      </c>
    </row>
    <row r="36" spans="1:17">
      <c r="K36" s="73"/>
      <c r="L36" s="73"/>
      <c r="M36" s="73"/>
      <c r="N36" s="73"/>
      <c r="O36" s="73"/>
      <c r="P36" s="73"/>
      <c r="Q36" s="73"/>
    </row>
    <row r="37" spans="1:17">
      <c r="A37" s="71" t="s">
        <v>27</v>
      </c>
      <c r="K37" s="73"/>
      <c r="L37" s="73"/>
      <c r="M37" s="73"/>
      <c r="N37" s="73"/>
      <c r="O37" s="73"/>
      <c r="P37" s="73"/>
      <c r="Q37" s="73"/>
    </row>
    <row r="38" spans="1:17">
      <c r="A38" s="71"/>
      <c r="C38" t="s">
        <v>188</v>
      </c>
      <c r="K38" s="73">
        <v>11531978</v>
      </c>
      <c r="L38" s="73"/>
      <c r="M38" s="73">
        <v>6037189</v>
      </c>
      <c r="N38" s="73">
        <v>9982988</v>
      </c>
      <c r="O38" s="73">
        <v>6023191</v>
      </c>
      <c r="P38" s="73">
        <v>13520745</v>
      </c>
      <c r="Q38" s="73">
        <v>47096091</v>
      </c>
    </row>
    <row r="39" spans="1:17">
      <c r="C39" t="s">
        <v>103</v>
      </c>
      <c r="K39" s="85"/>
      <c r="L39" s="85"/>
      <c r="M39" s="85">
        <v>8532</v>
      </c>
      <c r="N39" s="85"/>
      <c r="O39" s="85"/>
      <c r="P39" s="85">
        <v>17026</v>
      </c>
      <c r="Q39" s="85">
        <f>SUM(K39:P39)</f>
        <v>25558</v>
      </c>
    </row>
    <row r="40" spans="1:17">
      <c r="K40" s="73"/>
      <c r="L40" s="73"/>
      <c r="M40" s="73"/>
      <c r="N40" s="73"/>
      <c r="O40" s="73"/>
      <c r="P40" s="73"/>
      <c r="Q40" s="73"/>
    </row>
    <row r="41" spans="1:17">
      <c r="A41" s="5"/>
      <c r="B41" s="6"/>
      <c r="C41" s="6"/>
      <c r="D41" s="6"/>
      <c r="E41" s="6" t="s">
        <v>29</v>
      </c>
      <c r="F41" s="5"/>
      <c r="G41" s="5"/>
      <c r="H41" s="5"/>
      <c r="I41" s="5"/>
      <c r="J41" s="5"/>
      <c r="K41" s="79">
        <f>SUM(K38:K39)</f>
        <v>11531978</v>
      </c>
      <c r="L41" s="79">
        <f t="shared" ref="L41:Q41" si="3">SUM(L38:L39)</f>
        <v>0</v>
      </c>
      <c r="M41" s="79">
        <f t="shared" si="3"/>
        <v>6045721</v>
      </c>
      <c r="N41" s="79">
        <f t="shared" si="3"/>
        <v>9982988</v>
      </c>
      <c r="O41" s="79">
        <f t="shared" si="3"/>
        <v>6023191</v>
      </c>
      <c r="P41" s="79">
        <f t="shared" si="3"/>
        <v>13537771</v>
      </c>
      <c r="Q41" s="79">
        <f t="shared" si="3"/>
        <v>47121649</v>
      </c>
    </row>
    <row r="42" spans="1:17">
      <c r="K42" s="73"/>
      <c r="L42" s="73"/>
      <c r="M42" s="73"/>
      <c r="N42" s="73"/>
      <c r="O42" s="73"/>
      <c r="P42" s="73"/>
      <c r="Q42" s="73"/>
    </row>
    <row r="43" spans="1:17">
      <c r="B43" t="s">
        <v>30</v>
      </c>
      <c r="K43" s="73"/>
      <c r="L43" s="73"/>
      <c r="M43" s="73"/>
      <c r="N43" s="73"/>
      <c r="O43" s="73"/>
      <c r="P43" s="73"/>
      <c r="Q43" s="73"/>
    </row>
    <row r="44" spans="1:17">
      <c r="C44" t="s">
        <v>163</v>
      </c>
      <c r="K44" s="73"/>
      <c r="L44" s="73"/>
      <c r="M44" s="73"/>
      <c r="N44" s="73"/>
      <c r="O44" s="73"/>
      <c r="P44" s="73"/>
      <c r="Q44" s="73"/>
    </row>
    <row r="45" spans="1:17">
      <c r="D45" t="s">
        <v>100</v>
      </c>
      <c r="K45" s="73"/>
      <c r="L45" s="73"/>
      <c r="M45" s="73">
        <v>30746</v>
      </c>
      <c r="N45" s="73"/>
      <c r="O45" s="73"/>
      <c r="P45" s="73">
        <v>35170</v>
      </c>
      <c r="Q45" s="73">
        <f t="shared" ref="Q45:Q53" si="4">SUM(K45:P45)</f>
        <v>65916</v>
      </c>
    </row>
    <row r="46" spans="1:17">
      <c r="D46" t="s">
        <v>155</v>
      </c>
      <c r="K46" s="73"/>
      <c r="L46" s="73">
        <v>747312</v>
      </c>
      <c r="M46" s="73"/>
      <c r="N46" s="73"/>
      <c r="O46" s="73"/>
      <c r="P46" s="73">
        <v>428089</v>
      </c>
      <c r="Q46" s="73">
        <f t="shared" si="4"/>
        <v>1175401</v>
      </c>
    </row>
    <row r="47" spans="1:17">
      <c r="D47" t="s">
        <v>185</v>
      </c>
      <c r="K47" s="80">
        <v>25764</v>
      </c>
      <c r="L47" s="73"/>
      <c r="M47" s="73"/>
      <c r="N47" s="73"/>
      <c r="O47" s="73"/>
      <c r="P47" s="73"/>
      <c r="Q47" s="73">
        <f t="shared" si="4"/>
        <v>25764</v>
      </c>
    </row>
    <row r="48" spans="1:17">
      <c r="C48" t="s">
        <v>67</v>
      </c>
      <c r="K48" s="73"/>
      <c r="L48" s="73"/>
      <c r="M48" s="73"/>
      <c r="N48" s="73"/>
      <c r="O48" s="73"/>
      <c r="P48" s="73"/>
      <c r="Q48" s="73"/>
    </row>
    <row r="49" spans="1:17">
      <c r="D49" t="s">
        <v>189</v>
      </c>
      <c r="K49" s="80">
        <v>250780</v>
      </c>
      <c r="L49" s="73"/>
      <c r="M49" s="73"/>
      <c r="N49" s="73"/>
      <c r="O49" s="73"/>
      <c r="P49" s="73"/>
      <c r="Q49" s="73">
        <f t="shared" si="4"/>
        <v>250780</v>
      </c>
    </row>
    <row r="50" spans="1:17">
      <c r="D50" t="s">
        <v>190</v>
      </c>
      <c r="K50" s="73"/>
      <c r="L50" s="73">
        <v>29999362</v>
      </c>
      <c r="M50" s="73"/>
      <c r="N50" s="73"/>
      <c r="O50" s="73"/>
      <c r="P50" s="73"/>
      <c r="Q50" s="73">
        <f t="shared" si="4"/>
        <v>29999362</v>
      </c>
    </row>
    <row r="51" spans="1:17">
      <c r="D51" t="s">
        <v>191</v>
      </c>
      <c r="K51" s="73"/>
      <c r="L51" s="73"/>
      <c r="M51" s="73">
        <v>7623366</v>
      </c>
      <c r="N51" s="73"/>
      <c r="O51" s="73"/>
      <c r="P51" s="73"/>
      <c r="Q51" s="73">
        <f t="shared" si="4"/>
        <v>7623366</v>
      </c>
    </row>
    <row r="52" spans="1:17">
      <c r="D52" t="s">
        <v>192</v>
      </c>
      <c r="K52" s="73"/>
      <c r="L52" s="73"/>
      <c r="M52" s="73"/>
      <c r="N52" s="73">
        <v>5559499</v>
      </c>
      <c r="O52" s="73">
        <v>112795556</v>
      </c>
      <c r="P52" s="73"/>
      <c r="Q52" s="73">
        <f t="shared" si="4"/>
        <v>118355055</v>
      </c>
    </row>
    <row r="53" spans="1:17">
      <c r="D53" t="s">
        <v>193</v>
      </c>
      <c r="K53" s="73"/>
      <c r="L53" s="73"/>
      <c r="M53" s="73"/>
      <c r="N53" s="73"/>
      <c r="O53" s="73"/>
      <c r="P53" s="73">
        <v>26239214</v>
      </c>
      <c r="Q53" s="73">
        <f t="shared" si="4"/>
        <v>26239214</v>
      </c>
    </row>
    <row r="54" spans="1:17">
      <c r="C54" t="s">
        <v>41</v>
      </c>
      <c r="K54" s="73"/>
      <c r="L54" s="73"/>
      <c r="M54" s="73"/>
      <c r="N54" s="73"/>
      <c r="O54" s="73"/>
      <c r="P54" s="73"/>
      <c r="Q54" s="73"/>
    </row>
    <row r="55" spans="1:17">
      <c r="D55" t="s">
        <v>194</v>
      </c>
      <c r="K55" s="91">
        <v>63127</v>
      </c>
      <c r="L55" s="73"/>
      <c r="M55" s="73"/>
      <c r="N55" s="73"/>
      <c r="O55" s="73"/>
      <c r="P55" s="73"/>
      <c r="Q55" s="73">
        <f t="shared" ref="Q55:Q62" si="5">SUM(K55:P55)</f>
        <v>63127</v>
      </c>
    </row>
    <row r="56" spans="1:17">
      <c r="D56" t="s">
        <v>195</v>
      </c>
      <c r="K56" s="91">
        <v>750649</v>
      </c>
      <c r="L56" s="73"/>
      <c r="M56" s="73"/>
      <c r="N56" s="73"/>
      <c r="O56" s="73"/>
      <c r="P56" s="73"/>
      <c r="Q56" s="73">
        <f t="shared" si="5"/>
        <v>750649</v>
      </c>
    </row>
    <row r="57" spans="1:17">
      <c r="D57" t="s">
        <v>196</v>
      </c>
      <c r="K57" s="91">
        <v>459859</v>
      </c>
      <c r="L57" s="73"/>
      <c r="M57" s="73"/>
      <c r="N57" s="73"/>
      <c r="O57" s="73"/>
      <c r="P57" s="73"/>
      <c r="Q57" s="73">
        <f t="shared" si="5"/>
        <v>459859</v>
      </c>
    </row>
    <row r="58" spans="1:17">
      <c r="D58" t="s">
        <v>197</v>
      </c>
      <c r="K58" s="91">
        <v>14552880</v>
      </c>
      <c r="L58" s="73"/>
      <c r="M58" s="73"/>
      <c r="N58" s="73"/>
      <c r="O58" s="73"/>
      <c r="P58" s="73">
        <v>14062780</v>
      </c>
      <c r="Q58" s="73">
        <f t="shared" si="5"/>
        <v>28615660</v>
      </c>
    </row>
    <row r="59" spans="1:17">
      <c r="D59" t="s">
        <v>198</v>
      </c>
      <c r="K59" s="91">
        <v>11163729</v>
      </c>
      <c r="L59" s="73"/>
      <c r="M59" s="73"/>
      <c r="N59" s="73"/>
      <c r="O59" s="73"/>
      <c r="P59" s="73"/>
      <c r="Q59" s="73">
        <f t="shared" si="5"/>
        <v>11163729</v>
      </c>
    </row>
    <row r="60" spans="1:17">
      <c r="D60" t="s">
        <v>199</v>
      </c>
      <c r="K60" s="91">
        <v>6175000</v>
      </c>
      <c r="L60" s="73"/>
      <c r="M60" s="73"/>
      <c r="N60" s="73"/>
      <c r="O60" s="73"/>
      <c r="P60" s="73"/>
      <c r="Q60" s="73">
        <f t="shared" si="5"/>
        <v>6175000</v>
      </c>
    </row>
    <row r="61" spans="1:17">
      <c r="D61" t="s">
        <v>200</v>
      </c>
      <c r="K61" s="91">
        <v>1588968</v>
      </c>
      <c r="L61" s="73"/>
      <c r="M61" s="73"/>
      <c r="N61" s="73"/>
      <c r="O61" s="73"/>
      <c r="P61" s="73"/>
      <c r="Q61" s="73">
        <f t="shared" si="5"/>
        <v>1588968</v>
      </c>
    </row>
    <row r="62" spans="1:17">
      <c r="C62" t="s">
        <v>46</v>
      </c>
      <c r="K62" s="84">
        <v>29425729</v>
      </c>
      <c r="L62" s="73"/>
      <c r="M62" s="73"/>
      <c r="N62" s="73"/>
      <c r="O62" s="73"/>
      <c r="P62" s="73"/>
      <c r="Q62" s="73">
        <f t="shared" si="5"/>
        <v>29425729</v>
      </c>
    </row>
    <row r="63" spans="1:17">
      <c r="K63" s="93"/>
      <c r="L63" s="93"/>
      <c r="M63" s="93"/>
      <c r="N63" s="93"/>
      <c r="O63" s="93"/>
      <c r="P63" s="93"/>
      <c r="Q63" s="93"/>
    </row>
    <row r="64" spans="1:17">
      <c r="A64" s="5"/>
      <c r="B64" s="5"/>
      <c r="C64" s="5"/>
      <c r="D64" s="6"/>
      <c r="E64" s="6" t="s">
        <v>47</v>
      </c>
      <c r="F64" s="5"/>
      <c r="G64" s="5"/>
      <c r="H64" s="5"/>
      <c r="I64" s="5"/>
      <c r="J64" s="5"/>
      <c r="K64" s="79">
        <f>SUM(K45:K62)</f>
        <v>64456485</v>
      </c>
      <c r="L64" s="79">
        <f t="shared" ref="L64:P64" si="6">SUM(L45:L62)</f>
        <v>30746674</v>
      </c>
      <c r="M64" s="79">
        <f t="shared" si="6"/>
        <v>7654112</v>
      </c>
      <c r="N64" s="79">
        <f t="shared" si="6"/>
        <v>5559499</v>
      </c>
      <c r="O64" s="79">
        <f t="shared" si="6"/>
        <v>112795556</v>
      </c>
      <c r="P64" s="79">
        <f t="shared" si="6"/>
        <v>40765253</v>
      </c>
      <c r="Q64" s="79">
        <f>SUM(Q45:Q62)</f>
        <v>261977579</v>
      </c>
    </row>
    <row r="65" spans="1:17">
      <c r="K65" s="73"/>
      <c r="L65" s="73"/>
      <c r="M65" s="73"/>
      <c r="N65" s="73"/>
      <c r="O65" s="73"/>
      <c r="P65" s="73"/>
      <c r="Q65" s="73"/>
    </row>
    <row r="66" spans="1:17">
      <c r="A66" s="7"/>
      <c r="B66" s="7"/>
      <c r="C66" s="7"/>
      <c r="D66" s="8"/>
      <c r="E66" s="8" t="s">
        <v>48</v>
      </c>
      <c r="F66" s="7"/>
      <c r="G66" s="7"/>
      <c r="H66" s="7"/>
      <c r="I66" s="7"/>
      <c r="J66" s="7"/>
      <c r="K66" s="81">
        <f>SUM(K64,K35,K41)</f>
        <v>78147409</v>
      </c>
      <c r="L66" s="81">
        <f t="shared" ref="L66:Q66" si="7">SUM(L64,L35,L41)</f>
        <v>32316531</v>
      </c>
      <c r="M66" s="81">
        <f t="shared" si="7"/>
        <v>13971758</v>
      </c>
      <c r="N66" s="81">
        <f t="shared" si="7"/>
        <v>15792056</v>
      </c>
      <c r="O66" s="81">
        <f t="shared" si="7"/>
        <v>120410333</v>
      </c>
      <c r="P66" s="81">
        <f t="shared" si="7"/>
        <v>57938239</v>
      </c>
      <c r="Q66" s="81">
        <f t="shared" si="7"/>
        <v>318576326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7"/>
  <sheetViews>
    <sheetView workbookViewId="0">
      <selection activeCell="K28" sqref="K28"/>
    </sheetView>
  </sheetViews>
  <sheetFormatPr defaultColWidth="8.85546875" defaultRowHeight="15"/>
  <cols>
    <col min="11" max="11" width="17.28515625" customWidth="1"/>
    <col min="12" max="13" width="16.42578125" customWidth="1"/>
    <col min="14" max="14" width="21.140625" customWidth="1"/>
    <col min="15" max="15" width="23.42578125" customWidth="1"/>
    <col min="16" max="18" width="17.7109375" customWidth="1"/>
    <col min="19" max="19" width="25.28515625" customWidth="1"/>
    <col min="20" max="20" width="24.28515625" customWidth="1"/>
    <col min="21" max="21" width="23.85546875" customWidth="1"/>
  </cols>
  <sheetData>
    <row r="1" spans="1:19" ht="18.75">
      <c r="D1" s="251" t="s">
        <v>201</v>
      </c>
      <c r="E1" s="251"/>
      <c r="F1" s="251"/>
      <c r="G1" s="251"/>
      <c r="H1" s="251"/>
      <c r="I1" s="251"/>
      <c r="J1" s="251"/>
      <c r="K1" s="251"/>
    </row>
    <row r="2" spans="1:19">
      <c r="D2" s="252" t="s">
        <v>1</v>
      </c>
      <c r="E2" s="252"/>
      <c r="F2" s="252"/>
      <c r="G2" s="252"/>
      <c r="H2" s="252"/>
      <c r="I2" s="252"/>
      <c r="J2" s="252"/>
      <c r="K2" s="252"/>
    </row>
    <row r="4" spans="1:19" ht="45">
      <c r="K4" s="1" t="s">
        <v>2</v>
      </c>
      <c r="L4" s="1" t="s">
        <v>127</v>
      </c>
      <c r="M4" s="1" t="s">
        <v>202</v>
      </c>
      <c r="N4" s="1" t="s">
        <v>82</v>
      </c>
      <c r="O4" s="1" t="s">
        <v>203</v>
      </c>
      <c r="P4" s="1" t="s">
        <v>204</v>
      </c>
      <c r="Q4" s="1" t="s">
        <v>205</v>
      </c>
      <c r="R4" s="1" t="s">
        <v>6</v>
      </c>
      <c r="S4" s="1" t="s">
        <v>7</v>
      </c>
    </row>
    <row r="5" spans="1:19">
      <c r="A5" t="s">
        <v>8</v>
      </c>
    </row>
    <row r="6" spans="1:19">
      <c r="B6" t="s">
        <v>179</v>
      </c>
      <c r="K6" s="72">
        <v>1128303</v>
      </c>
      <c r="L6" s="73">
        <v>392947</v>
      </c>
      <c r="M6" s="73">
        <v>695339</v>
      </c>
      <c r="N6" s="73">
        <v>2048365</v>
      </c>
      <c r="O6" s="73">
        <v>1975178</v>
      </c>
      <c r="P6" s="73">
        <v>115740</v>
      </c>
      <c r="Q6" s="73">
        <v>40</v>
      </c>
      <c r="R6" s="73">
        <v>1504656</v>
      </c>
      <c r="S6" s="73">
        <f>SUM(K6:R6)</f>
        <v>7860568</v>
      </c>
    </row>
    <row r="7" spans="1:19">
      <c r="B7" t="s">
        <v>10</v>
      </c>
      <c r="K7" s="77">
        <v>292218</v>
      </c>
      <c r="L7" s="73">
        <v>520897</v>
      </c>
      <c r="M7" s="73">
        <v>309967</v>
      </c>
      <c r="N7" s="73">
        <v>103678</v>
      </c>
      <c r="O7" s="73"/>
      <c r="P7" s="73"/>
      <c r="Q7" s="73"/>
      <c r="R7" s="73">
        <v>594637</v>
      </c>
      <c r="S7" s="73">
        <f>SUM(K7:R7)</f>
        <v>1821397</v>
      </c>
    </row>
    <row r="8" spans="1:19">
      <c r="B8" t="s">
        <v>16</v>
      </c>
      <c r="K8" s="75">
        <v>2700</v>
      </c>
      <c r="L8" s="73">
        <v>25652</v>
      </c>
      <c r="M8" s="73"/>
      <c r="N8" s="73"/>
      <c r="O8" s="73"/>
      <c r="P8" s="73"/>
      <c r="Q8" s="73"/>
      <c r="R8" s="73">
        <v>36402</v>
      </c>
      <c r="S8" s="73">
        <f>SUM(K8:R8)</f>
        <v>64754</v>
      </c>
    </row>
    <row r="9" spans="1:19">
      <c r="K9" s="93"/>
      <c r="L9" s="93"/>
      <c r="M9" s="93"/>
      <c r="N9" s="93"/>
      <c r="O9" s="93"/>
      <c r="P9" s="93"/>
      <c r="Q9" s="93"/>
      <c r="R9" s="93"/>
      <c r="S9" s="93"/>
    </row>
    <row r="10" spans="1:19">
      <c r="A10" s="2"/>
      <c r="B10" s="2"/>
      <c r="C10" s="2"/>
      <c r="D10" s="2"/>
      <c r="E10" s="2" t="s">
        <v>18</v>
      </c>
      <c r="F10" s="3"/>
      <c r="G10" s="3"/>
      <c r="H10" s="3"/>
      <c r="I10" s="3"/>
      <c r="J10" s="3"/>
      <c r="K10" s="76">
        <f t="shared" ref="K10:P10" si="0">SUM(K6:K8)</f>
        <v>1423221</v>
      </c>
      <c r="L10" s="76">
        <f t="shared" si="0"/>
        <v>939496</v>
      </c>
      <c r="M10" s="76">
        <f t="shared" si="0"/>
        <v>1005306</v>
      </c>
      <c r="N10" s="76">
        <f t="shared" si="0"/>
        <v>2152043</v>
      </c>
      <c r="O10" s="76">
        <f t="shared" si="0"/>
        <v>1975178</v>
      </c>
      <c r="P10" s="76">
        <f t="shared" si="0"/>
        <v>115740</v>
      </c>
      <c r="Q10" s="76">
        <f t="shared" ref="Q10:R10" si="1">SUM(Q6:Q8)</f>
        <v>40</v>
      </c>
      <c r="R10" s="76">
        <f t="shared" si="1"/>
        <v>2135695</v>
      </c>
      <c r="S10" s="76">
        <f>SUM(S6:S8)</f>
        <v>9746719</v>
      </c>
    </row>
    <row r="11" spans="1:19">
      <c r="K11" s="73"/>
      <c r="L11" s="73"/>
      <c r="M11" s="73"/>
      <c r="N11" s="73"/>
      <c r="O11" s="73"/>
      <c r="P11" s="73"/>
      <c r="Q11" s="73"/>
      <c r="R11" s="73"/>
      <c r="S11" s="73"/>
    </row>
    <row r="12" spans="1:19">
      <c r="A12" s="4" t="s">
        <v>19</v>
      </c>
      <c r="K12" s="73"/>
      <c r="L12" s="73"/>
      <c r="M12" s="73"/>
      <c r="N12" s="73"/>
      <c r="O12" s="73"/>
      <c r="P12" s="73"/>
      <c r="Q12" s="73"/>
      <c r="R12" s="73"/>
      <c r="S12" s="73"/>
    </row>
    <row r="13" spans="1:19">
      <c r="B13" t="s">
        <v>20</v>
      </c>
      <c r="K13" s="73"/>
      <c r="L13" s="73"/>
      <c r="M13" s="73"/>
      <c r="N13" s="73"/>
      <c r="O13" s="73"/>
      <c r="P13" s="73"/>
      <c r="Q13" s="73"/>
      <c r="R13" s="73"/>
      <c r="S13" s="73"/>
    </row>
    <row r="14" spans="1:19">
      <c r="C14" t="s">
        <v>21</v>
      </c>
      <c r="K14" s="77">
        <v>80438</v>
      </c>
      <c r="L14" s="73">
        <v>20492</v>
      </c>
      <c r="M14" s="73">
        <v>19501</v>
      </c>
      <c r="N14" s="73">
        <v>44917</v>
      </c>
      <c r="O14" s="73">
        <v>3162</v>
      </c>
      <c r="P14" s="73"/>
      <c r="Q14" s="73"/>
      <c r="R14" s="73">
        <v>37335</v>
      </c>
      <c r="S14" s="73">
        <f>SUM(K14:R14)</f>
        <v>205845</v>
      </c>
    </row>
    <row r="15" spans="1:19">
      <c r="C15" t="s">
        <v>206</v>
      </c>
      <c r="K15" s="77">
        <v>15497</v>
      </c>
      <c r="L15" s="73">
        <v>13849</v>
      </c>
      <c r="M15" s="73">
        <v>1787</v>
      </c>
      <c r="N15" s="73"/>
      <c r="O15" s="73"/>
      <c r="P15" s="73"/>
      <c r="Q15" s="73"/>
      <c r="R15" s="73">
        <v>7111</v>
      </c>
      <c r="S15" s="73">
        <f>SUM(K15:R15)</f>
        <v>38244</v>
      </c>
    </row>
    <row r="16" spans="1:19">
      <c r="C16" t="s">
        <v>207</v>
      </c>
      <c r="K16" s="78">
        <v>57698</v>
      </c>
      <c r="L16" s="73"/>
      <c r="M16" s="73"/>
      <c r="N16" s="73"/>
      <c r="O16" s="73"/>
      <c r="P16" s="73"/>
      <c r="Q16" s="73"/>
      <c r="R16" s="73"/>
      <c r="S16" s="73">
        <f t="shared" ref="S16:S17" si="2">SUM(K16:R16)</f>
        <v>57698</v>
      </c>
    </row>
    <row r="17" spans="1:19">
      <c r="C17" t="s">
        <v>25</v>
      </c>
      <c r="K17" s="78">
        <v>62054</v>
      </c>
      <c r="L17" s="73">
        <v>2700</v>
      </c>
      <c r="M17" s="73"/>
      <c r="N17" s="73"/>
      <c r="O17" s="73"/>
      <c r="P17" s="73"/>
      <c r="Q17" s="73"/>
      <c r="R17" s="73"/>
      <c r="S17" s="73">
        <f t="shared" si="2"/>
        <v>64754</v>
      </c>
    </row>
    <row r="18" spans="1:19">
      <c r="K18" s="93"/>
      <c r="L18" s="93"/>
      <c r="M18" s="93"/>
      <c r="N18" s="93"/>
      <c r="O18" s="93"/>
      <c r="P18" s="93"/>
      <c r="Q18" s="93"/>
      <c r="R18" s="93"/>
      <c r="S18" s="93"/>
    </row>
    <row r="19" spans="1:19">
      <c r="A19" s="5"/>
      <c r="B19" s="6"/>
      <c r="C19" s="6"/>
      <c r="D19" s="6"/>
      <c r="E19" s="6" t="s">
        <v>26</v>
      </c>
      <c r="F19" s="5"/>
      <c r="G19" s="5"/>
      <c r="H19" s="5"/>
      <c r="I19" s="5"/>
      <c r="J19" s="5"/>
      <c r="K19" s="79">
        <f t="shared" ref="K19:P19" si="3">SUM(K14:K17)</f>
        <v>215687</v>
      </c>
      <c r="L19" s="79">
        <f t="shared" si="3"/>
        <v>37041</v>
      </c>
      <c r="M19" s="79">
        <f t="shared" si="3"/>
        <v>21288</v>
      </c>
      <c r="N19" s="79">
        <f t="shared" si="3"/>
        <v>44917</v>
      </c>
      <c r="O19" s="79">
        <f t="shared" si="3"/>
        <v>3162</v>
      </c>
      <c r="P19" s="79">
        <f t="shared" si="3"/>
        <v>0</v>
      </c>
      <c r="Q19" s="79">
        <f t="shared" ref="Q19:R19" si="4">SUM(Q14:Q17)</f>
        <v>0</v>
      </c>
      <c r="R19" s="79">
        <f t="shared" si="4"/>
        <v>44446</v>
      </c>
      <c r="S19" s="79">
        <f>SUM(S14:S17)</f>
        <v>366541</v>
      </c>
    </row>
    <row r="20" spans="1:19">
      <c r="K20" s="73"/>
      <c r="L20" s="73"/>
      <c r="M20" s="73"/>
      <c r="N20" s="73"/>
      <c r="O20" s="73"/>
      <c r="P20" s="73"/>
      <c r="Q20" s="73"/>
      <c r="R20" s="73"/>
      <c r="S20" s="73"/>
    </row>
    <row r="21" spans="1:19">
      <c r="B21" t="s">
        <v>30</v>
      </c>
      <c r="K21" s="73"/>
      <c r="L21" s="73"/>
      <c r="M21" s="73"/>
      <c r="N21" s="73"/>
      <c r="O21" s="73"/>
      <c r="P21" s="73"/>
      <c r="Q21" s="73"/>
      <c r="R21" s="73"/>
      <c r="S21" s="73"/>
    </row>
    <row r="22" spans="1:19">
      <c r="C22" t="s">
        <v>76</v>
      </c>
      <c r="K22" s="84">
        <v>1207534</v>
      </c>
      <c r="L22" s="73"/>
      <c r="M22" s="73"/>
      <c r="N22" s="73"/>
      <c r="O22" s="73"/>
      <c r="P22" s="73"/>
      <c r="Q22" s="73"/>
      <c r="R22" s="73"/>
      <c r="S22" s="73">
        <f t="shared" ref="S22" si="5">SUM(K22:P22)</f>
        <v>1207534</v>
      </c>
    </row>
    <row r="23" spans="1:19">
      <c r="C23" t="s">
        <v>208</v>
      </c>
      <c r="K23" s="73"/>
      <c r="L23" s="73">
        <v>902455</v>
      </c>
      <c r="M23" s="73">
        <v>984018</v>
      </c>
      <c r="N23" s="73">
        <v>2107126</v>
      </c>
      <c r="O23" s="73">
        <v>1972016</v>
      </c>
      <c r="P23" s="73">
        <v>115740</v>
      </c>
      <c r="Q23" s="73">
        <v>40</v>
      </c>
      <c r="R23" s="73">
        <v>2091249</v>
      </c>
      <c r="S23" s="73">
        <f>SUM(K23:R23)</f>
        <v>8172644</v>
      </c>
    </row>
    <row r="24" spans="1:19">
      <c r="K24" s="93"/>
      <c r="L24" s="93"/>
      <c r="M24" s="93"/>
      <c r="N24" s="93"/>
      <c r="O24" s="93"/>
      <c r="P24" s="93"/>
      <c r="Q24" s="93"/>
      <c r="R24" s="93"/>
      <c r="S24" s="93"/>
    </row>
    <row r="25" spans="1:19">
      <c r="A25" s="5"/>
      <c r="B25" s="5"/>
      <c r="C25" s="5"/>
      <c r="D25" s="6"/>
      <c r="E25" s="6" t="s">
        <v>47</v>
      </c>
      <c r="F25" s="5"/>
      <c r="G25" s="5"/>
      <c r="H25" s="5"/>
      <c r="I25" s="5"/>
      <c r="J25" s="5"/>
      <c r="K25" s="79">
        <f t="shared" ref="K25:P25" si="6">SUM(K22:K23)</f>
        <v>1207534</v>
      </c>
      <c r="L25" s="79">
        <f t="shared" si="6"/>
        <v>902455</v>
      </c>
      <c r="M25" s="79">
        <f t="shared" si="6"/>
        <v>984018</v>
      </c>
      <c r="N25" s="79">
        <f t="shared" si="6"/>
        <v>2107126</v>
      </c>
      <c r="O25" s="79">
        <f t="shared" si="6"/>
        <v>1972016</v>
      </c>
      <c r="P25" s="79">
        <f t="shared" si="6"/>
        <v>115740</v>
      </c>
      <c r="Q25" s="79">
        <f t="shared" ref="Q25:R25" si="7">SUM(Q22:Q23)</f>
        <v>40</v>
      </c>
      <c r="R25" s="79">
        <f t="shared" si="7"/>
        <v>2091249</v>
      </c>
      <c r="S25" s="79">
        <f>SUM(S22:S23)</f>
        <v>9380178</v>
      </c>
    </row>
    <row r="26" spans="1:19">
      <c r="K26" s="73"/>
      <c r="L26" s="73"/>
      <c r="M26" s="73"/>
      <c r="N26" s="73"/>
      <c r="O26" s="73"/>
      <c r="P26" s="73"/>
      <c r="Q26" s="73"/>
      <c r="R26" s="73"/>
      <c r="S26" s="73"/>
    </row>
    <row r="27" spans="1:19">
      <c r="A27" s="7"/>
      <c r="B27" s="7"/>
      <c r="C27" s="7"/>
      <c r="D27" s="8"/>
      <c r="E27" s="8" t="s">
        <v>48</v>
      </c>
      <c r="F27" s="7"/>
      <c r="G27" s="7"/>
      <c r="H27" s="7"/>
      <c r="I27" s="7"/>
      <c r="J27" s="7"/>
      <c r="K27" s="81">
        <f>SUM(K25+K19)</f>
        <v>1423221</v>
      </c>
      <c r="L27" s="81">
        <f t="shared" ref="L27:S27" si="8">SUM(L25+L19)</f>
        <v>939496</v>
      </c>
      <c r="M27" s="81">
        <f t="shared" si="8"/>
        <v>1005306</v>
      </c>
      <c r="N27" s="81">
        <f t="shared" si="8"/>
        <v>2152043</v>
      </c>
      <c r="O27" s="81">
        <f t="shared" si="8"/>
        <v>1975178</v>
      </c>
      <c r="P27" s="81">
        <f t="shared" si="8"/>
        <v>115740</v>
      </c>
      <c r="Q27" s="81">
        <f t="shared" si="8"/>
        <v>40</v>
      </c>
      <c r="R27" s="81">
        <f t="shared" si="8"/>
        <v>2135695</v>
      </c>
      <c r="S27" s="81">
        <f t="shared" si="8"/>
        <v>9746719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6"/>
  <sheetViews>
    <sheetView workbookViewId="0">
      <selection activeCell="K56" sqref="K56"/>
    </sheetView>
  </sheetViews>
  <sheetFormatPr defaultColWidth="8.85546875" defaultRowHeight="15"/>
  <cols>
    <col min="11" max="11" width="15.7109375" customWidth="1"/>
    <col min="12" max="12" width="17" customWidth="1"/>
    <col min="13" max="13" width="16.28515625" customWidth="1"/>
    <col min="14" max="14" width="16.42578125" customWidth="1"/>
    <col min="15" max="15" width="16" customWidth="1"/>
  </cols>
  <sheetData>
    <row r="1" spans="1:15" ht="18.75">
      <c r="D1" s="251" t="s">
        <v>209</v>
      </c>
      <c r="E1" s="251"/>
      <c r="F1" s="251"/>
      <c r="G1" s="251"/>
      <c r="H1" s="251"/>
      <c r="I1" s="251"/>
      <c r="J1" s="251"/>
      <c r="K1" s="251"/>
    </row>
    <row r="2" spans="1:15">
      <c r="D2" s="252" t="s">
        <v>1</v>
      </c>
      <c r="E2" s="252"/>
      <c r="F2" s="252"/>
      <c r="G2" s="252"/>
      <c r="H2" s="252"/>
      <c r="I2" s="252"/>
      <c r="J2" s="252"/>
      <c r="K2" s="252"/>
    </row>
    <row r="4" spans="1:15" ht="45">
      <c r="K4" s="1" t="s">
        <v>2</v>
      </c>
      <c r="L4" s="1" t="s">
        <v>210</v>
      </c>
      <c r="M4" s="1" t="s">
        <v>211</v>
      </c>
      <c r="N4" s="1" t="s">
        <v>212</v>
      </c>
      <c r="O4" s="1" t="s">
        <v>7</v>
      </c>
    </row>
    <row r="5" spans="1:15">
      <c r="A5" t="s">
        <v>8</v>
      </c>
    </row>
    <row r="6" spans="1:15">
      <c r="B6" t="s">
        <v>57</v>
      </c>
      <c r="K6" s="72">
        <v>11614255</v>
      </c>
      <c r="L6" s="73">
        <v>30849</v>
      </c>
      <c r="M6" s="73">
        <v>100</v>
      </c>
      <c r="N6" s="73">
        <v>16822104</v>
      </c>
      <c r="O6" s="73">
        <f>SUM(K6:N6)</f>
        <v>28467308</v>
      </c>
    </row>
    <row r="7" spans="1:15">
      <c r="B7" t="s">
        <v>213</v>
      </c>
      <c r="K7" s="74">
        <v>7957122</v>
      </c>
      <c r="L7" s="73">
        <v>1862489</v>
      </c>
      <c r="M7" s="73">
        <v>1691825</v>
      </c>
      <c r="N7" s="73">
        <v>5103359</v>
      </c>
      <c r="O7" s="73">
        <f t="shared" ref="O7:O8" si="0">SUM(K7:N7)</f>
        <v>16614795</v>
      </c>
    </row>
    <row r="8" spans="1:15">
      <c r="B8" t="s">
        <v>214</v>
      </c>
      <c r="K8" s="153">
        <v>1793767</v>
      </c>
      <c r="L8" s="73">
        <v>28999</v>
      </c>
      <c r="M8" s="73"/>
      <c r="N8" s="73"/>
      <c r="O8" s="73">
        <f t="shared" si="0"/>
        <v>1822766</v>
      </c>
    </row>
    <row r="9" spans="1:15">
      <c r="B9" t="s">
        <v>45</v>
      </c>
      <c r="K9" s="82">
        <v>66729</v>
      </c>
      <c r="L9" s="73">
        <v>46475</v>
      </c>
      <c r="M9" s="73"/>
      <c r="N9" s="73">
        <v>33506</v>
      </c>
      <c r="O9" s="73">
        <v>4081650</v>
      </c>
    </row>
    <row r="10" spans="1:15">
      <c r="B10" t="s">
        <v>215</v>
      </c>
      <c r="K10" s="74">
        <v>2631117</v>
      </c>
      <c r="L10" s="73">
        <v>402547</v>
      </c>
      <c r="M10" s="73"/>
      <c r="N10" s="73">
        <v>2742552</v>
      </c>
      <c r="O10" s="73">
        <f>SUM(K10:N10)</f>
        <v>5776216</v>
      </c>
    </row>
    <row r="11" spans="1:15">
      <c r="K11" s="93"/>
      <c r="L11" s="93"/>
      <c r="M11" s="93"/>
      <c r="N11" s="93"/>
      <c r="O11" s="93"/>
    </row>
    <row r="12" spans="1:15">
      <c r="A12" s="2"/>
      <c r="B12" s="2"/>
      <c r="C12" s="2"/>
      <c r="D12" s="2"/>
      <c r="E12" s="2" t="s">
        <v>18</v>
      </c>
      <c r="F12" s="3"/>
      <c r="G12" s="3"/>
      <c r="H12" s="3"/>
      <c r="I12" s="3"/>
      <c r="J12" s="3"/>
      <c r="K12" s="76">
        <f>SUM(K6:K10)</f>
        <v>24062990</v>
      </c>
      <c r="L12" s="76">
        <f>SUM(L6:L10)</f>
        <v>2371359</v>
      </c>
      <c r="M12" s="76">
        <f>SUM(M6:M10)</f>
        <v>1691925</v>
      </c>
      <c r="N12" s="76">
        <f>SUM(N6:N10)</f>
        <v>24701521</v>
      </c>
      <c r="O12" s="76">
        <f>SUM(O6:O10)</f>
        <v>56762735</v>
      </c>
    </row>
    <row r="13" spans="1:15">
      <c r="K13" s="73"/>
      <c r="L13" s="73"/>
      <c r="M13" s="73"/>
      <c r="N13" s="73"/>
      <c r="O13" s="73"/>
    </row>
    <row r="14" spans="1:15">
      <c r="A14" s="4" t="s">
        <v>19</v>
      </c>
      <c r="K14" s="73"/>
      <c r="L14" s="73"/>
      <c r="M14" s="73"/>
      <c r="N14" s="73"/>
      <c r="O14" s="73"/>
    </row>
    <row r="15" spans="1:15">
      <c r="B15" t="s">
        <v>20</v>
      </c>
      <c r="K15" s="73"/>
      <c r="L15" s="73"/>
      <c r="M15" s="73"/>
      <c r="N15" s="73"/>
      <c r="O15" s="73"/>
    </row>
    <row r="16" spans="1:15">
      <c r="C16" t="s">
        <v>102</v>
      </c>
      <c r="K16" s="77">
        <v>397951</v>
      </c>
      <c r="L16" s="73">
        <v>50177</v>
      </c>
      <c r="M16" s="73">
        <v>2367492</v>
      </c>
      <c r="N16" s="73">
        <v>1053795</v>
      </c>
      <c r="O16" s="73">
        <f>SUM(K16:N16)</f>
        <v>3869415</v>
      </c>
    </row>
    <row r="17" spans="1:15">
      <c r="C17" t="s">
        <v>207</v>
      </c>
      <c r="K17" s="78">
        <v>2623074</v>
      </c>
      <c r="L17" s="73"/>
      <c r="M17" s="73"/>
      <c r="N17" s="73"/>
      <c r="O17" s="73">
        <f>SUM(K17:N17)</f>
        <v>2623074</v>
      </c>
    </row>
    <row r="18" spans="1:15">
      <c r="C18" t="s">
        <v>24</v>
      </c>
      <c r="K18" s="98">
        <v>7413</v>
      </c>
      <c r="L18" s="73"/>
      <c r="M18" s="73">
        <v>9818</v>
      </c>
      <c r="N18" s="73"/>
      <c r="O18" s="73">
        <f>SUM(K18:N18)</f>
        <v>17231</v>
      </c>
    </row>
    <row r="19" spans="1:15">
      <c r="C19" t="s">
        <v>216</v>
      </c>
      <c r="K19" s="77">
        <v>3145100</v>
      </c>
      <c r="L19" s="73"/>
      <c r="M19" s="73">
        <v>380933</v>
      </c>
      <c r="N19" s="73">
        <v>2250183</v>
      </c>
      <c r="O19" s="73">
        <f>SUM(K19:N19)</f>
        <v>5776216</v>
      </c>
    </row>
    <row r="20" spans="1:15">
      <c r="K20" s="94"/>
      <c r="L20" s="97"/>
      <c r="M20" s="94"/>
      <c r="N20" s="94"/>
      <c r="O20" s="97"/>
    </row>
    <row r="21" spans="1:15">
      <c r="A21" s="5"/>
      <c r="B21" s="6"/>
      <c r="C21" s="6"/>
      <c r="D21" s="6"/>
      <c r="E21" s="6" t="s">
        <v>26</v>
      </c>
      <c r="F21" s="5"/>
      <c r="G21" s="5"/>
      <c r="H21" s="5"/>
      <c r="I21" s="5"/>
      <c r="J21" s="5"/>
      <c r="K21" s="79">
        <f>SUM(K16:K19)</f>
        <v>6173538</v>
      </c>
      <c r="L21" s="79">
        <f>SUM(L16:L19)</f>
        <v>50177</v>
      </c>
      <c r="M21" s="79">
        <f>SUM(M16:M19)</f>
        <v>2758243</v>
      </c>
      <c r="N21" s="79">
        <f>SUM(N16:N19)</f>
        <v>3303978</v>
      </c>
      <c r="O21" s="79">
        <f>SUM(O16:O19)</f>
        <v>12285936</v>
      </c>
    </row>
    <row r="22" spans="1:15">
      <c r="K22" s="73"/>
      <c r="L22" s="73"/>
      <c r="M22" s="73"/>
      <c r="N22" s="73"/>
      <c r="O22" s="73"/>
    </row>
    <row r="23" spans="1:15">
      <c r="A23" s="71" t="s">
        <v>27</v>
      </c>
      <c r="K23" s="73"/>
      <c r="L23" s="73"/>
      <c r="M23" s="73"/>
      <c r="N23" s="73"/>
      <c r="O23" s="73"/>
    </row>
    <row r="24" spans="1:15">
      <c r="K24" s="73"/>
      <c r="L24" s="73"/>
      <c r="M24" s="73"/>
      <c r="N24" s="73"/>
      <c r="O24" s="73"/>
    </row>
    <row r="25" spans="1:15">
      <c r="A25" s="5"/>
      <c r="B25" s="6"/>
      <c r="C25" s="6"/>
      <c r="D25" s="6"/>
      <c r="E25" s="6" t="s">
        <v>29</v>
      </c>
      <c r="F25" s="5"/>
      <c r="G25" s="5"/>
      <c r="H25" s="5"/>
      <c r="I25" s="5"/>
      <c r="J25" s="5"/>
      <c r="K25" s="79">
        <f>SUM(K24)</f>
        <v>0</v>
      </c>
      <c r="L25" s="79">
        <f t="shared" ref="L25:O25" si="1">SUM(L24)</f>
        <v>0</v>
      </c>
      <c r="M25" s="79">
        <f t="shared" si="1"/>
        <v>0</v>
      </c>
      <c r="N25" s="79">
        <f t="shared" si="1"/>
        <v>0</v>
      </c>
      <c r="O25" s="79">
        <f t="shared" si="1"/>
        <v>0</v>
      </c>
    </row>
    <row r="26" spans="1:15">
      <c r="K26" s="73"/>
      <c r="L26" s="73"/>
      <c r="M26" s="73"/>
      <c r="N26" s="73"/>
      <c r="O26" s="73"/>
    </row>
    <row r="27" spans="1:15">
      <c r="B27" t="s">
        <v>30</v>
      </c>
      <c r="K27" s="73"/>
      <c r="L27" s="73"/>
      <c r="M27" s="73"/>
      <c r="N27" s="73"/>
      <c r="O27" s="73"/>
    </row>
    <row r="28" spans="1:15">
      <c r="C28" t="s">
        <v>163</v>
      </c>
      <c r="K28" s="73"/>
      <c r="L28" s="73"/>
      <c r="M28" s="73"/>
      <c r="N28" s="73"/>
      <c r="O28" s="73"/>
    </row>
    <row r="29" spans="1:15">
      <c r="D29" t="s">
        <v>155</v>
      </c>
      <c r="K29" s="80">
        <v>1793767</v>
      </c>
      <c r="L29" s="73">
        <v>28999</v>
      </c>
      <c r="M29" s="73"/>
      <c r="N29" s="73"/>
      <c r="O29" s="73">
        <f>SUM(K29:N29)</f>
        <v>1822766</v>
      </c>
    </row>
    <row r="30" spans="1:15">
      <c r="D30" t="s">
        <v>164</v>
      </c>
      <c r="K30" s="80">
        <v>66729</v>
      </c>
      <c r="L30" s="73">
        <v>46475</v>
      </c>
      <c r="M30" s="73"/>
      <c r="N30" s="73">
        <v>33508</v>
      </c>
      <c r="O30" s="73">
        <f>SUM(K30:N30)</f>
        <v>146712</v>
      </c>
    </row>
    <row r="31" spans="1:15">
      <c r="C31" t="s">
        <v>67</v>
      </c>
      <c r="K31" s="73"/>
      <c r="L31" s="73"/>
      <c r="M31" s="73"/>
      <c r="N31" s="73"/>
      <c r="O31" s="73"/>
    </row>
    <row r="32" spans="1:15">
      <c r="D32" t="s">
        <v>68</v>
      </c>
      <c r="K32" s="73"/>
      <c r="L32" s="73"/>
      <c r="M32" s="73"/>
      <c r="N32" s="73">
        <v>58817</v>
      </c>
      <c r="O32" s="73">
        <f>SUM(K32:N32)</f>
        <v>58817</v>
      </c>
    </row>
    <row r="33" spans="3:15">
      <c r="D33" t="s">
        <v>73</v>
      </c>
      <c r="K33" s="73"/>
      <c r="L33" s="73"/>
      <c r="M33" s="73"/>
      <c r="N33" s="73">
        <v>999067</v>
      </c>
      <c r="O33" s="73">
        <f>SUM(K33:N33)</f>
        <v>999067</v>
      </c>
    </row>
    <row r="34" spans="3:15">
      <c r="D34" t="s">
        <v>217</v>
      </c>
      <c r="K34" s="73"/>
      <c r="L34" s="73"/>
      <c r="M34" s="73"/>
      <c r="N34" s="73">
        <v>39983</v>
      </c>
      <c r="O34" s="73">
        <f>SUM(K34:N34)</f>
        <v>39983</v>
      </c>
    </row>
    <row r="35" spans="3:15">
      <c r="C35" t="s">
        <v>218</v>
      </c>
      <c r="K35" s="73"/>
      <c r="L35" s="73"/>
      <c r="M35" s="73"/>
      <c r="N35" s="73"/>
      <c r="O35" s="73">
        <f t="shared" ref="O35:O47" si="2">SUM(K35:N35)</f>
        <v>0</v>
      </c>
    </row>
    <row r="36" spans="3:15">
      <c r="D36" t="s">
        <v>219</v>
      </c>
      <c r="K36" s="73"/>
      <c r="L36" s="73">
        <v>2224889</v>
      </c>
      <c r="M36" s="73"/>
      <c r="N36" s="73"/>
      <c r="O36" s="73">
        <f t="shared" si="2"/>
        <v>2224889</v>
      </c>
    </row>
    <row r="37" spans="3:15">
      <c r="D37" t="s">
        <v>107</v>
      </c>
      <c r="K37" s="73"/>
      <c r="L37" s="73"/>
      <c r="M37" s="73"/>
      <c r="N37" s="73">
        <v>5560799</v>
      </c>
      <c r="O37" s="73">
        <f t="shared" si="2"/>
        <v>5560799</v>
      </c>
    </row>
    <row r="38" spans="3:15">
      <c r="D38" t="s">
        <v>70</v>
      </c>
      <c r="K38" s="73"/>
      <c r="L38" s="73"/>
      <c r="M38" s="73"/>
      <c r="N38" s="73">
        <v>5114106</v>
      </c>
      <c r="O38" s="73">
        <f t="shared" si="2"/>
        <v>5114106</v>
      </c>
    </row>
    <row r="39" spans="3:15">
      <c r="D39" t="s">
        <v>68</v>
      </c>
      <c r="K39" s="73"/>
      <c r="L39" s="73"/>
      <c r="M39" s="73"/>
      <c r="N39" s="73">
        <v>3509737</v>
      </c>
      <c r="O39" s="73">
        <f t="shared" si="2"/>
        <v>3509737</v>
      </c>
    </row>
    <row r="40" spans="3:15">
      <c r="D40" t="s">
        <v>106</v>
      </c>
      <c r="K40" s="73"/>
      <c r="L40" s="73"/>
      <c r="M40" s="73"/>
      <c r="N40" s="73">
        <v>5585323</v>
      </c>
      <c r="O40" s="73">
        <f t="shared" si="2"/>
        <v>5585323</v>
      </c>
    </row>
    <row r="41" spans="3:15">
      <c r="D41" t="s">
        <v>220</v>
      </c>
      <c r="K41" s="73"/>
      <c r="L41" s="73"/>
      <c r="M41" s="73"/>
      <c r="N41" s="73">
        <v>208078</v>
      </c>
      <c r="O41" s="73">
        <f t="shared" si="2"/>
        <v>208078</v>
      </c>
    </row>
    <row r="42" spans="3:15">
      <c r="D42" t="s">
        <v>221</v>
      </c>
      <c r="K42" s="73"/>
      <c r="L42" s="73"/>
      <c r="M42" s="73"/>
      <c r="N42" s="73">
        <v>42777</v>
      </c>
      <c r="O42" s="73">
        <f t="shared" si="2"/>
        <v>42777</v>
      </c>
    </row>
    <row r="43" spans="3:15">
      <c r="D43" t="s">
        <v>222</v>
      </c>
      <c r="K43" s="73"/>
      <c r="L43" s="73"/>
      <c r="M43" s="73"/>
      <c r="N43" s="73">
        <v>171986</v>
      </c>
      <c r="O43" s="73">
        <f t="shared" si="2"/>
        <v>171986</v>
      </c>
    </row>
    <row r="44" spans="3:15">
      <c r="D44" t="s">
        <v>223</v>
      </c>
      <c r="K44" s="73"/>
      <c r="L44" s="73">
        <v>20819</v>
      </c>
      <c r="M44" s="73"/>
      <c r="N44" s="73">
        <v>-119317</v>
      </c>
      <c r="O44" s="73">
        <f t="shared" si="2"/>
        <v>-98498</v>
      </c>
    </row>
    <row r="45" spans="3:15">
      <c r="D45" t="s">
        <v>224</v>
      </c>
      <c r="K45" s="91">
        <v>130576</v>
      </c>
      <c r="L45" s="73"/>
      <c r="M45" s="73"/>
      <c r="N45" s="73"/>
      <c r="O45" s="73">
        <f t="shared" si="2"/>
        <v>130576</v>
      </c>
    </row>
    <row r="46" spans="3:15">
      <c r="C46" t="s">
        <v>41</v>
      </c>
      <c r="K46" s="73"/>
      <c r="L46" s="73"/>
      <c r="M46" s="73"/>
      <c r="N46" s="73"/>
      <c r="O46" s="73">
        <f t="shared" si="2"/>
        <v>0</v>
      </c>
    </row>
    <row r="47" spans="3:15">
      <c r="D47" t="s">
        <v>225</v>
      </c>
      <c r="K47" s="73"/>
      <c r="L47" s="73"/>
      <c r="M47" s="73"/>
      <c r="N47" s="73">
        <v>7483</v>
      </c>
      <c r="O47" s="73">
        <f t="shared" si="2"/>
        <v>7483</v>
      </c>
    </row>
    <row r="48" spans="3:15">
      <c r="D48" t="s">
        <v>106</v>
      </c>
      <c r="K48" s="73"/>
      <c r="L48" s="73"/>
      <c r="M48" s="73"/>
      <c r="N48" s="73">
        <v>11002</v>
      </c>
      <c r="O48" s="73">
        <f>SUM(K48:N48)</f>
        <v>11002</v>
      </c>
    </row>
    <row r="49" spans="1:15">
      <c r="D49" t="s">
        <v>70</v>
      </c>
      <c r="K49" s="73"/>
      <c r="L49" s="73"/>
      <c r="M49" s="73"/>
      <c r="N49" s="73">
        <v>129246</v>
      </c>
      <c r="O49" s="73">
        <f>SUM(K49:N49)</f>
        <v>129246</v>
      </c>
    </row>
    <row r="50" spans="1:15">
      <c r="D50" t="s">
        <v>107</v>
      </c>
      <c r="K50" s="73"/>
      <c r="L50" s="73"/>
      <c r="M50" s="73"/>
      <c r="N50" s="73">
        <v>44950</v>
      </c>
      <c r="O50" s="73">
        <f>SUM(K50:N50)</f>
        <v>44950</v>
      </c>
    </row>
    <row r="51" spans="1:15">
      <c r="D51" t="s">
        <v>226</v>
      </c>
      <c r="K51" s="73"/>
      <c r="L51" s="73"/>
      <c r="M51" s="73">
        <v>-1066318</v>
      </c>
      <c r="N51" s="73"/>
      <c r="O51" s="73">
        <f>SUM(K51:N51)</f>
        <v>-1066318</v>
      </c>
    </row>
    <row r="52" spans="1:15">
      <c r="C52" t="s">
        <v>46</v>
      </c>
      <c r="K52" s="84">
        <v>15898380</v>
      </c>
      <c r="L52" s="73"/>
      <c r="M52" s="73"/>
      <c r="N52" s="73"/>
      <c r="O52" s="73">
        <f>SUM(K52:N52)</f>
        <v>15898380</v>
      </c>
    </row>
    <row r="53" spans="1:15">
      <c r="K53" s="93"/>
      <c r="L53" s="93"/>
      <c r="M53" s="93"/>
      <c r="N53" s="93"/>
      <c r="O53" s="93"/>
    </row>
    <row r="54" spans="1:15">
      <c r="A54" s="5"/>
      <c r="B54" s="5"/>
      <c r="C54" s="5"/>
      <c r="D54" s="6"/>
      <c r="E54" s="6" t="s">
        <v>47</v>
      </c>
      <c r="F54" s="5"/>
      <c r="G54" s="5"/>
      <c r="H54" s="5"/>
      <c r="I54" s="5"/>
      <c r="J54" s="5"/>
      <c r="K54" s="79">
        <f>SUM(K29:K52)</f>
        <v>17889452</v>
      </c>
      <c r="L54" s="79">
        <f>SUM(L29:L52)</f>
        <v>2321182</v>
      </c>
      <c r="M54" s="79">
        <f>SUM(M29:M52)</f>
        <v>-1066318</v>
      </c>
      <c r="N54" s="79">
        <f>SUM(N29:N52)</f>
        <v>21397545</v>
      </c>
      <c r="O54" s="79">
        <f>SUM(O29:O52)</f>
        <v>40541861</v>
      </c>
    </row>
    <row r="55" spans="1:15">
      <c r="K55" s="73"/>
      <c r="L55" s="73"/>
      <c r="M55" s="73"/>
      <c r="N55" s="73"/>
      <c r="O55" s="73"/>
    </row>
    <row r="56" spans="1:15">
      <c r="A56" s="7"/>
      <c r="B56" s="7"/>
      <c r="C56" s="7"/>
      <c r="D56" s="8"/>
      <c r="E56" s="8" t="s">
        <v>48</v>
      </c>
      <c r="F56" s="7"/>
      <c r="G56" s="7"/>
      <c r="H56" s="7"/>
      <c r="I56" s="7"/>
      <c r="J56" s="7"/>
      <c r="K56" s="81">
        <f>SUM(K54,K21,K25)</f>
        <v>24062990</v>
      </c>
      <c r="L56" s="81">
        <f>SUM(L54,L21,L25)</f>
        <v>2371359</v>
      </c>
      <c r="M56" s="81">
        <f>SUM(M54,M21,M25)</f>
        <v>1691925</v>
      </c>
      <c r="N56" s="81">
        <f>SUM(N54,N21,N25)</f>
        <v>24701523</v>
      </c>
      <c r="O56" s="81">
        <f>SUM(O54,O21,O25)</f>
        <v>52827797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33"/>
  <sheetViews>
    <sheetView workbookViewId="0">
      <selection activeCell="G29" sqref="G29"/>
    </sheetView>
  </sheetViews>
  <sheetFormatPr defaultColWidth="8.85546875" defaultRowHeight="15"/>
  <cols>
    <col min="11" max="11" width="16.42578125" customWidth="1"/>
    <col min="12" max="12" width="16" customWidth="1"/>
    <col min="13" max="13" width="14.7109375" customWidth="1"/>
    <col min="14" max="14" width="14" customWidth="1"/>
    <col min="15" max="15" width="13.42578125" customWidth="1"/>
    <col min="16" max="16" width="12.7109375" customWidth="1"/>
    <col min="17" max="17" width="14.85546875" customWidth="1"/>
    <col min="18" max="18" width="14.42578125" customWidth="1"/>
  </cols>
  <sheetData>
    <row r="1" spans="1:18" ht="18.75">
      <c r="D1" s="251" t="s">
        <v>227</v>
      </c>
      <c r="E1" s="251"/>
      <c r="F1" s="251"/>
      <c r="G1" s="251"/>
      <c r="H1" s="251"/>
      <c r="I1" s="251"/>
      <c r="J1" s="251"/>
      <c r="K1" s="251"/>
    </row>
    <row r="2" spans="1:18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8">
      <c r="D3" s="57"/>
      <c r="E3" s="57"/>
      <c r="F3" s="57"/>
      <c r="G3" s="57"/>
      <c r="H3" s="57"/>
      <c r="I3" s="57"/>
      <c r="J3" s="57"/>
      <c r="K3" s="57"/>
    </row>
    <row r="4" spans="1:18">
      <c r="P4" s="57"/>
      <c r="Q4" s="57"/>
    </row>
    <row r="5" spans="1:18" ht="45">
      <c r="K5" s="1" t="s">
        <v>50</v>
      </c>
      <c r="L5" s="1" t="s">
        <v>228</v>
      </c>
      <c r="M5" s="1" t="s">
        <v>229</v>
      </c>
      <c r="N5" s="1" t="s">
        <v>72</v>
      </c>
      <c r="O5" s="1" t="s">
        <v>95</v>
      </c>
      <c r="P5" s="1" t="s">
        <v>230</v>
      </c>
      <c r="Q5" s="1" t="s">
        <v>6</v>
      </c>
      <c r="R5" s="1" t="s">
        <v>7</v>
      </c>
    </row>
    <row r="6" spans="1:18">
      <c r="A6" t="s">
        <v>8</v>
      </c>
    </row>
    <row r="7" spans="1:18">
      <c r="B7" t="s">
        <v>85</v>
      </c>
      <c r="K7" s="72">
        <v>629573</v>
      </c>
      <c r="L7" s="73">
        <v>114529</v>
      </c>
      <c r="M7" s="73">
        <v>375026</v>
      </c>
      <c r="N7" s="73">
        <v>433150</v>
      </c>
      <c r="O7" s="73">
        <v>284606</v>
      </c>
      <c r="P7" s="73">
        <v>352292</v>
      </c>
      <c r="Q7" s="73">
        <v>101420</v>
      </c>
      <c r="R7" s="73">
        <f t="shared" ref="R7:R11" si="0">SUM(K7:Q7)</f>
        <v>2290596</v>
      </c>
    </row>
    <row r="8" spans="1:18">
      <c r="B8" t="s">
        <v>231</v>
      </c>
      <c r="K8" s="73"/>
      <c r="L8" s="73"/>
      <c r="M8" s="73"/>
      <c r="N8" s="73"/>
      <c r="O8" s="73"/>
      <c r="P8" s="73"/>
      <c r="Q8" s="73">
        <v>26910</v>
      </c>
      <c r="R8" s="73">
        <f t="shared" si="0"/>
        <v>26910</v>
      </c>
    </row>
    <row r="9" spans="1:18">
      <c r="B9" t="s">
        <v>232</v>
      </c>
      <c r="K9" s="73"/>
      <c r="L9" s="73"/>
      <c r="M9" s="73"/>
      <c r="N9" s="73"/>
      <c r="O9" s="73"/>
      <c r="P9" s="73"/>
      <c r="Q9" s="73">
        <v>293899</v>
      </c>
      <c r="R9" s="73">
        <f t="shared" si="0"/>
        <v>293899</v>
      </c>
    </row>
    <row r="10" spans="1:18">
      <c r="B10" t="s">
        <v>58</v>
      </c>
      <c r="K10" s="74">
        <v>519222</v>
      </c>
      <c r="L10" s="73">
        <v>46606</v>
      </c>
      <c r="M10" s="73">
        <v>62020</v>
      </c>
      <c r="N10" s="73">
        <v>38762</v>
      </c>
      <c r="O10" s="73">
        <v>309409</v>
      </c>
      <c r="P10" s="73">
        <v>76875</v>
      </c>
      <c r="Q10" s="73">
        <v>63443</v>
      </c>
      <c r="R10" s="73">
        <f t="shared" si="0"/>
        <v>1116337</v>
      </c>
    </row>
    <row r="11" spans="1:18">
      <c r="B11" t="s">
        <v>156</v>
      </c>
      <c r="K11" s="82">
        <v>32620</v>
      </c>
      <c r="L11" s="73">
        <v>16112</v>
      </c>
      <c r="M11" s="73">
        <v>24500</v>
      </c>
      <c r="N11" s="73"/>
      <c r="O11" s="73"/>
      <c r="P11" s="73">
        <v>2732</v>
      </c>
      <c r="Q11" s="73">
        <v>3617</v>
      </c>
      <c r="R11" s="73">
        <f t="shared" si="0"/>
        <v>79581</v>
      </c>
    </row>
    <row r="12" spans="1:18">
      <c r="K12" s="93"/>
      <c r="L12" s="93"/>
      <c r="M12" s="93"/>
      <c r="N12" s="93"/>
      <c r="O12" s="93"/>
      <c r="P12" s="93"/>
      <c r="Q12" s="93"/>
      <c r="R12" s="93"/>
    </row>
    <row r="13" spans="1:18">
      <c r="A13" s="2"/>
      <c r="B13" s="2"/>
      <c r="C13" s="2"/>
      <c r="D13" s="2"/>
      <c r="E13" s="2" t="s">
        <v>62</v>
      </c>
      <c r="F13" s="3"/>
      <c r="G13" s="3"/>
      <c r="H13" s="3"/>
      <c r="I13" s="3"/>
      <c r="J13" s="3"/>
      <c r="K13" s="76">
        <f>SUM(K7:K11)</f>
        <v>1181415</v>
      </c>
      <c r="L13" s="76">
        <f t="shared" ref="L13:R13" si="1">SUM(L7:L11)</f>
        <v>177247</v>
      </c>
      <c r="M13" s="76">
        <f t="shared" si="1"/>
        <v>461546</v>
      </c>
      <c r="N13" s="76">
        <f t="shared" si="1"/>
        <v>471912</v>
      </c>
      <c r="O13" s="76">
        <f t="shared" si="1"/>
        <v>594015</v>
      </c>
      <c r="P13" s="76">
        <f t="shared" si="1"/>
        <v>431899</v>
      </c>
      <c r="Q13" s="76">
        <f t="shared" si="1"/>
        <v>489289</v>
      </c>
      <c r="R13" s="76">
        <f t="shared" si="1"/>
        <v>3807323</v>
      </c>
    </row>
    <row r="14" spans="1:18">
      <c r="K14" s="73"/>
      <c r="L14" s="73"/>
      <c r="M14" s="73"/>
      <c r="N14" s="73"/>
      <c r="O14" s="73"/>
      <c r="P14" s="73"/>
      <c r="Q14" s="73"/>
      <c r="R14" s="73"/>
    </row>
    <row r="15" spans="1:18">
      <c r="A15" s="4" t="s">
        <v>140</v>
      </c>
      <c r="K15" s="73"/>
      <c r="L15" s="73"/>
      <c r="M15" s="73"/>
      <c r="N15" s="73"/>
      <c r="O15" s="73"/>
      <c r="P15" s="73"/>
      <c r="Q15" s="73"/>
      <c r="R15" s="73"/>
    </row>
    <row r="16" spans="1:18">
      <c r="B16" t="s">
        <v>20</v>
      </c>
      <c r="K16" s="73"/>
      <c r="L16" s="73"/>
      <c r="M16" s="73"/>
      <c r="N16" s="73"/>
      <c r="O16" s="73"/>
      <c r="P16" s="73"/>
      <c r="Q16" s="73"/>
      <c r="R16" s="73"/>
    </row>
    <row r="17" spans="1:18">
      <c r="C17" t="s">
        <v>21</v>
      </c>
      <c r="K17" s="77">
        <v>50383</v>
      </c>
      <c r="L17" s="73">
        <v>7667</v>
      </c>
      <c r="M17" s="73">
        <v>6412</v>
      </c>
      <c r="N17" s="61">
        <v>36962</v>
      </c>
      <c r="O17" s="73">
        <v>16867</v>
      </c>
      <c r="P17" s="73">
        <v>5531</v>
      </c>
      <c r="Q17" s="73">
        <v>5814</v>
      </c>
      <c r="R17" s="73">
        <f>SUM(K17:Q17)</f>
        <v>129636</v>
      </c>
    </row>
    <row r="18" spans="1:18">
      <c r="C18" t="s">
        <v>233</v>
      </c>
      <c r="K18" s="77">
        <v>3126</v>
      </c>
      <c r="L18" s="73">
        <v>5837</v>
      </c>
      <c r="M18" s="73">
        <v>2983</v>
      </c>
      <c r="O18" s="73"/>
      <c r="P18" s="73"/>
      <c r="Q18" s="73">
        <v>3137</v>
      </c>
      <c r="R18" s="73">
        <f>SUM(K18:Q18)</f>
        <v>15083</v>
      </c>
    </row>
    <row r="19" spans="1:18">
      <c r="K19" s="93"/>
      <c r="L19" s="93"/>
      <c r="M19" s="93"/>
      <c r="N19" s="93"/>
      <c r="O19" s="93"/>
      <c r="P19" s="93"/>
      <c r="Q19" s="93"/>
      <c r="R19" s="93"/>
    </row>
    <row r="20" spans="1:18">
      <c r="A20" s="5"/>
      <c r="B20" s="6"/>
      <c r="C20" s="6"/>
      <c r="D20" s="6"/>
      <c r="E20" s="6" t="s">
        <v>26</v>
      </c>
      <c r="F20" s="5"/>
      <c r="G20" s="5"/>
      <c r="H20" s="5"/>
      <c r="I20" s="5"/>
      <c r="J20" s="5"/>
      <c r="K20" s="79">
        <f t="shared" ref="K20:R20" si="2">SUM(K17:K18)</f>
        <v>53509</v>
      </c>
      <c r="L20" s="79">
        <f t="shared" si="2"/>
        <v>13504</v>
      </c>
      <c r="M20" s="79">
        <f t="shared" si="2"/>
        <v>9395</v>
      </c>
      <c r="N20" s="79">
        <f t="shared" si="2"/>
        <v>36962</v>
      </c>
      <c r="O20" s="79">
        <f t="shared" si="2"/>
        <v>16867</v>
      </c>
      <c r="P20" s="79">
        <f t="shared" si="2"/>
        <v>5531</v>
      </c>
      <c r="Q20" s="79">
        <f t="shared" si="2"/>
        <v>8951</v>
      </c>
      <c r="R20" s="79">
        <f t="shared" si="2"/>
        <v>144719</v>
      </c>
    </row>
    <row r="21" spans="1:18">
      <c r="K21" s="73"/>
      <c r="L21" s="73"/>
      <c r="M21" s="73"/>
      <c r="N21" s="73"/>
      <c r="O21" s="73"/>
      <c r="P21" s="73"/>
      <c r="Q21" s="73"/>
      <c r="R21" s="73"/>
    </row>
    <row r="22" spans="1:18">
      <c r="A22" s="71" t="s">
        <v>63</v>
      </c>
      <c r="K22" s="73"/>
      <c r="L22" s="73"/>
      <c r="M22" s="73"/>
      <c r="N22" s="73"/>
      <c r="O22" s="73"/>
      <c r="P22" s="73"/>
      <c r="Q22" s="73"/>
      <c r="R22" s="73"/>
    </row>
    <row r="23" spans="1:18">
      <c r="B23" t="s">
        <v>234</v>
      </c>
      <c r="K23" s="73">
        <v>59384</v>
      </c>
      <c r="L23" s="73"/>
      <c r="M23" s="73"/>
      <c r="N23" s="73"/>
      <c r="O23" s="73">
        <v>43715</v>
      </c>
      <c r="P23" s="73">
        <v>10929</v>
      </c>
      <c r="Q23" s="73">
        <v>20284</v>
      </c>
      <c r="R23" s="73">
        <f>SUM(K23:Q23)</f>
        <v>134312</v>
      </c>
    </row>
    <row r="24" spans="1:18">
      <c r="K24" s="93"/>
      <c r="L24" s="93"/>
      <c r="M24" s="93"/>
      <c r="N24" s="93"/>
      <c r="O24" s="93"/>
      <c r="P24" s="93"/>
      <c r="Q24" s="93"/>
      <c r="R24" s="93"/>
    </row>
    <row r="25" spans="1:18">
      <c r="A25" s="5"/>
      <c r="B25" s="6"/>
      <c r="C25" s="6"/>
      <c r="D25" s="6"/>
      <c r="E25" s="6" t="s">
        <v>29</v>
      </c>
      <c r="F25" s="5"/>
      <c r="G25" s="5"/>
      <c r="H25" s="5"/>
      <c r="I25" s="5"/>
      <c r="J25" s="5"/>
      <c r="K25" s="79">
        <f t="shared" ref="K25:R25" si="3">SUM(K23:K23)</f>
        <v>59384</v>
      </c>
      <c r="L25" s="79">
        <f t="shared" si="3"/>
        <v>0</v>
      </c>
      <c r="M25" s="79">
        <f t="shared" si="3"/>
        <v>0</v>
      </c>
      <c r="N25" s="79">
        <f t="shared" si="3"/>
        <v>0</v>
      </c>
      <c r="O25" s="79">
        <f t="shared" si="3"/>
        <v>43715</v>
      </c>
      <c r="P25" s="79">
        <f t="shared" si="3"/>
        <v>10929</v>
      </c>
      <c r="Q25" s="79">
        <f t="shared" si="3"/>
        <v>20284</v>
      </c>
      <c r="R25" s="79">
        <f t="shared" si="3"/>
        <v>134312</v>
      </c>
    </row>
    <row r="26" spans="1:18">
      <c r="K26" s="73"/>
      <c r="L26" s="73"/>
      <c r="M26" s="73"/>
      <c r="N26" s="73"/>
      <c r="O26" s="73"/>
      <c r="P26" s="73"/>
      <c r="Q26" s="73"/>
      <c r="R26" s="73"/>
    </row>
    <row r="27" spans="1:18">
      <c r="B27" t="s">
        <v>30</v>
      </c>
      <c r="K27" s="73"/>
      <c r="L27" s="73"/>
      <c r="M27" s="73"/>
      <c r="N27" s="73"/>
      <c r="O27" s="73"/>
      <c r="P27" s="73"/>
      <c r="Q27" s="73"/>
      <c r="R27" s="73"/>
    </row>
    <row r="28" spans="1:18">
      <c r="C28" t="s">
        <v>88</v>
      </c>
      <c r="K28" s="73"/>
      <c r="L28" s="73">
        <v>163743</v>
      </c>
      <c r="M28" s="73">
        <v>452151</v>
      </c>
      <c r="N28" s="73">
        <v>434950</v>
      </c>
      <c r="O28" s="73">
        <v>533433</v>
      </c>
      <c r="P28" s="73">
        <v>415439</v>
      </c>
      <c r="Q28" s="73">
        <v>460054</v>
      </c>
      <c r="R28" s="73">
        <f t="shared" ref="R28:R29" si="4">SUM(K28:Q28)</f>
        <v>2459770</v>
      </c>
    </row>
    <row r="29" spans="1:18">
      <c r="C29" t="s">
        <v>76</v>
      </c>
      <c r="K29" s="84">
        <v>1068522</v>
      </c>
      <c r="L29" s="73"/>
      <c r="M29" s="73"/>
      <c r="N29" s="73"/>
      <c r="O29" s="73"/>
      <c r="P29" s="73"/>
      <c r="Q29" s="73"/>
      <c r="R29" s="73">
        <f t="shared" si="4"/>
        <v>1068522</v>
      </c>
    </row>
    <row r="30" spans="1:18">
      <c r="K30" s="93"/>
      <c r="L30" s="93"/>
      <c r="M30" s="93"/>
      <c r="N30" s="93"/>
      <c r="O30" s="93"/>
      <c r="P30" s="93"/>
      <c r="Q30" s="93"/>
      <c r="R30" s="93"/>
    </row>
    <row r="31" spans="1:18">
      <c r="A31" s="5"/>
      <c r="B31" s="5"/>
      <c r="C31" s="5"/>
      <c r="D31" s="6"/>
      <c r="E31" s="6" t="s">
        <v>77</v>
      </c>
      <c r="F31" s="5"/>
      <c r="G31" s="5"/>
      <c r="H31" s="5"/>
      <c r="I31" s="5"/>
      <c r="J31" s="5"/>
      <c r="K31" s="79">
        <f t="shared" ref="K31:R31" si="5">SUM(K28:K29)</f>
        <v>1068522</v>
      </c>
      <c r="L31" s="79">
        <f t="shared" si="5"/>
        <v>163743</v>
      </c>
      <c r="M31" s="79">
        <f t="shared" si="5"/>
        <v>452151</v>
      </c>
      <c r="N31" s="79">
        <f t="shared" si="5"/>
        <v>434950</v>
      </c>
      <c r="O31" s="79">
        <f t="shared" si="5"/>
        <v>533433</v>
      </c>
      <c r="P31" s="79">
        <f t="shared" si="5"/>
        <v>415439</v>
      </c>
      <c r="Q31" s="79">
        <f t="shared" si="5"/>
        <v>460054</v>
      </c>
      <c r="R31" s="79">
        <f t="shared" si="5"/>
        <v>3528292</v>
      </c>
    </row>
    <row r="32" spans="1:18">
      <c r="K32" s="73"/>
      <c r="L32" s="73"/>
      <c r="M32" s="73"/>
      <c r="N32" s="73"/>
      <c r="O32" s="73"/>
      <c r="P32" s="73"/>
      <c r="Q32" s="73"/>
      <c r="R32" s="73"/>
    </row>
    <row r="33" spans="1:18">
      <c r="A33" s="7"/>
      <c r="B33" s="7"/>
      <c r="C33" s="7"/>
      <c r="D33" s="8"/>
      <c r="E33" s="8" t="s">
        <v>78</v>
      </c>
      <c r="F33" s="7"/>
      <c r="G33" s="7"/>
      <c r="H33" s="7"/>
      <c r="I33" s="7"/>
      <c r="J33" s="7"/>
      <c r="K33" s="81">
        <f>K20+K25+K31</f>
        <v>1181415</v>
      </c>
      <c r="L33" s="81">
        <f t="shared" ref="L33:R33" si="6">L20+L25+L31</f>
        <v>177247</v>
      </c>
      <c r="M33" s="81">
        <f t="shared" si="6"/>
        <v>461546</v>
      </c>
      <c r="N33" s="81">
        <f t="shared" si="6"/>
        <v>471912</v>
      </c>
      <c r="O33" s="81">
        <f t="shared" si="6"/>
        <v>594015</v>
      </c>
      <c r="P33" s="81">
        <f t="shared" si="6"/>
        <v>431899</v>
      </c>
      <c r="Q33" s="81">
        <f t="shared" si="6"/>
        <v>489289</v>
      </c>
      <c r="R33" s="81">
        <f t="shared" si="6"/>
        <v>3807323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5"/>
  <sheetViews>
    <sheetView zoomScale="90" zoomScaleNormal="90" zoomScalePageLayoutView="90" workbookViewId="0">
      <selection activeCell="R37" sqref="R37"/>
    </sheetView>
  </sheetViews>
  <sheetFormatPr defaultColWidth="8.85546875" defaultRowHeight="15"/>
  <cols>
    <col min="11" max="11" width="13.85546875" customWidth="1"/>
    <col min="12" max="12" width="12.140625" customWidth="1"/>
    <col min="13" max="13" width="13.28515625" customWidth="1"/>
    <col min="14" max="14" width="11.42578125" customWidth="1"/>
    <col min="15" max="15" width="11.28515625" customWidth="1"/>
    <col min="16" max="16" width="11.42578125" customWidth="1"/>
    <col min="17" max="17" width="12.42578125" customWidth="1"/>
    <col min="18" max="18" width="14.140625" customWidth="1"/>
  </cols>
  <sheetData>
    <row r="1" spans="1:18" ht="18.75">
      <c r="D1" s="251" t="s">
        <v>235</v>
      </c>
      <c r="E1" s="251"/>
      <c r="F1" s="251"/>
      <c r="G1" s="251"/>
      <c r="H1" s="251"/>
      <c r="I1" s="251"/>
      <c r="J1" s="251"/>
      <c r="K1" s="251"/>
    </row>
    <row r="2" spans="1:18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8">
      <c r="D3" s="57"/>
      <c r="E3" s="57"/>
      <c r="F3" s="57"/>
      <c r="G3" s="57"/>
      <c r="H3" s="57"/>
      <c r="I3" s="57"/>
      <c r="J3" s="57"/>
      <c r="K3" s="57"/>
    </row>
    <row r="4" spans="1:18">
      <c r="P4" s="57"/>
      <c r="Q4" s="57"/>
    </row>
    <row r="5" spans="1:18" ht="45">
      <c r="K5" s="1" t="s">
        <v>50</v>
      </c>
      <c r="L5" s="1" t="s">
        <v>236</v>
      </c>
      <c r="M5" s="1" t="s">
        <v>237</v>
      </c>
      <c r="N5" s="1" t="s">
        <v>238</v>
      </c>
      <c r="O5" s="1" t="s">
        <v>239</v>
      </c>
      <c r="P5" s="1" t="s">
        <v>96</v>
      </c>
      <c r="Q5" s="1" t="s">
        <v>6</v>
      </c>
      <c r="R5" s="1" t="s">
        <v>7</v>
      </c>
    </row>
    <row r="6" spans="1:18">
      <c r="A6" s="86" t="s">
        <v>8</v>
      </c>
    </row>
    <row r="7" spans="1:18">
      <c r="B7" t="s">
        <v>85</v>
      </c>
      <c r="K7" s="72">
        <v>3314766</v>
      </c>
      <c r="L7" s="73">
        <v>132318</v>
      </c>
      <c r="M7" s="73">
        <v>763700</v>
      </c>
      <c r="N7" s="73">
        <v>946574</v>
      </c>
      <c r="O7" s="73">
        <v>79956</v>
      </c>
      <c r="P7" s="73">
        <v>57110</v>
      </c>
      <c r="Q7" s="73">
        <v>974702</v>
      </c>
      <c r="R7" s="73">
        <f t="shared" ref="R7:R10" si="0">SUM(K7:Q7)</f>
        <v>6269126</v>
      </c>
    </row>
    <row r="8" spans="1:18">
      <c r="B8" t="s">
        <v>10</v>
      </c>
      <c r="K8" s="77">
        <v>443112</v>
      </c>
      <c r="L8" s="73">
        <v>3040</v>
      </c>
      <c r="M8" s="73">
        <v>6249</v>
      </c>
      <c r="N8" s="73">
        <v>339032</v>
      </c>
      <c r="O8" s="73"/>
      <c r="P8" s="73"/>
      <c r="Q8" s="73">
        <v>5778</v>
      </c>
      <c r="R8" s="73">
        <f t="shared" si="0"/>
        <v>797211</v>
      </c>
    </row>
    <row r="9" spans="1:18">
      <c r="B9" t="s">
        <v>58</v>
      </c>
      <c r="K9" s="74">
        <v>618190</v>
      </c>
      <c r="L9" s="73">
        <v>1008728</v>
      </c>
      <c r="M9" s="73">
        <v>709657</v>
      </c>
      <c r="N9" s="73">
        <v>74185</v>
      </c>
      <c r="O9" s="73"/>
      <c r="P9" s="73"/>
      <c r="Q9" s="73">
        <v>673745</v>
      </c>
      <c r="R9" s="73">
        <f t="shared" si="0"/>
        <v>3084505</v>
      </c>
    </row>
    <row r="10" spans="1:18">
      <c r="B10" t="s">
        <v>16</v>
      </c>
      <c r="K10" s="75">
        <v>1094</v>
      </c>
      <c r="L10" s="73"/>
      <c r="M10" s="73"/>
      <c r="N10" s="73"/>
      <c r="O10" s="73"/>
      <c r="P10" s="73"/>
      <c r="Q10" s="73"/>
      <c r="R10" s="73">
        <f t="shared" si="0"/>
        <v>1094</v>
      </c>
    </row>
    <row r="11" spans="1:18">
      <c r="B11" t="s">
        <v>240</v>
      </c>
      <c r="K11" s="75">
        <v>22416</v>
      </c>
      <c r="L11" s="73"/>
      <c r="M11" s="73"/>
      <c r="N11" s="73"/>
      <c r="O11" s="73"/>
      <c r="P11" s="73"/>
      <c r="Q11" s="73"/>
      <c r="R11" s="73">
        <f>SUM(K11:Q11)</f>
        <v>22416</v>
      </c>
    </row>
    <row r="12" spans="1:18">
      <c r="B12" t="s">
        <v>241</v>
      </c>
      <c r="K12" s="82">
        <v>107283</v>
      </c>
      <c r="L12" s="73"/>
      <c r="M12" s="73"/>
      <c r="N12" s="73"/>
      <c r="O12" s="73"/>
      <c r="P12" s="73"/>
      <c r="Q12" s="73"/>
      <c r="R12" s="73">
        <f>SUM(K12:Q12)</f>
        <v>107283</v>
      </c>
    </row>
    <row r="13" spans="1:18">
      <c r="K13" s="93"/>
      <c r="L13" s="93"/>
      <c r="M13" s="93"/>
      <c r="N13" s="93"/>
      <c r="O13" s="93"/>
      <c r="P13" s="93"/>
      <c r="Q13" s="93"/>
      <c r="R13" s="93"/>
    </row>
    <row r="14" spans="1:18">
      <c r="A14" s="2"/>
      <c r="B14" s="2"/>
      <c r="C14" s="2"/>
      <c r="D14" s="2"/>
      <c r="E14" s="2" t="s">
        <v>62</v>
      </c>
      <c r="F14" s="3"/>
      <c r="G14" s="3"/>
      <c r="H14" s="3"/>
      <c r="I14" s="3"/>
      <c r="J14" s="3"/>
      <c r="K14" s="76">
        <f>SUM(K7:K12)</f>
        <v>4506861</v>
      </c>
      <c r="L14" s="76">
        <f t="shared" ref="L14:Q14" si="1">SUM(L7:L12)</f>
        <v>1144086</v>
      </c>
      <c r="M14" s="76">
        <f t="shared" si="1"/>
        <v>1479606</v>
      </c>
      <c r="N14" s="76">
        <f t="shared" si="1"/>
        <v>1359791</v>
      </c>
      <c r="O14" s="76">
        <f t="shared" si="1"/>
        <v>79956</v>
      </c>
      <c r="P14" s="76">
        <f t="shared" si="1"/>
        <v>57110</v>
      </c>
      <c r="Q14" s="76">
        <f t="shared" si="1"/>
        <v>1654225</v>
      </c>
      <c r="R14" s="76">
        <f>SUM(R7:R12)</f>
        <v>10281635</v>
      </c>
    </row>
    <row r="15" spans="1:18">
      <c r="K15" s="73"/>
      <c r="L15" s="73"/>
      <c r="M15" s="73"/>
      <c r="N15" s="73"/>
      <c r="O15" s="73"/>
      <c r="P15" s="73"/>
      <c r="Q15" s="73"/>
      <c r="R15" s="73"/>
    </row>
    <row r="16" spans="1:18">
      <c r="A16" s="4" t="s">
        <v>140</v>
      </c>
      <c r="K16" s="73"/>
      <c r="L16" s="73"/>
      <c r="M16" s="73"/>
      <c r="N16" s="73"/>
      <c r="O16" s="73"/>
      <c r="P16" s="73"/>
      <c r="Q16" s="73"/>
      <c r="R16" s="73"/>
    </row>
    <row r="17" spans="1:18">
      <c r="B17" t="s">
        <v>20</v>
      </c>
      <c r="K17" s="73"/>
      <c r="L17" s="73"/>
      <c r="M17" s="73"/>
      <c r="N17" s="73"/>
      <c r="O17" s="73"/>
      <c r="P17" s="73"/>
      <c r="Q17" s="73"/>
      <c r="R17" s="73"/>
    </row>
    <row r="18" spans="1:18">
      <c r="C18" t="s">
        <v>242</v>
      </c>
      <c r="K18" s="77">
        <v>224147</v>
      </c>
      <c r="L18" s="73">
        <v>98585</v>
      </c>
      <c r="M18" s="73">
        <v>16827</v>
      </c>
      <c r="N18" s="61">
        <v>55004</v>
      </c>
      <c r="O18" s="73">
        <v>25785</v>
      </c>
      <c r="P18" s="73">
        <v>300</v>
      </c>
      <c r="Q18" s="73">
        <v>26219</v>
      </c>
      <c r="R18" s="73">
        <f>SUM(K18:Q18)</f>
        <v>446867</v>
      </c>
    </row>
    <row r="19" spans="1:18">
      <c r="C19" t="s">
        <v>25</v>
      </c>
      <c r="K19" s="73"/>
      <c r="L19" s="73">
        <v>538</v>
      </c>
      <c r="M19" s="73">
        <v>456</v>
      </c>
      <c r="O19" s="73"/>
      <c r="P19" s="73"/>
      <c r="Q19" s="73">
        <v>100</v>
      </c>
      <c r="R19" s="73">
        <f>SUM(K19:Q19)</f>
        <v>1094</v>
      </c>
    </row>
    <row r="20" spans="1:18">
      <c r="C20" t="s">
        <v>207</v>
      </c>
      <c r="K20" s="73"/>
      <c r="L20" s="73"/>
      <c r="M20" s="73"/>
      <c r="N20" s="73"/>
      <c r="O20" s="73"/>
      <c r="P20" s="73">
        <v>14025</v>
      </c>
      <c r="Q20" s="73"/>
      <c r="R20" s="73">
        <f>SUM(K20:Q20)</f>
        <v>14025</v>
      </c>
    </row>
    <row r="21" spans="1:18">
      <c r="K21" s="93"/>
      <c r="L21" s="93"/>
      <c r="M21" s="93"/>
      <c r="N21" s="93"/>
      <c r="O21" s="93"/>
      <c r="P21" s="93"/>
      <c r="Q21" s="93"/>
      <c r="R21" s="93"/>
    </row>
    <row r="22" spans="1:18">
      <c r="A22" s="5"/>
      <c r="B22" s="6"/>
      <c r="C22" s="6"/>
      <c r="D22" s="6"/>
      <c r="E22" s="6" t="s">
        <v>26</v>
      </c>
      <c r="F22" s="5"/>
      <c r="G22" s="5"/>
      <c r="H22" s="5"/>
      <c r="I22" s="5"/>
      <c r="J22" s="5"/>
      <c r="K22" s="79">
        <f>SUM(K18:K20)</f>
        <v>224147</v>
      </c>
      <c r="L22" s="79">
        <f t="shared" ref="L22:R22" si="2">SUM(L18:L20)</f>
        <v>99123</v>
      </c>
      <c r="M22" s="79">
        <f t="shared" si="2"/>
        <v>17283</v>
      </c>
      <c r="N22" s="79">
        <f t="shared" si="2"/>
        <v>55004</v>
      </c>
      <c r="O22" s="79">
        <f t="shared" si="2"/>
        <v>25785</v>
      </c>
      <c r="P22" s="79">
        <f t="shared" si="2"/>
        <v>14325</v>
      </c>
      <c r="Q22" s="79">
        <f t="shared" si="2"/>
        <v>26319</v>
      </c>
      <c r="R22" s="79">
        <f t="shared" si="2"/>
        <v>461986</v>
      </c>
    </row>
    <row r="23" spans="1:18">
      <c r="K23" s="73"/>
      <c r="L23" s="73"/>
      <c r="M23" s="73"/>
      <c r="N23" s="73"/>
      <c r="O23" s="73"/>
      <c r="P23" s="73"/>
      <c r="Q23" s="73"/>
      <c r="R23" s="73"/>
    </row>
    <row r="24" spans="1:18">
      <c r="A24" s="71" t="s">
        <v>63</v>
      </c>
      <c r="K24" s="73"/>
      <c r="L24" s="73"/>
      <c r="M24" s="73"/>
      <c r="N24" s="73"/>
      <c r="O24" s="73"/>
      <c r="P24" s="73"/>
      <c r="Q24" s="73"/>
      <c r="R24" s="73"/>
    </row>
    <row r="25" spans="1:18">
      <c r="B25" t="s">
        <v>243</v>
      </c>
      <c r="K25" s="73">
        <v>54472</v>
      </c>
      <c r="L25" s="73">
        <v>104733</v>
      </c>
      <c r="M25" s="73">
        <v>68044</v>
      </c>
      <c r="N25" s="73"/>
      <c r="O25" s="73"/>
      <c r="P25" s="73">
        <v>15626</v>
      </c>
      <c r="Q25" s="73">
        <v>64421</v>
      </c>
      <c r="R25" s="73">
        <f>SUM(K25:Q25)</f>
        <v>307296</v>
      </c>
    </row>
    <row r="26" spans="1:18">
      <c r="K26" s="93"/>
      <c r="L26" s="93"/>
      <c r="M26" s="93"/>
      <c r="N26" s="93"/>
      <c r="O26" s="93"/>
      <c r="P26" s="93"/>
      <c r="Q26" s="93"/>
      <c r="R26" s="93"/>
    </row>
    <row r="27" spans="1:18">
      <c r="A27" s="5"/>
      <c r="B27" s="6"/>
      <c r="C27" s="6"/>
      <c r="D27" s="6"/>
      <c r="E27" s="6" t="s">
        <v>29</v>
      </c>
      <c r="F27" s="5"/>
      <c r="G27" s="5"/>
      <c r="H27" s="5"/>
      <c r="I27" s="5"/>
      <c r="J27" s="5"/>
      <c r="K27" s="79">
        <f t="shared" ref="K27:R27" si="3">SUM(K25:K25)</f>
        <v>54472</v>
      </c>
      <c r="L27" s="79">
        <f t="shared" si="3"/>
        <v>104733</v>
      </c>
      <c r="M27" s="79">
        <f t="shared" si="3"/>
        <v>68044</v>
      </c>
      <c r="N27" s="79">
        <f t="shared" si="3"/>
        <v>0</v>
      </c>
      <c r="O27" s="79">
        <f t="shared" si="3"/>
        <v>0</v>
      </c>
      <c r="P27" s="79">
        <f t="shared" si="3"/>
        <v>15626</v>
      </c>
      <c r="Q27" s="79">
        <f t="shared" si="3"/>
        <v>64421</v>
      </c>
      <c r="R27" s="79">
        <f t="shared" si="3"/>
        <v>307296</v>
      </c>
    </row>
    <row r="28" spans="1:18">
      <c r="K28" s="73"/>
      <c r="L28" s="73"/>
      <c r="M28" s="73"/>
      <c r="N28" s="73"/>
      <c r="O28" s="73"/>
      <c r="P28" s="73"/>
      <c r="Q28" s="73"/>
      <c r="R28" s="73"/>
    </row>
    <row r="29" spans="1:18">
      <c r="B29" t="s">
        <v>30</v>
      </c>
      <c r="K29" s="73"/>
      <c r="L29" s="73"/>
      <c r="M29" s="73"/>
      <c r="N29" s="73"/>
      <c r="O29" s="73"/>
      <c r="P29" s="73"/>
      <c r="Q29" s="73"/>
      <c r="R29" s="73"/>
    </row>
    <row r="30" spans="1:18">
      <c r="C30" t="s">
        <v>244</v>
      </c>
      <c r="K30" s="80">
        <v>485567</v>
      </c>
      <c r="L30" s="73">
        <v>940230</v>
      </c>
      <c r="M30" s="73">
        <v>1394279</v>
      </c>
      <c r="N30" s="73">
        <v>1304787</v>
      </c>
      <c r="O30" s="73">
        <v>54171</v>
      </c>
      <c r="P30" s="73">
        <v>27159</v>
      </c>
      <c r="Q30" s="73">
        <v>1563485</v>
      </c>
      <c r="R30" s="73">
        <f t="shared" ref="R30:R31" si="4">SUM(K30:Q30)</f>
        <v>5769678</v>
      </c>
    </row>
    <row r="31" spans="1:18">
      <c r="C31" t="s">
        <v>245</v>
      </c>
      <c r="K31" s="84">
        <v>3742675</v>
      </c>
      <c r="L31" s="73"/>
      <c r="M31" s="73"/>
      <c r="N31" s="73"/>
      <c r="O31" s="73"/>
      <c r="P31" s="73"/>
      <c r="Q31" s="73"/>
      <c r="R31" s="73">
        <f t="shared" si="4"/>
        <v>3742675</v>
      </c>
    </row>
    <row r="32" spans="1:18">
      <c r="K32" s="93"/>
      <c r="L32" s="93"/>
      <c r="M32" s="93"/>
      <c r="N32" s="93"/>
      <c r="O32" s="93"/>
      <c r="P32" s="93"/>
      <c r="Q32" s="93"/>
      <c r="R32" s="93"/>
    </row>
    <row r="33" spans="1:18">
      <c r="A33" s="5"/>
      <c r="B33" s="5"/>
      <c r="C33" s="5"/>
      <c r="D33" s="6"/>
      <c r="E33" s="6" t="s">
        <v>77</v>
      </c>
      <c r="F33" s="5"/>
      <c r="G33" s="5"/>
      <c r="H33" s="5"/>
      <c r="I33" s="5"/>
      <c r="J33" s="5"/>
      <c r="K33" s="79">
        <f t="shared" ref="K33:R33" si="5">SUM(K30:K31)</f>
        <v>4228242</v>
      </c>
      <c r="L33" s="79">
        <f t="shared" si="5"/>
        <v>940230</v>
      </c>
      <c r="M33" s="79">
        <f t="shared" si="5"/>
        <v>1394279</v>
      </c>
      <c r="N33" s="79">
        <f t="shared" si="5"/>
        <v>1304787</v>
      </c>
      <c r="O33" s="79">
        <f t="shared" si="5"/>
        <v>54171</v>
      </c>
      <c r="P33" s="79">
        <f t="shared" si="5"/>
        <v>27159</v>
      </c>
      <c r="Q33" s="79">
        <f t="shared" si="5"/>
        <v>1563485</v>
      </c>
      <c r="R33" s="79">
        <f t="shared" si="5"/>
        <v>9512353</v>
      </c>
    </row>
    <row r="34" spans="1:18">
      <c r="K34" s="73"/>
      <c r="L34" s="73"/>
      <c r="M34" s="73"/>
      <c r="N34" s="73"/>
      <c r="O34" s="73"/>
      <c r="P34" s="73"/>
      <c r="Q34" s="73"/>
      <c r="R34" s="73"/>
    </row>
    <row r="35" spans="1:18">
      <c r="A35" s="7"/>
      <c r="B35" s="7"/>
      <c r="C35" s="7"/>
      <c r="D35" s="8"/>
      <c r="E35" s="8" t="s">
        <v>78</v>
      </c>
      <c r="F35" s="7"/>
      <c r="G35" s="7"/>
      <c r="H35" s="7"/>
      <c r="I35" s="7"/>
      <c r="J35" s="7"/>
      <c r="K35" s="81">
        <f>SUM(K22+K27+K33)</f>
        <v>4506861</v>
      </c>
      <c r="L35" s="81">
        <f t="shared" ref="L35:R35" si="6">SUM(L22+L27+L33)</f>
        <v>1144086</v>
      </c>
      <c r="M35" s="81">
        <f t="shared" si="6"/>
        <v>1479606</v>
      </c>
      <c r="N35" s="81">
        <f t="shared" si="6"/>
        <v>1359791</v>
      </c>
      <c r="O35" s="81">
        <f t="shared" si="6"/>
        <v>79956</v>
      </c>
      <c r="P35" s="81">
        <f t="shared" si="6"/>
        <v>57110</v>
      </c>
      <c r="Q35" s="81">
        <f t="shared" si="6"/>
        <v>1654225</v>
      </c>
      <c r="R35" s="81">
        <f t="shared" si="6"/>
        <v>10281635</v>
      </c>
    </row>
  </sheetData>
  <mergeCells count="2">
    <mergeCell ref="D1:K1"/>
    <mergeCell ref="D2:K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9"/>
  <sheetViews>
    <sheetView zoomScale="80" zoomScaleNormal="80" zoomScalePageLayoutView="80" workbookViewId="0">
      <selection activeCell="E4" sqref="E4"/>
    </sheetView>
  </sheetViews>
  <sheetFormatPr defaultColWidth="8.85546875" defaultRowHeight="15"/>
  <cols>
    <col min="5" max="5" width="22.42578125" customWidth="1"/>
    <col min="11" max="11" width="15.140625" customWidth="1"/>
    <col min="12" max="12" width="13.7109375" customWidth="1"/>
    <col min="13" max="13" width="15.140625" customWidth="1"/>
    <col min="14" max="14" width="15.28515625" customWidth="1"/>
    <col min="15" max="15" width="17.28515625" customWidth="1"/>
    <col min="16" max="16" width="16.42578125" customWidth="1"/>
    <col min="17" max="17" width="14.28515625" customWidth="1"/>
  </cols>
  <sheetData>
    <row r="1" spans="1:17" ht="18.75">
      <c r="D1" s="251" t="s">
        <v>246</v>
      </c>
      <c r="E1" s="251"/>
      <c r="F1" s="251"/>
      <c r="G1" s="251"/>
      <c r="H1" s="251"/>
      <c r="I1" s="251"/>
      <c r="J1" s="251"/>
      <c r="K1" s="251"/>
    </row>
    <row r="2" spans="1:17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7">
      <c r="D3" s="57"/>
      <c r="E3" s="57"/>
      <c r="F3" s="57"/>
      <c r="G3" s="57"/>
      <c r="H3" s="57"/>
      <c r="I3" s="57"/>
      <c r="J3" s="57"/>
      <c r="K3" s="57"/>
    </row>
    <row r="4" spans="1:17">
      <c r="K4" s="112"/>
      <c r="L4" s="112"/>
      <c r="M4" s="192" t="s">
        <v>247</v>
      </c>
      <c r="N4" s="112"/>
      <c r="O4" s="112"/>
      <c r="P4" s="57"/>
    </row>
    <row r="5" spans="1:17" ht="45">
      <c r="K5" s="1" t="s">
        <v>2</v>
      </c>
      <c r="L5" s="1" t="s">
        <v>248</v>
      </c>
      <c r="M5" s="1" t="s">
        <v>4</v>
      </c>
      <c r="N5" s="1" t="s">
        <v>249</v>
      </c>
      <c r="O5" s="1" t="s">
        <v>250</v>
      </c>
      <c r="P5" s="1" t="s">
        <v>6</v>
      </c>
      <c r="Q5" s="1" t="s">
        <v>7</v>
      </c>
    </row>
    <row r="6" spans="1:17">
      <c r="A6" s="86" t="s">
        <v>8</v>
      </c>
    </row>
    <row r="7" spans="1:17">
      <c r="B7" t="s">
        <v>85</v>
      </c>
      <c r="K7" s="72">
        <v>3075673</v>
      </c>
      <c r="L7" s="73">
        <v>1018003</v>
      </c>
      <c r="M7" s="73">
        <v>1748390</v>
      </c>
      <c r="N7" s="73"/>
      <c r="O7" s="73">
        <v>441379</v>
      </c>
      <c r="P7" s="73">
        <v>750518</v>
      </c>
      <c r="Q7" s="73">
        <f t="shared" ref="Q7:Q14" si="0">SUM(K7:P7)</f>
        <v>7033963</v>
      </c>
    </row>
    <row r="8" spans="1:17">
      <c r="B8" t="s">
        <v>251</v>
      </c>
      <c r="K8" s="73"/>
      <c r="L8" s="73"/>
      <c r="M8" s="73"/>
      <c r="N8" s="73">
        <v>2563431</v>
      </c>
      <c r="O8" s="73"/>
      <c r="P8" s="73"/>
      <c r="Q8" s="73">
        <f t="shared" si="0"/>
        <v>2563431</v>
      </c>
    </row>
    <row r="9" spans="1:17">
      <c r="B9" t="s">
        <v>252</v>
      </c>
      <c r="K9" s="74">
        <v>47869</v>
      </c>
      <c r="L9" s="73">
        <v>12215</v>
      </c>
      <c r="M9" s="73"/>
      <c r="N9" s="73"/>
      <c r="O9" s="73">
        <v>35363</v>
      </c>
      <c r="P9" s="73">
        <v>120495</v>
      </c>
      <c r="Q9" s="73">
        <f t="shared" si="0"/>
        <v>215942</v>
      </c>
    </row>
    <row r="10" spans="1:17">
      <c r="B10" t="s">
        <v>253</v>
      </c>
      <c r="K10" s="74">
        <v>250020</v>
      </c>
      <c r="L10" s="73">
        <v>1101391</v>
      </c>
      <c r="M10" s="73"/>
      <c r="N10" s="73"/>
      <c r="O10" s="73">
        <v>199355</v>
      </c>
      <c r="P10" s="73"/>
      <c r="Q10" s="73">
        <f t="shared" si="0"/>
        <v>1550766</v>
      </c>
    </row>
    <row r="11" spans="1:17">
      <c r="B11" t="s">
        <v>254</v>
      </c>
      <c r="K11" s="73"/>
      <c r="L11" s="73"/>
      <c r="M11" s="73">
        <v>257934</v>
      </c>
      <c r="N11" s="73"/>
      <c r="O11" s="73"/>
      <c r="P11" s="73"/>
      <c r="Q11" s="73">
        <f t="shared" si="0"/>
        <v>257934</v>
      </c>
    </row>
    <row r="12" spans="1:17">
      <c r="B12" t="s">
        <v>255</v>
      </c>
      <c r="K12" s="74">
        <v>143713</v>
      </c>
      <c r="L12" s="73"/>
      <c r="M12" s="73"/>
      <c r="N12" s="73"/>
      <c r="O12" s="73"/>
      <c r="P12" s="73"/>
      <c r="Q12" s="73">
        <f t="shared" si="0"/>
        <v>143713</v>
      </c>
    </row>
    <row r="13" spans="1:17">
      <c r="B13" t="s">
        <v>256</v>
      </c>
      <c r="K13" s="73"/>
      <c r="L13" s="73"/>
      <c r="M13" s="73"/>
      <c r="N13" s="73"/>
      <c r="O13" s="73"/>
      <c r="P13" s="73"/>
      <c r="Q13" s="73">
        <f t="shared" si="0"/>
        <v>0</v>
      </c>
    </row>
    <row r="14" spans="1:17">
      <c r="B14" t="s">
        <v>16</v>
      </c>
      <c r="K14" s="75">
        <v>12550</v>
      </c>
      <c r="L14" s="73">
        <v>12000</v>
      </c>
      <c r="M14" s="73"/>
      <c r="N14" s="73">
        <v>80000</v>
      </c>
      <c r="O14" s="73"/>
      <c r="P14" s="73">
        <v>74200</v>
      </c>
      <c r="Q14" s="73">
        <f t="shared" si="0"/>
        <v>178750</v>
      </c>
    </row>
    <row r="15" spans="1:17">
      <c r="K15" s="93"/>
      <c r="L15" s="93"/>
      <c r="M15" s="93"/>
      <c r="N15" s="93"/>
      <c r="O15" s="93"/>
      <c r="P15" s="93"/>
      <c r="Q15" s="93"/>
    </row>
    <row r="16" spans="1:17">
      <c r="A16" s="2"/>
      <c r="B16" s="2"/>
      <c r="C16" s="2"/>
      <c r="D16" s="2"/>
      <c r="E16" s="2" t="s">
        <v>62</v>
      </c>
      <c r="F16" s="3"/>
      <c r="G16" s="3"/>
      <c r="H16" s="3"/>
      <c r="I16" s="3"/>
      <c r="J16" s="3"/>
      <c r="K16" s="76">
        <f>SUM(K7:K14)</f>
        <v>3529825</v>
      </c>
      <c r="L16" s="76">
        <f t="shared" ref="L16:Q16" si="1">SUM(L7:L14)</f>
        <v>2143609</v>
      </c>
      <c r="M16" s="76">
        <f t="shared" si="1"/>
        <v>2006324</v>
      </c>
      <c r="N16" s="76">
        <f t="shared" si="1"/>
        <v>2643431</v>
      </c>
      <c r="O16" s="76">
        <f t="shared" si="1"/>
        <v>676097</v>
      </c>
      <c r="P16" s="76">
        <f t="shared" si="1"/>
        <v>945213</v>
      </c>
      <c r="Q16" s="76">
        <f t="shared" si="1"/>
        <v>11944499</v>
      </c>
    </row>
    <row r="17" spans="1:17">
      <c r="K17" s="73"/>
      <c r="L17" s="73"/>
      <c r="M17" s="73"/>
      <c r="N17" s="73"/>
      <c r="O17" s="73"/>
      <c r="P17" s="73"/>
      <c r="Q17" s="73"/>
    </row>
    <row r="18" spans="1:17">
      <c r="A18" s="4" t="s">
        <v>119</v>
      </c>
      <c r="K18" s="73"/>
      <c r="L18" s="73"/>
      <c r="M18" s="73"/>
      <c r="N18" s="73"/>
      <c r="O18" s="73"/>
      <c r="P18" s="73"/>
      <c r="Q18" s="73"/>
    </row>
    <row r="19" spans="1:17">
      <c r="C19" t="s">
        <v>21</v>
      </c>
      <c r="K19" s="77">
        <v>69082</v>
      </c>
      <c r="L19" s="73"/>
      <c r="M19" s="73">
        <v>21581</v>
      </c>
      <c r="N19" s="61"/>
      <c r="O19" s="73">
        <v>35363</v>
      </c>
      <c r="P19" s="73">
        <v>49925</v>
      </c>
      <c r="Q19" s="73">
        <f>SUM(K19:P19)</f>
        <v>175951</v>
      </c>
    </row>
    <row r="20" spans="1:17">
      <c r="C20" t="s">
        <v>257</v>
      </c>
      <c r="K20" s="82">
        <v>36195</v>
      </c>
      <c r="L20" s="73">
        <v>26322</v>
      </c>
      <c r="M20" s="73"/>
      <c r="N20" s="61"/>
      <c r="O20" s="73"/>
      <c r="P20" s="73">
        <v>21455</v>
      </c>
      <c r="Q20" s="73">
        <f t="shared" ref="Q20:Q21" si="2">SUM(K20:P20)</f>
        <v>83972</v>
      </c>
    </row>
    <row r="21" spans="1:17">
      <c r="C21" t="s">
        <v>25</v>
      </c>
      <c r="K21" s="73"/>
      <c r="L21" s="73"/>
      <c r="M21" s="73">
        <v>178750</v>
      </c>
      <c r="O21" s="73"/>
      <c r="P21" s="73"/>
      <c r="Q21" s="73">
        <f t="shared" si="2"/>
        <v>178750</v>
      </c>
    </row>
    <row r="22" spans="1:17">
      <c r="K22" s="93"/>
      <c r="L22" s="93"/>
      <c r="M22" s="93"/>
      <c r="N22" s="93"/>
      <c r="O22" s="93"/>
      <c r="P22" s="93"/>
      <c r="Q22" s="93"/>
    </row>
    <row r="23" spans="1:17">
      <c r="A23" s="5"/>
      <c r="B23" s="6"/>
      <c r="C23" s="6"/>
      <c r="D23" s="6"/>
      <c r="E23" s="6" t="s">
        <v>26</v>
      </c>
      <c r="F23" s="5"/>
      <c r="G23" s="5"/>
      <c r="H23" s="5"/>
      <c r="I23" s="5"/>
      <c r="J23" s="5"/>
      <c r="K23" s="79">
        <f t="shared" ref="K23:Q23" si="3">SUM(K19:K21)</f>
        <v>105277</v>
      </c>
      <c r="L23" s="79">
        <f t="shared" si="3"/>
        <v>26322</v>
      </c>
      <c r="M23" s="79">
        <f t="shared" si="3"/>
        <v>200331</v>
      </c>
      <c r="N23" s="79">
        <f t="shared" si="3"/>
        <v>0</v>
      </c>
      <c r="O23" s="79">
        <f t="shared" si="3"/>
        <v>35363</v>
      </c>
      <c r="P23" s="79">
        <f t="shared" si="3"/>
        <v>71380</v>
      </c>
      <c r="Q23" s="79">
        <f t="shared" si="3"/>
        <v>438673</v>
      </c>
    </row>
    <row r="24" spans="1:17">
      <c r="K24" s="73"/>
      <c r="L24" s="73"/>
      <c r="M24" s="73"/>
      <c r="N24" s="73"/>
      <c r="O24" s="73"/>
      <c r="P24" s="73"/>
      <c r="Q24" s="73"/>
    </row>
    <row r="25" spans="1:17">
      <c r="A25" s="71" t="s">
        <v>63</v>
      </c>
      <c r="K25" s="73"/>
      <c r="L25" s="73"/>
      <c r="M25" s="73"/>
      <c r="N25" s="73"/>
      <c r="O25" s="73"/>
      <c r="P25" s="73"/>
      <c r="Q25" s="73"/>
    </row>
    <row r="26" spans="1:17">
      <c r="B26" t="s">
        <v>258</v>
      </c>
      <c r="K26" s="73">
        <v>11753</v>
      </c>
      <c r="L26" s="73">
        <v>51777</v>
      </c>
      <c r="M26" s="73"/>
      <c r="N26" s="73"/>
      <c r="O26" s="73">
        <v>9372</v>
      </c>
      <c r="P26" s="73"/>
      <c r="Q26" s="73">
        <f>SUM(K26:P26)</f>
        <v>72902</v>
      </c>
    </row>
    <row r="27" spans="1:17">
      <c r="K27" s="93"/>
      <c r="L27" s="93"/>
      <c r="M27" s="93"/>
      <c r="N27" s="93"/>
      <c r="O27" s="93"/>
      <c r="P27" s="93"/>
      <c r="Q27" s="93"/>
    </row>
    <row r="28" spans="1:17">
      <c r="A28" s="5"/>
      <c r="B28" s="6"/>
      <c r="C28" s="6"/>
      <c r="D28" s="6"/>
      <c r="E28" s="6" t="s">
        <v>29</v>
      </c>
      <c r="F28" s="5"/>
      <c r="G28" s="5"/>
      <c r="H28" s="5"/>
      <c r="I28" s="5"/>
      <c r="J28" s="5"/>
      <c r="K28" s="79">
        <f t="shared" ref="K28:Q28" si="4">SUM(K26:K26)</f>
        <v>11753</v>
      </c>
      <c r="L28" s="79">
        <f t="shared" si="4"/>
        <v>51777</v>
      </c>
      <c r="M28" s="79">
        <f t="shared" si="4"/>
        <v>0</v>
      </c>
      <c r="N28" s="79">
        <f t="shared" si="4"/>
        <v>0</v>
      </c>
      <c r="O28" s="79">
        <f t="shared" si="4"/>
        <v>9372</v>
      </c>
      <c r="P28" s="79">
        <f t="shared" si="4"/>
        <v>0</v>
      </c>
      <c r="Q28" s="79">
        <f t="shared" si="4"/>
        <v>72902</v>
      </c>
    </row>
    <row r="29" spans="1:17">
      <c r="K29" s="73"/>
      <c r="L29" s="73"/>
      <c r="M29" s="73"/>
      <c r="N29" s="73"/>
      <c r="O29" s="73"/>
      <c r="P29" s="73"/>
      <c r="Q29" s="73"/>
    </row>
    <row r="30" spans="1:17">
      <c r="A30" s="86" t="s">
        <v>30</v>
      </c>
      <c r="K30" s="73"/>
      <c r="L30" s="73"/>
      <c r="M30" s="73"/>
      <c r="N30" s="73"/>
      <c r="O30" s="73"/>
      <c r="P30" s="73"/>
      <c r="Q30" s="73"/>
    </row>
    <row r="31" spans="1:17">
      <c r="C31" t="s">
        <v>88</v>
      </c>
      <c r="K31" s="73"/>
      <c r="L31" s="73"/>
      <c r="M31" s="73"/>
      <c r="N31" s="73"/>
      <c r="O31" s="73"/>
      <c r="P31" s="73"/>
      <c r="Q31" s="73">
        <f t="shared" ref="Q31:Q35" si="5">SUM(K31:P31)</f>
        <v>0</v>
      </c>
    </row>
    <row r="32" spans="1:17">
      <c r="D32" t="s">
        <v>73</v>
      </c>
      <c r="K32" s="73"/>
      <c r="L32" s="73"/>
      <c r="M32" s="73"/>
      <c r="N32" s="73">
        <v>2643431</v>
      </c>
      <c r="O32" s="73"/>
      <c r="P32" s="73"/>
      <c r="Q32" s="73">
        <f t="shared" si="5"/>
        <v>2643431</v>
      </c>
    </row>
    <row r="33" spans="1:17">
      <c r="C33" t="s">
        <v>259</v>
      </c>
      <c r="K33" s="73"/>
      <c r="L33" s="73"/>
      <c r="M33" s="73"/>
      <c r="N33" s="73"/>
      <c r="O33" s="73"/>
      <c r="P33" s="73"/>
      <c r="Q33" s="73">
        <f t="shared" si="5"/>
        <v>0</v>
      </c>
    </row>
    <row r="34" spans="1:17">
      <c r="D34" t="s">
        <v>260</v>
      </c>
      <c r="K34" s="73"/>
      <c r="L34" s="73">
        <v>2065510</v>
      </c>
      <c r="M34" s="73">
        <v>1805993</v>
      </c>
      <c r="N34" s="73"/>
      <c r="O34" s="73">
        <v>631362</v>
      </c>
      <c r="P34" s="73">
        <v>873833</v>
      </c>
      <c r="Q34" s="73">
        <f t="shared" si="5"/>
        <v>5376698</v>
      </c>
    </row>
    <row r="35" spans="1:17">
      <c r="C35" t="s">
        <v>46</v>
      </c>
      <c r="K35" s="84">
        <v>3412795</v>
      </c>
      <c r="L35" s="73"/>
      <c r="M35" s="73"/>
      <c r="N35" s="73"/>
      <c r="O35" s="73"/>
      <c r="P35" s="73"/>
      <c r="Q35" s="73">
        <f t="shared" si="5"/>
        <v>3412795</v>
      </c>
    </row>
    <row r="36" spans="1:17">
      <c r="K36" s="93"/>
      <c r="L36" s="93"/>
      <c r="M36" s="93"/>
      <c r="N36" s="93"/>
      <c r="O36" s="93"/>
      <c r="P36" s="93"/>
      <c r="Q36" s="93"/>
    </row>
    <row r="37" spans="1:17">
      <c r="A37" s="5"/>
      <c r="B37" s="5"/>
      <c r="C37" s="5"/>
      <c r="D37" s="6"/>
      <c r="E37" s="6" t="s">
        <v>77</v>
      </c>
      <c r="F37" s="5"/>
      <c r="G37" s="5"/>
      <c r="H37" s="5"/>
      <c r="I37" s="5"/>
      <c r="J37" s="5"/>
      <c r="K37" s="79">
        <f t="shared" ref="K37:Q37" si="6">SUM(K31:K35)</f>
        <v>3412795</v>
      </c>
      <c r="L37" s="79">
        <f t="shared" si="6"/>
        <v>2065510</v>
      </c>
      <c r="M37" s="79">
        <f t="shared" si="6"/>
        <v>1805993</v>
      </c>
      <c r="N37" s="79">
        <f t="shared" si="6"/>
        <v>2643431</v>
      </c>
      <c r="O37" s="79">
        <f t="shared" si="6"/>
        <v>631362</v>
      </c>
      <c r="P37" s="79">
        <f t="shared" si="6"/>
        <v>873833</v>
      </c>
      <c r="Q37" s="79">
        <f t="shared" si="6"/>
        <v>11432924</v>
      </c>
    </row>
    <row r="38" spans="1:17">
      <c r="K38" s="73"/>
      <c r="L38" s="73"/>
      <c r="M38" s="73"/>
      <c r="N38" s="73"/>
      <c r="O38" s="73"/>
      <c r="P38" s="73"/>
      <c r="Q38" s="73"/>
    </row>
    <row r="39" spans="1:17">
      <c r="A39" s="7"/>
      <c r="B39" s="7"/>
      <c r="C39" s="7"/>
      <c r="D39" s="8"/>
      <c r="E39" s="8" t="s">
        <v>78</v>
      </c>
      <c r="F39" s="7"/>
      <c r="G39" s="7"/>
      <c r="H39" s="7"/>
      <c r="I39" s="7"/>
      <c r="J39" s="7"/>
      <c r="K39" s="81">
        <f>SUM(K23+K28+K37)</f>
        <v>3529825</v>
      </c>
      <c r="L39" s="81">
        <f t="shared" ref="L39:Q39" si="7">SUM(L23+L28+L37)</f>
        <v>2143609</v>
      </c>
      <c r="M39" s="81">
        <f t="shared" si="7"/>
        <v>2006324</v>
      </c>
      <c r="N39" s="81">
        <f t="shared" si="7"/>
        <v>2643431</v>
      </c>
      <c r="O39" s="81">
        <f t="shared" si="7"/>
        <v>676097</v>
      </c>
      <c r="P39" s="81">
        <f t="shared" si="7"/>
        <v>945213</v>
      </c>
      <c r="Q39" s="81">
        <f t="shared" si="7"/>
        <v>11944499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49"/>
  <sheetViews>
    <sheetView workbookViewId="0"/>
  </sheetViews>
  <sheetFormatPr defaultColWidth="8.85546875" defaultRowHeight="15"/>
  <cols>
    <col min="11" max="11" width="15.42578125" customWidth="1"/>
    <col min="12" max="12" width="14.42578125" customWidth="1"/>
    <col min="13" max="13" width="15.42578125" customWidth="1"/>
    <col min="14" max="14" width="14.85546875" customWidth="1"/>
    <col min="15" max="16" width="16" customWidth="1"/>
    <col min="17" max="17" width="15.140625" customWidth="1"/>
    <col min="18" max="18" width="17" customWidth="1"/>
  </cols>
  <sheetData>
    <row r="1" spans="1:18" ht="18.75">
      <c r="D1" s="251" t="s">
        <v>261</v>
      </c>
      <c r="E1" s="251"/>
      <c r="F1" s="251"/>
      <c r="G1" s="251"/>
      <c r="H1" s="251"/>
      <c r="I1" s="251"/>
      <c r="J1" s="251"/>
      <c r="K1" s="251"/>
    </row>
    <row r="2" spans="1:18">
      <c r="D2" s="252" t="s">
        <v>1</v>
      </c>
      <c r="E2" s="252"/>
      <c r="F2" s="252"/>
      <c r="G2" s="252"/>
      <c r="H2" s="252"/>
      <c r="I2" s="252"/>
      <c r="J2" s="252"/>
      <c r="K2" s="252"/>
    </row>
    <row r="4" spans="1:18" ht="45">
      <c r="K4" s="1" t="s">
        <v>2</v>
      </c>
      <c r="L4" s="1" t="s">
        <v>51</v>
      </c>
      <c r="M4" s="1" t="s">
        <v>262</v>
      </c>
      <c r="N4" s="1" t="s">
        <v>263</v>
      </c>
      <c r="O4" s="1" t="s">
        <v>264</v>
      </c>
      <c r="P4" s="1" t="s">
        <v>238</v>
      </c>
      <c r="Q4" s="1" t="s">
        <v>6</v>
      </c>
      <c r="R4" s="1" t="s">
        <v>7</v>
      </c>
    </row>
    <row r="5" spans="1:18">
      <c r="A5" t="s">
        <v>8</v>
      </c>
    </row>
    <row r="6" spans="1:18">
      <c r="B6" t="s">
        <v>179</v>
      </c>
      <c r="K6" s="72">
        <v>1781428</v>
      </c>
      <c r="L6" s="73">
        <v>3599880</v>
      </c>
      <c r="M6" s="73">
        <v>1648535</v>
      </c>
      <c r="N6" s="73">
        <v>345044</v>
      </c>
      <c r="O6" s="73">
        <v>4820618</v>
      </c>
      <c r="P6" s="73">
        <v>3000</v>
      </c>
      <c r="Q6" s="73">
        <v>964292</v>
      </c>
      <c r="R6" s="73">
        <f>SUM(K6:Q6)</f>
        <v>13162797</v>
      </c>
    </row>
    <row r="7" spans="1:18">
      <c r="B7" t="s">
        <v>10</v>
      </c>
      <c r="K7" s="77">
        <v>7067168</v>
      </c>
      <c r="L7" s="73">
        <v>6352258</v>
      </c>
      <c r="M7" s="73">
        <v>10699</v>
      </c>
      <c r="N7" s="73">
        <v>6925401</v>
      </c>
      <c r="O7" s="73"/>
      <c r="P7" s="73">
        <v>0</v>
      </c>
      <c r="Q7" s="73">
        <v>0</v>
      </c>
      <c r="R7" s="73">
        <f>SUM(K7:Q7)</f>
        <v>20355526</v>
      </c>
    </row>
    <row r="8" spans="1:18">
      <c r="B8" t="s">
        <v>265</v>
      </c>
      <c r="K8" s="74">
        <v>4148243</v>
      </c>
      <c r="L8" s="73">
        <v>4276536</v>
      </c>
      <c r="M8" s="73">
        <v>4141732</v>
      </c>
      <c r="N8" s="73">
        <v>65057</v>
      </c>
      <c r="O8" s="73"/>
      <c r="P8" s="73">
        <v>805224</v>
      </c>
      <c r="Q8" s="73">
        <v>178376</v>
      </c>
      <c r="R8" s="73">
        <f>SUM(K8:Q8)</f>
        <v>13615168</v>
      </c>
    </row>
    <row r="9" spans="1:18">
      <c r="B9" t="s">
        <v>60</v>
      </c>
      <c r="K9" s="73">
        <v>0</v>
      </c>
      <c r="L9" s="73"/>
      <c r="M9" s="73">
        <v>0</v>
      </c>
      <c r="N9" s="73">
        <v>38185</v>
      </c>
      <c r="O9" s="73"/>
      <c r="P9" s="73">
        <v>0</v>
      </c>
      <c r="Q9" s="73">
        <v>0</v>
      </c>
      <c r="R9" s="73">
        <f t="shared" ref="R9:R11" si="0">SUM(K9:Q9)</f>
        <v>38185</v>
      </c>
    </row>
    <row r="10" spans="1:18">
      <c r="B10" t="s">
        <v>266</v>
      </c>
      <c r="K10" s="75">
        <v>201448</v>
      </c>
      <c r="L10" s="73">
        <v>119358</v>
      </c>
      <c r="M10" s="73">
        <v>397861</v>
      </c>
      <c r="N10" s="73"/>
      <c r="O10" s="73">
        <v>79572</v>
      </c>
      <c r="P10" s="73">
        <v>0</v>
      </c>
      <c r="Q10" s="73">
        <v>0</v>
      </c>
      <c r="R10" s="73">
        <f t="shared" si="0"/>
        <v>798239</v>
      </c>
    </row>
    <row r="11" spans="1:18">
      <c r="B11" t="s">
        <v>267</v>
      </c>
      <c r="K11" s="73">
        <v>0</v>
      </c>
      <c r="L11" s="73"/>
      <c r="M11" s="73">
        <v>44000</v>
      </c>
      <c r="N11" s="73"/>
      <c r="O11" s="73"/>
      <c r="P11" s="73">
        <v>0</v>
      </c>
      <c r="Q11" s="73">
        <v>0</v>
      </c>
      <c r="R11" s="73">
        <f t="shared" si="0"/>
        <v>44000</v>
      </c>
    </row>
    <row r="12" spans="1:18">
      <c r="K12" s="93"/>
      <c r="L12" s="93"/>
      <c r="M12" s="93"/>
      <c r="N12" s="93"/>
      <c r="O12" s="93"/>
      <c r="P12" s="93"/>
      <c r="Q12" s="93"/>
      <c r="R12" s="93"/>
    </row>
    <row r="13" spans="1:18">
      <c r="A13" s="2"/>
      <c r="B13" s="2"/>
      <c r="C13" s="2"/>
      <c r="D13" s="2"/>
      <c r="E13" s="2" t="s">
        <v>18</v>
      </c>
      <c r="F13" s="3"/>
      <c r="G13" s="3"/>
      <c r="H13" s="3"/>
      <c r="I13" s="3"/>
      <c r="J13" s="3"/>
      <c r="K13" s="76">
        <f>SUM(K6:K11)</f>
        <v>13198287</v>
      </c>
      <c r="L13" s="76">
        <f>SUM(L6:L11)</f>
        <v>14348032</v>
      </c>
      <c r="M13" s="76">
        <f>SUM(M6:M11)</f>
        <v>6242827</v>
      </c>
      <c r="N13" s="76">
        <f>SUM(N6:N11)</f>
        <v>7373687</v>
      </c>
      <c r="O13" s="76">
        <f>SUM(O6:O11)</f>
        <v>4900190</v>
      </c>
      <c r="P13" s="76">
        <f t="shared" ref="P13:Q13" si="1">SUM(P6:P11)</f>
        <v>808224</v>
      </c>
      <c r="Q13" s="76">
        <f t="shared" si="1"/>
        <v>1142668</v>
      </c>
      <c r="R13" s="76">
        <f>SUM(R6:R11)</f>
        <v>48013915</v>
      </c>
    </row>
    <row r="14" spans="1:18">
      <c r="K14" s="73"/>
      <c r="L14" s="73"/>
      <c r="M14" s="73"/>
      <c r="N14" s="73"/>
      <c r="O14" s="73"/>
      <c r="P14" s="73"/>
      <c r="Q14" s="73"/>
      <c r="R14" s="73"/>
    </row>
    <row r="15" spans="1:18">
      <c r="A15" s="4" t="s">
        <v>19</v>
      </c>
      <c r="K15" s="73"/>
      <c r="L15" s="73"/>
      <c r="M15" s="73"/>
      <c r="N15" s="73"/>
      <c r="O15" s="73"/>
      <c r="P15" s="73"/>
      <c r="Q15" s="73"/>
      <c r="R15" s="73"/>
    </row>
    <row r="16" spans="1:18">
      <c r="B16" t="s">
        <v>20</v>
      </c>
      <c r="K16" s="73"/>
      <c r="L16" s="73"/>
      <c r="M16" s="73"/>
      <c r="N16" s="73"/>
      <c r="O16" s="73"/>
      <c r="P16" s="73"/>
      <c r="Q16" s="73"/>
      <c r="R16" s="73"/>
    </row>
    <row r="17" spans="1:18">
      <c r="C17" t="s">
        <v>21</v>
      </c>
      <c r="K17" s="77">
        <v>296375</v>
      </c>
      <c r="L17" s="73">
        <v>245861</v>
      </c>
      <c r="M17" s="73">
        <v>345433</v>
      </c>
      <c r="N17" s="73">
        <v>7088</v>
      </c>
      <c r="O17" s="73">
        <v>22052</v>
      </c>
      <c r="P17" s="73">
        <v>9502</v>
      </c>
      <c r="Q17" s="73">
        <v>180044</v>
      </c>
      <c r="R17" s="73">
        <f>SUM(K17:Q17)</f>
        <v>1106355</v>
      </c>
    </row>
    <row r="18" spans="1:18">
      <c r="C18" t="s">
        <v>25</v>
      </c>
      <c r="K18" s="73">
        <v>0</v>
      </c>
      <c r="L18" s="73"/>
      <c r="M18" s="73"/>
      <c r="N18" s="73"/>
      <c r="O18" s="73"/>
      <c r="P18" s="73">
        <v>599791</v>
      </c>
      <c r="Q18" s="73">
        <v>198448</v>
      </c>
      <c r="R18" s="73">
        <f t="shared" ref="R18:R21" si="2">SUM(K18:Q18)</f>
        <v>798239</v>
      </c>
    </row>
    <row r="19" spans="1:18">
      <c r="C19" t="s">
        <v>268</v>
      </c>
      <c r="K19" s="73">
        <v>0</v>
      </c>
      <c r="L19" s="73"/>
      <c r="M19" s="73"/>
      <c r="N19" s="73"/>
      <c r="O19" s="73"/>
      <c r="P19" s="73">
        <v>0</v>
      </c>
      <c r="Q19" s="73">
        <v>55314</v>
      </c>
      <c r="R19" s="73">
        <f t="shared" si="2"/>
        <v>55314</v>
      </c>
    </row>
    <row r="20" spans="1:18">
      <c r="C20" t="s">
        <v>269</v>
      </c>
      <c r="F20" t="s">
        <v>270</v>
      </c>
      <c r="K20" s="78">
        <v>8966</v>
      </c>
      <c r="L20" s="73"/>
      <c r="M20" s="73"/>
      <c r="N20" s="73"/>
      <c r="O20" s="73"/>
      <c r="P20" s="73">
        <v>198931</v>
      </c>
      <c r="Q20" s="73">
        <v>0</v>
      </c>
      <c r="R20" s="73">
        <f t="shared" si="2"/>
        <v>207897</v>
      </c>
    </row>
    <row r="21" spans="1:18">
      <c r="C21" t="s">
        <v>271</v>
      </c>
      <c r="K21" s="73">
        <v>0</v>
      </c>
      <c r="L21" s="73"/>
      <c r="M21" s="73"/>
      <c r="N21" s="73"/>
      <c r="O21" s="73"/>
      <c r="P21" s="73">
        <v>0</v>
      </c>
      <c r="Q21" s="73">
        <v>22885</v>
      </c>
      <c r="R21" s="73">
        <f t="shared" si="2"/>
        <v>22885</v>
      </c>
    </row>
    <row r="22" spans="1:18">
      <c r="C22" t="s">
        <v>272</v>
      </c>
      <c r="K22" s="82">
        <v>1800</v>
      </c>
      <c r="L22" s="73"/>
      <c r="M22" s="73"/>
      <c r="N22" s="73"/>
      <c r="O22" s="73"/>
      <c r="P22" s="73">
        <v>0</v>
      </c>
      <c r="Q22" s="73">
        <v>0</v>
      </c>
      <c r="R22" s="73">
        <f>SUM(K22:Q22)</f>
        <v>1800</v>
      </c>
    </row>
    <row r="23" spans="1:18">
      <c r="K23" s="94"/>
      <c r="L23" s="97"/>
      <c r="M23" s="94"/>
      <c r="N23" s="94"/>
      <c r="O23" s="94"/>
      <c r="P23" s="94"/>
      <c r="Q23" s="94"/>
      <c r="R23" s="97"/>
    </row>
    <row r="24" spans="1:18">
      <c r="A24" s="5"/>
      <c r="B24" s="6"/>
      <c r="C24" s="6"/>
      <c r="D24" s="6"/>
      <c r="E24" s="6" t="s">
        <v>26</v>
      </c>
      <c r="F24" s="5"/>
      <c r="G24" s="5"/>
      <c r="H24" s="5"/>
      <c r="I24" s="5"/>
      <c r="J24" s="5"/>
      <c r="K24" s="79">
        <f>SUM(K17:K22)</f>
        <v>307141</v>
      </c>
      <c r="L24" s="79">
        <f>SUM(L17:L22)</f>
        <v>245861</v>
      </c>
      <c r="M24" s="79">
        <f>SUM(M17:M22)</f>
        <v>345433</v>
      </c>
      <c r="N24" s="79">
        <f>SUM(N17:N22)</f>
        <v>7088</v>
      </c>
      <c r="O24" s="79">
        <f>SUM(O17:O22)</f>
        <v>22052</v>
      </c>
      <c r="P24" s="79">
        <f t="shared" ref="P24:Q24" si="3">SUM(P17:P22)</f>
        <v>808224</v>
      </c>
      <c r="Q24" s="79">
        <f t="shared" si="3"/>
        <v>456691</v>
      </c>
      <c r="R24" s="79">
        <f>SUM(R17:R22)</f>
        <v>2192490</v>
      </c>
    </row>
    <row r="25" spans="1:18">
      <c r="K25" s="73"/>
      <c r="L25" s="73"/>
      <c r="M25" s="73"/>
      <c r="N25" s="73"/>
      <c r="O25" s="73"/>
      <c r="P25" s="73"/>
      <c r="Q25" s="73"/>
      <c r="R25" s="73"/>
    </row>
    <row r="26" spans="1:18">
      <c r="A26" s="71" t="s">
        <v>27</v>
      </c>
      <c r="K26" s="73"/>
      <c r="L26" s="73"/>
      <c r="M26" s="73"/>
      <c r="N26" s="73"/>
      <c r="O26" s="73"/>
      <c r="P26" s="73"/>
      <c r="Q26" s="73"/>
      <c r="R26" s="73"/>
    </row>
    <row r="27" spans="1:18">
      <c r="C27" t="s">
        <v>273</v>
      </c>
      <c r="K27" s="85">
        <v>236806</v>
      </c>
      <c r="L27" s="85">
        <v>195922</v>
      </c>
      <c r="M27" s="85">
        <v>175995</v>
      </c>
      <c r="N27" s="85"/>
      <c r="O27" s="85"/>
      <c r="P27" s="85"/>
      <c r="Q27" s="85">
        <v>0</v>
      </c>
      <c r="R27" s="85">
        <f>SUM(K27:Q27)</f>
        <v>608723</v>
      </c>
    </row>
    <row r="28" spans="1:18">
      <c r="K28" s="73"/>
      <c r="L28" s="73"/>
      <c r="M28" s="73"/>
      <c r="N28" s="73"/>
      <c r="O28" s="73"/>
      <c r="P28" s="73"/>
      <c r="Q28" s="73"/>
      <c r="R28" s="73"/>
    </row>
    <row r="29" spans="1:18">
      <c r="A29" s="5"/>
      <c r="B29" s="6"/>
      <c r="C29" s="6"/>
      <c r="D29" s="6"/>
      <c r="E29" s="6" t="s">
        <v>29</v>
      </c>
      <c r="F29" s="5"/>
      <c r="G29" s="5"/>
      <c r="H29" s="5"/>
      <c r="I29" s="5"/>
      <c r="J29" s="5"/>
      <c r="K29" s="79">
        <f>SUM(K27:K27)</f>
        <v>236806</v>
      </c>
      <c r="L29" s="79">
        <f>SUM(L27:L27)</f>
        <v>195922</v>
      </c>
      <c r="M29" s="79">
        <f>SUM(M27:M27)</f>
        <v>175995</v>
      </c>
      <c r="N29" s="79">
        <f>SUM(N27:N27)</f>
        <v>0</v>
      </c>
      <c r="O29" s="79">
        <f>SUM(O27:O27)</f>
        <v>0</v>
      </c>
      <c r="P29" s="79">
        <f t="shared" ref="P29:Q29" si="4">SUM(P27:P27)</f>
        <v>0</v>
      </c>
      <c r="Q29" s="79">
        <f t="shared" si="4"/>
        <v>0</v>
      </c>
      <c r="R29" s="79">
        <f>SUM(R27:R27)</f>
        <v>608723</v>
      </c>
    </row>
    <row r="30" spans="1:18">
      <c r="K30" s="73"/>
      <c r="L30" s="73"/>
      <c r="M30" s="73"/>
      <c r="N30" s="73"/>
      <c r="O30" s="73"/>
      <c r="P30" s="73"/>
      <c r="Q30" s="73"/>
      <c r="R30" s="73"/>
    </row>
    <row r="31" spans="1:18">
      <c r="B31" t="s">
        <v>30</v>
      </c>
      <c r="K31" s="73"/>
      <c r="L31" s="73"/>
      <c r="M31" s="73"/>
      <c r="N31" s="73"/>
      <c r="O31" s="73"/>
      <c r="P31" s="73"/>
      <c r="Q31" s="73"/>
      <c r="R31" s="73"/>
    </row>
    <row r="32" spans="1:18">
      <c r="C32" t="s">
        <v>163</v>
      </c>
      <c r="K32" s="73"/>
      <c r="L32" s="73"/>
      <c r="M32" s="73"/>
      <c r="N32" s="73"/>
      <c r="O32" s="73"/>
      <c r="P32" s="73"/>
      <c r="Q32" s="73"/>
      <c r="R32" s="73"/>
    </row>
    <row r="33" spans="1:18">
      <c r="D33" t="s">
        <v>155</v>
      </c>
      <c r="K33" s="73">
        <v>0</v>
      </c>
      <c r="L33" s="73"/>
      <c r="M33" s="73"/>
      <c r="N33" s="73">
        <v>38185</v>
      </c>
      <c r="O33" s="73"/>
      <c r="P33" s="73"/>
      <c r="Q33" s="73"/>
      <c r="R33" s="73">
        <f t="shared" ref="R33:R45" si="5">SUM(K33:Q33)</f>
        <v>38185</v>
      </c>
    </row>
    <row r="34" spans="1:18">
      <c r="C34" t="s">
        <v>67</v>
      </c>
      <c r="K34" s="73"/>
      <c r="L34" s="73"/>
      <c r="M34" s="73"/>
      <c r="N34" s="73"/>
      <c r="O34" s="73"/>
      <c r="P34" s="73"/>
      <c r="Q34" s="73"/>
      <c r="R34" s="73">
        <f t="shared" si="5"/>
        <v>0</v>
      </c>
    </row>
    <row r="35" spans="1:18">
      <c r="D35" t="s">
        <v>44</v>
      </c>
      <c r="K35" s="73">
        <v>0</v>
      </c>
      <c r="L35" s="73"/>
      <c r="M35" s="73"/>
      <c r="N35" s="73">
        <v>7328414</v>
      </c>
      <c r="O35" s="73"/>
      <c r="P35" s="73"/>
      <c r="Q35" s="73"/>
      <c r="R35" s="73">
        <f t="shared" si="5"/>
        <v>7328414</v>
      </c>
    </row>
    <row r="36" spans="1:18">
      <c r="D36" t="s">
        <v>68</v>
      </c>
      <c r="K36" s="73">
        <v>0</v>
      </c>
      <c r="L36" s="73"/>
      <c r="M36" s="73"/>
      <c r="N36" s="73"/>
      <c r="O36" s="73"/>
      <c r="P36" s="73"/>
      <c r="Q36" s="73">
        <v>69</v>
      </c>
      <c r="R36" s="73">
        <f t="shared" si="5"/>
        <v>69</v>
      </c>
    </row>
    <row r="37" spans="1:18">
      <c r="D37" t="s">
        <v>274</v>
      </c>
      <c r="K37" s="73">
        <v>0</v>
      </c>
      <c r="L37" s="73"/>
      <c r="M37" s="73"/>
      <c r="N37" s="73"/>
      <c r="O37" s="73">
        <v>4878138</v>
      </c>
      <c r="P37" s="73"/>
      <c r="Q37" s="73"/>
      <c r="R37" s="73">
        <f t="shared" si="5"/>
        <v>4878138</v>
      </c>
    </row>
    <row r="38" spans="1:18">
      <c r="D38" t="s">
        <v>275</v>
      </c>
      <c r="K38" s="73">
        <v>0</v>
      </c>
      <c r="L38" s="73"/>
      <c r="M38" s="73">
        <v>5721399</v>
      </c>
      <c r="N38" s="73"/>
      <c r="O38" s="73"/>
      <c r="P38" s="73"/>
      <c r="Q38" s="73"/>
      <c r="R38" s="73">
        <f t="shared" si="5"/>
        <v>5721399</v>
      </c>
    </row>
    <row r="39" spans="1:18">
      <c r="D39" t="s">
        <v>276</v>
      </c>
      <c r="K39" s="73">
        <v>0</v>
      </c>
      <c r="L39" s="73">
        <v>13906249</v>
      </c>
      <c r="M39" s="73"/>
      <c r="N39" s="73"/>
      <c r="O39" s="73"/>
      <c r="P39" s="73"/>
      <c r="Q39" s="73"/>
      <c r="R39" s="73">
        <f t="shared" si="5"/>
        <v>13906249</v>
      </c>
    </row>
    <row r="40" spans="1:18">
      <c r="D40" t="s">
        <v>277</v>
      </c>
      <c r="K40" s="73">
        <v>0</v>
      </c>
      <c r="L40" s="73"/>
      <c r="M40" s="73"/>
      <c r="N40" s="73"/>
      <c r="O40" s="73"/>
      <c r="P40" s="73"/>
      <c r="Q40" s="73">
        <v>52581</v>
      </c>
      <c r="R40" s="73">
        <f t="shared" si="5"/>
        <v>52581</v>
      </c>
    </row>
    <row r="41" spans="1:18">
      <c r="D41" t="s">
        <v>278</v>
      </c>
      <c r="K41" s="73">
        <v>0</v>
      </c>
      <c r="L41" s="73"/>
      <c r="M41" s="73"/>
      <c r="N41" s="73"/>
      <c r="O41" s="73"/>
      <c r="P41" s="73"/>
      <c r="Q41" s="73">
        <v>458392</v>
      </c>
      <c r="R41" s="73">
        <f t="shared" si="5"/>
        <v>458392</v>
      </c>
    </row>
    <row r="42" spans="1:18">
      <c r="C42" t="s">
        <v>41</v>
      </c>
      <c r="K42" s="73"/>
      <c r="L42" s="73"/>
      <c r="M42" s="73"/>
      <c r="N42" s="73"/>
      <c r="O42" s="73"/>
      <c r="P42" s="73"/>
      <c r="Q42" s="73"/>
      <c r="R42" s="73">
        <f t="shared" si="5"/>
        <v>0</v>
      </c>
    </row>
    <row r="43" spans="1:18">
      <c r="D43" t="s">
        <v>279</v>
      </c>
      <c r="K43" s="91">
        <v>13809</v>
      </c>
      <c r="L43" s="73"/>
      <c r="M43" s="73"/>
      <c r="N43" s="73"/>
      <c r="O43" s="73"/>
      <c r="P43" s="73"/>
      <c r="Q43" s="73"/>
      <c r="R43" s="73">
        <f t="shared" si="5"/>
        <v>13809</v>
      </c>
    </row>
    <row r="44" spans="1:18">
      <c r="D44" t="s">
        <v>280</v>
      </c>
      <c r="K44" s="73">
        <v>0</v>
      </c>
      <c r="L44" s="73"/>
      <c r="M44" s="73"/>
      <c r="N44" s="73"/>
      <c r="O44" s="73"/>
      <c r="P44" s="73"/>
      <c r="Q44" s="73">
        <v>174935</v>
      </c>
      <c r="R44" s="73">
        <f t="shared" si="5"/>
        <v>174935</v>
      </c>
    </row>
    <row r="45" spans="1:18">
      <c r="C45" t="s">
        <v>46</v>
      </c>
      <c r="K45" s="84">
        <v>12640531</v>
      </c>
      <c r="L45" s="73"/>
      <c r="M45" s="73"/>
      <c r="N45" s="73"/>
      <c r="O45" s="73"/>
      <c r="P45" s="73"/>
      <c r="Q45" s="73"/>
      <c r="R45" s="73">
        <f t="shared" si="5"/>
        <v>12640531</v>
      </c>
    </row>
    <row r="46" spans="1:18">
      <c r="K46" s="93"/>
      <c r="L46" s="93"/>
      <c r="M46" s="93"/>
      <c r="N46" s="93"/>
      <c r="O46" s="93"/>
      <c r="P46" s="93"/>
      <c r="Q46" s="93"/>
      <c r="R46" s="93"/>
    </row>
    <row r="47" spans="1:18">
      <c r="A47" s="5"/>
      <c r="B47" s="5"/>
      <c r="C47" s="5"/>
      <c r="D47" s="6"/>
      <c r="E47" s="6" t="s">
        <v>47</v>
      </c>
      <c r="F47" s="5"/>
      <c r="G47" s="5"/>
      <c r="H47" s="5"/>
      <c r="I47" s="5"/>
      <c r="J47" s="5"/>
      <c r="K47" s="79">
        <f>SUM(K33:K45)</f>
        <v>12654340</v>
      </c>
      <c r="L47" s="79">
        <f>SUM(L33:L45)</f>
        <v>13906249</v>
      </c>
      <c r="M47" s="79">
        <f>SUM(M33:M45)</f>
        <v>5721399</v>
      </c>
      <c r="N47" s="79">
        <f>SUM(N33:N45)</f>
        <v>7366599</v>
      </c>
      <c r="O47" s="79">
        <f>SUM(O33:O45)</f>
        <v>4878138</v>
      </c>
      <c r="P47" s="79">
        <f t="shared" ref="P47:Q47" si="6">SUM(P33:P45)</f>
        <v>0</v>
      </c>
      <c r="Q47" s="79">
        <f t="shared" si="6"/>
        <v>685977</v>
      </c>
      <c r="R47" s="79">
        <f>SUM(R33:R45)</f>
        <v>45212702</v>
      </c>
    </row>
    <row r="48" spans="1:18">
      <c r="K48" s="73"/>
      <c r="L48" s="73"/>
      <c r="M48" s="73"/>
      <c r="N48" s="73"/>
      <c r="O48" s="73"/>
      <c r="P48" s="73"/>
      <c r="Q48" s="73"/>
      <c r="R48" s="73"/>
    </row>
    <row r="49" spans="1:18">
      <c r="A49" s="7"/>
      <c r="B49" s="7"/>
      <c r="C49" s="7"/>
      <c r="D49" s="8"/>
      <c r="E49" s="8" t="s">
        <v>48</v>
      </c>
      <c r="F49" s="7"/>
      <c r="G49" s="7"/>
      <c r="H49" s="7"/>
      <c r="I49" s="7"/>
      <c r="J49" s="7"/>
      <c r="K49" s="81">
        <f t="shared" ref="K49:R49" si="7">SUM(K47,K24,K29)</f>
        <v>13198287</v>
      </c>
      <c r="L49" s="81">
        <f t="shared" si="7"/>
        <v>14348032</v>
      </c>
      <c r="M49" s="81">
        <f t="shared" si="7"/>
        <v>6242827</v>
      </c>
      <c r="N49" s="81">
        <f t="shared" si="7"/>
        <v>7373687</v>
      </c>
      <c r="O49" s="81">
        <f t="shared" si="7"/>
        <v>4900190</v>
      </c>
      <c r="P49" s="81">
        <f t="shared" si="7"/>
        <v>808224</v>
      </c>
      <c r="Q49" s="81">
        <f t="shared" si="7"/>
        <v>1142668</v>
      </c>
      <c r="R49" s="81">
        <f t="shared" si="7"/>
        <v>48013915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48"/>
  <sheetViews>
    <sheetView topLeftCell="A4" workbookViewId="0">
      <selection activeCell="T13" sqref="T13"/>
    </sheetView>
  </sheetViews>
  <sheetFormatPr defaultColWidth="8.85546875" defaultRowHeight="15"/>
  <cols>
    <col min="11" max="11" width="15.85546875" customWidth="1"/>
    <col min="12" max="12" width="15.28515625" customWidth="1"/>
    <col min="13" max="15" width="16.42578125" customWidth="1"/>
    <col min="16" max="16" width="16" customWidth="1"/>
  </cols>
  <sheetData>
    <row r="1" spans="1:16" ht="18.75">
      <c r="D1" s="251" t="s">
        <v>281</v>
      </c>
      <c r="E1" s="251"/>
      <c r="F1" s="251"/>
      <c r="G1" s="251"/>
      <c r="H1" s="251"/>
      <c r="I1" s="251"/>
      <c r="J1" s="251"/>
      <c r="K1" s="251"/>
    </row>
    <row r="2" spans="1:16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6">
      <c r="D3" s="57"/>
      <c r="E3" s="57"/>
      <c r="F3" s="57"/>
      <c r="G3" s="57"/>
      <c r="H3" s="57"/>
      <c r="I3" s="57"/>
      <c r="J3" s="57"/>
      <c r="K3" s="57"/>
    </row>
    <row r="4" spans="1:16">
      <c r="O4" s="57"/>
    </row>
    <row r="5" spans="1:16" ht="45">
      <c r="K5" s="1" t="s">
        <v>2</v>
      </c>
      <c r="L5" s="1" t="s">
        <v>282</v>
      </c>
      <c r="M5" s="1" t="s">
        <v>283</v>
      </c>
      <c r="N5" s="1" t="s">
        <v>284</v>
      </c>
      <c r="O5" s="1" t="s">
        <v>6</v>
      </c>
      <c r="P5" s="1" t="s">
        <v>7</v>
      </c>
    </row>
    <row r="6" spans="1:16">
      <c r="A6" t="s">
        <v>8</v>
      </c>
    </row>
    <row r="7" spans="1:16">
      <c r="B7" t="s">
        <v>285</v>
      </c>
      <c r="K7" s="72">
        <v>49746105</v>
      </c>
      <c r="L7" s="73">
        <v>31703021</v>
      </c>
      <c r="M7" s="73">
        <v>2858777</v>
      </c>
      <c r="N7" s="73">
        <v>56478568</v>
      </c>
      <c r="O7" s="73">
        <v>35307663</v>
      </c>
      <c r="P7" s="73">
        <f t="shared" ref="P7:P17" si="0">SUM(K7:O7)</f>
        <v>176094134</v>
      </c>
    </row>
    <row r="8" spans="1:16">
      <c r="B8" t="s">
        <v>286</v>
      </c>
      <c r="K8" s="77">
        <v>56096672</v>
      </c>
      <c r="L8" s="73">
        <v>35750216</v>
      </c>
      <c r="M8" s="73">
        <v>3223727</v>
      </c>
      <c r="N8" s="73">
        <v>63774265</v>
      </c>
      <c r="O8" s="73">
        <v>29946347</v>
      </c>
      <c r="P8" s="73">
        <f t="shared" si="0"/>
        <v>188791227</v>
      </c>
    </row>
    <row r="9" spans="1:16">
      <c r="B9" t="s">
        <v>287</v>
      </c>
      <c r="K9" s="74">
        <v>6313250</v>
      </c>
      <c r="L9" s="73">
        <v>9316072</v>
      </c>
      <c r="M9" s="73"/>
      <c r="N9" s="73"/>
      <c r="O9" s="73">
        <v>7242340</v>
      </c>
      <c r="P9" s="73">
        <f t="shared" si="0"/>
        <v>22871662</v>
      </c>
    </row>
    <row r="10" spans="1:16">
      <c r="B10" t="s">
        <v>288</v>
      </c>
      <c r="K10" s="74">
        <v>4472777</v>
      </c>
      <c r="L10" s="73"/>
      <c r="M10" s="73"/>
      <c r="N10" s="73"/>
      <c r="O10" s="73"/>
      <c r="P10" s="73">
        <f t="shared" si="0"/>
        <v>4472777</v>
      </c>
    </row>
    <row r="11" spans="1:16">
      <c r="B11" t="s">
        <v>289</v>
      </c>
      <c r="K11" s="74">
        <v>16926471</v>
      </c>
      <c r="L11" s="73"/>
      <c r="M11" s="73"/>
      <c r="N11" s="73">
        <v>2655398</v>
      </c>
      <c r="O11" s="73">
        <v>1649370</v>
      </c>
      <c r="P11" s="73">
        <f t="shared" si="0"/>
        <v>21231239</v>
      </c>
    </row>
    <row r="12" spans="1:16">
      <c r="B12" t="s">
        <v>290</v>
      </c>
      <c r="K12" s="74">
        <v>86002</v>
      </c>
      <c r="L12" s="73"/>
      <c r="M12" s="73"/>
      <c r="N12" s="73"/>
      <c r="O12" s="73"/>
      <c r="P12" s="73">
        <f t="shared" si="0"/>
        <v>86002</v>
      </c>
    </row>
    <row r="13" spans="1:16">
      <c r="B13" t="s">
        <v>291</v>
      </c>
      <c r="K13" s="74">
        <v>1884952</v>
      </c>
      <c r="L13" s="73">
        <v>5458</v>
      </c>
      <c r="M13" s="73">
        <v>12954</v>
      </c>
      <c r="N13" s="73">
        <v>191521</v>
      </c>
      <c r="O13" s="73">
        <v>2248970</v>
      </c>
      <c r="P13" s="73">
        <f t="shared" si="0"/>
        <v>4343855</v>
      </c>
    </row>
    <row r="14" spans="1:16">
      <c r="B14" t="s">
        <v>292</v>
      </c>
      <c r="K14" s="74">
        <v>34764</v>
      </c>
      <c r="L14" s="73">
        <v>23692</v>
      </c>
      <c r="M14" s="73">
        <v>2411</v>
      </c>
      <c r="N14" s="73">
        <v>35738</v>
      </c>
      <c r="O14" s="73">
        <v>18477</v>
      </c>
      <c r="P14" s="73">
        <f t="shared" si="0"/>
        <v>115082</v>
      </c>
    </row>
    <row r="15" spans="1:16">
      <c r="B15" t="s">
        <v>293</v>
      </c>
      <c r="J15" s="103"/>
      <c r="K15" s="202">
        <v>8229078</v>
      </c>
      <c r="L15" s="73"/>
      <c r="M15" s="73"/>
      <c r="N15" s="73">
        <v>31211723</v>
      </c>
      <c r="O15" s="73"/>
      <c r="P15" s="73">
        <f t="shared" si="0"/>
        <v>39440801</v>
      </c>
    </row>
    <row r="16" spans="1:16">
      <c r="B16" t="s">
        <v>294</v>
      </c>
      <c r="J16" s="103"/>
      <c r="K16" s="202">
        <v>20692325</v>
      </c>
      <c r="L16" s="73">
        <v>30188558</v>
      </c>
      <c r="M16" s="73">
        <v>7115771</v>
      </c>
      <c r="N16" s="73">
        <v>3687777</v>
      </c>
      <c r="O16" s="73">
        <v>22850519</v>
      </c>
      <c r="P16" s="73">
        <f t="shared" si="0"/>
        <v>84534950</v>
      </c>
    </row>
    <row r="17" spans="1:16">
      <c r="B17" t="s">
        <v>185</v>
      </c>
      <c r="J17" s="103"/>
      <c r="K17" s="203">
        <v>427500</v>
      </c>
      <c r="L17" s="73"/>
      <c r="M17" s="73">
        <v>3187176</v>
      </c>
      <c r="N17" s="73"/>
      <c r="O17" s="73"/>
      <c r="P17" s="73">
        <f t="shared" si="0"/>
        <v>3614676</v>
      </c>
    </row>
    <row r="18" spans="1:16">
      <c r="B18" t="s">
        <v>60</v>
      </c>
      <c r="J18" s="103"/>
      <c r="K18" s="204">
        <v>556855</v>
      </c>
      <c r="L18" s="73"/>
      <c r="M18" s="73"/>
      <c r="N18" s="73"/>
      <c r="O18" s="73"/>
      <c r="P18" s="73">
        <v>556855</v>
      </c>
    </row>
    <row r="19" spans="1:16">
      <c r="A19" s="2"/>
      <c r="B19" s="2"/>
      <c r="C19" s="2"/>
      <c r="D19" s="2"/>
      <c r="E19" s="2" t="s">
        <v>62</v>
      </c>
      <c r="F19" s="3"/>
      <c r="G19" s="3"/>
      <c r="H19" s="3"/>
      <c r="I19" s="3"/>
      <c r="J19" s="3"/>
      <c r="K19" s="76">
        <f>SUM(K7:K18)</f>
        <v>165466751</v>
      </c>
      <c r="L19" s="76">
        <f t="shared" ref="L19:P19" si="1">SUM(L7:L18)</f>
        <v>106987017</v>
      </c>
      <c r="M19" s="76">
        <f t="shared" si="1"/>
        <v>16400816</v>
      </c>
      <c r="N19" s="76">
        <f t="shared" si="1"/>
        <v>158034990</v>
      </c>
      <c r="O19" s="76">
        <f t="shared" si="1"/>
        <v>99263686</v>
      </c>
      <c r="P19" s="76">
        <f t="shared" si="1"/>
        <v>546153260</v>
      </c>
    </row>
    <row r="20" spans="1:16">
      <c r="K20" s="73"/>
      <c r="L20" s="73"/>
      <c r="M20" s="73"/>
      <c r="N20" s="73"/>
      <c r="O20" s="73"/>
      <c r="P20" s="73"/>
    </row>
    <row r="21" spans="1:16">
      <c r="A21" s="4" t="s">
        <v>140</v>
      </c>
      <c r="K21" s="73"/>
      <c r="L21" s="73"/>
      <c r="M21" s="73"/>
      <c r="N21" s="73"/>
      <c r="O21" s="73"/>
      <c r="P21" s="73"/>
    </row>
    <row r="22" spans="1:16">
      <c r="B22" t="s">
        <v>20</v>
      </c>
      <c r="K22" s="73"/>
      <c r="L22" s="73"/>
      <c r="M22" s="73"/>
      <c r="N22" s="73"/>
      <c r="O22" s="73"/>
      <c r="P22" s="73"/>
    </row>
    <row r="23" spans="1:16">
      <c r="C23" t="s">
        <v>295</v>
      </c>
      <c r="K23" s="77">
        <v>18371016</v>
      </c>
      <c r="L23" s="73">
        <v>1315828</v>
      </c>
      <c r="M23" s="73">
        <v>3533271</v>
      </c>
      <c r="N23" s="61">
        <v>15798123</v>
      </c>
      <c r="O23" s="73">
        <v>3326142</v>
      </c>
      <c r="P23" s="73">
        <f>SUM(K23:O23)</f>
        <v>42344380</v>
      </c>
    </row>
    <row r="24" spans="1:16">
      <c r="C24" t="s">
        <v>296</v>
      </c>
      <c r="K24" s="73"/>
      <c r="L24" s="73">
        <v>30652157</v>
      </c>
      <c r="M24" s="73"/>
      <c r="O24" s="73">
        <v>8788644</v>
      </c>
      <c r="P24" s="73">
        <f t="shared" ref="P24:P28" si="2">SUM(K24:O24)</f>
        <v>39440801</v>
      </c>
    </row>
    <row r="25" spans="1:16">
      <c r="C25" t="s">
        <v>159</v>
      </c>
      <c r="K25" s="78">
        <v>7384834</v>
      </c>
      <c r="L25" s="73"/>
      <c r="M25" s="73"/>
      <c r="O25" s="73">
        <v>313036</v>
      </c>
      <c r="P25" s="73">
        <f t="shared" si="2"/>
        <v>7697870</v>
      </c>
    </row>
    <row r="26" spans="1:16">
      <c r="C26" t="s">
        <v>297</v>
      </c>
      <c r="K26" s="77">
        <v>7975572</v>
      </c>
      <c r="L26" s="73">
        <v>897065</v>
      </c>
      <c r="M26" s="73">
        <v>686821</v>
      </c>
      <c r="N26">
        <v>13967</v>
      </c>
      <c r="O26" s="73">
        <v>1592600</v>
      </c>
      <c r="P26" s="73">
        <f t="shared" si="2"/>
        <v>11166025</v>
      </c>
    </row>
    <row r="27" spans="1:16">
      <c r="C27" t="s">
        <v>24</v>
      </c>
      <c r="K27" s="73"/>
      <c r="L27" s="73"/>
      <c r="M27" s="73">
        <v>664583</v>
      </c>
      <c r="N27">
        <v>398579</v>
      </c>
      <c r="O27" s="73"/>
      <c r="P27" s="73">
        <f t="shared" si="2"/>
        <v>1063162</v>
      </c>
    </row>
    <row r="28" spans="1:16">
      <c r="C28" t="s">
        <v>298</v>
      </c>
      <c r="K28" s="82">
        <v>18011657</v>
      </c>
      <c r="L28" s="73"/>
      <c r="M28" s="73">
        <v>131910</v>
      </c>
      <c r="O28" s="73"/>
      <c r="P28" s="73">
        <f t="shared" si="2"/>
        <v>18143567</v>
      </c>
    </row>
    <row r="29" spans="1:16">
      <c r="K29" s="93"/>
      <c r="L29" s="93"/>
      <c r="M29" s="93"/>
      <c r="N29" s="94"/>
      <c r="O29" s="93"/>
      <c r="P29" s="93"/>
    </row>
    <row r="30" spans="1:16">
      <c r="A30" s="5"/>
      <c r="B30" s="6"/>
      <c r="C30" s="6"/>
      <c r="D30" s="6"/>
      <c r="E30" s="6" t="s">
        <v>26</v>
      </c>
      <c r="F30" s="5"/>
      <c r="G30" s="5"/>
      <c r="H30" s="5"/>
      <c r="I30" s="5"/>
      <c r="J30" s="5"/>
      <c r="K30" s="79">
        <f>SUM(K23:K28)</f>
        <v>51743079</v>
      </c>
      <c r="L30" s="79">
        <f t="shared" ref="L30:P30" si="3">SUM(L23:L29)</f>
        <v>32865050</v>
      </c>
      <c r="M30" s="79">
        <f t="shared" si="3"/>
        <v>5016585</v>
      </c>
      <c r="N30" s="79">
        <f t="shared" si="3"/>
        <v>16210669</v>
      </c>
      <c r="O30" s="79">
        <f t="shared" si="3"/>
        <v>14020422</v>
      </c>
      <c r="P30" s="79">
        <f t="shared" si="3"/>
        <v>119855805</v>
      </c>
    </row>
    <row r="31" spans="1:16">
      <c r="K31" s="73"/>
      <c r="L31" s="73"/>
      <c r="M31" s="73"/>
      <c r="N31" s="73"/>
      <c r="O31" s="73"/>
      <c r="P31" s="73"/>
    </row>
    <row r="32" spans="1:16">
      <c r="A32" s="71" t="s">
        <v>63</v>
      </c>
      <c r="K32" s="73"/>
      <c r="L32" s="73"/>
      <c r="M32" s="73"/>
      <c r="N32" s="73"/>
      <c r="O32" s="73"/>
      <c r="P32" s="73"/>
    </row>
    <row r="33" spans="1:16">
      <c r="B33" t="s">
        <v>299</v>
      </c>
      <c r="K33" s="73">
        <v>733458</v>
      </c>
      <c r="L33" s="73">
        <v>900636</v>
      </c>
      <c r="M33" s="73"/>
      <c r="N33" s="73"/>
      <c r="O33" s="73">
        <v>834079</v>
      </c>
      <c r="P33" s="73">
        <f>SUM(K33:O33)</f>
        <v>2468173</v>
      </c>
    </row>
    <row r="34" spans="1:16">
      <c r="B34" t="s">
        <v>300</v>
      </c>
      <c r="K34" s="73">
        <v>657671</v>
      </c>
      <c r="L34" s="73"/>
      <c r="M34" s="73"/>
      <c r="N34" s="73"/>
      <c r="O34" s="73">
        <v>77028</v>
      </c>
      <c r="P34" s="73">
        <f>SUM(K34:O34)</f>
        <v>734699</v>
      </c>
    </row>
    <row r="35" spans="1:16">
      <c r="B35" t="s">
        <v>301</v>
      </c>
      <c r="K35" s="73"/>
      <c r="L35" s="73"/>
      <c r="M35" s="73">
        <v>351292</v>
      </c>
      <c r="N35" s="73"/>
      <c r="O35" s="73"/>
      <c r="P35" s="73">
        <f>SUM(K35:O35)</f>
        <v>351292</v>
      </c>
    </row>
    <row r="36" spans="1:16">
      <c r="K36" s="93"/>
      <c r="L36" s="93"/>
      <c r="M36" s="93"/>
      <c r="N36" s="93"/>
      <c r="O36" s="93"/>
      <c r="P36" s="93"/>
    </row>
    <row r="37" spans="1:16">
      <c r="A37" s="5"/>
      <c r="B37" s="6"/>
      <c r="C37" s="6"/>
      <c r="D37" s="6"/>
      <c r="E37" s="6" t="s">
        <v>29</v>
      </c>
      <c r="F37" s="5"/>
      <c r="G37" s="5"/>
      <c r="H37" s="5"/>
      <c r="I37" s="5"/>
      <c r="J37" s="5"/>
      <c r="K37" s="79">
        <f>SUM(K33:K35)</f>
        <v>1391129</v>
      </c>
      <c r="L37" s="79">
        <f t="shared" ref="L37:P37" si="4">SUM(L33:L35)</f>
        <v>900636</v>
      </c>
      <c r="M37" s="79">
        <f t="shared" si="4"/>
        <v>351292</v>
      </c>
      <c r="N37" s="79">
        <f t="shared" si="4"/>
        <v>0</v>
      </c>
      <c r="O37" s="79">
        <f t="shared" si="4"/>
        <v>911107</v>
      </c>
      <c r="P37" s="79">
        <f t="shared" si="4"/>
        <v>3554164</v>
      </c>
    </row>
    <row r="38" spans="1:16">
      <c r="K38" s="73"/>
      <c r="L38" s="73"/>
      <c r="M38" s="73"/>
      <c r="N38" s="73"/>
      <c r="O38" s="73"/>
      <c r="P38" s="73"/>
    </row>
    <row r="39" spans="1:16">
      <c r="B39" t="s">
        <v>30</v>
      </c>
      <c r="K39" s="73"/>
      <c r="L39" s="73"/>
      <c r="M39" s="73"/>
      <c r="N39" s="73"/>
      <c r="O39" s="73"/>
      <c r="P39" s="73"/>
    </row>
    <row r="40" spans="1:16">
      <c r="C40" t="s">
        <v>104</v>
      </c>
      <c r="K40" s="80">
        <v>556855</v>
      </c>
      <c r="L40" s="73"/>
      <c r="M40" s="73"/>
      <c r="N40" s="73"/>
      <c r="O40" s="73"/>
      <c r="P40" s="73">
        <f t="shared" ref="P40:P44" si="5">SUM(K40:O40)</f>
        <v>556855</v>
      </c>
    </row>
    <row r="41" spans="1:16">
      <c r="C41" t="s">
        <v>88</v>
      </c>
      <c r="K41" s="80">
        <v>1256695</v>
      </c>
      <c r="L41" s="73">
        <v>73221331</v>
      </c>
      <c r="M41" s="73">
        <v>11032939</v>
      </c>
      <c r="N41" s="73"/>
      <c r="O41" s="73"/>
      <c r="P41" s="73">
        <f t="shared" si="5"/>
        <v>85510965</v>
      </c>
    </row>
    <row r="42" spans="1:16">
      <c r="C42" t="s">
        <v>259</v>
      </c>
      <c r="K42" s="80">
        <v>62492744</v>
      </c>
      <c r="L42" s="73"/>
      <c r="M42" s="73"/>
      <c r="N42" s="73">
        <v>119656017</v>
      </c>
      <c r="O42" s="73">
        <v>76376834</v>
      </c>
      <c r="P42" s="73">
        <f t="shared" si="5"/>
        <v>258525595</v>
      </c>
    </row>
    <row r="43" spans="1:16">
      <c r="C43" t="s">
        <v>89</v>
      </c>
      <c r="K43" s="91">
        <v>32590252</v>
      </c>
      <c r="L43" s="73"/>
      <c r="M43" s="73"/>
      <c r="N43" s="73">
        <v>22168304</v>
      </c>
      <c r="O43" s="73">
        <v>7955323</v>
      </c>
      <c r="P43" s="73">
        <f t="shared" si="5"/>
        <v>62713879</v>
      </c>
    </row>
    <row r="44" spans="1:16">
      <c r="C44" t="s">
        <v>76</v>
      </c>
      <c r="K44" s="84">
        <v>15435997</v>
      </c>
      <c r="L44" s="73"/>
      <c r="M44" s="73"/>
      <c r="N44" s="73"/>
      <c r="O44" s="73"/>
      <c r="P44" s="73">
        <f t="shared" si="5"/>
        <v>15435997</v>
      </c>
    </row>
    <row r="45" spans="1:16">
      <c r="K45" s="93"/>
      <c r="L45" s="93"/>
      <c r="M45" s="93"/>
      <c r="N45" s="93"/>
      <c r="O45" s="93"/>
      <c r="P45" s="93"/>
    </row>
    <row r="46" spans="1:16">
      <c r="A46" s="5"/>
      <c r="B46" s="5"/>
      <c r="C46" s="5"/>
      <c r="D46" s="6"/>
      <c r="E46" s="6" t="s">
        <v>77</v>
      </c>
      <c r="F46" s="5"/>
      <c r="G46" s="5"/>
      <c r="H46" s="5"/>
      <c r="I46" s="5"/>
      <c r="J46" s="5"/>
      <c r="K46" s="79">
        <f t="shared" ref="K46:P46" si="6">SUM(K40:K44)</f>
        <v>112332543</v>
      </c>
      <c r="L46" s="79">
        <f t="shared" si="6"/>
        <v>73221331</v>
      </c>
      <c r="M46" s="79">
        <f t="shared" si="6"/>
        <v>11032939</v>
      </c>
      <c r="N46" s="79">
        <f t="shared" si="6"/>
        <v>141824321</v>
      </c>
      <c r="O46" s="79">
        <f t="shared" si="6"/>
        <v>84332157</v>
      </c>
      <c r="P46" s="79">
        <f t="shared" si="6"/>
        <v>422743291</v>
      </c>
    </row>
    <row r="47" spans="1:16">
      <c r="K47" s="73"/>
      <c r="L47" s="73"/>
      <c r="M47" s="73"/>
      <c r="N47" s="73"/>
      <c r="O47" s="73"/>
      <c r="P47" s="73"/>
    </row>
    <row r="48" spans="1:16">
      <c r="A48" s="7"/>
      <c r="B48" s="7"/>
      <c r="C48" s="7"/>
      <c r="D48" s="8"/>
      <c r="E48" s="8" t="s">
        <v>78</v>
      </c>
      <c r="F48" s="7"/>
      <c r="G48" s="7"/>
      <c r="H48" s="7"/>
      <c r="I48" s="7"/>
      <c r="J48" s="7"/>
      <c r="K48" s="81">
        <f t="shared" ref="K48:P48" si="7">SUM(K30+K37+K46)</f>
        <v>165466751</v>
      </c>
      <c r="L48" s="81">
        <f t="shared" si="7"/>
        <v>106987017</v>
      </c>
      <c r="M48" s="81">
        <f t="shared" si="7"/>
        <v>16400816</v>
      </c>
      <c r="N48" s="81">
        <f t="shared" si="7"/>
        <v>158034990</v>
      </c>
      <c r="O48" s="81">
        <f t="shared" si="7"/>
        <v>99263686</v>
      </c>
      <c r="P48" s="81">
        <f t="shared" si="7"/>
        <v>546153260</v>
      </c>
    </row>
  </sheetData>
  <mergeCells count="2">
    <mergeCell ref="D1:K1"/>
    <mergeCell ref="D2:K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31"/>
  <sheetViews>
    <sheetView workbookViewId="0">
      <selection activeCell="E24" sqref="E24"/>
    </sheetView>
  </sheetViews>
  <sheetFormatPr defaultColWidth="8.85546875" defaultRowHeight="15"/>
  <cols>
    <col min="1" max="1" width="9.42578125" customWidth="1"/>
    <col min="2" max="2" width="3.28515625" customWidth="1"/>
    <col min="3" max="4" width="3.42578125" customWidth="1"/>
    <col min="5" max="5" width="20.4257812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6" width="16.42578125" customWidth="1"/>
    <col min="17" max="17" width="18" customWidth="1"/>
    <col min="18" max="18" width="17.28515625" customWidth="1"/>
  </cols>
  <sheetData>
    <row r="1" spans="1:18" ht="18.75">
      <c r="D1" s="251" t="s">
        <v>302</v>
      </c>
      <c r="E1" s="251"/>
      <c r="F1" s="251"/>
      <c r="G1" s="251"/>
      <c r="H1" s="251"/>
      <c r="I1" s="251"/>
      <c r="J1" s="251"/>
      <c r="K1" s="251"/>
    </row>
    <row r="2" spans="1:18">
      <c r="D2" s="252" t="s">
        <v>1</v>
      </c>
      <c r="E2" s="252"/>
      <c r="F2" s="252"/>
      <c r="G2" s="252"/>
      <c r="H2" s="252"/>
      <c r="I2" s="252"/>
      <c r="J2" s="252"/>
      <c r="K2" s="252"/>
    </row>
    <row r="4" spans="1:18" ht="45">
      <c r="K4" s="1" t="s">
        <v>91</v>
      </c>
      <c r="L4" s="1" t="s">
        <v>303</v>
      </c>
      <c r="M4" s="1" t="s">
        <v>304</v>
      </c>
      <c r="N4" s="1" t="s">
        <v>95</v>
      </c>
      <c r="O4" s="1" t="s">
        <v>305</v>
      </c>
      <c r="P4" s="1" t="s">
        <v>94</v>
      </c>
      <c r="Q4" s="1" t="s">
        <v>306</v>
      </c>
      <c r="R4" s="1" t="s">
        <v>307</v>
      </c>
    </row>
    <row r="5" spans="1:18">
      <c r="A5" s="86" t="s">
        <v>8</v>
      </c>
    </row>
    <row r="6" spans="1:18">
      <c r="B6" t="s">
        <v>179</v>
      </c>
      <c r="K6" s="72">
        <v>228072</v>
      </c>
      <c r="L6" s="73">
        <v>775488</v>
      </c>
      <c r="M6" s="73">
        <v>45691</v>
      </c>
      <c r="N6" s="73">
        <v>162492</v>
      </c>
      <c r="O6" s="73">
        <v>195861</v>
      </c>
      <c r="P6" s="73">
        <v>430539</v>
      </c>
      <c r="Q6" s="73">
        <v>437063</v>
      </c>
      <c r="R6" s="73">
        <f>SUM(K6:Q6)</f>
        <v>2275206</v>
      </c>
    </row>
    <row r="7" spans="1:18">
      <c r="B7" t="s">
        <v>10</v>
      </c>
      <c r="K7" s="73"/>
      <c r="L7" s="73">
        <v>191576</v>
      </c>
      <c r="M7" s="73">
        <v>209365</v>
      </c>
      <c r="N7" s="73">
        <v>211588</v>
      </c>
      <c r="O7" s="73">
        <v>61674</v>
      </c>
      <c r="P7" s="73">
        <v>28773</v>
      </c>
      <c r="Q7" s="73">
        <v>70691</v>
      </c>
      <c r="R7" s="73">
        <f>SUM(K7:Q7)</f>
        <v>773667</v>
      </c>
    </row>
    <row r="8" spans="1:18">
      <c r="B8" t="s">
        <v>58</v>
      </c>
      <c r="K8" s="74">
        <v>649311</v>
      </c>
      <c r="L8" s="73">
        <v>431856</v>
      </c>
      <c r="M8" s="73">
        <v>320248</v>
      </c>
      <c r="N8" s="73">
        <v>272180</v>
      </c>
      <c r="O8" s="73">
        <v>448705</v>
      </c>
      <c r="P8" s="73">
        <v>156950</v>
      </c>
      <c r="Q8" s="73">
        <v>272263</v>
      </c>
      <c r="R8" s="73">
        <f>SUM(K8:Q8)</f>
        <v>2551513</v>
      </c>
    </row>
    <row r="9" spans="1:18">
      <c r="B9" t="s">
        <v>215</v>
      </c>
      <c r="K9" s="74">
        <v>6218</v>
      </c>
      <c r="L9" s="73">
        <v>3670</v>
      </c>
      <c r="M9" s="73"/>
      <c r="N9" s="73"/>
      <c r="O9" s="73"/>
      <c r="P9" s="73"/>
      <c r="Q9" s="73"/>
      <c r="R9" s="73">
        <f>SUM(K9:Q9)</f>
        <v>9888</v>
      </c>
    </row>
    <row r="10" spans="1:18">
      <c r="K10" s="73"/>
      <c r="L10" s="73"/>
      <c r="M10" s="73"/>
      <c r="N10" s="73"/>
      <c r="O10" s="73"/>
      <c r="P10" s="73"/>
      <c r="Q10" s="73"/>
      <c r="R10" s="73"/>
    </row>
    <row r="11" spans="1:18" s="3" customFormat="1">
      <c r="A11" s="2"/>
      <c r="B11" s="2"/>
      <c r="C11" s="2"/>
      <c r="D11" s="2"/>
      <c r="E11" s="2" t="s">
        <v>18</v>
      </c>
      <c r="K11" s="76">
        <f t="shared" ref="K11:R11" si="0">SUM(K6:K9)</f>
        <v>883601</v>
      </c>
      <c r="L11" s="76">
        <f t="shared" si="0"/>
        <v>1402590</v>
      </c>
      <c r="M11" s="76">
        <f t="shared" si="0"/>
        <v>575304</v>
      </c>
      <c r="N11" s="76">
        <f t="shared" si="0"/>
        <v>646260</v>
      </c>
      <c r="O11" s="76">
        <f t="shared" si="0"/>
        <v>706240</v>
      </c>
      <c r="P11" s="76">
        <f t="shared" si="0"/>
        <v>616262</v>
      </c>
      <c r="Q11" s="76">
        <f t="shared" si="0"/>
        <v>780017</v>
      </c>
      <c r="R11" s="76">
        <f t="shared" si="0"/>
        <v>5610274</v>
      </c>
    </row>
    <row r="12" spans="1:18">
      <c r="K12" s="73"/>
      <c r="L12" s="73"/>
      <c r="M12" s="73"/>
      <c r="N12" s="73"/>
      <c r="O12" s="73"/>
      <c r="P12" s="73"/>
      <c r="Q12" s="73"/>
      <c r="R12" s="73"/>
    </row>
    <row r="13" spans="1:18">
      <c r="A13" s="4" t="s">
        <v>140</v>
      </c>
      <c r="K13" s="73"/>
      <c r="L13" s="73"/>
      <c r="M13" s="73"/>
      <c r="N13" s="73"/>
      <c r="O13" s="73"/>
      <c r="P13" s="73"/>
      <c r="Q13" s="73"/>
      <c r="R13" s="73"/>
    </row>
    <row r="14" spans="1:18">
      <c r="B14" t="s">
        <v>20</v>
      </c>
      <c r="K14" s="73"/>
      <c r="L14" s="73"/>
      <c r="M14" s="73"/>
      <c r="N14" s="73"/>
      <c r="O14" s="73"/>
      <c r="P14" s="73"/>
      <c r="Q14" s="73"/>
      <c r="R14" s="73"/>
    </row>
    <row r="15" spans="1:18">
      <c r="C15" t="s">
        <v>21</v>
      </c>
      <c r="K15" s="77">
        <v>172155</v>
      </c>
      <c r="L15" s="73">
        <v>6614</v>
      </c>
      <c r="M15" s="73">
        <v>9807</v>
      </c>
      <c r="N15" s="73">
        <v>3076</v>
      </c>
      <c r="O15" s="73">
        <v>3149</v>
      </c>
      <c r="P15" s="73">
        <v>35</v>
      </c>
      <c r="Q15" s="73">
        <v>12821</v>
      </c>
      <c r="R15" s="73">
        <f>SUM(K15:Q15)</f>
        <v>207657</v>
      </c>
    </row>
    <row r="16" spans="1:18">
      <c r="C16" t="s">
        <v>216</v>
      </c>
      <c r="K16" s="73"/>
      <c r="L16" s="73">
        <v>1837</v>
      </c>
      <c r="M16" s="73">
        <v>4790</v>
      </c>
      <c r="N16" s="73">
        <v>3261</v>
      </c>
      <c r="O16" s="73"/>
      <c r="P16" s="73"/>
      <c r="Q16" s="73"/>
      <c r="R16" s="73">
        <f>SUM(K16:Q16)</f>
        <v>9888</v>
      </c>
    </row>
    <row r="17" spans="1:26">
      <c r="K17" s="73"/>
      <c r="L17" s="73"/>
      <c r="M17" s="73"/>
      <c r="N17" s="73"/>
      <c r="O17" s="73"/>
      <c r="P17" s="73"/>
      <c r="Q17" s="73"/>
      <c r="R17" s="73"/>
    </row>
    <row r="18" spans="1:26" s="5" customFormat="1">
      <c r="B18" s="6"/>
      <c r="C18" s="6"/>
      <c r="D18" s="6"/>
      <c r="E18" s="6" t="s">
        <v>26</v>
      </c>
      <c r="K18" s="79">
        <f t="shared" ref="K18:R18" si="1">SUM(K15:K16)</f>
        <v>172155</v>
      </c>
      <c r="L18" s="79">
        <f t="shared" si="1"/>
        <v>8451</v>
      </c>
      <c r="M18" s="79">
        <f t="shared" si="1"/>
        <v>14597</v>
      </c>
      <c r="N18" s="79">
        <f t="shared" si="1"/>
        <v>6337</v>
      </c>
      <c r="O18" s="79">
        <f t="shared" si="1"/>
        <v>3149</v>
      </c>
      <c r="P18" s="79">
        <f t="shared" si="1"/>
        <v>35</v>
      </c>
      <c r="Q18" s="79">
        <f t="shared" si="1"/>
        <v>12821</v>
      </c>
      <c r="R18" s="79">
        <f t="shared" si="1"/>
        <v>217545</v>
      </c>
    </row>
    <row r="19" spans="1:26" s="102" customFormat="1">
      <c r="B19" s="196"/>
      <c r="C19" s="196"/>
      <c r="D19" s="196"/>
      <c r="E19" s="196"/>
      <c r="K19" s="167"/>
      <c r="L19" s="167"/>
      <c r="M19" s="167"/>
      <c r="N19" s="167"/>
      <c r="O19" s="167"/>
      <c r="P19" s="167"/>
      <c r="Q19" s="167"/>
      <c r="R19" s="167"/>
    </row>
    <row r="20" spans="1:26" s="102" customFormat="1">
      <c r="A20" s="233" t="s">
        <v>308</v>
      </c>
      <c r="B20" s="196"/>
      <c r="C20" s="196"/>
      <c r="D20" s="196"/>
      <c r="E20" s="196"/>
      <c r="K20" s="167"/>
      <c r="L20" s="167"/>
      <c r="M20" s="167"/>
      <c r="N20" s="167"/>
      <c r="O20" s="167"/>
      <c r="P20" s="167"/>
      <c r="Q20" s="167"/>
      <c r="R20" s="167"/>
    </row>
    <row r="21" spans="1:26" s="102" customFormat="1">
      <c r="B21" s="234" t="s">
        <v>299</v>
      </c>
      <c r="C21" s="196"/>
      <c r="D21" s="196"/>
      <c r="E21" s="196"/>
      <c r="K21" s="235">
        <v>23541</v>
      </c>
      <c r="L21" s="235">
        <v>21246</v>
      </c>
      <c r="M21" s="235">
        <v>23101</v>
      </c>
      <c r="N21" s="235">
        <v>21194</v>
      </c>
      <c r="O21" s="235">
        <v>21246</v>
      </c>
      <c r="P21" s="235">
        <v>12221</v>
      </c>
      <c r="Q21" s="235">
        <v>17696</v>
      </c>
      <c r="R21" s="235">
        <f>SUM(K21:Q21)</f>
        <v>140245</v>
      </c>
    </row>
    <row r="22" spans="1:26" s="102" customFormat="1">
      <c r="B22" s="234"/>
      <c r="C22" s="196"/>
      <c r="D22" s="196"/>
      <c r="E22" s="196"/>
      <c r="K22" s="167"/>
      <c r="L22" s="167"/>
      <c r="M22" s="167"/>
      <c r="N22" s="167"/>
      <c r="O22" s="167"/>
      <c r="P22" s="167"/>
      <c r="Q22" s="167"/>
      <c r="R22" s="167"/>
    </row>
    <row r="23" spans="1:26" s="102" customFormat="1">
      <c r="A23" s="5"/>
      <c r="B23" s="6"/>
      <c r="C23" s="6"/>
      <c r="D23" s="6"/>
      <c r="E23" s="6" t="s">
        <v>29</v>
      </c>
      <c r="F23" s="5"/>
      <c r="G23" s="5"/>
      <c r="H23" s="5"/>
      <c r="I23" s="5"/>
      <c r="J23" s="5"/>
      <c r="K23" s="79">
        <f>SUM(K19:K21)</f>
        <v>23541</v>
      </c>
      <c r="L23" s="79">
        <f t="shared" ref="L23:Z23" si="2">SUM(L19:L21)</f>
        <v>21246</v>
      </c>
      <c r="M23" s="79">
        <f t="shared" si="2"/>
        <v>23101</v>
      </c>
      <c r="N23" s="79">
        <f t="shared" si="2"/>
        <v>21194</v>
      </c>
      <c r="O23" s="79">
        <f t="shared" si="2"/>
        <v>21246</v>
      </c>
      <c r="P23" s="79">
        <f t="shared" si="2"/>
        <v>12221</v>
      </c>
      <c r="Q23" s="79">
        <f t="shared" si="2"/>
        <v>17696</v>
      </c>
      <c r="R23" s="79">
        <f t="shared" si="2"/>
        <v>140245</v>
      </c>
      <c r="S23" s="79">
        <f t="shared" si="2"/>
        <v>0</v>
      </c>
      <c r="T23" s="79">
        <f t="shared" si="2"/>
        <v>0</v>
      </c>
      <c r="U23" s="79">
        <f t="shared" si="2"/>
        <v>0</v>
      </c>
      <c r="V23" s="79">
        <f t="shared" si="2"/>
        <v>0</v>
      </c>
      <c r="W23" s="79">
        <f t="shared" si="2"/>
        <v>0</v>
      </c>
      <c r="X23" s="79">
        <f t="shared" si="2"/>
        <v>0</v>
      </c>
      <c r="Y23" s="79">
        <f t="shared" si="2"/>
        <v>0</v>
      </c>
      <c r="Z23" s="79">
        <f t="shared" si="2"/>
        <v>0</v>
      </c>
    </row>
    <row r="24" spans="1:26">
      <c r="K24" s="73"/>
      <c r="L24" s="73"/>
      <c r="M24" s="73"/>
      <c r="N24" s="73"/>
      <c r="O24" s="73"/>
      <c r="P24" s="73"/>
      <c r="Q24" s="73"/>
      <c r="R24" s="73"/>
    </row>
    <row r="25" spans="1:26">
      <c r="A25" s="86" t="s">
        <v>30</v>
      </c>
      <c r="K25" s="73"/>
      <c r="L25" s="73"/>
      <c r="M25" s="73"/>
      <c r="N25" s="73"/>
      <c r="O25" s="73"/>
      <c r="P25" s="73"/>
      <c r="Q25" s="73"/>
      <c r="R25" s="73"/>
    </row>
    <row r="26" spans="1:26">
      <c r="C26" t="s">
        <v>88</v>
      </c>
      <c r="K26" s="73"/>
      <c r="L26" s="73">
        <v>1372893</v>
      </c>
      <c r="M26" s="73">
        <v>537606</v>
      </c>
      <c r="N26" s="73">
        <v>618729</v>
      </c>
      <c r="O26" s="73">
        <v>681845</v>
      </c>
      <c r="P26" s="73">
        <v>604006</v>
      </c>
      <c r="Q26" s="73">
        <v>749500</v>
      </c>
      <c r="R26" s="73">
        <f>SUM(K26:Q26)</f>
        <v>4564579</v>
      </c>
    </row>
    <row r="27" spans="1:26">
      <c r="C27" t="s">
        <v>46</v>
      </c>
      <c r="K27" s="84">
        <v>687905</v>
      </c>
      <c r="L27" s="73"/>
      <c r="M27" s="73"/>
      <c r="N27" s="73"/>
      <c r="O27" s="73"/>
      <c r="P27" s="73"/>
      <c r="Q27" s="73"/>
      <c r="R27" s="73">
        <f>SUM(K27:Q27)</f>
        <v>687905</v>
      </c>
    </row>
    <row r="28" spans="1:26">
      <c r="K28" s="73"/>
      <c r="L28" s="73"/>
      <c r="M28" s="73"/>
      <c r="N28" s="73"/>
      <c r="O28" s="73"/>
      <c r="P28" s="73"/>
      <c r="Q28" s="73"/>
      <c r="R28" s="73"/>
    </row>
    <row r="29" spans="1:26" s="5" customFormat="1">
      <c r="D29" s="6"/>
      <c r="E29" s="6" t="s">
        <v>77</v>
      </c>
      <c r="K29" s="79">
        <f t="shared" ref="K29:R29" si="3">SUM(K26:K27)</f>
        <v>687905</v>
      </c>
      <c r="L29" s="79">
        <f t="shared" si="3"/>
        <v>1372893</v>
      </c>
      <c r="M29" s="79">
        <f t="shared" si="3"/>
        <v>537606</v>
      </c>
      <c r="N29" s="79">
        <f t="shared" si="3"/>
        <v>618729</v>
      </c>
      <c r="O29" s="79">
        <f t="shared" si="3"/>
        <v>681845</v>
      </c>
      <c r="P29" s="79">
        <f t="shared" si="3"/>
        <v>604006</v>
      </c>
      <c r="Q29" s="79">
        <f t="shared" si="3"/>
        <v>749500</v>
      </c>
      <c r="R29" s="79">
        <f t="shared" si="3"/>
        <v>5252484</v>
      </c>
    </row>
    <row r="30" spans="1:26">
      <c r="K30" s="73"/>
      <c r="L30" s="73"/>
      <c r="M30" s="73"/>
      <c r="N30" s="73"/>
      <c r="O30" s="73"/>
      <c r="P30" s="73"/>
      <c r="Q30" s="73"/>
      <c r="R30" s="73"/>
    </row>
    <row r="31" spans="1:26" s="7" customFormat="1">
      <c r="D31" s="8"/>
      <c r="E31" s="8" t="s">
        <v>125</v>
      </c>
      <c r="K31" s="81">
        <f>SUM(K29+K23+K18)</f>
        <v>883601</v>
      </c>
      <c r="L31" s="81">
        <f t="shared" ref="L31:R31" si="4">SUM(L29+L23+L18)</f>
        <v>1402590</v>
      </c>
      <c r="M31" s="81">
        <f t="shared" si="4"/>
        <v>575304</v>
      </c>
      <c r="N31" s="81">
        <f t="shared" si="4"/>
        <v>646260</v>
      </c>
      <c r="O31" s="81">
        <f t="shared" si="4"/>
        <v>706240</v>
      </c>
      <c r="P31" s="81">
        <f t="shared" si="4"/>
        <v>616262</v>
      </c>
      <c r="Q31" s="81">
        <f t="shared" si="4"/>
        <v>780017</v>
      </c>
      <c r="R31" s="81">
        <f t="shared" si="4"/>
        <v>5610274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40"/>
  <sheetViews>
    <sheetView workbookViewId="0">
      <selection activeCell="K12" sqref="K12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6" width="21" customWidth="1"/>
    <col min="7" max="7" width="3.85546875" customWidth="1"/>
    <col min="8" max="9" width="9.140625" customWidth="1"/>
    <col min="10" max="10" width="13.140625" customWidth="1"/>
    <col min="11" max="11" width="16.28515625" customWidth="1"/>
    <col min="12" max="13" width="16.42578125" customWidth="1"/>
    <col min="14" max="14" width="18" customWidth="1"/>
    <col min="15" max="15" width="17.28515625" customWidth="1"/>
  </cols>
  <sheetData>
    <row r="1" spans="1:15" ht="18.75">
      <c r="D1" s="251" t="s">
        <v>309</v>
      </c>
      <c r="E1" s="251"/>
      <c r="F1" s="251"/>
      <c r="G1" s="251"/>
      <c r="H1" s="251"/>
      <c r="I1" s="251"/>
      <c r="J1" s="251"/>
      <c r="K1" s="251"/>
    </row>
    <row r="2" spans="1:15">
      <c r="D2" s="252" t="s">
        <v>1</v>
      </c>
      <c r="E2" s="252"/>
      <c r="F2" s="252"/>
      <c r="G2" s="252"/>
      <c r="H2" s="252"/>
      <c r="I2" s="252"/>
      <c r="J2" s="252"/>
      <c r="K2" s="252"/>
    </row>
    <row r="4" spans="1:15" ht="45">
      <c r="K4" s="1" t="s">
        <v>2</v>
      </c>
      <c r="L4" s="1" t="s">
        <v>310</v>
      </c>
      <c r="M4" s="1" t="s">
        <v>82</v>
      </c>
      <c r="N4" s="1" t="s">
        <v>6</v>
      </c>
      <c r="O4" s="1" t="s">
        <v>7</v>
      </c>
    </row>
    <row r="5" spans="1:15">
      <c r="A5" s="86" t="s">
        <v>8</v>
      </c>
    </row>
    <row r="6" spans="1:15">
      <c r="B6" t="s">
        <v>85</v>
      </c>
      <c r="K6" s="219">
        <v>810939.55</v>
      </c>
      <c r="L6" s="220">
        <v>1278350.01</v>
      </c>
      <c r="M6" s="220">
        <v>2485602.7400000002</v>
      </c>
      <c r="N6" s="220">
        <v>427717.31</v>
      </c>
      <c r="O6" s="220">
        <f>SUM(K6:N6)</f>
        <v>5002609.6100000003</v>
      </c>
    </row>
    <row r="7" spans="1:15">
      <c r="B7" t="s">
        <v>151</v>
      </c>
      <c r="K7" s="73"/>
      <c r="L7" s="73"/>
      <c r="M7" s="73"/>
      <c r="N7" s="73"/>
      <c r="O7" s="73"/>
    </row>
    <row r="8" spans="1:15">
      <c r="C8" t="s">
        <v>311</v>
      </c>
      <c r="K8" s="220"/>
      <c r="L8" s="220"/>
      <c r="M8" s="220"/>
      <c r="N8" s="220">
        <v>12336.64</v>
      </c>
      <c r="O8" s="220">
        <f>SUM(K8:N8)</f>
        <v>12336.64</v>
      </c>
    </row>
    <row r="9" spans="1:15">
      <c r="C9" t="s">
        <v>312</v>
      </c>
      <c r="K9" s="221">
        <v>396124.82</v>
      </c>
      <c r="L9" s="220"/>
      <c r="M9" s="220">
        <v>284115.73</v>
      </c>
      <c r="N9" s="220">
        <v>432247.63</v>
      </c>
      <c r="O9" s="220">
        <f>SUM(K9:N9)</f>
        <v>1112488.1800000002</v>
      </c>
    </row>
    <row r="10" spans="1:15">
      <c r="B10" t="s">
        <v>16</v>
      </c>
      <c r="K10" s="222">
        <v>268988.48</v>
      </c>
      <c r="L10" s="220">
        <v>287054.02</v>
      </c>
      <c r="M10" s="220">
        <v>1275000</v>
      </c>
      <c r="N10" s="220"/>
      <c r="O10" s="220">
        <f>SUM(K10:N10)</f>
        <v>1831042.5</v>
      </c>
    </row>
    <row r="11" spans="1:15">
      <c r="B11" t="s">
        <v>313</v>
      </c>
      <c r="K11" s="222">
        <v>19747</v>
      </c>
      <c r="L11" s="220">
        <v>44917.96</v>
      </c>
      <c r="M11" s="220"/>
      <c r="N11" s="220">
        <v>27307</v>
      </c>
      <c r="O11" s="220">
        <f>SUM(K11:N11)</f>
        <v>91971.959999999992</v>
      </c>
    </row>
    <row r="12" spans="1:15">
      <c r="K12" s="73"/>
      <c r="L12" s="73"/>
      <c r="M12" s="73"/>
      <c r="N12" s="73"/>
      <c r="O12" s="73"/>
    </row>
    <row r="13" spans="1:15" s="3" customFormat="1">
      <c r="A13" s="2"/>
      <c r="B13" s="2"/>
      <c r="C13" s="2"/>
      <c r="D13" s="2"/>
      <c r="E13" s="2" t="s">
        <v>18</v>
      </c>
      <c r="K13" s="223">
        <f>SUM(K6:K11)</f>
        <v>1495799.85</v>
      </c>
      <c r="L13" s="223">
        <f>SUM(L6:L11)</f>
        <v>1610321.99</v>
      </c>
      <c r="M13" s="223">
        <f>SUM(M6:M11)</f>
        <v>4044718.47</v>
      </c>
      <c r="N13" s="223">
        <f>SUM(N6:N11)</f>
        <v>899608.58000000007</v>
      </c>
      <c r="O13" s="223">
        <f>SUM(O6:O11)</f>
        <v>8050448.8899999997</v>
      </c>
    </row>
    <row r="14" spans="1:15">
      <c r="K14" s="73"/>
      <c r="L14" s="73"/>
      <c r="M14" s="73"/>
      <c r="N14" s="73"/>
      <c r="O14" s="73"/>
    </row>
    <row r="15" spans="1:15">
      <c r="A15" s="4" t="s">
        <v>19</v>
      </c>
      <c r="K15" s="73"/>
      <c r="L15" s="73"/>
      <c r="M15" s="73"/>
      <c r="N15" s="73"/>
      <c r="O15" s="73"/>
    </row>
    <row r="16" spans="1:15">
      <c r="B16" t="s">
        <v>20</v>
      </c>
      <c r="K16" s="73"/>
      <c r="L16" s="73"/>
      <c r="M16" s="73"/>
      <c r="N16" s="73"/>
      <c r="O16" s="73"/>
    </row>
    <row r="17" spans="1:15">
      <c r="C17" t="s">
        <v>21</v>
      </c>
      <c r="K17" s="224">
        <v>69255.199999999997</v>
      </c>
      <c r="L17" s="220">
        <v>581663.57999999996</v>
      </c>
      <c r="M17" s="220">
        <v>84757.3</v>
      </c>
      <c r="N17" s="220"/>
      <c r="O17" s="220">
        <f>SUM(K17:N17)</f>
        <v>735676.08</v>
      </c>
    </row>
    <row r="18" spans="1:15">
      <c r="C18" t="s">
        <v>25</v>
      </c>
      <c r="K18" s="224">
        <v>14435.04</v>
      </c>
      <c r="L18" s="220">
        <v>1275000</v>
      </c>
      <c r="M18" s="220">
        <v>21947.19</v>
      </c>
      <c r="N18" s="220">
        <v>152885.34</v>
      </c>
      <c r="O18" s="220">
        <f>SUM(K18:N18)</f>
        <v>1464267.57</v>
      </c>
    </row>
    <row r="19" spans="1:15">
      <c r="C19" t="s">
        <v>314</v>
      </c>
      <c r="K19" s="220"/>
      <c r="L19" s="220"/>
      <c r="M19" s="220"/>
      <c r="N19" s="220">
        <v>2729.05</v>
      </c>
      <c r="O19" s="220">
        <f>SUM(K19:N19)</f>
        <v>2729.05</v>
      </c>
    </row>
    <row r="20" spans="1:15">
      <c r="K20" s="73"/>
      <c r="L20" s="73"/>
      <c r="M20" s="73"/>
      <c r="N20" s="73"/>
      <c r="O20" s="73"/>
    </row>
    <row r="21" spans="1:15" s="5" customFormat="1">
      <c r="B21" s="6"/>
      <c r="C21" s="6"/>
      <c r="D21" s="6"/>
      <c r="E21" s="6" t="s">
        <v>26</v>
      </c>
      <c r="K21" s="225">
        <f>SUM(K17:K19)</f>
        <v>83690.239999999991</v>
      </c>
      <c r="L21" s="225">
        <f>SUM(L17:L19)</f>
        <v>1856663.58</v>
      </c>
      <c r="M21" s="225">
        <f>SUM(M17:M19)</f>
        <v>106704.49</v>
      </c>
      <c r="N21" s="225">
        <f>SUM(N17:N19)</f>
        <v>155614.38999999998</v>
      </c>
      <c r="O21" s="225">
        <f>SUM(O17:O19)</f>
        <v>2202672.6999999997</v>
      </c>
    </row>
    <row r="22" spans="1:15">
      <c r="K22" s="73"/>
      <c r="L22" s="73"/>
      <c r="M22" s="73"/>
      <c r="N22" s="73"/>
      <c r="O22" s="73"/>
    </row>
    <row r="23" spans="1:15">
      <c r="A23" s="86" t="s">
        <v>315</v>
      </c>
      <c r="K23" s="73"/>
      <c r="L23" s="73"/>
      <c r="M23" s="73"/>
      <c r="N23" s="73"/>
      <c r="O23" s="73"/>
    </row>
    <row r="24" spans="1:15">
      <c r="B24" t="s">
        <v>103</v>
      </c>
      <c r="K24" s="73">
        <v>47055.21</v>
      </c>
      <c r="L24" s="73"/>
      <c r="M24" s="73"/>
      <c r="N24" s="73">
        <v>26280.13</v>
      </c>
      <c r="O24" s="73">
        <f>SUM(K24:N24)</f>
        <v>73335.34</v>
      </c>
    </row>
    <row r="25" spans="1:15">
      <c r="K25" s="73"/>
      <c r="L25" s="73"/>
      <c r="M25" s="73"/>
      <c r="N25" s="73"/>
      <c r="O25" s="73"/>
    </row>
    <row r="26" spans="1:15">
      <c r="A26" s="86" t="s">
        <v>316</v>
      </c>
      <c r="K26" s="73"/>
      <c r="L26" s="73"/>
      <c r="M26" s="73"/>
      <c r="N26" s="73"/>
      <c r="O26" s="73"/>
    </row>
    <row r="27" spans="1:15">
      <c r="C27" t="s">
        <v>31</v>
      </c>
      <c r="K27" s="73"/>
      <c r="L27" s="73"/>
      <c r="M27" s="73"/>
      <c r="N27" s="73"/>
      <c r="O27" s="73">
        <f t="shared" ref="O27:O36" si="0">SUM(K27:N27)</f>
        <v>0</v>
      </c>
    </row>
    <row r="28" spans="1:15">
      <c r="D28" t="s">
        <v>317</v>
      </c>
      <c r="K28" s="220"/>
      <c r="L28" s="220"/>
      <c r="M28" s="220"/>
      <c r="N28" s="220">
        <v>845785.87</v>
      </c>
      <c r="O28" s="220">
        <f t="shared" si="0"/>
        <v>845785.87</v>
      </c>
    </row>
    <row r="29" spans="1:15">
      <c r="D29" t="s">
        <v>318</v>
      </c>
      <c r="K29" s="226">
        <v>45514.34</v>
      </c>
      <c r="L29" s="220"/>
      <c r="M29" s="220"/>
      <c r="N29" s="220"/>
      <c r="O29" s="220">
        <f t="shared" si="0"/>
        <v>45514.34</v>
      </c>
    </row>
    <row r="30" spans="1:15">
      <c r="D30" t="s">
        <v>319</v>
      </c>
      <c r="K30" s="220"/>
      <c r="L30" s="220"/>
      <c r="M30" s="220">
        <v>3938013.98</v>
      </c>
      <c r="N30" s="220"/>
      <c r="O30" s="220">
        <f t="shared" si="0"/>
        <v>3938013.98</v>
      </c>
    </row>
    <row r="31" spans="1:15">
      <c r="C31" t="s">
        <v>37</v>
      </c>
      <c r="K31" s="220"/>
      <c r="L31" s="220"/>
      <c r="M31" s="220"/>
      <c r="N31" s="220"/>
      <c r="O31" s="220"/>
    </row>
    <row r="32" spans="1:15">
      <c r="D32" t="s">
        <v>73</v>
      </c>
      <c r="K32" s="220"/>
      <c r="L32" s="220">
        <v>-246341.59</v>
      </c>
      <c r="M32" s="220"/>
      <c r="N32" s="220"/>
      <c r="O32" s="220">
        <f t="shared" si="0"/>
        <v>-246341.59</v>
      </c>
    </row>
    <row r="33" spans="3:15">
      <c r="D33" t="s">
        <v>320</v>
      </c>
      <c r="K33" s="220"/>
      <c r="L33" s="220"/>
      <c r="M33" s="220"/>
      <c r="N33" s="220">
        <v>-128071.81</v>
      </c>
      <c r="O33" s="220">
        <f t="shared" si="0"/>
        <v>-128071.81</v>
      </c>
    </row>
    <row r="34" spans="3:15">
      <c r="D34" t="s">
        <v>321</v>
      </c>
      <c r="K34" s="220"/>
      <c r="L34" s="220"/>
      <c r="M34" s="220"/>
      <c r="N34" s="220"/>
      <c r="O34" s="220">
        <f t="shared" si="0"/>
        <v>0</v>
      </c>
    </row>
    <row r="35" spans="3:15">
      <c r="D35" t="s">
        <v>322</v>
      </c>
      <c r="K35" s="226">
        <v>45500</v>
      </c>
      <c r="L35" s="220"/>
      <c r="M35" s="220"/>
      <c r="N35" s="220"/>
      <c r="O35" s="220">
        <f t="shared" si="0"/>
        <v>45500</v>
      </c>
    </row>
    <row r="36" spans="3:15">
      <c r="C36" t="s">
        <v>46</v>
      </c>
      <c r="K36" s="227">
        <v>1274040.06</v>
      </c>
      <c r="L36" s="220"/>
      <c r="M36" s="220"/>
      <c r="N36" s="220"/>
      <c r="O36" s="220">
        <f t="shared" si="0"/>
        <v>1274040.06</v>
      </c>
    </row>
    <row r="37" spans="3:15">
      <c r="K37" s="73"/>
      <c r="L37" s="73"/>
      <c r="M37" s="73"/>
      <c r="N37" s="73"/>
      <c r="O37" s="73"/>
    </row>
    <row r="38" spans="3:15" s="5" customFormat="1">
      <c r="D38" s="6"/>
      <c r="E38" s="6" t="s">
        <v>77</v>
      </c>
      <c r="K38" s="225">
        <f>SUM(K28:K36)</f>
        <v>1365054.4000000001</v>
      </c>
      <c r="L38" s="225">
        <f t="shared" ref="L38:O38" si="1">SUM(L28:L36)</f>
        <v>-246341.59</v>
      </c>
      <c r="M38" s="225">
        <f t="shared" si="1"/>
        <v>3938013.98</v>
      </c>
      <c r="N38" s="225">
        <f t="shared" si="1"/>
        <v>717714.06</v>
      </c>
      <c r="O38" s="225">
        <f t="shared" si="1"/>
        <v>5774440.8499999996</v>
      </c>
    </row>
    <row r="39" spans="3:15">
      <c r="K39" s="73"/>
      <c r="L39" s="73"/>
      <c r="M39" s="73"/>
      <c r="N39" s="73"/>
      <c r="O39" s="73"/>
    </row>
    <row r="40" spans="3:15" s="7" customFormat="1">
      <c r="D40" s="8"/>
      <c r="E40" s="8" t="s">
        <v>125</v>
      </c>
      <c r="K40" s="228">
        <f>SUM(K38+K24+K21)</f>
        <v>1495799.85</v>
      </c>
      <c r="L40" s="228">
        <f t="shared" ref="L40:O40" si="2">SUM(L38+L24+L21)</f>
        <v>1610321.99</v>
      </c>
      <c r="M40" s="228">
        <f t="shared" si="2"/>
        <v>4044718.47</v>
      </c>
      <c r="N40" s="228">
        <f t="shared" si="2"/>
        <v>899608.58000000007</v>
      </c>
      <c r="O40" s="228">
        <f t="shared" si="2"/>
        <v>8050448.8899999987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33"/>
  <sheetViews>
    <sheetView topLeftCell="A4" workbookViewId="0">
      <selection activeCell="C15" sqref="C15"/>
    </sheetView>
  </sheetViews>
  <sheetFormatPr defaultColWidth="8.85546875" defaultRowHeight="15"/>
  <cols>
    <col min="11" max="11" width="14.28515625" customWidth="1"/>
    <col min="12" max="12" width="15.7109375" customWidth="1"/>
    <col min="13" max="13" width="16.85546875" customWidth="1"/>
    <col min="14" max="14" width="12.85546875" customWidth="1"/>
    <col min="15" max="15" width="14.42578125" customWidth="1"/>
    <col min="16" max="16" width="13" customWidth="1"/>
    <col min="17" max="20" width="15.42578125" customWidth="1"/>
  </cols>
  <sheetData>
    <row r="1" spans="1:20" ht="18.75">
      <c r="D1" s="251" t="s">
        <v>323</v>
      </c>
      <c r="E1" s="251"/>
      <c r="F1" s="251"/>
      <c r="G1" s="251"/>
      <c r="H1" s="251"/>
      <c r="I1" s="251"/>
      <c r="J1" s="251"/>
      <c r="K1" s="251"/>
    </row>
    <row r="2" spans="1:20">
      <c r="D2" s="252" t="s">
        <v>1</v>
      </c>
      <c r="E2" s="252"/>
      <c r="F2" s="252"/>
      <c r="G2" s="252"/>
      <c r="H2" s="252"/>
      <c r="I2" s="252"/>
      <c r="J2" s="252"/>
      <c r="K2" s="252"/>
    </row>
    <row r="4" spans="1:20" ht="60">
      <c r="K4" s="1" t="s">
        <v>3</v>
      </c>
      <c r="L4" s="1" t="s">
        <v>324</v>
      </c>
      <c r="M4" s="1" t="s">
        <v>325</v>
      </c>
      <c r="N4" s="1" t="s">
        <v>326</v>
      </c>
      <c r="O4" s="1" t="s">
        <v>327</v>
      </c>
      <c r="P4" s="1" t="s">
        <v>328</v>
      </c>
      <c r="Q4" s="1" t="s">
        <v>329</v>
      </c>
      <c r="R4" s="1" t="s">
        <v>330</v>
      </c>
      <c r="S4" s="1" t="s">
        <v>331</v>
      </c>
      <c r="T4" s="1" t="s">
        <v>307</v>
      </c>
    </row>
    <row r="5" spans="1:20">
      <c r="A5" s="86" t="s">
        <v>8</v>
      </c>
    </row>
    <row r="6" spans="1:20">
      <c r="B6" t="s">
        <v>98</v>
      </c>
      <c r="K6" s="72">
        <v>587936</v>
      </c>
      <c r="L6" s="73">
        <v>11062</v>
      </c>
      <c r="M6" s="73">
        <v>269504</v>
      </c>
      <c r="N6" s="73"/>
      <c r="O6" s="73">
        <v>32563</v>
      </c>
      <c r="P6" s="73">
        <v>1014924</v>
      </c>
      <c r="Q6" s="73">
        <v>6974</v>
      </c>
      <c r="R6" s="73">
        <v>2368</v>
      </c>
      <c r="S6" s="73">
        <v>1126328</v>
      </c>
      <c r="T6" s="73">
        <f>SUM(K6:S6)</f>
        <v>3051659</v>
      </c>
    </row>
    <row r="7" spans="1:20">
      <c r="B7" t="s">
        <v>213</v>
      </c>
      <c r="K7" s="73"/>
      <c r="L7" s="73"/>
      <c r="M7" s="73"/>
      <c r="N7" s="73"/>
      <c r="O7" s="73">
        <v>1579</v>
      </c>
      <c r="P7" s="73"/>
      <c r="Q7" s="73">
        <v>860</v>
      </c>
      <c r="R7" s="73">
        <v>587</v>
      </c>
      <c r="S7" s="73"/>
      <c r="T7" s="73">
        <f t="shared" ref="T7:T9" si="0">SUM(K7:S7)</f>
        <v>3026</v>
      </c>
    </row>
    <row r="8" spans="1:20">
      <c r="B8" t="s">
        <v>332</v>
      </c>
      <c r="K8" s="74">
        <v>81043</v>
      </c>
      <c r="L8" s="73">
        <v>24120</v>
      </c>
      <c r="M8" s="73"/>
      <c r="N8" s="73"/>
      <c r="O8" s="73"/>
      <c r="P8" s="73">
        <v>391077</v>
      </c>
      <c r="Q8" s="73"/>
      <c r="R8" s="73"/>
      <c r="S8" s="73">
        <v>516485</v>
      </c>
      <c r="T8" s="73">
        <f t="shared" si="0"/>
        <v>1012725</v>
      </c>
    </row>
    <row r="9" spans="1:20">
      <c r="B9" t="s">
        <v>156</v>
      </c>
      <c r="K9" s="73"/>
      <c r="L9" s="73"/>
      <c r="M9" s="73">
        <v>5000</v>
      </c>
      <c r="N9" s="73"/>
      <c r="O9" s="73"/>
      <c r="P9" s="73"/>
      <c r="Q9" s="73"/>
      <c r="R9" s="73"/>
      <c r="S9" s="73"/>
      <c r="T9" s="73">
        <f t="shared" si="0"/>
        <v>5000</v>
      </c>
    </row>
    <row r="10" spans="1:20">
      <c r="K10" s="73"/>
      <c r="L10" s="73"/>
      <c r="M10" s="73"/>
      <c r="N10" s="73"/>
      <c r="O10" s="73"/>
      <c r="P10" s="73"/>
      <c r="Q10" s="73"/>
      <c r="R10" s="73"/>
      <c r="S10" s="73"/>
      <c r="T10" s="73"/>
    </row>
    <row r="11" spans="1:20">
      <c r="A11" s="2"/>
      <c r="B11" s="2"/>
      <c r="C11" s="2"/>
      <c r="D11" s="2"/>
      <c r="E11" s="2" t="s">
        <v>18</v>
      </c>
      <c r="F11" s="3"/>
      <c r="G11" s="3"/>
      <c r="H11" s="3"/>
      <c r="I11" s="3"/>
      <c r="J11" s="3"/>
      <c r="K11" s="76">
        <f t="shared" ref="K11:T11" si="1">SUM(K6:K9)</f>
        <v>668979</v>
      </c>
      <c r="L11" s="76">
        <f t="shared" si="1"/>
        <v>35182</v>
      </c>
      <c r="M11" s="76">
        <f t="shared" si="1"/>
        <v>274504</v>
      </c>
      <c r="N11" s="76">
        <f t="shared" si="1"/>
        <v>0</v>
      </c>
      <c r="O11" s="76">
        <f t="shared" si="1"/>
        <v>34142</v>
      </c>
      <c r="P11" s="76">
        <f t="shared" si="1"/>
        <v>1406001</v>
      </c>
      <c r="Q11" s="76">
        <f t="shared" si="1"/>
        <v>7834</v>
      </c>
      <c r="R11" s="76">
        <f t="shared" si="1"/>
        <v>2955</v>
      </c>
      <c r="S11" s="76">
        <f t="shared" si="1"/>
        <v>1642813</v>
      </c>
      <c r="T11" s="76">
        <f t="shared" si="1"/>
        <v>4072410</v>
      </c>
    </row>
    <row r="12" spans="1:20">
      <c r="K12" s="73"/>
      <c r="L12" s="73"/>
      <c r="M12" s="73"/>
      <c r="N12" s="73"/>
      <c r="O12" s="73"/>
      <c r="P12" s="73"/>
      <c r="Q12" s="73"/>
      <c r="R12" s="73"/>
      <c r="S12" s="73"/>
      <c r="T12" s="73"/>
    </row>
    <row r="13" spans="1:20">
      <c r="A13" s="4" t="s">
        <v>140</v>
      </c>
      <c r="K13" s="73"/>
      <c r="L13" s="73"/>
      <c r="M13" s="73"/>
      <c r="N13" s="73"/>
      <c r="O13" s="73"/>
      <c r="P13" s="73"/>
      <c r="Q13" s="73"/>
      <c r="R13" s="73"/>
      <c r="S13" s="73"/>
      <c r="T13" s="73"/>
    </row>
    <row r="14" spans="1:20">
      <c r="B14" t="s">
        <v>20</v>
      </c>
      <c r="K14" s="73"/>
      <c r="L14" s="73"/>
      <c r="M14" s="73"/>
      <c r="N14" s="73"/>
      <c r="O14" s="73"/>
      <c r="P14" s="73"/>
      <c r="Q14" s="73"/>
      <c r="R14" s="73"/>
      <c r="S14" s="73"/>
      <c r="T14" s="73"/>
    </row>
    <row r="15" spans="1:20">
      <c r="C15" t="s">
        <v>333</v>
      </c>
      <c r="K15" s="73"/>
      <c r="L15" s="73"/>
      <c r="M15" s="73"/>
      <c r="N15" s="73">
        <v>7145</v>
      </c>
      <c r="O15" s="73"/>
      <c r="P15" s="73"/>
      <c r="Q15" s="73"/>
      <c r="R15" s="73"/>
      <c r="S15" s="73"/>
      <c r="T15" s="73">
        <f>SUM(K15:S15)</f>
        <v>7145</v>
      </c>
    </row>
    <row r="16" spans="1:20">
      <c r="C16" t="s">
        <v>21</v>
      </c>
      <c r="K16" s="77">
        <v>82573</v>
      </c>
      <c r="L16" s="73">
        <v>6450</v>
      </c>
      <c r="M16" s="73">
        <v>734</v>
      </c>
      <c r="N16" s="73">
        <v>3645</v>
      </c>
      <c r="O16" s="73">
        <v>2949</v>
      </c>
      <c r="P16" s="73">
        <v>480</v>
      </c>
      <c r="Q16" s="73">
        <v>235</v>
      </c>
      <c r="R16" s="73">
        <v>558</v>
      </c>
      <c r="S16" s="73">
        <v>4448</v>
      </c>
      <c r="T16" s="73">
        <f>SUM(K16:S16)</f>
        <v>102072</v>
      </c>
    </row>
    <row r="17" spans="1:20">
      <c r="C17" t="s">
        <v>24</v>
      </c>
      <c r="K17" s="73"/>
      <c r="L17" s="73"/>
      <c r="M17" s="73">
        <v>260333</v>
      </c>
      <c r="N17" s="73"/>
      <c r="O17" s="73"/>
      <c r="P17" s="73"/>
      <c r="Q17" s="73"/>
      <c r="R17" s="73"/>
      <c r="S17" s="73"/>
      <c r="T17" s="73">
        <f t="shared" ref="T17:T19" si="2">SUM(K17:S17)</f>
        <v>260333</v>
      </c>
    </row>
    <row r="18" spans="1:20">
      <c r="C18" t="s">
        <v>25</v>
      </c>
      <c r="K18" s="73"/>
      <c r="L18" s="73"/>
      <c r="M18" s="73"/>
      <c r="N18" s="73">
        <v>9939</v>
      </c>
      <c r="O18" s="73"/>
      <c r="P18" s="73"/>
      <c r="Q18" s="73"/>
      <c r="R18" s="73"/>
      <c r="S18" s="73"/>
      <c r="T18" s="73">
        <f t="shared" si="2"/>
        <v>9939</v>
      </c>
    </row>
    <row r="19" spans="1:20">
      <c r="C19" t="s">
        <v>334</v>
      </c>
      <c r="K19" s="73"/>
      <c r="L19" s="73"/>
      <c r="M19" s="73"/>
      <c r="N19" s="73"/>
      <c r="O19" s="73">
        <v>8292</v>
      </c>
      <c r="P19" s="73"/>
      <c r="Q19" s="73">
        <v>1133</v>
      </c>
      <c r="R19" s="73">
        <v>1637</v>
      </c>
      <c r="S19" s="73"/>
      <c r="T19" s="73">
        <f t="shared" si="2"/>
        <v>11062</v>
      </c>
    </row>
    <row r="20" spans="1:20">
      <c r="K20" s="73"/>
      <c r="L20" s="73"/>
      <c r="M20" s="73"/>
      <c r="N20" s="73"/>
      <c r="O20" s="73"/>
      <c r="P20" s="73"/>
      <c r="Q20" s="73"/>
      <c r="R20" s="73"/>
      <c r="S20" s="73"/>
      <c r="T20" s="73"/>
    </row>
    <row r="21" spans="1:20">
      <c r="A21" s="5"/>
      <c r="B21" s="6"/>
      <c r="C21" s="6"/>
      <c r="D21" s="6"/>
      <c r="E21" s="6" t="s">
        <v>26</v>
      </c>
      <c r="F21" s="5"/>
      <c r="G21" s="5"/>
      <c r="H21" s="5"/>
      <c r="I21" s="5"/>
      <c r="J21" s="5"/>
      <c r="K21" s="79">
        <f t="shared" ref="K21:M21" si="3">SUM(K15:K19)</f>
        <v>82573</v>
      </c>
      <c r="L21" s="79">
        <f t="shared" si="3"/>
        <v>6450</v>
      </c>
      <c r="M21" s="79">
        <f t="shared" si="3"/>
        <v>261067</v>
      </c>
      <c r="N21" s="79">
        <f>SUM(N15:N19)</f>
        <v>20729</v>
      </c>
      <c r="O21" s="79">
        <f t="shared" ref="O21:T21" si="4">SUM(O15:O19)</f>
        <v>11241</v>
      </c>
      <c r="P21" s="79">
        <f t="shared" si="4"/>
        <v>480</v>
      </c>
      <c r="Q21" s="79">
        <f t="shared" si="4"/>
        <v>1368</v>
      </c>
      <c r="R21" s="79">
        <f t="shared" si="4"/>
        <v>2195</v>
      </c>
      <c r="S21" s="79">
        <f t="shared" si="4"/>
        <v>4448</v>
      </c>
      <c r="T21" s="79">
        <f t="shared" si="4"/>
        <v>390551</v>
      </c>
    </row>
    <row r="22" spans="1:20">
      <c r="A22" s="102"/>
      <c r="B22" s="196"/>
      <c r="C22" s="196"/>
      <c r="D22" s="196"/>
      <c r="E22" s="196"/>
      <c r="F22" s="102"/>
      <c r="G22" s="102"/>
      <c r="H22" s="102"/>
      <c r="I22" s="102"/>
      <c r="J22" s="102"/>
      <c r="K22" s="167"/>
      <c r="L22" s="167"/>
      <c r="M22" s="167"/>
      <c r="N22" s="167"/>
      <c r="O22" s="167"/>
      <c r="P22" s="167"/>
      <c r="Q22" s="167"/>
      <c r="R22" s="167"/>
      <c r="S22" s="167"/>
      <c r="T22" s="167"/>
    </row>
    <row r="23" spans="1:20">
      <c r="K23" s="73"/>
      <c r="L23" s="73"/>
      <c r="M23" s="73"/>
      <c r="N23" s="73"/>
      <c r="O23" s="73"/>
      <c r="P23" s="73"/>
      <c r="Q23" s="73"/>
      <c r="R23" s="73"/>
      <c r="S23" s="73"/>
      <c r="T23" s="73"/>
    </row>
    <row r="24" spans="1:20">
      <c r="A24" s="86" t="s">
        <v>30</v>
      </c>
      <c r="K24" s="73"/>
      <c r="L24" s="73"/>
      <c r="M24" s="73"/>
      <c r="N24" s="73"/>
      <c r="O24" s="73"/>
      <c r="P24" s="73"/>
      <c r="Q24" s="73"/>
      <c r="R24" s="73"/>
      <c r="S24" s="73"/>
      <c r="T24" s="73"/>
    </row>
    <row r="25" spans="1:20">
      <c r="C25" t="s">
        <v>335</v>
      </c>
      <c r="K25" s="73"/>
      <c r="L25" s="73"/>
      <c r="M25" s="73"/>
      <c r="N25" s="73"/>
      <c r="O25" s="73"/>
      <c r="P25" s="73"/>
      <c r="Q25" s="73"/>
      <c r="R25" s="73"/>
      <c r="S25" s="73"/>
      <c r="T25" s="73"/>
    </row>
    <row r="26" spans="1:20">
      <c r="D26" t="s">
        <v>68</v>
      </c>
      <c r="K26" s="73"/>
      <c r="L26" s="73">
        <v>28732</v>
      </c>
      <c r="M26" s="73"/>
      <c r="N26" s="73"/>
      <c r="O26" s="73"/>
      <c r="P26" s="73"/>
      <c r="Q26" s="73"/>
      <c r="R26" s="73"/>
      <c r="S26" s="73"/>
      <c r="T26" s="73">
        <f t="shared" ref="T26:T28" si="5">SUM(K26:S26)</f>
        <v>28732</v>
      </c>
    </row>
    <row r="27" spans="1:20">
      <c r="D27" t="s">
        <v>336</v>
      </c>
      <c r="K27" s="182">
        <v>586406</v>
      </c>
      <c r="L27" s="73"/>
      <c r="M27" s="73">
        <v>13437</v>
      </c>
      <c r="N27" s="73"/>
      <c r="O27" s="73">
        <v>22901</v>
      </c>
      <c r="P27" s="73">
        <v>1405521</v>
      </c>
      <c r="Q27" s="73">
        <v>6466</v>
      </c>
      <c r="R27" s="73">
        <v>760</v>
      </c>
      <c r="S27" s="73"/>
      <c r="T27" s="73">
        <f t="shared" si="5"/>
        <v>2035491</v>
      </c>
    </row>
    <row r="28" spans="1:20">
      <c r="D28" t="s">
        <v>337</v>
      </c>
      <c r="K28" s="73"/>
      <c r="L28" s="73"/>
      <c r="M28" s="73"/>
      <c r="N28" s="73"/>
      <c r="O28" s="73"/>
      <c r="P28" s="73"/>
      <c r="Q28" s="73"/>
      <c r="R28" s="73"/>
      <c r="S28" s="73">
        <v>1638365</v>
      </c>
      <c r="T28" s="73">
        <f t="shared" si="5"/>
        <v>1638365</v>
      </c>
    </row>
    <row r="29" spans="1:20">
      <c r="C29" t="s">
        <v>108</v>
      </c>
      <c r="K29" s="73"/>
      <c r="L29" s="73"/>
      <c r="M29" s="73"/>
      <c r="N29" s="73">
        <v>-20729</v>
      </c>
      <c r="O29" s="73"/>
      <c r="P29" s="73"/>
      <c r="Q29" s="73"/>
      <c r="R29" s="73"/>
      <c r="S29" s="73"/>
      <c r="T29" s="73">
        <f>SUM(K29:S29)</f>
        <v>-20729</v>
      </c>
    </row>
    <row r="30" spans="1:20">
      <c r="K30" s="73"/>
      <c r="L30" s="73"/>
      <c r="M30" s="73"/>
      <c r="N30" s="73"/>
      <c r="O30" s="73"/>
      <c r="P30" s="73"/>
      <c r="Q30" s="73"/>
      <c r="R30" s="73"/>
      <c r="S30" s="73"/>
      <c r="T30" s="73"/>
    </row>
    <row r="31" spans="1:20">
      <c r="A31" s="5"/>
      <c r="B31" s="5"/>
      <c r="C31" s="5"/>
      <c r="D31" s="6"/>
      <c r="E31" s="6" t="s">
        <v>77</v>
      </c>
      <c r="F31" s="5"/>
      <c r="G31" s="5"/>
      <c r="H31" s="5"/>
      <c r="I31" s="5"/>
      <c r="J31" s="5"/>
      <c r="K31" s="79">
        <f t="shared" ref="K31:T31" si="6">SUM(K25:K29)</f>
        <v>586406</v>
      </c>
      <c r="L31" s="79">
        <f t="shared" si="6"/>
        <v>28732</v>
      </c>
      <c r="M31" s="79">
        <f t="shared" si="6"/>
        <v>13437</v>
      </c>
      <c r="N31" s="79">
        <f t="shared" si="6"/>
        <v>-20729</v>
      </c>
      <c r="O31" s="79">
        <f t="shared" si="6"/>
        <v>22901</v>
      </c>
      <c r="P31" s="79">
        <f t="shared" si="6"/>
        <v>1405521</v>
      </c>
      <c r="Q31" s="79">
        <f t="shared" si="6"/>
        <v>6466</v>
      </c>
      <c r="R31" s="79">
        <f t="shared" si="6"/>
        <v>760</v>
      </c>
      <c r="S31" s="79">
        <f t="shared" si="6"/>
        <v>1638365</v>
      </c>
      <c r="T31" s="79">
        <f t="shared" si="6"/>
        <v>3681859</v>
      </c>
    </row>
    <row r="32" spans="1:20">
      <c r="K32" s="73"/>
      <c r="L32" s="73"/>
      <c r="M32" s="73"/>
      <c r="N32" s="73"/>
      <c r="O32" s="73"/>
      <c r="P32" s="73"/>
      <c r="Q32" s="73"/>
      <c r="R32" s="73"/>
      <c r="S32" s="73"/>
      <c r="T32" s="73"/>
    </row>
    <row r="33" spans="1:20">
      <c r="A33" s="7"/>
      <c r="B33" s="7"/>
      <c r="C33" s="7"/>
      <c r="D33" s="8"/>
      <c r="E33" s="8" t="s">
        <v>125</v>
      </c>
      <c r="F33" s="7"/>
      <c r="G33" s="7"/>
      <c r="H33" s="7"/>
      <c r="I33" s="7"/>
      <c r="J33" s="7"/>
      <c r="K33" s="81">
        <f t="shared" ref="K33:S33" si="7">SUM(K31+K21)</f>
        <v>668979</v>
      </c>
      <c r="L33" s="81">
        <f t="shared" si="7"/>
        <v>35182</v>
      </c>
      <c r="M33" s="81">
        <f t="shared" si="7"/>
        <v>274504</v>
      </c>
      <c r="N33" s="81">
        <f t="shared" si="7"/>
        <v>0</v>
      </c>
      <c r="O33" s="81">
        <f t="shared" si="7"/>
        <v>34142</v>
      </c>
      <c r="P33" s="81">
        <f t="shared" si="7"/>
        <v>1406001</v>
      </c>
      <c r="Q33" s="81">
        <f t="shared" si="7"/>
        <v>7834</v>
      </c>
      <c r="R33" s="81">
        <f t="shared" si="7"/>
        <v>2955</v>
      </c>
      <c r="S33" s="81">
        <f t="shared" si="7"/>
        <v>1642813</v>
      </c>
      <c r="T33" s="81">
        <f>SUM(T31+T21)</f>
        <v>4072410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33"/>
  <sheetViews>
    <sheetView workbookViewId="0">
      <selection activeCell="H41" sqref="H41"/>
    </sheetView>
  </sheetViews>
  <sheetFormatPr defaultColWidth="8.85546875" defaultRowHeight="15"/>
  <cols>
    <col min="11" max="11" width="16" customWidth="1"/>
    <col min="12" max="13" width="16.7109375" customWidth="1"/>
    <col min="14" max="14" width="13.85546875" customWidth="1"/>
    <col min="15" max="15" width="17.42578125" customWidth="1"/>
    <col min="16" max="16" width="16.7109375" customWidth="1"/>
    <col min="17" max="17" width="16.85546875" customWidth="1"/>
    <col min="18" max="18" width="14.85546875" customWidth="1"/>
  </cols>
  <sheetData>
    <row r="1" spans="1:18" ht="18.75">
      <c r="D1" s="251" t="s">
        <v>338</v>
      </c>
      <c r="E1" s="251"/>
      <c r="F1" s="251"/>
      <c r="G1" s="251"/>
      <c r="H1" s="251"/>
      <c r="I1" s="251"/>
      <c r="J1" s="251"/>
      <c r="K1" s="251"/>
    </row>
    <row r="2" spans="1:18">
      <c r="D2" s="252" t="s">
        <v>1</v>
      </c>
      <c r="E2" s="252"/>
      <c r="F2" s="252"/>
      <c r="G2" s="252"/>
      <c r="H2" s="252"/>
      <c r="I2" s="252"/>
      <c r="J2" s="252"/>
      <c r="K2" s="252"/>
    </row>
    <row r="4" spans="1:18" ht="45">
      <c r="K4" s="1" t="s">
        <v>91</v>
      </c>
      <c r="L4" s="1" t="s">
        <v>228</v>
      </c>
      <c r="M4" s="1" t="s">
        <v>305</v>
      </c>
      <c r="N4" s="1" t="s">
        <v>339</v>
      </c>
      <c r="O4" s="1" t="s">
        <v>238</v>
      </c>
      <c r="P4" s="1" t="s">
        <v>340</v>
      </c>
      <c r="Q4" s="1" t="s">
        <v>6</v>
      </c>
      <c r="R4" s="1" t="s">
        <v>307</v>
      </c>
    </row>
    <row r="5" spans="1:18">
      <c r="A5" s="86" t="s">
        <v>8</v>
      </c>
    </row>
    <row r="6" spans="1:18">
      <c r="B6" t="s">
        <v>179</v>
      </c>
      <c r="K6" s="72">
        <v>280695</v>
      </c>
      <c r="L6" s="73">
        <v>2771342</v>
      </c>
      <c r="M6" s="73">
        <v>313980</v>
      </c>
      <c r="N6" s="73">
        <v>879589</v>
      </c>
      <c r="O6" s="73">
        <v>1657381</v>
      </c>
      <c r="P6" s="73">
        <v>14284</v>
      </c>
      <c r="Q6" s="73">
        <v>2643101</v>
      </c>
      <c r="R6" s="73">
        <f>SUM(K6:Q6)</f>
        <v>8560372</v>
      </c>
    </row>
    <row r="7" spans="1:18">
      <c r="B7" t="s">
        <v>58</v>
      </c>
      <c r="K7" s="74">
        <v>326713</v>
      </c>
      <c r="L7" s="73">
        <v>215084</v>
      </c>
      <c r="M7" s="73">
        <v>982769</v>
      </c>
      <c r="N7" s="73">
        <v>714422</v>
      </c>
      <c r="O7" s="73">
        <v>93816</v>
      </c>
      <c r="P7" s="73">
        <v>215661</v>
      </c>
      <c r="Q7" s="73">
        <v>1248283</v>
      </c>
      <c r="R7" s="73">
        <f>SUM(K7:Q7)</f>
        <v>3796748</v>
      </c>
    </row>
    <row r="8" spans="1:18">
      <c r="B8" t="s">
        <v>16</v>
      </c>
      <c r="K8" s="74">
        <v>101158</v>
      </c>
      <c r="L8" s="73"/>
      <c r="M8" s="73"/>
      <c r="N8" s="73"/>
      <c r="O8" s="73"/>
      <c r="P8" s="73"/>
      <c r="Q8" s="73"/>
      <c r="R8" s="73">
        <f>SUM(K8:Q8)</f>
        <v>101158</v>
      </c>
    </row>
    <row r="9" spans="1:18">
      <c r="K9" s="73"/>
      <c r="L9" s="73"/>
      <c r="M9" s="73"/>
      <c r="N9" s="73"/>
      <c r="O9" s="73"/>
      <c r="P9" s="73"/>
      <c r="Q9" s="73"/>
      <c r="R9" s="73"/>
    </row>
    <row r="10" spans="1:18">
      <c r="A10" s="2"/>
      <c r="B10" s="2"/>
      <c r="C10" s="2"/>
      <c r="D10" s="2"/>
      <c r="E10" s="2" t="s">
        <v>18</v>
      </c>
      <c r="F10" s="3"/>
      <c r="G10" s="3"/>
      <c r="H10" s="3"/>
      <c r="I10" s="3"/>
      <c r="J10" s="3"/>
      <c r="K10" s="76">
        <f t="shared" ref="K10:R10" si="0">SUM(K6:K8)</f>
        <v>708566</v>
      </c>
      <c r="L10" s="76">
        <f t="shared" si="0"/>
        <v>2986426</v>
      </c>
      <c r="M10" s="76">
        <f t="shared" si="0"/>
        <v>1296749</v>
      </c>
      <c r="N10" s="76">
        <f t="shared" si="0"/>
        <v>1594011</v>
      </c>
      <c r="O10" s="76">
        <f t="shared" si="0"/>
        <v>1751197</v>
      </c>
      <c r="P10" s="76">
        <f t="shared" si="0"/>
        <v>229945</v>
      </c>
      <c r="Q10" s="76">
        <f t="shared" si="0"/>
        <v>3891384</v>
      </c>
      <c r="R10" s="76">
        <f t="shared" si="0"/>
        <v>12458278</v>
      </c>
    </row>
    <row r="11" spans="1:18">
      <c r="K11" s="73"/>
      <c r="L11" s="73"/>
      <c r="M11" s="73"/>
      <c r="N11" s="73"/>
      <c r="O11" s="73"/>
      <c r="P11" s="73"/>
      <c r="Q11" s="73"/>
      <c r="R11" s="73"/>
    </row>
    <row r="12" spans="1:18">
      <c r="A12" s="4" t="s">
        <v>140</v>
      </c>
      <c r="K12" s="73"/>
      <c r="L12" s="73"/>
      <c r="M12" s="73"/>
      <c r="N12" s="73"/>
      <c r="O12" s="73"/>
      <c r="P12" s="73"/>
      <c r="Q12" s="73"/>
      <c r="R12" s="73"/>
    </row>
    <row r="13" spans="1:18">
      <c r="B13" t="s">
        <v>20</v>
      </c>
      <c r="K13" s="73"/>
      <c r="L13" s="73"/>
      <c r="M13" s="73"/>
      <c r="N13" s="73"/>
      <c r="O13" s="73"/>
      <c r="P13" s="73"/>
      <c r="Q13" s="73"/>
      <c r="R13" s="73"/>
    </row>
    <row r="14" spans="1:18">
      <c r="C14" t="s">
        <v>21</v>
      </c>
      <c r="K14" s="77">
        <v>15422</v>
      </c>
      <c r="L14" s="73">
        <v>8473</v>
      </c>
      <c r="M14" s="73">
        <v>37003</v>
      </c>
      <c r="N14" s="73">
        <v>34250</v>
      </c>
      <c r="O14" s="73">
        <v>92094</v>
      </c>
      <c r="P14" s="73">
        <v>229895</v>
      </c>
      <c r="Q14" s="73">
        <v>80493</v>
      </c>
      <c r="R14" s="73">
        <f>SUM(K14:Q14)</f>
        <v>497630</v>
      </c>
    </row>
    <row r="15" spans="1:18">
      <c r="C15" t="s">
        <v>341</v>
      </c>
      <c r="K15" s="77">
        <v>67733</v>
      </c>
      <c r="L15" s="73"/>
      <c r="M15" s="73"/>
      <c r="N15" s="73"/>
      <c r="O15" s="73"/>
      <c r="P15" s="73"/>
      <c r="Q15" s="73"/>
      <c r="R15" s="73">
        <f>SUM(K15:Q15)</f>
        <v>67733</v>
      </c>
    </row>
    <row r="16" spans="1:18">
      <c r="C16" t="s">
        <v>25</v>
      </c>
      <c r="K16" s="73"/>
      <c r="L16" s="73"/>
      <c r="M16" s="73"/>
      <c r="N16" s="73"/>
      <c r="O16" s="73">
        <v>63016</v>
      </c>
      <c r="P16" s="73"/>
      <c r="Q16" s="73">
        <v>38142</v>
      </c>
      <c r="R16" s="73">
        <f>SUM(K16:Q16)</f>
        <v>101158</v>
      </c>
    </row>
    <row r="17" spans="1:18">
      <c r="A17" s="5"/>
      <c r="B17" s="6"/>
      <c r="C17" s="6"/>
      <c r="D17" s="6"/>
      <c r="E17" s="6" t="s">
        <v>26</v>
      </c>
      <c r="F17" s="5"/>
      <c r="G17" s="5"/>
      <c r="H17" s="5"/>
      <c r="I17" s="5"/>
      <c r="J17" s="5"/>
      <c r="K17" s="79">
        <f t="shared" ref="K17:N17" si="1">SUM(K14:K15)</f>
        <v>83155</v>
      </c>
      <c r="L17" s="79">
        <f t="shared" si="1"/>
        <v>8473</v>
      </c>
      <c r="M17" s="79">
        <f t="shared" si="1"/>
        <v>37003</v>
      </c>
      <c r="N17" s="79">
        <f t="shared" si="1"/>
        <v>34250</v>
      </c>
      <c r="O17" s="79">
        <f>SUM(O14:O16)</f>
        <v>155110</v>
      </c>
      <c r="P17" s="79">
        <f t="shared" ref="P17:R17" si="2">SUM(P14:P16)</f>
        <v>229895</v>
      </c>
      <c r="Q17" s="79">
        <f t="shared" si="2"/>
        <v>118635</v>
      </c>
      <c r="R17" s="79">
        <f t="shared" si="2"/>
        <v>666521</v>
      </c>
    </row>
    <row r="18" spans="1:18">
      <c r="A18" s="102"/>
      <c r="B18" s="196"/>
      <c r="C18" s="196"/>
      <c r="D18" s="196"/>
      <c r="E18" s="196"/>
      <c r="F18" s="102"/>
      <c r="G18" s="102"/>
      <c r="H18" s="102"/>
      <c r="I18" s="102"/>
      <c r="J18" s="102"/>
      <c r="K18" s="167"/>
      <c r="L18" s="167"/>
      <c r="M18" s="167"/>
      <c r="N18" s="167"/>
      <c r="O18" s="167"/>
      <c r="P18" s="167"/>
      <c r="Q18" s="167"/>
      <c r="R18" s="167"/>
    </row>
    <row r="19" spans="1:18">
      <c r="A19" s="86" t="s">
        <v>342</v>
      </c>
      <c r="K19" s="73"/>
      <c r="L19" s="73"/>
      <c r="M19" s="73"/>
      <c r="N19" s="73"/>
      <c r="O19" s="73"/>
      <c r="P19" s="73"/>
      <c r="Q19" s="73"/>
      <c r="R19" s="73"/>
    </row>
    <row r="20" spans="1:18">
      <c r="C20" t="s">
        <v>88</v>
      </c>
      <c r="K20" s="73"/>
      <c r="L20" s="73"/>
      <c r="M20" s="73"/>
      <c r="N20" s="73"/>
      <c r="O20" s="73"/>
      <c r="P20" s="73"/>
      <c r="Q20" s="73"/>
      <c r="R20" s="73"/>
    </row>
    <row r="21" spans="1:18">
      <c r="D21" t="s">
        <v>343</v>
      </c>
      <c r="K21" s="73"/>
      <c r="L21" s="73"/>
      <c r="M21" s="73"/>
      <c r="N21" s="73"/>
      <c r="O21" s="73"/>
      <c r="P21" s="73"/>
      <c r="Q21" s="73">
        <v>1019996</v>
      </c>
      <c r="R21" s="73">
        <f t="shared" ref="R21:R29" si="3">SUM(K21:Q21)</f>
        <v>1019996</v>
      </c>
    </row>
    <row r="22" spans="1:18">
      <c r="D22" t="s">
        <v>337</v>
      </c>
      <c r="K22" s="73"/>
      <c r="L22" s="73"/>
      <c r="M22" s="73"/>
      <c r="N22" s="73"/>
      <c r="O22" s="73"/>
      <c r="P22" s="73"/>
      <c r="Q22" s="73">
        <v>599747</v>
      </c>
      <c r="R22" s="73">
        <f t="shared" si="3"/>
        <v>599747</v>
      </c>
    </row>
    <row r="23" spans="1:18">
      <c r="D23" t="s">
        <v>107</v>
      </c>
      <c r="K23" s="73"/>
      <c r="L23" s="73"/>
      <c r="M23" s="73"/>
      <c r="N23" s="73"/>
      <c r="O23" s="73"/>
      <c r="P23" s="73"/>
      <c r="Q23" s="73">
        <v>-6300</v>
      </c>
      <c r="R23" s="73">
        <f t="shared" si="3"/>
        <v>-6300</v>
      </c>
    </row>
    <row r="24" spans="1:18">
      <c r="D24" t="s">
        <v>70</v>
      </c>
      <c r="K24" s="73"/>
      <c r="L24" s="73"/>
      <c r="M24" s="73"/>
      <c r="N24" s="73"/>
      <c r="O24" s="73"/>
      <c r="P24" s="73"/>
      <c r="Q24" s="73">
        <v>644985</v>
      </c>
      <c r="R24" s="73">
        <f t="shared" si="3"/>
        <v>644985</v>
      </c>
    </row>
    <row r="25" spans="1:18">
      <c r="D25" t="s">
        <v>71</v>
      </c>
      <c r="K25" s="73"/>
      <c r="L25" s="73">
        <v>2977953</v>
      </c>
      <c r="M25" s="73">
        <v>1259746</v>
      </c>
      <c r="N25" s="73">
        <v>1559761</v>
      </c>
      <c r="O25" s="73">
        <v>1596087</v>
      </c>
      <c r="P25" s="73"/>
      <c r="Q25" s="73">
        <v>774008</v>
      </c>
      <c r="R25" s="73">
        <f t="shared" si="3"/>
        <v>8167555</v>
      </c>
    </row>
    <row r="26" spans="1:18">
      <c r="D26" t="s">
        <v>43</v>
      </c>
      <c r="K26" s="73"/>
      <c r="L26" s="73"/>
      <c r="M26" s="73"/>
      <c r="N26" s="73"/>
      <c r="O26" s="73"/>
      <c r="P26" s="73"/>
      <c r="Q26" s="73">
        <v>709046</v>
      </c>
      <c r="R26" s="73">
        <f t="shared" si="3"/>
        <v>709046</v>
      </c>
    </row>
    <row r="27" spans="1:18">
      <c r="D27" t="s">
        <v>259</v>
      </c>
      <c r="K27" s="73"/>
      <c r="L27" s="73"/>
      <c r="M27" s="73"/>
      <c r="N27" s="73"/>
      <c r="O27" s="73"/>
      <c r="P27" s="73"/>
      <c r="Q27" s="73">
        <v>31267</v>
      </c>
      <c r="R27" s="73">
        <f t="shared" si="3"/>
        <v>31267</v>
      </c>
    </row>
    <row r="28" spans="1:18">
      <c r="C28" t="s">
        <v>89</v>
      </c>
      <c r="K28" s="73"/>
      <c r="L28" s="73"/>
      <c r="M28" s="73"/>
      <c r="N28" s="73"/>
      <c r="O28" s="73"/>
      <c r="P28" s="73">
        <v>50</v>
      </c>
      <c r="Q28" s="73"/>
      <c r="R28" s="73">
        <f t="shared" si="3"/>
        <v>50</v>
      </c>
    </row>
    <row r="29" spans="1:18">
      <c r="C29" t="s">
        <v>46</v>
      </c>
      <c r="K29" s="84">
        <v>625411</v>
      </c>
      <c r="L29" s="73"/>
      <c r="M29" s="73"/>
      <c r="N29" s="73"/>
      <c r="O29" s="73"/>
      <c r="P29" s="73"/>
      <c r="Q29" s="73"/>
      <c r="R29" s="73">
        <f t="shared" si="3"/>
        <v>625411</v>
      </c>
    </row>
    <row r="30" spans="1:18">
      <c r="K30" s="73"/>
      <c r="L30" s="73"/>
      <c r="M30" s="73"/>
      <c r="N30" s="73"/>
      <c r="O30" s="73"/>
      <c r="P30" s="73"/>
      <c r="Q30" s="73"/>
      <c r="R30" s="73"/>
    </row>
    <row r="31" spans="1:18">
      <c r="A31" s="5"/>
      <c r="B31" s="5"/>
      <c r="C31" s="5"/>
      <c r="D31" s="6"/>
      <c r="E31" s="6" t="s">
        <v>77</v>
      </c>
      <c r="F31" s="5"/>
      <c r="G31" s="5"/>
      <c r="H31" s="5"/>
      <c r="I31" s="5"/>
      <c r="J31" s="5"/>
      <c r="K31" s="79">
        <f t="shared" ref="K31:R31" si="4">SUM(K20:K29)</f>
        <v>625411</v>
      </c>
      <c r="L31" s="79">
        <f t="shared" si="4"/>
        <v>2977953</v>
      </c>
      <c r="M31" s="79">
        <f t="shared" si="4"/>
        <v>1259746</v>
      </c>
      <c r="N31" s="79">
        <f t="shared" si="4"/>
        <v>1559761</v>
      </c>
      <c r="O31" s="79">
        <f t="shared" si="4"/>
        <v>1596087</v>
      </c>
      <c r="P31" s="79">
        <f t="shared" si="4"/>
        <v>50</v>
      </c>
      <c r="Q31" s="79">
        <f t="shared" si="4"/>
        <v>3772749</v>
      </c>
      <c r="R31" s="79">
        <f t="shared" si="4"/>
        <v>11791757</v>
      </c>
    </row>
    <row r="32" spans="1:18">
      <c r="K32" s="73"/>
      <c r="L32" s="73"/>
      <c r="M32" s="73"/>
      <c r="N32" s="73"/>
      <c r="O32" s="73"/>
      <c r="P32" s="73"/>
      <c r="Q32" s="73"/>
      <c r="R32" s="73"/>
    </row>
    <row r="33" spans="1:18">
      <c r="A33" s="7"/>
      <c r="B33" s="7"/>
      <c r="C33" s="7"/>
      <c r="D33" s="8"/>
      <c r="E33" s="8" t="s">
        <v>125</v>
      </c>
      <c r="F33" s="7"/>
      <c r="G33" s="7"/>
      <c r="H33" s="7"/>
      <c r="I33" s="7"/>
      <c r="J33" s="7"/>
      <c r="K33" s="81">
        <f>SUM(K31+K17)</f>
        <v>708566</v>
      </c>
      <c r="L33" s="81">
        <f t="shared" ref="L33:R33" si="5">SUM(L31+L17)</f>
        <v>2986426</v>
      </c>
      <c r="M33" s="81">
        <f t="shared" si="5"/>
        <v>1296749</v>
      </c>
      <c r="N33" s="81">
        <f t="shared" si="5"/>
        <v>1594011</v>
      </c>
      <c r="O33" s="81">
        <f t="shared" si="5"/>
        <v>1751197</v>
      </c>
      <c r="P33" s="81">
        <f t="shared" si="5"/>
        <v>229945</v>
      </c>
      <c r="Q33" s="81">
        <f t="shared" si="5"/>
        <v>3891384</v>
      </c>
      <c r="R33" s="81">
        <f t="shared" si="5"/>
        <v>12458278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31"/>
  <sheetViews>
    <sheetView topLeftCell="A7" workbookViewId="0">
      <selection activeCell="S8" sqref="S8"/>
    </sheetView>
  </sheetViews>
  <sheetFormatPr defaultColWidth="8.85546875" defaultRowHeight="15"/>
  <cols>
    <col min="11" max="11" width="18" customWidth="1"/>
    <col min="12" max="12" width="18.42578125" customWidth="1"/>
    <col min="13" max="13" width="16.85546875" customWidth="1"/>
    <col min="14" max="14" width="18.140625" customWidth="1"/>
    <col min="15" max="16" width="17.28515625" customWidth="1"/>
    <col min="17" max="17" width="17.140625" customWidth="1"/>
  </cols>
  <sheetData>
    <row r="1" spans="1:17" ht="18.75">
      <c r="D1" s="251" t="s">
        <v>344</v>
      </c>
      <c r="E1" s="251"/>
      <c r="F1" s="251"/>
      <c r="G1" s="251"/>
      <c r="H1" s="251"/>
      <c r="I1" s="251"/>
      <c r="J1" s="251"/>
      <c r="K1" s="251"/>
    </row>
    <row r="2" spans="1:17">
      <c r="D2" s="252" t="s">
        <v>1</v>
      </c>
      <c r="E2" s="252"/>
      <c r="F2" s="252"/>
      <c r="G2" s="252"/>
      <c r="H2" s="252"/>
      <c r="I2" s="252"/>
      <c r="J2" s="252"/>
      <c r="K2" s="252"/>
    </row>
    <row r="4" spans="1:17" ht="45">
      <c r="K4" s="1" t="s">
        <v>2</v>
      </c>
      <c r="L4" s="1" t="s">
        <v>345</v>
      </c>
      <c r="M4" s="1" t="s">
        <v>346</v>
      </c>
      <c r="N4" s="1" t="s">
        <v>347</v>
      </c>
      <c r="O4" s="1" t="s">
        <v>348</v>
      </c>
      <c r="P4" s="1" t="s">
        <v>6</v>
      </c>
      <c r="Q4" s="1" t="s">
        <v>7</v>
      </c>
    </row>
    <row r="5" spans="1:17">
      <c r="A5" t="s">
        <v>8</v>
      </c>
    </row>
    <row r="6" spans="1:17">
      <c r="B6" t="s">
        <v>179</v>
      </c>
      <c r="K6" s="72">
        <v>297567</v>
      </c>
      <c r="L6" s="73">
        <v>229870</v>
      </c>
      <c r="M6" s="73">
        <v>440932</v>
      </c>
      <c r="N6" s="73">
        <v>74993</v>
      </c>
      <c r="O6" s="73">
        <v>69537</v>
      </c>
      <c r="P6" s="73">
        <v>684281</v>
      </c>
      <c r="Q6" s="73">
        <f>SUM(K6:P6)</f>
        <v>1797180</v>
      </c>
    </row>
    <row r="7" spans="1:17">
      <c r="B7" t="s">
        <v>349</v>
      </c>
      <c r="K7" s="74">
        <v>355627</v>
      </c>
      <c r="L7" s="73">
        <v>449132</v>
      </c>
      <c r="M7" s="73">
        <v>199572</v>
      </c>
      <c r="N7" s="73"/>
      <c r="O7" s="73">
        <v>135191</v>
      </c>
      <c r="P7" s="73">
        <v>333150</v>
      </c>
      <c r="Q7" s="73">
        <f t="shared" ref="Q7:Q8" si="0">SUM(K7:P7)</f>
        <v>1472672</v>
      </c>
    </row>
    <row r="8" spans="1:17">
      <c r="B8" t="s">
        <v>350</v>
      </c>
      <c r="K8" s="74">
        <v>153659</v>
      </c>
      <c r="L8" s="73">
        <v>43350</v>
      </c>
      <c r="M8" s="73">
        <v>3016</v>
      </c>
      <c r="N8" s="73"/>
      <c r="O8" s="73"/>
      <c r="P8" s="73">
        <v>11978</v>
      </c>
      <c r="Q8" s="73">
        <f t="shared" si="0"/>
        <v>212003</v>
      </c>
    </row>
    <row r="9" spans="1:17">
      <c r="A9" s="2"/>
      <c r="B9" s="2"/>
      <c r="C9" s="2"/>
      <c r="D9" s="2"/>
      <c r="E9" s="2" t="s">
        <v>18</v>
      </c>
      <c r="F9" s="3"/>
      <c r="G9" s="3"/>
      <c r="H9" s="3"/>
      <c r="I9" s="3"/>
      <c r="J9" s="3"/>
      <c r="K9" s="76">
        <f t="shared" ref="K9:Q9" si="1">SUM(K6:K8)</f>
        <v>806853</v>
      </c>
      <c r="L9" s="76">
        <f t="shared" si="1"/>
        <v>722352</v>
      </c>
      <c r="M9" s="76">
        <f t="shared" si="1"/>
        <v>643520</v>
      </c>
      <c r="N9" s="76">
        <f t="shared" si="1"/>
        <v>74993</v>
      </c>
      <c r="O9" s="76">
        <f t="shared" si="1"/>
        <v>204728</v>
      </c>
      <c r="P9" s="76">
        <f t="shared" si="1"/>
        <v>1029409</v>
      </c>
      <c r="Q9" s="76">
        <f t="shared" si="1"/>
        <v>3481855</v>
      </c>
    </row>
    <row r="10" spans="1:17">
      <c r="K10" s="73"/>
      <c r="L10" s="73"/>
      <c r="M10" s="73"/>
      <c r="N10" s="73"/>
      <c r="O10" s="73"/>
      <c r="P10" s="73"/>
      <c r="Q10" s="73"/>
    </row>
    <row r="11" spans="1:17">
      <c r="A11" s="4" t="s">
        <v>19</v>
      </c>
      <c r="K11" s="73"/>
      <c r="L11" s="73"/>
      <c r="M11" s="73"/>
      <c r="N11" s="73"/>
      <c r="O11" s="73"/>
      <c r="P11" s="73"/>
      <c r="Q11" s="73"/>
    </row>
    <row r="12" spans="1:17">
      <c r="B12" t="s">
        <v>20</v>
      </c>
      <c r="K12" s="73"/>
      <c r="L12" s="73"/>
      <c r="M12" s="73"/>
      <c r="N12" s="73"/>
      <c r="O12" s="73"/>
      <c r="P12" s="73"/>
      <c r="Q12" s="73"/>
    </row>
    <row r="13" spans="1:17">
      <c r="C13" t="s">
        <v>21</v>
      </c>
      <c r="K13" s="77">
        <v>125505</v>
      </c>
      <c r="L13" s="73">
        <v>58760</v>
      </c>
      <c r="M13" s="73">
        <v>32320</v>
      </c>
      <c r="N13" s="73">
        <v>74993</v>
      </c>
      <c r="O13" s="73">
        <v>180255</v>
      </c>
      <c r="P13" s="73">
        <v>55314</v>
      </c>
      <c r="Q13" s="73">
        <f>SUM(K13:P13)</f>
        <v>527147</v>
      </c>
    </row>
    <row r="14" spans="1:17">
      <c r="C14" t="s">
        <v>351</v>
      </c>
      <c r="K14" s="77">
        <v>11500</v>
      </c>
      <c r="L14" s="73">
        <v>2232</v>
      </c>
      <c r="M14" s="73">
        <v>110499</v>
      </c>
      <c r="N14" s="73"/>
      <c r="O14" s="73"/>
      <c r="P14" s="73">
        <v>87772</v>
      </c>
      <c r="Q14" s="73">
        <f>SUM(K14:P14)</f>
        <v>212003</v>
      </c>
    </row>
    <row r="15" spans="1:17">
      <c r="C15" t="s">
        <v>24</v>
      </c>
      <c r="K15" s="73"/>
      <c r="L15" s="73"/>
      <c r="M15" s="73"/>
      <c r="N15" s="73"/>
      <c r="O15" s="73"/>
      <c r="P15" s="73">
        <v>17112</v>
      </c>
      <c r="Q15" s="73">
        <f t="shared" ref="Q15" si="2">SUM(K15:P15)</f>
        <v>17112</v>
      </c>
    </row>
    <row r="16" spans="1:17">
      <c r="A16" s="5"/>
      <c r="B16" s="6"/>
      <c r="C16" s="6"/>
      <c r="D16" s="6"/>
      <c r="E16" s="6" t="s">
        <v>26</v>
      </c>
      <c r="F16" s="5"/>
      <c r="G16" s="5"/>
      <c r="H16" s="5"/>
      <c r="I16" s="5"/>
      <c r="J16" s="5"/>
      <c r="K16" s="79">
        <f t="shared" ref="K16:Q16" si="3">SUM(K13:K15)</f>
        <v>137005</v>
      </c>
      <c r="L16" s="79">
        <f t="shared" si="3"/>
        <v>60992</v>
      </c>
      <c r="M16" s="79">
        <f t="shared" si="3"/>
        <v>142819</v>
      </c>
      <c r="N16" s="79">
        <f t="shared" si="3"/>
        <v>74993</v>
      </c>
      <c r="O16" s="79">
        <f t="shared" si="3"/>
        <v>180255</v>
      </c>
      <c r="P16" s="79">
        <f t="shared" si="3"/>
        <v>160198</v>
      </c>
      <c r="Q16" s="79">
        <f t="shared" si="3"/>
        <v>756262</v>
      </c>
    </row>
    <row r="17" spans="1:17">
      <c r="K17" s="73"/>
      <c r="L17" s="73"/>
      <c r="M17" s="73"/>
      <c r="N17" s="73"/>
      <c r="O17" s="73"/>
      <c r="P17" s="73"/>
      <c r="Q17" s="73"/>
    </row>
    <row r="18" spans="1:17">
      <c r="B18" t="s">
        <v>30</v>
      </c>
      <c r="K18" s="73"/>
      <c r="L18" s="73"/>
      <c r="M18" s="73"/>
      <c r="N18" s="73"/>
      <c r="O18" s="73"/>
      <c r="P18" s="73"/>
      <c r="Q18" s="73"/>
    </row>
    <row r="19" spans="1:17">
      <c r="C19" t="s">
        <v>67</v>
      </c>
      <c r="K19" s="73"/>
      <c r="L19" s="73"/>
      <c r="M19" s="73"/>
      <c r="N19" s="73"/>
      <c r="O19" s="73"/>
      <c r="P19" s="73"/>
      <c r="Q19" s="73"/>
    </row>
    <row r="20" spans="1:17">
      <c r="D20" t="s">
        <v>352</v>
      </c>
      <c r="K20" s="73"/>
      <c r="L20" s="73">
        <v>661360</v>
      </c>
      <c r="M20" s="73">
        <v>500701</v>
      </c>
      <c r="N20" s="73"/>
      <c r="O20" s="73"/>
      <c r="P20" s="73">
        <v>677752</v>
      </c>
      <c r="Q20" s="73">
        <f t="shared" ref="Q20:Q22" si="4">SUM(K20:P20)</f>
        <v>1839813</v>
      </c>
    </row>
    <row r="21" spans="1:17">
      <c r="D21" t="s">
        <v>68</v>
      </c>
      <c r="K21" s="73"/>
      <c r="L21" s="73"/>
      <c r="M21" s="73"/>
      <c r="N21" s="73"/>
      <c r="O21" s="73"/>
      <c r="P21" s="73">
        <v>25525</v>
      </c>
      <c r="Q21" s="73">
        <f t="shared" si="4"/>
        <v>25525</v>
      </c>
    </row>
    <row r="22" spans="1:17">
      <c r="D22" t="s">
        <v>353</v>
      </c>
      <c r="K22" s="73"/>
      <c r="L22" s="73"/>
      <c r="M22" s="73"/>
      <c r="N22" s="73"/>
      <c r="O22" s="73"/>
      <c r="P22" s="73">
        <v>51676</v>
      </c>
      <c r="Q22" s="73">
        <f t="shared" si="4"/>
        <v>51676</v>
      </c>
    </row>
    <row r="23" spans="1:17">
      <c r="C23" t="s">
        <v>354</v>
      </c>
      <c r="K23" s="73"/>
      <c r="L23" s="73"/>
      <c r="M23" s="73"/>
      <c r="N23" s="73"/>
      <c r="O23" s="73"/>
      <c r="P23" s="73"/>
      <c r="Q23" s="73"/>
    </row>
    <row r="24" spans="1:17">
      <c r="D24" t="s">
        <v>352</v>
      </c>
      <c r="K24" s="73"/>
      <c r="L24" s="73"/>
      <c r="M24" s="73"/>
      <c r="N24" s="73"/>
      <c r="O24" s="73"/>
      <c r="P24" s="73">
        <v>20277</v>
      </c>
      <c r="Q24" s="73">
        <f t="shared" ref="Q24:Q28" si="5">SUM(K24:P24)</f>
        <v>20277</v>
      </c>
    </row>
    <row r="25" spans="1:17">
      <c r="D25" t="s">
        <v>353</v>
      </c>
      <c r="K25" s="73"/>
      <c r="L25" s="73"/>
      <c r="M25" s="73"/>
      <c r="N25" s="73"/>
      <c r="O25" s="73">
        <v>24473</v>
      </c>
      <c r="P25" s="73"/>
      <c r="Q25" s="73">
        <f t="shared" si="5"/>
        <v>24473</v>
      </c>
    </row>
    <row r="26" spans="1:17">
      <c r="D26" t="s">
        <v>355</v>
      </c>
      <c r="K26" s="73"/>
      <c r="L26" s="73"/>
      <c r="M26" s="73"/>
      <c r="N26" s="73"/>
      <c r="O26" s="73"/>
      <c r="P26" s="73">
        <v>3354</v>
      </c>
      <c r="Q26" s="73">
        <f t="shared" si="5"/>
        <v>3354</v>
      </c>
    </row>
    <row r="27" spans="1:17">
      <c r="D27" t="s">
        <v>356</v>
      </c>
      <c r="K27" s="73"/>
      <c r="L27" s="73"/>
      <c r="M27" s="73"/>
      <c r="N27" s="73"/>
      <c r="O27" s="73"/>
      <c r="P27" s="73">
        <v>120413</v>
      </c>
      <c r="Q27" s="73">
        <f t="shared" si="5"/>
        <v>120413</v>
      </c>
    </row>
    <row r="28" spans="1:17">
      <c r="C28" t="s">
        <v>46</v>
      </c>
      <c r="K28" s="84">
        <v>669848</v>
      </c>
      <c r="L28" s="73"/>
      <c r="M28" s="73"/>
      <c r="N28" s="73"/>
      <c r="O28" s="73"/>
      <c r="P28" s="73">
        <v>-29786</v>
      </c>
      <c r="Q28" s="73">
        <f t="shared" si="5"/>
        <v>640062</v>
      </c>
    </row>
    <row r="29" spans="1:17">
      <c r="A29" s="5"/>
      <c r="B29" s="5"/>
      <c r="C29" s="5"/>
      <c r="D29" s="6"/>
      <c r="E29" s="6" t="s">
        <v>47</v>
      </c>
      <c r="F29" s="5"/>
      <c r="G29" s="5"/>
      <c r="H29" s="5"/>
      <c r="I29" s="5"/>
      <c r="J29" s="5"/>
      <c r="K29" s="79">
        <f t="shared" ref="K29:Q29" si="6">SUM(K19:K28)</f>
        <v>669848</v>
      </c>
      <c r="L29" s="79">
        <f t="shared" si="6"/>
        <v>661360</v>
      </c>
      <c r="M29" s="79">
        <f t="shared" si="6"/>
        <v>500701</v>
      </c>
      <c r="N29" s="79">
        <f t="shared" si="6"/>
        <v>0</v>
      </c>
      <c r="O29" s="79">
        <f t="shared" si="6"/>
        <v>24473</v>
      </c>
      <c r="P29" s="79">
        <f t="shared" si="6"/>
        <v>869211</v>
      </c>
      <c r="Q29" s="79">
        <f t="shared" si="6"/>
        <v>2725593</v>
      </c>
    </row>
    <row r="30" spans="1:17">
      <c r="K30" s="73"/>
      <c r="L30" s="73"/>
      <c r="M30" s="73"/>
      <c r="N30" s="73"/>
      <c r="O30" s="73"/>
      <c r="P30" s="73"/>
      <c r="Q30" s="73"/>
    </row>
    <row r="31" spans="1:17">
      <c r="A31" s="7"/>
      <c r="B31" s="7"/>
      <c r="C31" s="7"/>
      <c r="D31" s="8"/>
      <c r="E31" s="8" t="s">
        <v>48</v>
      </c>
      <c r="F31" s="7"/>
      <c r="G31" s="7"/>
      <c r="H31" s="7"/>
      <c r="I31" s="7"/>
      <c r="J31" s="7"/>
      <c r="K31" s="81">
        <f>SUM(K16+K29)</f>
        <v>806853</v>
      </c>
      <c r="L31" s="81">
        <f t="shared" ref="L31:Q31" si="7">SUM(L16+L29)</f>
        <v>722352</v>
      </c>
      <c r="M31" s="81">
        <f t="shared" si="7"/>
        <v>643520</v>
      </c>
      <c r="N31" s="81">
        <f t="shared" si="7"/>
        <v>74993</v>
      </c>
      <c r="O31" s="81">
        <f t="shared" si="7"/>
        <v>204728</v>
      </c>
      <c r="P31" s="81">
        <f t="shared" si="7"/>
        <v>1029409</v>
      </c>
      <c r="Q31" s="81">
        <f t="shared" si="7"/>
        <v>3481855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35"/>
  <sheetViews>
    <sheetView workbookViewId="0">
      <selection activeCell="K30" sqref="K30"/>
    </sheetView>
  </sheetViews>
  <sheetFormatPr defaultColWidth="8.85546875" defaultRowHeight="15"/>
  <cols>
    <col min="11" max="12" width="17.42578125" customWidth="1"/>
    <col min="13" max="13" width="18" customWidth="1"/>
    <col min="14" max="14" width="16.7109375" customWidth="1"/>
    <col min="15" max="15" width="18.28515625" customWidth="1"/>
    <col min="16" max="16" width="18.140625" customWidth="1"/>
    <col min="17" max="17" width="17.7109375" customWidth="1"/>
    <col min="18" max="18" width="18.42578125" customWidth="1"/>
    <col min="19" max="19" width="18.140625" customWidth="1"/>
  </cols>
  <sheetData>
    <row r="1" spans="1:19" ht="18.75">
      <c r="D1" s="251" t="s">
        <v>357</v>
      </c>
      <c r="E1" s="251"/>
      <c r="F1" s="251"/>
      <c r="G1" s="251"/>
      <c r="H1" s="251"/>
      <c r="I1" s="251"/>
      <c r="J1" s="251"/>
      <c r="K1" s="251"/>
    </row>
    <row r="2" spans="1:19">
      <c r="D2" s="252" t="s">
        <v>1</v>
      </c>
      <c r="E2" s="252"/>
      <c r="F2" s="252"/>
      <c r="G2" s="252"/>
      <c r="H2" s="252"/>
      <c r="I2" s="252"/>
      <c r="J2" s="252"/>
      <c r="K2" s="252"/>
    </row>
    <row r="4" spans="1:19" ht="45">
      <c r="K4" s="1" t="s">
        <v>50</v>
      </c>
      <c r="L4" s="1" t="s">
        <v>358</v>
      </c>
      <c r="M4" s="1" t="s">
        <v>238</v>
      </c>
      <c r="N4" s="1" t="s">
        <v>359</v>
      </c>
      <c r="O4" s="1" t="s">
        <v>360</v>
      </c>
      <c r="P4" s="1" t="s">
        <v>361</v>
      </c>
      <c r="Q4" s="1" t="s">
        <v>362</v>
      </c>
      <c r="R4" s="1" t="s">
        <v>6</v>
      </c>
      <c r="S4" s="1" t="s">
        <v>307</v>
      </c>
    </row>
    <row r="5" spans="1:19">
      <c r="A5" s="86" t="s">
        <v>8</v>
      </c>
    </row>
    <row r="6" spans="1:19">
      <c r="B6" t="s">
        <v>98</v>
      </c>
      <c r="K6" s="72">
        <v>629648</v>
      </c>
      <c r="L6" s="73">
        <v>5373117</v>
      </c>
      <c r="M6" s="73">
        <v>6180261</v>
      </c>
      <c r="N6" s="73">
        <v>3164180</v>
      </c>
      <c r="O6" s="73">
        <v>3526522</v>
      </c>
      <c r="P6" s="73">
        <v>7144695</v>
      </c>
      <c r="Q6" s="73"/>
      <c r="R6" s="73">
        <v>14251776</v>
      </c>
      <c r="S6" s="73">
        <f>SUM(K6:R6)</f>
        <v>40270199</v>
      </c>
    </row>
    <row r="7" spans="1:19">
      <c r="B7" t="s">
        <v>10</v>
      </c>
      <c r="K7" s="73"/>
      <c r="L7" s="73">
        <v>72229</v>
      </c>
      <c r="M7" s="73"/>
      <c r="N7" s="73"/>
      <c r="O7" s="73"/>
      <c r="P7" s="73"/>
      <c r="Q7" s="73"/>
      <c r="R7" s="73"/>
      <c r="S7" s="73">
        <f t="shared" ref="S7:S11" si="0">SUM(K7:R7)</f>
        <v>72229</v>
      </c>
    </row>
    <row r="8" spans="1:19">
      <c r="B8" t="s">
        <v>213</v>
      </c>
      <c r="K8" s="74">
        <v>1192642</v>
      </c>
      <c r="L8" s="73">
        <v>2020613</v>
      </c>
      <c r="M8" s="73">
        <v>56</v>
      </c>
      <c r="N8" s="73">
        <v>2089725</v>
      </c>
      <c r="O8" s="73">
        <v>1372834</v>
      </c>
      <c r="P8" s="73"/>
      <c r="Q8" s="73"/>
      <c r="R8" s="73">
        <v>1200314</v>
      </c>
      <c r="S8" s="73">
        <f t="shared" si="0"/>
        <v>7876184</v>
      </c>
    </row>
    <row r="9" spans="1:19">
      <c r="B9" t="s">
        <v>16</v>
      </c>
      <c r="K9" s="74">
        <v>156387</v>
      </c>
      <c r="L9" s="73">
        <v>1360</v>
      </c>
      <c r="M9" s="73"/>
      <c r="N9" s="73">
        <v>324469</v>
      </c>
      <c r="O9" s="73"/>
      <c r="P9" s="73">
        <v>274</v>
      </c>
      <c r="Q9" s="73"/>
      <c r="R9" s="73">
        <v>50705</v>
      </c>
      <c r="S9" s="73">
        <f t="shared" si="0"/>
        <v>533195</v>
      </c>
    </row>
    <row r="10" spans="1:19">
      <c r="B10" t="s">
        <v>363</v>
      </c>
      <c r="K10" s="75">
        <v>1740688</v>
      </c>
      <c r="L10" s="73"/>
      <c r="M10" s="73"/>
      <c r="N10" s="73"/>
      <c r="O10" s="73"/>
      <c r="P10" s="73">
        <v>72957</v>
      </c>
      <c r="Q10" s="73"/>
      <c r="R10" s="73"/>
      <c r="S10" s="73">
        <f t="shared" si="0"/>
        <v>1813645</v>
      </c>
    </row>
    <row r="11" spans="1:19">
      <c r="B11" t="s">
        <v>364</v>
      </c>
      <c r="K11" s="75">
        <v>274552</v>
      </c>
      <c r="L11" s="73">
        <v>79148</v>
      </c>
      <c r="M11" s="73">
        <v>293658</v>
      </c>
      <c r="N11" s="73">
        <v>54890</v>
      </c>
      <c r="O11" s="73">
        <v>39613</v>
      </c>
      <c r="P11" s="73">
        <v>1223167</v>
      </c>
      <c r="Q11" s="73">
        <v>296327</v>
      </c>
      <c r="R11" s="73">
        <v>847083</v>
      </c>
      <c r="S11" s="73">
        <f t="shared" si="0"/>
        <v>3108438</v>
      </c>
    </row>
    <row r="12" spans="1:19">
      <c r="A12" s="2"/>
      <c r="B12" s="2"/>
      <c r="C12" s="2"/>
      <c r="D12" s="2"/>
      <c r="E12" s="2" t="s">
        <v>18</v>
      </c>
      <c r="F12" s="3"/>
      <c r="G12" s="3"/>
      <c r="H12" s="3"/>
      <c r="I12" s="3"/>
      <c r="J12" s="3"/>
      <c r="K12" s="76">
        <f t="shared" ref="K12:S12" si="1">SUM(K6:K11)</f>
        <v>3993917</v>
      </c>
      <c r="L12" s="76">
        <f t="shared" si="1"/>
        <v>7546467</v>
      </c>
      <c r="M12" s="76">
        <f t="shared" si="1"/>
        <v>6473975</v>
      </c>
      <c r="N12" s="76">
        <f t="shared" si="1"/>
        <v>5633264</v>
      </c>
      <c r="O12" s="76">
        <f t="shared" si="1"/>
        <v>4938969</v>
      </c>
      <c r="P12" s="76">
        <f t="shared" si="1"/>
        <v>8441093</v>
      </c>
      <c r="Q12" s="76">
        <f t="shared" si="1"/>
        <v>296327</v>
      </c>
      <c r="R12" s="76">
        <f t="shared" si="1"/>
        <v>16349878</v>
      </c>
      <c r="S12" s="76">
        <f t="shared" si="1"/>
        <v>53673890</v>
      </c>
    </row>
    <row r="13" spans="1:19">
      <c r="K13" s="73"/>
      <c r="L13" s="73"/>
      <c r="M13" s="73"/>
      <c r="N13" s="73"/>
      <c r="O13" s="73"/>
      <c r="P13" s="73"/>
      <c r="Q13" s="73"/>
      <c r="R13" s="73"/>
      <c r="S13" s="73"/>
    </row>
    <row r="14" spans="1:19">
      <c r="A14" s="4" t="s">
        <v>140</v>
      </c>
      <c r="K14" s="73"/>
      <c r="L14" s="73"/>
      <c r="M14" s="73"/>
      <c r="N14" s="73"/>
      <c r="O14" s="73"/>
      <c r="P14" s="73"/>
      <c r="Q14" s="73"/>
      <c r="R14" s="73"/>
      <c r="S14" s="73"/>
    </row>
    <row r="15" spans="1:19">
      <c r="B15" t="s">
        <v>20</v>
      </c>
      <c r="K15" s="73"/>
      <c r="L15" s="73"/>
      <c r="M15" s="73"/>
      <c r="N15" s="73"/>
      <c r="O15" s="73"/>
      <c r="P15" s="73"/>
      <c r="Q15" s="73"/>
      <c r="R15" s="73"/>
      <c r="S15" s="73"/>
    </row>
    <row r="16" spans="1:19">
      <c r="C16" t="s">
        <v>21</v>
      </c>
      <c r="K16" s="77">
        <v>178909</v>
      </c>
      <c r="L16" s="73">
        <v>12188</v>
      </c>
      <c r="M16" s="73">
        <v>218188</v>
      </c>
      <c r="N16" s="73">
        <v>13608</v>
      </c>
      <c r="O16" s="73">
        <v>34543</v>
      </c>
      <c r="P16" s="73">
        <v>121471</v>
      </c>
      <c r="Q16" s="73"/>
      <c r="R16" s="73">
        <v>392068</v>
      </c>
      <c r="S16" s="73">
        <f>SUM(K16:R16)</f>
        <v>970975</v>
      </c>
    </row>
    <row r="17" spans="1:19">
      <c r="C17" t="s">
        <v>365</v>
      </c>
      <c r="K17" s="77">
        <v>89527</v>
      </c>
      <c r="L17" s="73">
        <v>30929</v>
      </c>
      <c r="M17" s="73">
        <v>2402</v>
      </c>
      <c r="N17" s="73">
        <v>5214</v>
      </c>
      <c r="O17" s="73">
        <v>23816</v>
      </c>
      <c r="P17" s="73">
        <v>9341</v>
      </c>
      <c r="Q17" s="73"/>
      <c r="R17" s="73">
        <v>60701</v>
      </c>
      <c r="S17" s="73">
        <f>SUM(K17:R17)</f>
        <v>221930</v>
      </c>
    </row>
    <row r="18" spans="1:19">
      <c r="C18" t="s">
        <v>366</v>
      </c>
      <c r="K18" s="73"/>
      <c r="L18" s="73"/>
      <c r="M18" s="73"/>
      <c r="N18" s="73"/>
      <c r="O18" s="73"/>
      <c r="P18" s="73">
        <v>213186</v>
      </c>
      <c r="Q18" s="73"/>
      <c r="R18" s="73">
        <v>148546</v>
      </c>
      <c r="S18" s="73">
        <f t="shared" ref="S18:S23" si="2">SUM(K18:R18)</f>
        <v>361732</v>
      </c>
    </row>
    <row r="19" spans="1:19">
      <c r="C19" t="s">
        <v>22</v>
      </c>
      <c r="K19" s="73"/>
      <c r="L19" s="73"/>
      <c r="M19" s="73"/>
      <c r="N19" s="73"/>
      <c r="O19" s="73"/>
      <c r="P19" s="73">
        <v>164651</v>
      </c>
      <c r="Q19" s="73"/>
      <c r="R19" s="73">
        <v>41042</v>
      </c>
      <c r="S19" s="73">
        <f t="shared" si="2"/>
        <v>205693</v>
      </c>
    </row>
    <row r="20" spans="1:19">
      <c r="C20" t="s">
        <v>25</v>
      </c>
      <c r="K20" s="78">
        <v>396297</v>
      </c>
      <c r="L20" s="73">
        <v>26075</v>
      </c>
      <c r="M20" s="73">
        <v>54409</v>
      </c>
      <c r="N20" s="73">
        <v>24310</v>
      </c>
      <c r="O20" s="73">
        <v>123579</v>
      </c>
      <c r="P20" s="73">
        <v>50696</v>
      </c>
      <c r="Q20" s="73"/>
      <c r="R20" s="73">
        <v>323592</v>
      </c>
      <c r="S20" s="73">
        <f t="shared" si="2"/>
        <v>998958</v>
      </c>
    </row>
    <row r="21" spans="1:19">
      <c r="C21" t="s">
        <v>367</v>
      </c>
      <c r="K21" s="78">
        <v>52712</v>
      </c>
      <c r="L21" s="73">
        <v>95004</v>
      </c>
      <c r="M21" s="73"/>
      <c r="N21" s="73">
        <v>98547</v>
      </c>
      <c r="O21" s="73">
        <v>64551</v>
      </c>
      <c r="P21" s="73"/>
      <c r="Q21" s="73"/>
      <c r="R21" s="73">
        <v>51140</v>
      </c>
      <c r="S21" s="73">
        <f t="shared" si="2"/>
        <v>361954</v>
      </c>
    </row>
    <row r="22" spans="1:19">
      <c r="C22" t="s">
        <v>158</v>
      </c>
      <c r="K22" s="78">
        <v>21</v>
      </c>
      <c r="L22" s="73"/>
      <c r="M22" s="73"/>
      <c r="N22" s="73"/>
      <c r="O22" s="73"/>
      <c r="P22" s="73"/>
      <c r="Q22" s="73">
        <v>296327</v>
      </c>
      <c r="R22" s="73">
        <v>36873</v>
      </c>
      <c r="S22" s="73">
        <f t="shared" si="2"/>
        <v>333221</v>
      </c>
    </row>
    <row r="23" spans="1:19">
      <c r="C23" t="s">
        <v>368</v>
      </c>
      <c r="K23" s="73"/>
      <c r="L23" s="73"/>
      <c r="M23" s="73"/>
      <c r="N23" s="73"/>
      <c r="O23" s="73"/>
      <c r="P23" s="73"/>
      <c r="Q23" s="73"/>
      <c r="R23" s="73">
        <v>126545</v>
      </c>
      <c r="S23" s="73">
        <f t="shared" si="2"/>
        <v>126545</v>
      </c>
    </row>
    <row r="24" spans="1:19">
      <c r="A24" s="5"/>
      <c r="B24" s="6"/>
      <c r="C24" s="6"/>
      <c r="D24" s="6"/>
      <c r="E24" s="6" t="s">
        <v>26</v>
      </c>
      <c r="F24" s="5"/>
      <c r="G24" s="5"/>
      <c r="H24" s="5"/>
      <c r="I24" s="5"/>
      <c r="J24" s="5"/>
      <c r="K24" s="79">
        <f>SUM(K16:K23)</f>
        <v>717466</v>
      </c>
      <c r="L24" s="79">
        <f t="shared" ref="L24:S24" si="3">SUM(L16:L23)</f>
        <v>164196</v>
      </c>
      <c r="M24" s="79">
        <f t="shared" si="3"/>
        <v>274999</v>
      </c>
      <c r="N24" s="79">
        <f t="shared" si="3"/>
        <v>141679</v>
      </c>
      <c r="O24" s="79">
        <f t="shared" si="3"/>
        <v>246489</v>
      </c>
      <c r="P24" s="79">
        <f t="shared" si="3"/>
        <v>559345</v>
      </c>
      <c r="Q24" s="79">
        <f t="shared" si="3"/>
        <v>296327</v>
      </c>
      <c r="R24" s="79">
        <f t="shared" si="3"/>
        <v>1180507</v>
      </c>
      <c r="S24" s="79">
        <f t="shared" si="3"/>
        <v>3581008</v>
      </c>
    </row>
    <row r="25" spans="1:19">
      <c r="A25" s="102"/>
      <c r="B25" s="196"/>
      <c r="C25" s="196"/>
      <c r="D25" s="196"/>
      <c r="E25" s="196"/>
      <c r="F25" s="102"/>
      <c r="G25" s="102"/>
      <c r="H25" s="102"/>
      <c r="I25" s="102"/>
      <c r="J25" s="102"/>
      <c r="K25" s="167"/>
      <c r="L25" s="167"/>
      <c r="M25" s="167"/>
      <c r="N25" s="167"/>
      <c r="O25" s="167"/>
      <c r="P25" s="167"/>
      <c r="Q25" s="167"/>
      <c r="R25" s="167"/>
      <c r="S25" s="167"/>
    </row>
    <row r="26" spans="1:19">
      <c r="K26" s="73"/>
      <c r="L26" s="73"/>
      <c r="M26" s="73"/>
      <c r="N26" s="73"/>
      <c r="O26" s="73"/>
      <c r="P26" s="73"/>
      <c r="Q26" s="73"/>
      <c r="R26" s="73"/>
      <c r="S26" s="73"/>
    </row>
    <row r="27" spans="1:19">
      <c r="A27" s="86" t="s">
        <v>30</v>
      </c>
      <c r="K27" s="73"/>
      <c r="L27" s="73"/>
      <c r="M27" s="73"/>
      <c r="N27" s="73"/>
      <c r="O27" s="73"/>
      <c r="P27" s="73"/>
      <c r="Q27" s="73"/>
      <c r="R27" s="73"/>
      <c r="S27" s="73"/>
    </row>
    <row r="28" spans="1:19">
      <c r="C28" t="s">
        <v>104</v>
      </c>
      <c r="K28" s="73"/>
      <c r="L28" s="73"/>
      <c r="M28" s="73"/>
      <c r="N28" s="73"/>
      <c r="O28" s="73"/>
      <c r="P28" s="73"/>
      <c r="Q28" s="73"/>
      <c r="R28" s="73">
        <v>68863</v>
      </c>
      <c r="S28" s="73">
        <f t="shared" ref="S28:S31" si="4">SUM(K28:R28)</f>
        <v>68863</v>
      </c>
    </row>
    <row r="29" spans="1:19">
      <c r="C29" t="s">
        <v>88</v>
      </c>
      <c r="K29" s="73"/>
      <c r="L29" s="73">
        <v>7382271</v>
      </c>
      <c r="M29" s="73">
        <v>6198976</v>
      </c>
      <c r="N29" s="73">
        <v>5491585</v>
      </c>
      <c r="O29" s="73">
        <v>4692480</v>
      </c>
      <c r="P29" s="73"/>
      <c r="Q29" s="73"/>
      <c r="R29" s="73">
        <v>4650708</v>
      </c>
      <c r="S29" s="73">
        <f t="shared" si="4"/>
        <v>28416020</v>
      </c>
    </row>
    <row r="30" spans="1:19">
      <c r="C30" t="s">
        <v>369</v>
      </c>
      <c r="K30" s="135">
        <v>515153</v>
      </c>
      <c r="L30" s="73"/>
      <c r="M30" s="73"/>
      <c r="N30" s="73"/>
      <c r="O30" s="73"/>
      <c r="P30" s="73"/>
      <c r="Q30" s="73"/>
      <c r="R30" s="73">
        <v>5128563</v>
      </c>
      <c r="S30" s="73">
        <f t="shared" si="4"/>
        <v>5643716</v>
      </c>
    </row>
    <row r="31" spans="1:19">
      <c r="C31" t="s">
        <v>89</v>
      </c>
      <c r="K31" s="200">
        <v>1948661</v>
      </c>
      <c r="L31" s="73"/>
      <c r="M31" s="73"/>
      <c r="N31" s="73"/>
      <c r="O31" s="73"/>
      <c r="P31" s="73">
        <v>7881748</v>
      </c>
      <c r="Q31" s="73"/>
      <c r="R31" s="73">
        <v>5321237</v>
      </c>
      <c r="S31" s="73">
        <f t="shared" si="4"/>
        <v>15151646</v>
      </c>
    </row>
    <row r="32" spans="1:19">
      <c r="C32" t="s">
        <v>76</v>
      </c>
      <c r="K32" s="84">
        <v>812637</v>
      </c>
      <c r="L32" s="73"/>
      <c r="M32" s="73"/>
      <c r="N32" s="73"/>
      <c r="O32" s="73"/>
      <c r="P32" s="73"/>
      <c r="Q32" s="73"/>
      <c r="R32" s="73"/>
      <c r="S32" s="73">
        <f>SUM(K32:R32)</f>
        <v>812637</v>
      </c>
    </row>
    <row r="33" spans="1:19">
      <c r="A33" s="5"/>
      <c r="B33" s="5"/>
      <c r="C33" s="5"/>
      <c r="D33" s="6"/>
      <c r="E33" s="6" t="s">
        <v>77</v>
      </c>
      <c r="F33" s="5"/>
      <c r="G33" s="5"/>
      <c r="H33" s="5"/>
      <c r="I33" s="5"/>
      <c r="J33" s="5"/>
      <c r="K33" s="79">
        <f t="shared" ref="K33:S33" si="5">SUM(K28:K32)</f>
        <v>3276451</v>
      </c>
      <c r="L33" s="79">
        <f t="shared" si="5"/>
        <v>7382271</v>
      </c>
      <c r="M33" s="79">
        <f t="shared" si="5"/>
        <v>6198976</v>
      </c>
      <c r="N33" s="79">
        <f t="shared" si="5"/>
        <v>5491585</v>
      </c>
      <c r="O33" s="79">
        <f t="shared" si="5"/>
        <v>4692480</v>
      </c>
      <c r="P33" s="79">
        <f t="shared" si="5"/>
        <v>7881748</v>
      </c>
      <c r="Q33" s="79">
        <f t="shared" si="5"/>
        <v>0</v>
      </c>
      <c r="R33" s="79">
        <f t="shared" si="5"/>
        <v>15169371</v>
      </c>
      <c r="S33" s="79">
        <f t="shared" si="5"/>
        <v>50092882</v>
      </c>
    </row>
    <row r="34" spans="1:19">
      <c r="K34" s="73"/>
      <c r="L34" s="73"/>
      <c r="M34" s="73"/>
      <c r="N34" s="73"/>
      <c r="O34" s="73"/>
      <c r="P34" s="73"/>
      <c r="Q34" s="73"/>
      <c r="R34" s="73"/>
      <c r="S34" s="73"/>
    </row>
    <row r="35" spans="1:19">
      <c r="A35" s="7"/>
      <c r="B35" s="7"/>
      <c r="C35" s="7"/>
      <c r="D35" s="8"/>
      <c r="E35" s="8" t="s">
        <v>125</v>
      </c>
      <c r="F35" s="7"/>
      <c r="G35" s="7"/>
      <c r="H35" s="7"/>
      <c r="I35" s="7"/>
      <c r="J35" s="7"/>
      <c r="K35" s="81">
        <f t="shared" ref="K35:S35" si="6">SUM(K33+K24)</f>
        <v>3993917</v>
      </c>
      <c r="L35" s="81">
        <f t="shared" si="6"/>
        <v>7546467</v>
      </c>
      <c r="M35" s="81">
        <f t="shared" si="6"/>
        <v>6473975</v>
      </c>
      <c r="N35" s="81">
        <f t="shared" si="6"/>
        <v>5633264</v>
      </c>
      <c r="O35" s="81">
        <f t="shared" si="6"/>
        <v>4938969</v>
      </c>
      <c r="P35" s="81">
        <f t="shared" si="6"/>
        <v>8441093</v>
      </c>
      <c r="Q35" s="81">
        <f t="shared" si="6"/>
        <v>296327</v>
      </c>
      <c r="R35" s="81">
        <f t="shared" si="6"/>
        <v>16349878</v>
      </c>
      <c r="S35" s="81">
        <f t="shared" si="6"/>
        <v>53673890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31"/>
  <sheetViews>
    <sheetView workbookViewId="0">
      <selection activeCell="K26" sqref="K26"/>
    </sheetView>
  </sheetViews>
  <sheetFormatPr defaultColWidth="8.85546875" defaultRowHeight="15"/>
  <cols>
    <col min="11" max="12" width="17.42578125" customWidth="1"/>
    <col min="13" max="13" width="18.28515625" customWidth="1"/>
    <col min="14" max="14" width="18" customWidth="1"/>
    <col min="15" max="15" width="17.7109375" customWidth="1"/>
    <col min="16" max="16" width="19" customWidth="1"/>
    <col min="17" max="17" width="20.42578125" customWidth="1"/>
    <col min="18" max="18" width="18" customWidth="1"/>
    <col min="19" max="19" width="16" customWidth="1"/>
    <col min="20" max="20" width="17" customWidth="1"/>
  </cols>
  <sheetData>
    <row r="1" spans="1:20" ht="18.75">
      <c r="D1" s="251" t="s">
        <v>370</v>
      </c>
      <c r="E1" s="251"/>
      <c r="F1" s="251"/>
      <c r="G1" s="251"/>
      <c r="H1" s="251"/>
      <c r="I1" s="251"/>
      <c r="J1" s="251"/>
      <c r="K1" s="251"/>
    </row>
    <row r="2" spans="1:20">
      <c r="D2" s="252" t="s">
        <v>1</v>
      </c>
      <c r="E2" s="252"/>
      <c r="F2" s="252"/>
      <c r="G2" s="252"/>
      <c r="H2" s="252"/>
      <c r="I2" s="252"/>
      <c r="J2" s="252"/>
      <c r="K2" s="252"/>
    </row>
    <row r="4" spans="1:20" ht="45">
      <c r="K4" s="1" t="s">
        <v>50</v>
      </c>
      <c r="L4" s="1" t="s">
        <v>305</v>
      </c>
      <c r="M4" s="1" t="s">
        <v>371</v>
      </c>
      <c r="N4" s="1" t="s">
        <v>372</v>
      </c>
      <c r="O4" s="1" t="s">
        <v>82</v>
      </c>
      <c r="P4" s="1" t="s">
        <v>134</v>
      </c>
      <c r="Q4" s="1" t="s">
        <v>373</v>
      </c>
      <c r="R4" s="1" t="s">
        <v>374</v>
      </c>
      <c r="S4" s="1" t="s">
        <v>6</v>
      </c>
      <c r="T4" s="1" t="s">
        <v>7</v>
      </c>
    </row>
    <row r="5" spans="1:20">
      <c r="A5" s="86" t="s">
        <v>8</v>
      </c>
    </row>
    <row r="6" spans="1:20">
      <c r="B6" t="s">
        <v>85</v>
      </c>
      <c r="K6" s="72">
        <v>3576173</v>
      </c>
      <c r="L6" s="73">
        <v>820428</v>
      </c>
      <c r="M6" s="73">
        <v>561406</v>
      </c>
      <c r="N6" s="73">
        <v>3977828</v>
      </c>
      <c r="O6" s="73">
        <v>3209225</v>
      </c>
      <c r="P6" s="73">
        <v>3021131</v>
      </c>
      <c r="Q6" s="73">
        <v>1275556</v>
      </c>
      <c r="R6" s="73">
        <v>49993</v>
      </c>
      <c r="S6" s="73">
        <v>7335673</v>
      </c>
      <c r="T6" s="73">
        <f>SUM(K6:S6)</f>
        <v>23827413</v>
      </c>
    </row>
    <row r="7" spans="1:20">
      <c r="B7" t="s">
        <v>375</v>
      </c>
      <c r="K7" s="74">
        <v>2304610</v>
      </c>
      <c r="L7" s="73">
        <v>2580739</v>
      </c>
      <c r="M7" s="73">
        <v>1496419</v>
      </c>
      <c r="N7" s="73">
        <v>399415</v>
      </c>
      <c r="O7" s="73">
        <v>524785</v>
      </c>
      <c r="P7" s="73">
        <v>188268</v>
      </c>
      <c r="Q7" s="73">
        <v>1400321</v>
      </c>
      <c r="R7" s="73">
        <v>424350</v>
      </c>
      <c r="S7" s="73">
        <v>800959</v>
      </c>
      <c r="T7" s="73">
        <f t="shared" ref="T7:T11" si="0">SUM(K7:S7)</f>
        <v>10119866</v>
      </c>
    </row>
    <row r="8" spans="1:20">
      <c r="B8" t="s">
        <v>100</v>
      </c>
      <c r="K8" s="74">
        <v>292436</v>
      </c>
      <c r="L8" s="73">
        <v>29450</v>
      </c>
      <c r="M8" s="73">
        <v>205200</v>
      </c>
      <c r="N8" s="73">
        <v>29500</v>
      </c>
      <c r="O8" s="73">
        <v>4000</v>
      </c>
      <c r="P8" s="73"/>
      <c r="Q8" s="73"/>
      <c r="R8" s="73"/>
      <c r="S8" s="73"/>
      <c r="T8" s="73">
        <f t="shared" si="0"/>
        <v>560586</v>
      </c>
    </row>
    <row r="9" spans="1:20">
      <c r="B9" t="s">
        <v>376</v>
      </c>
      <c r="K9" s="73"/>
      <c r="L9" s="73"/>
      <c r="M9" s="73"/>
      <c r="N9" s="73"/>
      <c r="O9" s="73"/>
      <c r="P9" s="73"/>
      <c r="Q9" s="73"/>
      <c r="R9" s="73"/>
      <c r="S9" s="73"/>
      <c r="T9" s="73">
        <f t="shared" si="0"/>
        <v>0</v>
      </c>
    </row>
    <row r="10" spans="1:20">
      <c r="B10" t="s">
        <v>377</v>
      </c>
      <c r="K10" s="72">
        <v>100000</v>
      </c>
      <c r="L10" s="73"/>
      <c r="M10" s="73"/>
      <c r="N10" s="73"/>
      <c r="O10" s="73"/>
      <c r="P10" s="73"/>
      <c r="Q10" s="73"/>
      <c r="R10" s="73"/>
      <c r="S10" s="73"/>
      <c r="T10" s="73">
        <f t="shared" si="0"/>
        <v>100000</v>
      </c>
    </row>
    <row r="11" spans="1:20">
      <c r="B11" t="s">
        <v>156</v>
      </c>
      <c r="K11" s="73"/>
      <c r="L11" s="73"/>
      <c r="M11" s="73"/>
      <c r="N11" s="73"/>
      <c r="O11" s="73"/>
      <c r="P11" s="73"/>
      <c r="Q11" s="73"/>
      <c r="R11" s="73"/>
      <c r="S11" s="73">
        <v>48880</v>
      </c>
      <c r="T11" s="73">
        <f t="shared" si="0"/>
        <v>48880</v>
      </c>
    </row>
    <row r="12" spans="1:20">
      <c r="A12" s="2"/>
      <c r="B12" s="2"/>
      <c r="C12" s="2"/>
      <c r="D12" s="2"/>
      <c r="E12" s="2" t="s">
        <v>18</v>
      </c>
      <c r="F12" s="3"/>
      <c r="G12" s="3"/>
      <c r="H12" s="3"/>
      <c r="I12" s="3"/>
      <c r="J12" s="3"/>
      <c r="K12" s="76">
        <f>SUM(K6:K11)</f>
        <v>6273219</v>
      </c>
      <c r="L12" s="76">
        <f t="shared" ref="L12:T12" si="1">SUM(L6:L11)</f>
        <v>3430617</v>
      </c>
      <c r="M12" s="76">
        <f t="shared" si="1"/>
        <v>2263025</v>
      </c>
      <c r="N12" s="76">
        <f t="shared" si="1"/>
        <v>4406743</v>
      </c>
      <c r="O12" s="76">
        <f t="shared" si="1"/>
        <v>3738010</v>
      </c>
      <c r="P12" s="76">
        <f t="shared" si="1"/>
        <v>3209399</v>
      </c>
      <c r="Q12" s="76">
        <f t="shared" si="1"/>
        <v>2675877</v>
      </c>
      <c r="R12" s="76">
        <f t="shared" si="1"/>
        <v>474343</v>
      </c>
      <c r="S12" s="76">
        <f t="shared" si="1"/>
        <v>8185512</v>
      </c>
      <c r="T12" s="76">
        <f t="shared" si="1"/>
        <v>34656745</v>
      </c>
    </row>
    <row r="13" spans="1:20">
      <c r="K13" s="73"/>
      <c r="L13" s="73"/>
      <c r="M13" s="73"/>
      <c r="N13" s="73"/>
      <c r="O13" s="73"/>
      <c r="P13" s="73"/>
      <c r="Q13" s="73"/>
      <c r="R13" s="73"/>
      <c r="S13" s="73"/>
      <c r="T13" s="73"/>
    </row>
    <row r="14" spans="1:20">
      <c r="A14" s="4" t="s">
        <v>140</v>
      </c>
      <c r="K14" s="73"/>
      <c r="L14" s="73"/>
      <c r="M14" s="73"/>
      <c r="N14" s="73"/>
      <c r="O14" s="73"/>
      <c r="P14" s="73"/>
      <c r="Q14" s="73"/>
      <c r="R14" s="73"/>
      <c r="S14" s="73"/>
      <c r="T14" s="73"/>
    </row>
    <row r="15" spans="1:20">
      <c r="B15" t="s">
        <v>20</v>
      </c>
      <c r="K15" s="73"/>
      <c r="L15" s="73"/>
      <c r="M15" s="73"/>
      <c r="N15" s="73"/>
      <c r="O15" s="73"/>
      <c r="P15" s="73"/>
      <c r="Q15" s="73"/>
      <c r="R15" s="73"/>
      <c r="S15" s="73"/>
      <c r="T15" s="73"/>
    </row>
    <row r="16" spans="1:20">
      <c r="C16" t="s">
        <v>21</v>
      </c>
      <c r="K16" s="77">
        <v>464239</v>
      </c>
      <c r="L16" s="73">
        <v>84406</v>
      </c>
      <c r="M16" s="73">
        <v>155322</v>
      </c>
      <c r="N16" s="73">
        <v>115584</v>
      </c>
      <c r="O16" s="73">
        <v>255771</v>
      </c>
      <c r="P16" s="73">
        <v>129393</v>
      </c>
      <c r="Q16" s="73">
        <v>1400321</v>
      </c>
      <c r="R16" s="73"/>
      <c r="S16" s="73">
        <v>214072</v>
      </c>
      <c r="T16" s="73">
        <f>SUM(K16:S16)</f>
        <v>2819108</v>
      </c>
    </row>
    <row r="17" spans="1:20">
      <c r="K17" s="73"/>
      <c r="L17" s="73"/>
      <c r="M17" s="73"/>
      <c r="N17" s="73"/>
      <c r="O17" s="73"/>
      <c r="P17" s="73"/>
      <c r="Q17" s="73"/>
      <c r="R17" s="73"/>
      <c r="S17" s="73"/>
      <c r="T17" s="73">
        <f t="shared" ref="T17:T19" si="2">SUM(K17:S17)</f>
        <v>0</v>
      </c>
    </row>
    <row r="18" spans="1:20">
      <c r="C18" t="s">
        <v>25</v>
      </c>
      <c r="K18" s="73"/>
      <c r="L18" s="73"/>
      <c r="M18" s="73"/>
      <c r="N18" s="73"/>
      <c r="O18" s="73"/>
      <c r="P18" s="73"/>
      <c r="Q18" s="73"/>
      <c r="R18" s="73"/>
      <c r="S18" s="73"/>
      <c r="T18" s="73">
        <f t="shared" si="2"/>
        <v>0</v>
      </c>
    </row>
    <row r="19" spans="1:20">
      <c r="C19" t="s">
        <v>378</v>
      </c>
      <c r="K19" s="77">
        <v>465581</v>
      </c>
      <c r="L19" s="73">
        <v>136923</v>
      </c>
      <c r="M19" s="73">
        <v>84546</v>
      </c>
      <c r="N19" s="73">
        <v>38867</v>
      </c>
      <c r="O19" s="73">
        <v>7485</v>
      </c>
      <c r="P19" s="73">
        <v>53239</v>
      </c>
      <c r="Q19" s="73"/>
      <c r="R19" s="73">
        <v>374334</v>
      </c>
      <c r="S19" s="73">
        <v>60018</v>
      </c>
      <c r="T19" s="73">
        <f t="shared" si="2"/>
        <v>1220993</v>
      </c>
    </row>
    <row r="20" spans="1:20">
      <c r="A20" s="5"/>
      <c r="B20" s="6"/>
      <c r="C20" s="6"/>
      <c r="D20" s="6"/>
      <c r="E20" s="6" t="s">
        <v>26</v>
      </c>
      <c r="F20" s="5"/>
      <c r="G20" s="5"/>
      <c r="H20" s="5"/>
      <c r="I20" s="5"/>
      <c r="J20" s="5"/>
      <c r="K20" s="79">
        <f t="shared" ref="K20:T20" si="3">SUM(K16:K19)</f>
        <v>929820</v>
      </c>
      <c r="L20" s="79">
        <f t="shared" si="3"/>
        <v>221329</v>
      </c>
      <c r="M20" s="79">
        <f t="shared" si="3"/>
        <v>239868</v>
      </c>
      <c r="N20" s="79">
        <f t="shared" si="3"/>
        <v>154451</v>
      </c>
      <c r="O20" s="79">
        <f t="shared" si="3"/>
        <v>263256</v>
      </c>
      <c r="P20" s="79">
        <f t="shared" si="3"/>
        <v>182632</v>
      </c>
      <c r="Q20" s="79">
        <f t="shared" si="3"/>
        <v>1400321</v>
      </c>
      <c r="R20" s="79">
        <f t="shared" si="3"/>
        <v>374334</v>
      </c>
      <c r="S20" s="79">
        <f t="shared" si="3"/>
        <v>274090</v>
      </c>
      <c r="T20" s="79">
        <f t="shared" si="3"/>
        <v>4040101</v>
      </c>
    </row>
    <row r="21" spans="1:20">
      <c r="A21" s="102"/>
      <c r="B21" s="196"/>
      <c r="C21" s="196"/>
      <c r="D21" s="196"/>
      <c r="E21" s="196"/>
      <c r="F21" s="102"/>
      <c r="G21" s="102"/>
      <c r="H21" s="102"/>
      <c r="I21" s="102"/>
      <c r="J21" s="102"/>
      <c r="K21" s="167"/>
      <c r="L21" s="167"/>
      <c r="M21" s="167"/>
      <c r="N21" s="167"/>
      <c r="O21" s="167"/>
      <c r="P21" s="167"/>
      <c r="Q21" s="167"/>
      <c r="R21" s="167"/>
      <c r="S21" s="167"/>
      <c r="T21" s="167"/>
    </row>
    <row r="22" spans="1:20">
      <c r="K22" s="73"/>
      <c r="L22" s="73"/>
      <c r="M22" s="73"/>
      <c r="N22" s="73"/>
      <c r="O22" s="73"/>
      <c r="P22" s="73"/>
      <c r="Q22" s="73"/>
      <c r="R22" s="73"/>
      <c r="S22" s="73"/>
      <c r="T22" s="73"/>
    </row>
    <row r="23" spans="1:20">
      <c r="A23" s="86" t="s">
        <v>30</v>
      </c>
      <c r="K23" s="73"/>
      <c r="L23" s="73"/>
      <c r="M23" s="73"/>
      <c r="N23" s="73"/>
      <c r="O23" s="73"/>
      <c r="P23" s="73"/>
      <c r="Q23" s="73"/>
      <c r="R23" s="73"/>
      <c r="S23" s="73"/>
      <c r="T23" s="73"/>
    </row>
    <row r="24" spans="1:20">
      <c r="C24" t="s">
        <v>379</v>
      </c>
      <c r="K24" s="135">
        <v>392436</v>
      </c>
      <c r="L24" s="73">
        <v>29450</v>
      </c>
      <c r="M24" s="73">
        <v>205200</v>
      </c>
      <c r="N24" s="73">
        <v>29500</v>
      </c>
      <c r="O24" s="73">
        <v>4000</v>
      </c>
      <c r="P24" s="73"/>
      <c r="Q24" s="73"/>
      <c r="R24" s="73"/>
      <c r="S24" s="73"/>
      <c r="T24" s="73">
        <f t="shared" ref="T24:T28" si="4">SUM(K24:S24)</f>
        <v>660586</v>
      </c>
    </row>
    <row r="25" spans="1:20">
      <c r="C25" t="s">
        <v>88</v>
      </c>
      <c r="K25" s="135">
        <v>139220</v>
      </c>
      <c r="L25" s="73">
        <v>3179838</v>
      </c>
      <c r="M25" s="73">
        <v>1817957</v>
      </c>
      <c r="N25" s="73">
        <v>4222792</v>
      </c>
      <c r="O25" s="73">
        <v>3470754</v>
      </c>
      <c r="P25" s="73">
        <v>3026767</v>
      </c>
      <c r="Q25" s="73">
        <v>1275556</v>
      </c>
      <c r="R25" s="73">
        <v>100009</v>
      </c>
      <c r="S25" s="73">
        <v>6898567</v>
      </c>
      <c r="T25" s="73">
        <f t="shared" si="4"/>
        <v>24131460</v>
      </c>
    </row>
    <row r="26" spans="1:20">
      <c r="C26" t="s">
        <v>259</v>
      </c>
      <c r="K26" s="73"/>
      <c r="L26" s="73"/>
      <c r="M26" s="73"/>
      <c r="N26" s="73"/>
      <c r="O26" s="73"/>
      <c r="P26" s="73"/>
      <c r="Q26" s="73"/>
      <c r="R26" s="73"/>
      <c r="S26" s="73">
        <v>1012855</v>
      </c>
      <c r="T26" s="73">
        <f t="shared" si="4"/>
        <v>1012855</v>
      </c>
    </row>
    <row r="27" spans="1:20">
      <c r="C27" t="s">
        <v>380</v>
      </c>
      <c r="K27" s="73"/>
      <c r="L27" s="73"/>
      <c r="M27" s="73"/>
      <c r="N27" s="73"/>
      <c r="O27" s="73"/>
      <c r="P27" s="73"/>
      <c r="Q27" s="73"/>
      <c r="R27" s="73"/>
      <c r="S27" s="73"/>
      <c r="T27" s="73">
        <f t="shared" si="4"/>
        <v>0</v>
      </c>
    </row>
    <row r="28" spans="1:20">
      <c r="C28" t="s">
        <v>76</v>
      </c>
      <c r="K28" s="84">
        <v>4811743</v>
      </c>
      <c r="L28" s="73"/>
      <c r="M28" s="73"/>
      <c r="N28" s="73"/>
      <c r="O28" s="73"/>
      <c r="P28" s="73"/>
      <c r="Q28" s="73"/>
      <c r="R28" s="73"/>
      <c r="S28" s="73"/>
      <c r="T28" s="73">
        <f t="shared" si="4"/>
        <v>4811743</v>
      </c>
    </row>
    <row r="29" spans="1:20">
      <c r="A29" s="5"/>
      <c r="B29" s="5"/>
      <c r="C29" s="5"/>
      <c r="D29" s="6"/>
      <c r="E29" s="6" t="s">
        <v>77</v>
      </c>
      <c r="F29" s="5"/>
      <c r="G29" s="5"/>
      <c r="H29" s="5"/>
      <c r="I29" s="5"/>
      <c r="J29" s="5"/>
      <c r="K29" s="79">
        <f t="shared" ref="K29:S29" si="5">SUM(K24:K28)</f>
        <v>5343399</v>
      </c>
      <c r="L29" s="79">
        <f t="shared" si="5"/>
        <v>3209288</v>
      </c>
      <c r="M29" s="79">
        <f t="shared" si="5"/>
        <v>2023157</v>
      </c>
      <c r="N29" s="79">
        <f t="shared" si="5"/>
        <v>4252292</v>
      </c>
      <c r="O29" s="79">
        <f t="shared" si="5"/>
        <v>3474754</v>
      </c>
      <c r="P29" s="79">
        <f t="shared" si="5"/>
        <v>3026767</v>
      </c>
      <c r="Q29" s="79">
        <f t="shared" si="5"/>
        <v>1275556</v>
      </c>
      <c r="R29" s="79">
        <f t="shared" si="5"/>
        <v>100009</v>
      </c>
      <c r="S29" s="79">
        <f t="shared" si="5"/>
        <v>7911422</v>
      </c>
      <c r="T29" s="79">
        <f>SUM(T24:T28)</f>
        <v>30616644</v>
      </c>
    </row>
    <row r="30" spans="1:20">
      <c r="K30" s="73"/>
      <c r="L30" s="73"/>
      <c r="M30" s="73"/>
      <c r="N30" s="73"/>
      <c r="O30" s="73"/>
      <c r="P30" s="73"/>
      <c r="Q30" s="73"/>
      <c r="R30" s="73"/>
      <c r="S30" s="73"/>
      <c r="T30" s="73"/>
    </row>
    <row r="31" spans="1:20">
      <c r="A31" s="7"/>
      <c r="B31" s="7"/>
      <c r="C31" s="7"/>
      <c r="D31" s="8"/>
      <c r="E31" s="8" t="s">
        <v>125</v>
      </c>
      <c r="F31" s="7"/>
      <c r="G31" s="7"/>
      <c r="H31" s="7"/>
      <c r="I31" s="7"/>
      <c r="J31" s="7"/>
      <c r="K31" s="81">
        <f t="shared" ref="K31:T31" si="6">SUM(K29+K20)</f>
        <v>6273219</v>
      </c>
      <c r="L31" s="81">
        <f t="shared" si="6"/>
        <v>3430617</v>
      </c>
      <c r="M31" s="81">
        <f t="shared" si="6"/>
        <v>2263025</v>
      </c>
      <c r="N31" s="81">
        <f t="shared" si="6"/>
        <v>4406743</v>
      </c>
      <c r="O31" s="81">
        <f t="shared" si="6"/>
        <v>3738010</v>
      </c>
      <c r="P31" s="81">
        <f t="shared" si="6"/>
        <v>3209399</v>
      </c>
      <c r="Q31" s="81">
        <f t="shared" si="6"/>
        <v>2675877</v>
      </c>
      <c r="R31" s="81">
        <f t="shared" si="6"/>
        <v>474343</v>
      </c>
      <c r="S31" s="81">
        <f t="shared" si="6"/>
        <v>8185512</v>
      </c>
      <c r="T31" s="81">
        <f t="shared" si="6"/>
        <v>34656745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34"/>
  <sheetViews>
    <sheetView workbookViewId="0">
      <selection activeCell="S14" sqref="S14"/>
    </sheetView>
  </sheetViews>
  <sheetFormatPr defaultColWidth="8.85546875" defaultRowHeight="15"/>
  <cols>
    <col min="11" max="11" width="17.140625" customWidth="1"/>
    <col min="12" max="12" width="17.85546875" customWidth="1"/>
    <col min="13" max="13" width="18" customWidth="1"/>
    <col min="14" max="15" width="17.42578125" customWidth="1"/>
    <col min="16" max="17" width="17.140625" customWidth="1"/>
    <col min="18" max="18" width="17" customWidth="1"/>
    <col min="19" max="19" width="16.7109375" customWidth="1"/>
  </cols>
  <sheetData>
    <row r="1" spans="1:19" ht="18.75">
      <c r="D1" s="251" t="s">
        <v>381</v>
      </c>
      <c r="E1" s="251"/>
      <c r="F1" s="251"/>
      <c r="G1" s="251"/>
      <c r="H1" s="251"/>
      <c r="I1" s="251"/>
      <c r="J1" s="251"/>
      <c r="K1" s="251"/>
    </row>
    <row r="2" spans="1:19">
      <c r="D2" s="252" t="s">
        <v>1</v>
      </c>
      <c r="E2" s="252"/>
      <c r="F2" s="252"/>
      <c r="G2" s="252"/>
      <c r="H2" s="252"/>
      <c r="I2" s="252"/>
      <c r="J2" s="252"/>
      <c r="K2" s="252"/>
    </row>
    <row r="4" spans="1:19" ht="30">
      <c r="K4" s="1" t="s">
        <v>50</v>
      </c>
      <c r="L4" s="1" t="s">
        <v>262</v>
      </c>
      <c r="M4" s="1" t="s">
        <v>82</v>
      </c>
      <c r="N4" s="1" t="s">
        <v>95</v>
      </c>
      <c r="O4" s="1" t="s">
        <v>382</v>
      </c>
      <c r="P4" s="1" t="s">
        <v>94</v>
      </c>
      <c r="Q4" s="1" t="s">
        <v>238</v>
      </c>
      <c r="R4" s="1" t="s">
        <v>306</v>
      </c>
      <c r="S4" s="1" t="s">
        <v>84</v>
      </c>
    </row>
    <row r="5" spans="1:19">
      <c r="A5" t="s">
        <v>8</v>
      </c>
    </row>
    <row r="6" spans="1:19">
      <c r="B6" t="s">
        <v>179</v>
      </c>
      <c r="K6" s="72">
        <v>2462652</v>
      </c>
      <c r="L6" s="73">
        <v>1815855</v>
      </c>
      <c r="M6" s="73">
        <v>1168736</v>
      </c>
      <c r="N6" s="73">
        <v>1176592</v>
      </c>
      <c r="O6" s="73">
        <v>1541497</v>
      </c>
      <c r="P6" s="73">
        <v>98626</v>
      </c>
      <c r="Q6" s="73">
        <v>311089</v>
      </c>
      <c r="R6" s="73">
        <v>723873</v>
      </c>
      <c r="S6" s="73">
        <f>SUM(K6:R6)</f>
        <v>9298920</v>
      </c>
    </row>
    <row r="7" spans="1:19">
      <c r="B7" t="s">
        <v>265</v>
      </c>
      <c r="K7" s="74">
        <v>1278246</v>
      </c>
      <c r="L7" s="73">
        <v>1249643</v>
      </c>
      <c r="M7" s="73">
        <v>223486</v>
      </c>
      <c r="N7" s="73">
        <v>857253</v>
      </c>
      <c r="O7" s="73">
        <v>1040949</v>
      </c>
      <c r="P7" s="73">
        <v>183698</v>
      </c>
      <c r="Q7" s="73">
        <v>147917</v>
      </c>
      <c r="R7" s="73"/>
      <c r="S7" s="73">
        <f>SUM(K7:R7)</f>
        <v>4981192</v>
      </c>
    </row>
    <row r="8" spans="1:19">
      <c r="B8" t="s">
        <v>215</v>
      </c>
      <c r="K8" s="74">
        <v>50000</v>
      </c>
      <c r="L8" s="73"/>
      <c r="M8" s="73">
        <v>0</v>
      </c>
      <c r="N8" s="73"/>
      <c r="O8" s="73"/>
      <c r="P8" s="73">
        <v>0</v>
      </c>
      <c r="Q8" s="73"/>
      <c r="R8" s="73">
        <v>0</v>
      </c>
      <c r="S8" s="73">
        <f t="shared" ref="S8:S9" si="0">SUM(K8:R8)</f>
        <v>50000</v>
      </c>
    </row>
    <row r="9" spans="1:19">
      <c r="B9" t="s">
        <v>383</v>
      </c>
      <c r="K9" s="74">
        <v>3850</v>
      </c>
      <c r="L9" s="73">
        <v>4746</v>
      </c>
      <c r="M9" s="73">
        <v>9815</v>
      </c>
      <c r="N9" s="73">
        <v>50710</v>
      </c>
      <c r="O9" s="73">
        <v>4746</v>
      </c>
      <c r="P9" s="73">
        <v>1635</v>
      </c>
      <c r="Q9" s="73"/>
      <c r="R9" s="73">
        <v>0</v>
      </c>
      <c r="S9" s="73">
        <f t="shared" si="0"/>
        <v>75502</v>
      </c>
    </row>
    <row r="10" spans="1:19">
      <c r="K10" s="93"/>
      <c r="L10" s="93"/>
      <c r="M10" s="93"/>
      <c r="N10" s="93"/>
      <c r="O10" s="93"/>
      <c r="P10" s="93"/>
      <c r="Q10" s="93"/>
      <c r="R10" s="93"/>
      <c r="S10" s="93"/>
    </row>
    <row r="11" spans="1:19">
      <c r="A11" s="2"/>
      <c r="B11" s="2"/>
      <c r="C11" s="2"/>
      <c r="D11" s="2"/>
      <c r="E11" s="2" t="s">
        <v>18</v>
      </c>
      <c r="F11" s="3"/>
      <c r="G11" s="3"/>
      <c r="H11" s="3"/>
      <c r="I11" s="3"/>
      <c r="J11" s="3"/>
      <c r="K11" s="76">
        <f t="shared" ref="K11:S11" si="1">SUM(K6:K9)</f>
        <v>3794748</v>
      </c>
      <c r="L11" s="76">
        <f t="shared" si="1"/>
        <v>3070244</v>
      </c>
      <c r="M11" s="76">
        <f t="shared" si="1"/>
        <v>1402037</v>
      </c>
      <c r="N11" s="76">
        <f t="shared" si="1"/>
        <v>2084555</v>
      </c>
      <c r="O11" s="76">
        <f t="shared" si="1"/>
        <v>2587192</v>
      </c>
      <c r="P11" s="76">
        <f t="shared" si="1"/>
        <v>283959</v>
      </c>
      <c r="Q11" s="76">
        <f t="shared" si="1"/>
        <v>459006</v>
      </c>
      <c r="R11" s="76">
        <f t="shared" si="1"/>
        <v>723873</v>
      </c>
      <c r="S11" s="76">
        <f t="shared" si="1"/>
        <v>14405614</v>
      </c>
    </row>
    <row r="12" spans="1:19">
      <c r="K12" s="73"/>
      <c r="L12" s="73"/>
      <c r="M12" s="73"/>
      <c r="N12" s="73"/>
      <c r="O12" s="73"/>
      <c r="P12" s="73"/>
      <c r="Q12" s="73"/>
      <c r="R12" s="73"/>
      <c r="S12" s="73"/>
    </row>
    <row r="13" spans="1:19">
      <c r="A13" s="4" t="s">
        <v>19</v>
      </c>
      <c r="K13" s="73"/>
      <c r="L13" s="73"/>
      <c r="M13" s="73"/>
      <c r="N13" s="73"/>
      <c r="O13" s="73"/>
      <c r="P13" s="73"/>
      <c r="Q13" s="73"/>
      <c r="R13" s="73"/>
      <c r="S13" s="73"/>
    </row>
    <row r="14" spans="1:19">
      <c r="B14" t="s">
        <v>20</v>
      </c>
      <c r="K14" s="73"/>
      <c r="L14" s="73"/>
      <c r="M14" s="73"/>
      <c r="N14" s="73"/>
      <c r="O14" s="73"/>
      <c r="P14" s="73"/>
      <c r="Q14" s="73"/>
      <c r="R14" s="73"/>
      <c r="S14" s="73"/>
    </row>
    <row r="15" spans="1:19">
      <c r="C15" t="s">
        <v>242</v>
      </c>
      <c r="K15" s="77">
        <v>71630</v>
      </c>
      <c r="L15" s="73">
        <v>108144</v>
      </c>
      <c r="M15" s="73">
        <v>33203</v>
      </c>
      <c r="N15" s="73">
        <v>95691</v>
      </c>
      <c r="O15" s="73">
        <v>296</v>
      </c>
      <c r="P15" s="73">
        <v>1612</v>
      </c>
      <c r="Q15" s="73"/>
      <c r="R15" s="73"/>
      <c r="S15" s="73">
        <f>SUM(K15:R15)</f>
        <v>310576</v>
      </c>
    </row>
    <row r="16" spans="1:19">
      <c r="C16" t="s">
        <v>216</v>
      </c>
      <c r="K16" s="73">
        <v>0</v>
      </c>
      <c r="L16" s="73"/>
      <c r="M16" s="73"/>
      <c r="N16" s="73"/>
      <c r="O16" s="73"/>
      <c r="P16" s="73">
        <v>50000</v>
      </c>
      <c r="Q16" s="73"/>
      <c r="R16" s="73"/>
      <c r="S16" s="73">
        <f t="shared" ref="S16:S17" si="2">SUM(K16:R16)</f>
        <v>50000</v>
      </c>
    </row>
    <row r="17" spans="1:19">
      <c r="C17" t="s">
        <v>384</v>
      </c>
      <c r="K17" s="82">
        <v>4075</v>
      </c>
      <c r="L17" s="73">
        <v>26724</v>
      </c>
      <c r="M17" s="73"/>
      <c r="N17" s="73"/>
      <c r="O17" s="73"/>
      <c r="P17" s="73">
        <v>0</v>
      </c>
      <c r="Q17" s="73"/>
      <c r="R17" s="73"/>
      <c r="S17" s="73">
        <f t="shared" si="2"/>
        <v>30799</v>
      </c>
    </row>
    <row r="18" spans="1:19">
      <c r="K18" s="94"/>
      <c r="L18" s="97"/>
      <c r="M18" s="94"/>
      <c r="N18" s="94"/>
      <c r="O18" s="94"/>
      <c r="P18" s="94"/>
      <c r="Q18" s="94"/>
      <c r="R18" s="94"/>
      <c r="S18" s="97"/>
    </row>
    <row r="19" spans="1:19">
      <c r="A19" s="5"/>
      <c r="B19" s="6"/>
      <c r="C19" s="6"/>
      <c r="D19" s="6"/>
      <c r="E19" s="6" t="s">
        <v>26</v>
      </c>
      <c r="F19" s="5"/>
      <c r="G19" s="5"/>
      <c r="H19" s="5"/>
      <c r="I19" s="5"/>
      <c r="J19" s="5"/>
      <c r="K19" s="79">
        <f t="shared" ref="K19:S19" si="3">SUM(K15:K17)</f>
        <v>75705</v>
      </c>
      <c r="L19" s="79">
        <f t="shared" si="3"/>
        <v>134868</v>
      </c>
      <c r="M19" s="79">
        <f t="shared" si="3"/>
        <v>33203</v>
      </c>
      <c r="N19" s="79">
        <f t="shared" si="3"/>
        <v>95691</v>
      </c>
      <c r="O19" s="79">
        <f t="shared" si="3"/>
        <v>296</v>
      </c>
      <c r="P19" s="79">
        <f t="shared" si="3"/>
        <v>51612</v>
      </c>
      <c r="Q19" s="79">
        <f t="shared" si="3"/>
        <v>0</v>
      </c>
      <c r="R19" s="79">
        <f t="shared" si="3"/>
        <v>0</v>
      </c>
      <c r="S19" s="79">
        <f t="shared" si="3"/>
        <v>391375</v>
      </c>
    </row>
    <row r="20" spans="1:19">
      <c r="K20" s="73"/>
      <c r="L20" s="73"/>
      <c r="M20" s="73"/>
      <c r="N20" s="73"/>
      <c r="O20" s="73"/>
      <c r="P20" s="73"/>
      <c r="Q20" s="73"/>
      <c r="R20" s="73"/>
      <c r="S20" s="73"/>
    </row>
    <row r="21" spans="1:19">
      <c r="A21" s="71" t="s">
        <v>27</v>
      </c>
      <c r="K21" s="73"/>
      <c r="L21" s="73"/>
      <c r="M21" s="73"/>
      <c r="N21" s="73"/>
      <c r="O21" s="73"/>
      <c r="P21" s="73"/>
      <c r="Q21" s="73"/>
      <c r="R21" s="73"/>
      <c r="S21" s="73"/>
    </row>
    <row r="22" spans="1:19">
      <c r="C22" t="s">
        <v>385</v>
      </c>
      <c r="K22" s="85">
        <v>99362</v>
      </c>
      <c r="L22" s="85">
        <v>106782</v>
      </c>
      <c r="M22" s="85"/>
      <c r="N22" s="85">
        <v>76428</v>
      </c>
      <c r="O22" s="85">
        <v>92806</v>
      </c>
      <c r="P22" s="85">
        <v>16378</v>
      </c>
      <c r="Q22" s="85"/>
      <c r="R22" s="85">
        <v>0</v>
      </c>
      <c r="S22" s="85">
        <f>SUM(K22:R22)</f>
        <v>391756</v>
      </c>
    </row>
    <row r="23" spans="1:19">
      <c r="K23" s="73"/>
      <c r="L23" s="73"/>
      <c r="M23" s="73"/>
      <c r="N23" s="73"/>
      <c r="O23" s="73"/>
      <c r="P23" s="73"/>
      <c r="Q23" s="73"/>
      <c r="R23" s="73"/>
      <c r="S23" s="73"/>
    </row>
    <row r="24" spans="1:19">
      <c r="A24" s="5"/>
      <c r="B24" s="6"/>
      <c r="C24" s="6"/>
      <c r="D24" s="6"/>
      <c r="E24" s="6" t="s">
        <v>29</v>
      </c>
      <c r="F24" s="5"/>
      <c r="G24" s="5"/>
      <c r="H24" s="5"/>
      <c r="I24" s="5"/>
      <c r="J24" s="5"/>
      <c r="K24" s="79">
        <f>SUM(K22:K22)</f>
        <v>99362</v>
      </c>
      <c r="L24" s="79">
        <f>SUM(L22:L22)</f>
        <v>106782</v>
      </c>
      <c r="M24" s="79">
        <f>SUM(M22:M22)</f>
        <v>0</v>
      </c>
      <c r="N24" s="79">
        <f>SUM(N22:N22)</f>
        <v>76428</v>
      </c>
      <c r="O24" s="79">
        <f>SUM(O22:O22)</f>
        <v>92806</v>
      </c>
      <c r="P24" s="79">
        <f t="shared" ref="P24:R24" si="4">SUM(P22:P22)</f>
        <v>16378</v>
      </c>
      <c r="Q24" s="79">
        <f t="shared" si="4"/>
        <v>0</v>
      </c>
      <c r="R24" s="79">
        <f t="shared" si="4"/>
        <v>0</v>
      </c>
      <c r="S24" s="79">
        <f>SUM(S22:S22)</f>
        <v>391756</v>
      </c>
    </row>
    <row r="25" spans="1:19">
      <c r="K25" s="73"/>
      <c r="L25" s="73"/>
      <c r="M25" s="73"/>
      <c r="N25" s="73"/>
      <c r="O25" s="73"/>
      <c r="P25" s="73"/>
      <c r="Q25" s="73"/>
      <c r="R25" s="73"/>
      <c r="S25" s="73"/>
    </row>
    <row r="26" spans="1:19">
      <c r="B26" t="s">
        <v>30</v>
      </c>
      <c r="K26" s="73"/>
      <c r="L26" s="73"/>
      <c r="M26" s="73"/>
      <c r="N26" s="73"/>
      <c r="O26" s="73"/>
      <c r="P26" s="73"/>
      <c r="Q26" s="73"/>
      <c r="R26" s="73"/>
      <c r="S26" s="73"/>
    </row>
    <row r="27" spans="1:19">
      <c r="C27" t="s">
        <v>386</v>
      </c>
      <c r="K27" s="135">
        <v>3850</v>
      </c>
      <c r="L27" s="73">
        <v>4746</v>
      </c>
      <c r="M27" s="73">
        <v>9815</v>
      </c>
      <c r="N27" s="73">
        <v>50710</v>
      </c>
      <c r="O27" s="73">
        <v>4746</v>
      </c>
      <c r="P27" s="73">
        <v>1635</v>
      </c>
      <c r="Q27" s="73"/>
      <c r="R27" s="73"/>
      <c r="S27" s="73">
        <f t="shared" ref="S27:S30" si="5">SUM(K27:R27)</f>
        <v>75502</v>
      </c>
    </row>
    <row r="28" spans="1:19">
      <c r="C28" t="s">
        <v>208</v>
      </c>
      <c r="K28" s="91">
        <v>42300</v>
      </c>
      <c r="L28" s="73">
        <v>2823848</v>
      </c>
      <c r="M28" s="73">
        <v>1359019</v>
      </c>
      <c r="N28" s="73">
        <v>1861726</v>
      </c>
      <c r="O28" s="73">
        <v>2489344</v>
      </c>
      <c r="P28" s="73">
        <v>214334</v>
      </c>
      <c r="Q28" s="73">
        <v>459006</v>
      </c>
      <c r="R28" s="73">
        <v>610282</v>
      </c>
      <c r="S28" s="73">
        <f t="shared" si="5"/>
        <v>9859859</v>
      </c>
    </row>
    <row r="29" spans="1:19">
      <c r="C29" t="s">
        <v>259</v>
      </c>
      <c r="K29" s="135">
        <v>1015761</v>
      </c>
      <c r="L29" s="73"/>
      <c r="M29" s="73"/>
      <c r="N29" s="73"/>
      <c r="O29" s="73"/>
      <c r="P29" s="73"/>
      <c r="Q29" s="73"/>
      <c r="R29" s="73">
        <v>113591</v>
      </c>
      <c r="S29" s="73">
        <f t="shared" si="5"/>
        <v>1129352</v>
      </c>
    </row>
    <row r="30" spans="1:19">
      <c r="C30" t="s">
        <v>46</v>
      </c>
      <c r="K30" s="84">
        <v>2557770</v>
      </c>
      <c r="L30" s="73"/>
      <c r="M30" s="73"/>
      <c r="N30" s="73"/>
      <c r="O30" s="73"/>
      <c r="P30" s="73"/>
      <c r="Q30" s="73"/>
      <c r="R30" s="73"/>
      <c r="S30" s="73">
        <f t="shared" si="5"/>
        <v>2557770</v>
      </c>
    </row>
    <row r="31" spans="1:19">
      <c r="K31" s="93"/>
      <c r="L31" s="93"/>
      <c r="M31" s="93"/>
      <c r="N31" s="93"/>
      <c r="O31" s="93"/>
      <c r="P31" s="93"/>
      <c r="Q31" s="93"/>
      <c r="R31" s="93"/>
      <c r="S31" s="93"/>
    </row>
    <row r="32" spans="1:19">
      <c r="A32" s="5"/>
      <c r="B32" s="5"/>
      <c r="C32" s="5"/>
      <c r="D32" s="6"/>
      <c r="E32" s="6" t="s">
        <v>47</v>
      </c>
      <c r="F32" s="5"/>
      <c r="G32" s="5"/>
      <c r="H32" s="5"/>
      <c r="I32" s="5"/>
      <c r="J32" s="5"/>
      <c r="K32" s="79">
        <f t="shared" ref="K32:S32" si="6">SUM(K27:K30)</f>
        <v>3619681</v>
      </c>
      <c r="L32" s="79">
        <f t="shared" si="6"/>
        <v>2828594</v>
      </c>
      <c r="M32" s="79">
        <f t="shared" si="6"/>
        <v>1368834</v>
      </c>
      <c r="N32" s="79">
        <f t="shared" si="6"/>
        <v>1912436</v>
      </c>
      <c r="O32" s="79">
        <f t="shared" si="6"/>
        <v>2494090</v>
      </c>
      <c r="P32" s="79">
        <f t="shared" si="6"/>
        <v>215969</v>
      </c>
      <c r="Q32" s="79">
        <f t="shared" si="6"/>
        <v>459006</v>
      </c>
      <c r="R32" s="79">
        <f t="shared" si="6"/>
        <v>723873</v>
      </c>
      <c r="S32" s="79">
        <f t="shared" si="6"/>
        <v>13622483</v>
      </c>
    </row>
    <row r="33" spans="1:19">
      <c r="K33" s="73"/>
      <c r="L33" s="73"/>
      <c r="M33" s="73"/>
      <c r="N33" s="73"/>
      <c r="O33" s="73"/>
      <c r="P33" s="73"/>
      <c r="Q33" s="73"/>
      <c r="R33" s="73"/>
      <c r="S33" s="73"/>
    </row>
    <row r="34" spans="1:19">
      <c r="A34" s="7"/>
      <c r="B34" s="7"/>
      <c r="C34" s="7"/>
      <c r="D34" s="8"/>
      <c r="E34" s="8" t="s">
        <v>48</v>
      </c>
      <c r="F34" s="7"/>
      <c r="G34" s="7"/>
      <c r="H34" s="7"/>
      <c r="I34" s="7"/>
      <c r="J34" s="7"/>
      <c r="K34" s="81">
        <f t="shared" ref="K34:P34" si="7">SUM(K32,K19,K24)</f>
        <v>3794748</v>
      </c>
      <c r="L34" s="81">
        <f t="shared" si="7"/>
        <v>3070244</v>
      </c>
      <c r="M34" s="81">
        <f t="shared" si="7"/>
        <v>1402037</v>
      </c>
      <c r="N34" s="81">
        <f t="shared" si="7"/>
        <v>2084555</v>
      </c>
      <c r="O34" s="81">
        <f t="shared" si="7"/>
        <v>2587192</v>
      </c>
      <c r="P34" s="81">
        <f t="shared" si="7"/>
        <v>283959</v>
      </c>
      <c r="Q34" s="81"/>
      <c r="R34" s="81">
        <f>SUM(R32,R19,R24)</f>
        <v>723873</v>
      </c>
      <c r="S34" s="81">
        <f>SUM(S32,S19,S24)</f>
        <v>14405614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41"/>
  <sheetViews>
    <sheetView workbookViewId="0">
      <selection activeCell="Q30" sqref="Q30"/>
    </sheetView>
  </sheetViews>
  <sheetFormatPr defaultColWidth="8.85546875" defaultRowHeight="15"/>
  <cols>
    <col min="11" max="11" width="18.42578125" customWidth="1"/>
    <col min="12" max="12" width="18.28515625" customWidth="1"/>
    <col min="13" max="14" width="17.42578125" customWidth="1"/>
    <col min="15" max="15" width="18" customWidth="1"/>
    <col min="16" max="16" width="17.42578125" customWidth="1"/>
    <col min="17" max="17" width="18.42578125" customWidth="1"/>
  </cols>
  <sheetData>
    <row r="1" spans="1:17" ht="18.75">
      <c r="D1" s="251" t="s">
        <v>387</v>
      </c>
      <c r="E1" s="251"/>
      <c r="F1" s="251"/>
      <c r="G1" s="251"/>
      <c r="H1" s="251"/>
      <c r="I1" s="251"/>
      <c r="J1" s="251"/>
      <c r="K1" s="251"/>
    </row>
    <row r="2" spans="1:17">
      <c r="D2" s="252" t="s">
        <v>1</v>
      </c>
      <c r="E2" s="252"/>
      <c r="F2" s="252"/>
      <c r="G2" s="252"/>
      <c r="H2" s="252"/>
      <c r="I2" s="252"/>
      <c r="J2" s="252"/>
      <c r="K2" s="252"/>
    </row>
    <row r="4" spans="1:17" ht="45">
      <c r="K4" s="1" t="s">
        <v>2</v>
      </c>
      <c r="L4" s="1" t="s">
        <v>388</v>
      </c>
      <c r="M4" s="1" t="s">
        <v>324</v>
      </c>
      <c r="N4" s="1" t="s">
        <v>389</v>
      </c>
      <c r="O4" s="1" t="s">
        <v>390</v>
      </c>
      <c r="P4" s="1" t="s">
        <v>6</v>
      </c>
      <c r="Q4" s="1" t="s">
        <v>7</v>
      </c>
    </row>
    <row r="5" spans="1:17">
      <c r="A5" t="s">
        <v>8</v>
      </c>
    </row>
    <row r="6" spans="1:17">
      <c r="B6" t="s">
        <v>179</v>
      </c>
      <c r="K6" s="72">
        <v>6883837</v>
      </c>
      <c r="L6" s="73">
        <v>5955273</v>
      </c>
      <c r="M6" s="73">
        <v>1824</v>
      </c>
      <c r="N6" s="73">
        <v>21961</v>
      </c>
      <c r="O6" s="73"/>
      <c r="P6" s="73">
        <v>7051908</v>
      </c>
      <c r="Q6" s="73">
        <f>SUM(K6:P6)</f>
        <v>19914803</v>
      </c>
    </row>
    <row r="7" spans="1:17">
      <c r="B7" t="s">
        <v>10</v>
      </c>
      <c r="K7" s="77">
        <v>678247</v>
      </c>
      <c r="L7" s="73"/>
      <c r="M7" s="73"/>
      <c r="N7" s="73"/>
      <c r="O7" s="73">
        <v>0</v>
      </c>
      <c r="P7" s="73">
        <v>1433956</v>
      </c>
      <c r="Q7" s="73">
        <f>SUM(K7:P7)</f>
        <v>2112203</v>
      </c>
    </row>
    <row r="8" spans="1:17">
      <c r="B8" t="s">
        <v>58</v>
      </c>
      <c r="K8" s="74">
        <v>93939</v>
      </c>
      <c r="L8" s="73">
        <v>460821</v>
      </c>
      <c r="M8" s="73">
        <v>116744</v>
      </c>
      <c r="N8" s="73">
        <v>37</v>
      </c>
      <c r="O8" s="73"/>
      <c r="P8" s="73">
        <v>746750</v>
      </c>
      <c r="Q8" s="73">
        <f>SUM(K8:P8)</f>
        <v>1418291</v>
      </c>
    </row>
    <row r="9" spans="1:17">
      <c r="B9" t="s">
        <v>266</v>
      </c>
      <c r="K9" s="75">
        <v>300</v>
      </c>
      <c r="L9" s="73"/>
      <c r="M9" s="73"/>
      <c r="N9" s="73"/>
      <c r="O9" s="73">
        <v>0</v>
      </c>
      <c r="P9" s="73">
        <v>62102</v>
      </c>
      <c r="Q9" s="73">
        <f t="shared" ref="Q9:Q10" si="0">SUM(K9:P9)</f>
        <v>62402</v>
      </c>
    </row>
    <row r="10" spans="1:17">
      <c r="B10" t="s">
        <v>391</v>
      </c>
      <c r="K10" s="73">
        <v>0</v>
      </c>
      <c r="L10" s="73">
        <v>1552823</v>
      </c>
      <c r="M10" s="73"/>
      <c r="N10" s="73"/>
      <c r="O10" s="73">
        <v>1076217</v>
      </c>
      <c r="P10" s="73">
        <v>78619</v>
      </c>
      <c r="Q10" s="73">
        <f t="shared" si="0"/>
        <v>2707659</v>
      </c>
    </row>
    <row r="11" spans="1:17">
      <c r="K11" s="93"/>
      <c r="L11" s="93"/>
      <c r="M11" s="93"/>
      <c r="N11" s="93"/>
      <c r="O11" s="93"/>
      <c r="P11" s="93"/>
      <c r="Q11" s="93"/>
    </row>
    <row r="12" spans="1:17">
      <c r="A12" s="2"/>
      <c r="B12" s="2"/>
      <c r="C12" s="2"/>
      <c r="D12" s="2"/>
      <c r="E12" s="2" t="s">
        <v>18</v>
      </c>
      <c r="F12" s="3"/>
      <c r="G12" s="3"/>
      <c r="H12" s="3"/>
      <c r="I12" s="3"/>
      <c r="J12" s="3"/>
      <c r="K12" s="76">
        <f>SUM(K6:K10)</f>
        <v>7656323</v>
      </c>
      <c r="L12" s="76">
        <f>SUM(L6:L10)</f>
        <v>7968917</v>
      </c>
      <c r="M12" s="76">
        <f>SUM(M6:M10)</f>
        <v>118568</v>
      </c>
      <c r="N12" s="76">
        <f>SUM(N6:N10)</f>
        <v>21998</v>
      </c>
      <c r="O12" s="76">
        <f t="shared" ref="O12:P12" si="1">SUM(O6:O10)</f>
        <v>1076217</v>
      </c>
      <c r="P12" s="76">
        <f t="shared" si="1"/>
        <v>9373335</v>
      </c>
      <c r="Q12" s="76">
        <f>SUM(Q6:Q10)</f>
        <v>26215358</v>
      </c>
    </row>
    <row r="13" spans="1:17">
      <c r="K13" s="73"/>
      <c r="L13" s="73"/>
      <c r="M13" s="73"/>
      <c r="N13" s="73"/>
      <c r="O13" s="73"/>
      <c r="P13" s="73"/>
      <c r="Q13" s="73"/>
    </row>
    <row r="14" spans="1:17">
      <c r="A14" s="4" t="s">
        <v>19</v>
      </c>
      <c r="K14" s="73"/>
      <c r="L14" s="73"/>
      <c r="M14" s="73"/>
      <c r="N14" s="73"/>
      <c r="O14" s="73"/>
      <c r="P14" s="73"/>
      <c r="Q14" s="73"/>
    </row>
    <row r="15" spans="1:17">
      <c r="B15" t="s">
        <v>20</v>
      </c>
      <c r="K15" s="73"/>
      <c r="L15" s="73"/>
      <c r="M15" s="73"/>
      <c r="N15" s="73"/>
      <c r="O15" s="73"/>
      <c r="P15" s="73"/>
      <c r="Q15" s="73"/>
    </row>
    <row r="16" spans="1:17">
      <c r="C16" t="s">
        <v>102</v>
      </c>
      <c r="K16" s="77">
        <v>69611</v>
      </c>
      <c r="L16" s="73">
        <v>177370</v>
      </c>
      <c r="M16" s="73">
        <v>137571</v>
      </c>
      <c r="N16" s="73">
        <v>260</v>
      </c>
      <c r="O16" s="73">
        <v>825</v>
      </c>
      <c r="P16" s="73">
        <v>234145</v>
      </c>
      <c r="Q16" s="73">
        <f>SUM(K16:P16)</f>
        <v>619782</v>
      </c>
    </row>
    <row r="17" spans="1:17">
      <c r="C17" t="s">
        <v>366</v>
      </c>
      <c r="K17" s="73">
        <v>0</v>
      </c>
      <c r="L17" s="73"/>
      <c r="M17" s="73"/>
      <c r="N17" s="73"/>
      <c r="O17" s="73"/>
      <c r="P17" s="73">
        <v>161303</v>
      </c>
      <c r="Q17" s="73">
        <f t="shared" ref="Q17" si="2">SUM(K17:P17)</f>
        <v>161303</v>
      </c>
    </row>
    <row r="18" spans="1:17">
      <c r="C18" t="s">
        <v>392</v>
      </c>
      <c r="K18" s="82">
        <v>550500</v>
      </c>
      <c r="L18" s="73"/>
      <c r="M18" s="73"/>
      <c r="N18" s="73"/>
      <c r="O18" s="73">
        <v>0</v>
      </c>
      <c r="P18" s="73">
        <v>0</v>
      </c>
      <c r="Q18" s="73">
        <f>SUM(K18:P18)</f>
        <v>550500</v>
      </c>
    </row>
    <row r="19" spans="1:17">
      <c r="C19" t="s">
        <v>87</v>
      </c>
      <c r="K19" s="82">
        <v>140</v>
      </c>
      <c r="L19" s="73"/>
      <c r="M19" s="73"/>
      <c r="N19" s="73"/>
      <c r="O19" s="73"/>
      <c r="P19" s="73"/>
      <c r="Q19" s="73">
        <f t="shared" ref="Q19:Q20" si="3">SUM(K19:P19)</f>
        <v>140</v>
      </c>
    </row>
    <row r="20" spans="1:17">
      <c r="C20" t="s">
        <v>25</v>
      </c>
      <c r="P20">
        <v>62402</v>
      </c>
      <c r="Q20" s="73">
        <f t="shared" si="3"/>
        <v>62402</v>
      </c>
    </row>
    <row r="21" spans="1:17">
      <c r="A21" s="5"/>
      <c r="B21" s="6"/>
      <c r="C21" s="6"/>
      <c r="D21" s="6"/>
      <c r="E21" s="6" t="s">
        <v>26</v>
      </c>
      <c r="F21" s="5"/>
      <c r="G21" s="5"/>
      <c r="H21" s="5"/>
      <c r="I21" s="5"/>
      <c r="J21" s="5"/>
      <c r="K21" s="79">
        <f t="shared" ref="K21:Q21" si="4">SUM(K16:K20)</f>
        <v>620251</v>
      </c>
      <c r="L21" s="79">
        <f t="shared" si="4"/>
        <v>177370</v>
      </c>
      <c r="M21" s="79">
        <f t="shared" si="4"/>
        <v>137571</v>
      </c>
      <c r="N21" s="79">
        <f t="shared" si="4"/>
        <v>260</v>
      </c>
      <c r="O21" s="79">
        <f t="shared" si="4"/>
        <v>825</v>
      </c>
      <c r="P21" s="79">
        <f>SUM(P16:P20)</f>
        <v>457850</v>
      </c>
      <c r="Q21" s="79">
        <f t="shared" si="4"/>
        <v>1394127</v>
      </c>
    </row>
    <row r="22" spans="1:17">
      <c r="K22" s="73"/>
      <c r="L22" s="73"/>
      <c r="M22" s="73"/>
      <c r="N22" s="73"/>
      <c r="O22" s="73"/>
      <c r="P22" s="73"/>
      <c r="Q22" s="73"/>
    </row>
    <row r="23" spans="1:17">
      <c r="A23" s="71" t="s">
        <v>27</v>
      </c>
      <c r="K23" s="73"/>
      <c r="L23" s="73"/>
      <c r="M23" s="73"/>
      <c r="N23" s="73"/>
      <c r="O23" s="73"/>
      <c r="P23" s="73"/>
      <c r="Q23" s="73"/>
    </row>
    <row r="24" spans="1:17">
      <c r="C24" t="s">
        <v>130</v>
      </c>
      <c r="K24" s="85">
        <v>102290</v>
      </c>
      <c r="L24" s="85"/>
      <c r="M24" s="85"/>
      <c r="N24" s="85"/>
      <c r="O24" s="85"/>
      <c r="P24" s="85">
        <v>407305</v>
      </c>
      <c r="Q24" s="85">
        <f>SUM(K24:P24)</f>
        <v>509595</v>
      </c>
    </row>
    <row r="25" spans="1:17">
      <c r="K25" s="73"/>
      <c r="L25" s="73"/>
      <c r="M25" s="73"/>
      <c r="N25" s="73"/>
      <c r="O25" s="73"/>
      <c r="P25" s="73"/>
      <c r="Q25" s="73"/>
    </row>
    <row r="26" spans="1:17">
      <c r="A26" s="5"/>
      <c r="B26" s="6"/>
      <c r="C26" s="6"/>
      <c r="D26" s="6"/>
      <c r="E26" s="6" t="s">
        <v>29</v>
      </c>
      <c r="F26" s="5"/>
      <c r="G26" s="5"/>
      <c r="H26" s="5"/>
      <c r="I26" s="5"/>
      <c r="J26" s="5"/>
      <c r="K26" s="79">
        <f>SUM(K24:K24)</f>
        <v>102290</v>
      </c>
      <c r="L26" s="79">
        <f>SUM(L24:L24)</f>
        <v>0</v>
      </c>
      <c r="M26" s="79">
        <f>SUM(M24:M24)</f>
        <v>0</v>
      </c>
      <c r="N26" s="79">
        <f>SUM(N24:N24)</f>
        <v>0</v>
      </c>
      <c r="O26" s="79">
        <f t="shared" ref="O26:P26" si="5">SUM(O24:O24)</f>
        <v>0</v>
      </c>
      <c r="P26" s="79">
        <f t="shared" si="5"/>
        <v>407305</v>
      </c>
      <c r="Q26" s="79">
        <f>SUM(Q24:Q24)</f>
        <v>509595</v>
      </c>
    </row>
    <row r="27" spans="1:17">
      <c r="K27" s="73"/>
      <c r="L27" s="73"/>
      <c r="M27" s="73"/>
      <c r="N27" s="73"/>
      <c r="O27" s="73"/>
      <c r="P27" s="73"/>
      <c r="Q27" s="73"/>
    </row>
    <row r="28" spans="1:17">
      <c r="B28" t="s">
        <v>30</v>
      </c>
      <c r="K28" s="73"/>
      <c r="L28" s="73"/>
      <c r="M28" s="73"/>
      <c r="N28" s="73"/>
      <c r="O28" s="73"/>
      <c r="P28" s="73"/>
      <c r="Q28" s="73"/>
    </row>
    <row r="29" spans="1:17">
      <c r="C29" t="s">
        <v>67</v>
      </c>
      <c r="K29" s="73"/>
      <c r="L29" s="73"/>
      <c r="M29" s="73"/>
      <c r="N29" s="73"/>
      <c r="O29" s="73"/>
      <c r="P29" s="73"/>
      <c r="Q29" s="73">
        <f t="shared" ref="Q29:Q37" si="6">SUM(K29:P29)</f>
        <v>0</v>
      </c>
    </row>
    <row r="30" spans="1:17">
      <c r="D30" t="s">
        <v>70</v>
      </c>
      <c r="K30" s="73">
        <v>0</v>
      </c>
      <c r="L30" s="73"/>
      <c r="M30" s="73"/>
      <c r="N30" s="73"/>
      <c r="O30" s="73"/>
      <c r="P30" s="73">
        <v>4888543</v>
      </c>
      <c r="Q30" s="73">
        <f t="shared" si="6"/>
        <v>4888543</v>
      </c>
    </row>
    <row r="31" spans="1:17">
      <c r="D31" t="s">
        <v>393</v>
      </c>
      <c r="K31" s="73">
        <v>0</v>
      </c>
      <c r="L31" s="73">
        <v>6238724</v>
      </c>
      <c r="M31" s="73"/>
      <c r="N31" s="73"/>
      <c r="O31" s="73"/>
      <c r="P31" s="73">
        <v>1919696</v>
      </c>
      <c r="Q31" s="73">
        <f t="shared" si="6"/>
        <v>8158420</v>
      </c>
    </row>
    <row r="32" spans="1:17">
      <c r="D32" t="s">
        <v>106</v>
      </c>
      <c r="K32" s="73">
        <v>0</v>
      </c>
      <c r="L32" s="73"/>
      <c r="M32" s="73"/>
      <c r="N32" s="73">
        <v>21738</v>
      </c>
      <c r="O32" s="73"/>
      <c r="P32" s="73">
        <v>355182</v>
      </c>
      <c r="Q32" s="73">
        <f t="shared" si="6"/>
        <v>376920</v>
      </c>
    </row>
    <row r="33" spans="1:17">
      <c r="D33" t="s">
        <v>73</v>
      </c>
      <c r="K33" s="73">
        <v>0</v>
      </c>
      <c r="L33" s="73">
        <v>1552823</v>
      </c>
      <c r="M33" s="73"/>
      <c r="N33" s="73"/>
      <c r="O33" s="73">
        <v>1075392</v>
      </c>
      <c r="P33" s="73">
        <v>29437</v>
      </c>
      <c r="Q33" s="73">
        <f t="shared" si="6"/>
        <v>2657652</v>
      </c>
    </row>
    <row r="34" spans="1:17">
      <c r="D34" t="s">
        <v>69</v>
      </c>
      <c r="K34" s="73">
        <v>0</v>
      </c>
      <c r="L34" s="73"/>
      <c r="M34" s="73"/>
      <c r="N34" s="73"/>
      <c r="O34" s="73"/>
      <c r="P34" s="73">
        <v>1340505</v>
      </c>
      <c r="Q34" s="73">
        <f t="shared" si="6"/>
        <v>1340505</v>
      </c>
    </row>
    <row r="35" spans="1:17">
      <c r="C35" t="s">
        <v>41</v>
      </c>
      <c r="K35" s="73"/>
      <c r="L35" s="73"/>
      <c r="M35" s="73"/>
      <c r="N35" s="73"/>
      <c r="O35" s="73"/>
      <c r="P35" s="73"/>
      <c r="Q35" s="73">
        <f t="shared" si="6"/>
        <v>0</v>
      </c>
    </row>
    <row r="36" spans="1:17">
      <c r="D36" t="s">
        <v>394</v>
      </c>
      <c r="K36" s="91">
        <v>538003</v>
      </c>
      <c r="L36" s="73"/>
      <c r="M36" s="73"/>
      <c r="N36" s="73"/>
      <c r="O36" s="73"/>
      <c r="P36" s="73"/>
      <c r="Q36" s="73">
        <f t="shared" si="6"/>
        <v>538003</v>
      </c>
    </row>
    <row r="37" spans="1:17">
      <c r="C37" t="s">
        <v>46</v>
      </c>
      <c r="K37" s="84">
        <v>6395779</v>
      </c>
      <c r="L37" s="73"/>
      <c r="M37" s="73">
        <v>-19003</v>
      </c>
      <c r="N37" s="73"/>
      <c r="O37" s="73"/>
      <c r="P37" s="73">
        <v>-25183</v>
      </c>
      <c r="Q37" s="73">
        <f t="shared" si="6"/>
        <v>6351593</v>
      </c>
    </row>
    <row r="38" spans="1:17">
      <c r="K38" s="93"/>
      <c r="L38" s="93"/>
      <c r="M38" s="93"/>
      <c r="N38" s="93"/>
      <c r="O38" s="93"/>
      <c r="P38" s="93"/>
      <c r="Q38" s="93"/>
    </row>
    <row r="39" spans="1:17">
      <c r="A39" s="5"/>
      <c r="B39" s="5"/>
      <c r="C39" s="5"/>
      <c r="D39" s="6"/>
      <c r="E39" s="6" t="s">
        <v>47</v>
      </c>
      <c r="F39" s="5"/>
      <c r="G39" s="5"/>
      <c r="H39" s="5"/>
      <c r="I39" s="5"/>
      <c r="J39" s="5"/>
      <c r="K39" s="79">
        <f t="shared" ref="K39:Q39" si="7">SUM(K29:K37)</f>
        <v>6933782</v>
      </c>
      <c r="L39" s="79">
        <f t="shared" si="7"/>
        <v>7791547</v>
      </c>
      <c r="M39" s="79">
        <f t="shared" si="7"/>
        <v>-19003</v>
      </c>
      <c r="N39" s="79">
        <f t="shared" si="7"/>
        <v>21738</v>
      </c>
      <c r="O39" s="79">
        <f t="shared" si="7"/>
        <v>1075392</v>
      </c>
      <c r="P39" s="79">
        <f t="shared" si="7"/>
        <v>8508180</v>
      </c>
      <c r="Q39" s="79">
        <f t="shared" si="7"/>
        <v>24311636</v>
      </c>
    </row>
    <row r="40" spans="1:17">
      <c r="K40" s="73"/>
      <c r="L40" s="73"/>
      <c r="M40" s="73"/>
      <c r="N40" s="73"/>
      <c r="O40" s="73"/>
      <c r="P40" s="73"/>
      <c r="Q40" s="73"/>
    </row>
    <row r="41" spans="1:17">
      <c r="A41" s="7"/>
      <c r="B41" s="7"/>
      <c r="C41" s="7"/>
      <c r="D41" s="8"/>
      <c r="E41" s="8" t="s">
        <v>48</v>
      </c>
      <c r="F41" s="7"/>
      <c r="G41" s="7"/>
      <c r="H41" s="7"/>
      <c r="I41" s="7"/>
      <c r="J41" s="7"/>
      <c r="K41" s="81">
        <f t="shared" ref="K41:Q41" si="8">SUM(K39,K21,K26)</f>
        <v>7656323</v>
      </c>
      <c r="L41" s="81">
        <f t="shared" si="8"/>
        <v>7968917</v>
      </c>
      <c r="M41" s="81">
        <f t="shared" si="8"/>
        <v>118568</v>
      </c>
      <c r="N41" s="81">
        <f t="shared" si="8"/>
        <v>21998</v>
      </c>
      <c r="O41" s="81">
        <f t="shared" si="8"/>
        <v>1076217</v>
      </c>
      <c r="P41" s="81">
        <f t="shared" si="8"/>
        <v>9373335</v>
      </c>
      <c r="Q41" s="81">
        <f t="shared" si="8"/>
        <v>26215358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41"/>
  <sheetViews>
    <sheetView zoomScale="80" zoomScaleNormal="80" zoomScalePageLayoutView="80" workbookViewId="0">
      <selection activeCell="K17" sqref="K17"/>
    </sheetView>
  </sheetViews>
  <sheetFormatPr defaultColWidth="8.85546875" defaultRowHeight="15"/>
  <cols>
    <col min="5" max="5" width="21.42578125" customWidth="1"/>
    <col min="11" max="11" width="17.28515625" customWidth="1"/>
    <col min="12" max="12" width="18.42578125" customWidth="1"/>
    <col min="13" max="13" width="17.28515625" customWidth="1"/>
    <col min="14" max="14" width="17.85546875" customWidth="1"/>
    <col min="15" max="15" width="18.85546875" customWidth="1"/>
    <col min="16" max="16" width="19.85546875" customWidth="1"/>
    <col min="17" max="17" width="19.42578125" customWidth="1"/>
    <col min="18" max="18" width="17.85546875" customWidth="1"/>
  </cols>
  <sheetData>
    <row r="1" spans="1:18" ht="18.75">
      <c r="D1" s="251" t="s">
        <v>387</v>
      </c>
      <c r="E1" s="251"/>
      <c r="F1" s="251"/>
      <c r="G1" s="251"/>
      <c r="H1" s="251"/>
      <c r="I1" s="251"/>
      <c r="J1" s="251"/>
      <c r="K1" s="251"/>
    </row>
    <row r="2" spans="1:18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8">
      <c r="D3" s="57"/>
      <c r="E3" s="57"/>
      <c r="F3" s="57"/>
      <c r="G3" s="57"/>
      <c r="H3" s="57"/>
      <c r="I3" s="57"/>
      <c r="J3" s="57"/>
      <c r="K3" s="57"/>
    </row>
    <row r="4" spans="1:18">
      <c r="Q4" s="57"/>
    </row>
    <row r="5" spans="1:18" ht="45">
      <c r="K5" s="1" t="s">
        <v>2</v>
      </c>
      <c r="L5" s="1" t="s">
        <v>395</v>
      </c>
      <c r="M5" s="1" t="s">
        <v>396</v>
      </c>
      <c r="N5" s="1" t="s">
        <v>95</v>
      </c>
      <c r="O5" s="1" t="s">
        <v>397</v>
      </c>
      <c r="P5" s="1" t="s">
        <v>398</v>
      </c>
      <c r="Q5" s="1" t="s">
        <v>6</v>
      </c>
      <c r="R5" s="1" t="s">
        <v>7</v>
      </c>
    </row>
    <row r="6" spans="1:18">
      <c r="A6" t="s">
        <v>8</v>
      </c>
    </row>
    <row r="7" spans="1:18">
      <c r="B7" t="s">
        <v>85</v>
      </c>
      <c r="K7" s="72">
        <v>8</v>
      </c>
      <c r="L7" s="73"/>
      <c r="M7" s="73"/>
      <c r="N7" s="73"/>
      <c r="O7" s="73">
        <v>693</v>
      </c>
      <c r="P7" s="73">
        <v>42</v>
      </c>
      <c r="Q7" s="73">
        <v>4242</v>
      </c>
      <c r="R7" s="73">
        <f t="shared" ref="R7:R16" si="0">SUM(K7:Q7)</f>
        <v>4985</v>
      </c>
    </row>
    <row r="8" spans="1:18">
      <c r="B8" t="s">
        <v>10</v>
      </c>
      <c r="K8" s="73"/>
      <c r="L8" s="73"/>
      <c r="M8" s="73"/>
      <c r="N8" s="73"/>
      <c r="O8" s="73">
        <v>25284</v>
      </c>
      <c r="P8" s="73">
        <v>18432</v>
      </c>
      <c r="Q8" s="73">
        <v>9878</v>
      </c>
      <c r="R8" s="73">
        <f t="shared" si="0"/>
        <v>53594</v>
      </c>
    </row>
    <row r="9" spans="1:18">
      <c r="B9" t="s">
        <v>399</v>
      </c>
      <c r="K9" s="82">
        <v>14086</v>
      </c>
      <c r="L9" s="73">
        <v>2226</v>
      </c>
      <c r="M9" s="73">
        <v>13398</v>
      </c>
      <c r="N9" s="73">
        <v>30324</v>
      </c>
      <c r="O9" s="73">
        <v>109350</v>
      </c>
      <c r="P9" s="73">
        <v>78289</v>
      </c>
      <c r="Q9" s="73">
        <v>219264</v>
      </c>
      <c r="R9" s="73">
        <f t="shared" si="0"/>
        <v>466937</v>
      </c>
    </row>
    <row r="10" spans="1:18">
      <c r="B10" t="s">
        <v>400</v>
      </c>
      <c r="K10" s="73"/>
      <c r="L10" s="73"/>
      <c r="M10" s="73"/>
      <c r="N10" s="73"/>
      <c r="O10" s="73"/>
      <c r="P10" s="73"/>
      <c r="Q10" s="73"/>
      <c r="R10" s="73">
        <f t="shared" si="0"/>
        <v>0</v>
      </c>
    </row>
    <row r="11" spans="1:18">
      <c r="C11" t="s">
        <v>401</v>
      </c>
      <c r="K11" s="73"/>
      <c r="L11" s="73"/>
      <c r="M11" s="73"/>
      <c r="N11" s="73"/>
      <c r="O11" s="73">
        <v>10</v>
      </c>
      <c r="P11" s="73">
        <v>15</v>
      </c>
      <c r="Q11" s="73">
        <v>3</v>
      </c>
      <c r="R11" s="73">
        <f t="shared" si="0"/>
        <v>28</v>
      </c>
    </row>
    <row r="12" spans="1:18">
      <c r="C12" t="s">
        <v>402</v>
      </c>
      <c r="K12" s="74">
        <v>4151</v>
      </c>
      <c r="L12" s="73"/>
      <c r="M12" s="73">
        <v>38488</v>
      </c>
      <c r="N12" s="73">
        <v>21074</v>
      </c>
      <c r="O12" s="73">
        <v>15929</v>
      </c>
      <c r="P12" s="73"/>
      <c r="Q12" s="73">
        <v>116720</v>
      </c>
      <c r="R12" s="73">
        <f t="shared" si="0"/>
        <v>196362</v>
      </c>
    </row>
    <row r="13" spans="1:18">
      <c r="C13" t="s">
        <v>403</v>
      </c>
      <c r="K13" s="74">
        <v>941</v>
      </c>
      <c r="L13" s="73">
        <v>24</v>
      </c>
      <c r="M13" s="73"/>
      <c r="N13" s="73"/>
      <c r="O13" s="73"/>
      <c r="P13" s="73"/>
      <c r="Q13" s="73">
        <v>4397</v>
      </c>
      <c r="R13" s="73">
        <f t="shared" si="0"/>
        <v>5362</v>
      </c>
    </row>
    <row r="14" spans="1:18">
      <c r="C14" t="s">
        <v>404</v>
      </c>
      <c r="K14" s="74">
        <v>15745</v>
      </c>
      <c r="L14" s="73">
        <v>17028</v>
      </c>
      <c r="M14" s="73">
        <v>40</v>
      </c>
      <c r="N14" s="73">
        <v>31</v>
      </c>
      <c r="O14" s="73">
        <v>4164</v>
      </c>
      <c r="P14" s="73">
        <v>1576</v>
      </c>
      <c r="Q14" s="73">
        <v>24316</v>
      </c>
      <c r="R14" s="73">
        <f t="shared" si="0"/>
        <v>62900</v>
      </c>
    </row>
    <row r="15" spans="1:18">
      <c r="B15" t="s">
        <v>405</v>
      </c>
      <c r="J15" s="103"/>
      <c r="K15" s="95"/>
      <c r="L15" s="73"/>
      <c r="M15" s="73"/>
      <c r="N15" s="73"/>
      <c r="O15" s="73"/>
      <c r="P15" s="73"/>
      <c r="Q15" s="73">
        <v>2049</v>
      </c>
      <c r="R15" s="73">
        <f t="shared" si="0"/>
        <v>2049</v>
      </c>
    </row>
    <row r="16" spans="1:18">
      <c r="B16" t="s">
        <v>406</v>
      </c>
      <c r="J16" s="103"/>
      <c r="K16" s="238">
        <v>1096</v>
      </c>
      <c r="L16" s="73"/>
      <c r="M16" s="73"/>
      <c r="N16" s="73"/>
      <c r="O16" s="73"/>
      <c r="P16" s="73"/>
      <c r="Q16" s="73"/>
      <c r="R16" s="73">
        <f t="shared" si="0"/>
        <v>1096</v>
      </c>
    </row>
    <row r="17" spans="1:18">
      <c r="A17" s="2"/>
      <c r="B17" s="2"/>
      <c r="C17" s="2"/>
      <c r="D17" s="2"/>
      <c r="E17" s="2" t="s">
        <v>62</v>
      </c>
      <c r="F17" s="3"/>
      <c r="G17" s="3"/>
      <c r="H17" s="3"/>
      <c r="I17" s="3"/>
      <c r="J17" s="3"/>
      <c r="K17" s="76">
        <f>SUM(K7:K16)</f>
        <v>36027</v>
      </c>
      <c r="L17" s="76">
        <f>SUM(L7:L16)</f>
        <v>19278</v>
      </c>
      <c r="M17" s="76">
        <f>SUM(M7:M16)</f>
        <v>51926</v>
      </c>
      <c r="N17" s="76">
        <f>SUM(N7:N16)</f>
        <v>51429</v>
      </c>
      <c r="O17" s="76">
        <f t="shared" ref="O17:P17" si="1">SUM(O7:O16)</f>
        <v>155430</v>
      </c>
      <c r="P17" s="76">
        <f t="shared" si="1"/>
        <v>98354</v>
      </c>
      <c r="Q17" s="76">
        <f>SUM(Q7:Q16)</f>
        <v>380869</v>
      </c>
      <c r="R17" s="76">
        <f>SUM(R7:R16)</f>
        <v>793313</v>
      </c>
    </row>
    <row r="18" spans="1:18">
      <c r="K18" s="73"/>
      <c r="L18" s="73"/>
      <c r="M18" s="73"/>
      <c r="N18" s="73"/>
      <c r="O18" s="73"/>
      <c r="P18" s="73"/>
      <c r="Q18" s="73"/>
      <c r="R18" s="73"/>
    </row>
    <row r="19" spans="1:18">
      <c r="A19" s="4" t="s">
        <v>140</v>
      </c>
      <c r="K19" s="73"/>
      <c r="L19" s="73"/>
      <c r="M19" s="73"/>
      <c r="N19" s="73"/>
      <c r="O19" s="73"/>
      <c r="P19" s="73"/>
      <c r="Q19" s="73"/>
      <c r="R19" s="73"/>
    </row>
    <row r="20" spans="1:18">
      <c r="B20" t="s">
        <v>20</v>
      </c>
      <c r="K20" s="73"/>
      <c r="L20" s="73"/>
      <c r="M20" s="73"/>
      <c r="N20" s="73"/>
      <c r="O20" s="73"/>
      <c r="P20" s="73"/>
      <c r="Q20" s="73"/>
      <c r="R20" s="73"/>
    </row>
    <row r="21" spans="1:18">
      <c r="C21" t="s">
        <v>295</v>
      </c>
      <c r="K21" s="77">
        <v>2290</v>
      </c>
      <c r="L21" s="73">
        <v>2344</v>
      </c>
      <c r="M21" s="73">
        <v>70</v>
      </c>
      <c r="N21" s="61">
        <v>336</v>
      </c>
      <c r="O21" s="61">
        <v>4671</v>
      </c>
      <c r="P21" s="61">
        <v>6642</v>
      </c>
      <c r="Q21" s="73">
        <v>10825</v>
      </c>
      <c r="R21" s="73">
        <f>SUM(K21:Q21)</f>
        <v>27178</v>
      </c>
    </row>
    <row r="22" spans="1:18">
      <c r="C22" t="s">
        <v>186</v>
      </c>
      <c r="K22" s="77">
        <v>1</v>
      </c>
      <c r="L22" s="73">
        <v>454</v>
      </c>
      <c r="M22" s="73"/>
      <c r="O22">
        <v>2</v>
      </c>
      <c r="Q22" s="73">
        <v>1940</v>
      </c>
      <c r="R22" s="73">
        <f>SUM(K22:Q22)</f>
        <v>2397</v>
      </c>
    </row>
    <row r="23" spans="1:18">
      <c r="C23" t="s">
        <v>159</v>
      </c>
      <c r="K23" s="73"/>
      <c r="L23" s="73">
        <v>12090</v>
      </c>
      <c r="M23" s="73"/>
      <c r="Q23" s="73">
        <v>309</v>
      </c>
      <c r="R23" s="73">
        <f t="shared" ref="R23:R25" si="2">SUM(K23:Q23)</f>
        <v>12399</v>
      </c>
    </row>
    <row r="24" spans="1:18">
      <c r="C24" t="s">
        <v>407</v>
      </c>
      <c r="K24" s="82">
        <v>56</v>
      </c>
      <c r="L24" s="73"/>
      <c r="M24" s="73"/>
      <c r="Q24" s="73"/>
      <c r="R24" s="73">
        <f t="shared" si="2"/>
        <v>56</v>
      </c>
    </row>
    <row r="25" spans="1:18">
      <c r="C25" t="s">
        <v>408</v>
      </c>
      <c r="K25" s="77">
        <v>6019</v>
      </c>
      <c r="L25" s="73"/>
      <c r="M25" s="73"/>
      <c r="Q25" s="73"/>
      <c r="R25" s="73">
        <f t="shared" si="2"/>
        <v>6019</v>
      </c>
    </row>
    <row r="26" spans="1:18">
      <c r="A26" s="5"/>
      <c r="B26" s="6"/>
      <c r="C26" s="6"/>
      <c r="D26" s="6"/>
      <c r="E26" s="6" t="s">
        <v>26</v>
      </c>
      <c r="F26" s="5"/>
      <c r="G26" s="5"/>
      <c r="H26" s="5"/>
      <c r="I26" s="5"/>
      <c r="J26" s="5"/>
      <c r="K26" s="79">
        <f>SUM(K21:K25)</f>
        <v>8366</v>
      </c>
      <c r="L26" s="79">
        <f>SUM(L21:L25)</f>
        <v>14888</v>
      </c>
      <c r="M26" s="79">
        <f>SUM(M21:M25)</f>
        <v>70</v>
      </c>
      <c r="N26" s="79">
        <f>SUM(N21:N25)</f>
        <v>336</v>
      </c>
      <c r="O26" s="79">
        <f t="shared" ref="O26:P26" si="3">SUM(O21:O25)</f>
        <v>4673</v>
      </c>
      <c r="P26" s="79">
        <f t="shared" si="3"/>
        <v>6642</v>
      </c>
      <c r="Q26" s="79">
        <f>SUM(Q21:Q25)</f>
        <v>13074</v>
      </c>
      <c r="R26" s="79">
        <f>SUM(R21:R25)</f>
        <v>48049</v>
      </c>
    </row>
    <row r="27" spans="1:18">
      <c r="K27" s="73"/>
      <c r="L27" s="73"/>
      <c r="M27" s="73"/>
      <c r="N27" s="73"/>
      <c r="O27" s="73"/>
      <c r="P27" s="73"/>
      <c r="Q27" s="73"/>
      <c r="R27" s="73"/>
    </row>
    <row r="28" spans="1:18">
      <c r="A28" s="71" t="s">
        <v>63</v>
      </c>
      <c r="K28" s="73" t="s">
        <v>409</v>
      </c>
      <c r="L28" s="73"/>
      <c r="M28" s="73"/>
      <c r="N28" s="73"/>
      <c r="O28" s="73"/>
      <c r="P28" s="73"/>
      <c r="Q28" s="73"/>
      <c r="R28" s="73"/>
    </row>
    <row r="29" spans="1:18">
      <c r="B29" t="s">
        <v>299</v>
      </c>
      <c r="K29" s="73">
        <v>4157</v>
      </c>
      <c r="L29" s="73"/>
      <c r="M29" s="73">
        <v>38549</v>
      </c>
      <c r="N29" s="73">
        <v>21103</v>
      </c>
      <c r="O29" s="73">
        <v>15951</v>
      </c>
      <c r="P29" s="73"/>
      <c r="Q29" s="73">
        <v>118924</v>
      </c>
      <c r="R29" s="73">
        <f>SUM(K29:Q29)</f>
        <v>198684</v>
      </c>
    </row>
    <row r="30" spans="1:18">
      <c r="A30" s="5"/>
      <c r="B30" s="6"/>
      <c r="C30" s="6"/>
      <c r="D30" s="6"/>
      <c r="E30" s="6" t="s">
        <v>29</v>
      </c>
      <c r="F30" s="5"/>
      <c r="G30" s="5"/>
      <c r="H30" s="5"/>
      <c r="I30" s="5"/>
      <c r="J30" s="5"/>
      <c r="K30" s="79">
        <f>SUM(K29:K29)</f>
        <v>4157</v>
      </c>
      <c r="L30" s="79">
        <f>SUM(L29:L29)</f>
        <v>0</v>
      </c>
      <c r="M30" s="79">
        <f>SUM(M29:M29)</f>
        <v>38549</v>
      </c>
      <c r="N30" s="79">
        <f>SUM(N29:N29)</f>
        <v>21103</v>
      </c>
      <c r="O30" s="79">
        <f t="shared" ref="O30:P30" si="4">SUM(O29:O29)</f>
        <v>15951</v>
      </c>
      <c r="P30" s="79">
        <f t="shared" si="4"/>
        <v>0</v>
      </c>
      <c r="Q30" s="79">
        <f>SUM(Q29:Q29)</f>
        <v>118924</v>
      </c>
      <c r="R30" s="79">
        <f>SUM(R29:R29)</f>
        <v>198684</v>
      </c>
    </row>
    <row r="31" spans="1:18">
      <c r="K31" s="73"/>
      <c r="L31" s="73"/>
      <c r="M31" s="73"/>
      <c r="N31" s="73"/>
      <c r="O31" s="73"/>
      <c r="P31" s="73"/>
      <c r="Q31" s="73"/>
      <c r="R31" s="73"/>
    </row>
    <row r="32" spans="1:18">
      <c r="B32" t="s">
        <v>30</v>
      </c>
      <c r="K32" s="73"/>
      <c r="L32" s="73"/>
      <c r="M32" s="73"/>
      <c r="N32" s="73"/>
      <c r="O32" s="73"/>
      <c r="P32" s="73"/>
      <c r="Q32" s="73"/>
      <c r="R32" s="73"/>
    </row>
    <row r="33" spans="1:18">
      <c r="C33" t="s">
        <v>104</v>
      </c>
      <c r="K33" s="73"/>
      <c r="L33" s="73"/>
      <c r="M33" s="73"/>
      <c r="N33" s="73"/>
      <c r="O33" s="73"/>
      <c r="P33" s="73"/>
      <c r="Q33" s="73">
        <v>2049</v>
      </c>
      <c r="R33" s="73">
        <f t="shared" ref="R33:R37" si="5">SUM(K33:Q33)</f>
        <v>2049</v>
      </c>
    </row>
    <row r="34" spans="1:18">
      <c r="C34" t="s">
        <v>88</v>
      </c>
      <c r="K34" s="80">
        <v>1862</v>
      </c>
      <c r="L34" s="73">
        <v>4390</v>
      </c>
      <c r="M34" s="73">
        <v>13307</v>
      </c>
      <c r="N34" s="73">
        <v>29990</v>
      </c>
      <c r="O34" s="73">
        <v>134806</v>
      </c>
      <c r="P34" s="73">
        <v>91712</v>
      </c>
      <c r="Q34" s="73">
        <v>153391</v>
      </c>
      <c r="R34" s="73">
        <f t="shared" si="5"/>
        <v>429458</v>
      </c>
    </row>
    <row r="35" spans="1:18">
      <c r="C35" t="s">
        <v>259</v>
      </c>
      <c r="K35" s="80">
        <v>5016</v>
      </c>
      <c r="L35" s="73"/>
      <c r="M35" s="73"/>
      <c r="N35" s="73"/>
      <c r="O35" s="73"/>
      <c r="P35" s="73"/>
      <c r="Q35" s="73">
        <v>93431</v>
      </c>
      <c r="R35" s="73">
        <f t="shared" si="5"/>
        <v>98447</v>
      </c>
    </row>
    <row r="36" spans="1:18">
      <c r="C36" t="s">
        <v>89</v>
      </c>
      <c r="K36" s="73"/>
      <c r="L36" s="73"/>
      <c r="M36" s="73"/>
      <c r="N36" s="73"/>
      <c r="O36" s="73"/>
      <c r="P36" s="73"/>
      <c r="Q36" s="73"/>
      <c r="R36" s="73">
        <f t="shared" si="5"/>
        <v>0</v>
      </c>
    </row>
    <row r="37" spans="1:18">
      <c r="C37" t="s">
        <v>76</v>
      </c>
      <c r="K37" s="84">
        <v>16626</v>
      </c>
      <c r="L37" s="73"/>
      <c r="M37" s="73"/>
      <c r="N37" s="73"/>
      <c r="O37" s="73"/>
      <c r="P37" s="73"/>
      <c r="Q37" s="73"/>
      <c r="R37" s="73">
        <f t="shared" si="5"/>
        <v>16626</v>
      </c>
    </row>
    <row r="38" spans="1:18">
      <c r="K38" s="93"/>
      <c r="L38" s="93"/>
      <c r="M38" s="93"/>
      <c r="N38" s="93"/>
      <c r="O38" s="93"/>
      <c r="P38" s="93"/>
      <c r="Q38" s="93"/>
      <c r="R38" s="93"/>
    </row>
    <row r="39" spans="1:18">
      <c r="A39" s="5"/>
      <c r="B39" s="5"/>
      <c r="C39" s="5"/>
      <c r="D39" s="6"/>
      <c r="E39" s="6" t="s">
        <v>77</v>
      </c>
      <c r="F39" s="5"/>
      <c r="G39" s="5"/>
      <c r="H39" s="5"/>
      <c r="I39" s="5"/>
      <c r="J39" s="5"/>
      <c r="K39" s="79">
        <f t="shared" ref="K39:R39" si="6">SUM(K33:K37)</f>
        <v>23504</v>
      </c>
      <c r="L39" s="79">
        <f t="shared" si="6"/>
        <v>4390</v>
      </c>
      <c r="M39" s="79">
        <f t="shared" si="6"/>
        <v>13307</v>
      </c>
      <c r="N39" s="79">
        <f t="shared" si="6"/>
        <v>29990</v>
      </c>
      <c r="O39" s="79">
        <f t="shared" si="6"/>
        <v>134806</v>
      </c>
      <c r="P39" s="79">
        <f t="shared" si="6"/>
        <v>91712</v>
      </c>
      <c r="Q39" s="79">
        <f t="shared" si="6"/>
        <v>248871</v>
      </c>
      <c r="R39" s="79">
        <f t="shared" si="6"/>
        <v>546580</v>
      </c>
    </row>
    <row r="40" spans="1:18">
      <c r="K40" s="73"/>
      <c r="L40" s="73"/>
      <c r="M40" s="73"/>
      <c r="N40" s="73"/>
      <c r="O40" s="73"/>
      <c r="P40" s="73"/>
      <c r="Q40" s="73"/>
      <c r="R40" s="73"/>
    </row>
    <row r="41" spans="1:18">
      <c r="A41" s="7"/>
      <c r="B41" s="7"/>
      <c r="C41" s="7"/>
      <c r="D41" s="8"/>
      <c r="E41" s="8" t="s">
        <v>78</v>
      </c>
      <c r="F41" s="7"/>
      <c r="G41" s="7"/>
      <c r="H41" s="7"/>
      <c r="I41" s="7"/>
      <c r="J41" s="7"/>
      <c r="K41" s="81">
        <f>SUM(K26+K30+K39)</f>
        <v>36027</v>
      </c>
      <c r="L41" s="81">
        <f>SUM(L26+L30+L39)</f>
        <v>19278</v>
      </c>
      <c r="M41" s="81">
        <f>SUM(M26+M30+M39)</f>
        <v>51926</v>
      </c>
      <c r="N41" s="81">
        <f>SUM(N26+N30+N39)</f>
        <v>51429</v>
      </c>
      <c r="O41" s="81">
        <f t="shared" ref="O41:P41" si="7">SUM(O26+O30+O39)</f>
        <v>155430</v>
      </c>
      <c r="P41" s="81">
        <f t="shared" si="7"/>
        <v>98354</v>
      </c>
      <c r="Q41" s="81">
        <f>SUM(Q26+Q30+Q39)</f>
        <v>380869</v>
      </c>
      <c r="R41" s="81">
        <f>SUM(R26+R30+R39)</f>
        <v>793313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53"/>
  <sheetViews>
    <sheetView topLeftCell="A19" workbookViewId="0">
      <selection activeCell="K25" sqref="K25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6.42578125" customWidth="1"/>
    <col min="13" max="13" width="19.42578125" customWidth="1"/>
    <col min="14" max="14" width="19.85546875" bestFit="1" customWidth="1"/>
  </cols>
  <sheetData>
    <row r="1" spans="1:14" ht="18.75">
      <c r="D1" s="251" t="s">
        <v>410</v>
      </c>
      <c r="E1" s="251"/>
      <c r="F1" s="251"/>
      <c r="G1" s="251"/>
      <c r="H1" s="251"/>
      <c r="I1" s="251"/>
      <c r="J1" s="251"/>
      <c r="K1" s="251"/>
    </row>
    <row r="2" spans="1:14">
      <c r="D2" s="252" t="s">
        <v>411</v>
      </c>
      <c r="E2" s="252"/>
      <c r="F2" s="252"/>
      <c r="G2" s="252"/>
      <c r="H2" s="252"/>
      <c r="I2" s="252"/>
      <c r="J2" s="252"/>
      <c r="K2" s="252"/>
    </row>
    <row r="4" spans="1:14" ht="45">
      <c r="K4" s="1" t="s">
        <v>91</v>
      </c>
      <c r="L4" s="1" t="s">
        <v>412</v>
      </c>
      <c r="M4" s="1" t="s">
        <v>6</v>
      </c>
      <c r="N4" s="1" t="s">
        <v>7</v>
      </c>
    </row>
    <row r="5" spans="1:14">
      <c r="A5" t="s">
        <v>8</v>
      </c>
    </row>
    <row r="6" spans="1:14">
      <c r="B6" t="s">
        <v>9</v>
      </c>
      <c r="K6" s="72">
        <v>1063216</v>
      </c>
      <c r="L6" s="73">
        <v>306677</v>
      </c>
      <c r="M6" s="73">
        <v>2147870</v>
      </c>
      <c r="N6" s="73">
        <f t="shared" ref="N6:N17" si="0">SUM(K6:M6)</f>
        <v>3517763</v>
      </c>
    </row>
    <row r="7" spans="1:14">
      <c r="B7" t="s">
        <v>10</v>
      </c>
      <c r="K7" s="77">
        <v>30300501</v>
      </c>
      <c r="L7" s="73">
        <v>33047132</v>
      </c>
      <c r="M7" s="73">
        <v>209732485</v>
      </c>
      <c r="N7" s="73">
        <f t="shared" si="0"/>
        <v>273080118</v>
      </c>
    </row>
    <row r="8" spans="1:14">
      <c r="B8" t="s">
        <v>413</v>
      </c>
      <c r="K8" s="74">
        <v>1365636</v>
      </c>
      <c r="L8" s="73">
        <v>92505</v>
      </c>
      <c r="M8" s="73">
        <v>866392</v>
      </c>
      <c r="N8" s="73">
        <f t="shared" si="0"/>
        <v>2324533</v>
      </c>
    </row>
    <row r="9" spans="1:14">
      <c r="B9" t="s">
        <v>185</v>
      </c>
      <c r="K9" s="73"/>
      <c r="L9" s="73"/>
      <c r="M9" s="73">
        <v>2289941</v>
      </c>
      <c r="N9" s="73">
        <f t="shared" si="0"/>
        <v>2289941</v>
      </c>
    </row>
    <row r="10" spans="1:14">
      <c r="B10" t="s">
        <v>414</v>
      </c>
      <c r="K10" s="73"/>
      <c r="L10" s="73"/>
      <c r="M10" s="73">
        <v>-32712</v>
      </c>
      <c r="N10" s="73">
        <f t="shared" si="0"/>
        <v>-32712</v>
      </c>
    </row>
    <row r="11" spans="1:14">
      <c r="B11" t="s">
        <v>415</v>
      </c>
      <c r="K11" s="73"/>
      <c r="L11" s="73"/>
      <c r="M11" s="73">
        <v>193219</v>
      </c>
      <c r="N11" s="73">
        <f t="shared" si="0"/>
        <v>193219</v>
      </c>
    </row>
    <row r="12" spans="1:14">
      <c r="B12" t="s">
        <v>416</v>
      </c>
      <c r="K12" s="74">
        <v>24557</v>
      </c>
      <c r="L12" s="73">
        <v>26783</v>
      </c>
      <c r="M12" s="73">
        <v>265712</v>
      </c>
      <c r="N12" s="73">
        <f t="shared" si="0"/>
        <v>317052</v>
      </c>
    </row>
    <row r="13" spans="1:14">
      <c r="B13" t="s">
        <v>16</v>
      </c>
      <c r="K13" s="75">
        <v>5264456</v>
      </c>
      <c r="L13" s="73">
        <v>5699143</v>
      </c>
      <c r="M13" s="73">
        <v>666509</v>
      </c>
      <c r="N13" s="73">
        <f t="shared" si="0"/>
        <v>11630108</v>
      </c>
    </row>
    <row r="14" spans="1:14">
      <c r="B14" t="s">
        <v>17</v>
      </c>
      <c r="K14" s="75">
        <v>26444</v>
      </c>
      <c r="L14" s="73"/>
      <c r="M14" s="73"/>
      <c r="N14" s="73">
        <f t="shared" si="0"/>
        <v>26444</v>
      </c>
    </row>
    <row r="15" spans="1:14">
      <c r="B15" t="s">
        <v>364</v>
      </c>
      <c r="K15" s="75">
        <v>957915</v>
      </c>
      <c r="L15" s="73"/>
      <c r="M15" s="73">
        <v>12153998</v>
      </c>
      <c r="N15" s="73">
        <f t="shared" si="0"/>
        <v>13111913</v>
      </c>
    </row>
    <row r="16" spans="1:14">
      <c r="B16" t="s">
        <v>417</v>
      </c>
      <c r="K16" s="73"/>
      <c r="L16" s="73">
        <v>259187</v>
      </c>
      <c r="M16" s="73">
        <v>23210</v>
      </c>
      <c r="N16" s="73">
        <f t="shared" si="0"/>
        <v>282397</v>
      </c>
    </row>
    <row r="17" spans="1:14">
      <c r="B17" t="s">
        <v>100</v>
      </c>
      <c r="K17" s="83">
        <v>2613</v>
      </c>
      <c r="L17" s="73"/>
      <c r="M17" s="73">
        <v>93795</v>
      </c>
      <c r="N17" s="73">
        <f t="shared" si="0"/>
        <v>96408</v>
      </c>
    </row>
    <row r="18" spans="1:14">
      <c r="K18" s="73"/>
      <c r="L18" s="73"/>
      <c r="M18" s="73"/>
      <c r="N18" s="73"/>
    </row>
    <row r="19" spans="1:14" s="3" customFormat="1">
      <c r="A19" s="2"/>
      <c r="B19" s="2"/>
      <c r="C19" s="2"/>
      <c r="D19" s="2"/>
      <c r="E19" s="2" t="s">
        <v>18</v>
      </c>
      <c r="K19" s="76">
        <f>SUM(K6:K17)</f>
        <v>39005338</v>
      </c>
      <c r="L19" s="76">
        <f>SUM(L6:L17)</f>
        <v>39431427</v>
      </c>
      <c r="M19" s="76">
        <f>SUM(M6:M18)</f>
        <v>228400419</v>
      </c>
      <c r="N19" s="76">
        <f>SUM(N6:N17)</f>
        <v>306837184</v>
      </c>
    </row>
    <row r="20" spans="1:14">
      <c r="K20" s="73"/>
      <c r="L20" s="73"/>
      <c r="M20" s="73"/>
      <c r="N20" s="73"/>
    </row>
    <row r="21" spans="1:14">
      <c r="A21" s="4" t="s">
        <v>19</v>
      </c>
      <c r="K21" s="73"/>
      <c r="L21" s="73"/>
      <c r="M21" s="73"/>
      <c r="N21" s="73"/>
    </row>
    <row r="22" spans="1:14">
      <c r="B22" t="s">
        <v>20</v>
      </c>
      <c r="K22" s="73"/>
      <c r="L22" s="73"/>
      <c r="M22" s="73"/>
      <c r="N22" s="73"/>
    </row>
    <row r="23" spans="1:14">
      <c r="C23" t="s">
        <v>333</v>
      </c>
      <c r="K23" s="73"/>
      <c r="L23" s="73"/>
      <c r="M23" s="73">
        <v>3007972</v>
      </c>
      <c r="N23" s="73">
        <f t="shared" ref="N23:N32" si="1">SUM(K23:M23)</f>
        <v>3007972</v>
      </c>
    </row>
    <row r="24" spans="1:14">
      <c r="C24" t="s">
        <v>21</v>
      </c>
      <c r="K24" s="77">
        <v>607786</v>
      </c>
      <c r="L24" s="73">
        <v>199128</v>
      </c>
      <c r="M24" s="73">
        <v>1226038</v>
      </c>
      <c r="N24" s="73">
        <f t="shared" si="1"/>
        <v>2032952</v>
      </c>
    </row>
    <row r="25" spans="1:14">
      <c r="C25" t="s">
        <v>418</v>
      </c>
      <c r="K25" s="77">
        <v>774221</v>
      </c>
      <c r="L25" s="73">
        <v>43201</v>
      </c>
      <c r="M25" s="73">
        <v>465910</v>
      </c>
      <c r="N25" s="73">
        <f t="shared" si="1"/>
        <v>1283332</v>
      </c>
    </row>
    <row r="26" spans="1:14">
      <c r="C26" t="s">
        <v>366</v>
      </c>
      <c r="K26" s="73"/>
      <c r="L26" s="73">
        <v>204045</v>
      </c>
      <c r="M26" s="73">
        <v>1945947</v>
      </c>
      <c r="N26" s="73">
        <f t="shared" si="1"/>
        <v>2149992</v>
      </c>
    </row>
    <row r="27" spans="1:14">
      <c r="C27" t="s">
        <v>22</v>
      </c>
      <c r="K27" s="77">
        <v>3525</v>
      </c>
      <c r="L27" s="73">
        <v>246848</v>
      </c>
      <c r="M27" s="73">
        <v>1171574</v>
      </c>
      <c r="N27" s="73">
        <f t="shared" si="1"/>
        <v>1421947</v>
      </c>
    </row>
    <row r="28" spans="1:14">
      <c r="C28" t="s">
        <v>378</v>
      </c>
      <c r="K28" s="77">
        <v>294293</v>
      </c>
      <c r="L28" s="73"/>
      <c r="M28" s="73">
        <v>118540</v>
      </c>
      <c r="N28" s="73">
        <f t="shared" si="1"/>
        <v>412833</v>
      </c>
    </row>
    <row r="29" spans="1:14">
      <c r="C29" t="s">
        <v>25</v>
      </c>
      <c r="K29" s="78">
        <v>891887</v>
      </c>
      <c r="L29" s="73">
        <v>62314</v>
      </c>
      <c r="M29" s="73">
        <v>10768505</v>
      </c>
      <c r="N29" s="73">
        <f t="shared" si="1"/>
        <v>11722706</v>
      </c>
    </row>
    <row r="30" spans="1:14">
      <c r="C30" t="s">
        <v>158</v>
      </c>
      <c r="K30" s="78">
        <v>34784</v>
      </c>
      <c r="L30" s="73"/>
      <c r="M30" s="73"/>
      <c r="N30" s="73">
        <f t="shared" si="1"/>
        <v>34784</v>
      </c>
    </row>
    <row r="31" spans="1:14">
      <c r="C31" t="s">
        <v>367</v>
      </c>
      <c r="K31" s="73"/>
      <c r="L31" s="73"/>
      <c r="M31" s="73">
        <v>929285</v>
      </c>
      <c r="N31" s="73">
        <f t="shared" si="1"/>
        <v>929285</v>
      </c>
    </row>
    <row r="32" spans="1:14">
      <c r="C32" t="s">
        <v>24</v>
      </c>
      <c r="K32" s="82">
        <v>3094</v>
      </c>
      <c r="L32" s="73">
        <v>28480</v>
      </c>
      <c r="M32" s="73">
        <v>170409</v>
      </c>
      <c r="N32" s="73">
        <f t="shared" si="1"/>
        <v>201983</v>
      </c>
    </row>
    <row r="33" spans="2:14">
      <c r="K33" s="73"/>
      <c r="L33" s="73"/>
      <c r="M33" s="73"/>
      <c r="N33" s="73"/>
    </row>
    <row r="34" spans="2:14" s="5" customFormat="1">
      <c r="B34" s="6"/>
      <c r="C34" s="6"/>
      <c r="D34" s="6"/>
      <c r="E34" s="6" t="s">
        <v>26</v>
      </c>
      <c r="K34" s="79">
        <f>SUM(K23:K32)</f>
        <v>2609590</v>
      </c>
      <c r="L34" s="79">
        <f>SUM(L23:L32)</f>
        <v>784016</v>
      </c>
      <c r="M34" s="79">
        <f>SUM(M23:M32)</f>
        <v>19804180</v>
      </c>
      <c r="N34" s="79">
        <f>SUM(N23:N32)</f>
        <v>23197786</v>
      </c>
    </row>
    <row r="35" spans="2:14">
      <c r="K35" s="73"/>
      <c r="L35" s="73"/>
      <c r="M35" s="73"/>
      <c r="N35" s="73"/>
    </row>
    <row r="36" spans="2:14">
      <c r="B36" t="s">
        <v>30</v>
      </c>
      <c r="K36" s="73"/>
      <c r="L36" s="73"/>
      <c r="M36" s="73"/>
      <c r="N36" s="73"/>
    </row>
    <row r="37" spans="2:14">
      <c r="C37" t="s">
        <v>419</v>
      </c>
      <c r="K37" s="73"/>
      <c r="L37" s="73"/>
      <c r="M37" s="73"/>
      <c r="N37" s="73"/>
    </row>
    <row r="38" spans="2:14">
      <c r="D38" t="s">
        <v>155</v>
      </c>
      <c r="K38" s="73"/>
      <c r="L38" s="73">
        <v>259187</v>
      </c>
      <c r="M38" s="73">
        <v>23210</v>
      </c>
      <c r="N38" s="73">
        <f>SUM(K38:M38)</f>
        <v>282397</v>
      </c>
    </row>
    <row r="39" spans="2:14">
      <c r="D39" t="s">
        <v>100</v>
      </c>
      <c r="K39" s="80">
        <v>2613</v>
      </c>
      <c r="L39" s="73"/>
      <c r="M39" s="73">
        <v>93795</v>
      </c>
      <c r="N39" s="73">
        <f t="shared" ref="N39:N49" si="2">SUM(K39:M39)</f>
        <v>96408</v>
      </c>
    </row>
    <row r="40" spans="2:14">
      <c r="C40" t="s">
        <v>420</v>
      </c>
      <c r="K40" s="73"/>
      <c r="L40" s="73"/>
      <c r="M40" s="73"/>
      <c r="N40" s="73">
        <f t="shared" si="2"/>
        <v>0</v>
      </c>
    </row>
    <row r="41" spans="2:14">
      <c r="D41" t="s">
        <v>421</v>
      </c>
      <c r="K41" s="73"/>
      <c r="L41" s="73"/>
      <c r="M41" s="73"/>
      <c r="N41" s="73">
        <f t="shared" si="2"/>
        <v>0</v>
      </c>
    </row>
    <row r="42" spans="2:14">
      <c r="D42" t="s">
        <v>73</v>
      </c>
      <c r="K42" s="73"/>
      <c r="L42" s="73">
        <v>38388224</v>
      </c>
      <c r="M42" s="73">
        <v>114365602</v>
      </c>
      <c r="N42" s="73">
        <f t="shared" si="2"/>
        <v>152753826</v>
      </c>
    </row>
    <row r="43" spans="2:14">
      <c r="D43" t="s">
        <v>422</v>
      </c>
      <c r="K43" s="73"/>
      <c r="L43" s="73"/>
      <c r="M43" s="73">
        <v>45707878</v>
      </c>
      <c r="N43" s="73">
        <f t="shared" si="2"/>
        <v>45707878</v>
      </c>
    </row>
    <row r="44" spans="2:14">
      <c r="D44" t="s">
        <v>423</v>
      </c>
      <c r="K44" s="73"/>
      <c r="L44" s="73"/>
      <c r="M44" s="73">
        <v>40148177</v>
      </c>
      <c r="N44" s="73">
        <f t="shared" si="2"/>
        <v>40148177</v>
      </c>
    </row>
    <row r="45" spans="2:14">
      <c r="C45" t="s">
        <v>424</v>
      </c>
      <c r="K45" s="73"/>
      <c r="L45" s="73"/>
      <c r="M45" s="73">
        <v>4895977</v>
      </c>
      <c r="N45" s="73">
        <f t="shared" si="2"/>
        <v>4895977</v>
      </c>
    </row>
    <row r="46" spans="2:14">
      <c r="D46" t="s">
        <v>425</v>
      </c>
      <c r="K46" s="80">
        <v>531077</v>
      </c>
      <c r="L46" s="73"/>
      <c r="M46" s="73">
        <v>209492</v>
      </c>
      <c r="N46" s="73">
        <f t="shared" si="2"/>
        <v>740569</v>
      </c>
    </row>
    <row r="47" spans="2:14">
      <c r="C47" t="s">
        <v>426</v>
      </c>
      <c r="K47" s="73"/>
      <c r="L47" s="73"/>
      <c r="M47" s="73"/>
      <c r="N47" s="73">
        <f t="shared" si="2"/>
        <v>0</v>
      </c>
    </row>
    <row r="48" spans="2:14">
      <c r="D48" t="s">
        <v>169</v>
      </c>
      <c r="K48" s="200">
        <v>1594458</v>
      </c>
      <c r="L48" s="73"/>
      <c r="M48" s="73">
        <v>3152108</v>
      </c>
      <c r="N48" s="73">
        <f t="shared" si="2"/>
        <v>4746566</v>
      </c>
    </row>
    <row r="49" spans="3:14">
      <c r="C49" t="s">
        <v>46</v>
      </c>
      <c r="K49" s="84">
        <v>34267600</v>
      </c>
      <c r="L49" s="73"/>
      <c r="M49" s="73"/>
      <c r="N49" s="73">
        <f t="shared" si="2"/>
        <v>34267600</v>
      </c>
    </row>
    <row r="50" spans="3:14">
      <c r="K50" s="73"/>
      <c r="L50" s="73"/>
      <c r="M50" s="73"/>
      <c r="N50" s="73"/>
    </row>
    <row r="51" spans="3:14" s="5" customFormat="1">
      <c r="D51" s="6"/>
      <c r="E51" s="6" t="s">
        <v>77</v>
      </c>
      <c r="K51" s="79">
        <f>SUM(K38:K49)</f>
        <v>36395748</v>
      </c>
      <c r="L51" s="79">
        <f>SUM(L38:L49)</f>
        <v>38647411</v>
      </c>
      <c r="M51" s="79">
        <f>SUM(M38:M49)</f>
        <v>208596239</v>
      </c>
      <c r="N51" s="79">
        <f>SUM(N37:N49)</f>
        <v>283639398</v>
      </c>
    </row>
    <row r="52" spans="3:14">
      <c r="K52" s="73"/>
      <c r="L52" s="73"/>
      <c r="M52" s="73"/>
      <c r="N52" s="73"/>
    </row>
    <row r="53" spans="3:14" s="7" customFormat="1">
      <c r="D53" s="8"/>
      <c r="E53" s="8" t="s">
        <v>48</v>
      </c>
      <c r="K53" s="81">
        <f>SUM(K51,K34)</f>
        <v>39005338</v>
      </c>
      <c r="L53" s="81">
        <f>SUM(L34,L51)</f>
        <v>39431427</v>
      </c>
      <c r="M53" s="81">
        <f>SUM(M34,M51)</f>
        <v>228400419</v>
      </c>
      <c r="N53" s="81">
        <f>SUM(N34,N51)</f>
        <v>306837184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44"/>
  <sheetViews>
    <sheetView zoomScale="80" zoomScaleNormal="80" zoomScalePageLayoutView="80" workbookViewId="0">
      <selection activeCell="M51" sqref="M51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4" width="16.42578125" customWidth="1"/>
    <col min="15" max="15" width="17.140625" customWidth="1"/>
    <col min="16" max="16" width="19.42578125" customWidth="1"/>
    <col min="17" max="17" width="17.42578125" customWidth="1"/>
    <col min="18" max="18" width="19.42578125" customWidth="1"/>
    <col min="19" max="19" width="19.85546875" bestFit="1" customWidth="1"/>
  </cols>
  <sheetData>
    <row r="1" spans="1:19" ht="18.75">
      <c r="D1" s="251" t="s">
        <v>427</v>
      </c>
      <c r="E1" s="251"/>
      <c r="F1" s="251"/>
      <c r="G1" s="251"/>
      <c r="H1" s="251"/>
      <c r="I1" s="251"/>
      <c r="J1" s="251"/>
      <c r="K1" s="251"/>
    </row>
    <row r="2" spans="1:19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9">
      <c r="D3" s="57"/>
      <c r="E3" s="57"/>
      <c r="F3" s="57"/>
      <c r="G3" s="57"/>
      <c r="H3" s="57"/>
      <c r="I3" s="57"/>
      <c r="J3" s="57"/>
      <c r="K3" s="57"/>
    </row>
    <row r="4" spans="1:19">
      <c r="K4" s="253"/>
      <c r="L4" s="253"/>
      <c r="M4" s="253"/>
      <c r="N4" s="253"/>
      <c r="O4" s="249" t="s">
        <v>247</v>
      </c>
      <c r="P4" s="249"/>
      <c r="Q4" s="249"/>
    </row>
    <row r="5" spans="1:19" ht="30">
      <c r="K5" s="1" t="s">
        <v>91</v>
      </c>
      <c r="L5" s="1" t="s">
        <v>310</v>
      </c>
      <c r="M5" s="1" t="s">
        <v>93</v>
      </c>
      <c r="N5" s="1" t="s">
        <v>82</v>
      </c>
      <c r="O5" s="1" t="s">
        <v>428</v>
      </c>
      <c r="P5" s="1" t="s">
        <v>429</v>
      </c>
      <c r="Q5" s="1" t="s">
        <v>430</v>
      </c>
      <c r="R5" s="1" t="s">
        <v>431</v>
      </c>
      <c r="S5" s="1" t="s">
        <v>84</v>
      </c>
    </row>
    <row r="6" spans="1:19">
      <c r="A6" t="s">
        <v>8</v>
      </c>
    </row>
    <row r="7" spans="1:19">
      <c r="B7" t="s">
        <v>85</v>
      </c>
      <c r="K7" s="72">
        <v>2764394</v>
      </c>
      <c r="L7" s="73"/>
      <c r="M7" s="73"/>
      <c r="N7" s="73"/>
      <c r="O7" s="73">
        <v>980438</v>
      </c>
      <c r="P7" s="73">
        <v>12537521</v>
      </c>
      <c r="Q7" s="73"/>
      <c r="R7" s="73">
        <v>3883292</v>
      </c>
      <c r="S7" s="73">
        <f>SUM(K7:R7)</f>
        <v>20165645</v>
      </c>
    </row>
    <row r="8" spans="1:19">
      <c r="B8" t="s">
        <v>10</v>
      </c>
      <c r="K8" s="77">
        <v>91</v>
      </c>
      <c r="L8" s="73">
        <v>4486</v>
      </c>
      <c r="M8" s="73">
        <v>642</v>
      </c>
      <c r="N8" s="73">
        <v>869499</v>
      </c>
      <c r="O8" s="73">
        <v>6974174</v>
      </c>
      <c r="P8" s="73">
        <v>11701</v>
      </c>
      <c r="Q8" s="73"/>
      <c r="R8" s="73">
        <v>13783411</v>
      </c>
      <c r="S8" s="73">
        <f t="shared" ref="S8:S10" si="0">SUM(K8:R8)</f>
        <v>21644004</v>
      </c>
    </row>
    <row r="9" spans="1:19">
      <c r="B9" t="s">
        <v>58</v>
      </c>
      <c r="K9" s="74">
        <v>1029659</v>
      </c>
      <c r="L9" s="73">
        <v>192240</v>
      </c>
      <c r="M9" s="73"/>
      <c r="N9" s="73">
        <v>82715</v>
      </c>
      <c r="O9" s="73">
        <v>35918</v>
      </c>
      <c r="P9" s="73"/>
      <c r="Q9" s="73"/>
      <c r="R9" s="73">
        <v>1422953</v>
      </c>
      <c r="S9" s="73">
        <f t="shared" si="0"/>
        <v>2763485</v>
      </c>
    </row>
    <row r="10" spans="1:19">
      <c r="B10" t="s">
        <v>99</v>
      </c>
      <c r="K10" s="75">
        <v>3167286</v>
      </c>
      <c r="L10" s="73">
        <v>4158782</v>
      </c>
      <c r="M10" s="73">
        <v>5655254</v>
      </c>
      <c r="N10" s="73">
        <v>756188</v>
      </c>
      <c r="O10" s="73">
        <v>5708241</v>
      </c>
      <c r="P10" s="73"/>
      <c r="Q10" s="73"/>
      <c r="R10" s="73">
        <v>11217817</v>
      </c>
      <c r="S10" s="73">
        <f t="shared" si="0"/>
        <v>30663568</v>
      </c>
    </row>
    <row r="11" spans="1:19">
      <c r="B11" t="s">
        <v>16</v>
      </c>
      <c r="K11" s="75">
        <v>11180364</v>
      </c>
      <c r="L11" s="73"/>
      <c r="M11" s="73"/>
      <c r="N11" s="73">
        <v>1144799</v>
      </c>
      <c r="O11" s="73">
        <v>108889</v>
      </c>
      <c r="P11" s="73"/>
      <c r="Q11" s="73">
        <v>598882</v>
      </c>
      <c r="R11" s="73">
        <v>11229235</v>
      </c>
      <c r="S11" s="73">
        <f>SUM(K11:R11)</f>
        <v>24262169</v>
      </c>
    </row>
    <row r="12" spans="1:19">
      <c r="B12" t="s">
        <v>432</v>
      </c>
      <c r="K12" s="73"/>
      <c r="L12" s="73"/>
      <c r="M12" s="73"/>
      <c r="N12" s="73"/>
      <c r="O12" s="73"/>
      <c r="P12" s="73"/>
      <c r="Q12" s="73"/>
      <c r="R12" s="73">
        <v>1470429</v>
      </c>
      <c r="S12" s="73">
        <f t="shared" ref="S12:S13" si="1">SUM(K12:R12)</f>
        <v>1470429</v>
      </c>
    </row>
    <row r="13" spans="1:19">
      <c r="B13" t="s">
        <v>61</v>
      </c>
      <c r="K13" s="83">
        <v>1089087</v>
      </c>
      <c r="L13" s="73"/>
      <c r="M13" s="73"/>
      <c r="N13" s="73"/>
      <c r="O13" s="73"/>
      <c r="P13" s="85"/>
      <c r="Q13" s="85"/>
      <c r="R13" s="85"/>
      <c r="S13" s="85">
        <f t="shared" si="1"/>
        <v>1089087</v>
      </c>
    </row>
    <row r="14" spans="1:19">
      <c r="K14" s="93"/>
      <c r="L14" s="93"/>
      <c r="M14" s="93"/>
      <c r="N14" s="93"/>
      <c r="O14" s="93"/>
      <c r="P14" s="73"/>
      <c r="Q14" s="73"/>
      <c r="R14" s="73"/>
      <c r="S14" s="73"/>
    </row>
    <row r="15" spans="1:19" s="3" customFormat="1">
      <c r="A15" s="2"/>
      <c r="B15" s="2"/>
      <c r="C15" s="2"/>
      <c r="D15" s="2"/>
      <c r="E15" s="2" t="s">
        <v>62</v>
      </c>
      <c r="K15" s="76">
        <f t="shared" ref="K15:S15" si="2">SUM(K7:K13)</f>
        <v>19230881</v>
      </c>
      <c r="L15" s="76">
        <f t="shared" si="2"/>
        <v>4355508</v>
      </c>
      <c r="M15" s="76">
        <f t="shared" si="2"/>
        <v>5655896</v>
      </c>
      <c r="N15" s="76">
        <f t="shared" si="2"/>
        <v>2853201</v>
      </c>
      <c r="O15" s="76">
        <f t="shared" si="2"/>
        <v>13807660</v>
      </c>
      <c r="P15" s="76">
        <f t="shared" si="2"/>
        <v>12549222</v>
      </c>
      <c r="Q15" s="76">
        <f t="shared" si="2"/>
        <v>598882</v>
      </c>
      <c r="R15" s="76">
        <f t="shared" si="2"/>
        <v>43007137</v>
      </c>
      <c r="S15" s="76">
        <f t="shared" si="2"/>
        <v>102058387</v>
      </c>
    </row>
    <row r="16" spans="1:19">
      <c r="K16" s="73"/>
      <c r="L16" s="73"/>
      <c r="M16" s="73"/>
      <c r="N16" s="73"/>
      <c r="O16" s="73"/>
      <c r="P16" s="73"/>
      <c r="Q16" s="73"/>
      <c r="R16" s="73"/>
      <c r="S16" s="73"/>
    </row>
    <row r="17" spans="1:19">
      <c r="A17" s="4" t="s">
        <v>19</v>
      </c>
      <c r="K17" s="73"/>
      <c r="L17" s="73"/>
      <c r="M17" s="73"/>
      <c r="N17" s="73"/>
      <c r="O17" s="73"/>
      <c r="P17" s="73"/>
      <c r="Q17" s="73"/>
      <c r="R17" s="73"/>
      <c r="S17" s="73"/>
    </row>
    <row r="18" spans="1:19">
      <c r="B18" t="s">
        <v>20</v>
      </c>
      <c r="K18" s="73"/>
      <c r="L18" s="73"/>
      <c r="M18" s="73"/>
      <c r="N18" s="73"/>
      <c r="O18" s="73"/>
      <c r="P18" s="73"/>
      <c r="Q18" s="73"/>
      <c r="R18" s="73"/>
      <c r="S18" s="73"/>
    </row>
    <row r="19" spans="1:19">
      <c r="C19" t="s">
        <v>433</v>
      </c>
      <c r="K19" s="77">
        <v>186024</v>
      </c>
      <c r="L19" s="73">
        <v>43799</v>
      </c>
      <c r="M19" s="73">
        <v>121653</v>
      </c>
      <c r="N19" s="73">
        <v>646399</v>
      </c>
      <c r="O19" s="73">
        <v>48872</v>
      </c>
      <c r="P19" s="73">
        <v>209772</v>
      </c>
      <c r="Q19" s="73">
        <v>416277</v>
      </c>
      <c r="R19" s="73">
        <v>473489</v>
      </c>
      <c r="S19" s="73">
        <f>SUM(K19:R19)</f>
        <v>2146285</v>
      </c>
    </row>
    <row r="20" spans="1:19">
      <c r="C20" t="s">
        <v>434</v>
      </c>
      <c r="K20" s="77">
        <v>71874</v>
      </c>
      <c r="L20" s="73"/>
      <c r="M20" s="73"/>
      <c r="N20" s="73"/>
      <c r="O20" s="73">
        <v>19222</v>
      </c>
      <c r="P20" s="73">
        <v>929260</v>
      </c>
      <c r="Q20" s="73">
        <v>423051</v>
      </c>
      <c r="R20" s="73">
        <v>823359</v>
      </c>
      <c r="S20" s="73">
        <f t="shared" ref="S20:S24" si="3">SUM(K20:R20)</f>
        <v>2266766</v>
      </c>
    </row>
    <row r="21" spans="1:19">
      <c r="C21" t="s">
        <v>435</v>
      </c>
      <c r="K21" s="77">
        <v>100484</v>
      </c>
      <c r="L21" s="73">
        <v>191744</v>
      </c>
      <c r="M21" s="73">
        <v>144005</v>
      </c>
      <c r="N21" s="73">
        <v>11030</v>
      </c>
      <c r="O21" s="73">
        <v>204237</v>
      </c>
      <c r="P21" s="73"/>
      <c r="Q21" s="73"/>
      <c r="R21" s="73">
        <v>285311</v>
      </c>
      <c r="S21" s="73">
        <f t="shared" si="3"/>
        <v>936811</v>
      </c>
    </row>
    <row r="22" spans="1:19">
      <c r="C22" t="s">
        <v>25</v>
      </c>
      <c r="K22" s="78">
        <v>14758087</v>
      </c>
      <c r="L22" s="73">
        <v>2046507</v>
      </c>
      <c r="M22" s="73">
        <v>2438233</v>
      </c>
      <c r="N22" s="73"/>
      <c r="O22" s="73"/>
      <c r="P22" s="73">
        <v>783776</v>
      </c>
      <c r="Q22" s="73"/>
      <c r="R22" s="73">
        <v>4462221</v>
      </c>
      <c r="S22" s="73">
        <f t="shared" si="3"/>
        <v>24488824</v>
      </c>
    </row>
    <row r="23" spans="1:19">
      <c r="C23" t="s">
        <v>436</v>
      </c>
      <c r="K23" s="78">
        <v>158493</v>
      </c>
      <c r="L23" s="73">
        <v>12572</v>
      </c>
      <c r="M23" s="73"/>
      <c r="N23" s="73"/>
      <c r="O23" s="73">
        <v>1421</v>
      </c>
      <c r="P23" s="73">
        <v>164</v>
      </c>
      <c r="Q23" s="73">
        <v>9297</v>
      </c>
      <c r="R23" s="73">
        <v>751197</v>
      </c>
      <c r="S23" s="73">
        <f t="shared" si="3"/>
        <v>933144</v>
      </c>
    </row>
    <row r="24" spans="1:19">
      <c r="C24" t="s">
        <v>437</v>
      </c>
      <c r="K24" s="73"/>
      <c r="L24" s="73"/>
      <c r="M24" s="73"/>
      <c r="N24" s="73"/>
      <c r="O24" s="73"/>
      <c r="P24" s="85"/>
      <c r="Q24" s="85"/>
      <c r="R24" s="85">
        <v>571425</v>
      </c>
      <c r="S24" s="85">
        <f t="shared" si="3"/>
        <v>571425</v>
      </c>
    </row>
    <row r="25" spans="1:19">
      <c r="K25" s="93"/>
      <c r="L25" s="93"/>
      <c r="M25" s="93"/>
      <c r="N25" s="93"/>
      <c r="O25" s="93"/>
      <c r="P25" s="73"/>
      <c r="Q25" s="73"/>
      <c r="R25" s="73"/>
      <c r="S25" s="73"/>
    </row>
    <row r="26" spans="1:19" s="5" customFormat="1">
      <c r="B26" s="6"/>
      <c r="C26" s="6"/>
      <c r="D26" s="6"/>
      <c r="E26" s="6" t="s">
        <v>26</v>
      </c>
      <c r="K26" s="79">
        <f t="shared" ref="K26:S26" si="4">SUM(K19:K24)</f>
        <v>15274962</v>
      </c>
      <c r="L26" s="79">
        <f t="shared" si="4"/>
        <v>2294622</v>
      </c>
      <c r="M26" s="79"/>
      <c r="N26" s="79">
        <f t="shared" si="4"/>
        <v>657429</v>
      </c>
      <c r="O26" s="79">
        <f t="shared" si="4"/>
        <v>273752</v>
      </c>
      <c r="P26" s="79">
        <f t="shared" si="4"/>
        <v>1922972</v>
      </c>
      <c r="Q26" s="79">
        <f t="shared" si="4"/>
        <v>848625</v>
      </c>
      <c r="R26" s="79">
        <f t="shared" si="4"/>
        <v>7367002</v>
      </c>
      <c r="S26" s="79">
        <f t="shared" si="4"/>
        <v>31343255</v>
      </c>
    </row>
    <row r="27" spans="1:19">
      <c r="K27" s="73"/>
      <c r="L27" s="73"/>
      <c r="M27" s="73"/>
      <c r="N27" s="73"/>
      <c r="O27" s="73"/>
      <c r="P27" s="73"/>
      <c r="Q27" s="73"/>
      <c r="R27" s="73"/>
      <c r="S27" s="73"/>
    </row>
    <row r="28" spans="1:19">
      <c r="B28" t="s">
        <v>30</v>
      </c>
      <c r="K28" s="73"/>
      <c r="L28" s="73"/>
      <c r="M28" s="73"/>
      <c r="N28" s="73"/>
      <c r="O28" s="73"/>
      <c r="P28" s="73"/>
      <c r="Q28" s="73"/>
      <c r="R28" s="73"/>
      <c r="S28" s="73"/>
    </row>
    <row r="29" spans="1:19">
      <c r="C29" t="s">
        <v>438</v>
      </c>
      <c r="K29" s="80">
        <v>1089087</v>
      </c>
      <c r="L29" s="73"/>
      <c r="M29" s="73"/>
      <c r="N29" s="73"/>
      <c r="O29" s="73"/>
      <c r="P29" s="73"/>
      <c r="Q29" s="73"/>
      <c r="R29" s="73"/>
      <c r="S29" s="73">
        <f t="shared" ref="S29:S39" si="5">SUM(K29:R29)</f>
        <v>1089087</v>
      </c>
    </row>
    <row r="30" spans="1:19">
      <c r="C30" t="s">
        <v>67</v>
      </c>
      <c r="K30" s="73"/>
      <c r="L30" s="73"/>
      <c r="M30" s="73"/>
      <c r="N30" s="73"/>
      <c r="O30" s="73"/>
      <c r="P30" s="73"/>
      <c r="Q30" s="73"/>
      <c r="R30" s="73"/>
      <c r="S30" s="73"/>
    </row>
    <row r="31" spans="1:19">
      <c r="D31" t="s">
        <v>42</v>
      </c>
      <c r="K31" s="80">
        <v>61175</v>
      </c>
      <c r="L31" s="73"/>
      <c r="M31" s="73">
        <v>47230</v>
      </c>
      <c r="N31" s="73"/>
      <c r="O31" s="73"/>
      <c r="P31" s="73">
        <v>10626250</v>
      </c>
      <c r="Q31" s="73"/>
      <c r="R31" s="73">
        <v>1717429</v>
      </c>
      <c r="S31" s="73">
        <f t="shared" si="5"/>
        <v>12452084</v>
      </c>
    </row>
    <row r="32" spans="1:19">
      <c r="D32" t="s">
        <v>439</v>
      </c>
      <c r="K32" s="73"/>
      <c r="L32" s="73"/>
      <c r="M32" s="73"/>
      <c r="N32" s="73"/>
      <c r="O32" s="73"/>
      <c r="P32" s="73"/>
      <c r="Q32" s="73"/>
      <c r="R32" s="73">
        <v>3611261</v>
      </c>
      <c r="S32" s="73">
        <f t="shared" si="5"/>
        <v>3611261</v>
      </c>
    </row>
    <row r="33" spans="3:19">
      <c r="D33" t="s">
        <v>440</v>
      </c>
      <c r="K33" s="73"/>
      <c r="L33" s="73"/>
      <c r="M33" s="73"/>
      <c r="N33" s="73"/>
      <c r="O33" s="73"/>
      <c r="P33" s="73"/>
      <c r="Q33" s="73"/>
      <c r="R33" s="73">
        <v>658167</v>
      </c>
      <c r="S33" s="73">
        <f t="shared" si="5"/>
        <v>658167</v>
      </c>
    </row>
    <row r="34" spans="3:19">
      <c r="D34" t="s">
        <v>73</v>
      </c>
      <c r="K34" s="73"/>
      <c r="L34" s="73"/>
      <c r="M34" s="73"/>
      <c r="N34" s="73"/>
      <c r="O34" s="73"/>
      <c r="P34" s="73"/>
      <c r="Q34" s="73"/>
      <c r="R34" s="73">
        <v>6338397</v>
      </c>
      <c r="S34" s="73">
        <f t="shared" si="5"/>
        <v>6338397</v>
      </c>
    </row>
    <row r="35" spans="3:19">
      <c r="C35" t="s">
        <v>441</v>
      </c>
      <c r="K35" s="73"/>
      <c r="L35" s="73"/>
      <c r="M35" s="73"/>
      <c r="N35" s="73"/>
      <c r="O35" s="73"/>
      <c r="P35" s="73"/>
      <c r="Q35" s="73"/>
      <c r="R35" s="73"/>
      <c r="S35" s="73"/>
    </row>
    <row r="36" spans="3:19">
      <c r="D36" t="s">
        <v>70</v>
      </c>
      <c r="K36" s="73"/>
      <c r="L36" s="73"/>
      <c r="M36" s="73"/>
      <c r="N36" s="73"/>
      <c r="O36" s="73"/>
      <c r="P36" s="73"/>
      <c r="Q36" s="73"/>
      <c r="R36" s="73">
        <v>1372195</v>
      </c>
      <c r="S36" s="73">
        <f t="shared" si="5"/>
        <v>1372195</v>
      </c>
    </row>
    <row r="37" spans="3:19">
      <c r="D37" t="s">
        <v>71</v>
      </c>
      <c r="K37" s="73"/>
      <c r="L37" s="73">
        <v>2060886</v>
      </c>
      <c r="M37" s="73">
        <v>2904775</v>
      </c>
      <c r="N37" s="73">
        <v>2195772</v>
      </c>
      <c r="O37" s="73"/>
      <c r="P37" s="73"/>
      <c r="Q37" s="73"/>
      <c r="R37" s="73">
        <v>17863463</v>
      </c>
      <c r="S37" s="73">
        <f t="shared" si="5"/>
        <v>25024896</v>
      </c>
    </row>
    <row r="38" spans="3:19">
      <c r="D38" t="s">
        <v>107</v>
      </c>
      <c r="K38" s="73"/>
      <c r="L38" s="73"/>
      <c r="M38" s="73"/>
      <c r="N38" s="73"/>
      <c r="O38" s="73">
        <v>13533908</v>
      </c>
      <c r="P38" s="73"/>
      <c r="Q38" s="73"/>
      <c r="R38" s="73">
        <v>1945436</v>
      </c>
      <c r="S38" s="73">
        <f t="shared" si="5"/>
        <v>15479344</v>
      </c>
    </row>
    <row r="39" spans="3:19">
      <c r="D39" t="s">
        <v>442</v>
      </c>
      <c r="K39" s="73"/>
      <c r="L39" s="73"/>
      <c r="M39" s="73"/>
      <c r="N39" s="73"/>
      <c r="O39" s="73"/>
      <c r="P39" s="73"/>
      <c r="Q39" s="73"/>
      <c r="R39" s="73">
        <v>2147643</v>
      </c>
      <c r="S39" s="73">
        <f t="shared" si="5"/>
        <v>2147643</v>
      </c>
    </row>
    <row r="40" spans="3:19">
      <c r="C40" t="s">
        <v>46</v>
      </c>
      <c r="K40" s="84">
        <v>2805657</v>
      </c>
      <c r="L40" s="73"/>
      <c r="M40" s="73"/>
      <c r="N40" s="73"/>
      <c r="O40" s="73"/>
      <c r="P40" s="85"/>
      <c r="Q40" s="85">
        <v>-249743</v>
      </c>
      <c r="R40" s="85">
        <v>-10856</v>
      </c>
      <c r="S40" s="85">
        <f>SUM(K40:R40)</f>
        <v>2545058</v>
      </c>
    </row>
    <row r="41" spans="3:19">
      <c r="K41" s="93"/>
      <c r="L41" s="93"/>
      <c r="M41" s="93"/>
      <c r="N41" s="93"/>
      <c r="O41" s="93"/>
      <c r="P41" s="73"/>
      <c r="Q41" s="73"/>
      <c r="R41" s="73"/>
      <c r="S41" s="73"/>
    </row>
    <row r="42" spans="3:19" s="5" customFormat="1">
      <c r="D42" s="6"/>
      <c r="E42" s="6" t="s">
        <v>77</v>
      </c>
      <c r="K42" s="79">
        <f>SUM(K29:K41)</f>
        <v>3955919</v>
      </c>
      <c r="L42" s="79">
        <f t="shared" ref="L42:S42" si="6">SUM(L29:L40)</f>
        <v>2060886</v>
      </c>
      <c r="M42" s="79">
        <f t="shared" si="6"/>
        <v>2952005</v>
      </c>
      <c r="N42" s="79">
        <f t="shared" si="6"/>
        <v>2195772</v>
      </c>
      <c r="O42" s="79">
        <f t="shared" si="6"/>
        <v>13533908</v>
      </c>
      <c r="P42" s="79">
        <f t="shared" si="6"/>
        <v>10626250</v>
      </c>
      <c r="Q42" s="79">
        <f t="shared" si="6"/>
        <v>-249743</v>
      </c>
      <c r="R42" s="79">
        <f t="shared" si="6"/>
        <v>35643135</v>
      </c>
      <c r="S42" s="79">
        <f t="shared" si="6"/>
        <v>70718132</v>
      </c>
    </row>
    <row r="43" spans="3:19">
      <c r="K43" s="73"/>
      <c r="L43" s="73"/>
      <c r="M43" s="73"/>
      <c r="N43" s="73"/>
      <c r="O43" s="73"/>
      <c r="P43" s="73"/>
      <c r="Q43" s="73"/>
      <c r="R43" s="73"/>
      <c r="S43" s="73"/>
    </row>
    <row r="44" spans="3:19" s="7" customFormat="1">
      <c r="D44" s="8"/>
      <c r="E44" s="8" t="s">
        <v>48</v>
      </c>
      <c r="K44" s="81">
        <f>SUM(K42,K26)</f>
        <v>19230881</v>
      </c>
      <c r="L44" s="81">
        <f t="shared" ref="L44:S44" si="7">SUM(L26,L42)</f>
        <v>4355508</v>
      </c>
      <c r="M44" s="81">
        <f t="shared" si="7"/>
        <v>2952005</v>
      </c>
      <c r="N44" s="81">
        <f t="shared" si="7"/>
        <v>2853201</v>
      </c>
      <c r="O44" s="81">
        <f t="shared" si="7"/>
        <v>13807660</v>
      </c>
      <c r="P44" s="81">
        <f t="shared" si="7"/>
        <v>12549222</v>
      </c>
      <c r="Q44" s="81">
        <f t="shared" si="7"/>
        <v>598882</v>
      </c>
      <c r="R44" s="81">
        <f t="shared" si="7"/>
        <v>43010137</v>
      </c>
      <c r="S44" s="81">
        <f t="shared" si="7"/>
        <v>102061387</v>
      </c>
    </row>
  </sheetData>
  <mergeCells count="3">
    <mergeCell ref="D1:K1"/>
    <mergeCell ref="D2:K2"/>
    <mergeCell ref="K4:N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32"/>
  <sheetViews>
    <sheetView workbookViewId="0">
      <selection activeCell="K32" sqref="K32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4.28515625" customWidth="1"/>
    <col min="13" max="13" width="14.85546875" customWidth="1"/>
    <col min="14" max="14" width="14.42578125" customWidth="1"/>
    <col min="15" max="16" width="16.42578125" customWidth="1"/>
    <col min="17" max="17" width="18" customWidth="1"/>
    <col min="18" max="18" width="17.28515625" customWidth="1"/>
  </cols>
  <sheetData>
    <row r="1" spans="1:18" ht="18.75">
      <c r="D1" s="251" t="s">
        <v>443</v>
      </c>
      <c r="E1" s="251"/>
      <c r="F1" s="251"/>
      <c r="G1" s="251"/>
      <c r="H1" s="251"/>
      <c r="I1" s="251"/>
      <c r="J1" s="251"/>
      <c r="K1" s="251"/>
    </row>
    <row r="2" spans="1:18">
      <c r="D2" s="252" t="s">
        <v>1</v>
      </c>
      <c r="E2" s="252"/>
      <c r="F2" s="252"/>
      <c r="G2" s="252"/>
      <c r="H2" s="252"/>
      <c r="I2" s="252"/>
      <c r="J2" s="252"/>
      <c r="K2" s="252"/>
    </row>
    <row r="4" spans="1:18" ht="45">
      <c r="K4" s="1" t="s">
        <v>2</v>
      </c>
      <c r="L4" s="1" t="s">
        <v>228</v>
      </c>
      <c r="M4" s="1" t="s">
        <v>444</v>
      </c>
      <c r="N4" s="1" t="s">
        <v>445</v>
      </c>
      <c r="O4" s="1" t="s">
        <v>95</v>
      </c>
      <c r="P4" s="1" t="s">
        <v>239</v>
      </c>
      <c r="Q4" s="1" t="s">
        <v>6</v>
      </c>
      <c r="R4" s="1" t="s">
        <v>7</v>
      </c>
    </row>
    <row r="5" spans="1:18">
      <c r="A5" t="s">
        <v>8</v>
      </c>
    </row>
    <row r="6" spans="1:18">
      <c r="B6" t="s">
        <v>446</v>
      </c>
      <c r="K6" s="72">
        <v>514070</v>
      </c>
      <c r="L6" s="73"/>
      <c r="M6" s="73"/>
      <c r="N6" s="73">
        <v>50133</v>
      </c>
      <c r="O6" s="73">
        <v>1127875</v>
      </c>
      <c r="P6" s="73"/>
      <c r="Q6" s="73">
        <v>870550</v>
      </c>
      <c r="R6" s="73">
        <f>SUM(K6:Q6)</f>
        <v>2562628</v>
      </c>
    </row>
    <row r="7" spans="1:18">
      <c r="B7" t="s">
        <v>447</v>
      </c>
      <c r="K7" s="73"/>
      <c r="L7" s="73">
        <v>4283</v>
      </c>
      <c r="M7" s="73"/>
      <c r="N7" s="73">
        <v>3783</v>
      </c>
      <c r="O7" s="73"/>
      <c r="P7" s="73"/>
      <c r="Q7" s="73">
        <v>4374</v>
      </c>
      <c r="R7" s="73">
        <f>SUM(K7:Q7)</f>
        <v>12440</v>
      </c>
    </row>
    <row r="8" spans="1:18">
      <c r="B8" t="s">
        <v>58</v>
      </c>
      <c r="K8" s="74">
        <v>1344835</v>
      </c>
      <c r="L8" s="73">
        <v>726976</v>
      </c>
      <c r="M8" s="73">
        <v>551388</v>
      </c>
      <c r="N8" s="73">
        <v>688318</v>
      </c>
      <c r="O8" s="73">
        <v>644365</v>
      </c>
      <c r="P8" s="73">
        <v>4833</v>
      </c>
      <c r="Q8" s="73">
        <v>706467</v>
      </c>
      <c r="R8" s="73">
        <f>SUM(K8:Q8)</f>
        <v>4667182</v>
      </c>
    </row>
    <row r="9" spans="1:18">
      <c r="K9" s="73"/>
      <c r="L9" s="73"/>
      <c r="M9" s="73"/>
      <c r="N9" s="73"/>
      <c r="O9" s="73"/>
      <c r="P9" s="73"/>
      <c r="Q9" s="73"/>
      <c r="R9" s="73"/>
    </row>
    <row r="10" spans="1:18" s="3" customFormat="1">
      <c r="A10" s="2"/>
      <c r="B10" s="2"/>
      <c r="C10" s="2"/>
      <c r="D10" s="2"/>
      <c r="E10" s="2" t="s">
        <v>18</v>
      </c>
      <c r="K10" s="76">
        <f t="shared" ref="K10:R10" si="0">SUM(K6:K8)</f>
        <v>1858905</v>
      </c>
      <c r="L10" s="76">
        <f t="shared" si="0"/>
        <v>731259</v>
      </c>
      <c r="M10" s="76">
        <f t="shared" si="0"/>
        <v>551388</v>
      </c>
      <c r="N10" s="76">
        <f t="shared" si="0"/>
        <v>742234</v>
      </c>
      <c r="O10" s="76">
        <f t="shared" si="0"/>
        <v>1772240</v>
      </c>
      <c r="P10" s="76">
        <f t="shared" si="0"/>
        <v>4833</v>
      </c>
      <c r="Q10" s="76">
        <f t="shared" si="0"/>
        <v>1581391</v>
      </c>
      <c r="R10" s="76">
        <f t="shared" si="0"/>
        <v>7242250</v>
      </c>
    </row>
    <row r="11" spans="1:18">
      <c r="K11" s="73"/>
      <c r="L11" s="73"/>
      <c r="M11" s="73"/>
      <c r="N11" s="73"/>
      <c r="O11" s="73"/>
      <c r="P11" s="73"/>
      <c r="Q11" s="73"/>
      <c r="R11" s="73"/>
    </row>
    <row r="12" spans="1:18">
      <c r="A12" s="4" t="s">
        <v>19</v>
      </c>
      <c r="K12" s="73"/>
      <c r="L12" s="73"/>
      <c r="M12" s="73"/>
      <c r="N12" s="73"/>
      <c r="O12" s="73"/>
      <c r="P12" s="73"/>
      <c r="Q12" s="73"/>
      <c r="R12" s="73"/>
    </row>
    <row r="13" spans="1:18">
      <c r="B13" t="s">
        <v>20</v>
      </c>
      <c r="K13" s="73"/>
      <c r="L13" s="73"/>
      <c r="M13" s="73"/>
      <c r="N13" s="73"/>
      <c r="O13" s="73"/>
      <c r="P13" s="73"/>
      <c r="Q13" s="73"/>
      <c r="R13" s="73"/>
    </row>
    <row r="14" spans="1:18">
      <c r="C14" t="s">
        <v>333</v>
      </c>
      <c r="K14" s="73"/>
      <c r="L14" s="73">
        <v>355829</v>
      </c>
      <c r="M14" s="73">
        <v>148327</v>
      </c>
      <c r="N14" s="73"/>
      <c r="O14" s="73"/>
      <c r="P14" s="73">
        <v>212407</v>
      </c>
      <c r="Q14" s="73">
        <v>16819</v>
      </c>
      <c r="R14" s="73">
        <f>SUM(K14:Q14)</f>
        <v>733382</v>
      </c>
    </row>
    <row r="15" spans="1:18">
      <c r="C15" t="s">
        <v>21</v>
      </c>
      <c r="K15" s="77">
        <v>959716</v>
      </c>
      <c r="L15" s="73">
        <v>34564</v>
      </c>
      <c r="M15" s="73">
        <v>33257</v>
      </c>
      <c r="N15" s="73">
        <v>49982</v>
      </c>
      <c r="O15" s="73">
        <v>22817</v>
      </c>
      <c r="P15" s="73">
        <v>10666</v>
      </c>
      <c r="Q15" s="73">
        <v>46499</v>
      </c>
      <c r="R15" s="73">
        <f>SUM(K15:Q15)</f>
        <v>1157501</v>
      </c>
    </row>
    <row r="16" spans="1:18">
      <c r="C16" t="s">
        <v>129</v>
      </c>
      <c r="K16" s="77">
        <v>31154</v>
      </c>
      <c r="L16" s="73">
        <v>8829</v>
      </c>
      <c r="M16" s="73">
        <v>897</v>
      </c>
      <c r="N16" s="73">
        <v>2343</v>
      </c>
      <c r="O16" s="73">
        <v>2514</v>
      </c>
      <c r="P16" s="73">
        <v>3272</v>
      </c>
      <c r="Q16" s="73">
        <v>323</v>
      </c>
      <c r="R16" s="73">
        <f>SUM(K16:Q16)</f>
        <v>49332</v>
      </c>
    </row>
    <row r="17" spans="2:18">
      <c r="K17" s="73"/>
      <c r="L17" s="73"/>
      <c r="M17" s="73"/>
      <c r="N17" s="73"/>
      <c r="O17" s="73"/>
      <c r="P17" s="73"/>
      <c r="Q17" s="73"/>
      <c r="R17" s="73"/>
    </row>
    <row r="18" spans="2:18" s="5" customFormat="1">
      <c r="B18" s="6"/>
      <c r="C18" s="6"/>
      <c r="D18" s="6"/>
      <c r="E18" s="6" t="s">
        <v>26</v>
      </c>
      <c r="K18" s="79">
        <f t="shared" ref="K18:R18" si="1">SUM(K14:K16)</f>
        <v>990870</v>
      </c>
      <c r="L18" s="79">
        <f t="shared" si="1"/>
        <v>399222</v>
      </c>
      <c r="M18" s="79">
        <f t="shared" si="1"/>
        <v>182481</v>
      </c>
      <c r="N18" s="79">
        <f t="shared" si="1"/>
        <v>52325</v>
      </c>
      <c r="O18" s="79">
        <f t="shared" si="1"/>
        <v>25331</v>
      </c>
      <c r="P18" s="79">
        <f t="shared" si="1"/>
        <v>226345</v>
      </c>
      <c r="Q18" s="79">
        <f t="shared" si="1"/>
        <v>63641</v>
      </c>
      <c r="R18" s="79">
        <f t="shared" si="1"/>
        <v>1940215</v>
      </c>
    </row>
    <row r="19" spans="2:18">
      <c r="K19" s="73"/>
      <c r="L19" s="73"/>
      <c r="M19" s="73"/>
      <c r="N19" s="73"/>
      <c r="O19" s="73"/>
      <c r="P19" s="73"/>
      <c r="Q19" s="73"/>
      <c r="R19" s="73"/>
    </row>
    <row r="20" spans="2:18">
      <c r="B20" t="s">
        <v>122</v>
      </c>
      <c r="K20" s="73"/>
      <c r="L20" s="73"/>
      <c r="M20" s="73"/>
      <c r="N20" s="73"/>
      <c r="O20" s="73"/>
      <c r="P20" s="73"/>
      <c r="Q20" s="73"/>
      <c r="R20" s="73"/>
    </row>
    <row r="21" spans="2:18">
      <c r="C21" t="s">
        <v>104</v>
      </c>
      <c r="K21" s="73"/>
      <c r="L21" s="73"/>
      <c r="M21" s="73"/>
      <c r="N21" s="73"/>
      <c r="O21" s="73"/>
      <c r="P21" s="73"/>
      <c r="Q21" s="73">
        <v>4374</v>
      </c>
      <c r="R21" s="73">
        <f>SUM(K21:Q21)</f>
        <v>4374</v>
      </c>
    </row>
    <row r="22" spans="2:18">
      <c r="C22" t="s">
        <v>67</v>
      </c>
      <c r="K22" s="73"/>
      <c r="L22" s="73"/>
      <c r="M22" s="73"/>
      <c r="N22" s="73"/>
      <c r="O22" s="73"/>
      <c r="P22" s="73"/>
      <c r="Q22" s="73"/>
      <c r="R22" s="73"/>
    </row>
    <row r="23" spans="2:18">
      <c r="D23" t="s">
        <v>69</v>
      </c>
      <c r="K23" s="73"/>
      <c r="L23" s="73"/>
      <c r="M23" s="73">
        <v>368907</v>
      </c>
      <c r="N23" s="73"/>
      <c r="O23" s="73"/>
      <c r="P23" s="73">
        <v>-221512</v>
      </c>
      <c r="Q23" s="73"/>
      <c r="R23" s="73">
        <f t="shared" ref="R23:R28" si="2">SUM(K23:Q23)</f>
        <v>147395</v>
      </c>
    </row>
    <row r="24" spans="2:18">
      <c r="D24" t="s">
        <v>71</v>
      </c>
      <c r="K24" s="73"/>
      <c r="L24" s="73">
        <v>332037</v>
      </c>
      <c r="M24" s="73"/>
      <c r="N24" s="73">
        <v>689909</v>
      </c>
      <c r="O24" s="73"/>
      <c r="P24" s="73"/>
      <c r="Q24" s="73">
        <v>1211014</v>
      </c>
      <c r="R24" s="73">
        <f t="shared" si="2"/>
        <v>2232960</v>
      </c>
    </row>
    <row r="25" spans="2:18">
      <c r="D25" t="s">
        <v>106</v>
      </c>
      <c r="K25" s="73"/>
      <c r="L25" s="73"/>
      <c r="M25" s="73"/>
      <c r="N25" s="73"/>
      <c r="O25" s="73"/>
      <c r="P25" s="73"/>
      <c r="Q25" s="73">
        <v>217935</v>
      </c>
      <c r="R25" s="73">
        <f t="shared" si="2"/>
        <v>217935</v>
      </c>
    </row>
    <row r="26" spans="2:18">
      <c r="D26" t="s">
        <v>107</v>
      </c>
      <c r="K26" s="73"/>
      <c r="L26" s="73"/>
      <c r="M26" s="73"/>
      <c r="N26" s="73"/>
      <c r="O26" s="73">
        <v>1746909</v>
      </c>
      <c r="P26" s="73"/>
      <c r="Q26" s="73"/>
      <c r="R26" s="73">
        <f t="shared" si="2"/>
        <v>1746909</v>
      </c>
    </row>
    <row r="27" spans="2:18">
      <c r="C27" t="s">
        <v>259</v>
      </c>
      <c r="K27" s="73"/>
      <c r="L27" s="73"/>
      <c r="M27" s="73"/>
      <c r="N27" s="73"/>
      <c r="O27" s="73"/>
      <c r="P27" s="73"/>
      <c r="Q27" s="73">
        <v>84427</v>
      </c>
      <c r="R27" s="73">
        <f t="shared" si="2"/>
        <v>84427</v>
      </c>
    </row>
    <row r="28" spans="2:18">
      <c r="C28" t="s">
        <v>46</v>
      </c>
      <c r="K28" s="84">
        <v>868035</v>
      </c>
      <c r="L28" s="73"/>
      <c r="M28" s="73"/>
      <c r="N28" s="73"/>
      <c r="O28" s="73"/>
      <c r="P28" s="73"/>
      <c r="Q28" s="73"/>
      <c r="R28" s="73">
        <f t="shared" si="2"/>
        <v>868035</v>
      </c>
    </row>
    <row r="29" spans="2:18">
      <c r="K29" s="73"/>
      <c r="L29" s="73"/>
      <c r="M29" s="73"/>
      <c r="N29" s="73"/>
      <c r="O29" s="73"/>
      <c r="P29" s="73"/>
      <c r="Q29" s="73"/>
      <c r="R29" s="73"/>
    </row>
    <row r="30" spans="2:18" s="5" customFormat="1">
      <c r="D30" s="6"/>
      <c r="E30" s="6" t="s">
        <v>448</v>
      </c>
      <c r="K30" s="79">
        <f t="shared" ref="K30:R30" si="3">SUM(K21:K28)</f>
        <v>868035</v>
      </c>
      <c r="L30" s="79">
        <f t="shared" si="3"/>
        <v>332037</v>
      </c>
      <c r="M30" s="79">
        <f t="shared" si="3"/>
        <v>368907</v>
      </c>
      <c r="N30" s="79">
        <f t="shared" si="3"/>
        <v>689909</v>
      </c>
      <c r="O30" s="79">
        <f t="shared" si="3"/>
        <v>1746909</v>
      </c>
      <c r="P30" s="79">
        <f t="shared" si="3"/>
        <v>-221512</v>
      </c>
      <c r="Q30" s="79">
        <f t="shared" si="3"/>
        <v>1517750</v>
      </c>
      <c r="R30" s="79">
        <f t="shared" si="3"/>
        <v>5302035</v>
      </c>
    </row>
    <row r="31" spans="2:18">
      <c r="K31" s="73"/>
      <c r="L31" s="73"/>
      <c r="M31" s="73"/>
      <c r="N31" s="73"/>
      <c r="O31" s="73"/>
      <c r="P31" s="73"/>
      <c r="Q31" s="73"/>
      <c r="R31" s="73"/>
    </row>
    <row r="32" spans="2:18" s="7" customFormat="1">
      <c r="D32" s="8"/>
      <c r="E32" s="8" t="s">
        <v>48</v>
      </c>
      <c r="K32" s="81">
        <f t="shared" ref="K32:R32" si="4">K30+K18</f>
        <v>1858905</v>
      </c>
      <c r="L32" s="81">
        <f t="shared" si="4"/>
        <v>731259</v>
      </c>
      <c r="M32" s="81">
        <f t="shared" si="4"/>
        <v>551388</v>
      </c>
      <c r="N32" s="81">
        <f t="shared" si="4"/>
        <v>742234</v>
      </c>
      <c r="O32" s="81">
        <f t="shared" si="4"/>
        <v>1772240</v>
      </c>
      <c r="P32" s="81">
        <f t="shared" si="4"/>
        <v>4833</v>
      </c>
      <c r="Q32" s="81">
        <f t="shared" si="4"/>
        <v>1581391</v>
      </c>
      <c r="R32" s="81">
        <f t="shared" si="4"/>
        <v>7242250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33"/>
  <sheetViews>
    <sheetView workbookViewId="0">
      <selection activeCell="K33" sqref="K33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4" width="19.42578125" customWidth="1"/>
    <col min="15" max="15" width="17.7109375" customWidth="1"/>
    <col min="16" max="16" width="16.42578125" customWidth="1"/>
    <col min="17" max="17" width="15.85546875" customWidth="1"/>
    <col min="18" max="18" width="18.28515625" customWidth="1"/>
    <col min="19" max="19" width="17.42578125" customWidth="1"/>
  </cols>
  <sheetData>
    <row r="1" spans="1:19" ht="18.75">
      <c r="D1" s="251" t="s">
        <v>449</v>
      </c>
      <c r="E1" s="251"/>
      <c r="F1" s="251"/>
      <c r="G1" s="251"/>
      <c r="H1" s="251"/>
      <c r="I1" s="251"/>
      <c r="J1" s="251"/>
      <c r="K1" s="251"/>
    </row>
    <row r="2" spans="1:19">
      <c r="D2" s="252" t="s">
        <v>1</v>
      </c>
      <c r="E2" s="252"/>
      <c r="F2" s="252"/>
      <c r="G2" s="252"/>
      <c r="H2" s="252"/>
      <c r="I2" s="252"/>
      <c r="J2" s="252"/>
      <c r="K2" s="252"/>
    </row>
    <row r="4" spans="1:19" ht="60">
      <c r="K4" s="1" t="s">
        <v>2</v>
      </c>
      <c r="L4" s="1" t="s">
        <v>450</v>
      </c>
      <c r="M4" s="1" t="s">
        <v>451</v>
      </c>
      <c r="N4" s="1" t="s">
        <v>452</v>
      </c>
      <c r="O4" s="1" t="s">
        <v>145</v>
      </c>
      <c r="P4" s="1" t="s">
        <v>453</v>
      </c>
      <c r="Q4" s="1" t="s">
        <v>454</v>
      </c>
      <c r="R4" s="1" t="s">
        <v>56</v>
      </c>
      <c r="S4" s="1" t="s">
        <v>7</v>
      </c>
    </row>
    <row r="5" spans="1:19">
      <c r="A5" t="s">
        <v>8</v>
      </c>
    </row>
    <row r="6" spans="1:19">
      <c r="B6" t="s">
        <v>85</v>
      </c>
      <c r="K6" s="72">
        <v>204938</v>
      </c>
      <c r="L6" s="73">
        <v>1865824</v>
      </c>
      <c r="M6" s="73">
        <v>1265229</v>
      </c>
      <c r="N6" s="73">
        <v>419959</v>
      </c>
      <c r="O6" s="73">
        <v>38202</v>
      </c>
      <c r="P6" s="73">
        <v>114368</v>
      </c>
      <c r="Q6" s="73">
        <v>374947</v>
      </c>
      <c r="R6" s="73">
        <v>5184418</v>
      </c>
      <c r="S6" s="73">
        <f t="shared" ref="S6:S11" si="0">SUM(K6:R6)</f>
        <v>9467885</v>
      </c>
    </row>
    <row r="7" spans="1:19">
      <c r="B7" t="s">
        <v>10</v>
      </c>
      <c r="K7" s="77">
        <v>2057619</v>
      </c>
      <c r="L7" s="73">
        <v>536000</v>
      </c>
      <c r="M7" s="73">
        <v>1012717</v>
      </c>
      <c r="N7" s="73">
        <v>2420098</v>
      </c>
      <c r="O7" s="73"/>
      <c r="P7" s="73">
        <v>2970546</v>
      </c>
      <c r="Q7" s="73">
        <v>9975070</v>
      </c>
      <c r="R7" s="73">
        <v>3499446</v>
      </c>
      <c r="S7" s="73">
        <f t="shared" si="0"/>
        <v>22471496</v>
      </c>
    </row>
    <row r="8" spans="1:19">
      <c r="B8" t="s">
        <v>58</v>
      </c>
      <c r="K8" s="74">
        <v>1160680</v>
      </c>
      <c r="L8" s="73">
        <v>1647472</v>
      </c>
      <c r="M8" s="73">
        <v>1647018</v>
      </c>
      <c r="N8" s="73">
        <v>1848613</v>
      </c>
      <c r="O8" s="73">
        <v>601420</v>
      </c>
      <c r="P8" s="73">
        <v>2400</v>
      </c>
      <c r="Q8" s="73"/>
      <c r="R8" s="73">
        <v>758403</v>
      </c>
      <c r="S8" s="73">
        <f t="shared" si="0"/>
        <v>7666006</v>
      </c>
    </row>
    <row r="9" spans="1:19">
      <c r="B9" t="s">
        <v>164</v>
      </c>
      <c r="K9" s="83">
        <v>5155</v>
      </c>
      <c r="L9" s="73">
        <v>1332</v>
      </c>
      <c r="M9" s="73">
        <v>1332</v>
      </c>
      <c r="N9" s="73"/>
      <c r="O9" s="73"/>
      <c r="P9" s="73"/>
      <c r="Q9" s="73"/>
      <c r="R9" s="73"/>
      <c r="S9" s="73">
        <f t="shared" si="0"/>
        <v>7819</v>
      </c>
    </row>
    <row r="10" spans="1:19">
      <c r="B10" t="s">
        <v>16</v>
      </c>
      <c r="K10" s="75">
        <v>1135940</v>
      </c>
      <c r="L10" s="73">
        <v>4619</v>
      </c>
      <c r="M10" s="73">
        <v>4624</v>
      </c>
      <c r="N10" s="73"/>
      <c r="O10" s="73">
        <v>4327</v>
      </c>
      <c r="P10" s="73"/>
      <c r="Q10" s="73"/>
      <c r="R10" s="73">
        <v>817628</v>
      </c>
      <c r="S10" s="73">
        <f t="shared" si="0"/>
        <v>1967138</v>
      </c>
    </row>
    <row r="11" spans="1:19">
      <c r="B11" t="s">
        <v>455</v>
      </c>
      <c r="K11" s="75">
        <v>788916</v>
      </c>
      <c r="L11" s="73"/>
      <c r="M11" s="73"/>
      <c r="N11" s="73"/>
      <c r="O11" s="73"/>
      <c r="P11" s="73"/>
      <c r="Q11" s="73"/>
      <c r="R11" s="73">
        <v>25082</v>
      </c>
      <c r="S11" s="73">
        <f t="shared" si="0"/>
        <v>813998</v>
      </c>
    </row>
    <row r="12" spans="1:19">
      <c r="B12" t="s">
        <v>60</v>
      </c>
      <c r="K12" s="73"/>
      <c r="L12" s="73">
        <v>11582</v>
      </c>
      <c r="M12" s="73"/>
      <c r="N12" s="73"/>
      <c r="O12" s="73"/>
      <c r="P12" s="73"/>
      <c r="Q12" s="73"/>
      <c r="R12" s="73"/>
      <c r="S12" s="73">
        <f t="shared" ref="S12" si="1">SUM(K12:N12)</f>
        <v>11582</v>
      </c>
    </row>
    <row r="13" spans="1:19">
      <c r="K13" s="73"/>
      <c r="L13" s="73"/>
      <c r="M13" s="73"/>
      <c r="N13" s="73"/>
      <c r="O13" s="73"/>
      <c r="P13" s="73"/>
      <c r="Q13" s="73"/>
      <c r="R13" s="73"/>
      <c r="S13" s="73"/>
    </row>
    <row r="14" spans="1:19" s="3" customFormat="1">
      <c r="E14" s="3" t="s">
        <v>62</v>
      </c>
      <c r="K14" s="76">
        <f t="shared" ref="K14:Q14" si="2">SUM(K6:K12)</f>
        <v>5353248</v>
      </c>
      <c r="L14" s="76">
        <f t="shared" si="2"/>
        <v>4066829</v>
      </c>
      <c r="M14" s="76">
        <f t="shared" si="2"/>
        <v>3930920</v>
      </c>
      <c r="N14" s="76">
        <f t="shared" si="2"/>
        <v>4688670</v>
      </c>
      <c r="O14" s="76">
        <f t="shared" si="2"/>
        <v>643949</v>
      </c>
      <c r="P14" s="76">
        <f t="shared" si="2"/>
        <v>3087314</v>
      </c>
      <c r="Q14" s="76">
        <f t="shared" si="2"/>
        <v>10350017</v>
      </c>
      <c r="R14" s="76">
        <f>SUM(R6:R12)</f>
        <v>10284977</v>
      </c>
      <c r="S14" s="76">
        <f>SUM(S6:S12)</f>
        <v>42405924</v>
      </c>
    </row>
    <row r="15" spans="1:19">
      <c r="K15" s="73"/>
      <c r="L15" s="73"/>
      <c r="M15" s="73"/>
      <c r="N15" s="73"/>
      <c r="O15" s="73"/>
      <c r="P15" s="73"/>
      <c r="Q15" s="73"/>
      <c r="R15" s="73"/>
      <c r="S15" s="73"/>
    </row>
    <row r="16" spans="1:19">
      <c r="A16" s="185" t="s">
        <v>19</v>
      </c>
      <c r="K16" s="73"/>
      <c r="L16" s="73"/>
      <c r="M16" s="73"/>
      <c r="N16" s="73"/>
      <c r="O16" s="73"/>
      <c r="P16" s="73"/>
      <c r="Q16" s="73"/>
      <c r="R16" s="73"/>
      <c r="S16" s="73"/>
    </row>
    <row r="17" spans="2:19">
      <c r="B17" t="s">
        <v>20</v>
      </c>
      <c r="K17" s="73"/>
      <c r="L17" s="73"/>
      <c r="M17" s="73"/>
      <c r="N17" s="73"/>
      <c r="O17" s="73"/>
      <c r="P17" s="73"/>
      <c r="Q17" s="73"/>
      <c r="R17" s="73"/>
      <c r="S17" s="73"/>
    </row>
    <row r="18" spans="2:19">
      <c r="C18" t="s">
        <v>21</v>
      </c>
      <c r="K18" s="77">
        <v>327241</v>
      </c>
      <c r="L18" s="73">
        <v>52872</v>
      </c>
      <c r="M18" s="73">
        <v>52856</v>
      </c>
      <c r="N18" s="73">
        <v>119766</v>
      </c>
      <c r="O18" s="73">
        <v>593193</v>
      </c>
      <c r="P18" s="73"/>
      <c r="Q18" s="73">
        <v>1985</v>
      </c>
      <c r="R18" s="73">
        <v>107160</v>
      </c>
      <c r="S18" s="73">
        <f>SUM(K18:R18)</f>
        <v>1255073</v>
      </c>
    </row>
    <row r="19" spans="2:19">
      <c r="C19" t="s">
        <v>25</v>
      </c>
      <c r="K19" s="78">
        <v>1220242</v>
      </c>
      <c r="L19" s="73"/>
      <c r="M19" s="73"/>
      <c r="N19" s="73"/>
      <c r="O19" s="73"/>
      <c r="P19" s="73"/>
      <c r="Q19" s="73">
        <v>348032</v>
      </c>
      <c r="R19" s="73">
        <v>398864</v>
      </c>
      <c r="S19" s="73">
        <f>SUM(K19:R19)</f>
        <v>1967138</v>
      </c>
    </row>
    <row r="20" spans="2:19">
      <c r="C20" t="s">
        <v>456</v>
      </c>
      <c r="K20" s="78">
        <v>440046</v>
      </c>
      <c r="L20" s="73"/>
      <c r="M20" s="73"/>
      <c r="N20" s="73"/>
      <c r="O20" s="73"/>
      <c r="P20" s="73"/>
      <c r="Q20" s="73"/>
      <c r="R20" s="73">
        <v>280914</v>
      </c>
      <c r="S20" s="73">
        <f>SUM(K20:R20)</f>
        <v>720960</v>
      </c>
    </row>
    <row r="21" spans="2:19">
      <c r="K21" s="73"/>
      <c r="L21" s="73"/>
      <c r="M21" s="73"/>
      <c r="N21" s="73"/>
      <c r="O21" s="73"/>
      <c r="P21" s="73"/>
      <c r="Q21" s="73"/>
      <c r="R21" s="73"/>
      <c r="S21" s="73"/>
    </row>
    <row r="22" spans="2:19" s="5" customFormat="1">
      <c r="E22" s="5" t="s">
        <v>26</v>
      </c>
      <c r="K22" s="79">
        <f t="shared" ref="K22:N22" si="3">SUM(K18:K20)</f>
        <v>1987529</v>
      </c>
      <c r="L22" s="79">
        <f t="shared" si="3"/>
        <v>52872</v>
      </c>
      <c r="M22" s="79">
        <f t="shared" si="3"/>
        <v>52856</v>
      </c>
      <c r="N22" s="79">
        <f t="shared" si="3"/>
        <v>119766</v>
      </c>
      <c r="O22" s="79">
        <f>SUM(O18:O20)</f>
        <v>593193</v>
      </c>
      <c r="P22" s="79">
        <f t="shared" ref="P22:Q22" si="4">SUM(P18:P20)</f>
        <v>0</v>
      </c>
      <c r="Q22" s="79">
        <f t="shared" si="4"/>
        <v>350017</v>
      </c>
      <c r="R22" s="79">
        <f>SUM(R18:R20)</f>
        <v>786938</v>
      </c>
      <c r="S22" s="79">
        <f>SUM(S18:S20)</f>
        <v>3943171</v>
      </c>
    </row>
    <row r="23" spans="2:19">
      <c r="K23" s="73"/>
      <c r="L23" s="73"/>
      <c r="M23" s="73"/>
      <c r="N23" s="73"/>
      <c r="O23" s="73"/>
      <c r="Q23" s="73"/>
      <c r="R23" s="73"/>
      <c r="S23" s="73"/>
    </row>
    <row r="24" spans="2:19">
      <c r="B24" t="s">
        <v>30</v>
      </c>
      <c r="K24" s="73"/>
      <c r="L24" s="73"/>
      <c r="M24" s="73"/>
      <c r="N24" s="73"/>
      <c r="O24" s="73"/>
      <c r="P24" s="73"/>
      <c r="Q24" s="73"/>
      <c r="R24" s="73"/>
      <c r="S24" s="73"/>
    </row>
    <row r="25" spans="2:19">
      <c r="C25" t="s">
        <v>104</v>
      </c>
      <c r="K25" s="80">
        <v>5155</v>
      </c>
      <c r="L25" s="73">
        <v>11582</v>
      </c>
      <c r="M25" s="73"/>
      <c r="N25" s="73"/>
      <c r="O25" s="73"/>
      <c r="P25" s="73"/>
      <c r="Q25" s="73"/>
      <c r="R25" s="73"/>
      <c r="S25" s="73">
        <f>SUM(K25:R25)</f>
        <v>16737</v>
      </c>
    </row>
    <row r="26" spans="2:19">
      <c r="C26" t="s">
        <v>208</v>
      </c>
      <c r="K26" s="73"/>
      <c r="L26" s="73"/>
      <c r="M26" s="73"/>
      <c r="N26" s="73"/>
      <c r="O26" s="73"/>
      <c r="P26" s="73"/>
      <c r="Q26" s="73"/>
      <c r="R26" s="73">
        <v>432059</v>
      </c>
      <c r="S26" s="73">
        <f>SUM(K26:R26)</f>
        <v>432059</v>
      </c>
    </row>
    <row r="27" spans="2:19">
      <c r="C27" t="s">
        <v>259</v>
      </c>
      <c r="K27" s="73"/>
      <c r="L27" s="73"/>
      <c r="M27" s="73"/>
      <c r="N27" s="73"/>
      <c r="O27" s="73"/>
      <c r="P27" s="73"/>
      <c r="Q27" s="73"/>
      <c r="R27" s="73"/>
      <c r="S27" s="73">
        <f>SUM(K27:R27)</f>
        <v>0</v>
      </c>
    </row>
    <row r="28" spans="2:19">
      <c r="C28" t="s">
        <v>89</v>
      </c>
      <c r="K28" s="214"/>
      <c r="L28" s="73">
        <v>4002375</v>
      </c>
      <c r="M28" s="73">
        <v>3878064</v>
      </c>
      <c r="N28" s="73">
        <v>4568904</v>
      </c>
      <c r="O28" s="73">
        <v>50756</v>
      </c>
      <c r="P28" s="73">
        <v>3087314</v>
      </c>
      <c r="Q28" s="73">
        <v>10000000</v>
      </c>
      <c r="R28" s="73">
        <v>9065980</v>
      </c>
      <c r="S28" s="73">
        <f>SUM(K28:R28)</f>
        <v>34653393</v>
      </c>
    </row>
    <row r="29" spans="2:19">
      <c r="C29" t="s">
        <v>46</v>
      </c>
      <c r="K29" s="84">
        <v>3360564</v>
      </c>
      <c r="L29" s="73"/>
      <c r="M29" s="73"/>
      <c r="N29" s="73"/>
      <c r="O29" s="73"/>
      <c r="P29" s="73"/>
      <c r="Q29" s="73"/>
      <c r="R29" s="73"/>
      <c r="S29" s="73">
        <f t="shared" ref="S29" si="5">SUM(K29:N29)</f>
        <v>3360564</v>
      </c>
    </row>
    <row r="30" spans="2:19">
      <c r="K30" s="73"/>
      <c r="L30" s="73"/>
      <c r="M30" s="73"/>
      <c r="N30" s="73"/>
      <c r="O30" s="73"/>
      <c r="P30" s="73"/>
      <c r="Q30" s="73"/>
      <c r="R30" s="73"/>
      <c r="S30" s="73"/>
    </row>
    <row r="31" spans="2:19" s="5" customFormat="1">
      <c r="E31" s="5" t="s">
        <v>457</v>
      </c>
      <c r="K31" s="79">
        <f>SUM(K25:K30)</f>
        <v>3365719</v>
      </c>
      <c r="L31" s="79">
        <f>SUM(L25:L29)</f>
        <v>4013957</v>
      </c>
      <c r="M31" s="79">
        <f t="shared" ref="M31:Q31" si="6">SUM(M25:M29)</f>
        <v>3878064</v>
      </c>
      <c r="N31" s="79">
        <f t="shared" si="6"/>
        <v>4568904</v>
      </c>
      <c r="O31" s="79">
        <f t="shared" si="6"/>
        <v>50756</v>
      </c>
      <c r="P31" s="79">
        <f t="shared" si="6"/>
        <v>3087314</v>
      </c>
      <c r="Q31" s="79">
        <f t="shared" si="6"/>
        <v>10000000</v>
      </c>
      <c r="R31" s="79">
        <f>SUM(R25:R29)</f>
        <v>9498039</v>
      </c>
      <c r="S31" s="79">
        <f>SUM(S24:S29)</f>
        <v>38462753</v>
      </c>
    </row>
    <row r="32" spans="2:19">
      <c r="K32" s="73"/>
      <c r="L32" s="73"/>
      <c r="M32" s="73"/>
      <c r="N32" s="73"/>
      <c r="O32" s="73"/>
      <c r="P32" s="73"/>
      <c r="Q32" s="73"/>
      <c r="R32" s="73"/>
      <c r="S32" s="73"/>
    </row>
    <row r="33" spans="5:19" s="7" customFormat="1">
      <c r="E33" s="7" t="s">
        <v>458</v>
      </c>
      <c r="K33" s="81">
        <f>K31+K22</f>
        <v>5353248</v>
      </c>
      <c r="L33" s="81">
        <f t="shared" ref="L33:S33" si="7">L31+L22</f>
        <v>4066829</v>
      </c>
      <c r="M33" s="81">
        <f t="shared" si="7"/>
        <v>3930920</v>
      </c>
      <c r="N33" s="81">
        <f t="shared" si="7"/>
        <v>4688670</v>
      </c>
      <c r="O33" s="81">
        <f>O31+O22</f>
        <v>643949</v>
      </c>
      <c r="P33" s="81">
        <f t="shared" si="7"/>
        <v>3087314</v>
      </c>
      <c r="Q33" s="81">
        <f t="shared" si="7"/>
        <v>10350017</v>
      </c>
      <c r="R33" s="81">
        <f t="shared" si="7"/>
        <v>10284977</v>
      </c>
      <c r="S33" s="81">
        <f t="shared" si="7"/>
        <v>42405924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61"/>
  <sheetViews>
    <sheetView zoomScale="60" zoomScaleNormal="60" zoomScalePageLayoutView="60" workbookViewId="0">
      <selection activeCell="K56" sqref="K56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7" width="19.42578125" customWidth="1"/>
    <col min="18" max="18" width="19.85546875" bestFit="1" customWidth="1"/>
  </cols>
  <sheetData>
    <row r="1" spans="1:18" ht="18.75">
      <c r="D1" s="251" t="s">
        <v>459</v>
      </c>
      <c r="E1" s="251"/>
      <c r="F1" s="251"/>
      <c r="G1" s="251"/>
      <c r="H1" s="251"/>
      <c r="I1" s="251"/>
      <c r="J1" s="251"/>
      <c r="K1" s="251"/>
    </row>
    <row r="2" spans="1:18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8">
      <c r="D3" s="57"/>
      <c r="E3" s="57"/>
      <c r="F3" s="57"/>
      <c r="G3" s="57"/>
      <c r="H3" s="57"/>
      <c r="I3" s="57"/>
      <c r="J3" s="57"/>
      <c r="K3" s="57"/>
    </row>
    <row r="4" spans="1:18">
      <c r="K4" s="254" t="s">
        <v>247</v>
      </c>
      <c r="L4" s="254"/>
      <c r="M4" s="254"/>
    </row>
    <row r="5" spans="1:18" ht="43.5" customHeight="1">
      <c r="K5" s="114" t="s">
        <v>460</v>
      </c>
      <c r="L5" s="114" t="s">
        <v>461</v>
      </c>
      <c r="M5" s="114" t="s">
        <v>462</v>
      </c>
      <c r="N5" s="114" t="s">
        <v>262</v>
      </c>
      <c r="O5" s="114" t="s">
        <v>463</v>
      </c>
      <c r="P5" s="114" t="s">
        <v>464</v>
      </c>
      <c r="Q5" s="114" t="s">
        <v>465</v>
      </c>
      <c r="R5" s="114" t="s">
        <v>7</v>
      </c>
    </row>
    <row r="6" spans="1:18">
      <c r="A6" s="86" t="s">
        <v>8</v>
      </c>
    </row>
    <row r="7" spans="1:18">
      <c r="B7" t="s">
        <v>85</v>
      </c>
      <c r="K7" s="72">
        <v>159272</v>
      </c>
      <c r="L7" s="73">
        <v>1928496</v>
      </c>
      <c r="M7" s="73"/>
      <c r="N7" s="73">
        <v>4158134</v>
      </c>
      <c r="O7" s="73"/>
      <c r="P7" s="73"/>
      <c r="Q7" s="73">
        <v>3479585</v>
      </c>
      <c r="R7" s="73">
        <f>SUM(K7:Q7)</f>
        <v>9725487</v>
      </c>
    </row>
    <row r="8" spans="1:18">
      <c r="B8" t="s">
        <v>466</v>
      </c>
      <c r="K8" s="72">
        <v>1550475</v>
      </c>
      <c r="L8" s="73"/>
      <c r="M8" s="73"/>
      <c r="N8" s="73"/>
      <c r="O8" s="73"/>
      <c r="P8" s="73"/>
      <c r="Q8" s="73"/>
      <c r="R8" s="73">
        <f t="shared" ref="R8:R18" si="0">SUM(K8:Q8)</f>
        <v>1550475</v>
      </c>
    </row>
    <row r="9" spans="1:18">
      <c r="B9" t="s">
        <v>10</v>
      </c>
      <c r="K9" s="37">
        <v>71236</v>
      </c>
      <c r="L9" s="73">
        <v>3068115</v>
      </c>
      <c r="M9" s="73"/>
      <c r="N9" s="73">
        <v>268772</v>
      </c>
      <c r="O9" s="73"/>
      <c r="P9" s="73"/>
      <c r="Q9" s="73"/>
      <c r="R9" s="73">
        <f t="shared" si="0"/>
        <v>3408123</v>
      </c>
    </row>
    <row r="10" spans="1:18">
      <c r="B10" t="s">
        <v>467</v>
      </c>
      <c r="K10" s="74">
        <v>487999</v>
      </c>
      <c r="L10" s="73">
        <v>80</v>
      </c>
      <c r="M10" s="73">
        <v>49</v>
      </c>
      <c r="N10" s="73">
        <v>1070</v>
      </c>
      <c r="O10" s="73"/>
      <c r="P10" s="73"/>
      <c r="Q10" s="73">
        <v>424735</v>
      </c>
      <c r="R10" s="73">
        <f t="shared" si="0"/>
        <v>913933</v>
      </c>
    </row>
    <row r="11" spans="1:18">
      <c r="B11" t="s">
        <v>468</v>
      </c>
      <c r="K11" s="73"/>
      <c r="L11" s="73"/>
      <c r="M11" s="73"/>
      <c r="N11" s="73"/>
      <c r="O11" s="73"/>
      <c r="P11" s="73"/>
      <c r="Q11" s="73"/>
      <c r="R11" s="73">
        <f t="shared" si="0"/>
        <v>0</v>
      </c>
    </row>
    <row r="12" spans="1:18">
      <c r="C12" t="s">
        <v>57</v>
      </c>
      <c r="K12" s="72">
        <v>90364</v>
      </c>
      <c r="L12" s="73"/>
      <c r="M12" s="73"/>
      <c r="N12" s="73"/>
      <c r="O12" s="73">
        <v>1161340</v>
      </c>
      <c r="P12" s="73">
        <v>3471867</v>
      </c>
      <c r="Q12" s="73">
        <v>4051023</v>
      </c>
      <c r="R12" s="73">
        <f t="shared" si="0"/>
        <v>8774594</v>
      </c>
    </row>
    <row r="13" spans="1:18">
      <c r="B13" t="s">
        <v>469</v>
      </c>
      <c r="K13" s="73"/>
      <c r="L13" s="73"/>
      <c r="M13" s="73">
        <v>14210</v>
      </c>
      <c r="N13" s="73">
        <v>213055</v>
      </c>
      <c r="O13" s="73"/>
      <c r="P13" s="73"/>
      <c r="Q13" s="73"/>
      <c r="R13" s="73">
        <f t="shared" si="0"/>
        <v>227265</v>
      </c>
    </row>
    <row r="14" spans="1:18">
      <c r="B14" t="s">
        <v>164</v>
      </c>
      <c r="K14" s="73"/>
      <c r="L14" s="73"/>
      <c r="M14" s="73"/>
      <c r="N14" s="73">
        <v>132881</v>
      </c>
      <c r="O14" s="73"/>
      <c r="P14" s="73"/>
      <c r="Q14" s="73"/>
      <c r="R14" s="73">
        <f t="shared" si="0"/>
        <v>132881</v>
      </c>
    </row>
    <row r="15" spans="1:18">
      <c r="B15" t="s">
        <v>17</v>
      </c>
      <c r="K15" s="73"/>
      <c r="L15" s="73"/>
      <c r="M15" s="73"/>
      <c r="N15" s="73"/>
      <c r="O15" s="73"/>
      <c r="P15" s="73"/>
      <c r="Q15" s="73">
        <v>116951</v>
      </c>
      <c r="R15" s="73">
        <f t="shared" si="0"/>
        <v>116951</v>
      </c>
    </row>
    <row r="16" spans="1:18">
      <c r="B16" t="s">
        <v>16</v>
      </c>
      <c r="K16" s="75">
        <v>4026470</v>
      </c>
      <c r="L16" s="73"/>
      <c r="M16" s="73"/>
      <c r="N16" s="73">
        <v>1388509</v>
      </c>
      <c r="O16" s="73"/>
      <c r="P16" s="73"/>
      <c r="Q16" s="73">
        <v>153329</v>
      </c>
      <c r="R16" s="73">
        <f t="shared" si="0"/>
        <v>5568308</v>
      </c>
    </row>
    <row r="17" spans="1:18">
      <c r="B17" t="s">
        <v>59</v>
      </c>
      <c r="K17" s="75">
        <v>1883691</v>
      </c>
      <c r="L17" s="73">
        <v>1829439</v>
      </c>
      <c r="M17" s="73">
        <v>690606</v>
      </c>
      <c r="N17" s="73">
        <v>4351426</v>
      </c>
      <c r="O17" s="73"/>
      <c r="P17" s="73"/>
      <c r="Q17" s="73">
        <v>1579017</v>
      </c>
      <c r="R17" s="73">
        <f t="shared" si="0"/>
        <v>10334179</v>
      </c>
    </row>
    <row r="18" spans="1:18">
      <c r="B18" t="s">
        <v>470</v>
      </c>
      <c r="K18" s="82">
        <v>3431708</v>
      </c>
      <c r="L18" s="73">
        <v>300000</v>
      </c>
      <c r="M18" s="73"/>
      <c r="N18" s="73"/>
      <c r="O18" s="85"/>
      <c r="P18" s="85"/>
      <c r="Q18" s="85"/>
      <c r="R18" s="73">
        <f t="shared" si="0"/>
        <v>3731708</v>
      </c>
    </row>
    <row r="19" spans="1:18">
      <c r="K19" s="93"/>
      <c r="L19" s="93"/>
      <c r="M19" s="93"/>
      <c r="N19" s="93"/>
      <c r="O19" s="73"/>
      <c r="P19" s="73"/>
      <c r="Q19" s="73"/>
      <c r="R19" s="73"/>
    </row>
    <row r="20" spans="1:18" s="3" customFormat="1">
      <c r="A20" s="2"/>
      <c r="B20" s="2"/>
      <c r="C20" s="2"/>
      <c r="D20" s="2"/>
      <c r="E20" s="2" t="s">
        <v>62</v>
      </c>
      <c r="K20" s="76">
        <f t="shared" ref="K20:R20" si="1">SUM(K7:K18)</f>
        <v>11701215</v>
      </c>
      <c r="L20" s="76">
        <f t="shared" si="1"/>
        <v>7126130</v>
      </c>
      <c r="M20" s="76">
        <f t="shared" si="1"/>
        <v>704865</v>
      </c>
      <c r="N20" s="76">
        <f t="shared" si="1"/>
        <v>10513847</v>
      </c>
      <c r="O20" s="76">
        <f t="shared" si="1"/>
        <v>1161340</v>
      </c>
      <c r="P20" s="76">
        <f t="shared" si="1"/>
        <v>3471867</v>
      </c>
      <c r="Q20" s="76">
        <f t="shared" si="1"/>
        <v>9804640</v>
      </c>
      <c r="R20" s="76">
        <f t="shared" si="1"/>
        <v>44483904</v>
      </c>
    </row>
    <row r="21" spans="1:18">
      <c r="K21" s="73"/>
      <c r="L21" s="73"/>
      <c r="M21" s="73"/>
      <c r="N21" s="73"/>
      <c r="O21" s="73"/>
      <c r="P21" s="73"/>
      <c r="Q21" s="73"/>
      <c r="R21" s="73"/>
    </row>
    <row r="22" spans="1:18">
      <c r="A22" s="4" t="s">
        <v>19</v>
      </c>
      <c r="K22" s="73"/>
      <c r="L22" s="73"/>
      <c r="M22" s="73"/>
      <c r="N22" s="73"/>
      <c r="O22" s="73"/>
      <c r="P22" s="73"/>
      <c r="Q22" s="73"/>
      <c r="R22" s="73"/>
    </row>
    <row r="23" spans="1:18">
      <c r="B23" s="86" t="s">
        <v>20</v>
      </c>
      <c r="K23" s="73"/>
      <c r="L23" s="73"/>
      <c r="M23" s="73"/>
      <c r="N23" s="73"/>
      <c r="O23" s="73"/>
      <c r="P23" s="73"/>
      <c r="Q23" s="73"/>
      <c r="R23" s="73"/>
    </row>
    <row r="24" spans="1:18">
      <c r="C24" t="s">
        <v>471</v>
      </c>
      <c r="K24" s="77">
        <v>625412</v>
      </c>
      <c r="L24" s="73">
        <v>30450</v>
      </c>
      <c r="M24" s="73">
        <v>77101</v>
      </c>
      <c r="N24" s="73">
        <v>221383</v>
      </c>
      <c r="O24" s="73">
        <v>1228560</v>
      </c>
      <c r="P24" s="73"/>
      <c r="Q24" s="73">
        <v>1080409</v>
      </c>
      <c r="R24" s="73">
        <f>SUM(K24:Q24)</f>
        <v>3263315</v>
      </c>
    </row>
    <row r="25" spans="1:18">
      <c r="C25" t="s">
        <v>472</v>
      </c>
      <c r="K25" s="73"/>
      <c r="L25" s="73"/>
      <c r="M25" s="73">
        <v>1548516</v>
      </c>
      <c r="N25" s="73"/>
      <c r="O25" s="73"/>
      <c r="P25" s="73"/>
      <c r="Q25" s="73">
        <v>1959</v>
      </c>
      <c r="R25" s="73">
        <f t="shared" ref="R25:R31" si="2">SUM(K25:Q25)</f>
        <v>1550475</v>
      </c>
    </row>
    <row r="26" spans="1:18">
      <c r="C26" t="s">
        <v>473</v>
      </c>
      <c r="K26" s="77">
        <v>196958</v>
      </c>
      <c r="L26" s="73">
        <v>45752</v>
      </c>
      <c r="M26" s="73">
        <v>31196</v>
      </c>
      <c r="N26" s="73">
        <v>243134</v>
      </c>
      <c r="O26" s="73"/>
      <c r="P26" s="73"/>
      <c r="Q26" s="73">
        <v>18990</v>
      </c>
      <c r="R26" s="73">
        <f t="shared" si="2"/>
        <v>536030</v>
      </c>
    </row>
    <row r="27" spans="1:18">
      <c r="C27" t="s">
        <v>158</v>
      </c>
      <c r="K27" s="73"/>
      <c r="L27" s="73"/>
      <c r="M27" s="73"/>
      <c r="N27" s="73"/>
      <c r="O27" s="73"/>
      <c r="P27" s="73"/>
      <c r="Q27" s="73">
        <v>136508</v>
      </c>
      <c r="R27" s="73">
        <f t="shared" si="2"/>
        <v>136508</v>
      </c>
    </row>
    <row r="28" spans="1:18">
      <c r="C28" t="s">
        <v>159</v>
      </c>
      <c r="K28" s="78">
        <v>217430</v>
      </c>
      <c r="L28" s="73">
        <v>83014</v>
      </c>
      <c r="M28" s="73">
        <v>54063</v>
      </c>
      <c r="N28" s="73">
        <v>120634</v>
      </c>
      <c r="O28" s="73"/>
      <c r="P28" s="73"/>
      <c r="Q28" s="73">
        <v>28161</v>
      </c>
      <c r="R28" s="73">
        <f t="shared" si="2"/>
        <v>503302</v>
      </c>
    </row>
    <row r="29" spans="1:18">
      <c r="C29" t="s">
        <v>25</v>
      </c>
      <c r="K29" s="78">
        <v>991277</v>
      </c>
      <c r="L29" s="73">
        <v>227549</v>
      </c>
      <c r="M29" s="73">
        <v>2624842</v>
      </c>
      <c r="N29" s="73">
        <v>1303434</v>
      </c>
      <c r="O29" s="73"/>
      <c r="P29" s="73"/>
      <c r="Q29" s="73">
        <v>398823</v>
      </c>
      <c r="R29" s="73">
        <f t="shared" si="2"/>
        <v>5545925</v>
      </c>
    </row>
    <row r="30" spans="1:18">
      <c r="C30" t="s">
        <v>24</v>
      </c>
      <c r="K30" s="98">
        <v>19700</v>
      </c>
      <c r="L30" s="73"/>
      <c r="M30" s="73"/>
      <c r="N30" s="73"/>
      <c r="O30" s="73"/>
      <c r="P30" s="73"/>
      <c r="Q30" s="73"/>
      <c r="R30" s="73">
        <f t="shared" si="2"/>
        <v>19700</v>
      </c>
    </row>
    <row r="31" spans="1:18">
      <c r="C31" t="s">
        <v>474</v>
      </c>
      <c r="K31" s="73"/>
      <c r="L31" s="73"/>
      <c r="M31" s="73">
        <v>3731708</v>
      </c>
      <c r="N31" s="73"/>
      <c r="O31" s="85"/>
      <c r="P31" s="85"/>
      <c r="Q31" s="85"/>
      <c r="R31" s="85">
        <f t="shared" si="2"/>
        <v>3731708</v>
      </c>
    </row>
    <row r="32" spans="1:18">
      <c r="K32" s="93"/>
      <c r="L32" s="93"/>
      <c r="M32" s="93"/>
      <c r="N32" s="93"/>
      <c r="O32" s="73"/>
      <c r="P32" s="73"/>
      <c r="Q32" s="73"/>
      <c r="R32" s="73"/>
    </row>
    <row r="33" spans="2:18" s="5" customFormat="1">
      <c r="B33" s="6"/>
      <c r="C33" s="6"/>
      <c r="D33" s="6"/>
      <c r="E33" s="6" t="s">
        <v>26</v>
      </c>
      <c r="K33" s="79">
        <f>SUM(K24:K31)</f>
        <v>2050777</v>
      </c>
      <c r="L33" s="79">
        <f>SUM(L24:L31)</f>
        <v>386765</v>
      </c>
      <c r="M33" s="79">
        <f>SUM(M24:M31)</f>
        <v>8067426</v>
      </c>
      <c r="N33" s="79">
        <f>SUM(N24:N31)</f>
        <v>1888585</v>
      </c>
      <c r="O33" s="79">
        <f t="shared" ref="O33:Q33" si="3">SUM(O24:O31)</f>
        <v>1228560</v>
      </c>
      <c r="P33" s="79">
        <f t="shared" si="3"/>
        <v>0</v>
      </c>
      <c r="Q33" s="79">
        <f t="shared" si="3"/>
        <v>1664850</v>
      </c>
      <c r="R33" s="79">
        <f>SUM(R24:R31)</f>
        <v>15286963</v>
      </c>
    </row>
    <row r="34" spans="2:18">
      <c r="K34" s="73"/>
      <c r="L34" s="73"/>
      <c r="M34" s="73"/>
      <c r="N34" s="73"/>
      <c r="O34" s="73"/>
      <c r="P34" s="73"/>
      <c r="Q34" s="73"/>
      <c r="R34" s="73"/>
    </row>
    <row r="35" spans="2:18">
      <c r="B35" s="86" t="s">
        <v>30</v>
      </c>
      <c r="K35" s="73"/>
      <c r="L35" s="73"/>
      <c r="M35" s="73"/>
      <c r="N35" s="73"/>
      <c r="O35" s="73"/>
      <c r="P35" s="73"/>
      <c r="Q35" s="73"/>
      <c r="R35" s="73"/>
    </row>
    <row r="36" spans="2:18">
      <c r="C36" t="s">
        <v>475</v>
      </c>
      <c r="K36" s="73"/>
      <c r="L36" s="73"/>
      <c r="M36" s="73"/>
      <c r="N36" s="73"/>
      <c r="O36" s="73"/>
      <c r="P36" s="73"/>
      <c r="Q36" s="73"/>
      <c r="R36" s="73"/>
    </row>
    <row r="37" spans="2:18">
      <c r="D37" t="s">
        <v>60</v>
      </c>
      <c r="K37" s="73"/>
      <c r="L37" s="73"/>
      <c r="M37" s="73">
        <v>14210</v>
      </c>
      <c r="N37" s="73">
        <v>213055</v>
      </c>
      <c r="O37" s="73"/>
      <c r="P37" s="73"/>
      <c r="Q37" s="73"/>
      <c r="R37" s="73">
        <f>SUM(K37:Q37)</f>
        <v>227265</v>
      </c>
    </row>
    <row r="38" spans="2:18">
      <c r="D38" t="s">
        <v>476</v>
      </c>
      <c r="K38" s="80">
        <v>3431708</v>
      </c>
      <c r="L38" s="73">
        <v>300000</v>
      </c>
      <c r="M38" s="73"/>
      <c r="N38" s="73"/>
      <c r="O38" s="73"/>
      <c r="P38" s="73"/>
      <c r="Q38" s="73"/>
      <c r="R38" s="73">
        <f t="shared" ref="R38:R55" si="4">SUM(K38:Q38)</f>
        <v>3731708</v>
      </c>
    </row>
    <row r="39" spans="2:18">
      <c r="C39" t="s">
        <v>31</v>
      </c>
      <c r="K39" s="73"/>
      <c r="L39" s="73"/>
      <c r="M39" s="73"/>
      <c r="N39" s="73"/>
      <c r="O39" s="73"/>
      <c r="P39" s="73"/>
      <c r="Q39" s="73"/>
      <c r="R39" s="73"/>
    </row>
    <row r="40" spans="2:18">
      <c r="D40" t="s">
        <v>353</v>
      </c>
      <c r="K40" s="73"/>
      <c r="L40" s="73"/>
      <c r="M40" s="73"/>
      <c r="N40" s="73"/>
      <c r="O40" s="73"/>
      <c r="P40" s="73"/>
      <c r="Q40" s="73">
        <v>2452531</v>
      </c>
      <c r="R40" s="73">
        <f t="shared" si="4"/>
        <v>2452531</v>
      </c>
    </row>
    <row r="41" spans="2:18">
      <c r="D41" t="s">
        <v>477</v>
      </c>
      <c r="K41" s="73"/>
      <c r="L41" s="73"/>
      <c r="M41" s="73"/>
      <c r="N41" s="73"/>
      <c r="O41" s="73"/>
      <c r="P41" s="73"/>
      <c r="Q41" s="73">
        <v>58414</v>
      </c>
      <c r="R41" s="73">
        <f t="shared" si="4"/>
        <v>58414</v>
      </c>
    </row>
    <row r="42" spans="2:18">
      <c r="D42" t="s">
        <v>478</v>
      </c>
      <c r="K42" s="73"/>
      <c r="L42" s="73"/>
      <c r="M42" s="73"/>
      <c r="N42" s="73"/>
      <c r="O42" s="73"/>
      <c r="P42" s="73"/>
      <c r="Q42" s="73">
        <v>33480</v>
      </c>
      <c r="R42" s="73">
        <f t="shared" si="4"/>
        <v>33480</v>
      </c>
    </row>
    <row r="43" spans="2:18">
      <c r="D43" t="s">
        <v>73</v>
      </c>
      <c r="K43" s="73"/>
      <c r="L43" s="73"/>
      <c r="M43" s="73"/>
      <c r="N43" s="73"/>
      <c r="O43" s="73"/>
      <c r="P43" s="73">
        <v>3471867</v>
      </c>
      <c r="Q43" s="73">
        <v>5052388</v>
      </c>
      <c r="R43" s="73">
        <f t="shared" si="4"/>
        <v>8524255</v>
      </c>
    </row>
    <row r="44" spans="2:18">
      <c r="D44" t="s">
        <v>479</v>
      </c>
      <c r="K44" s="80">
        <v>90364</v>
      </c>
      <c r="L44" s="73"/>
      <c r="M44" s="73"/>
      <c r="N44" s="73"/>
      <c r="O44" s="73"/>
      <c r="P44" s="73"/>
      <c r="Q44" s="73"/>
      <c r="R44" s="73">
        <f t="shared" si="4"/>
        <v>90364</v>
      </c>
    </row>
    <row r="45" spans="2:18">
      <c r="C45" t="s">
        <v>218</v>
      </c>
      <c r="K45" s="73"/>
      <c r="L45" s="73"/>
      <c r="M45" s="73"/>
      <c r="N45" s="73"/>
      <c r="O45" s="73"/>
      <c r="P45" s="73"/>
      <c r="Q45" s="73"/>
      <c r="R45" s="73"/>
    </row>
    <row r="46" spans="2:18">
      <c r="D46" t="s">
        <v>353</v>
      </c>
      <c r="K46" s="73"/>
      <c r="L46" s="73"/>
      <c r="M46" s="73"/>
      <c r="N46" s="73">
        <v>467590</v>
      </c>
      <c r="O46" s="73"/>
      <c r="P46" s="73"/>
      <c r="Q46" s="73"/>
      <c r="R46" s="73">
        <f t="shared" si="4"/>
        <v>467590</v>
      </c>
    </row>
    <row r="47" spans="2:18">
      <c r="D47" t="s">
        <v>480</v>
      </c>
      <c r="K47" s="73"/>
      <c r="L47" s="73"/>
      <c r="M47" s="73"/>
      <c r="N47" s="73">
        <v>448367</v>
      </c>
      <c r="O47" s="73"/>
      <c r="P47" s="73"/>
      <c r="Q47" s="73"/>
      <c r="R47" s="73">
        <f t="shared" si="4"/>
        <v>448367</v>
      </c>
    </row>
    <row r="48" spans="2:18">
      <c r="D48" t="s">
        <v>481</v>
      </c>
      <c r="K48" s="182">
        <v>22500</v>
      </c>
      <c r="L48" s="73"/>
      <c r="M48" s="73"/>
      <c r="N48" s="73"/>
      <c r="O48" s="73"/>
      <c r="P48" s="73"/>
      <c r="Q48" s="73"/>
      <c r="R48" s="73">
        <f t="shared" si="4"/>
        <v>22500</v>
      </c>
    </row>
    <row r="49" spans="3:18">
      <c r="D49" t="s">
        <v>224</v>
      </c>
      <c r="K49" s="182">
        <v>15233</v>
      </c>
      <c r="L49" s="73"/>
      <c r="M49" s="73"/>
      <c r="N49" s="73"/>
      <c r="O49" s="73"/>
      <c r="P49" s="73"/>
      <c r="Q49" s="73"/>
      <c r="R49" s="73">
        <f t="shared" si="4"/>
        <v>15233</v>
      </c>
    </row>
    <row r="50" spans="3:18">
      <c r="C50" t="s">
        <v>170</v>
      </c>
      <c r="K50" s="73"/>
      <c r="L50" s="73"/>
      <c r="M50" s="73"/>
      <c r="N50" s="73"/>
      <c r="O50" s="73"/>
      <c r="P50" s="73"/>
      <c r="Q50" s="73"/>
      <c r="R50" s="73"/>
    </row>
    <row r="51" spans="3:18">
      <c r="D51" t="s">
        <v>482</v>
      </c>
      <c r="K51" s="73"/>
      <c r="L51" s="73"/>
      <c r="M51" s="73"/>
      <c r="N51" s="73"/>
      <c r="O51" s="73"/>
      <c r="P51" s="73"/>
      <c r="Q51" s="73">
        <v>1925</v>
      </c>
      <c r="R51" s="73">
        <f t="shared" si="4"/>
        <v>1925</v>
      </c>
    </row>
    <row r="52" spans="3:18">
      <c r="D52" t="s">
        <v>353</v>
      </c>
      <c r="K52" s="73"/>
      <c r="L52" s="73"/>
      <c r="M52" s="73"/>
      <c r="N52" s="73"/>
      <c r="O52" s="73"/>
      <c r="P52" s="73"/>
      <c r="Q52" s="73">
        <v>242461</v>
      </c>
      <c r="R52" s="73">
        <f t="shared" si="4"/>
        <v>242461</v>
      </c>
    </row>
    <row r="53" spans="3:18">
      <c r="D53" t="s">
        <v>483</v>
      </c>
      <c r="K53" s="73"/>
      <c r="L53" s="73"/>
      <c r="M53" s="73"/>
      <c r="N53" s="73"/>
      <c r="O53" s="73"/>
      <c r="P53" s="73"/>
      <c r="Q53" s="73">
        <v>396353</v>
      </c>
      <c r="R53" s="73">
        <f t="shared" si="4"/>
        <v>396353</v>
      </c>
    </row>
    <row r="54" spans="3:18">
      <c r="D54" t="s">
        <v>484</v>
      </c>
      <c r="K54" s="73"/>
      <c r="L54" s="73">
        <v>6439365</v>
      </c>
      <c r="M54" s="73"/>
      <c r="N54" s="73"/>
      <c r="O54" s="73"/>
      <c r="P54" s="73"/>
      <c r="Q54" s="73"/>
      <c r="R54" s="73">
        <f t="shared" si="4"/>
        <v>6439365</v>
      </c>
    </row>
    <row r="55" spans="3:18">
      <c r="D55" t="s">
        <v>485</v>
      </c>
      <c r="K55" s="73"/>
      <c r="L55" s="73"/>
      <c r="M55" s="73"/>
      <c r="N55" s="73">
        <v>7496250</v>
      </c>
      <c r="O55" s="73"/>
      <c r="P55" s="73"/>
      <c r="Q55" s="73"/>
      <c r="R55" s="73">
        <f t="shared" si="4"/>
        <v>7496250</v>
      </c>
    </row>
    <row r="56" spans="3:18">
      <c r="D56" t="s">
        <v>224</v>
      </c>
      <c r="K56" s="182">
        <v>248113</v>
      </c>
      <c r="L56" s="73"/>
      <c r="M56" s="73"/>
      <c r="N56" s="73"/>
      <c r="O56" s="73"/>
      <c r="P56" s="73"/>
      <c r="Q56" s="73"/>
      <c r="R56" s="73">
        <f>SUM(K56:Q56)</f>
        <v>248113</v>
      </c>
    </row>
    <row r="57" spans="3:18">
      <c r="C57" t="s">
        <v>46</v>
      </c>
      <c r="K57" s="84">
        <v>5842520</v>
      </c>
      <c r="L57" s="73"/>
      <c r="M57" s="73">
        <v>-7376771</v>
      </c>
      <c r="N57" s="73"/>
      <c r="O57" s="85">
        <v>-67220</v>
      </c>
      <c r="P57" s="85"/>
      <c r="Q57" s="85">
        <v>-97762</v>
      </c>
      <c r="R57" s="85">
        <f>SUM(K57:Q57)</f>
        <v>-1699233</v>
      </c>
    </row>
    <row r="58" spans="3:18">
      <c r="K58" s="93"/>
      <c r="L58" s="93"/>
      <c r="M58" s="93"/>
      <c r="N58" s="93"/>
      <c r="O58" s="73"/>
      <c r="P58" s="73"/>
      <c r="Q58" s="73"/>
      <c r="R58" s="73"/>
    </row>
    <row r="59" spans="3:18" s="5" customFormat="1">
      <c r="D59" s="6"/>
      <c r="E59" s="6" t="s">
        <v>486</v>
      </c>
      <c r="K59" s="79">
        <f>SUM(K36:K58)</f>
        <v>9650438</v>
      </c>
      <c r="L59" s="79">
        <f>SUM(L37:L57)</f>
        <v>6739365</v>
      </c>
      <c r="M59" s="79">
        <f>SUM(M36:M57)</f>
        <v>-7362561</v>
      </c>
      <c r="N59" s="79">
        <f>SUM(N37:N57)</f>
        <v>8625262</v>
      </c>
      <c r="O59" s="79">
        <f t="shared" ref="O59:Q59" si="5">SUM(O37:O57)</f>
        <v>-67220</v>
      </c>
      <c r="P59" s="79">
        <f t="shared" si="5"/>
        <v>3471867</v>
      </c>
      <c r="Q59" s="79">
        <f t="shared" si="5"/>
        <v>8139790</v>
      </c>
      <c r="R59" s="79">
        <f>SUM(R37:R57)</f>
        <v>29196941</v>
      </c>
    </row>
    <row r="60" spans="3:18">
      <c r="K60" s="73"/>
      <c r="L60" s="73"/>
      <c r="M60" s="73"/>
      <c r="N60" s="73"/>
      <c r="O60" s="73"/>
      <c r="P60" s="73"/>
      <c r="Q60" s="73"/>
      <c r="R60" s="73"/>
    </row>
    <row r="61" spans="3:18" s="7" customFormat="1">
      <c r="D61" s="8"/>
      <c r="E61" s="8" t="s">
        <v>487</v>
      </c>
      <c r="K61" s="81">
        <f>SUM(K59,K33)</f>
        <v>11701215</v>
      </c>
      <c r="L61" s="81">
        <f>SUM(L33,L59)</f>
        <v>7126130</v>
      </c>
      <c r="M61" s="81">
        <f>SUM(M33,M59)</f>
        <v>704865</v>
      </c>
      <c r="N61" s="81">
        <f>SUM(N33,N59)</f>
        <v>10513847</v>
      </c>
      <c r="O61" s="81">
        <f t="shared" ref="O61:Q61" si="6">SUM(O33,O59)</f>
        <v>1161340</v>
      </c>
      <c r="P61" s="81">
        <f t="shared" si="6"/>
        <v>3471867</v>
      </c>
      <c r="Q61" s="81">
        <f t="shared" si="6"/>
        <v>9804640</v>
      </c>
      <c r="R61" s="81">
        <f>SUM(R33,R59)</f>
        <v>44483904</v>
      </c>
    </row>
  </sheetData>
  <mergeCells count="3">
    <mergeCell ref="D1:K1"/>
    <mergeCell ref="D2:K2"/>
    <mergeCell ref="K4:M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36"/>
  <sheetViews>
    <sheetView workbookViewId="0">
      <selection activeCell="J39" sqref="J39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4" width="17" customWidth="1"/>
    <col min="15" max="15" width="16.7109375" customWidth="1"/>
    <col min="16" max="16" width="13.7109375" customWidth="1"/>
    <col min="17" max="17" width="18.42578125" customWidth="1"/>
    <col min="18" max="18" width="18.140625" customWidth="1"/>
  </cols>
  <sheetData>
    <row r="1" spans="1:18" ht="18.75">
      <c r="D1" s="251" t="s">
        <v>488</v>
      </c>
      <c r="E1" s="251"/>
      <c r="F1" s="251"/>
      <c r="G1" s="251"/>
      <c r="H1" s="251"/>
      <c r="I1" s="251"/>
      <c r="J1" s="251"/>
      <c r="K1" s="251"/>
    </row>
    <row r="2" spans="1:18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8">
      <c r="D3" s="57"/>
      <c r="E3" s="57"/>
      <c r="F3" s="57"/>
      <c r="G3" s="57"/>
      <c r="H3" s="57"/>
      <c r="I3" s="57"/>
      <c r="J3" s="57"/>
      <c r="K3" s="57"/>
    </row>
    <row r="4" spans="1:18">
      <c r="P4" s="57"/>
    </row>
    <row r="5" spans="1:18" ht="45">
      <c r="K5" s="1" t="s">
        <v>2</v>
      </c>
      <c r="L5" s="1" t="s">
        <v>95</v>
      </c>
      <c r="M5" s="1" t="s">
        <v>489</v>
      </c>
      <c r="N5" s="1" t="s">
        <v>94</v>
      </c>
      <c r="O5" s="1" t="s">
        <v>336</v>
      </c>
      <c r="P5" s="1" t="s">
        <v>490</v>
      </c>
      <c r="Q5" s="1" t="s">
        <v>6</v>
      </c>
      <c r="R5" s="1" t="s">
        <v>84</v>
      </c>
    </row>
    <row r="6" spans="1:18">
      <c r="A6" t="s">
        <v>8</v>
      </c>
    </row>
    <row r="7" spans="1:18">
      <c r="B7" t="s">
        <v>85</v>
      </c>
      <c r="K7" s="72">
        <v>261440</v>
      </c>
      <c r="L7" s="73">
        <v>596418</v>
      </c>
      <c r="M7" s="73">
        <v>891535</v>
      </c>
      <c r="N7" s="73">
        <v>967005</v>
      </c>
      <c r="O7" s="73">
        <v>116974</v>
      </c>
      <c r="P7" s="73">
        <v>2459729</v>
      </c>
      <c r="Q7" s="73">
        <v>767032</v>
      </c>
      <c r="R7" s="73">
        <f>SUM(K7:Q7)</f>
        <v>6060133</v>
      </c>
    </row>
    <row r="8" spans="1:18">
      <c r="B8" t="s">
        <v>10</v>
      </c>
      <c r="K8" s="73"/>
      <c r="L8" s="73">
        <v>263635</v>
      </c>
      <c r="M8" s="73"/>
      <c r="N8" s="73"/>
      <c r="O8" s="73"/>
      <c r="P8" s="73">
        <v>2035614</v>
      </c>
      <c r="Q8" s="73">
        <v>673193</v>
      </c>
      <c r="R8" s="73">
        <f>SUM(K8:Q8)</f>
        <v>2972442</v>
      </c>
    </row>
    <row r="9" spans="1:18">
      <c r="B9" t="s">
        <v>58</v>
      </c>
      <c r="K9" s="74">
        <v>462351</v>
      </c>
      <c r="L9" s="73">
        <v>495127</v>
      </c>
      <c r="M9" s="73">
        <v>466589</v>
      </c>
      <c r="N9" s="73">
        <v>243533</v>
      </c>
      <c r="O9" s="73">
        <v>1595525</v>
      </c>
      <c r="P9" s="73">
        <v>1279219</v>
      </c>
      <c r="Q9" s="73">
        <v>334508</v>
      </c>
      <c r="R9" s="73">
        <f>SUM(K9:Q9)</f>
        <v>4876852</v>
      </c>
    </row>
    <row r="10" spans="1:18">
      <c r="B10" t="s">
        <v>215</v>
      </c>
      <c r="K10" s="74">
        <v>247391</v>
      </c>
      <c r="L10" s="73">
        <v>250</v>
      </c>
      <c r="M10" s="73">
        <v>292115</v>
      </c>
      <c r="N10" s="73"/>
      <c r="O10" s="73"/>
      <c r="P10" s="73">
        <v>855</v>
      </c>
      <c r="Q10" s="73"/>
      <c r="R10" s="73">
        <f>SUM(K10:Q10)</f>
        <v>540611</v>
      </c>
    </row>
    <row r="11" spans="1:18">
      <c r="K11" s="73"/>
      <c r="L11" s="73"/>
      <c r="M11" s="73"/>
      <c r="N11" s="73"/>
      <c r="O11" s="73"/>
      <c r="P11" s="73"/>
      <c r="Q11" s="73"/>
      <c r="R11" s="73"/>
    </row>
    <row r="12" spans="1:18" s="3" customFormat="1">
      <c r="A12" s="2"/>
      <c r="B12" s="2"/>
      <c r="C12" s="2"/>
      <c r="D12" s="2"/>
      <c r="E12" s="2" t="s">
        <v>62</v>
      </c>
      <c r="K12" s="76">
        <f t="shared" ref="K12:R12" si="0">SUM(K7:K10)</f>
        <v>971182</v>
      </c>
      <c r="L12" s="76">
        <f t="shared" si="0"/>
        <v>1355430</v>
      </c>
      <c r="M12" s="76">
        <f t="shared" si="0"/>
        <v>1650239</v>
      </c>
      <c r="N12" s="76">
        <f t="shared" si="0"/>
        <v>1210538</v>
      </c>
      <c r="O12" s="76">
        <f t="shared" si="0"/>
        <v>1712499</v>
      </c>
      <c r="P12" s="76">
        <f t="shared" si="0"/>
        <v>5775417</v>
      </c>
      <c r="Q12" s="76">
        <f t="shared" si="0"/>
        <v>1774733</v>
      </c>
      <c r="R12" s="76">
        <f t="shared" si="0"/>
        <v>14450038</v>
      </c>
    </row>
    <row r="13" spans="1:18">
      <c r="K13" s="73"/>
      <c r="L13" s="73"/>
      <c r="M13" s="73"/>
      <c r="N13" s="73"/>
      <c r="O13" s="73"/>
      <c r="P13" s="73"/>
      <c r="Q13" s="73"/>
      <c r="R13" s="73"/>
    </row>
    <row r="14" spans="1:18">
      <c r="A14" s="4" t="s">
        <v>19</v>
      </c>
      <c r="K14" s="73"/>
      <c r="L14" s="73"/>
      <c r="M14" s="73"/>
      <c r="N14" s="73"/>
      <c r="O14" s="73"/>
      <c r="P14" s="73"/>
      <c r="Q14" s="73"/>
      <c r="R14" s="73"/>
    </row>
    <row r="15" spans="1:18">
      <c r="B15" t="s">
        <v>20</v>
      </c>
      <c r="K15" s="73"/>
      <c r="L15" s="73"/>
      <c r="M15" s="73"/>
      <c r="N15" s="73"/>
      <c r="O15" s="73"/>
      <c r="P15" s="73"/>
      <c r="Q15" s="73"/>
      <c r="R15" s="73"/>
    </row>
    <row r="16" spans="1:18">
      <c r="C16" t="s">
        <v>242</v>
      </c>
      <c r="K16" s="77">
        <v>126005</v>
      </c>
      <c r="L16" s="73">
        <v>6605</v>
      </c>
      <c r="M16" s="73">
        <v>6049</v>
      </c>
      <c r="N16">
        <v>85</v>
      </c>
      <c r="O16" s="73">
        <v>10792</v>
      </c>
      <c r="P16" s="73">
        <v>38659</v>
      </c>
      <c r="Q16" s="73">
        <v>75339</v>
      </c>
      <c r="R16" s="73">
        <v>263534</v>
      </c>
    </row>
    <row r="17" spans="2:18">
      <c r="C17" t="s">
        <v>216</v>
      </c>
      <c r="K17" s="73"/>
      <c r="L17" s="73"/>
      <c r="M17" s="73"/>
      <c r="O17" s="73">
        <v>292115</v>
      </c>
      <c r="P17" s="73"/>
      <c r="Q17" s="73">
        <v>248496</v>
      </c>
      <c r="R17" s="73">
        <f>SUM(K17:Q17)</f>
        <v>540611</v>
      </c>
    </row>
    <row r="18" spans="2:18">
      <c r="K18" s="73"/>
      <c r="L18" s="73"/>
      <c r="M18" s="73"/>
      <c r="N18" s="73"/>
      <c r="O18" s="73"/>
      <c r="P18" s="73"/>
      <c r="Q18" s="73"/>
      <c r="R18" s="73"/>
    </row>
    <row r="19" spans="2:18" s="5" customFormat="1">
      <c r="B19" s="6"/>
      <c r="C19" s="6"/>
      <c r="D19" s="6"/>
      <c r="E19" s="6" t="s">
        <v>26</v>
      </c>
      <c r="K19" s="79">
        <f t="shared" ref="K19:R19" si="1">SUM(K16:K17)</f>
        <v>126005</v>
      </c>
      <c r="L19" s="79">
        <f t="shared" si="1"/>
        <v>6605</v>
      </c>
      <c r="M19" s="79">
        <f t="shared" si="1"/>
        <v>6049</v>
      </c>
      <c r="N19" s="79">
        <f t="shared" si="1"/>
        <v>85</v>
      </c>
      <c r="O19" s="79">
        <f t="shared" si="1"/>
        <v>302907</v>
      </c>
      <c r="P19" s="79">
        <f t="shared" si="1"/>
        <v>38659</v>
      </c>
      <c r="Q19" s="79">
        <f t="shared" si="1"/>
        <v>323835</v>
      </c>
      <c r="R19" s="79">
        <f t="shared" si="1"/>
        <v>804145</v>
      </c>
    </row>
    <row r="20" spans="2:18">
      <c r="K20" s="73"/>
      <c r="L20" s="73"/>
      <c r="M20" s="73"/>
      <c r="N20" s="73"/>
      <c r="O20" s="73"/>
      <c r="P20" s="73"/>
      <c r="Q20" s="73"/>
      <c r="R20" s="73"/>
    </row>
    <row r="21" spans="2:18">
      <c r="B21" t="s">
        <v>30</v>
      </c>
      <c r="K21" s="73"/>
      <c r="L21" s="73"/>
      <c r="M21" s="73"/>
      <c r="N21" s="73"/>
      <c r="O21" s="73"/>
      <c r="P21" s="73"/>
      <c r="Q21" s="73"/>
      <c r="R21" s="73"/>
    </row>
    <row r="22" spans="2:18">
      <c r="C22" t="s">
        <v>88</v>
      </c>
      <c r="K22" s="73"/>
      <c r="L22" s="73">
        <v>1348825</v>
      </c>
      <c r="M22" s="73">
        <v>1644190</v>
      </c>
      <c r="N22" s="73">
        <v>1210453</v>
      </c>
      <c r="O22" s="73">
        <v>1409592</v>
      </c>
      <c r="P22" s="73">
        <v>5736758</v>
      </c>
      <c r="Q22" s="73">
        <v>1450898</v>
      </c>
      <c r="R22" s="73">
        <f>SUM(K22:Q22)</f>
        <v>12800716</v>
      </c>
    </row>
    <row r="23" spans="2:18">
      <c r="C23" t="s">
        <v>46</v>
      </c>
      <c r="K23" s="84">
        <v>845177</v>
      </c>
      <c r="L23" s="73"/>
      <c r="M23" s="73"/>
      <c r="N23" s="73"/>
      <c r="O23" s="73"/>
      <c r="P23" s="73"/>
      <c r="Q23" s="73"/>
      <c r="R23" s="73">
        <f>SUM(K23:Q23)</f>
        <v>845177</v>
      </c>
    </row>
    <row r="24" spans="2:18">
      <c r="K24" s="73"/>
      <c r="L24" s="73"/>
      <c r="M24" s="73"/>
      <c r="N24" s="73"/>
      <c r="O24" s="73"/>
      <c r="P24" s="73"/>
      <c r="Q24" s="73"/>
      <c r="R24" s="73"/>
    </row>
    <row r="25" spans="2:18" s="5" customFormat="1">
      <c r="D25" s="6"/>
      <c r="E25" s="6" t="s">
        <v>47</v>
      </c>
      <c r="K25" s="79">
        <f>SUM(K22:K24)</f>
        <v>845177</v>
      </c>
      <c r="L25" s="79">
        <f t="shared" ref="L25:R25" si="2">SUM(L22:L23)</f>
        <v>1348825</v>
      </c>
      <c r="M25" s="79">
        <f t="shared" si="2"/>
        <v>1644190</v>
      </c>
      <c r="N25" s="79">
        <f t="shared" si="2"/>
        <v>1210453</v>
      </c>
      <c r="O25" s="79">
        <f t="shared" si="2"/>
        <v>1409592</v>
      </c>
      <c r="P25" s="79">
        <f t="shared" si="2"/>
        <v>5736758</v>
      </c>
      <c r="Q25" s="79">
        <f t="shared" si="2"/>
        <v>1450898</v>
      </c>
      <c r="R25" s="79">
        <f t="shared" si="2"/>
        <v>13645893</v>
      </c>
    </row>
    <row r="26" spans="2:18">
      <c r="K26" s="73"/>
      <c r="L26" s="73"/>
      <c r="M26" s="73"/>
      <c r="N26" s="73"/>
      <c r="O26" s="73"/>
      <c r="P26" s="73"/>
      <c r="Q26" s="73"/>
      <c r="R26" s="73"/>
    </row>
    <row r="27" spans="2:18" s="7" customFormat="1">
      <c r="D27" s="8"/>
      <c r="E27" s="8" t="s">
        <v>48</v>
      </c>
      <c r="K27" s="81">
        <f>K25+K19</f>
        <v>971182</v>
      </c>
      <c r="L27" s="81">
        <f t="shared" ref="L27:R27" si="3">L25+L19</f>
        <v>1355430</v>
      </c>
      <c r="M27" s="81">
        <f t="shared" si="3"/>
        <v>1650239</v>
      </c>
      <c r="N27" s="81">
        <f t="shared" si="3"/>
        <v>1210538</v>
      </c>
      <c r="O27" s="81">
        <f t="shared" si="3"/>
        <v>1712499</v>
      </c>
      <c r="P27" s="81">
        <f t="shared" si="3"/>
        <v>5775417</v>
      </c>
      <c r="Q27" s="81">
        <f t="shared" si="3"/>
        <v>1774733</v>
      </c>
      <c r="R27" s="81">
        <f t="shared" si="3"/>
        <v>14450038</v>
      </c>
    </row>
    <row r="31" spans="2:18">
      <c r="R31" s="183"/>
    </row>
    <row r="36" spans="18:18">
      <c r="R36" s="184"/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41"/>
  <sheetViews>
    <sheetView workbookViewId="0">
      <selection activeCell="K28" sqref="K28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29.28515625" customWidth="1"/>
    <col min="11" max="11" width="16.28515625" customWidth="1"/>
    <col min="12" max="12" width="16.42578125" customWidth="1"/>
    <col min="13" max="17" width="19.42578125" customWidth="1"/>
    <col min="18" max="18" width="18.42578125" customWidth="1"/>
    <col min="19" max="19" width="18.140625" customWidth="1"/>
  </cols>
  <sheetData>
    <row r="1" spans="1:19" ht="18.75">
      <c r="D1" s="251" t="s">
        <v>491</v>
      </c>
      <c r="E1" s="251"/>
      <c r="F1" s="251"/>
      <c r="G1" s="251"/>
      <c r="H1" s="251"/>
      <c r="I1" s="251"/>
      <c r="J1" s="251"/>
      <c r="K1" s="251"/>
    </row>
    <row r="2" spans="1:19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9">
      <c r="D3" s="57"/>
      <c r="E3" s="57"/>
      <c r="F3" s="57"/>
      <c r="G3" s="57"/>
      <c r="H3" s="57"/>
      <c r="I3" s="57"/>
      <c r="J3" s="57"/>
      <c r="K3" s="57"/>
    </row>
    <row r="4" spans="1:19" ht="36.75" customHeight="1">
      <c r="O4" s="57"/>
      <c r="P4" s="57"/>
    </row>
    <row r="5" spans="1:19" ht="45">
      <c r="K5" s="114" t="s">
        <v>50</v>
      </c>
      <c r="L5" s="114" t="s">
        <v>127</v>
      </c>
      <c r="M5" s="114" t="s">
        <v>305</v>
      </c>
      <c r="N5" s="114" t="s">
        <v>492</v>
      </c>
      <c r="O5" s="114" t="s">
        <v>82</v>
      </c>
      <c r="P5" s="114" t="s">
        <v>94</v>
      </c>
      <c r="Q5" s="114" t="s">
        <v>239</v>
      </c>
      <c r="R5" s="114" t="s">
        <v>6</v>
      </c>
      <c r="S5" s="114" t="s">
        <v>7</v>
      </c>
    </row>
    <row r="6" spans="1:19">
      <c r="A6" s="86" t="s">
        <v>8</v>
      </c>
    </row>
    <row r="7" spans="1:19">
      <c r="B7" t="s">
        <v>57</v>
      </c>
      <c r="K7" s="73"/>
      <c r="L7" s="73">
        <v>751280</v>
      </c>
      <c r="M7" s="73">
        <v>1132860</v>
      </c>
      <c r="N7" s="73"/>
      <c r="O7" s="73">
        <v>1366807</v>
      </c>
      <c r="P7" s="73">
        <v>669396</v>
      </c>
      <c r="Q7" s="73"/>
      <c r="R7" s="73">
        <v>289649</v>
      </c>
      <c r="S7" s="73">
        <f>SUM(K7:R7)</f>
        <v>4209992</v>
      </c>
    </row>
    <row r="8" spans="1:19">
      <c r="B8" t="s">
        <v>10</v>
      </c>
      <c r="K8" s="77">
        <v>25000</v>
      </c>
      <c r="L8" s="73">
        <v>100000</v>
      </c>
      <c r="M8" s="73">
        <v>375000</v>
      </c>
      <c r="N8" s="73"/>
      <c r="O8" s="73"/>
      <c r="P8" s="73">
        <v>25000</v>
      </c>
      <c r="Q8" s="73"/>
      <c r="R8" s="73">
        <v>15000</v>
      </c>
      <c r="S8" s="73">
        <f>SUM(K8:R8)</f>
        <v>540000</v>
      </c>
    </row>
    <row r="9" spans="1:19">
      <c r="B9" t="s">
        <v>58</v>
      </c>
      <c r="K9" s="74">
        <v>599680</v>
      </c>
      <c r="L9" s="73">
        <v>837653</v>
      </c>
      <c r="M9" s="73">
        <v>352201</v>
      </c>
      <c r="N9" s="73">
        <v>224142</v>
      </c>
      <c r="O9" s="73"/>
      <c r="P9" s="73">
        <v>138114</v>
      </c>
      <c r="Q9" s="73">
        <v>9798</v>
      </c>
      <c r="R9" s="73">
        <v>82097</v>
      </c>
      <c r="S9" s="73">
        <f>SUM(K9:R9)</f>
        <v>2243685</v>
      </c>
    </row>
    <row r="10" spans="1:19">
      <c r="B10" t="s">
        <v>493</v>
      </c>
      <c r="K10" s="75">
        <v>1686</v>
      </c>
      <c r="L10" s="73">
        <v>2559</v>
      </c>
      <c r="M10" s="73">
        <v>2384</v>
      </c>
      <c r="N10" s="73">
        <v>16887</v>
      </c>
      <c r="O10" s="73">
        <v>2534</v>
      </c>
      <c r="P10" s="73">
        <v>230</v>
      </c>
      <c r="Q10" s="73">
        <v>1531</v>
      </c>
      <c r="R10" s="73"/>
      <c r="S10" s="73">
        <f>SUM(K10:R10)</f>
        <v>27811</v>
      </c>
    </row>
    <row r="11" spans="1:19">
      <c r="K11" s="73"/>
      <c r="L11" s="73"/>
      <c r="M11" s="73"/>
      <c r="N11" s="73"/>
      <c r="O11" s="73"/>
      <c r="P11" s="73"/>
      <c r="Q11" s="73"/>
      <c r="R11" s="73"/>
      <c r="S11" s="73"/>
    </row>
    <row r="12" spans="1:19" s="3" customFormat="1">
      <c r="A12" s="2"/>
      <c r="B12" s="2"/>
      <c r="C12" s="2"/>
      <c r="D12" s="2"/>
      <c r="E12" s="2" t="s">
        <v>62</v>
      </c>
      <c r="K12" s="76">
        <f t="shared" ref="K12:S12" si="0">SUM(K7:K10)</f>
        <v>626366</v>
      </c>
      <c r="L12" s="76">
        <f t="shared" si="0"/>
        <v>1691492</v>
      </c>
      <c r="M12" s="76">
        <f t="shared" si="0"/>
        <v>1862445</v>
      </c>
      <c r="N12" s="76">
        <f t="shared" si="0"/>
        <v>241029</v>
      </c>
      <c r="O12" s="76">
        <f t="shared" si="0"/>
        <v>1369341</v>
      </c>
      <c r="P12" s="76">
        <f t="shared" si="0"/>
        <v>832740</v>
      </c>
      <c r="Q12" s="76">
        <f t="shared" si="0"/>
        <v>11329</v>
      </c>
      <c r="R12" s="76">
        <f t="shared" si="0"/>
        <v>386746</v>
      </c>
      <c r="S12" s="76">
        <f t="shared" si="0"/>
        <v>7021488</v>
      </c>
    </row>
    <row r="13" spans="1:19">
      <c r="K13" s="73"/>
      <c r="L13" s="73"/>
      <c r="M13" s="73"/>
      <c r="N13" s="73"/>
      <c r="O13" s="73"/>
      <c r="P13" s="73"/>
      <c r="Q13" s="73"/>
      <c r="R13" s="73"/>
      <c r="S13" s="73"/>
    </row>
    <row r="14" spans="1:19">
      <c r="A14" s="4" t="s">
        <v>119</v>
      </c>
      <c r="K14" s="73"/>
      <c r="L14" s="73"/>
      <c r="M14" s="73"/>
      <c r="N14" s="73"/>
      <c r="O14" s="73"/>
      <c r="P14" s="73"/>
      <c r="Q14" s="73"/>
      <c r="R14" s="73"/>
      <c r="S14" s="73"/>
    </row>
    <row r="15" spans="1:19">
      <c r="C15" t="s">
        <v>494</v>
      </c>
      <c r="K15" s="82">
        <v>1541795</v>
      </c>
      <c r="L15" s="73"/>
      <c r="N15" s="73">
        <v>242542</v>
      </c>
      <c r="O15" s="73"/>
      <c r="P15" s="73"/>
      <c r="Q15">
        <v>361541</v>
      </c>
      <c r="R15" s="73"/>
      <c r="S15" s="73">
        <f>SUM(K15:R15)</f>
        <v>2145878</v>
      </c>
    </row>
    <row r="16" spans="1:19">
      <c r="C16" t="s">
        <v>21</v>
      </c>
      <c r="K16" s="77">
        <v>148143</v>
      </c>
      <c r="L16" s="73">
        <v>17744</v>
      </c>
      <c r="M16">
        <v>4965</v>
      </c>
      <c r="N16" s="73">
        <v>27192</v>
      </c>
      <c r="O16" s="73">
        <v>47648</v>
      </c>
      <c r="P16" s="73">
        <v>1298</v>
      </c>
      <c r="Q16" s="73">
        <v>234</v>
      </c>
      <c r="R16" s="73">
        <v>3413</v>
      </c>
      <c r="S16" s="73">
        <f>SUM(K16:R16)</f>
        <v>250637</v>
      </c>
    </row>
    <row r="17" spans="1:19">
      <c r="C17" t="s">
        <v>495</v>
      </c>
      <c r="K17" s="82">
        <v>23353</v>
      </c>
      <c r="L17" s="73"/>
      <c r="N17" s="73"/>
      <c r="O17" s="73"/>
      <c r="P17" s="73"/>
      <c r="Q17">
        <v>4292</v>
      </c>
      <c r="R17" s="73"/>
      <c r="S17" s="73">
        <f>SUM(K17:R17)</f>
        <v>27645</v>
      </c>
    </row>
    <row r="18" spans="1:19">
      <c r="C18" t="s">
        <v>25</v>
      </c>
      <c r="K18" s="78">
        <v>9108</v>
      </c>
      <c r="L18" s="73">
        <v>1962</v>
      </c>
      <c r="N18" s="73"/>
      <c r="O18" s="73"/>
      <c r="P18" s="73">
        <v>16741</v>
      </c>
      <c r="Q18" s="73"/>
      <c r="R18" s="73"/>
      <c r="S18" s="73">
        <f>SUM(K18:R18)</f>
        <v>27811</v>
      </c>
    </row>
    <row r="19" spans="1:19">
      <c r="K19" s="73"/>
      <c r="L19" s="73"/>
      <c r="M19" s="73"/>
      <c r="N19" s="73"/>
      <c r="O19" s="73"/>
      <c r="P19" s="73"/>
      <c r="Q19" s="73"/>
      <c r="R19" s="73"/>
      <c r="S19" s="73"/>
    </row>
    <row r="20" spans="1:19" s="5" customFormat="1">
      <c r="B20" s="6"/>
      <c r="C20" s="6"/>
      <c r="D20" s="6"/>
      <c r="E20" s="6" t="s">
        <v>26</v>
      </c>
      <c r="K20" s="79">
        <f>SUM(K15:K18)</f>
        <v>1722399</v>
      </c>
      <c r="L20" s="79">
        <f t="shared" ref="L20:N20" si="1">SUM(L15:L18)</f>
        <v>19706</v>
      </c>
      <c r="M20" s="79">
        <f t="shared" si="1"/>
        <v>4965</v>
      </c>
      <c r="N20" s="79">
        <f t="shared" si="1"/>
        <v>269734</v>
      </c>
      <c r="O20" s="79">
        <f>SUM(O15:O18)</f>
        <v>47648</v>
      </c>
      <c r="P20" s="79">
        <f>SUM(P15:P18)</f>
        <v>18039</v>
      </c>
      <c r="Q20" s="79">
        <f>SUM(Q15:Q18)</f>
        <v>366067</v>
      </c>
      <c r="R20" s="79">
        <f>SUM(R15:R18)</f>
        <v>3413</v>
      </c>
      <c r="S20" s="79">
        <f>SUM(S15:S18)</f>
        <v>2451971</v>
      </c>
    </row>
    <row r="21" spans="1:19">
      <c r="K21" s="73"/>
      <c r="L21" s="73"/>
      <c r="M21" s="73"/>
      <c r="N21" s="73"/>
      <c r="O21" s="73"/>
      <c r="P21" s="73"/>
      <c r="Q21" s="73"/>
      <c r="R21" s="73"/>
      <c r="S21" s="73"/>
    </row>
    <row r="22" spans="1:19">
      <c r="A22" s="71" t="s">
        <v>27</v>
      </c>
      <c r="K22" s="73"/>
      <c r="L22" s="73"/>
      <c r="M22" s="73"/>
      <c r="N22" s="73"/>
      <c r="O22" s="73"/>
      <c r="P22" s="73"/>
      <c r="Q22" s="73"/>
      <c r="R22" s="73"/>
      <c r="S22" s="73"/>
    </row>
    <row r="23" spans="1:19">
      <c r="C23" t="s">
        <v>141</v>
      </c>
      <c r="K23" s="85">
        <v>523992</v>
      </c>
      <c r="L23" s="85">
        <v>773139</v>
      </c>
      <c r="M23" s="85">
        <v>353324</v>
      </c>
      <c r="N23" s="85">
        <v>224455</v>
      </c>
      <c r="O23" s="85"/>
      <c r="P23" s="85">
        <v>138555</v>
      </c>
      <c r="Q23" s="85"/>
      <c r="R23" s="85">
        <v>78982</v>
      </c>
      <c r="S23" s="85">
        <f>SUM(K23:R23)</f>
        <v>2092447</v>
      </c>
    </row>
    <row r="24" spans="1:19">
      <c r="K24" s="73"/>
      <c r="L24" s="73"/>
      <c r="M24" s="73"/>
      <c r="N24" s="73"/>
      <c r="O24" s="73"/>
      <c r="P24" s="73"/>
      <c r="Q24" s="73"/>
      <c r="R24" s="73"/>
      <c r="S24" s="73"/>
    </row>
    <row r="25" spans="1:19">
      <c r="B25" s="86" t="s">
        <v>30</v>
      </c>
      <c r="K25" s="73"/>
      <c r="L25" s="73"/>
      <c r="M25" s="73"/>
      <c r="N25" s="73"/>
      <c r="O25" s="73"/>
      <c r="P25" s="73"/>
      <c r="Q25" s="73"/>
      <c r="R25" s="73"/>
      <c r="S25" s="73"/>
    </row>
    <row r="26" spans="1:19">
      <c r="C26" t="s">
        <v>496</v>
      </c>
      <c r="K26" s="73"/>
      <c r="L26" s="73">
        <v>898647</v>
      </c>
      <c r="M26" s="73">
        <v>1504156</v>
      </c>
      <c r="N26" s="73"/>
      <c r="O26" s="73">
        <v>1321693</v>
      </c>
      <c r="P26" s="73">
        <v>676146</v>
      </c>
      <c r="Q26" s="73"/>
      <c r="R26" s="73">
        <v>304351</v>
      </c>
      <c r="S26" s="73">
        <f>SUM(K26:R26)</f>
        <v>4704993</v>
      </c>
    </row>
    <row r="27" spans="1:19">
      <c r="C27" t="s">
        <v>497</v>
      </c>
      <c r="K27" s="73"/>
      <c r="L27" s="73"/>
      <c r="M27" s="73"/>
      <c r="N27" s="73">
        <v>-253160</v>
      </c>
      <c r="O27" s="73"/>
      <c r="P27" s="73"/>
      <c r="Q27" s="73">
        <v>-354738</v>
      </c>
      <c r="R27" s="73"/>
      <c r="S27" s="73">
        <f>SUM(K27:R27)</f>
        <v>-607898</v>
      </c>
    </row>
    <row r="28" spans="1:19">
      <c r="C28" t="s">
        <v>108</v>
      </c>
      <c r="K28" s="84">
        <v>-1620025</v>
      </c>
      <c r="L28" s="73"/>
      <c r="M28" s="73"/>
      <c r="N28" s="73"/>
      <c r="O28" s="73"/>
      <c r="P28" s="73"/>
      <c r="Q28" s="73"/>
      <c r="R28" s="73"/>
      <c r="S28" s="73">
        <f>SUM(K28:R28)</f>
        <v>-1620025</v>
      </c>
    </row>
    <row r="29" spans="1:19">
      <c r="K29" s="73"/>
      <c r="L29" s="73"/>
      <c r="M29" s="73"/>
      <c r="N29" s="73"/>
      <c r="O29" s="73"/>
      <c r="P29" s="73"/>
      <c r="Q29" s="73"/>
      <c r="R29" s="73"/>
      <c r="S29" s="73"/>
    </row>
    <row r="30" spans="1:19" s="5" customFormat="1">
      <c r="D30" s="6"/>
      <c r="E30" s="6" t="s">
        <v>77</v>
      </c>
      <c r="K30" s="79">
        <f>SUM(K26:K29)</f>
        <v>-1620025</v>
      </c>
      <c r="L30" s="79">
        <f t="shared" ref="L30:S30" si="2">SUM(L26:L28)</f>
        <v>898647</v>
      </c>
      <c r="M30" s="79">
        <f t="shared" si="2"/>
        <v>1504156</v>
      </c>
      <c r="N30" s="79">
        <f t="shared" si="2"/>
        <v>-253160</v>
      </c>
      <c r="O30" s="79">
        <f t="shared" si="2"/>
        <v>1321693</v>
      </c>
      <c r="P30" s="79">
        <f t="shared" si="2"/>
        <v>676146</v>
      </c>
      <c r="Q30" s="79">
        <f t="shared" si="2"/>
        <v>-354738</v>
      </c>
      <c r="R30" s="79">
        <f t="shared" si="2"/>
        <v>304351</v>
      </c>
      <c r="S30" s="79">
        <f t="shared" si="2"/>
        <v>2477070</v>
      </c>
    </row>
    <row r="31" spans="1:19">
      <c r="K31" s="73"/>
      <c r="L31" s="73"/>
      <c r="M31" s="73"/>
      <c r="N31" s="73"/>
      <c r="O31" s="73"/>
      <c r="P31" s="73"/>
      <c r="Q31" s="73"/>
      <c r="R31" s="73"/>
      <c r="S31" s="73"/>
    </row>
    <row r="32" spans="1:19" s="7" customFormat="1">
      <c r="D32" s="8"/>
      <c r="E32" s="8" t="s">
        <v>125</v>
      </c>
      <c r="K32" s="81">
        <f>K30+K23+K20</f>
        <v>626366</v>
      </c>
      <c r="L32" s="81">
        <f t="shared" ref="L32:S32" si="3">L30+L23+L20</f>
        <v>1691492</v>
      </c>
      <c r="M32" s="81">
        <f t="shared" si="3"/>
        <v>1862445</v>
      </c>
      <c r="N32" s="81">
        <f t="shared" si="3"/>
        <v>241029</v>
      </c>
      <c r="O32" s="81">
        <f t="shared" si="3"/>
        <v>1369341</v>
      </c>
      <c r="P32" s="81">
        <f>P30+P23+P20</f>
        <v>832740</v>
      </c>
      <c r="Q32" s="81">
        <f t="shared" si="3"/>
        <v>11329</v>
      </c>
      <c r="R32" s="81">
        <f t="shared" si="3"/>
        <v>386746</v>
      </c>
      <c r="S32" s="81">
        <f t="shared" si="3"/>
        <v>7021488</v>
      </c>
    </row>
    <row r="36" spans="19:19">
      <c r="S36" s="183"/>
    </row>
    <row r="41" spans="19:19">
      <c r="S41" s="184"/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35"/>
  <sheetViews>
    <sheetView topLeftCell="A11" zoomScale="80" zoomScaleNormal="80" workbookViewId="0">
      <selection activeCell="M34" sqref="M34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7" width="16.28515625" customWidth="1"/>
    <col min="18" max="18" width="14.85546875" customWidth="1"/>
    <col min="19" max="19" width="18.140625" customWidth="1"/>
  </cols>
  <sheetData>
    <row r="1" spans="1:19" ht="18.75">
      <c r="D1" s="251" t="s">
        <v>498</v>
      </c>
      <c r="E1" s="251"/>
      <c r="F1" s="251"/>
      <c r="G1" s="251"/>
      <c r="H1" s="251"/>
      <c r="I1" s="251"/>
      <c r="J1" s="251"/>
      <c r="K1" s="251"/>
      <c r="L1" s="248"/>
      <c r="M1" s="248"/>
      <c r="N1" s="248"/>
      <c r="O1" s="248"/>
      <c r="P1" s="248"/>
      <c r="Q1" s="248"/>
    </row>
    <row r="2" spans="1:19">
      <c r="D2" s="252" t="s">
        <v>1</v>
      </c>
      <c r="E2" s="252"/>
      <c r="F2" s="252"/>
      <c r="G2" s="252"/>
      <c r="H2" s="252"/>
      <c r="I2" s="252"/>
      <c r="J2" s="252"/>
      <c r="K2" s="252"/>
      <c r="L2" s="57"/>
      <c r="M2" s="57"/>
      <c r="N2" s="57"/>
      <c r="O2" s="57"/>
      <c r="P2" s="57"/>
      <c r="Q2" s="57"/>
    </row>
    <row r="3" spans="1:19"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</row>
    <row r="4" spans="1:19">
      <c r="K4" s="261" t="s">
        <v>247</v>
      </c>
      <c r="L4" s="261"/>
      <c r="M4" s="261"/>
      <c r="N4" s="261"/>
      <c r="O4" s="261"/>
      <c r="P4" s="261"/>
      <c r="Q4" s="261"/>
    </row>
    <row r="5" spans="1:19" ht="42.75" customHeight="1">
      <c r="K5" s="114" t="s">
        <v>2</v>
      </c>
      <c r="L5" s="114" t="s">
        <v>451</v>
      </c>
      <c r="M5" s="114" t="s">
        <v>4</v>
      </c>
      <c r="N5" s="114" t="s">
        <v>499</v>
      </c>
      <c r="O5" s="114" t="s">
        <v>500</v>
      </c>
      <c r="P5" s="114" t="s">
        <v>501</v>
      </c>
      <c r="Q5" s="114" t="s">
        <v>147</v>
      </c>
      <c r="R5" s="114" t="s">
        <v>502</v>
      </c>
      <c r="S5" s="114" t="s">
        <v>7</v>
      </c>
    </row>
    <row r="6" spans="1:19">
      <c r="A6" s="86" t="s">
        <v>8</v>
      </c>
    </row>
    <row r="7" spans="1:19">
      <c r="B7" t="s">
        <v>85</v>
      </c>
      <c r="K7" s="72">
        <v>740202</v>
      </c>
      <c r="L7" s="73">
        <v>683790</v>
      </c>
      <c r="M7" s="73">
        <v>1921386</v>
      </c>
      <c r="N7" s="73">
        <v>1683883</v>
      </c>
      <c r="O7" s="73">
        <v>108865</v>
      </c>
      <c r="P7" s="73">
        <v>1017047</v>
      </c>
      <c r="Q7" s="73">
        <v>2212</v>
      </c>
      <c r="R7" s="73">
        <v>1180560</v>
      </c>
      <c r="S7" s="73">
        <f>SUM(K7:R7)</f>
        <v>7337945</v>
      </c>
    </row>
    <row r="8" spans="1:19">
      <c r="B8" t="s">
        <v>503</v>
      </c>
      <c r="K8" s="74">
        <v>849011</v>
      </c>
      <c r="L8" s="73">
        <v>1283183</v>
      </c>
      <c r="M8" s="73">
        <v>232861</v>
      </c>
      <c r="N8" s="73">
        <v>1973416</v>
      </c>
      <c r="O8" s="73"/>
      <c r="P8" s="73">
        <v>803950</v>
      </c>
      <c r="Q8" s="73"/>
      <c r="R8" s="73">
        <v>949786</v>
      </c>
      <c r="S8" s="73">
        <f>SUM(K8:R8)</f>
        <v>6092207</v>
      </c>
    </row>
    <row r="9" spans="1:19">
      <c r="K9" s="73"/>
      <c r="L9" s="73"/>
      <c r="M9" s="73"/>
      <c r="N9" s="73"/>
      <c r="O9" s="73"/>
      <c r="P9" s="73"/>
      <c r="Q9" s="73"/>
      <c r="R9" s="73"/>
      <c r="S9" s="73"/>
    </row>
    <row r="10" spans="1:19" s="3" customFormat="1">
      <c r="A10" s="2"/>
      <c r="B10" s="2"/>
      <c r="C10" s="2"/>
      <c r="D10" s="2"/>
      <c r="E10" s="2" t="s">
        <v>62</v>
      </c>
      <c r="K10" s="76">
        <f>SUM(K7:K8)</f>
        <v>1589213</v>
      </c>
      <c r="L10" s="76">
        <f t="shared" ref="L10:Q10" si="0">SUM(L7:L8)</f>
        <v>1966973</v>
      </c>
      <c r="M10" s="76">
        <f t="shared" si="0"/>
        <v>2154247</v>
      </c>
      <c r="N10" s="76">
        <f t="shared" si="0"/>
        <v>3657299</v>
      </c>
      <c r="O10" s="76">
        <f t="shared" si="0"/>
        <v>108865</v>
      </c>
      <c r="P10" s="76">
        <f t="shared" si="0"/>
        <v>1820997</v>
      </c>
      <c r="Q10" s="76">
        <f t="shared" si="0"/>
        <v>2212</v>
      </c>
      <c r="R10" s="76">
        <f>SUM(R7:R8)</f>
        <v>2130346</v>
      </c>
      <c r="S10" s="76">
        <f>SUM(S7:S8)</f>
        <v>13430152</v>
      </c>
    </row>
    <row r="11" spans="1:19">
      <c r="K11" s="73"/>
      <c r="L11" s="73"/>
      <c r="M11" s="73"/>
      <c r="N11" s="73"/>
      <c r="O11" s="73"/>
      <c r="P11" s="73"/>
      <c r="Q11" s="73"/>
      <c r="R11" s="73"/>
      <c r="S11" s="73"/>
    </row>
    <row r="12" spans="1:19">
      <c r="A12" s="4" t="s">
        <v>504</v>
      </c>
      <c r="K12" s="73"/>
      <c r="L12" s="73"/>
      <c r="M12" s="73"/>
      <c r="N12" s="73"/>
      <c r="O12" s="73"/>
      <c r="P12" s="73"/>
      <c r="Q12" s="73"/>
      <c r="R12" s="73"/>
      <c r="S12" s="73"/>
    </row>
    <row r="13" spans="1:19">
      <c r="C13" t="s">
        <v>333</v>
      </c>
      <c r="K13" s="73"/>
      <c r="L13" s="73"/>
      <c r="M13" s="73"/>
      <c r="N13" s="73"/>
      <c r="O13" s="73"/>
      <c r="P13" s="73"/>
      <c r="Q13" s="73">
        <v>4453</v>
      </c>
      <c r="R13" s="73">
        <v>5562</v>
      </c>
      <c r="S13" s="73">
        <f>SUM(K13:R13)</f>
        <v>10015</v>
      </c>
    </row>
    <row r="14" spans="1:19">
      <c r="C14" t="s">
        <v>21</v>
      </c>
      <c r="K14" s="77">
        <v>323400</v>
      </c>
      <c r="L14" s="73">
        <v>37501</v>
      </c>
      <c r="M14" s="73"/>
      <c r="N14" s="73">
        <v>38575</v>
      </c>
      <c r="O14" s="73">
        <v>96352</v>
      </c>
      <c r="P14" s="73">
        <v>10444</v>
      </c>
      <c r="Q14" s="73">
        <v>12478</v>
      </c>
      <c r="R14" s="73">
        <v>45539</v>
      </c>
      <c r="S14" s="73">
        <f>SUM(K14:R14)</f>
        <v>564289</v>
      </c>
    </row>
    <row r="15" spans="1:19">
      <c r="C15" t="s">
        <v>505</v>
      </c>
      <c r="K15" s="73"/>
      <c r="L15" s="73">
        <v>23700</v>
      </c>
      <c r="M15" s="73"/>
      <c r="N15" s="73">
        <v>8996</v>
      </c>
      <c r="O15" s="73">
        <v>20897</v>
      </c>
      <c r="P15" s="73">
        <v>3363</v>
      </c>
      <c r="Q15" s="73">
        <v>2562</v>
      </c>
      <c r="R15" s="73">
        <v>16458</v>
      </c>
      <c r="S15" s="73">
        <f>SUM(K15:R15)</f>
        <v>75976</v>
      </c>
    </row>
    <row r="16" spans="1:19">
      <c r="C16" t="s">
        <v>506</v>
      </c>
      <c r="K16" s="73"/>
      <c r="L16" s="73"/>
      <c r="M16" s="73"/>
      <c r="N16" s="73"/>
      <c r="O16" s="73"/>
      <c r="P16" s="73"/>
      <c r="Q16" s="73"/>
      <c r="R16" s="73">
        <v>834223</v>
      </c>
      <c r="S16" s="73">
        <f>SUM(K16:R16)</f>
        <v>834223</v>
      </c>
    </row>
    <row r="17" spans="2:19">
      <c r="K17" s="73"/>
      <c r="L17" s="73"/>
      <c r="M17" s="73"/>
      <c r="N17" s="73"/>
      <c r="O17" s="73"/>
      <c r="P17" s="73"/>
      <c r="Q17" s="73"/>
      <c r="R17" s="73"/>
      <c r="S17" s="73"/>
    </row>
    <row r="18" spans="2:19" s="5" customFormat="1">
      <c r="B18" s="6"/>
      <c r="C18" s="6"/>
      <c r="D18" s="6"/>
      <c r="E18" s="6" t="s">
        <v>26</v>
      </c>
      <c r="K18" s="79">
        <f>SUM(K13:K15)</f>
        <v>323400</v>
      </c>
      <c r="L18" s="79">
        <f t="shared" ref="L18:Q18" si="1">SUM(L13:L15)</f>
        <v>61201</v>
      </c>
      <c r="M18" s="79">
        <f t="shared" si="1"/>
        <v>0</v>
      </c>
      <c r="N18" s="79">
        <f t="shared" si="1"/>
        <v>47571</v>
      </c>
      <c r="O18" s="79">
        <f t="shared" si="1"/>
        <v>117249</v>
      </c>
      <c r="P18" s="79">
        <f t="shared" si="1"/>
        <v>13807</v>
      </c>
      <c r="Q18" s="79">
        <f t="shared" si="1"/>
        <v>19493</v>
      </c>
      <c r="R18" s="79">
        <f>SUM(R13:R16)</f>
        <v>901782</v>
      </c>
      <c r="S18" s="79">
        <f>SUM(S13:S16)</f>
        <v>1484503</v>
      </c>
    </row>
    <row r="19" spans="2:19">
      <c r="K19" s="73"/>
      <c r="L19" s="73"/>
      <c r="M19" s="73"/>
      <c r="N19" s="73"/>
      <c r="O19" s="73"/>
      <c r="P19" s="73"/>
      <c r="Q19" s="73"/>
      <c r="R19" s="73"/>
      <c r="S19" s="73"/>
    </row>
    <row r="20" spans="2:19">
      <c r="B20" s="86" t="s">
        <v>30</v>
      </c>
      <c r="K20" s="73"/>
      <c r="L20" s="73"/>
      <c r="M20" s="73"/>
      <c r="N20" s="73"/>
      <c r="O20" s="73"/>
      <c r="P20" s="73"/>
      <c r="Q20" s="73"/>
      <c r="R20" s="73"/>
      <c r="S20" s="73"/>
    </row>
    <row r="21" spans="2:19">
      <c r="C21" t="s">
        <v>88</v>
      </c>
      <c r="K21" s="73"/>
      <c r="L21" s="73">
        <v>1905772</v>
      </c>
      <c r="M21" s="73">
        <v>2154247</v>
      </c>
      <c r="N21" s="73">
        <v>3609728</v>
      </c>
      <c r="O21" s="73"/>
      <c r="P21" s="73">
        <v>1807190</v>
      </c>
      <c r="Q21" s="73"/>
      <c r="R21" s="73">
        <v>2057911</v>
      </c>
      <c r="S21" s="73">
        <f>SUM(K21:R21)</f>
        <v>11534848</v>
      </c>
    </row>
    <row r="22" spans="2:19">
      <c r="C22" t="s">
        <v>46</v>
      </c>
      <c r="K22" s="84">
        <v>1265813</v>
      </c>
      <c r="L22" s="73"/>
      <c r="M22" s="73"/>
      <c r="N22" s="73"/>
      <c r="O22" s="73">
        <v>-8384</v>
      </c>
      <c r="P22" s="73"/>
      <c r="Q22" s="73">
        <v>-17281</v>
      </c>
      <c r="R22" s="73">
        <v>-829347</v>
      </c>
      <c r="S22" s="73">
        <f>SUM(K22:R22)</f>
        <v>410801</v>
      </c>
    </row>
    <row r="23" spans="2:19">
      <c r="K23" s="73"/>
      <c r="L23" s="73"/>
      <c r="M23" s="73"/>
      <c r="N23" s="73"/>
      <c r="O23" s="73"/>
      <c r="P23" s="73"/>
      <c r="Q23" s="73"/>
      <c r="R23" s="73"/>
      <c r="S23" s="73"/>
    </row>
    <row r="24" spans="2:19" s="5" customFormat="1">
      <c r="D24" s="6"/>
      <c r="E24" s="6" t="s">
        <v>77</v>
      </c>
      <c r="K24" s="79">
        <f>SUM(K21:K22)</f>
        <v>1265813</v>
      </c>
      <c r="L24" s="79">
        <f t="shared" ref="L24:Q24" si="2">SUM(L21:L22)</f>
        <v>1905772</v>
      </c>
      <c r="M24" s="79">
        <f t="shared" si="2"/>
        <v>2154247</v>
      </c>
      <c r="N24" s="79">
        <f t="shared" si="2"/>
        <v>3609728</v>
      </c>
      <c r="O24" s="79">
        <f t="shared" si="2"/>
        <v>-8384</v>
      </c>
      <c r="P24" s="79">
        <f t="shared" si="2"/>
        <v>1807190</v>
      </c>
      <c r="Q24" s="79">
        <f t="shared" si="2"/>
        <v>-17281</v>
      </c>
      <c r="R24" s="79">
        <f>SUM(R21:R22)</f>
        <v>1228564</v>
      </c>
      <c r="S24" s="79">
        <f>SUM(S21:S22)</f>
        <v>11945649</v>
      </c>
    </row>
    <row r="25" spans="2:19">
      <c r="K25" s="73"/>
      <c r="L25" s="73"/>
      <c r="M25" s="73"/>
      <c r="N25" s="73"/>
      <c r="O25" s="73"/>
      <c r="P25" s="73"/>
      <c r="Q25" s="73"/>
      <c r="R25" s="73"/>
      <c r="S25" s="73"/>
    </row>
    <row r="26" spans="2:19" s="7" customFormat="1">
      <c r="D26" s="8"/>
      <c r="E26" s="8" t="s">
        <v>48</v>
      </c>
      <c r="K26" s="81">
        <f>K24+K18</f>
        <v>1589213</v>
      </c>
      <c r="L26" s="81">
        <f t="shared" ref="L26:P26" si="3">L24+L18</f>
        <v>1966973</v>
      </c>
      <c r="M26" s="81">
        <f t="shared" si="3"/>
        <v>2154247</v>
      </c>
      <c r="N26" s="81">
        <f t="shared" si="3"/>
        <v>3657299</v>
      </c>
      <c r="O26" s="81">
        <f t="shared" si="3"/>
        <v>108865</v>
      </c>
      <c r="P26" s="81">
        <f t="shared" si="3"/>
        <v>1820997</v>
      </c>
      <c r="Q26" s="81">
        <f>Q24+Q18</f>
        <v>2212</v>
      </c>
      <c r="R26" s="81">
        <f>R24+R18</f>
        <v>2130346</v>
      </c>
      <c r="S26" s="81">
        <f>S24+S18</f>
        <v>13430152</v>
      </c>
    </row>
    <row r="30" spans="2:19">
      <c r="S30" s="183"/>
    </row>
    <row r="35" spans="19:19">
      <c r="S35" s="184"/>
    </row>
  </sheetData>
  <mergeCells count="3">
    <mergeCell ref="D1:K1"/>
    <mergeCell ref="D2:K2"/>
    <mergeCell ref="K4:Q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41"/>
  <sheetViews>
    <sheetView topLeftCell="A18" workbookViewId="0">
      <selection activeCell="K7" sqref="K7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2" width="16.42578125" customWidth="1"/>
    <col min="13" max="13" width="14.85546875" customWidth="1"/>
    <col min="14" max="14" width="18.140625" customWidth="1"/>
  </cols>
  <sheetData>
    <row r="1" spans="1:14" ht="18.75">
      <c r="D1" s="251" t="s">
        <v>498</v>
      </c>
      <c r="E1" s="251"/>
      <c r="F1" s="251"/>
      <c r="G1" s="251"/>
      <c r="H1" s="251"/>
      <c r="I1" s="251"/>
      <c r="J1" s="251"/>
      <c r="K1" s="251"/>
    </row>
    <row r="2" spans="1:14">
      <c r="D2" s="252" t="s">
        <v>507</v>
      </c>
      <c r="E2" s="252"/>
      <c r="F2" s="252"/>
      <c r="G2" s="252"/>
      <c r="H2" s="252"/>
      <c r="I2" s="252"/>
      <c r="J2" s="252"/>
      <c r="K2" s="252"/>
    </row>
    <row r="3" spans="1:14">
      <c r="D3" s="57"/>
      <c r="E3" s="57"/>
      <c r="F3" s="57"/>
      <c r="G3" s="57"/>
      <c r="H3" s="57"/>
      <c r="I3" s="57"/>
      <c r="J3" s="57"/>
      <c r="K3" s="57"/>
    </row>
    <row r="4" spans="1:14">
      <c r="K4" s="186" t="s">
        <v>247</v>
      </c>
      <c r="L4" s="112"/>
    </row>
    <row r="5" spans="1:14" ht="42.75" customHeight="1">
      <c r="K5" s="114" t="s">
        <v>2</v>
      </c>
      <c r="L5" s="114" t="s">
        <v>508</v>
      </c>
      <c r="M5" s="114" t="s">
        <v>502</v>
      </c>
      <c r="N5" s="114" t="s">
        <v>7</v>
      </c>
    </row>
    <row r="6" spans="1:14">
      <c r="A6" s="86" t="s">
        <v>8</v>
      </c>
    </row>
    <row r="7" spans="1:14">
      <c r="B7" t="s">
        <v>85</v>
      </c>
      <c r="K7" s="72">
        <v>2371039</v>
      </c>
      <c r="L7" s="73">
        <v>16258872</v>
      </c>
      <c r="M7" s="73">
        <v>9989308</v>
      </c>
      <c r="N7" s="73">
        <f>SUM(K7:M7)</f>
        <v>28619219</v>
      </c>
    </row>
    <row r="8" spans="1:14">
      <c r="B8" t="s">
        <v>503</v>
      </c>
      <c r="K8" s="74">
        <v>448711</v>
      </c>
      <c r="L8" s="73">
        <v>314192</v>
      </c>
      <c r="M8" s="73">
        <v>1319044</v>
      </c>
      <c r="N8" s="73">
        <f t="shared" ref="N8:N11" si="0">SUM(K8:M8)</f>
        <v>2081947</v>
      </c>
    </row>
    <row r="9" spans="1:14">
      <c r="B9" t="s">
        <v>493</v>
      </c>
      <c r="K9" s="99"/>
      <c r="L9" s="73"/>
      <c r="M9" s="73"/>
      <c r="N9" s="73">
        <f t="shared" si="0"/>
        <v>0</v>
      </c>
    </row>
    <row r="10" spans="1:14">
      <c r="B10" t="s">
        <v>60</v>
      </c>
      <c r="K10" s="73"/>
      <c r="L10" s="73"/>
      <c r="M10" s="73">
        <v>28871</v>
      </c>
      <c r="N10" s="73">
        <f t="shared" si="0"/>
        <v>28871</v>
      </c>
    </row>
    <row r="11" spans="1:14">
      <c r="B11" t="s">
        <v>509</v>
      </c>
      <c r="K11" s="130">
        <v>7575</v>
      </c>
      <c r="L11" s="73"/>
      <c r="M11" s="73">
        <v>3415</v>
      </c>
      <c r="N11" s="73">
        <f t="shared" si="0"/>
        <v>10990</v>
      </c>
    </row>
    <row r="12" spans="1:14">
      <c r="K12" s="73"/>
      <c r="L12" s="73"/>
      <c r="M12" s="73"/>
      <c r="N12" s="73"/>
    </row>
    <row r="13" spans="1:14" s="3" customFormat="1">
      <c r="A13" s="2"/>
      <c r="B13" s="2"/>
      <c r="C13" s="2"/>
      <c r="D13" s="2"/>
      <c r="E13" s="2" t="s">
        <v>62</v>
      </c>
      <c r="K13" s="76">
        <f>SUM(K7:K11)</f>
        <v>2827325</v>
      </c>
      <c r="L13" s="76">
        <f t="shared" ref="L13:N13" si="1">SUM(L7:L11)</f>
        <v>16573064</v>
      </c>
      <c r="M13" s="76">
        <f t="shared" si="1"/>
        <v>11340638</v>
      </c>
      <c r="N13" s="76">
        <f t="shared" si="1"/>
        <v>30741027</v>
      </c>
    </row>
    <row r="14" spans="1:14">
      <c r="K14" s="73"/>
      <c r="L14" s="73"/>
      <c r="M14" s="73"/>
      <c r="N14" s="73"/>
    </row>
    <row r="15" spans="1:14">
      <c r="A15" s="4" t="s">
        <v>504</v>
      </c>
      <c r="K15" s="73"/>
      <c r="L15" s="73"/>
      <c r="M15" s="73"/>
      <c r="N15" s="73"/>
    </row>
    <row r="16" spans="1:14">
      <c r="C16" t="s">
        <v>333</v>
      </c>
      <c r="K16" s="73"/>
      <c r="L16" s="73"/>
      <c r="M16" s="73">
        <v>1234953</v>
      </c>
      <c r="N16" s="73">
        <f>SUM(K16:M16)</f>
        <v>1234953</v>
      </c>
    </row>
    <row r="17" spans="2:14">
      <c r="C17" t="s">
        <v>21</v>
      </c>
      <c r="K17" s="77">
        <v>82957</v>
      </c>
      <c r="L17" s="73">
        <v>123191</v>
      </c>
      <c r="M17" s="73">
        <v>570179</v>
      </c>
      <c r="N17" s="73">
        <f t="shared" ref="N17:N20" si="2">SUM(K17:M17)</f>
        <v>776327</v>
      </c>
    </row>
    <row r="18" spans="2:14">
      <c r="C18" t="s">
        <v>365</v>
      </c>
      <c r="K18" s="77">
        <v>500245</v>
      </c>
      <c r="L18" s="73">
        <v>133576</v>
      </c>
      <c r="M18" s="73">
        <v>432680</v>
      </c>
      <c r="N18" s="73">
        <f t="shared" si="2"/>
        <v>1066501</v>
      </c>
    </row>
    <row r="19" spans="2:14">
      <c r="C19" t="s">
        <v>25</v>
      </c>
      <c r="K19" s="73"/>
      <c r="L19" s="73"/>
      <c r="M19" s="73"/>
      <c r="N19" s="73">
        <f t="shared" si="2"/>
        <v>0</v>
      </c>
    </row>
    <row r="20" spans="2:14">
      <c r="C20" t="s">
        <v>505</v>
      </c>
      <c r="K20" s="82">
        <v>207685</v>
      </c>
      <c r="L20" s="73"/>
      <c r="M20" s="73">
        <v>8848</v>
      </c>
      <c r="N20" s="73">
        <f t="shared" si="2"/>
        <v>216533</v>
      </c>
    </row>
    <row r="21" spans="2:14">
      <c r="K21" s="73"/>
      <c r="L21" s="73"/>
      <c r="M21" s="73"/>
      <c r="N21" s="73"/>
    </row>
    <row r="22" spans="2:14" s="5" customFormat="1">
      <c r="B22" s="6"/>
      <c r="C22" s="6"/>
      <c r="D22" s="6"/>
      <c r="E22" s="6" t="s">
        <v>26</v>
      </c>
      <c r="K22" s="79">
        <f>SUM(K16:K20)</f>
        <v>790887</v>
      </c>
      <c r="L22" s="79">
        <f t="shared" ref="L22:N22" si="3">SUM(L16:L20)</f>
        <v>256767</v>
      </c>
      <c r="M22" s="79">
        <f t="shared" si="3"/>
        <v>2246660</v>
      </c>
      <c r="N22" s="79">
        <f t="shared" si="3"/>
        <v>3294314</v>
      </c>
    </row>
    <row r="23" spans="2:14">
      <c r="K23" s="73"/>
      <c r="L23" s="73"/>
      <c r="M23" s="73"/>
      <c r="N23" s="73"/>
    </row>
    <row r="24" spans="2:14">
      <c r="B24" s="86" t="s">
        <v>30</v>
      </c>
      <c r="K24" s="73"/>
      <c r="L24" s="73"/>
      <c r="M24" s="73"/>
      <c r="N24" s="73"/>
    </row>
    <row r="25" spans="2:14">
      <c r="B25" s="86"/>
      <c r="C25" t="s">
        <v>104</v>
      </c>
      <c r="K25" s="187">
        <v>7575</v>
      </c>
      <c r="L25" s="73"/>
      <c r="M25" s="73">
        <v>3415</v>
      </c>
      <c r="N25" s="73">
        <f>SUM(K25:M25)</f>
        <v>10990</v>
      </c>
    </row>
    <row r="26" spans="2:14">
      <c r="C26" t="s">
        <v>88</v>
      </c>
      <c r="K26" s="73"/>
      <c r="L26" s="73">
        <v>16316297</v>
      </c>
      <c r="M26" s="73">
        <v>2493057</v>
      </c>
      <c r="N26" s="73">
        <f t="shared" ref="N26:N28" si="4">SUM(K26:M26)</f>
        <v>18809354</v>
      </c>
    </row>
    <row r="27" spans="2:14">
      <c r="C27" t="s">
        <v>259</v>
      </c>
      <c r="K27" s="73"/>
      <c r="L27" s="73"/>
      <c r="M27" s="73">
        <v>7883342</v>
      </c>
      <c r="N27" s="73">
        <f t="shared" si="4"/>
        <v>7883342</v>
      </c>
    </row>
    <row r="28" spans="2:14">
      <c r="C28" t="s">
        <v>46</v>
      </c>
      <c r="K28" s="84">
        <v>2028863</v>
      </c>
      <c r="L28" s="73"/>
      <c r="M28" s="73">
        <v>-1285836</v>
      </c>
      <c r="N28" s="73">
        <f t="shared" si="4"/>
        <v>743027</v>
      </c>
    </row>
    <row r="29" spans="2:14">
      <c r="K29" s="73"/>
      <c r="L29" s="73"/>
      <c r="M29" s="73"/>
      <c r="N29" s="73"/>
    </row>
    <row r="30" spans="2:14" s="5" customFormat="1">
      <c r="D30" s="6"/>
      <c r="E30" s="6" t="s">
        <v>77</v>
      </c>
      <c r="K30" s="79">
        <f>SUM(K25:K28)</f>
        <v>2036438</v>
      </c>
      <c r="L30" s="79">
        <f t="shared" ref="L30:N30" si="5">SUM(L25:L28)</f>
        <v>16316297</v>
      </c>
      <c r="M30" s="79">
        <f t="shared" si="5"/>
        <v>9093978</v>
      </c>
      <c r="N30" s="79">
        <f t="shared" si="5"/>
        <v>27446713</v>
      </c>
    </row>
    <row r="31" spans="2:14">
      <c r="K31" s="73"/>
      <c r="L31" s="73"/>
      <c r="M31" s="73"/>
      <c r="N31" s="73"/>
    </row>
    <row r="32" spans="2:14" s="7" customFormat="1">
      <c r="D32" s="8"/>
      <c r="E32" s="8" t="s">
        <v>48</v>
      </c>
      <c r="K32" s="81">
        <f>K30+K22</f>
        <v>2827325</v>
      </c>
      <c r="L32" s="81">
        <f>L30+L22</f>
        <v>16573064</v>
      </c>
      <c r="M32" s="81">
        <f>M30+M22</f>
        <v>11340638</v>
      </c>
      <c r="N32" s="81">
        <f>N30+N22</f>
        <v>30741027</v>
      </c>
    </row>
    <row r="36" spans="14:14">
      <c r="N36" s="183"/>
    </row>
    <row r="41" spans="14:14">
      <c r="N41" s="184"/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48"/>
  <sheetViews>
    <sheetView topLeftCell="A20" zoomScale="70" zoomScaleNormal="70" zoomScalePageLayoutView="70" workbookViewId="0">
      <selection activeCell="K14" sqref="K14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18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8" width="19.42578125" customWidth="1"/>
    <col min="19" max="19" width="19.85546875" bestFit="1" customWidth="1"/>
  </cols>
  <sheetData>
    <row r="1" spans="1:19" ht="18.75">
      <c r="D1" s="251" t="s">
        <v>510</v>
      </c>
      <c r="E1" s="251"/>
      <c r="F1" s="251"/>
      <c r="G1" s="251"/>
      <c r="H1" s="251"/>
      <c r="I1" s="251"/>
      <c r="J1" s="251"/>
      <c r="K1" s="251"/>
    </row>
    <row r="2" spans="1:19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9">
      <c r="D3" s="57"/>
      <c r="E3" s="57"/>
      <c r="F3" s="57"/>
      <c r="G3" s="57"/>
      <c r="H3" s="57"/>
      <c r="I3" s="57" t="s">
        <v>511</v>
      </c>
      <c r="J3" s="57"/>
      <c r="K3" s="57"/>
    </row>
    <row r="4" spans="1:19" ht="36.75" customHeight="1"/>
    <row r="5" spans="1:19" ht="45">
      <c r="K5" s="114" t="s">
        <v>2</v>
      </c>
      <c r="L5" s="114" t="s">
        <v>512</v>
      </c>
      <c r="M5" s="114" t="s">
        <v>513</v>
      </c>
      <c r="N5" s="114" t="s">
        <v>514</v>
      </c>
      <c r="O5" s="114" t="s">
        <v>515</v>
      </c>
      <c r="P5" s="114" t="s">
        <v>284</v>
      </c>
      <c r="Q5" s="114" t="s">
        <v>516</v>
      </c>
      <c r="R5" s="114" t="s">
        <v>306</v>
      </c>
      <c r="S5" s="114" t="s">
        <v>7</v>
      </c>
    </row>
    <row r="6" spans="1:19">
      <c r="A6" s="86" t="s">
        <v>8</v>
      </c>
    </row>
    <row r="7" spans="1:19">
      <c r="B7" t="s">
        <v>85</v>
      </c>
      <c r="K7" s="72">
        <v>24006</v>
      </c>
      <c r="L7" s="73">
        <v>3</v>
      </c>
      <c r="M7" s="73">
        <v>12775</v>
      </c>
      <c r="N7" s="73"/>
      <c r="O7" s="73">
        <v>326</v>
      </c>
      <c r="P7" s="73">
        <v>29203</v>
      </c>
      <c r="Q7" s="73">
        <v>1269</v>
      </c>
      <c r="R7" s="73">
        <v>23454</v>
      </c>
      <c r="S7" s="73">
        <f t="shared" ref="S7:S19" si="0">SUM(K7:R7)</f>
        <v>91036</v>
      </c>
    </row>
    <row r="8" spans="1:19">
      <c r="B8" t="s">
        <v>10</v>
      </c>
      <c r="K8" s="77">
        <v>768</v>
      </c>
      <c r="L8" s="73"/>
      <c r="M8" s="73"/>
      <c r="N8" s="73"/>
      <c r="O8" s="73">
        <v>74526</v>
      </c>
      <c r="P8" s="73">
        <v>103615</v>
      </c>
      <c r="Q8" s="73"/>
      <c r="R8" s="73">
        <v>11116</v>
      </c>
      <c r="S8" s="73">
        <f t="shared" si="0"/>
        <v>190025</v>
      </c>
    </row>
    <row r="9" spans="1:19">
      <c r="B9" t="s">
        <v>517</v>
      </c>
      <c r="K9" s="73"/>
      <c r="L9" s="73"/>
      <c r="M9" s="73"/>
      <c r="N9" s="73"/>
      <c r="O9" s="73"/>
      <c r="P9" s="73"/>
      <c r="Q9" s="73"/>
      <c r="R9" s="73"/>
      <c r="S9" s="73">
        <f t="shared" si="0"/>
        <v>0</v>
      </c>
    </row>
    <row r="10" spans="1:19">
      <c r="C10" t="s">
        <v>181</v>
      </c>
      <c r="K10" s="74">
        <v>17642</v>
      </c>
      <c r="L10" s="73"/>
      <c r="M10" s="73"/>
      <c r="N10" s="73"/>
      <c r="O10" s="73"/>
      <c r="P10" s="73"/>
      <c r="Q10" s="73"/>
      <c r="R10" s="73"/>
      <c r="S10" s="73">
        <f t="shared" si="0"/>
        <v>17642</v>
      </c>
    </row>
    <row r="11" spans="1:19">
      <c r="C11" t="s">
        <v>141</v>
      </c>
      <c r="K11" s="74">
        <v>4835</v>
      </c>
      <c r="L11" s="73"/>
      <c r="M11" s="73"/>
      <c r="N11" s="73"/>
      <c r="O11" s="73">
        <v>2970</v>
      </c>
      <c r="P11" s="73"/>
      <c r="Q11" s="73"/>
      <c r="R11" s="73">
        <v>451</v>
      </c>
      <c r="S11" s="73">
        <f t="shared" si="0"/>
        <v>8256</v>
      </c>
    </row>
    <row r="12" spans="1:19">
      <c r="C12" t="s">
        <v>182</v>
      </c>
      <c r="K12" s="74">
        <v>6695</v>
      </c>
      <c r="L12" s="73"/>
      <c r="M12" s="73"/>
      <c r="N12" s="73"/>
      <c r="O12" s="73"/>
      <c r="P12" s="73"/>
      <c r="Q12" s="73"/>
      <c r="R12" s="73"/>
      <c r="S12" s="73">
        <f t="shared" si="0"/>
        <v>6695</v>
      </c>
    </row>
    <row r="13" spans="1:19">
      <c r="C13" t="s">
        <v>311</v>
      </c>
      <c r="K13" s="74">
        <v>11649</v>
      </c>
      <c r="L13" s="73">
        <v>153</v>
      </c>
      <c r="M13" s="73"/>
      <c r="N13" s="73"/>
      <c r="O13" s="73"/>
      <c r="P13" s="73">
        <v>10</v>
      </c>
      <c r="Q13" s="73">
        <v>446</v>
      </c>
      <c r="R13" s="73">
        <v>2347</v>
      </c>
      <c r="S13" s="73">
        <f t="shared" si="0"/>
        <v>14605</v>
      </c>
    </row>
    <row r="14" spans="1:19">
      <c r="C14" t="s">
        <v>518</v>
      </c>
      <c r="K14" s="73"/>
      <c r="L14" s="73"/>
      <c r="M14" s="73">
        <v>658</v>
      </c>
      <c r="N14" s="73"/>
      <c r="O14" s="73"/>
      <c r="P14" s="73"/>
      <c r="Q14" s="73"/>
      <c r="R14" s="73"/>
      <c r="S14" s="73">
        <f t="shared" si="0"/>
        <v>658</v>
      </c>
    </row>
    <row r="15" spans="1:19">
      <c r="B15" t="s">
        <v>16</v>
      </c>
      <c r="K15" s="75">
        <v>18337</v>
      </c>
      <c r="L15" s="73"/>
      <c r="M15" s="73"/>
      <c r="N15" s="73">
        <v>3934</v>
      </c>
      <c r="O15" s="73"/>
      <c r="P15" s="73"/>
      <c r="Q15" s="73"/>
      <c r="R15" s="73">
        <v>1306</v>
      </c>
      <c r="S15" s="73">
        <f t="shared" si="0"/>
        <v>23577</v>
      </c>
    </row>
    <row r="16" spans="1:19">
      <c r="B16" t="s">
        <v>59</v>
      </c>
      <c r="K16" s="75">
        <v>1812</v>
      </c>
      <c r="L16" s="73">
        <v>6810</v>
      </c>
      <c r="M16" s="73"/>
      <c r="N16" s="73">
        <v>8729</v>
      </c>
      <c r="O16" s="73"/>
      <c r="P16" s="73">
        <v>27285</v>
      </c>
      <c r="Q16" s="73">
        <v>6088</v>
      </c>
      <c r="R16" s="73">
        <v>5814</v>
      </c>
      <c r="S16" s="73">
        <f t="shared" si="0"/>
        <v>56538</v>
      </c>
    </row>
    <row r="17" spans="1:19">
      <c r="B17" t="s">
        <v>17</v>
      </c>
      <c r="K17" s="75">
        <v>4423</v>
      </c>
      <c r="L17" s="73"/>
      <c r="M17" s="73"/>
      <c r="N17" s="73"/>
      <c r="O17" s="73"/>
      <c r="P17" s="73">
        <v>10467</v>
      </c>
      <c r="Q17" s="73"/>
      <c r="R17" s="73"/>
      <c r="S17" s="73">
        <f t="shared" si="0"/>
        <v>14890</v>
      </c>
    </row>
    <row r="18" spans="1:19">
      <c r="B18" t="s">
        <v>519</v>
      </c>
      <c r="K18" s="75">
        <v>2</v>
      </c>
      <c r="L18" s="73"/>
      <c r="M18" s="73"/>
      <c r="N18" s="73"/>
      <c r="O18" s="73"/>
      <c r="P18" s="73"/>
      <c r="Q18" s="73"/>
      <c r="R18" s="73"/>
      <c r="S18" s="73">
        <f t="shared" si="0"/>
        <v>2</v>
      </c>
    </row>
    <row r="19" spans="1:19">
      <c r="B19" t="s">
        <v>156</v>
      </c>
      <c r="K19" s="82">
        <v>3</v>
      </c>
      <c r="L19" s="73"/>
      <c r="M19" s="73"/>
      <c r="N19" s="73"/>
      <c r="O19" s="73"/>
      <c r="P19" s="73"/>
      <c r="Q19" s="73"/>
      <c r="R19" s="73">
        <v>12</v>
      </c>
      <c r="S19" s="73">
        <f t="shared" si="0"/>
        <v>15</v>
      </c>
    </row>
    <row r="20" spans="1:19">
      <c r="K20" s="73"/>
      <c r="L20" s="73"/>
      <c r="M20" s="73"/>
      <c r="N20" s="73"/>
      <c r="O20" s="73"/>
      <c r="P20" s="73"/>
      <c r="Q20" s="73"/>
      <c r="R20" s="73"/>
      <c r="S20" s="73"/>
    </row>
    <row r="21" spans="1:19" s="3" customFormat="1">
      <c r="E21" s="3" t="s">
        <v>62</v>
      </c>
      <c r="K21" s="76">
        <f>SUM(K7:K20)</f>
        <v>90172</v>
      </c>
      <c r="L21" s="76">
        <f t="shared" ref="L21:S21" si="1">SUM(L7:L19)</f>
        <v>6966</v>
      </c>
      <c r="M21" s="76">
        <f t="shared" si="1"/>
        <v>13433</v>
      </c>
      <c r="N21" s="76">
        <f t="shared" si="1"/>
        <v>12663</v>
      </c>
      <c r="O21" s="76">
        <f t="shared" si="1"/>
        <v>77822</v>
      </c>
      <c r="P21" s="76">
        <f t="shared" si="1"/>
        <v>170580</v>
      </c>
      <c r="Q21" s="76">
        <f t="shared" si="1"/>
        <v>7803</v>
      </c>
      <c r="R21" s="76">
        <f t="shared" si="1"/>
        <v>44500</v>
      </c>
      <c r="S21" s="76">
        <f t="shared" si="1"/>
        <v>423939</v>
      </c>
    </row>
    <row r="22" spans="1:19">
      <c r="K22" s="73"/>
      <c r="L22" s="73"/>
      <c r="M22" s="73"/>
      <c r="N22" s="73"/>
      <c r="O22" s="73"/>
      <c r="P22" s="73"/>
      <c r="Q22" s="73"/>
      <c r="R22" s="73"/>
      <c r="S22" s="73"/>
    </row>
    <row r="23" spans="1:19">
      <c r="A23" s="185" t="s">
        <v>119</v>
      </c>
      <c r="K23" s="73"/>
      <c r="L23" s="73"/>
      <c r="M23" s="73"/>
      <c r="N23" s="73"/>
      <c r="O23" s="73"/>
      <c r="P23" s="73"/>
      <c r="Q23" s="73"/>
      <c r="R23" s="73"/>
      <c r="S23" s="73"/>
    </row>
    <row r="24" spans="1:19">
      <c r="C24" t="s">
        <v>21</v>
      </c>
      <c r="K24" s="77">
        <v>30650</v>
      </c>
      <c r="L24" s="73">
        <v>5352</v>
      </c>
      <c r="M24" s="73">
        <v>67</v>
      </c>
      <c r="N24" s="73">
        <v>1208</v>
      </c>
      <c r="O24" s="73"/>
      <c r="P24" s="73">
        <v>26297</v>
      </c>
      <c r="Q24" s="73">
        <v>6547</v>
      </c>
      <c r="R24" s="73">
        <v>6770</v>
      </c>
      <c r="S24" s="73">
        <f t="shared" ref="S24:S29" si="2">SUM(K24:R24)</f>
        <v>76891</v>
      </c>
    </row>
    <row r="25" spans="1:19">
      <c r="C25" t="s">
        <v>520</v>
      </c>
      <c r="K25" s="73"/>
      <c r="L25" s="73"/>
      <c r="M25" s="73"/>
      <c r="N25" s="73"/>
      <c r="O25" s="73"/>
      <c r="P25" s="73">
        <v>3658</v>
      </c>
      <c r="Q25" s="73"/>
      <c r="R25" s="73"/>
      <c r="S25" s="73">
        <f t="shared" si="2"/>
        <v>3658</v>
      </c>
    </row>
    <row r="26" spans="1:19">
      <c r="C26" t="s">
        <v>365</v>
      </c>
      <c r="K26" s="73"/>
      <c r="L26" s="73">
        <v>132</v>
      </c>
      <c r="M26" s="73">
        <v>3</v>
      </c>
      <c r="N26" s="73">
        <v>147</v>
      </c>
      <c r="O26" s="73">
        <v>17</v>
      </c>
      <c r="P26" s="73"/>
      <c r="Q26" s="73">
        <v>136</v>
      </c>
      <c r="R26" s="73">
        <v>241</v>
      </c>
      <c r="S26" s="73">
        <f t="shared" si="2"/>
        <v>676</v>
      </c>
    </row>
    <row r="27" spans="1:19">
      <c r="C27" t="s">
        <v>25</v>
      </c>
      <c r="K27" s="78">
        <v>55</v>
      </c>
      <c r="L27" s="73">
        <v>12394</v>
      </c>
      <c r="M27" s="73"/>
      <c r="N27" s="73">
        <v>3495</v>
      </c>
      <c r="O27" s="73"/>
      <c r="P27" s="73">
        <v>3939</v>
      </c>
      <c r="Q27" s="73"/>
      <c r="R27" s="73">
        <v>3694</v>
      </c>
      <c r="S27" s="73">
        <f t="shared" si="2"/>
        <v>23577</v>
      </c>
    </row>
    <row r="28" spans="1:19">
      <c r="C28" t="s">
        <v>159</v>
      </c>
      <c r="K28" s="78">
        <v>1254</v>
      </c>
      <c r="L28" s="73"/>
      <c r="M28" s="73"/>
      <c r="N28" s="73">
        <v>8462</v>
      </c>
      <c r="O28" s="73"/>
      <c r="P28" s="73"/>
      <c r="Q28" s="73">
        <v>2153</v>
      </c>
      <c r="R28" s="73">
        <v>688</v>
      </c>
      <c r="S28" s="73">
        <f t="shared" si="2"/>
        <v>12557</v>
      </c>
    </row>
    <row r="29" spans="1:19">
      <c r="C29" t="s">
        <v>158</v>
      </c>
      <c r="K29" s="82">
        <v>7087</v>
      </c>
      <c r="L29" s="73"/>
      <c r="M29" s="73"/>
      <c r="N29" s="73"/>
      <c r="O29" s="73"/>
      <c r="P29" s="73">
        <v>59</v>
      </c>
      <c r="Q29" s="73"/>
      <c r="R29" s="73"/>
      <c r="S29" s="73">
        <f t="shared" si="2"/>
        <v>7146</v>
      </c>
    </row>
    <row r="30" spans="1:19">
      <c r="C30" t="s">
        <v>521</v>
      </c>
      <c r="K30" s="73"/>
      <c r="L30" s="73"/>
      <c r="M30" s="73"/>
      <c r="N30" s="73"/>
      <c r="O30" s="73"/>
      <c r="P30" s="73"/>
      <c r="Q30" s="73"/>
      <c r="R30" s="73">
        <v>2</v>
      </c>
      <c r="S30" s="73">
        <f>SUM(K30:R30)</f>
        <v>2</v>
      </c>
    </row>
    <row r="31" spans="1:19">
      <c r="K31" s="73"/>
      <c r="L31" s="73"/>
      <c r="M31" s="73"/>
      <c r="N31" s="73"/>
      <c r="O31" s="73"/>
      <c r="P31" s="73"/>
      <c r="Q31" s="73"/>
      <c r="R31" s="73"/>
      <c r="S31" s="73"/>
    </row>
    <row r="32" spans="1:19" s="5" customFormat="1">
      <c r="E32" s="5" t="s">
        <v>26</v>
      </c>
      <c r="K32" s="79">
        <f>SUM(K24:K30)</f>
        <v>39046</v>
      </c>
      <c r="L32" s="79">
        <f>SUM(L24:L30)</f>
        <v>17878</v>
      </c>
      <c r="M32" s="79">
        <f>SUM(M24:M29)</f>
        <v>70</v>
      </c>
      <c r="N32" s="79">
        <f>SUM(N24:N30)</f>
        <v>13312</v>
      </c>
      <c r="O32" s="79">
        <f>SUM(O24:O30)</f>
        <v>17</v>
      </c>
      <c r="P32" s="79">
        <f>SUM(P24:P31)</f>
        <v>33953</v>
      </c>
      <c r="Q32" s="79">
        <f>SUM(Q24:Q30)</f>
        <v>8836</v>
      </c>
      <c r="R32" s="79">
        <f>SUM(R24:R30)</f>
        <v>11395</v>
      </c>
      <c r="S32" s="79">
        <f>SUM(S24:S30)</f>
        <v>124507</v>
      </c>
    </row>
    <row r="33" spans="1:19">
      <c r="K33" s="73"/>
      <c r="L33" s="73"/>
      <c r="M33" s="73"/>
      <c r="N33" s="73"/>
      <c r="O33" s="73"/>
      <c r="P33" s="73"/>
      <c r="Q33" s="73"/>
      <c r="R33" s="73"/>
      <c r="S33" s="73"/>
    </row>
    <row r="34" spans="1:19">
      <c r="A34" s="71" t="s">
        <v>27</v>
      </c>
      <c r="K34" s="73"/>
      <c r="L34" s="73"/>
      <c r="M34" s="73"/>
      <c r="N34" s="73"/>
      <c r="O34" s="73"/>
      <c r="P34" s="73"/>
      <c r="Q34" s="73"/>
      <c r="R34" s="73"/>
      <c r="S34" s="73"/>
    </row>
    <row r="35" spans="1:19">
      <c r="C35" t="s">
        <v>103</v>
      </c>
      <c r="K35" s="73">
        <v>8142</v>
      </c>
      <c r="L35" s="73">
        <v>6396</v>
      </c>
      <c r="M35" s="73"/>
      <c r="N35" s="73">
        <v>2087</v>
      </c>
      <c r="O35" s="73">
        <v>4289</v>
      </c>
      <c r="P35" s="73">
        <v>23141</v>
      </c>
      <c r="Q35" s="73">
        <v>4079</v>
      </c>
      <c r="R35" s="73">
        <v>2235</v>
      </c>
      <c r="S35" s="73">
        <f>SUM(K35:R35)</f>
        <v>50369</v>
      </c>
    </row>
    <row r="36" spans="1:19">
      <c r="K36" s="73"/>
      <c r="L36" s="73"/>
      <c r="M36" s="73"/>
      <c r="N36" s="73"/>
      <c r="O36" s="73"/>
      <c r="P36" s="73"/>
      <c r="Q36" s="73"/>
      <c r="R36" s="73"/>
      <c r="S36" s="73"/>
    </row>
    <row r="37" spans="1:19" s="5" customFormat="1">
      <c r="E37" s="5" t="s">
        <v>522</v>
      </c>
      <c r="K37" s="79">
        <f>SUM(K35)</f>
        <v>8142</v>
      </c>
      <c r="L37" s="79">
        <f t="shared" ref="L37:S37" si="3">SUM(L35)</f>
        <v>6396</v>
      </c>
      <c r="M37" s="79">
        <f t="shared" si="3"/>
        <v>0</v>
      </c>
      <c r="N37" s="79">
        <f t="shared" si="3"/>
        <v>2087</v>
      </c>
      <c r="O37" s="79">
        <f t="shared" si="3"/>
        <v>4289</v>
      </c>
      <c r="P37" s="79">
        <f t="shared" si="3"/>
        <v>23141</v>
      </c>
      <c r="Q37" s="79">
        <f t="shared" si="3"/>
        <v>4079</v>
      </c>
      <c r="R37" s="79">
        <f t="shared" si="3"/>
        <v>2235</v>
      </c>
      <c r="S37" s="79">
        <f t="shared" si="3"/>
        <v>50369</v>
      </c>
    </row>
    <row r="38" spans="1:19">
      <c r="K38" s="73"/>
      <c r="L38" s="73"/>
      <c r="M38" s="73"/>
      <c r="N38" s="73"/>
      <c r="O38" s="73"/>
      <c r="P38" s="73"/>
      <c r="Q38" s="73"/>
      <c r="R38" s="73"/>
      <c r="S38" s="73"/>
    </row>
    <row r="39" spans="1:19">
      <c r="B39" s="86" t="s">
        <v>30</v>
      </c>
      <c r="K39" s="73"/>
      <c r="L39" s="73"/>
      <c r="M39" s="73"/>
      <c r="N39" s="73"/>
      <c r="O39" s="73"/>
      <c r="P39" s="73"/>
      <c r="Q39" s="73"/>
      <c r="R39" s="73"/>
      <c r="S39" s="73"/>
    </row>
    <row r="40" spans="1:19">
      <c r="C40" t="s">
        <v>104</v>
      </c>
      <c r="K40" s="73"/>
      <c r="L40" s="73"/>
      <c r="M40" s="73">
        <v>658</v>
      </c>
      <c r="N40" s="73"/>
      <c r="O40" s="73"/>
      <c r="P40" s="73"/>
      <c r="Q40" s="73"/>
      <c r="R40" s="73">
        <v>974</v>
      </c>
      <c r="S40" s="73">
        <f>SUM(K40:R40)</f>
        <v>1632</v>
      </c>
    </row>
    <row r="41" spans="1:19">
      <c r="C41" t="s">
        <v>208</v>
      </c>
      <c r="K41" s="73"/>
      <c r="L41" s="73"/>
      <c r="M41" s="73">
        <v>12705</v>
      </c>
      <c r="N41" s="73"/>
      <c r="O41" s="73">
        <v>73516</v>
      </c>
      <c r="P41" s="73">
        <v>51081</v>
      </c>
      <c r="Q41" s="73"/>
      <c r="R41" s="73">
        <v>15504</v>
      </c>
      <c r="S41" s="73">
        <f>SUM(K41:R41)</f>
        <v>152806</v>
      </c>
    </row>
    <row r="42" spans="1:19">
      <c r="C42" t="s">
        <v>259</v>
      </c>
      <c r="K42" s="80">
        <v>26399</v>
      </c>
      <c r="L42" s="73"/>
      <c r="M42" s="73"/>
      <c r="N42" s="73"/>
      <c r="O42" s="73"/>
      <c r="P42" s="73">
        <v>62405</v>
      </c>
      <c r="Q42" s="73"/>
      <c r="R42" s="73">
        <v>19192</v>
      </c>
      <c r="S42" s="73">
        <f t="shared" ref="S42:S44" si="4">SUM(K42:R42)</f>
        <v>107996</v>
      </c>
    </row>
    <row r="43" spans="1:19">
      <c r="C43" t="s">
        <v>89</v>
      </c>
      <c r="K43" s="188">
        <v>5970</v>
      </c>
      <c r="L43" s="73"/>
      <c r="M43" s="73"/>
      <c r="N43" s="73"/>
      <c r="O43" s="73"/>
      <c r="P43" s="73"/>
      <c r="Q43" s="73"/>
      <c r="R43" s="73">
        <v>315</v>
      </c>
      <c r="S43" s="73">
        <f t="shared" si="4"/>
        <v>6285</v>
      </c>
    </row>
    <row r="44" spans="1:19">
      <c r="C44" t="s">
        <v>46</v>
      </c>
      <c r="K44" s="84">
        <v>10615</v>
      </c>
      <c r="L44" s="73">
        <v>-17308</v>
      </c>
      <c r="M44" s="73"/>
      <c r="N44" s="73">
        <v>-2736</v>
      </c>
      <c r="O44" s="73"/>
      <c r="P44" s="73"/>
      <c r="Q44" s="73">
        <v>-5112</v>
      </c>
      <c r="R44" s="73">
        <v>-5115</v>
      </c>
      <c r="S44" s="73">
        <f t="shared" si="4"/>
        <v>-19656</v>
      </c>
    </row>
    <row r="45" spans="1:19">
      <c r="K45" s="73"/>
      <c r="L45" s="73"/>
      <c r="M45" s="73"/>
      <c r="N45" s="73"/>
      <c r="O45" s="73"/>
      <c r="P45" s="73"/>
      <c r="Q45" s="73"/>
      <c r="R45" s="73"/>
      <c r="S45" s="73"/>
    </row>
    <row r="46" spans="1:19" s="5" customFormat="1">
      <c r="E46" s="5" t="s">
        <v>77</v>
      </c>
      <c r="K46" s="79">
        <f>SUM(K40:K45)</f>
        <v>42984</v>
      </c>
      <c r="L46" s="79">
        <f>SUM(L41:L44)</f>
        <v>-17308</v>
      </c>
      <c r="M46" s="79">
        <f>SUM(M40:M44)</f>
        <v>13363</v>
      </c>
      <c r="N46" s="79">
        <f>SUM(N41:N44)</f>
        <v>-2736</v>
      </c>
      <c r="O46" s="79">
        <f>SUM(O40:O44)</f>
        <v>73516</v>
      </c>
      <c r="P46" s="79">
        <f>SUM(P40:P44)</f>
        <v>113486</v>
      </c>
      <c r="Q46" s="79">
        <f>SUM(Q40:Q44)</f>
        <v>-5112</v>
      </c>
      <c r="R46" s="79">
        <f>SUM(R40:R44)</f>
        <v>30870</v>
      </c>
      <c r="S46" s="79">
        <f>SUM(S39:S44)</f>
        <v>249063</v>
      </c>
    </row>
    <row r="47" spans="1:19">
      <c r="K47" s="73"/>
      <c r="L47" s="73"/>
      <c r="M47" s="73"/>
      <c r="N47" s="73"/>
      <c r="O47" s="73"/>
      <c r="P47" s="73"/>
      <c r="Q47" s="73"/>
      <c r="R47" s="73"/>
      <c r="S47" s="73"/>
    </row>
    <row r="48" spans="1:19" s="7" customFormat="1">
      <c r="E48" s="7" t="s">
        <v>523</v>
      </c>
      <c r="K48" s="81">
        <f>SUM(K46+K32+K37)</f>
        <v>90172</v>
      </c>
      <c r="L48" s="81">
        <f t="shared" ref="L48:S48" si="5">SUM(L46+L32+L37)</f>
        <v>6966</v>
      </c>
      <c r="M48" s="81">
        <f t="shared" si="5"/>
        <v>13433</v>
      </c>
      <c r="N48" s="81">
        <f t="shared" si="5"/>
        <v>12663</v>
      </c>
      <c r="O48" s="81">
        <f t="shared" si="5"/>
        <v>77822</v>
      </c>
      <c r="P48" s="81">
        <f t="shared" si="5"/>
        <v>170580</v>
      </c>
      <c r="Q48" s="81">
        <f t="shared" si="5"/>
        <v>7803</v>
      </c>
      <c r="R48" s="81">
        <f t="shared" si="5"/>
        <v>44500</v>
      </c>
      <c r="S48" s="81">
        <f t="shared" si="5"/>
        <v>423939</v>
      </c>
    </row>
  </sheetData>
  <mergeCells count="2">
    <mergeCell ref="D1:K1"/>
    <mergeCell ref="D2:K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R42"/>
  <sheetViews>
    <sheetView zoomScale="60" zoomScaleNormal="60" zoomScalePageLayoutView="60" workbookViewId="0">
      <selection activeCell="K7" sqref="K7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4" width="16.42578125" customWidth="1"/>
    <col min="15" max="16" width="19.7109375" customWidth="1"/>
    <col min="17" max="17" width="18" customWidth="1"/>
    <col min="18" max="18" width="17.7109375" customWidth="1"/>
  </cols>
  <sheetData>
    <row r="1" spans="1:18" ht="18.75">
      <c r="D1" s="262" t="s">
        <v>524</v>
      </c>
      <c r="E1" s="262"/>
      <c r="F1" s="262"/>
      <c r="G1" s="262"/>
      <c r="H1" s="262"/>
      <c r="I1" s="262"/>
      <c r="J1" s="262"/>
      <c r="K1" s="262"/>
    </row>
    <row r="2" spans="1:18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8" ht="51" customHeight="1">
      <c r="K3" s="254" t="s">
        <v>247</v>
      </c>
      <c r="L3" s="254"/>
      <c r="M3" s="254"/>
      <c r="Q3" s="193" t="s">
        <v>525</v>
      </c>
    </row>
    <row r="4" spans="1:18">
      <c r="K4" s="57"/>
      <c r="L4" s="191"/>
      <c r="M4" s="191"/>
      <c r="N4" s="192" t="s">
        <v>526</v>
      </c>
      <c r="O4" s="112"/>
      <c r="P4" s="112"/>
    </row>
    <row r="5" spans="1:18" ht="45">
      <c r="K5" s="1" t="s">
        <v>527</v>
      </c>
      <c r="L5" s="1" t="s">
        <v>528</v>
      </c>
      <c r="M5" s="1" t="s">
        <v>529</v>
      </c>
      <c r="N5" s="1" t="s">
        <v>530</v>
      </c>
      <c r="O5" s="1" t="s">
        <v>531</v>
      </c>
      <c r="P5" s="1" t="s">
        <v>532</v>
      </c>
      <c r="Q5" s="1" t="s">
        <v>465</v>
      </c>
      <c r="R5" s="1" t="s">
        <v>307</v>
      </c>
    </row>
    <row r="6" spans="1:18">
      <c r="A6" t="s">
        <v>8</v>
      </c>
    </row>
    <row r="7" spans="1:18">
      <c r="B7" t="s">
        <v>85</v>
      </c>
      <c r="K7" s="72">
        <v>3114148</v>
      </c>
      <c r="L7" s="73">
        <v>3823534</v>
      </c>
      <c r="M7" s="73">
        <v>3031680</v>
      </c>
      <c r="N7" s="73">
        <v>2243976</v>
      </c>
      <c r="O7" s="73">
        <v>3291518</v>
      </c>
      <c r="P7" s="73">
        <v>974693</v>
      </c>
      <c r="Q7" s="73">
        <v>15651508</v>
      </c>
      <c r="R7" s="73">
        <f>SUM(K7:Q7)</f>
        <v>32131057</v>
      </c>
    </row>
    <row r="8" spans="1:18">
      <c r="B8" t="s">
        <v>10</v>
      </c>
      <c r="K8" s="77">
        <v>3248000</v>
      </c>
      <c r="L8" s="73">
        <v>1000000</v>
      </c>
      <c r="M8" s="73">
        <v>7000000</v>
      </c>
      <c r="N8" s="73">
        <v>2000000</v>
      </c>
      <c r="O8" s="73">
        <v>1000000</v>
      </c>
      <c r="P8" s="73"/>
      <c r="Q8" s="73">
        <v>9000000</v>
      </c>
      <c r="R8" s="73">
        <f>SUM(K8:Q8)</f>
        <v>23248000</v>
      </c>
    </row>
    <row r="9" spans="1:18">
      <c r="B9" t="s">
        <v>533</v>
      </c>
      <c r="L9" s="73"/>
      <c r="M9" s="73"/>
      <c r="N9" s="73"/>
      <c r="O9" s="73"/>
      <c r="P9" s="73"/>
      <c r="Q9" s="73"/>
      <c r="R9" s="73"/>
    </row>
    <row r="10" spans="1:18">
      <c r="C10" t="s">
        <v>152</v>
      </c>
      <c r="K10" s="74">
        <v>2931791</v>
      </c>
      <c r="L10" s="73"/>
      <c r="M10" s="73">
        <v>9173633</v>
      </c>
      <c r="N10" s="73">
        <v>7000975</v>
      </c>
      <c r="O10" s="73">
        <v>8622359</v>
      </c>
      <c r="P10" s="73"/>
      <c r="Q10" s="73">
        <v>4513380</v>
      </c>
      <c r="R10" s="73">
        <f t="shared" ref="R10:R17" si="0">SUM(K10:Q10)</f>
        <v>32242138</v>
      </c>
    </row>
    <row r="11" spans="1:18">
      <c r="C11" t="s">
        <v>181</v>
      </c>
      <c r="K11" s="73"/>
      <c r="L11" s="73">
        <v>1285849</v>
      </c>
      <c r="M11" s="73">
        <v>1374170</v>
      </c>
      <c r="N11" s="73"/>
      <c r="O11" s="73"/>
      <c r="P11" s="73"/>
      <c r="Q11" s="73"/>
      <c r="R11" s="73">
        <f t="shared" si="0"/>
        <v>2660019</v>
      </c>
    </row>
    <row r="12" spans="1:18">
      <c r="C12" t="s">
        <v>534</v>
      </c>
      <c r="K12" s="73"/>
      <c r="L12" s="73">
        <v>7050</v>
      </c>
      <c r="M12" s="73"/>
      <c r="N12" s="73"/>
      <c r="O12" s="73"/>
      <c r="P12" s="73"/>
      <c r="Q12" s="73">
        <v>155386</v>
      </c>
      <c r="R12" s="73">
        <f t="shared" si="0"/>
        <v>162436</v>
      </c>
    </row>
    <row r="13" spans="1:18">
      <c r="C13" t="s">
        <v>13</v>
      </c>
      <c r="K13" s="74">
        <v>441792</v>
      </c>
      <c r="L13" s="73">
        <v>47745</v>
      </c>
      <c r="M13" s="73">
        <v>1641</v>
      </c>
      <c r="N13" s="73">
        <v>23348</v>
      </c>
      <c r="O13" s="73">
        <v>90123</v>
      </c>
      <c r="P13" s="73"/>
      <c r="Q13" s="73">
        <v>347992</v>
      </c>
      <c r="R13" s="73">
        <f t="shared" si="0"/>
        <v>952641</v>
      </c>
    </row>
    <row r="14" spans="1:18">
      <c r="B14" t="s">
        <v>16</v>
      </c>
      <c r="K14" s="75">
        <v>506144</v>
      </c>
      <c r="L14" s="73"/>
      <c r="M14" s="73"/>
      <c r="N14" s="73"/>
      <c r="O14" s="73"/>
      <c r="P14" s="73"/>
      <c r="Q14" s="73"/>
      <c r="R14" s="73">
        <f t="shared" si="0"/>
        <v>506144</v>
      </c>
    </row>
    <row r="15" spans="1:18">
      <c r="B15" t="s">
        <v>59</v>
      </c>
      <c r="K15" s="75">
        <v>527267</v>
      </c>
      <c r="L15" s="73"/>
      <c r="M15" s="73"/>
      <c r="N15" s="73">
        <v>116587</v>
      </c>
      <c r="O15" s="73">
        <v>372943</v>
      </c>
      <c r="P15" s="73">
        <v>425156</v>
      </c>
      <c r="Q15" s="73">
        <v>2222687</v>
      </c>
      <c r="R15" s="73">
        <f t="shared" si="0"/>
        <v>3664640</v>
      </c>
    </row>
    <row r="16" spans="1:18">
      <c r="B16" t="s">
        <v>535</v>
      </c>
      <c r="K16" s="83">
        <v>45</v>
      </c>
      <c r="L16" s="73"/>
      <c r="M16" s="73"/>
      <c r="N16" s="73">
        <v>200</v>
      </c>
      <c r="O16" s="73"/>
      <c r="P16" s="73"/>
      <c r="Q16" s="73">
        <v>68751</v>
      </c>
      <c r="R16" s="73">
        <f t="shared" si="0"/>
        <v>68996</v>
      </c>
    </row>
    <row r="17" spans="1:18">
      <c r="B17" t="s">
        <v>155</v>
      </c>
      <c r="K17" s="189">
        <v>4768</v>
      </c>
      <c r="L17" s="73">
        <v>266189</v>
      </c>
      <c r="M17" s="73"/>
      <c r="N17" s="73"/>
      <c r="O17" s="85">
        <v>104709</v>
      </c>
      <c r="P17" s="85"/>
      <c r="Q17" s="85">
        <v>164010</v>
      </c>
      <c r="R17" s="85">
        <f t="shared" si="0"/>
        <v>539676</v>
      </c>
    </row>
    <row r="18" spans="1:18">
      <c r="K18" s="93"/>
      <c r="L18" s="93"/>
      <c r="M18" s="93"/>
      <c r="N18" s="93"/>
      <c r="O18" s="73"/>
      <c r="P18" s="73"/>
      <c r="Q18" s="73"/>
      <c r="R18" s="73"/>
    </row>
    <row r="19" spans="1:18" s="3" customFormat="1">
      <c r="A19" s="2"/>
      <c r="B19" s="2"/>
      <c r="C19" s="2"/>
      <c r="D19" s="2"/>
      <c r="E19" s="2" t="s">
        <v>62</v>
      </c>
      <c r="K19" s="76">
        <f>SUM(K7:K17)</f>
        <v>10773955</v>
      </c>
      <c r="L19" s="76">
        <f>SUM(L7:L17)</f>
        <v>6430367</v>
      </c>
      <c r="M19" s="76">
        <f>SUM(M7:M17)</f>
        <v>20581124</v>
      </c>
      <c r="N19" s="76">
        <f>SUM(N7:N17)</f>
        <v>11385086</v>
      </c>
      <c r="O19" s="76">
        <f t="shared" ref="O19:Q19" si="1">SUM(O7:O17)</f>
        <v>13481652</v>
      </c>
      <c r="P19" s="76">
        <f>SUM(P7:P17)</f>
        <v>1399849</v>
      </c>
      <c r="Q19" s="76">
        <f t="shared" si="1"/>
        <v>32123714</v>
      </c>
      <c r="R19" s="76">
        <f>SUM(R7:R17)</f>
        <v>96175747</v>
      </c>
    </row>
    <row r="20" spans="1:18">
      <c r="K20" s="73"/>
      <c r="L20" s="73"/>
      <c r="M20" s="73"/>
      <c r="N20" s="73"/>
      <c r="O20" s="73"/>
      <c r="P20" s="73"/>
      <c r="Q20" s="73"/>
      <c r="R20" s="73"/>
    </row>
    <row r="21" spans="1:18">
      <c r="A21" s="4" t="s">
        <v>536</v>
      </c>
      <c r="K21" s="73"/>
      <c r="L21" s="73"/>
      <c r="M21" s="73"/>
      <c r="N21" s="73"/>
      <c r="O21" s="73"/>
      <c r="P21" s="73"/>
      <c r="Q21" s="73"/>
      <c r="R21" s="73"/>
    </row>
    <row r="22" spans="1:18">
      <c r="B22" t="s">
        <v>20</v>
      </c>
      <c r="K22" s="73"/>
      <c r="L22" s="73"/>
      <c r="M22" s="73"/>
      <c r="N22" s="73"/>
      <c r="O22" s="73"/>
      <c r="P22" s="73"/>
      <c r="Q22" s="73"/>
      <c r="R22" s="73"/>
    </row>
    <row r="23" spans="1:18">
      <c r="C23" t="s">
        <v>433</v>
      </c>
      <c r="K23" s="77">
        <v>1018691</v>
      </c>
      <c r="L23" s="73">
        <v>537386</v>
      </c>
      <c r="M23" s="73">
        <v>991553</v>
      </c>
      <c r="N23" s="73">
        <v>465402</v>
      </c>
      <c r="O23" s="73">
        <v>796859</v>
      </c>
      <c r="P23" s="73">
        <v>471176</v>
      </c>
      <c r="Q23" s="73">
        <v>2161812</v>
      </c>
      <c r="R23" s="73">
        <f>SUM(K23:Q23)</f>
        <v>6442879</v>
      </c>
    </row>
    <row r="24" spans="1:18">
      <c r="C24" t="s">
        <v>25</v>
      </c>
      <c r="K24" s="78"/>
      <c r="L24" s="73"/>
      <c r="M24" s="73"/>
      <c r="N24" s="73"/>
      <c r="O24" s="73"/>
      <c r="P24" s="73"/>
      <c r="Q24" s="73">
        <v>421482</v>
      </c>
      <c r="R24" s="73">
        <f>SUM(K24:Q24)</f>
        <v>421482</v>
      </c>
    </row>
    <row r="25" spans="1:18">
      <c r="C25" t="s">
        <v>537</v>
      </c>
      <c r="K25" s="98">
        <v>337324</v>
      </c>
      <c r="L25" s="73">
        <v>27555</v>
      </c>
      <c r="M25" s="73"/>
      <c r="N25" s="73"/>
      <c r="O25" s="73"/>
      <c r="P25" s="73">
        <v>646887</v>
      </c>
      <c r="Q25" s="73">
        <v>7489</v>
      </c>
      <c r="R25" s="73">
        <f>SUM(K25:Q25)</f>
        <v>1019255</v>
      </c>
    </row>
    <row r="26" spans="1:18">
      <c r="C26" t="s">
        <v>538</v>
      </c>
      <c r="K26" s="82">
        <v>4870</v>
      </c>
      <c r="L26" s="73">
        <v>214079</v>
      </c>
      <c r="M26" s="73"/>
      <c r="N26" s="73"/>
      <c r="O26" s="85">
        <v>2851</v>
      </c>
      <c r="P26" s="85"/>
      <c r="Q26" s="85">
        <v>12325</v>
      </c>
      <c r="R26" s="73">
        <f>SUM(K26:Q26)</f>
        <v>234125</v>
      </c>
    </row>
    <row r="27" spans="1:18">
      <c r="K27" s="93"/>
      <c r="L27" s="93"/>
      <c r="M27" s="93"/>
      <c r="N27" s="93"/>
      <c r="O27" s="73"/>
      <c r="P27" s="73"/>
      <c r="Q27" s="73"/>
      <c r="R27" s="73"/>
    </row>
    <row r="28" spans="1:18" s="5" customFormat="1">
      <c r="B28" s="6"/>
      <c r="C28" s="6"/>
      <c r="D28" s="6"/>
      <c r="E28" s="6" t="s">
        <v>26</v>
      </c>
      <c r="K28" s="79">
        <f t="shared" ref="K28:R28" si="2">SUM(K23:K26)</f>
        <v>1360885</v>
      </c>
      <c r="L28" s="79">
        <f t="shared" si="2"/>
        <v>779020</v>
      </c>
      <c r="M28" s="79">
        <f t="shared" si="2"/>
        <v>991553</v>
      </c>
      <c r="N28" s="79">
        <f t="shared" si="2"/>
        <v>465402</v>
      </c>
      <c r="O28" s="79">
        <f t="shared" si="2"/>
        <v>799710</v>
      </c>
      <c r="P28" s="79">
        <f>SUM(P23:P26)</f>
        <v>1118063</v>
      </c>
      <c r="Q28" s="79">
        <f t="shared" si="2"/>
        <v>2603108</v>
      </c>
      <c r="R28" s="79">
        <f t="shared" si="2"/>
        <v>8117741</v>
      </c>
    </row>
    <row r="29" spans="1:18">
      <c r="K29" s="73"/>
      <c r="L29" s="73"/>
      <c r="M29" s="73"/>
      <c r="N29" s="73"/>
      <c r="O29" s="73"/>
      <c r="P29" s="73"/>
      <c r="Q29" s="73"/>
      <c r="R29" s="73"/>
    </row>
    <row r="30" spans="1:18">
      <c r="B30" t="s">
        <v>539</v>
      </c>
      <c r="K30" s="73"/>
      <c r="L30" s="73"/>
      <c r="M30" s="73"/>
      <c r="N30" s="73"/>
      <c r="O30" s="73"/>
      <c r="P30" s="73"/>
      <c r="Q30" s="73"/>
      <c r="R30" s="73"/>
    </row>
    <row r="31" spans="1:18">
      <c r="C31" t="s">
        <v>540</v>
      </c>
      <c r="K31" s="73"/>
      <c r="L31" s="73"/>
      <c r="M31" s="73"/>
      <c r="N31" s="73"/>
      <c r="O31" s="73"/>
      <c r="P31" s="73"/>
      <c r="Q31" s="73"/>
      <c r="R31" s="73"/>
    </row>
    <row r="32" spans="1:18">
      <c r="C32" t="s">
        <v>475</v>
      </c>
      <c r="K32" s="73"/>
      <c r="L32" s="73"/>
      <c r="M32" s="73"/>
      <c r="N32" s="73"/>
      <c r="O32" s="73"/>
      <c r="P32" s="73"/>
      <c r="Q32" s="73"/>
      <c r="R32" s="73"/>
    </row>
    <row r="33" spans="3:18">
      <c r="D33" t="s">
        <v>535</v>
      </c>
      <c r="K33" s="80">
        <v>45</v>
      </c>
      <c r="L33" s="73"/>
      <c r="M33" s="73"/>
      <c r="N33" s="73">
        <v>200</v>
      </c>
      <c r="O33" s="73"/>
      <c r="P33" s="73"/>
      <c r="Q33" s="73">
        <v>68751</v>
      </c>
      <c r="R33" s="73">
        <f>SUM(K33:Q33)</f>
        <v>68996</v>
      </c>
    </row>
    <row r="34" spans="3:18">
      <c r="D34" t="s">
        <v>155</v>
      </c>
      <c r="K34" s="80">
        <v>4768</v>
      </c>
      <c r="L34" s="73">
        <v>266189</v>
      </c>
      <c r="M34" s="73"/>
      <c r="N34" s="73"/>
      <c r="O34" s="73">
        <v>104709</v>
      </c>
      <c r="P34" s="73"/>
      <c r="Q34" s="73">
        <v>164010</v>
      </c>
      <c r="R34" s="73">
        <f>SUM(K34:Q34)</f>
        <v>539676</v>
      </c>
    </row>
    <row r="35" spans="3:18">
      <c r="C35" t="s">
        <v>541</v>
      </c>
      <c r="K35" s="73"/>
      <c r="L35" s="73"/>
      <c r="M35" s="73"/>
      <c r="N35" s="73"/>
      <c r="O35" s="73"/>
      <c r="P35" s="73"/>
      <c r="Q35" s="73"/>
      <c r="R35" s="73"/>
    </row>
    <row r="36" spans="3:18">
      <c r="D36" t="s">
        <v>88</v>
      </c>
      <c r="K36" s="73"/>
      <c r="L36" s="73">
        <v>5385158</v>
      </c>
      <c r="M36" s="73">
        <v>19589571</v>
      </c>
      <c r="N36" s="73">
        <v>10919484</v>
      </c>
      <c r="O36" s="73">
        <v>12577233</v>
      </c>
      <c r="P36" s="73">
        <v>281786</v>
      </c>
      <c r="Q36" s="73">
        <v>28150638</v>
      </c>
      <c r="R36" s="73">
        <f>SUM(K36:Q36)</f>
        <v>76903870</v>
      </c>
    </row>
    <row r="37" spans="3:18">
      <c r="D37" t="s">
        <v>259</v>
      </c>
      <c r="K37" s="80">
        <v>4350574</v>
      </c>
      <c r="L37" s="73"/>
      <c r="M37" s="73"/>
      <c r="N37" s="73"/>
      <c r="O37" s="73"/>
      <c r="P37" s="73"/>
      <c r="Q37" s="73">
        <v>1137207</v>
      </c>
      <c r="R37" s="73">
        <f>SUM(K37:Q37)</f>
        <v>5487781</v>
      </c>
    </row>
    <row r="38" spans="3:18">
      <c r="D38" t="s">
        <v>46</v>
      </c>
      <c r="K38" s="84">
        <v>5057683</v>
      </c>
      <c r="L38" s="73"/>
      <c r="M38" s="73"/>
      <c r="N38" s="73"/>
      <c r="O38" s="85"/>
      <c r="P38" s="85"/>
      <c r="Q38" s="85"/>
      <c r="R38" s="85">
        <f>SUM(K38:Q38)</f>
        <v>5057683</v>
      </c>
    </row>
    <row r="39" spans="3:18">
      <c r="K39" s="93"/>
      <c r="L39" s="93"/>
      <c r="M39" s="93"/>
      <c r="N39" s="93"/>
      <c r="O39" s="73"/>
      <c r="P39" s="73"/>
      <c r="Q39" s="73"/>
      <c r="R39" s="73"/>
    </row>
    <row r="40" spans="3:18" s="5" customFormat="1">
      <c r="D40" s="6"/>
      <c r="E40" s="6" t="s">
        <v>77</v>
      </c>
      <c r="K40" s="79">
        <f>SUM(K32:K39)</f>
        <v>9413070</v>
      </c>
      <c r="L40" s="79">
        <f t="shared" ref="L40:R40" si="3">SUM(L33:L38)</f>
        <v>5651347</v>
      </c>
      <c r="M40" s="79">
        <f t="shared" si="3"/>
        <v>19589571</v>
      </c>
      <c r="N40" s="79">
        <f t="shared" si="3"/>
        <v>10919684</v>
      </c>
      <c r="O40" s="79">
        <f t="shared" si="3"/>
        <v>12681942</v>
      </c>
      <c r="P40" s="79">
        <f>SUM(P33:P38)</f>
        <v>281786</v>
      </c>
      <c r="Q40" s="79">
        <f t="shared" si="3"/>
        <v>29520606</v>
      </c>
      <c r="R40" s="79">
        <f t="shared" si="3"/>
        <v>88058006</v>
      </c>
    </row>
    <row r="41" spans="3:18">
      <c r="K41" s="73"/>
      <c r="L41" s="73"/>
      <c r="M41" s="73"/>
      <c r="N41" s="73"/>
      <c r="O41" s="73"/>
      <c r="P41" s="73"/>
      <c r="Q41" s="73"/>
      <c r="R41" s="73"/>
    </row>
    <row r="42" spans="3:18" s="7" customFormat="1">
      <c r="D42" s="8"/>
      <c r="E42" s="8" t="s">
        <v>542</v>
      </c>
      <c r="K42" s="81">
        <f>SUM(K40,K28)</f>
        <v>10773955</v>
      </c>
      <c r="L42" s="81">
        <f t="shared" ref="L42:R42" si="4">SUM(L28,L40)</f>
        <v>6430367</v>
      </c>
      <c r="M42" s="81">
        <f t="shared" si="4"/>
        <v>20581124</v>
      </c>
      <c r="N42" s="81">
        <f t="shared" si="4"/>
        <v>11385086</v>
      </c>
      <c r="O42" s="81">
        <f t="shared" si="4"/>
        <v>13481652</v>
      </c>
      <c r="P42" s="81">
        <f t="shared" si="4"/>
        <v>1399849</v>
      </c>
      <c r="Q42" s="81">
        <f t="shared" si="4"/>
        <v>32123714</v>
      </c>
      <c r="R42" s="81">
        <f t="shared" si="4"/>
        <v>96175747</v>
      </c>
    </row>
  </sheetData>
  <mergeCells count="3">
    <mergeCell ref="D1:K1"/>
    <mergeCell ref="D2:K2"/>
    <mergeCell ref="K3:M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48"/>
  <sheetViews>
    <sheetView zoomScale="80" zoomScaleNormal="80" zoomScalePageLayoutView="80" workbookViewId="0">
      <selection activeCell="R41" sqref="R41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6" width="19.42578125" customWidth="1"/>
    <col min="17" max="17" width="17.7109375" customWidth="1"/>
    <col min="18" max="18" width="17.42578125" customWidth="1"/>
  </cols>
  <sheetData>
    <row r="1" spans="1:18" ht="18.75">
      <c r="D1" s="251" t="s">
        <v>543</v>
      </c>
      <c r="E1" s="251"/>
      <c r="F1" s="251"/>
      <c r="G1" s="251"/>
      <c r="H1" s="251"/>
      <c r="I1" s="251"/>
      <c r="J1" s="251"/>
      <c r="K1" s="251"/>
    </row>
    <row r="2" spans="1:18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8">
      <c r="D3" s="57"/>
      <c r="E3" s="57"/>
      <c r="F3" s="57"/>
      <c r="G3" s="57"/>
      <c r="H3" s="57"/>
      <c r="I3" s="57"/>
      <c r="J3" s="57"/>
      <c r="K3" s="57"/>
    </row>
    <row r="4" spans="1:18" ht="36.75" customHeight="1">
      <c r="P4" s="57"/>
    </row>
    <row r="5" spans="1:18" ht="45">
      <c r="K5" s="1" t="s">
        <v>2</v>
      </c>
      <c r="L5" s="1" t="s">
        <v>544</v>
      </c>
      <c r="M5" s="1" t="s">
        <v>545</v>
      </c>
      <c r="N5" s="1" t="s">
        <v>546</v>
      </c>
      <c r="O5" s="1" t="s">
        <v>547</v>
      </c>
      <c r="P5" s="1" t="s">
        <v>548</v>
      </c>
      <c r="Q5" s="1" t="s">
        <v>6</v>
      </c>
      <c r="R5" s="1" t="s">
        <v>7</v>
      </c>
    </row>
    <row r="6" spans="1:18">
      <c r="A6" t="s">
        <v>8</v>
      </c>
    </row>
    <row r="7" spans="1:18">
      <c r="B7" t="s">
        <v>85</v>
      </c>
      <c r="K7" s="72">
        <v>11106929</v>
      </c>
      <c r="L7" s="73">
        <v>9244202</v>
      </c>
      <c r="M7" s="73"/>
      <c r="N7" s="73">
        <v>47428971</v>
      </c>
      <c r="O7" s="73">
        <v>24550837</v>
      </c>
      <c r="P7" s="73"/>
      <c r="Q7" s="73">
        <v>21033964</v>
      </c>
      <c r="R7" s="73">
        <f>SUM(K7:Q7)</f>
        <v>113364903</v>
      </c>
    </row>
    <row r="8" spans="1:18">
      <c r="B8" t="s">
        <v>10</v>
      </c>
      <c r="K8" s="77">
        <v>876257</v>
      </c>
      <c r="L8" s="73">
        <v>93696</v>
      </c>
      <c r="M8" s="73"/>
      <c r="N8" s="73"/>
      <c r="O8" s="73"/>
      <c r="P8" s="73"/>
      <c r="Q8" s="73">
        <v>3746392</v>
      </c>
      <c r="R8" s="73">
        <f>SUM(K8:Q8)</f>
        <v>4716345</v>
      </c>
    </row>
    <row r="9" spans="1:18">
      <c r="B9" t="s">
        <v>549</v>
      </c>
      <c r="K9" s="74">
        <v>14447460</v>
      </c>
      <c r="L9" s="73">
        <v>1286940</v>
      </c>
      <c r="M9" s="73">
        <v>44844091</v>
      </c>
      <c r="N9" s="73"/>
      <c r="O9" s="73"/>
      <c r="P9" s="73"/>
      <c r="Q9" s="73">
        <v>10698704</v>
      </c>
      <c r="R9" s="73">
        <f>SUM(K9:Q9)</f>
        <v>71277195</v>
      </c>
    </row>
    <row r="10" spans="1:18">
      <c r="B10" t="s">
        <v>16</v>
      </c>
      <c r="K10" s="75">
        <v>37397371</v>
      </c>
      <c r="L10" s="73"/>
      <c r="M10" s="73"/>
      <c r="N10" s="73"/>
      <c r="O10" s="73">
        <v>4000</v>
      </c>
      <c r="P10" s="73"/>
      <c r="Q10" s="73">
        <v>201754</v>
      </c>
      <c r="R10" s="73">
        <f t="shared" ref="R10:R11" si="0">SUM(K10:Q10)</f>
        <v>37603125</v>
      </c>
    </row>
    <row r="11" spans="1:18">
      <c r="B11" t="s">
        <v>100</v>
      </c>
      <c r="K11" s="83">
        <v>1393406</v>
      </c>
      <c r="L11" s="73"/>
      <c r="M11" s="73"/>
      <c r="N11" s="73"/>
      <c r="O11" s="73"/>
      <c r="P11" s="73"/>
      <c r="Q11" s="73">
        <v>247154</v>
      </c>
      <c r="R11" s="73">
        <f t="shared" si="0"/>
        <v>1640560</v>
      </c>
    </row>
    <row r="12" spans="1:18">
      <c r="B12" t="s">
        <v>550</v>
      </c>
      <c r="K12" s="82">
        <v>2073727</v>
      </c>
      <c r="L12" s="73"/>
      <c r="M12" s="73"/>
      <c r="N12" s="73"/>
      <c r="O12" s="73"/>
      <c r="P12" s="73"/>
      <c r="Q12" s="73"/>
      <c r="R12" s="73">
        <f>SUM(K12:P12)</f>
        <v>2073727</v>
      </c>
    </row>
    <row r="13" spans="1:18">
      <c r="K13" s="73"/>
      <c r="L13" s="73"/>
      <c r="M13" s="73"/>
      <c r="N13" s="73"/>
      <c r="O13" s="73"/>
      <c r="P13" s="73"/>
      <c r="Q13" s="73"/>
      <c r="R13" s="73"/>
    </row>
    <row r="14" spans="1:18" s="3" customFormat="1">
      <c r="A14" s="2"/>
      <c r="B14" s="2"/>
      <c r="C14" s="2"/>
      <c r="D14" s="2"/>
      <c r="E14" s="2" t="s">
        <v>62</v>
      </c>
      <c r="K14" s="76">
        <f t="shared" ref="K14:R14" si="1">SUM(K7:K12)</f>
        <v>67295150</v>
      </c>
      <c r="L14" s="76">
        <f t="shared" si="1"/>
        <v>10624838</v>
      </c>
      <c r="M14" s="76">
        <f t="shared" si="1"/>
        <v>44844091</v>
      </c>
      <c r="N14" s="76">
        <f t="shared" si="1"/>
        <v>47428971</v>
      </c>
      <c r="O14" s="76">
        <f t="shared" si="1"/>
        <v>24554837</v>
      </c>
      <c r="P14" s="76">
        <f t="shared" si="1"/>
        <v>0</v>
      </c>
      <c r="Q14" s="76">
        <f t="shared" si="1"/>
        <v>35927968</v>
      </c>
      <c r="R14" s="76">
        <f t="shared" si="1"/>
        <v>230675855</v>
      </c>
    </row>
    <row r="15" spans="1:18">
      <c r="K15" s="73"/>
      <c r="L15" s="73"/>
      <c r="M15" s="73"/>
      <c r="N15" s="73"/>
      <c r="O15" s="73"/>
      <c r="P15" s="73"/>
      <c r="Q15" s="73"/>
      <c r="R15" s="73"/>
    </row>
    <row r="16" spans="1:18">
      <c r="A16" s="4" t="s">
        <v>19</v>
      </c>
      <c r="K16" s="73"/>
      <c r="L16" s="73"/>
      <c r="M16" s="73"/>
      <c r="N16" s="73"/>
      <c r="O16" s="73"/>
      <c r="P16" s="73"/>
      <c r="Q16" s="73"/>
      <c r="R16" s="73"/>
    </row>
    <row r="17" spans="1:18">
      <c r="B17" t="s">
        <v>20</v>
      </c>
      <c r="K17" s="73"/>
      <c r="L17" s="73"/>
      <c r="M17" s="73"/>
      <c r="N17" s="73"/>
      <c r="O17" s="73"/>
      <c r="P17" s="73"/>
      <c r="Q17" s="73"/>
      <c r="R17" s="73"/>
    </row>
    <row r="18" spans="1:18">
      <c r="C18" t="s">
        <v>242</v>
      </c>
      <c r="K18" s="77">
        <v>4512564</v>
      </c>
      <c r="L18" s="73">
        <v>636746</v>
      </c>
      <c r="M18" s="73">
        <v>2400760</v>
      </c>
      <c r="N18">
        <v>482853</v>
      </c>
      <c r="O18" s="73">
        <v>521820</v>
      </c>
      <c r="P18" s="73"/>
      <c r="Q18" s="73">
        <v>2526569</v>
      </c>
      <c r="R18" s="73">
        <f t="shared" ref="R18:R23" si="2">SUM(K18:Q18)</f>
        <v>11081312</v>
      </c>
    </row>
    <row r="19" spans="1:18">
      <c r="C19" t="s">
        <v>551</v>
      </c>
      <c r="K19" s="77">
        <v>722865</v>
      </c>
      <c r="L19" s="73"/>
      <c r="M19" s="73"/>
      <c r="O19" s="73"/>
      <c r="P19" s="73"/>
      <c r="Q19" s="73">
        <v>369013</v>
      </c>
      <c r="R19" s="73">
        <f t="shared" si="2"/>
        <v>1091878</v>
      </c>
    </row>
    <row r="20" spans="1:18">
      <c r="C20" t="s">
        <v>537</v>
      </c>
      <c r="L20" s="73"/>
      <c r="M20" s="73">
        <v>4944703</v>
      </c>
      <c r="O20" s="73"/>
      <c r="P20" s="73"/>
      <c r="Q20" s="73"/>
      <c r="R20" s="73">
        <f t="shared" si="2"/>
        <v>4944703</v>
      </c>
    </row>
    <row r="21" spans="1:18">
      <c r="C21" t="s">
        <v>552</v>
      </c>
      <c r="K21" s="78">
        <v>33275</v>
      </c>
      <c r="L21" s="73"/>
      <c r="M21" s="73"/>
      <c r="O21" s="73"/>
      <c r="P21" s="73"/>
      <c r="Q21" s="73"/>
      <c r="R21" s="73">
        <f t="shared" si="2"/>
        <v>33275</v>
      </c>
    </row>
    <row r="22" spans="1:18">
      <c r="C22" t="s">
        <v>25</v>
      </c>
      <c r="K22" s="78">
        <v>139869</v>
      </c>
      <c r="L22" s="73"/>
      <c r="M22" s="73">
        <v>33442900</v>
      </c>
      <c r="N22">
        <v>290593</v>
      </c>
      <c r="O22" s="73">
        <v>85389</v>
      </c>
      <c r="P22" s="73"/>
      <c r="Q22" s="73">
        <v>3644374</v>
      </c>
      <c r="R22" s="73">
        <f t="shared" si="2"/>
        <v>37603125</v>
      </c>
    </row>
    <row r="23" spans="1:18">
      <c r="C23" t="s">
        <v>45</v>
      </c>
      <c r="K23" s="82">
        <v>625708</v>
      </c>
      <c r="L23" s="73">
        <v>6267</v>
      </c>
      <c r="M23" s="73"/>
      <c r="O23" s="73"/>
      <c r="P23" s="73"/>
      <c r="Q23" s="73">
        <v>101025</v>
      </c>
      <c r="R23" s="73">
        <f t="shared" si="2"/>
        <v>733000</v>
      </c>
    </row>
    <row r="24" spans="1:18">
      <c r="K24" s="73"/>
      <c r="L24" s="73"/>
      <c r="M24" s="73"/>
      <c r="N24" s="73"/>
      <c r="O24" s="73"/>
      <c r="P24" s="73"/>
      <c r="Q24" s="73"/>
      <c r="R24" s="73"/>
    </row>
    <row r="25" spans="1:18" s="5" customFormat="1">
      <c r="B25" s="6"/>
      <c r="C25" s="6"/>
      <c r="D25" s="6"/>
      <c r="E25" s="6" t="s">
        <v>26</v>
      </c>
      <c r="K25" s="79">
        <f>SUM(K18:K23)</f>
        <v>6034281</v>
      </c>
      <c r="L25" s="79">
        <f>SUM(L18:L23)</f>
        <v>643013</v>
      </c>
      <c r="M25" s="79">
        <f>SUM(M18:M23)</f>
        <v>40788363</v>
      </c>
      <c r="N25" s="79">
        <f>SUM(N18:N24)</f>
        <v>773446</v>
      </c>
      <c r="O25" s="79">
        <f>SUM(O18:O23)</f>
        <v>607209</v>
      </c>
      <c r="P25" s="79">
        <f>SUM(P18:P23)</f>
        <v>0</v>
      </c>
      <c r="Q25" s="79">
        <f>SUM(Q18:Q23)</f>
        <v>6640981</v>
      </c>
      <c r="R25" s="79">
        <f>SUM(R18:R23)</f>
        <v>55487293</v>
      </c>
    </row>
    <row r="26" spans="1:18">
      <c r="K26" s="73"/>
      <c r="L26" s="73"/>
      <c r="M26" s="73"/>
      <c r="N26" s="73"/>
      <c r="O26" s="73"/>
      <c r="P26" s="73"/>
      <c r="Q26" s="73"/>
      <c r="R26" s="73"/>
    </row>
    <row r="27" spans="1:18">
      <c r="A27" s="71" t="s">
        <v>63</v>
      </c>
      <c r="K27" s="73"/>
      <c r="L27" s="73"/>
      <c r="M27" s="73"/>
      <c r="N27" s="73"/>
      <c r="O27" s="73"/>
      <c r="P27" s="73"/>
      <c r="Q27" s="73"/>
      <c r="R27" s="73"/>
    </row>
    <row r="28" spans="1:18">
      <c r="C28" t="s">
        <v>130</v>
      </c>
      <c r="K28" s="85">
        <v>3961641</v>
      </c>
      <c r="L28" s="85"/>
      <c r="M28" s="85"/>
      <c r="N28" s="85"/>
      <c r="O28" s="85"/>
      <c r="P28" s="85">
        <v>4133456</v>
      </c>
      <c r="Q28" s="85">
        <v>10403484</v>
      </c>
      <c r="R28" s="85">
        <f>SUM(K28:Q28)</f>
        <v>18498581</v>
      </c>
    </row>
    <row r="29" spans="1:18">
      <c r="K29" s="73"/>
      <c r="L29" s="73"/>
      <c r="M29" s="73"/>
      <c r="N29" s="73"/>
      <c r="O29" s="73"/>
      <c r="P29" s="73"/>
      <c r="Q29" s="73"/>
      <c r="R29" s="73"/>
    </row>
    <row r="30" spans="1:18">
      <c r="B30" t="s">
        <v>30</v>
      </c>
      <c r="K30" s="73"/>
      <c r="L30" s="73"/>
      <c r="M30" s="73"/>
      <c r="N30" s="73"/>
      <c r="O30" s="73"/>
      <c r="P30" s="73"/>
      <c r="Q30" s="73"/>
      <c r="R30" s="73"/>
    </row>
    <row r="31" spans="1:18">
      <c r="C31" t="s">
        <v>379</v>
      </c>
      <c r="K31" s="80">
        <v>3344922</v>
      </c>
      <c r="L31" s="73"/>
      <c r="M31" s="73"/>
      <c r="N31" s="73"/>
      <c r="O31" s="73"/>
      <c r="P31" s="73"/>
      <c r="Q31" s="73"/>
      <c r="R31" s="73">
        <f t="shared" ref="R31:R34" si="3">SUM(K31:Q31)</f>
        <v>3344922</v>
      </c>
    </row>
    <row r="32" spans="1:18">
      <c r="C32" t="s">
        <v>88</v>
      </c>
      <c r="K32" s="80">
        <v>2246495</v>
      </c>
      <c r="L32" s="73">
        <v>9237052</v>
      </c>
      <c r="M32" s="73">
        <v>4055728</v>
      </c>
      <c r="N32" s="73">
        <v>46655525</v>
      </c>
      <c r="O32" s="73">
        <v>23947628</v>
      </c>
      <c r="P32" s="73"/>
      <c r="Q32" s="73">
        <v>21039104</v>
      </c>
      <c r="R32" s="73">
        <f t="shared" si="3"/>
        <v>107181532</v>
      </c>
    </row>
    <row r="33" spans="3:18">
      <c r="C33" t="s">
        <v>259</v>
      </c>
      <c r="K33" s="80">
        <v>53699608</v>
      </c>
      <c r="L33" s="73"/>
      <c r="M33" s="73"/>
      <c r="N33" s="73"/>
      <c r="O33" s="73"/>
      <c r="P33" s="73"/>
      <c r="Q33" s="73"/>
      <c r="R33" s="73">
        <f t="shared" si="3"/>
        <v>53699608</v>
      </c>
    </row>
    <row r="34" spans="3:18">
      <c r="C34" t="s">
        <v>89</v>
      </c>
      <c r="K34" s="73"/>
      <c r="L34" s="73">
        <v>744773</v>
      </c>
      <c r="M34" s="73"/>
      <c r="N34" s="73"/>
      <c r="O34" s="73"/>
      <c r="P34" s="73"/>
      <c r="Q34" s="73">
        <v>99658</v>
      </c>
      <c r="R34" s="73">
        <f t="shared" si="3"/>
        <v>844431</v>
      </c>
    </row>
    <row r="35" spans="3:18">
      <c r="C35" t="s">
        <v>553</v>
      </c>
      <c r="K35" s="84">
        <v>-2011795</v>
      </c>
      <c r="L35" s="73"/>
      <c r="M35" s="73"/>
      <c r="N35" s="73"/>
      <c r="O35" s="73"/>
      <c r="P35" s="73">
        <v>-4133456</v>
      </c>
      <c r="Q35" s="73">
        <v>-2255259</v>
      </c>
      <c r="R35" s="73">
        <f>SUM(K35:Q35)</f>
        <v>-8400510</v>
      </c>
    </row>
    <row r="36" spans="3:18">
      <c r="K36" s="73"/>
      <c r="L36" s="73"/>
      <c r="M36" s="73"/>
      <c r="N36" s="73"/>
      <c r="O36" s="73"/>
      <c r="P36" s="73"/>
      <c r="Q36" s="73"/>
      <c r="R36" s="73"/>
    </row>
    <row r="37" spans="3:18" s="5" customFormat="1">
      <c r="D37" s="6"/>
      <c r="E37" s="6" t="s">
        <v>77</v>
      </c>
      <c r="K37" s="79">
        <f>SUM(K31:K35)</f>
        <v>57279230</v>
      </c>
      <c r="L37" s="79">
        <f t="shared" ref="L37:Q37" si="4">SUM(L31:L35)</f>
        <v>9981825</v>
      </c>
      <c r="M37" s="79">
        <f t="shared" si="4"/>
        <v>4055728</v>
      </c>
      <c r="N37" s="79">
        <f t="shared" si="4"/>
        <v>46655525</v>
      </c>
      <c r="O37" s="79">
        <f t="shared" si="4"/>
        <v>23947628</v>
      </c>
      <c r="P37" s="79">
        <f t="shared" si="4"/>
        <v>-4133456</v>
      </c>
      <c r="Q37" s="79">
        <f t="shared" si="4"/>
        <v>18883503</v>
      </c>
      <c r="R37" s="79">
        <f>SUM(R31:R35)</f>
        <v>156669983</v>
      </c>
    </row>
    <row r="38" spans="3:18">
      <c r="K38" s="73"/>
      <c r="L38" s="73"/>
      <c r="M38" s="73"/>
      <c r="N38" s="73"/>
      <c r="O38" s="73"/>
      <c r="P38" s="73"/>
      <c r="Q38" s="73"/>
      <c r="R38" s="73"/>
    </row>
    <row r="39" spans="3:18" s="7" customFormat="1">
      <c r="D39" s="8"/>
      <c r="E39" s="8" t="s">
        <v>48</v>
      </c>
      <c r="K39" s="81">
        <f>SUM(K37,K25,K28)</f>
        <v>67275152</v>
      </c>
      <c r="L39" s="81">
        <f t="shared" ref="L39:R39" si="5">SUM(L37,L25,L28)</f>
        <v>10624838</v>
      </c>
      <c r="M39" s="81">
        <f t="shared" si="5"/>
        <v>44844091</v>
      </c>
      <c r="N39" s="81">
        <f t="shared" si="5"/>
        <v>47428971</v>
      </c>
      <c r="O39" s="81">
        <f t="shared" si="5"/>
        <v>24554837</v>
      </c>
      <c r="P39" s="81">
        <f t="shared" si="5"/>
        <v>0</v>
      </c>
      <c r="Q39" s="81">
        <f t="shared" si="5"/>
        <v>35927968</v>
      </c>
      <c r="R39" s="81">
        <f t="shared" si="5"/>
        <v>230655857</v>
      </c>
    </row>
    <row r="43" spans="3:18">
      <c r="R43" s="183"/>
    </row>
    <row r="48" spans="3:18">
      <c r="R48" s="184"/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44"/>
  <sheetViews>
    <sheetView workbookViewId="0">
      <selection activeCell="L29" sqref="L29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7" width="19.42578125" customWidth="1"/>
    <col min="18" max="18" width="17.7109375" customWidth="1"/>
    <col min="19" max="19" width="17.42578125" customWidth="1"/>
  </cols>
  <sheetData>
    <row r="1" spans="1:19" ht="18.75">
      <c r="D1" s="251" t="s">
        <v>554</v>
      </c>
      <c r="E1" s="251"/>
      <c r="F1" s="251"/>
      <c r="G1" s="251"/>
      <c r="H1" s="251"/>
      <c r="I1" s="251"/>
      <c r="J1" s="251"/>
      <c r="K1" s="251"/>
    </row>
    <row r="2" spans="1:19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9">
      <c r="D3" s="57"/>
      <c r="E3" s="57"/>
      <c r="F3" s="57"/>
      <c r="G3" s="57"/>
      <c r="H3" s="57"/>
      <c r="I3" s="57"/>
      <c r="J3" s="57"/>
      <c r="K3" s="57"/>
    </row>
    <row r="4" spans="1:19" ht="45">
      <c r="K4" s="1" t="s">
        <v>50</v>
      </c>
      <c r="L4" s="1" t="s">
        <v>555</v>
      </c>
      <c r="M4" s="1" t="s">
        <v>310</v>
      </c>
      <c r="N4" s="1" t="s">
        <v>556</v>
      </c>
      <c r="O4" s="1" t="s">
        <v>557</v>
      </c>
      <c r="P4" s="1" t="s">
        <v>558</v>
      </c>
      <c r="Q4" s="1" t="s">
        <v>559</v>
      </c>
      <c r="R4" s="1" t="s">
        <v>6</v>
      </c>
      <c r="S4" s="1" t="s">
        <v>7</v>
      </c>
    </row>
    <row r="5" spans="1:19">
      <c r="A5" t="s">
        <v>8</v>
      </c>
    </row>
    <row r="6" spans="1:19">
      <c r="B6" t="s">
        <v>85</v>
      </c>
      <c r="K6" s="72">
        <v>119668</v>
      </c>
      <c r="L6" s="73">
        <v>83428</v>
      </c>
      <c r="M6" s="73">
        <v>22216</v>
      </c>
      <c r="N6" s="73">
        <v>1264119</v>
      </c>
      <c r="O6" s="73">
        <v>32075</v>
      </c>
      <c r="P6" s="73">
        <v>518294</v>
      </c>
      <c r="Q6" s="73">
        <v>136805</v>
      </c>
      <c r="R6" s="73">
        <v>102998</v>
      </c>
      <c r="S6" s="73">
        <f t="shared" ref="S6:S12" si="0">SUM(K6:R6)</f>
        <v>2279603</v>
      </c>
    </row>
    <row r="7" spans="1:19">
      <c r="B7" t="s">
        <v>10</v>
      </c>
      <c r="K7" s="73"/>
      <c r="L7" s="73"/>
      <c r="M7" s="73"/>
      <c r="N7" s="73">
        <v>706925</v>
      </c>
      <c r="O7" s="73"/>
      <c r="P7" s="73"/>
      <c r="Q7" s="73"/>
      <c r="R7" s="73"/>
      <c r="S7" s="73">
        <f t="shared" si="0"/>
        <v>706925</v>
      </c>
    </row>
    <row r="8" spans="1:19">
      <c r="B8" t="s">
        <v>413</v>
      </c>
      <c r="K8" s="74">
        <v>1303228</v>
      </c>
      <c r="L8" s="73">
        <v>134455</v>
      </c>
      <c r="M8" s="73"/>
      <c r="N8" s="73">
        <v>1591230</v>
      </c>
      <c r="O8" s="73">
        <v>22017</v>
      </c>
      <c r="P8" s="73"/>
      <c r="Q8" s="73">
        <v>183478</v>
      </c>
      <c r="R8" s="73">
        <v>74416</v>
      </c>
      <c r="S8" s="73">
        <f t="shared" si="0"/>
        <v>3308824</v>
      </c>
    </row>
    <row r="9" spans="1:19">
      <c r="B9" t="s">
        <v>59</v>
      </c>
      <c r="K9" s="75">
        <v>282816</v>
      </c>
      <c r="L9" s="73">
        <v>345830</v>
      </c>
      <c r="M9" s="73">
        <v>48201</v>
      </c>
      <c r="N9" s="73"/>
      <c r="O9" s="73"/>
      <c r="P9" s="73"/>
      <c r="Q9" s="73">
        <v>1411</v>
      </c>
      <c r="R9" s="73">
        <v>22528</v>
      </c>
      <c r="S9" s="73">
        <f t="shared" si="0"/>
        <v>700786</v>
      </c>
    </row>
    <row r="10" spans="1:19">
      <c r="B10" t="s">
        <v>16</v>
      </c>
      <c r="K10" s="75">
        <v>1666026</v>
      </c>
      <c r="L10" s="73"/>
      <c r="M10" s="73"/>
      <c r="N10" s="73"/>
      <c r="O10" s="73"/>
      <c r="P10" s="73">
        <v>95000</v>
      </c>
      <c r="Q10" s="73">
        <v>1875000</v>
      </c>
      <c r="R10" s="73">
        <v>250000</v>
      </c>
      <c r="S10" s="73">
        <f t="shared" si="0"/>
        <v>3886026</v>
      </c>
    </row>
    <row r="11" spans="1:19">
      <c r="B11" t="s">
        <v>100</v>
      </c>
      <c r="K11" s="83">
        <v>90129</v>
      </c>
      <c r="L11" s="73"/>
      <c r="M11" s="73"/>
      <c r="N11" s="73"/>
      <c r="O11" s="73"/>
      <c r="P11" s="73"/>
      <c r="Q11" s="73"/>
      <c r="R11" s="73">
        <v>18</v>
      </c>
      <c r="S11" s="73">
        <f t="shared" si="0"/>
        <v>90147</v>
      </c>
    </row>
    <row r="12" spans="1:19">
      <c r="B12" t="s">
        <v>156</v>
      </c>
      <c r="K12" s="82">
        <v>12371</v>
      </c>
      <c r="L12" s="73">
        <v>335</v>
      </c>
      <c r="M12" s="73"/>
      <c r="N12" s="73"/>
      <c r="O12" s="73"/>
      <c r="P12" s="73"/>
      <c r="Q12" s="73"/>
      <c r="R12" s="73">
        <v>660</v>
      </c>
      <c r="S12" s="73">
        <f t="shared" si="0"/>
        <v>13366</v>
      </c>
    </row>
    <row r="13" spans="1:19">
      <c r="K13" s="73"/>
      <c r="L13" s="73"/>
      <c r="M13" s="73"/>
      <c r="N13" s="73"/>
      <c r="O13" s="73"/>
      <c r="P13" s="73"/>
      <c r="Q13" s="73"/>
      <c r="R13" s="73"/>
      <c r="S13" s="73"/>
    </row>
    <row r="14" spans="1:19" s="3" customFormat="1">
      <c r="A14" s="2"/>
      <c r="B14" s="2"/>
      <c r="C14" s="2"/>
      <c r="D14" s="2"/>
      <c r="E14" s="2" t="s">
        <v>62</v>
      </c>
      <c r="K14" s="76">
        <f t="shared" ref="K14:S14" si="1">SUM(K6:K12)</f>
        <v>3474238</v>
      </c>
      <c r="L14" s="76">
        <f t="shared" si="1"/>
        <v>564048</v>
      </c>
      <c r="M14" s="76">
        <f t="shared" si="1"/>
        <v>70417</v>
      </c>
      <c r="N14" s="76">
        <f t="shared" si="1"/>
        <v>3562274</v>
      </c>
      <c r="O14" s="76">
        <f t="shared" si="1"/>
        <v>54092</v>
      </c>
      <c r="P14" s="76">
        <f t="shared" si="1"/>
        <v>613294</v>
      </c>
      <c r="Q14" s="76">
        <f t="shared" si="1"/>
        <v>2196694</v>
      </c>
      <c r="R14" s="76">
        <f t="shared" si="1"/>
        <v>450620</v>
      </c>
      <c r="S14" s="76">
        <f t="shared" si="1"/>
        <v>10985677</v>
      </c>
    </row>
    <row r="15" spans="1:19">
      <c r="K15" s="73"/>
      <c r="L15" s="73"/>
      <c r="M15" s="73"/>
      <c r="N15" s="73"/>
      <c r="O15" s="73"/>
      <c r="P15" s="73"/>
      <c r="Q15" s="73"/>
      <c r="R15" s="73"/>
      <c r="S15" s="73"/>
    </row>
    <row r="16" spans="1:19">
      <c r="A16" s="4" t="s">
        <v>101</v>
      </c>
      <c r="K16" s="73"/>
      <c r="L16" s="73"/>
      <c r="M16" s="73"/>
      <c r="N16" s="73"/>
      <c r="O16" s="73"/>
      <c r="P16" s="73"/>
      <c r="Q16" s="73"/>
      <c r="R16" s="73"/>
      <c r="S16" s="73"/>
    </row>
    <row r="17" spans="1:19">
      <c r="B17" t="s">
        <v>20</v>
      </c>
      <c r="K17" s="73"/>
      <c r="L17" s="73"/>
      <c r="M17" s="73"/>
      <c r="N17" s="73"/>
      <c r="O17" s="73"/>
      <c r="P17" s="73"/>
      <c r="Q17" s="73"/>
      <c r="R17" s="73"/>
      <c r="S17" s="73"/>
    </row>
    <row r="18" spans="1:19">
      <c r="C18" t="s">
        <v>433</v>
      </c>
      <c r="K18" s="77">
        <v>361105</v>
      </c>
      <c r="L18" s="73">
        <v>367545</v>
      </c>
      <c r="M18" s="73">
        <v>66657</v>
      </c>
      <c r="N18">
        <v>128682</v>
      </c>
      <c r="O18" s="73">
        <v>56814</v>
      </c>
      <c r="P18" s="73"/>
      <c r="Q18" s="73"/>
      <c r="R18" s="73">
        <v>20343</v>
      </c>
      <c r="S18" s="73">
        <f>SUM(K18:R18)</f>
        <v>1001146</v>
      </c>
    </row>
    <row r="19" spans="1:19">
      <c r="C19" t="s">
        <v>159</v>
      </c>
      <c r="K19" s="78">
        <v>476736</v>
      </c>
      <c r="L19" s="73"/>
      <c r="M19" s="73"/>
      <c r="O19" s="73"/>
      <c r="P19" s="73"/>
      <c r="Q19" s="73"/>
      <c r="R19" s="73"/>
      <c r="S19" s="73">
        <f>SUM(K19:R19)</f>
        <v>476736</v>
      </c>
    </row>
    <row r="20" spans="1:19">
      <c r="C20" t="s">
        <v>25</v>
      </c>
      <c r="K20" s="78">
        <v>2409350</v>
      </c>
      <c r="L20" s="73">
        <v>194000</v>
      </c>
      <c r="M20" s="73"/>
      <c r="O20" s="73">
        <v>904000</v>
      </c>
      <c r="P20" s="73"/>
      <c r="Q20" s="73"/>
      <c r="R20" s="73">
        <v>77000</v>
      </c>
      <c r="S20" s="73">
        <f>SUM(K20:R20)</f>
        <v>3584350</v>
      </c>
    </row>
    <row r="21" spans="1:19">
      <c r="K21" s="73"/>
      <c r="L21" s="73"/>
      <c r="M21" s="73"/>
      <c r="N21" s="73"/>
      <c r="O21" s="73"/>
      <c r="P21" s="73"/>
      <c r="Q21" s="73"/>
      <c r="R21" s="73"/>
      <c r="S21" s="73"/>
    </row>
    <row r="22" spans="1:19" s="5" customFormat="1">
      <c r="B22" s="6"/>
      <c r="C22" s="6"/>
      <c r="D22" s="6"/>
      <c r="E22" s="6" t="s">
        <v>26</v>
      </c>
      <c r="K22" s="79">
        <f>SUM(K18:K20)</f>
        <v>3247191</v>
      </c>
      <c r="L22" s="79">
        <f>SUM(L18:L20)</f>
        <v>561545</v>
      </c>
      <c r="M22" s="79">
        <f>SUM(M18:M20)</f>
        <v>66657</v>
      </c>
      <c r="N22" s="79">
        <f>SUM(N18:N21)</f>
        <v>128682</v>
      </c>
      <c r="O22" s="79">
        <f>SUM(O18:O20)</f>
        <v>960814</v>
      </c>
      <c r="P22" s="79">
        <f>SUM(P18:P20)</f>
        <v>0</v>
      </c>
      <c r="Q22" s="79">
        <f>SUM(Q18:Q20)</f>
        <v>0</v>
      </c>
      <c r="R22" s="79">
        <f>SUM(R18:R20)</f>
        <v>97343</v>
      </c>
      <c r="S22" s="79">
        <f>SUM(S18:S20)</f>
        <v>5062232</v>
      </c>
    </row>
    <row r="23" spans="1:19">
      <c r="K23" s="73"/>
      <c r="L23" s="73"/>
      <c r="M23" s="73"/>
      <c r="N23" s="73"/>
      <c r="O23" s="73"/>
      <c r="P23" s="73"/>
      <c r="Q23" s="73"/>
      <c r="R23" s="73"/>
      <c r="S23" s="73"/>
    </row>
    <row r="24" spans="1:19">
      <c r="A24" s="71" t="s">
        <v>63</v>
      </c>
      <c r="K24" s="73"/>
      <c r="L24" s="73"/>
      <c r="M24" s="73"/>
      <c r="N24" s="73"/>
      <c r="O24" s="73"/>
      <c r="P24" s="73"/>
      <c r="Q24" s="73"/>
      <c r="R24" s="73"/>
      <c r="S24" s="73"/>
    </row>
    <row r="25" spans="1:19">
      <c r="C25" t="s">
        <v>560</v>
      </c>
      <c r="K25" s="85">
        <v>75652</v>
      </c>
      <c r="L25" s="85"/>
      <c r="M25" s="85"/>
      <c r="N25" s="85"/>
      <c r="O25" s="85"/>
      <c r="P25" s="85"/>
      <c r="Q25" s="85"/>
      <c r="R25" s="85"/>
      <c r="S25" s="85">
        <f>SUM(K25:R25)</f>
        <v>75652</v>
      </c>
    </row>
    <row r="26" spans="1:19">
      <c r="K26" s="73"/>
      <c r="L26" s="73"/>
      <c r="M26" s="73"/>
      <c r="N26" s="73"/>
      <c r="O26" s="73"/>
      <c r="P26" s="73"/>
      <c r="Q26" s="73"/>
      <c r="R26" s="73"/>
      <c r="S26" s="73"/>
    </row>
    <row r="27" spans="1:19">
      <c r="B27" t="s">
        <v>30</v>
      </c>
      <c r="K27" s="73"/>
      <c r="L27" s="73"/>
      <c r="M27" s="73"/>
      <c r="N27" s="73"/>
      <c r="O27" s="73"/>
      <c r="P27" s="73"/>
      <c r="Q27" s="73"/>
      <c r="R27" s="73"/>
      <c r="S27" s="73"/>
    </row>
    <row r="28" spans="1:19">
      <c r="C28" t="s">
        <v>104</v>
      </c>
      <c r="K28" s="80">
        <v>90129</v>
      </c>
      <c r="L28" s="73"/>
      <c r="M28" s="73"/>
      <c r="N28" s="73"/>
      <c r="O28" s="73"/>
      <c r="P28" s="73"/>
      <c r="Q28" s="73"/>
      <c r="R28" s="73">
        <v>18</v>
      </c>
      <c r="S28" s="73">
        <f>SUM(K28:R28)</f>
        <v>90147</v>
      </c>
    </row>
    <row r="29" spans="1:19">
      <c r="C29" t="s">
        <v>88</v>
      </c>
      <c r="K29" s="90"/>
      <c r="L29" s="73"/>
      <c r="M29" s="73"/>
      <c r="N29" s="73"/>
      <c r="O29" s="73"/>
      <c r="P29" s="73">
        <v>613294</v>
      </c>
      <c r="Q29" s="73">
        <v>2196694</v>
      </c>
      <c r="R29" s="73"/>
      <c r="S29" s="73">
        <f>SUM(K29:R29)</f>
        <v>2809988</v>
      </c>
    </row>
    <row r="30" spans="1:19">
      <c r="C30" t="s">
        <v>259</v>
      </c>
      <c r="K30" s="80">
        <v>61266</v>
      </c>
      <c r="L30" s="73">
        <v>2503</v>
      </c>
      <c r="M30" s="73">
        <v>3760</v>
      </c>
      <c r="N30" s="73">
        <v>3433592</v>
      </c>
      <c r="O30" s="73"/>
      <c r="P30" s="73"/>
      <c r="Q30" s="73"/>
      <c r="R30" s="73">
        <v>353259</v>
      </c>
      <c r="S30" s="73">
        <f>SUM(K30:R30)</f>
        <v>3854380</v>
      </c>
    </row>
    <row r="31" spans="1:19">
      <c r="C31" t="s">
        <v>46</v>
      </c>
      <c r="K31" s="73"/>
      <c r="L31" s="73"/>
      <c r="M31" s="73"/>
      <c r="N31" s="73"/>
      <c r="O31" s="73">
        <v>-906722</v>
      </c>
      <c r="P31" s="73"/>
      <c r="Q31" s="73"/>
      <c r="R31" s="73"/>
      <c r="S31" s="73">
        <f>SUM(K31:R31)</f>
        <v>-906722</v>
      </c>
    </row>
    <row r="32" spans="1:19">
      <c r="K32" s="73"/>
      <c r="L32" s="73"/>
      <c r="M32" s="73"/>
      <c r="N32" s="73"/>
      <c r="O32" s="73"/>
      <c r="P32" s="73"/>
      <c r="Q32" s="73"/>
      <c r="R32" s="73"/>
      <c r="S32" s="73"/>
    </row>
    <row r="33" spans="4:19" s="5" customFormat="1">
      <c r="D33" s="6"/>
      <c r="E33" s="6" t="s">
        <v>77</v>
      </c>
      <c r="K33" s="79">
        <f>SUM(K28:K32)</f>
        <v>151395</v>
      </c>
      <c r="L33" s="79">
        <f t="shared" ref="L33:S33" si="2">SUM(L28:L32)</f>
        <v>2503</v>
      </c>
      <c r="M33" s="79">
        <f t="shared" si="2"/>
        <v>3760</v>
      </c>
      <c r="N33" s="79">
        <f t="shared" si="2"/>
        <v>3433592</v>
      </c>
      <c r="O33" s="79">
        <f t="shared" si="2"/>
        <v>-906722</v>
      </c>
      <c r="P33" s="79">
        <f t="shared" si="2"/>
        <v>613294</v>
      </c>
      <c r="Q33" s="79">
        <f t="shared" si="2"/>
        <v>2196694</v>
      </c>
      <c r="R33" s="79">
        <f t="shared" si="2"/>
        <v>353277</v>
      </c>
      <c r="S33" s="79">
        <f t="shared" si="2"/>
        <v>5847793</v>
      </c>
    </row>
    <row r="34" spans="4:19">
      <c r="K34" s="73"/>
      <c r="L34" s="73"/>
      <c r="M34" s="73"/>
      <c r="N34" s="73"/>
      <c r="O34" s="73"/>
      <c r="P34" s="73"/>
      <c r="Q34" s="73"/>
      <c r="R34" s="73"/>
      <c r="S34" s="73"/>
    </row>
    <row r="35" spans="4:19" s="7" customFormat="1">
      <c r="D35" s="8"/>
      <c r="E35" s="8" t="s">
        <v>48</v>
      </c>
      <c r="K35" s="81">
        <f t="shared" ref="K35:S35" si="3">SUM(K33,K22,K25)</f>
        <v>3474238</v>
      </c>
      <c r="L35" s="81">
        <f t="shared" si="3"/>
        <v>564048</v>
      </c>
      <c r="M35" s="81">
        <f t="shared" si="3"/>
        <v>70417</v>
      </c>
      <c r="N35" s="81">
        <f t="shared" si="3"/>
        <v>3562274</v>
      </c>
      <c r="O35" s="81">
        <f t="shared" si="3"/>
        <v>54092</v>
      </c>
      <c r="P35" s="81">
        <f t="shared" si="3"/>
        <v>613294</v>
      </c>
      <c r="Q35" s="81">
        <f t="shared" si="3"/>
        <v>2196694</v>
      </c>
      <c r="R35" s="81">
        <f t="shared" si="3"/>
        <v>450620</v>
      </c>
      <c r="S35" s="81">
        <f t="shared" si="3"/>
        <v>10985677</v>
      </c>
    </row>
    <row r="39" spans="4:19">
      <c r="S39" s="183"/>
    </row>
    <row r="44" spans="4:19">
      <c r="S44" s="184"/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36"/>
  <sheetViews>
    <sheetView zoomScale="90" zoomScaleNormal="90" zoomScalePageLayoutView="90" workbookViewId="0">
      <selection activeCell="L12" sqref="L12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4" width="19.42578125" customWidth="1"/>
    <col min="15" max="15" width="18.28515625" customWidth="1"/>
    <col min="16" max="16" width="18" customWidth="1"/>
    <col min="17" max="17" width="18.28515625" customWidth="1"/>
  </cols>
  <sheetData>
    <row r="1" spans="1:16" ht="18.75">
      <c r="D1" s="251" t="s">
        <v>561</v>
      </c>
      <c r="E1" s="251"/>
      <c r="F1" s="251"/>
      <c r="G1" s="251"/>
      <c r="H1" s="251"/>
      <c r="I1" s="251"/>
      <c r="J1" s="251"/>
      <c r="K1" s="251"/>
    </row>
    <row r="2" spans="1:16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6">
      <c r="D3" s="57"/>
      <c r="E3" s="57"/>
      <c r="F3" s="57"/>
      <c r="G3" s="57"/>
      <c r="H3" s="57"/>
      <c r="I3" s="57"/>
      <c r="J3" s="57"/>
      <c r="K3" s="252"/>
      <c r="L3" s="252"/>
      <c r="M3" s="252"/>
      <c r="N3" s="252"/>
      <c r="O3" s="57"/>
    </row>
    <row r="4" spans="1:16" ht="15" customHeight="1">
      <c r="K4" s="190"/>
      <c r="L4" s="190"/>
      <c r="M4" s="190"/>
      <c r="N4" s="190"/>
      <c r="O4" s="190"/>
    </row>
    <row r="5" spans="1:16" ht="45">
      <c r="K5" s="1" t="s">
        <v>2</v>
      </c>
      <c r="L5" s="1" t="s">
        <v>562</v>
      </c>
      <c r="M5" s="1" t="s">
        <v>563</v>
      </c>
      <c r="N5" s="1" t="s">
        <v>6</v>
      </c>
      <c r="O5" s="1" t="s">
        <v>564</v>
      </c>
      <c r="P5" s="1" t="s">
        <v>565</v>
      </c>
    </row>
    <row r="6" spans="1:16">
      <c r="A6" t="s">
        <v>8</v>
      </c>
    </row>
    <row r="7" spans="1:16">
      <c r="B7" t="s">
        <v>85</v>
      </c>
      <c r="K7" s="72">
        <v>2441648</v>
      </c>
      <c r="L7" s="73">
        <v>960666</v>
      </c>
      <c r="M7" s="73">
        <v>4413988</v>
      </c>
      <c r="N7" s="73">
        <v>43269164</v>
      </c>
      <c r="O7" s="73">
        <f t="shared" ref="O7:O10" si="0">SUM(K7:N7)</f>
        <v>51085466</v>
      </c>
      <c r="P7" s="73">
        <v>50024032</v>
      </c>
    </row>
    <row r="8" spans="1:16">
      <c r="B8" t="s">
        <v>58</v>
      </c>
      <c r="K8" s="74">
        <v>2711674</v>
      </c>
      <c r="L8" s="73">
        <v>394695</v>
      </c>
      <c r="M8" s="73">
        <v>4726644</v>
      </c>
      <c r="N8" s="73">
        <v>14999707</v>
      </c>
      <c r="O8" s="73">
        <f t="shared" si="0"/>
        <v>22832720</v>
      </c>
      <c r="P8" s="73">
        <v>22585071</v>
      </c>
    </row>
    <row r="9" spans="1:16">
      <c r="B9" t="s">
        <v>215</v>
      </c>
      <c r="K9" s="74">
        <v>123363</v>
      </c>
      <c r="L9" s="73"/>
      <c r="M9" s="73"/>
      <c r="N9" s="73">
        <v>2376</v>
      </c>
      <c r="O9" s="73">
        <f t="shared" si="0"/>
        <v>125739</v>
      </c>
      <c r="P9" s="73">
        <v>106544</v>
      </c>
    </row>
    <row r="10" spans="1:16">
      <c r="B10" t="s">
        <v>45</v>
      </c>
      <c r="K10" s="73"/>
      <c r="L10" s="73"/>
      <c r="M10" s="73"/>
      <c r="N10" s="73">
        <v>516</v>
      </c>
      <c r="O10" s="73">
        <f t="shared" si="0"/>
        <v>516</v>
      </c>
      <c r="P10" s="73">
        <v>492</v>
      </c>
    </row>
    <row r="11" spans="1:16">
      <c r="K11" s="73"/>
      <c r="L11" s="73"/>
      <c r="M11" s="73"/>
      <c r="N11" s="73"/>
      <c r="O11" s="73"/>
      <c r="P11" s="73"/>
    </row>
    <row r="12" spans="1:16" s="3" customFormat="1">
      <c r="A12" s="2"/>
      <c r="B12" s="2"/>
      <c r="C12" s="2"/>
      <c r="D12" s="2"/>
      <c r="E12" s="2" t="s">
        <v>62</v>
      </c>
      <c r="K12" s="76">
        <f>SUM(K7:K10)</f>
        <v>5276685</v>
      </c>
      <c r="L12" s="76">
        <f>SUM(L7:L9)</f>
        <v>1355361</v>
      </c>
      <c r="M12" s="76">
        <f>SUM(M7:M9)</f>
        <v>9140632</v>
      </c>
      <c r="N12" s="76">
        <f>SUM(N7:N10)</f>
        <v>58271763</v>
      </c>
      <c r="O12" s="76">
        <f>SUM(O7:O11)</f>
        <v>74044441</v>
      </c>
      <c r="P12" s="76">
        <f>SUM(P7:P10)</f>
        <v>72716139</v>
      </c>
    </row>
    <row r="13" spans="1:16">
      <c r="K13" s="73"/>
      <c r="L13" s="73"/>
      <c r="M13" s="73"/>
      <c r="N13" s="73"/>
      <c r="O13" s="73"/>
      <c r="P13" s="73"/>
    </row>
    <row r="14" spans="1:16">
      <c r="A14" s="4" t="s">
        <v>19</v>
      </c>
      <c r="K14" s="73"/>
      <c r="L14" s="73"/>
      <c r="M14" s="73"/>
      <c r="N14" s="73"/>
      <c r="O14" s="73"/>
      <c r="P14" s="73"/>
    </row>
    <row r="15" spans="1:16">
      <c r="B15" t="s">
        <v>20</v>
      </c>
      <c r="K15" s="73"/>
      <c r="L15" s="73"/>
      <c r="M15" s="73"/>
      <c r="N15" s="73"/>
      <c r="O15" s="73"/>
      <c r="P15" s="73"/>
    </row>
    <row r="16" spans="1:16">
      <c r="C16" t="s">
        <v>21</v>
      </c>
      <c r="K16" s="77">
        <v>110137</v>
      </c>
      <c r="L16" s="73">
        <v>18817</v>
      </c>
      <c r="M16" s="73">
        <v>151581</v>
      </c>
      <c r="N16" s="73">
        <v>635730</v>
      </c>
      <c r="O16" s="73">
        <f t="shared" ref="O16:O18" si="1">SUM(K16:N16)</f>
        <v>916265</v>
      </c>
      <c r="P16" s="73">
        <v>1276458</v>
      </c>
    </row>
    <row r="17" spans="2:16">
      <c r="C17" t="s">
        <v>216</v>
      </c>
      <c r="K17" s="77">
        <v>8250</v>
      </c>
      <c r="L17" s="73"/>
      <c r="M17" s="73"/>
      <c r="N17" s="73">
        <v>120489</v>
      </c>
      <c r="O17" s="73">
        <f t="shared" si="1"/>
        <v>128739</v>
      </c>
      <c r="P17" s="73">
        <v>106544</v>
      </c>
    </row>
    <row r="18" spans="2:16">
      <c r="C18" t="s">
        <v>130</v>
      </c>
      <c r="K18" s="73"/>
      <c r="L18" s="73"/>
      <c r="M18" s="73"/>
      <c r="N18" s="73">
        <v>632212</v>
      </c>
      <c r="O18" s="73">
        <f t="shared" si="1"/>
        <v>632212</v>
      </c>
      <c r="P18" s="73">
        <v>1693311</v>
      </c>
    </row>
    <row r="19" spans="2:16">
      <c r="K19" s="73"/>
      <c r="L19" s="73"/>
      <c r="M19" s="73"/>
      <c r="N19" s="73"/>
      <c r="O19" s="73"/>
      <c r="P19" s="73"/>
    </row>
    <row r="20" spans="2:16" s="5" customFormat="1">
      <c r="B20" s="6"/>
      <c r="C20" s="6"/>
      <c r="D20" s="6"/>
      <c r="E20" s="6" t="s">
        <v>26</v>
      </c>
      <c r="K20" s="79">
        <f t="shared" ref="K20:P20" si="2">SUM(K16:K18)</f>
        <v>118387</v>
      </c>
      <c r="L20" s="79">
        <f t="shared" si="2"/>
        <v>18817</v>
      </c>
      <c r="M20" s="79">
        <f t="shared" si="2"/>
        <v>151581</v>
      </c>
      <c r="N20" s="79">
        <f t="shared" si="2"/>
        <v>1388431</v>
      </c>
      <c r="O20" s="79">
        <f t="shared" si="2"/>
        <v>1677216</v>
      </c>
      <c r="P20" s="79">
        <f t="shared" si="2"/>
        <v>3076313</v>
      </c>
    </row>
    <row r="21" spans="2:16">
      <c r="K21" s="73"/>
      <c r="L21" s="73"/>
      <c r="M21" s="73"/>
      <c r="N21" s="73"/>
      <c r="O21" s="73"/>
      <c r="P21" s="73"/>
    </row>
    <row r="22" spans="2:16">
      <c r="B22" t="s">
        <v>30</v>
      </c>
      <c r="K22" s="73"/>
      <c r="L22" s="73"/>
      <c r="M22" s="73"/>
      <c r="N22" s="73"/>
      <c r="O22" s="73"/>
      <c r="P22" s="73"/>
    </row>
    <row r="23" spans="2:16">
      <c r="C23" t="s">
        <v>566</v>
      </c>
      <c r="K23" s="73"/>
      <c r="L23" s="73"/>
      <c r="M23" s="73"/>
      <c r="N23" s="73"/>
      <c r="O23" s="73"/>
      <c r="P23" s="73"/>
    </row>
    <row r="24" spans="2:16">
      <c r="D24" t="s">
        <v>68</v>
      </c>
      <c r="K24" s="73"/>
      <c r="L24" s="73"/>
      <c r="M24" s="73"/>
      <c r="N24" s="73">
        <v>178151</v>
      </c>
      <c r="O24" s="73">
        <f t="shared" ref="O24:O32" si="3">SUM(K24:N24)</f>
        <v>178151</v>
      </c>
      <c r="P24" s="73">
        <v>168416</v>
      </c>
    </row>
    <row r="25" spans="2:16">
      <c r="D25" t="s">
        <v>69</v>
      </c>
      <c r="K25" s="194"/>
      <c r="L25" s="73"/>
      <c r="M25" s="73"/>
      <c r="N25" s="73">
        <v>179091</v>
      </c>
      <c r="O25" s="73">
        <f t="shared" si="3"/>
        <v>179091</v>
      </c>
      <c r="P25" s="73">
        <v>356979</v>
      </c>
    </row>
    <row r="26" spans="2:16">
      <c r="D26" t="s">
        <v>70</v>
      </c>
      <c r="K26" s="80">
        <v>219601</v>
      </c>
      <c r="L26" s="73"/>
      <c r="M26" s="73">
        <v>8989051</v>
      </c>
      <c r="N26" s="73">
        <v>11853235</v>
      </c>
      <c r="O26" s="73">
        <f t="shared" si="3"/>
        <v>21061887</v>
      </c>
      <c r="P26" s="73">
        <v>20347045</v>
      </c>
    </row>
    <row r="27" spans="2:16">
      <c r="D27" t="s">
        <v>71</v>
      </c>
      <c r="K27" s="73"/>
      <c r="L27" s="73">
        <v>1336544</v>
      </c>
      <c r="M27" s="73"/>
      <c r="N27" s="73">
        <v>15790189</v>
      </c>
      <c r="O27" s="73">
        <f t="shared" si="3"/>
        <v>17126733</v>
      </c>
      <c r="P27" s="73">
        <v>15023971</v>
      </c>
    </row>
    <row r="28" spans="2:16">
      <c r="D28" t="s">
        <v>106</v>
      </c>
      <c r="K28" s="73"/>
      <c r="L28" s="73"/>
      <c r="M28" s="73"/>
      <c r="N28" s="73">
        <v>4102147</v>
      </c>
      <c r="O28" s="73">
        <f t="shared" si="3"/>
        <v>4102147</v>
      </c>
      <c r="P28" s="73">
        <v>3791353</v>
      </c>
    </row>
    <row r="29" spans="2:16">
      <c r="D29" t="s">
        <v>107</v>
      </c>
      <c r="K29" s="73"/>
      <c r="L29" s="73"/>
      <c r="M29" s="73"/>
      <c r="N29" s="73">
        <v>21484034</v>
      </c>
      <c r="O29" s="73">
        <f t="shared" si="3"/>
        <v>21484034</v>
      </c>
      <c r="P29" s="73">
        <v>22222089</v>
      </c>
    </row>
    <row r="30" spans="2:16">
      <c r="D30" t="s">
        <v>73</v>
      </c>
      <c r="K30" s="73"/>
      <c r="L30" s="73"/>
      <c r="M30" s="73"/>
      <c r="N30" s="73">
        <v>3296487</v>
      </c>
      <c r="O30" s="73">
        <f t="shared" si="3"/>
        <v>3296487</v>
      </c>
      <c r="P30" s="73">
        <v>2945708</v>
      </c>
    </row>
    <row r="31" spans="2:16">
      <c r="D31" t="s">
        <v>567</v>
      </c>
      <c r="K31" s="80">
        <v>1266984</v>
      </c>
      <c r="L31" s="73"/>
      <c r="M31" s="73"/>
      <c r="N31" s="73"/>
      <c r="O31" s="73">
        <f t="shared" si="3"/>
        <v>1266984</v>
      </c>
      <c r="P31" s="73">
        <v>998122</v>
      </c>
    </row>
    <row r="32" spans="2:16">
      <c r="C32" t="s">
        <v>46</v>
      </c>
      <c r="K32" s="84">
        <v>3674712</v>
      </c>
      <c r="L32" s="73"/>
      <c r="M32" s="73"/>
      <c r="N32" s="73"/>
      <c r="O32" s="73">
        <f t="shared" si="3"/>
        <v>3674712</v>
      </c>
      <c r="P32" s="73">
        <v>3786144</v>
      </c>
    </row>
    <row r="33" spans="4:16">
      <c r="K33" s="73"/>
      <c r="L33" s="73"/>
      <c r="M33" s="73"/>
      <c r="N33" s="73"/>
      <c r="O33" s="73"/>
      <c r="P33" s="73"/>
    </row>
    <row r="34" spans="4:16" s="5" customFormat="1">
      <c r="D34" s="6"/>
      <c r="E34" s="6" t="s">
        <v>77</v>
      </c>
      <c r="K34" s="79">
        <f>SUM(K23:K32)</f>
        <v>5161297</v>
      </c>
      <c r="L34" s="79">
        <f>SUM(L23:L32)</f>
        <v>1336544</v>
      </c>
      <c r="M34" s="79">
        <f>SUM(M23:M32)</f>
        <v>8989051</v>
      </c>
      <c r="N34" s="79">
        <f>SUM(N23:N32)</f>
        <v>56883334</v>
      </c>
      <c r="O34" s="79">
        <f>SUM(O23:O32)</f>
        <v>72370226</v>
      </c>
      <c r="P34" s="79">
        <f>SUM(P23:P33)</f>
        <v>69639827</v>
      </c>
    </row>
    <row r="35" spans="4:16">
      <c r="K35" s="73"/>
      <c r="L35" s="73"/>
      <c r="M35" s="73"/>
      <c r="N35" s="73"/>
      <c r="O35" s="73"/>
      <c r="P35" s="73"/>
    </row>
    <row r="36" spans="4:16" s="7" customFormat="1">
      <c r="D36" s="8"/>
      <c r="E36" s="8" t="s">
        <v>48</v>
      </c>
      <c r="K36" s="81">
        <f>SUM(K34,K20)</f>
        <v>5279684</v>
      </c>
      <c r="L36" s="81">
        <f>SUM(L20,L34)</f>
        <v>1355361</v>
      </c>
      <c r="M36" s="81">
        <f>SUM(M20,M34)</f>
        <v>9140632</v>
      </c>
      <c r="N36" s="81">
        <f>SUM(N20,N34)</f>
        <v>58271765</v>
      </c>
      <c r="O36" s="81">
        <f>SUM(O20,O34)</f>
        <v>74047442</v>
      </c>
      <c r="P36" s="81">
        <f>SUM(P20+P34)</f>
        <v>72716140</v>
      </c>
    </row>
  </sheetData>
  <mergeCells count="3">
    <mergeCell ref="D1:K1"/>
    <mergeCell ref="D2:K2"/>
    <mergeCell ref="K3:N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I44"/>
  <sheetViews>
    <sheetView zoomScale="70" zoomScaleNormal="70" zoomScalePageLayoutView="70" workbookViewId="0">
      <selection activeCell="K16" sqref="K16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4" width="17.140625" customWidth="1"/>
    <col min="15" max="15" width="14.42578125" customWidth="1"/>
    <col min="16" max="17" width="18.42578125" customWidth="1"/>
    <col min="18" max="18" width="19.85546875" bestFit="1" customWidth="1"/>
  </cols>
  <sheetData>
    <row r="1" spans="1:35" ht="18.75">
      <c r="D1" s="251" t="s">
        <v>568</v>
      </c>
      <c r="E1" s="251"/>
      <c r="F1" s="251"/>
      <c r="G1" s="251"/>
      <c r="H1" s="251"/>
      <c r="I1" s="251"/>
      <c r="J1" s="251"/>
      <c r="K1" s="251"/>
    </row>
    <row r="2" spans="1:35">
      <c r="D2" s="252" t="s">
        <v>1</v>
      </c>
      <c r="E2" s="252"/>
      <c r="F2" s="252"/>
      <c r="G2" s="252"/>
      <c r="H2" s="252"/>
      <c r="I2" s="252"/>
      <c r="J2" s="252"/>
      <c r="K2" s="252"/>
    </row>
    <row r="3" spans="1:35">
      <c r="D3" s="57"/>
      <c r="E3" s="57"/>
      <c r="F3" s="57"/>
      <c r="G3" s="57"/>
      <c r="H3" s="57"/>
      <c r="I3" s="57"/>
      <c r="J3" s="57"/>
      <c r="K3" s="57"/>
    </row>
    <row r="4" spans="1:35" ht="45">
      <c r="K4" s="1" t="s">
        <v>2</v>
      </c>
      <c r="L4" s="1" t="s">
        <v>4</v>
      </c>
      <c r="M4" s="1" t="s">
        <v>569</v>
      </c>
      <c r="N4" s="1" t="s">
        <v>452</v>
      </c>
      <c r="O4" s="1" t="s">
        <v>570</v>
      </c>
      <c r="P4" s="1" t="s">
        <v>571</v>
      </c>
      <c r="Q4" s="1" t="s">
        <v>572</v>
      </c>
      <c r="R4" s="1" t="s">
        <v>84</v>
      </c>
    </row>
    <row r="5" spans="1:35">
      <c r="A5" s="86" t="s">
        <v>8</v>
      </c>
    </row>
    <row r="6" spans="1:35">
      <c r="B6" t="s">
        <v>57</v>
      </c>
      <c r="K6" s="72">
        <v>3858507</v>
      </c>
      <c r="L6" s="73">
        <v>1669150</v>
      </c>
      <c r="M6" s="73">
        <v>1341444</v>
      </c>
      <c r="N6" s="73">
        <v>1725707</v>
      </c>
      <c r="O6" s="73">
        <v>739740</v>
      </c>
      <c r="P6" s="73">
        <v>1214386</v>
      </c>
      <c r="Q6" s="73">
        <v>1970277</v>
      </c>
      <c r="R6" s="73">
        <f>SUM(K6:Q6)</f>
        <v>12519211</v>
      </c>
    </row>
    <row r="7" spans="1:35">
      <c r="B7" t="s">
        <v>10</v>
      </c>
      <c r="K7" s="77">
        <v>2000000</v>
      </c>
      <c r="L7" s="73">
        <v>9335860</v>
      </c>
      <c r="M7" s="73">
        <v>6830520</v>
      </c>
      <c r="N7" s="73">
        <v>648599</v>
      </c>
      <c r="O7" s="73"/>
      <c r="P7" s="73"/>
      <c r="Q7" s="73">
        <v>239909</v>
      </c>
      <c r="R7" s="73">
        <f>SUM(K7:Q7)</f>
        <v>19054888</v>
      </c>
    </row>
    <row r="8" spans="1:35">
      <c r="B8" t="s">
        <v>58</v>
      </c>
      <c r="K8" s="74">
        <v>1010211</v>
      </c>
      <c r="L8" s="73">
        <v>229286</v>
      </c>
      <c r="M8" s="73">
        <v>138909</v>
      </c>
      <c r="N8" s="73">
        <v>1628080</v>
      </c>
      <c r="O8" s="73">
        <v>28478</v>
      </c>
      <c r="P8" s="73">
        <v>881416</v>
      </c>
      <c r="Q8" s="73">
        <v>508105</v>
      </c>
      <c r="R8" s="73">
        <f>SUM(K8:Q8)</f>
        <v>4424485</v>
      </c>
    </row>
    <row r="9" spans="1:35">
      <c r="B9" t="s">
        <v>164</v>
      </c>
      <c r="K9" s="83">
        <v>9185</v>
      </c>
      <c r="L9" s="73"/>
      <c r="M9" s="73">
        <v>4960</v>
      </c>
      <c r="N9" s="73">
        <v>1158</v>
      </c>
      <c r="O9" s="85"/>
      <c r="P9" s="85">
        <v>3050</v>
      </c>
      <c r="Q9" s="85"/>
      <c r="R9" s="85">
        <f>SUM(K9:P9)</f>
        <v>18353</v>
      </c>
    </row>
    <row r="10" spans="1:35">
      <c r="K10" s="93"/>
      <c r="L10" s="93"/>
      <c r="M10" s="93"/>
      <c r="N10" s="93"/>
      <c r="O10" s="73"/>
      <c r="P10" s="73"/>
      <c r="Q10" s="73"/>
      <c r="R10" s="73"/>
    </row>
    <row r="11" spans="1:35" s="3" customFormat="1">
      <c r="A11" s="2"/>
      <c r="B11" s="2"/>
      <c r="C11" s="2"/>
      <c r="D11" s="2"/>
      <c r="E11" s="2" t="s">
        <v>62</v>
      </c>
      <c r="K11" s="76">
        <f t="shared" ref="K11:R11" si="0">SUM(K6:K9)</f>
        <v>6877903</v>
      </c>
      <c r="L11" s="76">
        <f t="shared" si="0"/>
        <v>11234296</v>
      </c>
      <c r="M11" s="76">
        <f t="shared" si="0"/>
        <v>8315833</v>
      </c>
      <c r="N11" s="76">
        <f t="shared" si="0"/>
        <v>4003544</v>
      </c>
      <c r="O11" s="76">
        <f t="shared" si="0"/>
        <v>768218</v>
      </c>
      <c r="P11" s="76">
        <f t="shared" si="0"/>
        <v>2098852</v>
      </c>
      <c r="Q11" s="76">
        <f t="shared" si="0"/>
        <v>2718291</v>
      </c>
      <c r="R11" s="76">
        <f t="shared" si="0"/>
        <v>36016937</v>
      </c>
    </row>
    <row r="12" spans="1:35">
      <c r="K12" s="73"/>
      <c r="L12" s="73"/>
      <c r="M12" s="73"/>
      <c r="N12" s="73"/>
      <c r="O12" s="73"/>
      <c r="P12" s="73"/>
      <c r="Q12" s="73"/>
      <c r="R12" s="73"/>
    </row>
    <row r="13" spans="1:35">
      <c r="A13" s="71" t="s">
        <v>573</v>
      </c>
      <c r="K13" s="73"/>
      <c r="L13" s="73"/>
      <c r="M13" s="73"/>
      <c r="N13" s="73"/>
      <c r="O13" s="73"/>
      <c r="P13" s="73"/>
      <c r="Q13" s="73"/>
      <c r="R13" s="73"/>
    </row>
    <row r="14" spans="1:35">
      <c r="K14" s="73"/>
      <c r="L14" s="73"/>
      <c r="M14" s="73"/>
      <c r="N14" s="73"/>
      <c r="O14" s="73"/>
      <c r="P14" s="73"/>
      <c r="Q14" s="73"/>
      <c r="R14" s="73"/>
    </row>
    <row r="15" spans="1:35">
      <c r="A15" s="2"/>
      <c r="B15" s="2"/>
      <c r="C15" s="2"/>
      <c r="D15" s="2"/>
      <c r="E15" s="2" t="s">
        <v>574</v>
      </c>
      <c r="F15" s="3"/>
      <c r="G15" s="3"/>
      <c r="H15" s="3"/>
      <c r="I15" s="3"/>
      <c r="J15" s="3"/>
      <c r="K15" s="76">
        <f>SUM(K11)</f>
        <v>6877903</v>
      </c>
      <c r="L15" s="76">
        <f t="shared" ref="L15:R15" si="1">SUM(L11)</f>
        <v>11234296</v>
      </c>
      <c r="M15" s="76">
        <f t="shared" si="1"/>
        <v>8315833</v>
      </c>
      <c r="N15" s="76">
        <f t="shared" si="1"/>
        <v>4003544</v>
      </c>
      <c r="O15" s="76">
        <f t="shared" si="1"/>
        <v>768218</v>
      </c>
      <c r="P15" s="76">
        <f t="shared" si="1"/>
        <v>2098852</v>
      </c>
      <c r="Q15" s="76">
        <f t="shared" si="1"/>
        <v>2718291</v>
      </c>
      <c r="R15" s="76">
        <f t="shared" si="1"/>
        <v>36016937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>
      <c r="A16" s="196"/>
      <c r="B16" s="196"/>
      <c r="C16" s="196"/>
      <c r="D16" s="196"/>
      <c r="E16" s="196"/>
      <c r="F16" s="102"/>
      <c r="G16" s="102"/>
      <c r="H16" s="102"/>
      <c r="I16" s="102"/>
      <c r="J16" s="102"/>
      <c r="K16" s="167"/>
      <c r="L16" s="167"/>
      <c r="M16" s="167"/>
      <c r="N16" s="167"/>
      <c r="O16" s="167"/>
      <c r="P16" s="167"/>
      <c r="Q16" s="167"/>
      <c r="R16" s="167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</row>
    <row r="17" spans="1:35">
      <c r="A17" s="196"/>
      <c r="B17" s="196"/>
      <c r="C17" s="196"/>
      <c r="D17" s="196"/>
      <c r="E17" s="196"/>
      <c r="F17" s="102"/>
      <c r="G17" s="102"/>
      <c r="H17" s="102"/>
      <c r="I17" s="102"/>
      <c r="J17" s="102"/>
      <c r="K17" s="167"/>
      <c r="L17" s="167"/>
      <c r="M17" s="167"/>
      <c r="N17" s="167"/>
      <c r="O17" s="167"/>
      <c r="P17" s="167"/>
      <c r="Q17" s="167"/>
      <c r="R17" s="167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</row>
    <row r="18" spans="1:35">
      <c r="A18" s="4" t="s">
        <v>504</v>
      </c>
      <c r="K18" s="73"/>
      <c r="L18" s="73"/>
      <c r="M18" s="73"/>
      <c r="N18" s="73"/>
      <c r="O18" s="73"/>
      <c r="P18" s="73"/>
      <c r="Q18" s="73"/>
      <c r="R18" s="73"/>
    </row>
    <row r="19" spans="1:35">
      <c r="C19" t="s">
        <v>433</v>
      </c>
      <c r="K19" s="77">
        <v>175746</v>
      </c>
      <c r="L19" s="73">
        <v>630</v>
      </c>
      <c r="M19" s="73">
        <v>22499</v>
      </c>
      <c r="N19" s="85">
        <v>172974</v>
      </c>
      <c r="O19" s="85">
        <v>28263</v>
      </c>
      <c r="P19" s="85">
        <v>253924</v>
      </c>
      <c r="Q19" s="85">
        <v>68977</v>
      </c>
      <c r="R19" s="85">
        <f>SUM(K19:Q19)</f>
        <v>723013</v>
      </c>
    </row>
    <row r="20" spans="1:35">
      <c r="K20" s="93"/>
      <c r="L20" s="93"/>
      <c r="M20" s="93"/>
      <c r="N20" s="73"/>
      <c r="O20" s="73"/>
      <c r="P20" s="73"/>
      <c r="Q20" s="73"/>
      <c r="R20" s="73"/>
    </row>
    <row r="21" spans="1:35" s="5" customFormat="1">
      <c r="B21" s="6"/>
      <c r="C21" s="6"/>
      <c r="D21" s="6"/>
      <c r="E21" s="6" t="s">
        <v>26</v>
      </c>
      <c r="K21" s="79">
        <f t="shared" ref="K21:R21" si="2">SUM(K19:K19)</f>
        <v>175746</v>
      </c>
      <c r="L21" s="79">
        <f t="shared" si="2"/>
        <v>630</v>
      </c>
      <c r="M21" s="79">
        <f t="shared" si="2"/>
        <v>22499</v>
      </c>
      <c r="N21" s="79">
        <f t="shared" si="2"/>
        <v>172974</v>
      </c>
      <c r="O21" s="79">
        <f t="shared" si="2"/>
        <v>28263</v>
      </c>
      <c r="P21" s="79">
        <f t="shared" si="2"/>
        <v>253924</v>
      </c>
      <c r="Q21" s="79">
        <f t="shared" si="2"/>
        <v>68977</v>
      </c>
      <c r="R21" s="79">
        <f t="shared" si="2"/>
        <v>723013</v>
      </c>
    </row>
    <row r="22" spans="1:35">
      <c r="K22" s="73"/>
      <c r="L22" s="73"/>
      <c r="M22" s="73"/>
      <c r="N22" s="73"/>
      <c r="O22" s="73"/>
      <c r="P22" s="73"/>
      <c r="Q22" s="73"/>
      <c r="R22" s="73"/>
    </row>
    <row r="23" spans="1:35">
      <c r="A23" s="71" t="s">
        <v>27</v>
      </c>
      <c r="K23" s="85">
        <v>4747</v>
      </c>
      <c r="L23" s="85"/>
      <c r="M23" s="85"/>
      <c r="N23" s="85">
        <v>10571</v>
      </c>
      <c r="O23" s="85"/>
      <c r="P23" s="85">
        <v>4539</v>
      </c>
      <c r="Q23" s="85">
        <v>3016</v>
      </c>
      <c r="R23" s="85">
        <f>SUM(K23:Q23)</f>
        <v>22873</v>
      </c>
    </row>
    <row r="24" spans="1:35">
      <c r="K24" s="73"/>
      <c r="L24" s="73"/>
      <c r="M24" s="73"/>
      <c r="N24" s="73"/>
      <c r="O24" s="73"/>
      <c r="P24" s="73"/>
      <c r="Q24" s="73"/>
      <c r="R24" s="73"/>
    </row>
    <row r="25" spans="1:35">
      <c r="B25" s="86" t="s">
        <v>30</v>
      </c>
      <c r="K25" s="73"/>
      <c r="L25" s="73"/>
      <c r="M25" s="73"/>
      <c r="N25" s="73"/>
      <c r="O25" s="73"/>
      <c r="P25" s="73"/>
      <c r="Q25" s="73"/>
      <c r="R25" s="73"/>
    </row>
    <row r="26" spans="1:35">
      <c r="C26" t="s">
        <v>163</v>
      </c>
      <c r="K26" s="73"/>
      <c r="L26" s="73"/>
      <c r="M26" s="73"/>
      <c r="N26" s="73"/>
      <c r="O26" s="73"/>
      <c r="P26" s="73"/>
      <c r="Q26" s="73"/>
      <c r="R26" s="73"/>
    </row>
    <row r="27" spans="1:35">
      <c r="D27" t="s">
        <v>164</v>
      </c>
      <c r="K27" s="80">
        <v>9185</v>
      </c>
      <c r="L27" s="73"/>
      <c r="M27" s="73">
        <v>4960</v>
      </c>
      <c r="N27" s="73">
        <v>1158</v>
      </c>
      <c r="O27" s="73"/>
      <c r="P27" s="73">
        <v>3050</v>
      </c>
      <c r="Q27" s="73"/>
      <c r="R27" s="73">
        <f>SUM(K27:P27)</f>
        <v>18353</v>
      </c>
    </row>
    <row r="28" spans="1:35">
      <c r="C28" t="s">
        <v>541</v>
      </c>
      <c r="K28" s="73"/>
      <c r="L28" s="73"/>
      <c r="M28" s="73"/>
      <c r="N28" s="73"/>
      <c r="O28" s="73"/>
      <c r="P28" s="73"/>
      <c r="Q28" s="73"/>
      <c r="R28" s="73"/>
    </row>
    <row r="29" spans="1:35">
      <c r="C29" t="s">
        <v>67</v>
      </c>
      <c r="K29" s="73"/>
      <c r="L29" s="73"/>
      <c r="M29" s="73"/>
      <c r="N29" s="73"/>
      <c r="O29" s="73"/>
      <c r="P29" s="73"/>
      <c r="Q29" s="73"/>
      <c r="R29" s="73"/>
    </row>
    <row r="30" spans="1:35">
      <c r="D30" t="s">
        <v>575</v>
      </c>
      <c r="K30" s="73"/>
      <c r="L30" s="73"/>
      <c r="M30" s="73"/>
      <c r="N30" s="73">
        <v>3818841</v>
      </c>
      <c r="O30" s="73"/>
      <c r="P30" s="73"/>
      <c r="Q30" s="73">
        <v>1958043</v>
      </c>
      <c r="R30" s="73">
        <f>SUM(K30:Q30)</f>
        <v>5776884</v>
      </c>
    </row>
    <row r="31" spans="1:35">
      <c r="D31" t="s">
        <v>576</v>
      </c>
      <c r="K31" s="73"/>
      <c r="L31" s="73"/>
      <c r="M31" s="73">
        <v>7062267</v>
      </c>
      <c r="N31" s="73"/>
      <c r="O31" s="73"/>
      <c r="P31" s="73"/>
      <c r="Q31" s="73">
        <v>112876</v>
      </c>
      <c r="R31" s="73">
        <f t="shared" ref="R31:R40" si="3">SUM(K31:Q31)</f>
        <v>7175143</v>
      </c>
    </row>
    <row r="32" spans="1:35">
      <c r="D32" t="s">
        <v>577</v>
      </c>
      <c r="K32" s="73"/>
      <c r="L32" s="73"/>
      <c r="M32" s="73"/>
      <c r="N32" s="73"/>
      <c r="O32" s="73"/>
      <c r="P32" s="73"/>
      <c r="Q32" s="73">
        <v>215398</v>
      </c>
      <c r="R32" s="73">
        <f t="shared" si="3"/>
        <v>215398</v>
      </c>
    </row>
    <row r="33" spans="3:18">
      <c r="D33" t="s">
        <v>440</v>
      </c>
      <c r="K33" s="73"/>
      <c r="L33" s="73"/>
      <c r="M33" s="73"/>
      <c r="N33" s="73"/>
      <c r="O33" s="73"/>
      <c r="P33" s="73"/>
      <c r="Q33" s="73">
        <v>266483</v>
      </c>
      <c r="R33" s="73">
        <f t="shared" si="3"/>
        <v>266483</v>
      </c>
    </row>
    <row r="34" spans="3:18">
      <c r="C34" t="s">
        <v>74</v>
      </c>
      <c r="K34" s="73"/>
      <c r="L34" s="73"/>
      <c r="M34" s="73"/>
      <c r="N34" s="73"/>
      <c r="O34" s="73"/>
      <c r="P34" s="73"/>
      <c r="Q34" s="73"/>
      <c r="R34" s="73">
        <f t="shared" si="3"/>
        <v>0</v>
      </c>
    </row>
    <row r="35" spans="3:18">
      <c r="D35" t="s">
        <v>578</v>
      </c>
      <c r="K35" s="73"/>
      <c r="L35" s="73"/>
      <c r="M35" s="73"/>
      <c r="N35" s="73"/>
      <c r="O35" s="73"/>
      <c r="P35" s="73"/>
      <c r="Q35" s="73">
        <v>92093</v>
      </c>
      <c r="R35" s="73">
        <f t="shared" si="3"/>
        <v>92093</v>
      </c>
    </row>
    <row r="36" spans="3:18">
      <c r="D36" t="s">
        <v>579</v>
      </c>
      <c r="K36" s="73"/>
      <c r="L36" s="73"/>
      <c r="M36" s="73">
        <v>1226107</v>
      </c>
      <c r="N36" s="73"/>
      <c r="O36" s="73"/>
      <c r="P36" s="73"/>
      <c r="Q36" s="73"/>
      <c r="R36" s="73">
        <f t="shared" si="3"/>
        <v>1226107</v>
      </c>
    </row>
    <row r="37" spans="3:18">
      <c r="D37" t="s">
        <v>580</v>
      </c>
      <c r="K37" s="73"/>
      <c r="L37" s="73"/>
      <c r="M37" s="73"/>
      <c r="N37" s="73"/>
      <c r="O37" s="73">
        <v>739955</v>
      </c>
      <c r="P37" s="73"/>
      <c r="Q37" s="73">
        <v>1405</v>
      </c>
      <c r="R37" s="73">
        <f t="shared" si="3"/>
        <v>741360</v>
      </c>
    </row>
    <row r="38" spans="3:18">
      <c r="D38" t="s">
        <v>581</v>
      </c>
      <c r="K38" s="73"/>
      <c r="L38" s="73"/>
      <c r="M38" s="73"/>
      <c r="N38" s="73"/>
      <c r="O38" s="73"/>
      <c r="P38" s="73">
        <v>1837339</v>
      </c>
      <c r="Q38" s="73"/>
      <c r="R38" s="73">
        <f t="shared" si="3"/>
        <v>1837339</v>
      </c>
    </row>
    <row r="39" spans="3:18">
      <c r="D39" t="s">
        <v>582</v>
      </c>
      <c r="K39" s="73"/>
      <c r="L39" s="73">
        <v>11233666</v>
      </c>
      <c r="M39" s="73"/>
      <c r="N39" s="73"/>
      <c r="O39" s="73"/>
      <c r="P39" s="73"/>
      <c r="Q39" s="73"/>
      <c r="R39" s="73">
        <f t="shared" si="3"/>
        <v>11233666</v>
      </c>
    </row>
    <row r="40" spans="3:18">
      <c r="C40" t="s">
        <v>46</v>
      </c>
      <c r="K40" s="84">
        <v>6688225</v>
      </c>
      <c r="L40" s="73"/>
      <c r="M40" s="73"/>
      <c r="N40" s="73"/>
      <c r="O40" s="85"/>
      <c r="P40" s="85"/>
      <c r="Q40" s="85"/>
      <c r="R40" s="85">
        <f t="shared" si="3"/>
        <v>6688225</v>
      </c>
    </row>
    <row r="41" spans="3:18">
      <c r="K41" s="93"/>
      <c r="L41" s="93"/>
      <c r="M41" s="93"/>
      <c r="N41" s="93"/>
      <c r="O41" s="73"/>
      <c r="P41" s="73"/>
      <c r="Q41" s="73"/>
      <c r="R41" s="73"/>
    </row>
    <row r="42" spans="3:18" s="5" customFormat="1">
      <c r="D42" s="6"/>
      <c r="E42" s="6" t="s">
        <v>77</v>
      </c>
      <c r="K42" s="79">
        <f>SUM(K27:K41)</f>
        <v>6697410</v>
      </c>
      <c r="L42" s="79">
        <f t="shared" ref="L42:R42" si="4">SUM(L27:L40)</f>
        <v>11233666</v>
      </c>
      <c r="M42" s="79">
        <f t="shared" si="4"/>
        <v>8293334</v>
      </c>
      <c r="N42" s="79">
        <f t="shared" si="4"/>
        <v>3819999</v>
      </c>
      <c r="O42" s="79">
        <f t="shared" si="4"/>
        <v>739955</v>
      </c>
      <c r="P42" s="79">
        <f t="shared" si="4"/>
        <v>1840389</v>
      </c>
      <c r="Q42" s="79">
        <f t="shared" si="4"/>
        <v>2646298</v>
      </c>
      <c r="R42" s="79">
        <f t="shared" si="4"/>
        <v>35271051</v>
      </c>
    </row>
    <row r="43" spans="3:18">
      <c r="K43" s="73"/>
      <c r="L43" s="73"/>
      <c r="M43" s="73"/>
      <c r="N43" s="73"/>
      <c r="O43" s="73"/>
      <c r="P43" s="73"/>
      <c r="Q43" s="73"/>
      <c r="R43" s="73"/>
    </row>
    <row r="44" spans="3:18" s="7" customFormat="1">
      <c r="D44" s="8"/>
      <c r="E44" s="8" t="s">
        <v>583</v>
      </c>
      <c r="K44" s="81">
        <f>K42+K23+K21</f>
        <v>6877903</v>
      </c>
      <c r="L44" s="81">
        <f t="shared" ref="L44:R44" si="5">L42+L23+L21</f>
        <v>11234296</v>
      </c>
      <c r="M44" s="81">
        <f t="shared" si="5"/>
        <v>8315833</v>
      </c>
      <c r="N44" s="81">
        <f t="shared" si="5"/>
        <v>4003544</v>
      </c>
      <c r="O44" s="81">
        <f t="shared" si="5"/>
        <v>768218</v>
      </c>
      <c r="P44" s="81">
        <f t="shared" si="5"/>
        <v>2098852</v>
      </c>
      <c r="Q44" s="81">
        <f t="shared" si="5"/>
        <v>2718291</v>
      </c>
      <c r="R44" s="81">
        <f t="shared" si="5"/>
        <v>36016937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36"/>
  <sheetViews>
    <sheetView zoomScale="80" zoomScaleNormal="80" zoomScalePageLayoutView="80" workbookViewId="0">
      <selection activeCell="K7" sqref="K7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2" width="16.42578125" customWidth="1"/>
    <col min="13" max="13" width="13.85546875" customWidth="1"/>
    <col min="14" max="14" width="17.7109375" customWidth="1"/>
    <col min="15" max="15" width="17.28515625" customWidth="1"/>
    <col min="16" max="16" width="17.7109375" customWidth="1"/>
    <col min="17" max="17" width="17.42578125" customWidth="1"/>
  </cols>
  <sheetData>
    <row r="1" spans="1:17" ht="18.75">
      <c r="D1" s="251" t="s">
        <v>584</v>
      </c>
      <c r="E1" s="251"/>
      <c r="F1" s="251"/>
      <c r="G1" s="251"/>
      <c r="H1" s="251"/>
      <c r="I1" s="251"/>
      <c r="J1" s="251"/>
      <c r="K1" s="251"/>
    </row>
    <row r="2" spans="1:17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7">
      <c r="D3" s="57"/>
      <c r="E3" s="57"/>
      <c r="F3" s="57"/>
      <c r="G3" s="57"/>
      <c r="H3" s="57"/>
      <c r="I3" s="57"/>
      <c r="J3" s="57"/>
      <c r="K3" s="57"/>
    </row>
    <row r="5" spans="1:17" ht="45">
      <c r="K5" s="1" t="s">
        <v>50</v>
      </c>
      <c r="L5" s="1" t="s">
        <v>284</v>
      </c>
      <c r="M5" s="1" t="s">
        <v>127</v>
      </c>
      <c r="N5" s="1" t="s">
        <v>305</v>
      </c>
      <c r="O5" s="1" t="s">
        <v>95</v>
      </c>
      <c r="P5" s="1" t="s">
        <v>6</v>
      </c>
      <c r="Q5" s="1" t="s">
        <v>7</v>
      </c>
    </row>
    <row r="6" spans="1:17">
      <c r="A6" s="71" t="s">
        <v>585</v>
      </c>
    </row>
    <row r="7" spans="1:17">
      <c r="B7" t="s">
        <v>57</v>
      </c>
      <c r="K7" s="72">
        <v>1865478</v>
      </c>
      <c r="L7" s="73">
        <v>11230</v>
      </c>
      <c r="M7" s="73">
        <v>1018058</v>
      </c>
      <c r="N7" s="73">
        <v>1393007</v>
      </c>
      <c r="O7" s="73">
        <v>3191359</v>
      </c>
      <c r="P7" s="73">
        <v>677281</v>
      </c>
      <c r="Q7" s="73">
        <f>SUM(K7:P7)</f>
        <v>8156413</v>
      </c>
    </row>
    <row r="8" spans="1:17">
      <c r="B8" t="s">
        <v>58</v>
      </c>
      <c r="K8" s="74">
        <v>1080288</v>
      </c>
      <c r="L8" s="73">
        <v>125819</v>
      </c>
      <c r="M8" s="73">
        <v>55379</v>
      </c>
      <c r="N8" s="73"/>
      <c r="O8" s="73">
        <v>1306290</v>
      </c>
      <c r="P8" s="73">
        <v>230476</v>
      </c>
      <c r="Q8" s="73">
        <f>SUM(K8:P8)</f>
        <v>2798252</v>
      </c>
    </row>
    <row r="9" spans="1:17">
      <c r="K9" s="73"/>
      <c r="L9" s="73"/>
      <c r="M9" s="73"/>
      <c r="N9" s="73"/>
      <c r="O9" s="73"/>
      <c r="P9" s="73"/>
      <c r="Q9" s="73"/>
    </row>
    <row r="10" spans="1:17" s="3" customFormat="1">
      <c r="A10" s="2"/>
      <c r="B10" s="2"/>
      <c r="C10" s="2"/>
      <c r="D10" s="2"/>
      <c r="E10" s="2" t="s">
        <v>62</v>
      </c>
      <c r="K10" s="76">
        <f t="shared" ref="K10:Q10" si="0">SUM(K7:K8)</f>
        <v>2945766</v>
      </c>
      <c r="L10" s="76">
        <f t="shared" si="0"/>
        <v>137049</v>
      </c>
      <c r="M10" s="76">
        <f t="shared" si="0"/>
        <v>1073437</v>
      </c>
      <c r="N10" s="76">
        <f t="shared" si="0"/>
        <v>1393007</v>
      </c>
      <c r="O10" s="76">
        <f t="shared" si="0"/>
        <v>4497649</v>
      </c>
      <c r="P10" s="76">
        <f t="shared" si="0"/>
        <v>907757</v>
      </c>
      <c r="Q10" s="76">
        <f t="shared" si="0"/>
        <v>10954665</v>
      </c>
    </row>
    <row r="11" spans="1:17">
      <c r="K11" s="73"/>
      <c r="L11" s="73"/>
      <c r="M11" s="73"/>
      <c r="N11" s="73"/>
      <c r="O11" s="73"/>
      <c r="P11" s="73"/>
      <c r="Q11" s="73"/>
    </row>
    <row r="12" spans="1:17">
      <c r="A12" s="4" t="s">
        <v>119</v>
      </c>
      <c r="K12" s="73"/>
      <c r="L12" s="73"/>
      <c r="M12" s="73"/>
      <c r="N12" s="73"/>
      <c r="O12" s="73"/>
      <c r="P12" s="73"/>
      <c r="Q12" s="73"/>
    </row>
    <row r="13" spans="1:17">
      <c r="C13" t="s">
        <v>21</v>
      </c>
      <c r="K13" s="77">
        <v>56121</v>
      </c>
      <c r="L13" s="73">
        <v>159525</v>
      </c>
      <c r="M13" s="73">
        <v>117544</v>
      </c>
      <c r="N13">
        <v>5913</v>
      </c>
      <c r="O13" s="73">
        <v>20791</v>
      </c>
      <c r="P13" s="73">
        <v>31825</v>
      </c>
      <c r="Q13" s="73">
        <f>SUM(K13:P13)</f>
        <v>391719</v>
      </c>
    </row>
    <row r="14" spans="1:17">
      <c r="C14" t="s">
        <v>495</v>
      </c>
      <c r="K14" s="82">
        <v>62400</v>
      </c>
      <c r="L14" s="73"/>
      <c r="M14" s="73"/>
      <c r="O14" s="73"/>
      <c r="P14" s="73"/>
      <c r="Q14" s="73">
        <f>SUM(K14:P14)</f>
        <v>62400</v>
      </c>
    </row>
    <row r="15" spans="1:17">
      <c r="K15" s="73"/>
      <c r="L15" s="73"/>
      <c r="M15" s="73"/>
      <c r="N15" s="73"/>
      <c r="O15" s="73"/>
      <c r="P15" s="73"/>
      <c r="Q15" s="73"/>
    </row>
    <row r="16" spans="1:17" s="5" customFormat="1">
      <c r="B16" s="6"/>
      <c r="C16" s="6"/>
      <c r="D16" s="6"/>
      <c r="E16" s="6" t="s">
        <v>26</v>
      </c>
      <c r="K16" s="79">
        <f>SUM(K13:K14)</f>
        <v>118521</v>
      </c>
      <c r="L16" s="79">
        <f>SUM(L13:L14)</f>
        <v>159525</v>
      </c>
      <c r="M16" s="79">
        <f>SUM(M13:M14)</f>
        <v>117544</v>
      </c>
      <c r="N16" s="79">
        <f>SUM(N13:N15)</f>
        <v>5913</v>
      </c>
      <c r="O16" s="79">
        <f>SUM(O13:O14)</f>
        <v>20791</v>
      </c>
      <c r="P16" s="79">
        <f>SUM(P13:P14)</f>
        <v>31825</v>
      </c>
      <c r="Q16" s="79">
        <f>SUM(Q13:Q14)</f>
        <v>454119</v>
      </c>
    </row>
    <row r="17" spans="1:17">
      <c r="K17" s="73"/>
      <c r="L17" s="73"/>
      <c r="M17" s="73"/>
      <c r="N17" s="73"/>
      <c r="O17" s="73"/>
      <c r="P17" s="73"/>
      <c r="Q17" s="73"/>
    </row>
    <row r="18" spans="1:17">
      <c r="A18" s="71" t="s">
        <v>63</v>
      </c>
      <c r="K18" s="73"/>
      <c r="L18" s="73"/>
      <c r="M18" s="73"/>
      <c r="N18" s="73"/>
      <c r="O18" s="73"/>
      <c r="P18" s="73"/>
      <c r="Q18" s="73"/>
    </row>
    <row r="19" spans="1:17">
      <c r="C19" t="s">
        <v>141</v>
      </c>
      <c r="K19" s="85">
        <v>1095007</v>
      </c>
      <c r="L19" s="85"/>
      <c r="M19" s="85"/>
      <c r="N19" s="85"/>
      <c r="O19" s="85">
        <v>1337831</v>
      </c>
      <c r="P19" s="85">
        <v>234673</v>
      </c>
      <c r="Q19" s="85">
        <v>2667511</v>
      </c>
    </row>
    <row r="20" spans="1:17">
      <c r="K20" s="73"/>
      <c r="L20" s="73"/>
      <c r="M20" s="73"/>
      <c r="N20" s="73"/>
      <c r="O20" s="73"/>
      <c r="P20" s="73"/>
      <c r="Q20" s="73"/>
    </row>
    <row r="21" spans="1:17">
      <c r="B21" t="s">
        <v>586</v>
      </c>
      <c r="K21" s="73"/>
      <c r="L21" s="73"/>
      <c r="M21" s="73"/>
      <c r="N21" s="73"/>
      <c r="O21" s="73"/>
      <c r="P21" s="73"/>
      <c r="Q21" s="73"/>
    </row>
    <row r="22" spans="1:17">
      <c r="C22" t="s">
        <v>496</v>
      </c>
      <c r="K22" s="90"/>
      <c r="L22" s="73"/>
      <c r="M22" s="73">
        <v>955893</v>
      </c>
      <c r="N22" s="73">
        <v>1387094</v>
      </c>
      <c r="O22" s="73">
        <v>3139027</v>
      </c>
      <c r="P22" s="73">
        <v>641259</v>
      </c>
      <c r="Q22" s="73">
        <f>SUM(K22:P22)</f>
        <v>6123273</v>
      </c>
    </row>
    <row r="23" spans="1:17">
      <c r="C23" t="s">
        <v>108</v>
      </c>
      <c r="K23" s="84">
        <v>1732238</v>
      </c>
      <c r="L23" s="73">
        <v>-22476</v>
      </c>
      <c r="M23" s="73"/>
      <c r="N23" s="73"/>
      <c r="O23" s="73"/>
      <c r="P23" s="73"/>
      <c r="Q23" s="73">
        <f>SUM(K23:P23)</f>
        <v>1709762</v>
      </c>
    </row>
    <row r="24" spans="1:17">
      <c r="K24" s="73"/>
      <c r="L24" s="73"/>
      <c r="M24" s="73"/>
      <c r="N24" s="73"/>
      <c r="O24" s="73"/>
      <c r="P24" s="73"/>
      <c r="Q24" s="73"/>
    </row>
    <row r="25" spans="1:17" s="5" customFormat="1">
      <c r="D25" s="6"/>
      <c r="E25" s="6" t="s">
        <v>47</v>
      </c>
      <c r="K25" s="79">
        <f>SUM(K22:K24)</f>
        <v>1732238</v>
      </c>
      <c r="L25" s="79">
        <f t="shared" ref="L25:Q25" si="1">SUM(L22:L23)</f>
        <v>-22476</v>
      </c>
      <c r="M25" s="79">
        <f t="shared" si="1"/>
        <v>955893</v>
      </c>
      <c r="N25" s="79">
        <f t="shared" si="1"/>
        <v>1387094</v>
      </c>
      <c r="O25" s="79">
        <f t="shared" si="1"/>
        <v>3139027</v>
      </c>
      <c r="P25" s="79">
        <f t="shared" si="1"/>
        <v>641259</v>
      </c>
      <c r="Q25" s="79">
        <f t="shared" si="1"/>
        <v>7833035</v>
      </c>
    </row>
    <row r="26" spans="1:17">
      <c r="K26" s="73"/>
      <c r="L26" s="73"/>
      <c r="M26" s="73"/>
      <c r="N26" s="73"/>
      <c r="O26" s="73"/>
      <c r="P26" s="73"/>
      <c r="Q26" s="73"/>
    </row>
    <row r="27" spans="1:17" s="7" customFormat="1">
      <c r="D27" s="8"/>
      <c r="E27" s="8" t="s">
        <v>125</v>
      </c>
      <c r="K27" s="81">
        <f t="shared" ref="K27:Q27" si="2">SUM(K25,K16,K19)</f>
        <v>2945766</v>
      </c>
      <c r="L27" s="81">
        <f t="shared" si="2"/>
        <v>137049</v>
      </c>
      <c r="M27" s="81">
        <f t="shared" si="2"/>
        <v>1073437</v>
      </c>
      <c r="N27" s="81">
        <f t="shared" si="2"/>
        <v>1393007</v>
      </c>
      <c r="O27" s="81">
        <f t="shared" si="2"/>
        <v>4497649</v>
      </c>
      <c r="P27" s="81">
        <f t="shared" si="2"/>
        <v>907757</v>
      </c>
      <c r="Q27" s="81">
        <f t="shared" si="2"/>
        <v>10954665</v>
      </c>
    </row>
    <row r="31" spans="1:17">
      <c r="Q31" s="183"/>
    </row>
    <row r="36" spans="17:17">
      <c r="Q36" s="184"/>
    </row>
  </sheetData>
  <mergeCells count="2">
    <mergeCell ref="D1:K1"/>
    <mergeCell ref="D2:K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27"/>
  <sheetViews>
    <sheetView zoomScale="80" zoomScaleNormal="80" zoomScalePageLayoutView="80" workbookViewId="0">
      <selection activeCell="E27" sqref="E27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5" width="16.42578125" customWidth="1"/>
    <col min="16" max="16" width="17.7109375" customWidth="1"/>
    <col min="17" max="17" width="18" customWidth="1"/>
    <col min="18" max="18" width="18.28515625" customWidth="1"/>
  </cols>
  <sheetData>
    <row r="1" spans="1:17" ht="18.75">
      <c r="D1" s="251" t="s">
        <v>587</v>
      </c>
      <c r="E1" s="251"/>
      <c r="F1" s="251"/>
      <c r="G1" s="251"/>
      <c r="H1" s="251"/>
      <c r="I1" s="251"/>
      <c r="J1" s="251"/>
      <c r="K1" s="251"/>
    </row>
    <row r="2" spans="1:17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7">
      <c r="D3" s="57"/>
      <c r="E3" s="57"/>
      <c r="F3" s="57"/>
      <c r="G3" s="57"/>
      <c r="H3" s="57"/>
      <c r="I3" s="57"/>
      <c r="J3" s="57"/>
      <c r="K3" s="252"/>
      <c r="L3" s="252"/>
      <c r="M3" s="252"/>
      <c r="N3" s="252"/>
      <c r="O3" s="252"/>
      <c r="P3" s="252"/>
    </row>
    <row r="4" spans="1:17" ht="17.25">
      <c r="K4" s="190"/>
      <c r="L4" s="190"/>
      <c r="M4" s="190"/>
      <c r="N4" s="190"/>
      <c r="O4" s="190"/>
      <c r="P4" s="190"/>
      <c r="Q4" s="195"/>
    </row>
    <row r="5" spans="1:17" ht="45">
      <c r="K5" s="1" t="s">
        <v>2</v>
      </c>
      <c r="L5" s="1" t="s">
        <v>284</v>
      </c>
      <c r="M5" s="1" t="s">
        <v>127</v>
      </c>
      <c r="N5" s="1" t="s">
        <v>305</v>
      </c>
      <c r="O5" s="1" t="s">
        <v>95</v>
      </c>
      <c r="P5" s="1" t="s">
        <v>6</v>
      </c>
      <c r="Q5" s="1" t="s">
        <v>7</v>
      </c>
    </row>
    <row r="6" spans="1:17">
      <c r="A6" s="86" t="s">
        <v>8</v>
      </c>
    </row>
    <row r="7" spans="1:17">
      <c r="B7" t="s">
        <v>9</v>
      </c>
      <c r="K7" s="72">
        <v>1865478</v>
      </c>
      <c r="L7" s="73">
        <v>11230</v>
      </c>
      <c r="M7" s="73">
        <v>1018058</v>
      </c>
      <c r="N7" s="73">
        <v>1393007</v>
      </c>
      <c r="O7" s="73">
        <v>3191359</v>
      </c>
      <c r="P7" s="73">
        <v>677281</v>
      </c>
      <c r="Q7" s="73">
        <f>SUM(K7:P7)</f>
        <v>8156413</v>
      </c>
    </row>
    <row r="8" spans="1:17">
      <c r="B8" t="s">
        <v>58</v>
      </c>
      <c r="K8" s="74">
        <v>1080288</v>
      </c>
      <c r="L8" s="73">
        <v>125819</v>
      </c>
      <c r="M8" s="73">
        <v>55379</v>
      </c>
      <c r="N8" s="73"/>
      <c r="O8" s="73">
        <v>1306290</v>
      </c>
      <c r="P8" s="73">
        <v>230476</v>
      </c>
      <c r="Q8" s="73">
        <f>SUM(K8:P8)</f>
        <v>2798252</v>
      </c>
    </row>
    <row r="9" spans="1:17">
      <c r="K9" s="73"/>
      <c r="L9" s="73"/>
      <c r="M9" s="73"/>
      <c r="N9" s="73"/>
      <c r="O9" s="73"/>
      <c r="P9" s="73"/>
      <c r="Q9" s="73"/>
    </row>
    <row r="10" spans="1:17" s="3" customFormat="1">
      <c r="A10" s="2"/>
      <c r="B10" s="2"/>
      <c r="C10" s="2"/>
      <c r="D10" s="2"/>
      <c r="E10" s="2" t="s">
        <v>62</v>
      </c>
      <c r="K10" s="76">
        <f t="shared" ref="K10:Q10" si="0">SUM(K7:K8)</f>
        <v>2945766</v>
      </c>
      <c r="L10" s="76">
        <f t="shared" si="0"/>
        <v>137049</v>
      </c>
      <c r="M10" s="76">
        <f t="shared" si="0"/>
        <v>1073437</v>
      </c>
      <c r="N10" s="76">
        <f t="shared" si="0"/>
        <v>1393007</v>
      </c>
      <c r="O10" s="76">
        <f t="shared" si="0"/>
        <v>4497649</v>
      </c>
      <c r="P10" s="76">
        <f t="shared" si="0"/>
        <v>907757</v>
      </c>
      <c r="Q10" s="76">
        <f t="shared" si="0"/>
        <v>10954665</v>
      </c>
    </row>
    <row r="11" spans="1:17">
      <c r="K11" s="73"/>
      <c r="L11" s="73"/>
      <c r="M11" s="73"/>
      <c r="N11" s="73"/>
      <c r="O11" s="73"/>
      <c r="P11" s="73"/>
      <c r="Q11" s="73"/>
    </row>
    <row r="12" spans="1:17">
      <c r="A12" s="197" t="s">
        <v>588</v>
      </c>
      <c r="K12" s="73"/>
      <c r="L12" s="73"/>
      <c r="M12" s="73"/>
      <c r="N12" s="73"/>
      <c r="O12" s="73"/>
      <c r="P12" s="73"/>
      <c r="Q12" s="73"/>
    </row>
    <row r="13" spans="1:17">
      <c r="C13" t="s">
        <v>21</v>
      </c>
      <c r="K13" s="77">
        <v>56121</v>
      </c>
      <c r="L13" s="73">
        <v>159525</v>
      </c>
      <c r="M13" s="73">
        <v>117544</v>
      </c>
      <c r="N13" s="73">
        <v>5913</v>
      </c>
      <c r="O13" s="73">
        <v>20791</v>
      </c>
      <c r="P13" s="73">
        <v>31825</v>
      </c>
      <c r="Q13" s="73">
        <f>SUM(K13:P13)</f>
        <v>391719</v>
      </c>
    </row>
    <row r="14" spans="1:17">
      <c r="C14" t="s">
        <v>589</v>
      </c>
      <c r="K14" s="77">
        <v>62400</v>
      </c>
      <c r="L14" s="73"/>
      <c r="M14" s="73"/>
      <c r="N14" s="73"/>
      <c r="O14" s="73"/>
      <c r="P14" s="73"/>
      <c r="Q14" s="73">
        <f>SUM(K14:P14)</f>
        <v>62400</v>
      </c>
    </row>
    <row r="15" spans="1:17">
      <c r="K15" s="73"/>
      <c r="L15" s="73"/>
      <c r="M15" s="73"/>
      <c r="N15" s="73"/>
      <c r="O15" s="73"/>
      <c r="P15" s="73"/>
      <c r="Q15" s="73"/>
    </row>
    <row r="16" spans="1:17" s="5" customFormat="1">
      <c r="B16" s="6"/>
      <c r="C16" s="6"/>
      <c r="D16" s="6"/>
      <c r="E16" s="6" t="s">
        <v>26</v>
      </c>
      <c r="K16" s="79">
        <f>SUM(K13:K14)</f>
        <v>118521</v>
      </c>
      <c r="L16" s="79">
        <f>SUM(L13:L14)</f>
        <v>159525</v>
      </c>
      <c r="M16" s="79">
        <f t="shared" ref="M16:P16" si="1">SUM(M13:M14)</f>
        <v>117544</v>
      </c>
      <c r="N16" s="79">
        <f t="shared" si="1"/>
        <v>5913</v>
      </c>
      <c r="O16" s="79">
        <f t="shared" si="1"/>
        <v>20791</v>
      </c>
      <c r="P16" s="79">
        <f t="shared" si="1"/>
        <v>31825</v>
      </c>
      <c r="Q16" s="79">
        <f>SUM(Q13:Q14)</f>
        <v>454119</v>
      </c>
    </row>
    <row r="17" spans="1:17">
      <c r="K17" s="73"/>
      <c r="L17" s="73"/>
      <c r="M17" s="73"/>
      <c r="N17" s="73"/>
      <c r="O17" s="73"/>
      <c r="P17" s="73"/>
      <c r="Q17" s="73"/>
    </row>
    <row r="18" spans="1:17">
      <c r="A18" s="86" t="s">
        <v>590</v>
      </c>
      <c r="K18" s="73"/>
      <c r="L18" s="73"/>
      <c r="M18" s="73"/>
      <c r="N18" s="73"/>
      <c r="O18" s="73"/>
      <c r="P18" s="73"/>
      <c r="Q18" s="73"/>
    </row>
    <row r="19" spans="1:17">
      <c r="C19" t="s">
        <v>141</v>
      </c>
      <c r="K19" s="73">
        <v>1095007</v>
      </c>
      <c r="L19" s="73"/>
      <c r="M19" s="73"/>
      <c r="N19" s="73"/>
      <c r="O19" s="73">
        <v>1337831</v>
      </c>
      <c r="P19" s="73">
        <v>234673</v>
      </c>
      <c r="Q19" s="73">
        <f>SUM(K19:P19)</f>
        <v>2667511</v>
      </c>
    </row>
    <row r="20" spans="1:17">
      <c r="K20" s="73"/>
      <c r="L20" s="73"/>
      <c r="M20" s="73"/>
      <c r="N20" s="73"/>
      <c r="O20" s="73"/>
      <c r="P20" s="73"/>
      <c r="Q20" s="73"/>
    </row>
    <row r="21" spans="1:17">
      <c r="A21" s="86" t="s">
        <v>30</v>
      </c>
      <c r="K21" s="73"/>
      <c r="L21" s="73"/>
      <c r="M21" s="73"/>
      <c r="N21" s="73"/>
      <c r="O21" s="73"/>
      <c r="P21" s="73"/>
      <c r="Q21" s="73"/>
    </row>
    <row r="22" spans="1:17">
      <c r="C22" t="s">
        <v>591</v>
      </c>
      <c r="K22" s="73"/>
      <c r="L22" s="73"/>
      <c r="M22" s="73">
        <v>955893</v>
      </c>
      <c r="N22" s="73">
        <v>1387094</v>
      </c>
      <c r="O22" s="73">
        <v>3139027</v>
      </c>
      <c r="P22" s="73">
        <v>641259</v>
      </c>
      <c r="Q22" s="73">
        <f>SUM(K22:P22)</f>
        <v>6123273</v>
      </c>
    </row>
    <row r="23" spans="1:17">
      <c r="C23" t="s">
        <v>108</v>
      </c>
      <c r="K23" s="84">
        <v>1732238</v>
      </c>
      <c r="L23" s="73">
        <v>-22476</v>
      </c>
      <c r="M23" s="73"/>
      <c r="N23" s="73"/>
      <c r="O23" s="73"/>
      <c r="P23" s="73"/>
      <c r="Q23" s="73">
        <f>SUM(K23:P23)</f>
        <v>1709762</v>
      </c>
    </row>
    <row r="24" spans="1:17">
      <c r="K24" s="73"/>
      <c r="L24" s="73"/>
      <c r="M24" s="73"/>
      <c r="N24" s="73"/>
      <c r="O24" s="73"/>
      <c r="P24" s="73"/>
      <c r="Q24" s="73"/>
    </row>
    <row r="25" spans="1:17" s="5" customFormat="1">
      <c r="D25" s="6"/>
      <c r="E25" s="6" t="s">
        <v>47</v>
      </c>
      <c r="K25" s="79">
        <f>SUM(K22:K23)</f>
        <v>1732238</v>
      </c>
      <c r="L25" s="79">
        <f>SUM(L22:L23)</f>
        <v>-22476</v>
      </c>
      <c r="M25" s="79">
        <f t="shared" ref="M25:P25" si="2">SUM(M22:M23)</f>
        <v>955893</v>
      </c>
      <c r="N25" s="79">
        <f t="shared" si="2"/>
        <v>1387094</v>
      </c>
      <c r="O25" s="79">
        <f t="shared" si="2"/>
        <v>3139027</v>
      </c>
      <c r="P25" s="79">
        <f t="shared" si="2"/>
        <v>641259</v>
      </c>
      <c r="Q25" s="79">
        <f>SUM(Q22:Q24)</f>
        <v>7833035</v>
      </c>
    </row>
    <row r="26" spans="1:17">
      <c r="K26" s="73"/>
      <c r="L26" s="73"/>
      <c r="M26" s="73"/>
      <c r="N26" s="73"/>
      <c r="O26" s="73"/>
      <c r="P26" s="73"/>
      <c r="Q26" s="73"/>
    </row>
    <row r="27" spans="1:17" s="7" customFormat="1">
      <c r="D27" s="8"/>
      <c r="E27" s="8" t="s">
        <v>125</v>
      </c>
      <c r="K27" s="81">
        <f>SUM(K16+K19+K25)</f>
        <v>2945766</v>
      </c>
      <c r="L27" s="81">
        <f t="shared" ref="L27:Q27" si="3">SUM(L16+L19+L25)</f>
        <v>137049</v>
      </c>
      <c r="M27" s="81">
        <f t="shared" si="3"/>
        <v>1073437</v>
      </c>
      <c r="N27" s="81">
        <f t="shared" si="3"/>
        <v>1393007</v>
      </c>
      <c r="O27" s="81">
        <f t="shared" si="3"/>
        <v>4497649</v>
      </c>
      <c r="P27" s="81">
        <f t="shared" si="3"/>
        <v>907757</v>
      </c>
      <c r="Q27" s="81">
        <f t="shared" si="3"/>
        <v>10954665</v>
      </c>
    </row>
  </sheetData>
  <mergeCells count="3">
    <mergeCell ref="D1:K1"/>
    <mergeCell ref="D2:K2"/>
    <mergeCell ref="K3:P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61"/>
  <sheetViews>
    <sheetView topLeftCell="A10" zoomScale="70" zoomScaleNormal="70" zoomScalePageLayoutView="70" workbookViewId="0">
      <selection activeCell="K7" sqref="K7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6.4257812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4" width="16.42578125" customWidth="1"/>
    <col min="15" max="16" width="18.140625" customWidth="1"/>
    <col min="17" max="17" width="18.28515625" customWidth="1"/>
  </cols>
  <sheetData>
    <row r="1" spans="1:16" ht="18.75">
      <c r="D1" s="251" t="s">
        <v>592</v>
      </c>
      <c r="E1" s="251"/>
      <c r="F1" s="251"/>
      <c r="G1" s="251"/>
      <c r="H1" s="251"/>
      <c r="I1" s="251"/>
      <c r="J1" s="251"/>
      <c r="K1" s="251"/>
    </row>
    <row r="2" spans="1:16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6" ht="16.5" customHeight="1">
      <c r="D3" s="57"/>
      <c r="E3" s="57"/>
      <c r="F3" s="57"/>
      <c r="G3" s="57"/>
      <c r="H3" s="57"/>
      <c r="I3" s="57"/>
      <c r="J3" s="57"/>
      <c r="K3" s="252"/>
      <c r="L3" s="252"/>
      <c r="M3" s="252"/>
      <c r="N3" s="57"/>
    </row>
    <row r="4" spans="1:16" ht="15" customHeight="1">
      <c r="K4" s="190"/>
      <c r="L4" s="201"/>
      <c r="M4" s="201" t="s">
        <v>526</v>
      </c>
      <c r="N4" s="201"/>
    </row>
    <row r="5" spans="1:16" ht="45">
      <c r="K5" s="1" t="s">
        <v>2</v>
      </c>
      <c r="L5" s="1" t="s">
        <v>593</v>
      </c>
      <c r="M5" s="1" t="s">
        <v>594</v>
      </c>
      <c r="N5" s="1" t="s">
        <v>595</v>
      </c>
      <c r="O5" s="1" t="s">
        <v>596</v>
      </c>
      <c r="P5" s="1" t="s">
        <v>307</v>
      </c>
    </row>
    <row r="6" spans="1:16">
      <c r="A6" s="86" t="s">
        <v>8</v>
      </c>
    </row>
    <row r="7" spans="1:16">
      <c r="B7" t="s">
        <v>85</v>
      </c>
      <c r="K7" s="72">
        <v>6265640</v>
      </c>
      <c r="L7" s="73">
        <v>276311</v>
      </c>
      <c r="M7" s="73">
        <v>10022048</v>
      </c>
      <c r="N7" s="73">
        <v>969513</v>
      </c>
      <c r="O7" s="73">
        <v>16074547</v>
      </c>
      <c r="P7" s="73">
        <f>SUM(K7:O7)</f>
        <v>33608059</v>
      </c>
    </row>
    <row r="8" spans="1:16">
      <c r="B8" t="s">
        <v>597</v>
      </c>
      <c r="K8" s="77">
        <v>4229000</v>
      </c>
      <c r="L8" s="73"/>
      <c r="M8" s="73"/>
      <c r="N8" s="73"/>
      <c r="O8" s="73"/>
      <c r="P8" s="73">
        <f t="shared" ref="P8:P17" si="0">SUM(K8:O8)</f>
        <v>4229000</v>
      </c>
    </row>
    <row r="9" spans="1:16">
      <c r="B9" t="s">
        <v>533</v>
      </c>
      <c r="K9" s="73"/>
      <c r="L9" s="73"/>
      <c r="M9" s="73"/>
      <c r="N9" s="73"/>
      <c r="O9" s="73"/>
      <c r="P9" s="73">
        <f t="shared" si="0"/>
        <v>0</v>
      </c>
    </row>
    <row r="10" spans="1:16">
      <c r="C10" t="s">
        <v>598</v>
      </c>
      <c r="K10" s="74">
        <v>1972145</v>
      </c>
      <c r="L10" s="73"/>
      <c r="M10" s="73"/>
      <c r="N10" s="73"/>
      <c r="O10" s="73">
        <v>657382</v>
      </c>
      <c r="P10" s="73">
        <f t="shared" si="0"/>
        <v>2629527</v>
      </c>
    </row>
    <row r="11" spans="1:16">
      <c r="C11" t="s">
        <v>141</v>
      </c>
      <c r="K11" s="74">
        <v>878056</v>
      </c>
      <c r="L11" s="73"/>
      <c r="M11" s="73"/>
      <c r="N11" s="73">
        <v>8775527</v>
      </c>
      <c r="O11" s="73">
        <v>3526171</v>
      </c>
      <c r="P11" s="73">
        <f t="shared" si="0"/>
        <v>13179754</v>
      </c>
    </row>
    <row r="12" spans="1:16">
      <c r="C12" t="s">
        <v>599</v>
      </c>
      <c r="K12" s="74">
        <v>92741</v>
      </c>
      <c r="L12" s="73"/>
      <c r="M12" s="73"/>
      <c r="N12" s="73"/>
      <c r="O12" s="73"/>
      <c r="P12" s="73">
        <f t="shared" si="0"/>
        <v>92741</v>
      </c>
    </row>
    <row r="13" spans="1:16">
      <c r="C13" t="s">
        <v>404</v>
      </c>
      <c r="K13" s="74">
        <v>868332</v>
      </c>
      <c r="L13" s="73">
        <v>2349717</v>
      </c>
      <c r="M13" s="73">
        <v>13607598</v>
      </c>
      <c r="N13" s="73">
        <v>385738</v>
      </c>
      <c r="O13" s="73">
        <v>5254041</v>
      </c>
      <c r="P13" s="73">
        <f t="shared" si="0"/>
        <v>22465426</v>
      </c>
    </row>
    <row r="14" spans="1:16">
      <c r="C14" t="s">
        <v>600</v>
      </c>
      <c r="K14" s="74">
        <v>74702</v>
      </c>
      <c r="L14" s="73"/>
      <c r="M14" s="73"/>
      <c r="N14" s="73"/>
      <c r="O14" s="73"/>
      <c r="P14" s="73">
        <f t="shared" si="0"/>
        <v>74702</v>
      </c>
    </row>
    <row r="15" spans="1:16">
      <c r="C15" t="s">
        <v>45</v>
      </c>
      <c r="K15" s="74">
        <v>54105</v>
      </c>
      <c r="L15" s="73"/>
      <c r="M15" s="73"/>
      <c r="N15" s="73"/>
      <c r="O15" s="73">
        <v>543718</v>
      </c>
      <c r="P15" s="73">
        <f t="shared" si="0"/>
        <v>597823</v>
      </c>
    </row>
    <row r="16" spans="1:16">
      <c r="B16" t="s">
        <v>16</v>
      </c>
      <c r="K16" s="75">
        <v>4549014</v>
      </c>
      <c r="L16" s="73"/>
      <c r="M16" s="73">
        <v>12450962</v>
      </c>
      <c r="N16" s="73"/>
      <c r="O16" s="73">
        <v>3599138</v>
      </c>
      <c r="P16" s="73">
        <f t="shared" si="0"/>
        <v>20599114</v>
      </c>
    </row>
    <row r="17" spans="1:16">
      <c r="B17" t="s">
        <v>601</v>
      </c>
      <c r="K17" s="83">
        <v>98722</v>
      </c>
      <c r="L17" s="73"/>
      <c r="M17" s="73"/>
      <c r="N17" s="73">
        <v>20296</v>
      </c>
      <c r="O17" s="73">
        <v>89552</v>
      </c>
      <c r="P17" s="73">
        <f t="shared" si="0"/>
        <v>208570</v>
      </c>
    </row>
    <row r="18" spans="1:16">
      <c r="K18" s="73"/>
      <c r="L18" s="73"/>
      <c r="M18" s="73"/>
      <c r="N18" s="73"/>
      <c r="O18" s="73"/>
      <c r="P18" s="73"/>
    </row>
    <row r="19" spans="1:16" s="3" customFormat="1">
      <c r="A19" s="2"/>
      <c r="B19" s="2"/>
      <c r="C19" s="2"/>
      <c r="D19" s="2"/>
      <c r="E19" s="2" t="s">
        <v>62</v>
      </c>
      <c r="K19" s="76">
        <f>SUM(K7:K17)</f>
        <v>19082457</v>
      </c>
      <c r="L19" s="76">
        <f>SUM(L7:L16)</f>
        <v>2626028</v>
      </c>
      <c r="M19" s="76">
        <f>SUM(M7:M16)</f>
        <v>36080608</v>
      </c>
      <c r="N19" s="76">
        <f>SUM(N7:N17)</f>
        <v>10151074</v>
      </c>
      <c r="O19" s="76">
        <f>SUM(O7:O17)</f>
        <v>29744549</v>
      </c>
      <c r="P19" s="76">
        <f>SUM(P7:P17)</f>
        <v>97684716</v>
      </c>
    </row>
    <row r="20" spans="1:16">
      <c r="K20" s="73"/>
      <c r="L20" s="73"/>
      <c r="M20" s="73"/>
      <c r="N20" s="73"/>
      <c r="O20" s="73"/>
      <c r="P20" s="73"/>
    </row>
    <row r="21" spans="1:16">
      <c r="A21" s="4" t="s">
        <v>19</v>
      </c>
      <c r="K21" s="73"/>
      <c r="L21" s="73"/>
      <c r="M21" s="73"/>
      <c r="N21" s="73"/>
      <c r="O21" s="73"/>
      <c r="P21" s="73"/>
    </row>
    <row r="22" spans="1:16">
      <c r="C22" t="s">
        <v>21</v>
      </c>
      <c r="K22" s="77">
        <v>1548427</v>
      </c>
      <c r="L22" s="73">
        <v>994984</v>
      </c>
      <c r="M22" s="73">
        <v>12042292</v>
      </c>
      <c r="N22" s="73">
        <v>459178</v>
      </c>
      <c r="O22" s="73">
        <v>4249881</v>
      </c>
      <c r="P22" s="73">
        <f>SUM(K22:O22)</f>
        <v>19294762</v>
      </c>
    </row>
    <row r="23" spans="1:16">
      <c r="C23" t="s">
        <v>22</v>
      </c>
      <c r="K23" s="77">
        <v>21091</v>
      </c>
      <c r="L23" s="73">
        <v>1564987</v>
      </c>
      <c r="M23" s="73">
        <v>3786329</v>
      </c>
      <c r="N23" s="73"/>
      <c r="O23" s="73">
        <v>90869</v>
      </c>
      <c r="P23" s="73">
        <f>SUM(K23:O23)</f>
        <v>5463276</v>
      </c>
    </row>
    <row r="24" spans="1:16">
      <c r="C24" t="s">
        <v>602</v>
      </c>
      <c r="K24" s="77">
        <v>573408</v>
      </c>
      <c r="L24" s="73"/>
      <c r="M24" s="73"/>
      <c r="N24" s="73">
        <v>519387</v>
      </c>
      <c r="O24" s="73">
        <v>450588</v>
      </c>
      <c r="P24" s="73">
        <f t="shared" ref="P24:P27" si="1">SUM(K24:O24)</f>
        <v>1543383</v>
      </c>
    </row>
    <row r="25" spans="1:16">
      <c r="C25" t="s">
        <v>25</v>
      </c>
      <c r="K25" s="78">
        <v>6171546</v>
      </c>
      <c r="L25" s="73">
        <v>213515</v>
      </c>
      <c r="M25" s="73">
        <v>12514280</v>
      </c>
      <c r="N25" s="73">
        <v>615248</v>
      </c>
      <c r="O25" s="73">
        <v>4335331</v>
      </c>
      <c r="P25" s="73">
        <f t="shared" si="1"/>
        <v>23849920</v>
      </c>
    </row>
    <row r="26" spans="1:16">
      <c r="C26" t="s">
        <v>603</v>
      </c>
      <c r="K26" s="78">
        <v>69188</v>
      </c>
      <c r="L26" s="73"/>
      <c r="M26" s="73"/>
      <c r="N26" s="73"/>
      <c r="O26" s="73"/>
      <c r="P26" s="73">
        <f t="shared" si="1"/>
        <v>69188</v>
      </c>
    </row>
    <row r="27" spans="1:16">
      <c r="C27" t="s">
        <v>604</v>
      </c>
      <c r="K27" s="82">
        <v>1984485</v>
      </c>
      <c r="L27" s="73"/>
      <c r="M27" s="73"/>
      <c r="N27" s="73">
        <v>4776447</v>
      </c>
      <c r="O27" s="73"/>
      <c r="P27" s="73">
        <f t="shared" si="1"/>
        <v>6760932</v>
      </c>
    </row>
    <row r="28" spans="1:16">
      <c r="K28" s="73"/>
      <c r="L28" s="73"/>
      <c r="M28" s="73"/>
      <c r="N28" s="73"/>
      <c r="O28" s="73"/>
      <c r="P28" s="73"/>
    </row>
    <row r="29" spans="1:16" s="5" customFormat="1">
      <c r="B29" s="6"/>
      <c r="C29" s="6"/>
      <c r="D29" s="6"/>
      <c r="E29" s="6" t="s">
        <v>26</v>
      </c>
      <c r="K29" s="79">
        <f t="shared" ref="K29:P29" si="2">SUM(K22:K27)</f>
        <v>10368145</v>
      </c>
      <c r="L29" s="79">
        <f t="shared" si="2"/>
        <v>2773486</v>
      </c>
      <c r="M29" s="79">
        <f t="shared" si="2"/>
        <v>28342901</v>
      </c>
      <c r="N29" s="79">
        <f t="shared" si="2"/>
        <v>6370260</v>
      </c>
      <c r="O29" s="79">
        <f t="shared" si="2"/>
        <v>9126669</v>
      </c>
      <c r="P29" s="79">
        <f t="shared" si="2"/>
        <v>56981461</v>
      </c>
    </row>
    <row r="30" spans="1:16">
      <c r="K30" s="73"/>
      <c r="L30" s="73"/>
      <c r="M30" s="73"/>
      <c r="N30" s="73"/>
      <c r="O30" s="73"/>
      <c r="P30" s="73"/>
    </row>
    <row r="31" spans="1:16">
      <c r="A31" s="86" t="s">
        <v>590</v>
      </c>
      <c r="K31" s="73"/>
      <c r="L31" s="73"/>
      <c r="M31" s="73"/>
      <c r="N31" s="73"/>
      <c r="O31" s="73"/>
      <c r="P31" s="73"/>
    </row>
    <row r="32" spans="1:16">
      <c r="B32" t="s">
        <v>560</v>
      </c>
      <c r="K32" s="85">
        <v>4625602</v>
      </c>
      <c r="L32" s="85">
        <v>2330543</v>
      </c>
      <c r="M32" s="85">
        <v>9838302</v>
      </c>
      <c r="N32" s="85">
        <v>194090</v>
      </c>
      <c r="O32" s="85">
        <v>4062728</v>
      </c>
      <c r="P32" s="85">
        <f>SUM(K32:O32)</f>
        <v>21051265</v>
      </c>
    </row>
    <row r="33" spans="2:16">
      <c r="B33" s="86"/>
      <c r="E33" t="s">
        <v>29</v>
      </c>
      <c r="K33" s="73">
        <f>SUM(K32)</f>
        <v>4625602</v>
      </c>
      <c r="L33" s="73">
        <f t="shared" ref="L33:P33" si="3">SUM(L32)</f>
        <v>2330543</v>
      </c>
      <c r="M33" s="73">
        <f t="shared" si="3"/>
        <v>9838302</v>
      </c>
      <c r="N33" s="73">
        <f t="shared" si="3"/>
        <v>194090</v>
      </c>
      <c r="O33" s="73">
        <f t="shared" si="3"/>
        <v>4062728</v>
      </c>
      <c r="P33" s="73">
        <f t="shared" si="3"/>
        <v>21051265</v>
      </c>
    </row>
    <row r="34" spans="2:16">
      <c r="K34" s="73"/>
      <c r="L34" s="73"/>
      <c r="M34" s="73"/>
      <c r="N34" s="73"/>
      <c r="O34" s="73"/>
      <c r="P34" s="73"/>
    </row>
    <row r="35" spans="2:16">
      <c r="B35" s="86" t="s">
        <v>30</v>
      </c>
      <c r="K35" s="73"/>
      <c r="L35" s="73"/>
      <c r="M35" s="73"/>
      <c r="N35" s="73"/>
      <c r="O35" s="73"/>
      <c r="P35" s="73"/>
    </row>
    <row r="36" spans="2:16">
      <c r="C36" t="s">
        <v>605</v>
      </c>
      <c r="K36" s="73"/>
      <c r="L36" s="73"/>
      <c r="M36" s="73"/>
      <c r="N36" s="73"/>
      <c r="O36" s="73"/>
      <c r="P36" s="73"/>
    </row>
    <row r="37" spans="2:16">
      <c r="D37" t="s">
        <v>100</v>
      </c>
      <c r="K37" s="80">
        <v>98722</v>
      </c>
      <c r="L37" s="73"/>
      <c r="M37" s="73"/>
      <c r="N37" s="73"/>
      <c r="O37" s="73">
        <v>89552</v>
      </c>
      <c r="P37" s="73">
        <f>SUM(K37:O37)</f>
        <v>188274</v>
      </c>
    </row>
    <row r="38" spans="2:16">
      <c r="C38" t="s">
        <v>88</v>
      </c>
      <c r="K38" s="73"/>
      <c r="L38" s="73"/>
      <c r="M38" s="73"/>
      <c r="N38" s="73"/>
      <c r="O38" s="73"/>
      <c r="P38" s="73"/>
    </row>
    <row r="39" spans="2:16">
      <c r="D39" t="s">
        <v>606</v>
      </c>
      <c r="K39" s="80">
        <v>91185</v>
      </c>
      <c r="L39" s="73"/>
      <c r="M39" s="73"/>
      <c r="N39" s="73"/>
      <c r="O39" s="73"/>
      <c r="P39" s="73">
        <f>SUM(K39:O39)</f>
        <v>91185</v>
      </c>
    </row>
    <row r="40" spans="2:16">
      <c r="D40" t="s">
        <v>73</v>
      </c>
      <c r="K40" s="73"/>
      <c r="L40" s="73"/>
      <c r="M40" s="73"/>
      <c r="N40" s="73"/>
      <c r="O40" s="73">
        <v>3497452</v>
      </c>
      <c r="P40" s="73">
        <f>SUM(K40:O40)</f>
        <v>3497452</v>
      </c>
    </row>
    <row r="41" spans="2:16">
      <c r="D41" t="s">
        <v>607</v>
      </c>
      <c r="K41" s="80">
        <v>3070696</v>
      </c>
      <c r="L41" s="73"/>
      <c r="M41" s="73"/>
      <c r="N41" s="73"/>
      <c r="O41" s="73">
        <v>2299933</v>
      </c>
      <c r="P41" s="73">
        <f t="shared" ref="P41:P51" si="4">SUM(K41:O41)</f>
        <v>5370629</v>
      </c>
    </row>
    <row r="42" spans="2:16">
      <c r="D42" t="s">
        <v>608</v>
      </c>
      <c r="K42" s="73"/>
      <c r="L42" s="73"/>
      <c r="M42" s="73"/>
      <c r="N42" s="73"/>
      <c r="O42" s="73">
        <v>344708</v>
      </c>
      <c r="P42" s="73">
        <f t="shared" si="4"/>
        <v>344708</v>
      </c>
    </row>
    <row r="43" spans="2:16">
      <c r="D43" t="s">
        <v>609</v>
      </c>
      <c r="K43" s="73"/>
      <c r="L43" s="73"/>
      <c r="M43" s="73"/>
      <c r="N43" s="73"/>
      <c r="O43" s="73">
        <v>48163</v>
      </c>
      <c r="P43" s="73">
        <f t="shared" si="4"/>
        <v>48163</v>
      </c>
    </row>
    <row r="44" spans="2:16">
      <c r="D44" t="s">
        <v>610</v>
      </c>
      <c r="K44" s="73"/>
      <c r="L44" s="73"/>
      <c r="M44" s="73"/>
      <c r="N44" s="73"/>
      <c r="O44" s="73">
        <v>946612</v>
      </c>
      <c r="P44" s="73">
        <f t="shared" si="4"/>
        <v>946612</v>
      </c>
    </row>
    <row r="45" spans="2:16">
      <c r="D45" t="s">
        <v>611</v>
      </c>
      <c r="K45" s="73"/>
      <c r="L45" s="73"/>
      <c r="M45" s="73"/>
      <c r="N45" s="73"/>
      <c r="O45" s="73">
        <v>514849</v>
      </c>
      <c r="P45" s="73">
        <f t="shared" si="4"/>
        <v>514849</v>
      </c>
    </row>
    <row r="46" spans="2:16">
      <c r="D46" t="s">
        <v>612</v>
      </c>
      <c r="K46" s="73"/>
      <c r="L46" s="73"/>
      <c r="M46" s="73"/>
      <c r="N46" s="73"/>
      <c r="O46" s="73">
        <v>263046</v>
      </c>
      <c r="P46" s="73">
        <f t="shared" si="4"/>
        <v>263046</v>
      </c>
    </row>
    <row r="47" spans="2:16">
      <c r="D47" t="s">
        <v>613</v>
      </c>
      <c r="K47" s="73"/>
      <c r="L47" s="73"/>
      <c r="M47" s="73"/>
      <c r="N47" s="73"/>
      <c r="O47" s="73">
        <v>41769</v>
      </c>
      <c r="P47" s="73">
        <f t="shared" si="4"/>
        <v>41769</v>
      </c>
    </row>
    <row r="48" spans="2:16">
      <c r="D48" t="s">
        <v>70</v>
      </c>
      <c r="K48" s="73"/>
      <c r="L48" s="73"/>
      <c r="M48" s="73"/>
      <c r="N48" s="73">
        <v>3586724</v>
      </c>
      <c r="O48" s="73"/>
      <c r="P48" s="73">
        <f t="shared" si="4"/>
        <v>3586724</v>
      </c>
    </row>
    <row r="49" spans="3:16">
      <c r="D49" t="s">
        <v>614</v>
      </c>
      <c r="K49" s="73"/>
      <c r="L49" s="73"/>
      <c r="M49" s="73"/>
      <c r="N49" s="73"/>
      <c r="O49" s="73">
        <v>989788</v>
      </c>
      <c r="P49" s="73">
        <f t="shared" si="4"/>
        <v>989788</v>
      </c>
    </row>
    <row r="50" spans="3:16">
      <c r="D50" t="s">
        <v>615</v>
      </c>
      <c r="K50" s="80">
        <v>242786</v>
      </c>
      <c r="L50" s="73"/>
      <c r="M50" s="73"/>
      <c r="N50" s="73"/>
      <c r="O50" s="73"/>
      <c r="P50" s="73">
        <f t="shared" si="4"/>
        <v>242786</v>
      </c>
    </row>
    <row r="51" spans="3:16">
      <c r="C51" t="s">
        <v>616</v>
      </c>
      <c r="K51" s="73"/>
      <c r="L51" s="73"/>
      <c r="M51" s="73"/>
      <c r="N51" s="73"/>
      <c r="O51" s="73"/>
      <c r="P51" s="73">
        <f t="shared" si="4"/>
        <v>0</v>
      </c>
    </row>
    <row r="52" spans="3:16">
      <c r="D52" t="s">
        <v>614</v>
      </c>
      <c r="K52" s="73"/>
      <c r="L52" s="73"/>
      <c r="M52" s="73"/>
      <c r="N52" s="73"/>
      <c r="O52" s="73">
        <v>956733</v>
      </c>
      <c r="P52" s="73">
        <f>SUM(K52:O52)</f>
        <v>956733</v>
      </c>
    </row>
    <row r="53" spans="3:16">
      <c r="C53" t="s">
        <v>380</v>
      </c>
      <c r="K53" s="73"/>
      <c r="L53" s="73"/>
      <c r="M53" s="73"/>
      <c r="N53" s="73"/>
      <c r="O53" s="73"/>
    </row>
    <row r="54" spans="3:16">
      <c r="D54" t="s">
        <v>617</v>
      </c>
      <c r="K54" s="80">
        <v>587321</v>
      </c>
      <c r="L54" s="73"/>
      <c r="M54" s="73"/>
      <c r="N54" s="73"/>
      <c r="O54" s="73"/>
      <c r="P54" s="73">
        <f>SUM(K54:O54)</f>
        <v>587321</v>
      </c>
    </row>
    <row r="55" spans="3:16">
      <c r="D55" t="s">
        <v>614</v>
      </c>
      <c r="K55" s="73"/>
      <c r="L55" s="73"/>
      <c r="M55" s="73"/>
      <c r="N55" s="73"/>
      <c r="O55" s="73">
        <v>887488</v>
      </c>
      <c r="P55" s="73">
        <f>SUM(K55:O55)</f>
        <v>887488</v>
      </c>
    </row>
    <row r="56" spans="3:16">
      <c r="D56" t="s">
        <v>618</v>
      </c>
      <c r="K56" s="73"/>
      <c r="L56" s="73"/>
      <c r="M56" s="73"/>
      <c r="N56" s="73"/>
      <c r="O56" s="73">
        <v>5778189</v>
      </c>
      <c r="P56" s="73">
        <f>SUM(K56:O56)</f>
        <v>5778189</v>
      </c>
    </row>
    <row r="57" spans="3:16">
      <c r="C57" t="s">
        <v>46</v>
      </c>
      <c r="K57" s="73"/>
      <c r="L57" s="73">
        <v>-2478001</v>
      </c>
      <c r="M57" s="73">
        <v>-2100595</v>
      </c>
      <c r="N57" s="73"/>
      <c r="O57" s="73">
        <v>-103130</v>
      </c>
      <c r="P57" s="73">
        <f>SUM(K57:O57)</f>
        <v>-4681726</v>
      </c>
    </row>
    <row r="58" spans="3:16">
      <c r="K58" s="73"/>
      <c r="L58" s="73"/>
      <c r="M58" s="73"/>
      <c r="N58" s="73"/>
      <c r="O58" s="73"/>
      <c r="P58" s="73"/>
    </row>
    <row r="59" spans="3:16" s="5" customFormat="1">
      <c r="D59" s="6"/>
      <c r="E59" s="6" t="s">
        <v>77</v>
      </c>
      <c r="K59" s="79">
        <f>SUM(K37:K57)</f>
        <v>4090710</v>
      </c>
      <c r="L59" s="79">
        <f>SUM(L38:L57)</f>
        <v>-2478001</v>
      </c>
      <c r="M59" s="79">
        <f>SUM(M38:M57)</f>
        <v>-2100595</v>
      </c>
      <c r="N59" s="79">
        <f>SUM(N37:N57)</f>
        <v>3586724</v>
      </c>
      <c r="O59" s="79">
        <f>SUM(O37:O57)</f>
        <v>16555152</v>
      </c>
      <c r="P59" s="79">
        <f>SUM(P37:P58)</f>
        <v>19653990</v>
      </c>
    </row>
    <row r="60" spans="3:16">
      <c r="K60" s="73"/>
      <c r="L60" s="73"/>
      <c r="M60" s="73"/>
      <c r="N60" s="73"/>
      <c r="O60" s="73"/>
      <c r="P60" s="73"/>
    </row>
    <row r="61" spans="3:16" s="7" customFormat="1">
      <c r="D61" s="8"/>
      <c r="E61" s="8" t="s">
        <v>619</v>
      </c>
      <c r="K61" s="81">
        <f t="shared" ref="K61:P61" si="5">SUM(K59,K29,K32)</f>
        <v>19084457</v>
      </c>
      <c r="L61" s="81">
        <f t="shared" si="5"/>
        <v>2626028</v>
      </c>
      <c r="M61" s="81">
        <f t="shared" si="5"/>
        <v>36080608</v>
      </c>
      <c r="N61" s="81">
        <f t="shared" si="5"/>
        <v>10151074</v>
      </c>
      <c r="O61" s="81">
        <f t="shared" si="5"/>
        <v>29744549</v>
      </c>
      <c r="P61" s="81">
        <f t="shared" si="5"/>
        <v>97686716</v>
      </c>
    </row>
  </sheetData>
  <mergeCells count="3">
    <mergeCell ref="D1:K1"/>
    <mergeCell ref="D2:K2"/>
    <mergeCell ref="K3:M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47"/>
  <sheetViews>
    <sheetView zoomScale="70" zoomScaleNormal="70" zoomScalePageLayoutView="70" workbookViewId="0">
      <selection activeCell="K9" sqref="K9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6" width="19.42578125" customWidth="1"/>
  </cols>
  <sheetData>
    <row r="1" spans="1:16" ht="18.75">
      <c r="D1" s="251" t="s">
        <v>620</v>
      </c>
      <c r="E1" s="251"/>
      <c r="F1" s="251"/>
      <c r="G1" s="251"/>
      <c r="H1" s="251"/>
      <c r="I1" s="251"/>
      <c r="J1" s="251"/>
      <c r="K1" s="251"/>
    </row>
    <row r="2" spans="1:16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6" ht="29.25" customHeight="1">
      <c r="D3" s="57"/>
      <c r="E3" s="57"/>
      <c r="F3" s="57"/>
      <c r="G3" s="57"/>
      <c r="H3" s="57"/>
      <c r="I3" s="57"/>
      <c r="J3" s="57"/>
      <c r="K3" s="86"/>
      <c r="L3" s="86"/>
      <c r="M3" s="86"/>
      <c r="N3" s="86"/>
      <c r="O3" s="86"/>
      <c r="P3" s="86"/>
    </row>
    <row r="4" spans="1:16" ht="28.5" customHeight="1">
      <c r="K4" s="190"/>
      <c r="L4" s="198"/>
      <c r="M4" s="198"/>
      <c r="N4" s="198"/>
      <c r="O4" s="198"/>
      <c r="P4" s="198"/>
    </row>
    <row r="5" spans="1:16" ht="45">
      <c r="K5" s="1" t="s">
        <v>2</v>
      </c>
      <c r="L5" s="1" t="s">
        <v>621</v>
      </c>
      <c r="M5" s="1" t="s">
        <v>622</v>
      </c>
      <c r="N5" s="1" t="s">
        <v>623</v>
      </c>
      <c r="O5" s="1" t="s">
        <v>56</v>
      </c>
      <c r="P5" s="1" t="s">
        <v>7</v>
      </c>
    </row>
    <row r="6" spans="1:16">
      <c r="A6" s="86" t="s">
        <v>8</v>
      </c>
    </row>
    <row r="7" spans="1:16">
      <c r="B7" t="s">
        <v>624</v>
      </c>
      <c r="K7" s="72">
        <v>1449461</v>
      </c>
      <c r="L7" s="73">
        <v>27940</v>
      </c>
      <c r="M7" s="73">
        <v>3959</v>
      </c>
      <c r="N7" s="199">
        <v>695</v>
      </c>
      <c r="O7" s="73">
        <v>222282</v>
      </c>
      <c r="P7" s="73">
        <f>SUM(K7:O7)</f>
        <v>1704337</v>
      </c>
    </row>
    <row r="8" spans="1:16">
      <c r="B8" t="s">
        <v>10</v>
      </c>
      <c r="K8" s="77">
        <v>41010050</v>
      </c>
      <c r="L8" s="73">
        <v>36816258</v>
      </c>
      <c r="M8" s="73">
        <v>758961</v>
      </c>
      <c r="N8" s="199">
        <v>4192183</v>
      </c>
      <c r="O8" s="73">
        <v>8358811</v>
      </c>
      <c r="P8" s="73">
        <f>SUM(K8:O8)</f>
        <v>91136263</v>
      </c>
    </row>
    <row r="9" spans="1:16">
      <c r="B9" t="s">
        <v>213</v>
      </c>
      <c r="K9" s="73"/>
      <c r="L9" s="73"/>
      <c r="M9" s="73"/>
      <c r="N9" s="199"/>
      <c r="O9" s="73"/>
      <c r="P9" s="73"/>
    </row>
    <row r="10" spans="1:16">
      <c r="C10" t="s">
        <v>152</v>
      </c>
      <c r="K10" s="74">
        <v>3887225</v>
      </c>
      <c r="L10" s="73">
        <v>7283945</v>
      </c>
      <c r="M10" s="73">
        <v>3641975</v>
      </c>
      <c r="N10" s="199">
        <v>2697763</v>
      </c>
      <c r="O10" s="73">
        <v>8151138</v>
      </c>
      <c r="P10" s="73">
        <f t="shared" ref="P10:P17" si="0">SUM(K10:O10)</f>
        <v>25662046</v>
      </c>
    </row>
    <row r="11" spans="1:16">
      <c r="C11" t="s">
        <v>181</v>
      </c>
      <c r="K11" s="74">
        <v>1562803</v>
      </c>
      <c r="L11" s="73">
        <v>1786057</v>
      </c>
      <c r="M11" s="73"/>
      <c r="N11" s="199"/>
      <c r="O11" s="73">
        <v>223258</v>
      </c>
      <c r="P11" s="73">
        <f t="shared" si="0"/>
        <v>3572118</v>
      </c>
    </row>
    <row r="12" spans="1:16">
      <c r="C12" t="s">
        <v>311</v>
      </c>
      <c r="K12" s="74">
        <v>551</v>
      </c>
      <c r="L12" s="73"/>
      <c r="M12" s="73">
        <v>2547</v>
      </c>
      <c r="N12" s="199"/>
      <c r="O12" s="73"/>
      <c r="P12" s="73">
        <f t="shared" si="0"/>
        <v>3098</v>
      </c>
    </row>
    <row r="13" spans="1:16">
      <c r="C13" t="s">
        <v>45</v>
      </c>
      <c r="K13" s="74">
        <v>369648</v>
      </c>
      <c r="L13" s="73">
        <v>59172</v>
      </c>
      <c r="M13" s="73">
        <v>5368</v>
      </c>
      <c r="N13" s="199"/>
      <c r="O13" s="73">
        <v>19345</v>
      </c>
      <c r="P13" s="73">
        <f t="shared" si="0"/>
        <v>453533</v>
      </c>
    </row>
    <row r="14" spans="1:16">
      <c r="B14" t="s">
        <v>16</v>
      </c>
      <c r="K14" s="75">
        <v>632223</v>
      </c>
      <c r="L14" s="73">
        <v>8099</v>
      </c>
      <c r="M14" s="73"/>
      <c r="N14" s="199"/>
      <c r="O14" s="73">
        <v>3059</v>
      </c>
      <c r="P14" s="73">
        <f t="shared" si="0"/>
        <v>643381</v>
      </c>
    </row>
    <row r="15" spans="1:16">
      <c r="B15" t="s">
        <v>59</v>
      </c>
      <c r="K15" s="75">
        <v>1299495</v>
      </c>
      <c r="L15" s="73">
        <v>1137003</v>
      </c>
      <c r="M15" s="73">
        <v>204</v>
      </c>
      <c r="N15" s="199"/>
      <c r="O15" s="73">
        <v>2145234</v>
      </c>
      <c r="P15" s="73">
        <f t="shared" si="0"/>
        <v>4581936</v>
      </c>
    </row>
    <row r="16" spans="1:16">
      <c r="B16" t="s">
        <v>625</v>
      </c>
      <c r="K16" s="83">
        <v>442910</v>
      </c>
      <c r="L16" s="73">
        <v>384</v>
      </c>
      <c r="M16" s="73">
        <v>1150</v>
      </c>
      <c r="N16" s="199"/>
      <c r="O16" s="73">
        <v>25282</v>
      </c>
      <c r="P16" s="73">
        <f t="shared" si="0"/>
        <v>469726</v>
      </c>
    </row>
    <row r="17" spans="1:16">
      <c r="B17" t="s">
        <v>156</v>
      </c>
      <c r="K17" s="82">
        <v>2095</v>
      </c>
      <c r="L17" s="73">
        <v>1125</v>
      </c>
      <c r="M17" s="73">
        <v>450</v>
      </c>
      <c r="N17" s="199"/>
      <c r="O17" s="73">
        <v>600</v>
      </c>
      <c r="P17" s="73">
        <f t="shared" si="0"/>
        <v>4270</v>
      </c>
    </row>
    <row r="18" spans="1:16">
      <c r="K18" s="73"/>
      <c r="L18" s="73"/>
      <c r="M18" s="73"/>
      <c r="N18" s="73"/>
      <c r="O18" s="73"/>
      <c r="P18" s="73"/>
    </row>
    <row r="19" spans="1:16" s="3" customFormat="1">
      <c r="A19" s="2"/>
      <c r="B19" s="2"/>
      <c r="C19" s="2"/>
      <c r="D19" s="2"/>
      <c r="E19" s="2" t="s">
        <v>62</v>
      </c>
      <c r="K19" s="76">
        <f t="shared" ref="K19:P19" si="1">SUM(K7:K17)</f>
        <v>50656461</v>
      </c>
      <c r="L19" s="76">
        <f t="shared" si="1"/>
        <v>47119983</v>
      </c>
      <c r="M19" s="76">
        <f t="shared" si="1"/>
        <v>4414614</v>
      </c>
      <c r="N19" s="76">
        <f t="shared" si="1"/>
        <v>6890641</v>
      </c>
      <c r="O19" s="76">
        <f t="shared" si="1"/>
        <v>19149009</v>
      </c>
      <c r="P19" s="76">
        <f t="shared" si="1"/>
        <v>128230708</v>
      </c>
    </row>
    <row r="20" spans="1:16">
      <c r="K20" s="73"/>
      <c r="L20" s="73"/>
      <c r="M20" s="73"/>
      <c r="N20" s="73"/>
      <c r="O20" s="73"/>
      <c r="P20" s="73"/>
    </row>
    <row r="21" spans="1:16">
      <c r="A21" s="4" t="s">
        <v>19</v>
      </c>
      <c r="K21" s="73"/>
      <c r="L21" s="73"/>
      <c r="M21" s="73"/>
      <c r="N21" s="73"/>
      <c r="O21" s="73"/>
      <c r="P21" s="73"/>
    </row>
    <row r="22" spans="1:16">
      <c r="B22" t="s">
        <v>20</v>
      </c>
      <c r="K22" s="73"/>
      <c r="L22" s="73"/>
      <c r="M22" s="73"/>
      <c r="N22" s="73"/>
      <c r="O22" s="73"/>
      <c r="P22" s="73"/>
    </row>
    <row r="23" spans="1:16">
      <c r="D23" t="s">
        <v>21</v>
      </c>
      <c r="K23" s="77">
        <v>1040452</v>
      </c>
      <c r="L23" s="73">
        <v>1669542</v>
      </c>
      <c r="M23" s="73">
        <v>163668</v>
      </c>
      <c r="N23" s="73"/>
      <c r="O23" s="73">
        <v>2222893</v>
      </c>
      <c r="P23" s="73">
        <f t="shared" ref="P23:P28" si="2">SUM(K23:O23)</f>
        <v>5096555</v>
      </c>
    </row>
    <row r="24" spans="1:16">
      <c r="D24" t="s">
        <v>366</v>
      </c>
      <c r="K24" s="77">
        <v>20782</v>
      </c>
      <c r="L24" s="73">
        <v>135788</v>
      </c>
      <c r="M24" s="73"/>
      <c r="N24" s="73"/>
      <c r="O24" s="73">
        <v>206548</v>
      </c>
      <c r="P24" s="73">
        <f t="shared" si="2"/>
        <v>363118</v>
      </c>
    </row>
    <row r="25" spans="1:16">
      <c r="D25" t="s">
        <v>25</v>
      </c>
      <c r="K25" s="78">
        <v>27057</v>
      </c>
      <c r="L25" s="73"/>
      <c r="M25" s="73">
        <v>150</v>
      </c>
      <c r="N25" s="73"/>
      <c r="O25" s="73">
        <v>8115</v>
      </c>
      <c r="P25" s="73">
        <f t="shared" si="2"/>
        <v>35322</v>
      </c>
    </row>
    <row r="26" spans="1:16">
      <c r="D26" t="s">
        <v>158</v>
      </c>
      <c r="K26" s="73"/>
      <c r="L26" s="73"/>
      <c r="M26" s="73"/>
      <c r="N26" s="73"/>
      <c r="O26" s="73">
        <v>6057</v>
      </c>
      <c r="P26" s="73">
        <f t="shared" si="2"/>
        <v>6057</v>
      </c>
    </row>
    <row r="27" spans="1:16">
      <c r="D27" t="s">
        <v>159</v>
      </c>
      <c r="K27" s="78">
        <v>9962</v>
      </c>
      <c r="L27" s="73"/>
      <c r="M27" s="73"/>
      <c r="N27" s="73"/>
      <c r="O27" s="73">
        <v>244427</v>
      </c>
      <c r="P27" s="73">
        <f t="shared" si="2"/>
        <v>254389</v>
      </c>
    </row>
    <row r="28" spans="1:16">
      <c r="D28" t="s">
        <v>87</v>
      </c>
      <c r="K28" s="82">
        <v>639643</v>
      </c>
      <c r="L28" s="73">
        <v>272704</v>
      </c>
      <c r="M28" s="73">
        <v>53232</v>
      </c>
      <c r="N28" s="73"/>
      <c r="O28" s="73">
        <v>73496</v>
      </c>
      <c r="P28" s="73">
        <f t="shared" si="2"/>
        <v>1039075</v>
      </c>
    </row>
    <row r="29" spans="1:16">
      <c r="K29" s="73"/>
      <c r="L29" s="73"/>
      <c r="M29" s="73"/>
      <c r="N29" s="73"/>
      <c r="O29" s="73"/>
      <c r="P29" s="73"/>
    </row>
    <row r="30" spans="1:16" s="5" customFormat="1">
      <c r="B30" s="6"/>
      <c r="C30" s="6"/>
      <c r="D30" s="6"/>
      <c r="E30" s="6" t="s">
        <v>26</v>
      </c>
      <c r="K30" s="79">
        <f>SUM(K23:K28)</f>
        <v>1737896</v>
      </c>
      <c r="L30" s="79">
        <f>SUM(L23:L28)</f>
        <v>2078034</v>
      </c>
      <c r="M30" s="79">
        <f t="shared" ref="M30:N30" si="3">SUM(M23:M28)</f>
        <v>217050</v>
      </c>
      <c r="N30" s="79">
        <f t="shared" si="3"/>
        <v>0</v>
      </c>
      <c r="O30" s="79">
        <f>SUM(O23:O28)</f>
        <v>2761536</v>
      </c>
      <c r="P30" s="79">
        <f>SUM(P23:P28)</f>
        <v>6794516</v>
      </c>
    </row>
    <row r="31" spans="1:16">
      <c r="K31" s="73"/>
      <c r="L31" s="73"/>
      <c r="M31" s="73"/>
      <c r="N31" s="73"/>
      <c r="O31" s="73"/>
      <c r="P31" s="73"/>
    </row>
    <row r="32" spans="1:16">
      <c r="A32" s="71" t="s">
        <v>27</v>
      </c>
      <c r="K32" s="73"/>
      <c r="L32" s="73"/>
      <c r="M32" s="73"/>
      <c r="N32" s="73"/>
      <c r="O32" s="73"/>
      <c r="P32" s="73"/>
    </row>
    <row r="33" spans="2:16">
      <c r="D33" t="s">
        <v>476</v>
      </c>
      <c r="K33" s="73">
        <v>4042325</v>
      </c>
      <c r="L33" s="73">
        <v>7328651</v>
      </c>
      <c r="M33" s="73">
        <v>3641975</v>
      </c>
      <c r="N33" s="73">
        <v>2697763</v>
      </c>
      <c r="O33" s="73">
        <v>8157754</v>
      </c>
      <c r="P33" s="73">
        <f>SUM(K33:O33)</f>
        <v>25868468</v>
      </c>
    </row>
    <row r="34" spans="2:16">
      <c r="D34" t="s">
        <v>560</v>
      </c>
      <c r="K34" s="73"/>
      <c r="L34" s="73"/>
      <c r="M34" s="73"/>
      <c r="N34" s="73"/>
      <c r="O34" s="73">
        <v>881085</v>
      </c>
      <c r="P34" s="73">
        <f>SUM(K34:O34)</f>
        <v>881085</v>
      </c>
    </row>
    <row r="35" spans="2:16">
      <c r="K35" s="73"/>
      <c r="L35" s="73"/>
      <c r="M35" s="73"/>
      <c r="N35" s="73"/>
      <c r="O35" s="73"/>
      <c r="P35" s="73"/>
    </row>
    <row r="36" spans="2:16" s="5" customFormat="1">
      <c r="B36" s="6"/>
      <c r="C36" s="6"/>
      <c r="D36" s="6"/>
      <c r="E36" s="6" t="s">
        <v>522</v>
      </c>
      <c r="K36" s="79">
        <f>SUM(K33)</f>
        <v>4042325</v>
      </c>
      <c r="L36" s="79">
        <f>SUM(L33)</f>
        <v>7328651</v>
      </c>
      <c r="M36" s="79">
        <f>SUM(M33)</f>
        <v>3641975</v>
      </c>
      <c r="N36" s="79">
        <f>SUM(N33)</f>
        <v>2697763</v>
      </c>
      <c r="O36" s="79">
        <f>SUM(O33:O34)</f>
        <v>9038839</v>
      </c>
      <c r="P36" s="79">
        <f>SUM(P33:P34)</f>
        <v>26749553</v>
      </c>
    </row>
    <row r="37" spans="2:16">
      <c r="K37" s="73"/>
      <c r="L37" s="73"/>
      <c r="M37" s="73"/>
      <c r="N37" s="73"/>
      <c r="O37" s="73"/>
      <c r="P37" s="73"/>
    </row>
    <row r="38" spans="2:16">
      <c r="B38" t="s">
        <v>30</v>
      </c>
      <c r="K38" s="73"/>
      <c r="L38" s="73"/>
      <c r="M38" s="73"/>
      <c r="N38" s="73"/>
      <c r="O38" s="73"/>
      <c r="P38" s="73"/>
    </row>
    <row r="39" spans="2:16">
      <c r="C39" t="s">
        <v>605</v>
      </c>
      <c r="K39" s="80">
        <v>442910</v>
      </c>
      <c r="L39" s="73">
        <v>384</v>
      </c>
      <c r="M39" s="73">
        <v>1150</v>
      </c>
      <c r="N39" s="73"/>
      <c r="O39" s="73">
        <v>25282</v>
      </c>
      <c r="P39" s="73">
        <f>SUM(K39:O39)</f>
        <v>469726</v>
      </c>
    </row>
    <row r="40" spans="2:16">
      <c r="C40" t="s">
        <v>88</v>
      </c>
      <c r="K40" s="80">
        <v>53538</v>
      </c>
      <c r="L40" s="73">
        <v>33558559</v>
      </c>
      <c r="M40" s="73">
        <v>18217</v>
      </c>
      <c r="N40" s="73">
        <v>4192878</v>
      </c>
      <c r="O40" s="73">
        <v>5831532</v>
      </c>
      <c r="P40" s="73">
        <f>SUM(K40:O40)</f>
        <v>43654724</v>
      </c>
    </row>
    <row r="41" spans="2:16">
      <c r="C41" t="s">
        <v>626</v>
      </c>
      <c r="K41" s="80">
        <v>13940018</v>
      </c>
      <c r="L41" s="73">
        <v>4154355</v>
      </c>
      <c r="M41" s="73">
        <v>536222</v>
      </c>
      <c r="N41" s="73"/>
      <c r="O41" s="73">
        <v>1439688</v>
      </c>
      <c r="P41" s="73">
        <f>SUM(K41:O41)</f>
        <v>20070283</v>
      </c>
    </row>
    <row r="42" spans="2:16">
      <c r="C42" t="s">
        <v>89</v>
      </c>
      <c r="K42" s="200">
        <v>21019738</v>
      </c>
      <c r="L42" s="73"/>
      <c r="M42" s="73"/>
      <c r="N42" s="73"/>
      <c r="O42" s="73">
        <v>54134</v>
      </c>
      <c r="P42" s="73">
        <f>SUM(K42:O42)</f>
        <v>21073872</v>
      </c>
    </row>
    <row r="43" spans="2:16">
      <c r="C43" t="s">
        <v>46</v>
      </c>
      <c r="K43" s="84">
        <v>9420036</v>
      </c>
      <c r="L43" s="73"/>
      <c r="M43" s="73"/>
      <c r="N43" s="73"/>
      <c r="O43" s="73">
        <v>-2002</v>
      </c>
      <c r="P43" s="73">
        <f>SUM(K43:O43)</f>
        <v>9418034</v>
      </c>
    </row>
    <row r="44" spans="2:16">
      <c r="K44" s="73"/>
      <c r="L44" s="73"/>
      <c r="M44" s="73"/>
      <c r="N44" s="73"/>
      <c r="O44" s="73"/>
      <c r="P44" s="73"/>
    </row>
    <row r="45" spans="2:16" s="5" customFormat="1">
      <c r="D45" s="6"/>
      <c r="E45" s="6" t="s">
        <v>47</v>
      </c>
      <c r="K45" s="79">
        <f>SUM(K39:K43)</f>
        <v>44876240</v>
      </c>
      <c r="L45" s="79">
        <f>SUM(L39:L43)</f>
        <v>37713298</v>
      </c>
      <c r="M45" s="79">
        <f>SUM(M39:M43)</f>
        <v>555589</v>
      </c>
      <c r="N45" s="79">
        <f>SUM(N40:N43)</f>
        <v>4192878</v>
      </c>
      <c r="O45" s="79">
        <f>SUM(O39:O43)</f>
        <v>7348634</v>
      </c>
      <c r="P45" s="79">
        <f>SUM(P39:P43)</f>
        <v>94686639</v>
      </c>
    </row>
    <row r="46" spans="2:16">
      <c r="K46" s="73"/>
      <c r="L46" s="73"/>
      <c r="M46" s="73"/>
      <c r="N46" s="73"/>
      <c r="O46" s="73"/>
      <c r="P46" s="73"/>
    </row>
    <row r="47" spans="2:16" s="7" customFormat="1">
      <c r="D47" s="8"/>
      <c r="E47" s="8" t="s">
        <v>48</v>
      </c>
      <c r="K47" s="81">
        <f t="shared" ref="K47:P47" si="4">SUM(K45,K30,K36)</f>
        <v>50656461</v>
      </c>
      <c r="L47" s="81">
        <f t="shared" si="4"/>
        <v>47119983</v>
      </c>
      <c r="M47" s="81">
        <f t="shared" si="4"/>
        <v>4414614</v>
      </c>
      <c r="N47" s="81">
        <f t="shared" si="4"/>
        <v>6890641</v>
      </c>
      <c r="O47" s="81">
        <f t="shared" si="4"/>
        <v>19149009</v>
      </c>
      <c r="P47" s="81">
        <f t="shared" si="4"/>
        <v>128230708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29"/>
  <sheetViews>
    <sheetView workbookViewId="0">
      <selection activeCell="Q29" sqref="Q29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6.42578125" customWidth="1"/>
    <col min="13" max="13" width="15.28515625" customWidth="1"/>
    <col min="14" max="15" width="19" customWidth="1"/>
    <col min="16" max="16" width="18.42578125" customWidth="1"/>
    <col min="17" max="17" width="17.7109375" customWidth="1"/>
  </cols>
  <sheetData>
    <row r="1" spans="1:17" ht="18.75">
      <c r="D1" s="251" t="s">
        <v>627</v>
      </c>
      <c r="E1" s="251"/>
      <c r="F1" s="251"/>
      <c r="G1" s="251"/>
      <c r="H1" s="251"/>
      <c r="I1" s="251"/>
      <c r="J1" s="251"/>
      <c r="K1" s="251"/>
    </row>
    <row r="2" spans="1:17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7">
      <c r="D3" s="57"/>
      <c r="E3" s="57"/>
      <c r="F3" s="57"/>
      <c r="G3" s="57"/>
      <c r="H3" s="57"/>
      <c r="I3" s="57"/>
      <c r="J3" s="57"/>
      <c r="K3" s="57"/>
    </row>
    <row r="4" spans="1:17">
      <c r="K4" s="112"/>
      <c r="L4" s="263" t="s">
        <v>247</v>
      </c>
      <c r="M4" s="263"/>
      <c r="N4" s="263"/>
      <c r="O4" s="192"/>
      <c r="P4" s="239" t="s">
        <v>502</v>
      </c>
    </row>
    <row r="5" spans="1:17" ht="45">
      <c r="K5" s="1" t="s">
        <v>2</v>
      </c>
      <c r="L5" s="1" t="s">
        <v>628</v>
      </c>
      <c r="M5" s="1" t="s">
        <v>51</v>
      </c>
      <c r="N5" s="1" t="s">
        <v>629</v>
      </c>
      <c r="O5" s="1" t="s">
        <v>630</v>
      </c>
      <c r="P5" s="1" t="s">
        <v>6</v>
      </c>
      <c r="Q5" s="1" t="s">
        <v>7</v>
      </c>
    </row>
    <row r="6" spans="1:17">
      <c r="A6" t="s">
        <v>8</v>
      </c>
    </row>
    <row r="7" spans="1:17">
      <c r="B7" t="s">
        <v>446</v>
      </c>
      <c r="K7" s="72">
        <v>87584</v>
      </c>
      <c r="L7" s="73">
        <v>1173217</v>
      </c>
      <c r="M7" s="73">
        <v>1856472</v>
      </c>
      <c r="N7" s="73">
        <v>3621</v>
      </c>
      <c r="O7" s="73"/>
      <c r="P7" s="73">
        <v>2159131</v>
      </c>
      <c r="Q7" s="73">
        <f>SUM(K7:P7)</f>
        <v>5280025</v>
      </c>
    </row>
    <row r="8" spans="1:17">
      <c r="B8" t="s">
        <v>10</v>
      </c>
      <c r="K8" s="73"/>
      <c r="L8" s="73"/>
      <c r="M8" s="73"/>
      <c r="N8" s="73"/>
      <c r="O8" s="73"/>
      <c r="P8" s="73">
        <v>153423</v>
      </c>
      <c r="Q8" s="73">
        <f>SUM(K8:P8)</f>
        <v>153423</v>
      </c>
    </row>
    <row r="9" spans="1:17">
      <c r="B9" t="s">
        <v>213</v>
      </c>
      <c r="K9" s="74">
        <v>385187</v>
      </c>
      <c r="L9" s="73">
        <v>581482</v>
      </c>
      <c r="M9" s="73">
        <v>53091</v>
      </c>
      <c r="N9" s="73">
        <v>148478</v>
      </c>
      <c r="O9" s="73">
        <v>100000</v>
      </c>
      <c r="P9" s="73">
        <v>1548882</v>
      </c>
      <c r="Q9" s="73">
        <f>SUM(K9:P9)</f>
        <v>2817120</v>
      </c>
    </row>
    <row r="10" spans="1:17">
      <c r="B10" t="s">
        <v>16</v>
      </c>
      <c r="K10" s="75">
        <v>150516</v>
      </c>
      <c r="L10" s="73"/>
      <c r="M10" s="73"/>
      <c r="N10" s="73"/>
      <c r="O10" s="73"/>
      <c r="P10" s="73">
        <v>4626</v>
      </c>
      <c r="Q10" s="73">
        <f>SUM(K10:P10)</f>
        <v>155142</v>
      </c>
    </row>
    <row r="11" spans="1:17">
      <c r="B11" t="s">
        <v>138</v>
      </c>
      <c r="K11" s="73"/>
      <c r="L11" s="73"/>
      <c r="M11" s="73"/>
      <c r="N11" s="73"/>
      <c r="O11" s="73">
        <v>7797</v>
      </c>
      <c r="P11" s="73">
        <v>424053</v>
      </c>
      <c r="Q11" s="73">
        <f>SUM(K11:P11)</f>
        <v>431850</v>
      </c>
    </row>
    <row r="12" spans="1:17">
      <c r="K12" s="73"/>
      <c r="L12" s="73"/>
      <c r="M12" s="73"/>
      <c r="N12" s="73"/>
      <c r="O12" s="73"/>
      <c r="P12" s="73"/>
      <c r="Q12" s="73"/>
    </row>
    <row r="13" spans="1:17" s="3" customFormat="1">
      <c r="A13" s="2"/>
      <c r="B13" s="2"/>
      <c r="C13" s="2"/>
      <c r="D13" s="2"/>
      <c r="E13" s="2" t="s">
        <v>18</v>
      </c>
      <c r="K13" s="76">
        <f t="shared" ref="K13:O13" si="0">SUM(K7:K11)</f>
        <v>623287</v>
      </c>
      <c r="L13" s="76">
        <f t="shared" si="0"/>
        <v>1754699</v>
      </c>
      <c r="M13" s="76">
        <f t="shared" si="0"/>
        <v>1909563</v>
      </c>
      <c r="N13" s="76">
        <f t="shared" si="0"/>
        <v>152099</v>
      </c>
      <c r="O13" s="76">
        <f t="shared" si="0"/>
        <v>107797</v>
      </c>
      <c r="P13" s="76">
        <f>SUM(P7:P12)</f>
        <v>4290115</v>
      </c>
      <c r="Q13" s="76">
        <f>SUM(Q7:Q11)</f>
        <v>8837560</v>
      </c>
    </row>
    <row r="14" spans="1:17">
      <c r="K14" s="73"/>
      <c r="L14" s="73"/>
      <c r="M14" s="73"/>
      <c r="N14" s="73"/>
      <c r="O14" s="73"/>
      <c r="P14" s="73"/>
      <c r="Q14" s="73"/>
    </row>
    <row r="15" spans="1:17">
      <c r="A15" s="4" t="s">
        <v>19</v>
      </c>
      <c r="K15" s="73"/>
      <c r="L15" s="73"/>
      <c r="M15" s="73"/>
      <c r="N15" s="73"/>
      <c r="O15" s="73"/>
      <c r="P15" s="73"/>
      <c r="Q15" s="73"/>
    </row>
    <row r="16" spans="1:17">
      <c r="B16" t="s">
        <v>20</v>
      </c>
      <c r="K16" s="73"/>
      <c r="L16" s="73"/>
      <c r="M16" s="73"/>
      <c r="N16" s="73"/>
      <c r="O16" s="73"/>
      <c r="P16" s="73"/>
      <c r="Q16" s="73"/>
    </row>
    <row r="17" spans="2:17">
      <c r="C17" t="s">
        <v>21</v>
      </c>
      <c r="K17" s="77">
        <v>68427</v>
      </c>
      <c r="L17" s="73">
        <v>381161</v>
      </c>
      <c r="M17" s="73"/>
      <c r="N17" s="73">
        <v>224629</v>
      </c>
      <c r="O17" s="73">
        <v>155550</v>
      </c>
      <c r="P17" s="73">
        <v>85124</v>
      </c>
      <c r="Q17" s="73">
        <f>SUM(K17:P17)</f>
        <v>914891</v>
      </c>
    </row>
    <row r="18" spans="2:17">
      <c r="C18" t="s">
        <v>631</v>
      </c>
      <c r="K18" s="82">
        <v>3864</v>
      </c>
      <c r="L18" s="73">
        <v>16444</v>
      </c>
      <c r="M18" s="73"/>
      <c r="N18" s="73"/>
      <c r="O18" s="73"/>
      <c r="P18" s="73">
        <v>41921</v>
      </c>
      <c r="Q18" s="73">
        <f>SUM(K18:P18)</f>
        <v>62229</v>
      </c>
    </row>
    <row r="19" spans="2:17">
      <c r="C19" t="s">
        <v>25</v>
      </c>
      <c r="K19" s="73"/>
      <c r="L19" s="73"/>
      <c r="M19" s="73"/>
      <c r="N19" s="73">
        <v>14706</v>
      </c>
      <c r="O19" s="73">
        <v>16888</v>
      </c>
      <c r="P19" s="73">
        <v>123548</v>
      </c>
      <c r="Q19" s="73">
        <f>SUM(K19:P19)</f>
        <v>155142</v>
      </c>
    </row>
    <row r="20" spans="2:17">
      <c r="K20" s="73"/>
      <c r="L20" s="73"/>
      <c r="M20" s="73"/>
      <c r="N20" s="73"/>
      <c r="O20" s="73"/>
      <c r="P20" s="73"/>
      <c r="Q20" s="73"/>
    </row>
    <row r="21" spans="2:17" s="5" customFormat="1">
      <c r="B21" s="6"/>
      <c r="C21" s="6"/>
      <c r="D21" s="6"/>
      <c r="E21" s="6" t="s">
        <v>26</v>
      </c>
      <c r="K21" s="79">
        <f t="shared" ref="K21:Q21" si="1">SUM(K17:K19)</f>
        <v>72291</v>
      </c>
      <c r="L21" s="79">
        <f t="shared" si="1"/>
        <v>397605</v>
      </c>
      <c r="M21" s="79">
        <f t="shared" si="1"/>
        <v>0</v>
      </c>
      <c r="N21" s="79">
        <f t="shared" si="1"/>
        <v>239335</v>
      </c>
      <c r="O21" s="79">
        <f t="shared" si="1"/>
        <v>172438</v>
      </c>
      <c r="P21" s="79">
        <f t="shared" si="1"/>
        <v>250593</v>
      </c>
      <c r="Q21" s="79">
        <f t="shared" si="1"/>
        <v>1132262</v>
      </c>
    </row>
    <row r="22" spans="2:17">
      <c r="K22" s="73"/>
      <c r="L22" s="73"/>
      <c r="M22" s="73"/>
      <c r="N22" s="73"/>
      <c r="O22" s="73"/>
      <c r="P22" s="73"/>
      <c r="Q22" s="73"/>
    </row>
    <row r="23" spans="2:17">
      <c r="B23" t="s">
        <v>30</v>
      </c>
      <c r="K23" s="73"/>
      <c r="L23" s="73"/>
      <c r="M23" s="73"/>
      <c r="N23" s="73"/>
      <c r="O23" s="73"/>
      <c r="P23" s="73"/>
      <c r="Q23" s="73"/>
    </row>
    <row r="24" spans="2:17">
      <c r="C24" t="s">
        <v>88</v>
      </c>
      <c r="K24" s="73"/>
      <c r="L24" s="73">
        <v>1357094</v>
      </c>
      <c r="M24" s="73">
        <v>1909563</v>
      </c>
      <c r="N24" s="73"/>
      <c r="O24" s="73"/>
      <c r="P24" s="73">
        <v>4076019</v>
      </c>
      <c r="Q24" s="73">
        <f>SUM(K24:P24)</f>
        <v>7342676</v>
      </c>
    </row>
    <row r="25" spans="2:17">
      <c r="C25" t="s">
        <v>46</v>
      </c>
      <c r="K25" s="84">
        <v>550996</v>
      </c>
      <c r="L25" s="73"/>
      <c r="M25" s="73"/>
      <c r="N25" s="73">
        <v>-87236</v>
      </c>
      <c r="O25" s="73">
        <v>-64641</v>
      </c>
      <c r="P25" s="73">
        <v>-36497</v>
      </c>
      <c r="Q25" s="73">
        <f>SUM(K25:P25)</f>
        <v>362622</v>
      </c>
    </row>
    <row r="26" spans="2:17">
      <c r="K26" s="73"/>
      <c r="L26" s="73"/>
      <c r="M26" s="73"/>
      <c r="N26" s="73"/>
      <c r="O26" s="73"/>
      <c r="P26" s="73"/>
      <c r="Q26" s="73"/>
    </row>
    <row r="27" spans="2:17" s="5" customFormat="1">
      <c r="D27" s="6"/>
      <c r="E27" s="6" t="s">
        <v>632</v>
      </c>
      <c r="K27" s="79">
        <f t="shared" ref="K27:Q27" si="2">SUM(K24:K25)</f>
        <v>550996</v>
      </c>
      <c r="L27" s="79">
        <f t="shared" si="2"/>
        <v>1357094</v>
      </c>
      <c r="M27" s="79">
        <f t="shared" si="2"/>
        <v>1909563</v>
      </c>
      <c r="N27" s="79">
        <f t="shared" si="2"/>
        <v>-87236</v>
      </c>
      <c r="O27" s="79">
        <f t="shared" si="2"/>
        <v>-64641</v>
      </c>
      <c r="P27" s="79">
        <f t="shared" si="2"/>
        <v>4039522</v>
      </c>
      <c r="Q27" s="79">
        <f t="shared" si="2"/>
        <v>7705298</v>
      </c>
    </row>
    <row r="28" spans="2:17">
      <c r="K28" s="73"/>
      <c r="L28" s="73"/>
      <c r="M28" s="73"/>
      <c r="N28" s="73"/>
      <c r="O28" s="73"/>
      <c r="P28" s="73"/>
      <c r="Q28" s="73"/>
    </row>
    <row r="29" spans="2:17" s="7" customFormat="1">
      <c r="D29" s="8"/>
      <c r="E29" s="8" t="s">
        <v>48</v>
      </c>
      <c r="K29" s="81">
        <f>SUM(K27,K21)</f>
        <v>623287</v>
      </c>
      <c r="L29" s="81">
        <f>SUM(L21,L27)</f>
        <v>1754699</v>
      </c>
      <c r="M29" s="81">
        <f>SUM(M21,M27)</f>
        <v>1909563</v>
      </c>
      <c r="N29" s="81">
        <f>SUM(N21+N27)</f>
        <v>152099</v>
      </c>
      <c r="O29" s="81">
        <f>SUM(O21+O27)</f>
        <v>107797</v>
      </c>
      <c r="P29" s="81">
        <f>SUM(P21,P27)</f>
        <v>4290115</v>
      </c>
      <c r="Q29" s="81">
        <f>SUM(Q21,Q27)</f>
        <v>8837560</v>
      </c>
    </row>
  </sheetData>
  <mergeCells count="3">
    <mergeCell ref="D1:K1"/>
    <mergeCell ref="D2:K2"/>
    <mergeCell ref="L4:N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P49"/>
  <sheetViews>
    <sheetView topLeftCell="A23" zoomScale="80" zoomScaleNormal="80" zoomScalePageLayoutView="80" workbookViewId="0">
      <selection activeCell="P5" sqref="P5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4" width="19.42578125" customWidth="1"/>
    <col min="15" max="15" width="18.42578125" customWidth="1"/>
    <col min="16" max="16" width="18" customWidth="1"/>
    <col min="17" max="17" width="18.28515625" customWidth="1"/>
  </cols>
  <sheetData>
    <row r="1" spans="1:16" ht="18.75">
      <c r="D1" s="251" t="s">
        <v>633</v>
      </c>
      <c r="E1" s="251"/>
      <c r="F1" s="251"/>
      <c r="G1" s="251"/>
      <c r="H1" s="251"/>
      <c r="I1" s="251"/>
      <c r="J1" s="251"/>
      <c r="K1" s="251"/>
    </row>
    <row r="2" spans="1:16">
      <c r="D2" s="252" t="s">
        <v>1</v>
      </c>
      <c r="E2" s="252"/>
      <c r="F2" s="252"/>
      <c r="G2" s="252"/>
      <c r="H2" s="252"/>
      <c r="I2" s="252"/>
      <c r="J2" s="252"/>
      <c r="K2" s="252"/>
    </row>
    <row r="3" spans="1:16" ht="29.25" customHeight="1">
      <c r="D3" s="57"/>
      <c r="E3" s="57"/>
      <c r="F3" s="57"/>
      <c r="G3" s="57"/>
      <c r="H3" s="57"/>
      <c r="I3" s="57"/>
      <c r="J3" s="57"/>
      <c r="K3" s="252"/>
      <c r="L3" s="252"/>
      <c r="M3" s="252"/>
      <c r="N3" s="252"/>
    </row>
    <row r="4" spans="1:16" ht="15" customHeight="1">
      <c r="K4" s="190"/>
      <c r="L4" s="190"/>
      <c r="M4" s="190"/>
      <c r="N4" s="190"/>
    </row>
    <row r="5" spans="1:16" ht="60">
      <c r="K5" s="1" t="s">
        <v>91</v>
      </c>
      <c r="L5" s="1" t="s">
        <v>70</v>
      </c>
      <c r="M5" s="1" t="s">
        <v>634</v>
      </c>
      <c r="N5" s="1" t="s">
        <v>635</v>
      </c>
      <c r="O5" s="1" t="s">
        <v>6</v>
      </c>
      <c r="P5" s="1" t="s">
        <v>7</v>
      </c>
    </row>
    <row r="6" spans="1:16">
      <c r="A6" s="86" t="s">
        <v>8</v>
      </c>
    </row>
    <row r="7" spans="1:16">
      <c r="B7" t="s">
        <v>85</v>
      </c>
      <c r="K7" s="72">
        <v>4781696</v>
      </c>
      <c r="L7" s="73">
        <v>2278944</v>
      </c>
      <c r="M7" s="73">
        <v>2406299</v>
      </c>
      <c r="N7" s="73">
        <v>524</v>
      </c>
      <c r="O7" s="73">
        <v>12730178</v>
      </c>
      <c r="P7" s="73">
        <f>SUM(K7:O7)</f>
        <v>22197641</v>
      </c>
    </row>
    <row r="8" spans="1:16">
      <c r="B8" t="s">
        <v>10</v>
      </c>
      <c r="K8" s="77">
        <v>1199408</v>
      </c>
      <c r="L8" s="73">
        <v>1462715</v>
      </c>
      <c r="M8" s="73">
        <v>1729971</v>
      </c>
      <c r="N8" s="73"/>
      <c r="O8" s="73">
        <v>6408501</v>
      </c>
      <c r="P8" s="73">
        <f>SUM(K8:O8)</f>
        <v>10800595</v>
      </c>
    </row>
    <row r="9" spans="1:16">
      <c r="B9" t="s">
        <v>549</v>
      </c>
      <c r="K9" s="74">
        <v>4922581</v>
      </c>
      <c r="L9" s="73">
        <v>2118230</v>
      </c>
      <c r="M9" s="73">
        <v>2659868</v>
      </c>
      <c r="N9" s="73">
        <v>3067966</v>
      </c>
      <c r="O9" s="73">
        <v>9383449</v>
      </c>
      <c r="P9" s="73">
        <f>SUM(K9:O9)</f>
        <v>22152094</v>
      </c>
    </row>
    <row r="10" spans="1:16">
      <c r="B10" t="s">
        <v>16</v>
      </c>
      <c r="K10" s="75">
        <v>103041</v>
      </c>
      <c r="L10" s="73">
        <v>1996</v>
      </c>
      <c r="M10" s="73">
        <v>746714</v>
      </c>
      <c r="N10" s="73">
        <v>0</v>
      </c>
      <c r="O10" s="73">
        <v>309416</v>
      </c>
      <c r="P10" s="73">
        <f>SUM(K10:O10)</f>
        <v>1161167</v>
      </c>
    </row>
    <row r="11" spans="1:16">
      <c r="B11" t="s">
        <v>100</v>
      </c>
      <c r="K11" s="75">
        <v>4333</v>
      </c>
      <c r="L11" s="73"/>
      <c r="M11" s="73"/>
      <c r="N11" s="73"/>
      <c r="O11" s="73">
        <v>114164</v>
      </c>
      <c r="P11" s="73">
        <f t="shared" ref="P11:P12" si="0">SUM(K11:O11)</f>
        <v>118497</v>
      </c>
    </row>
    <row r="12" spans="1:16">
      <c r="B12" t="s">
        <v>469</v>
      </c>
      <c r="K12" s="189">
        <v>34391</v>
      </c>
      <c r="L12" s="73"/>
      <c r="M12" s="73"/>
      <c r="N12" s="73"/>
      <c r="O12" s="73"/>
      <c r="P12" s="73">
        <f t="shared" si="0"/>
        <v>34391</v>
      </c>
    </row>
    <row r="13" spans="1:16">
      <c r="K13" s="73"/>
      <c r="L13" s="73"/>
      <c r="M13" s="73"/>
      <c r="N13" s="73"/>
      <c r="O13" s="73"/>
      <c r="P13" s="73"/>
    </row>
    <row r="14" spans="1:16" s="3" customFormat="1">
      <c r="A14" s="2"/>
      <c r="B14" s="2"/>
      <c r="C14" s="2"/>
      <c r="D14" s="2"/>
      <c r="E14" s="2" t="s">
        <v>62</v>
      </c>
      <c r="K14" s="76">
        <f>SUM(K7:K12)</f>
        <v>11045450</v>
      </c>
      <c r="L14" s="76">
        <f>SUM(L7:L10)</f>
        <v>5861885</v>
      </c>
      <c r="M14" s="76">
        <f>SUM(M7:M10)</f>
        <v>7542852</v>
      </c>
      <c r="N14" s="76">
        <f>SUM(N7:N10)</f>
        <v>3068490</v>
      </c>
      <c r="O14" s="76">
        <f>SUM(O7:O11)</f>
        <v>28945708</v>
      </c>
      <c r="P14" s="76">
        <f>SUM(P7:P12)</f>
        <v>56464385</v>
      </c>
    </row>
    <row r="15" spans="1:16">
      <c r="K15" s="73"/>
      <c r="L15" s="73"/>
      <c r="M15" s="73"/>
      <c r="N15" s="73"/>
      <c r="O15" s="73"/>
      <c r="P15" s="73"/>
    </row>
    <row r="16" spans="1:16">
      <c r="A16" s="4" t="s">
        <v>19</v>
      </c>
      <c r="K16" s="73"/>
      <c r="L16" s="73"/>
      <c r="M16" s="73"/>
      <c r="N16" s="73"/>
      <c r="O16" s="73"/>
      <c r="P16" s="73"/>
    </row>
    <row r="17" spans="2:16">
      <c r="B17" t="s">
        <v>20</v>
      </c>
      <c r="K17" s="73"/>
      <c r="L17" s="73"/>
      <c r="M17" s="73"/>
      <c r="N17" s="73"/>
      <c r="O17" s="73"/>
      <c r="P17" s="73"/>
    </row>
    <row r="18" spans="2:16">
      <c r="C18" t="s">
        <v>21</v>
      </c>
      <c r="K18" s="77">
        <v>978641</v>
      </c>
      <c r="L18" s="73">
        <v>90333</v>
      </c>
      <c r="M18" s="73">
        <v>171072</v>
      </c>
      <c r="N18" s="73">
        <v>2661786</v>
      </c>
      <c r="O18" s="73">
        <v>1000531</v>
      </c>
      <c r="P18" s="73">
        <f>SUM(K18:O18)</f>
        <v>4902363</v>
      </c>
    </row>
    <row r="19" spans="2:16">
      <c r="C19" t="s">
        <v>636</v>
      </c>
      <c r="K19" s="77">
        <v>157420</v>
      </c>
      <c r="L19" s="73">
        <v>1621</v>
      </c>
      <c r="M19" s="73">
        <v>42907</v>
      </c>
      <c r="N19" s="73"/>
      <c r="O19" s="73">
        <v>302434</v>
      </c>
      <c r="P19" s="73">
        <f>SUM(K19:O19)</f>
        <v>504382</v>
      </c>
    </row>
    <row r="20" spans="2:16">
      <c r="C20" t="s">
        <v>25</v>
      </c>
      <c r="K20" s="78">
        <v>351403</v>
      </c>
      <c r="L20" s="73"/>
      <c r="M20" s="73"/>
      <c r="N20" s="73">
        <v>622077</v>
      </c>
      <c r="O20" s="73">
        <v>202688</v>
      </c>
      <c r="P20" s="73">
        <f t="shared" ref="P20:P22" si="1">SUM(K20:O20)</f>
        <v>1176168</v>
      </c>
    </row>
    <row r="21" spans="2:16">
      <c r="C21" t="s">
        <v>365</v>
      </c>
      <c r="K21" s="78">
        <v>138378</v>
      </c>
      <c r="L21" s="73">
        <v>1513</v>
      </c>
      <c r="M21" s="73">
        <v>32269</v>
      </c>
      <c r="N21" s="73"/>
      <c r="O21" s="73">
        <v>281845</v>
      </c>
      <c r="P21" s="73">
        <f t="shared" si="1"/>
        <v>454005</v>
      </c>
    </row>
    <row r="22" spans="2:16">
      <c r="C22" t="s">
        <v>87</v>
      </c>
      <c r="K22" s="73"/>
      <c r="L22" s="73"/>
      <c r="M22" s="73"/>
      <c r="N22" s="73"/>
      <c r="O22" s="73">
        <v>118988</v>
      </c>
      <c r="P22" s="73">
        <f t="shared" si="1"/>
        <v>118988</v>
      </c>
    </row>
    <row r="23" spans="2:16">
      <c r="K23" s="73"/>
      <c r="L23" s="73"/>
      <c r="M23" s="73"/>
      <c r="N23" s="73"/>
      <c r="O23" s="73"/>
      <c r="P23" s="73"/>
    </row>
    <row r="24" spans="2:16" s="5" customFormat="1">
      <c r="B24" s="6"/>
      <c r="C24" s="6"/>
      <c r="D24" s="6"/>
      <c r="E24" s="6" t="s">
        <v>26</v>
      </c>
      <c r="K24" s="79">
        <f t="shared" ref="K24:P24" si="2">SUM(K18:K22)</f>
        <v>1625842</v>
      </c>
      <c r="L24" s="79">
        <f t="shared" si="2"/>
        <v>93467</v>
      </c>
      <c r="M24" s="79">
        <f t="shared" si="2"/>
        <v>246248</v>
      </c>
      <c r="N24" s="79">
        <f t="shared" si="2"/>
        <v>3283863</v>
      </c>
      <c r="O24" s="79">
        <f t="shared" si="2"/>
        <v>1906486</v>
      </c>
      <c r="P24" s="79">
        <f t="shared" si="2"/>
        <v>7155906</v>
      </c>
    </row>
    <row r="25" spans="2:16">
      <c r="K25" s="73"/>
      <c r="L25" s="73"/>
      <c r="M25" s="73"/>
      <c r="N25" s="73"/>
      <c r="O25" s="73"/>
      <c r="P25" s="73"/>
    </row>
    <row r="26" spans="2:16">
      <c r="B26" s="86" t="s">
        <v>30</v>
      </c>
      <c r="K26" s="73"/>
      <c r="L26" s="73"/>
      <c r="M26" s="73"/>
      <c r="N26" s="73"/>
      <c r="O26" s="73"/>
      <c r="P26" s="73"/>
    </row>
    <row r="27" spans="2:16">
      <c r="C27" t="s">
        <v>637</v>
      </c>
      <c r="K27" s="80">
        <v>38724</v>
      </c>
      <c r="L27" s="73"/>
      <c r="M27" s="73"/>
      <c r="N27" s="73"/>
      <c r="O27" s="73">
        <v>114164</v>
      </c>
      <c r="P27" s="73">
        <f>SUM(K27:O27)</f>
        <v>152888</v>
      </c>
    </row>
    <row r="28" spans="2:16">
      <c r="C28" t="s">
        <v>638</v>
      </c>
      <c r="K28" s="73"/>
      <c r="L28" s="73"/>
      <c r="M28" s="73"/>
      <c r="N28" s="73"/>
      <c r="O28" s="73"/>
      <c r="P28" s="73"/>
    </row>
    <row r="29" spans="2:16">
      <c r="D29" t="s">
        <v>107</v>
      </c>
      <c r="K29" s="73"/>
      <c r="L29" s="73"/>
      <c r="M29" s="73"/>
      <c r="N29" s="73"/>
      <c r="O29" s="73">
        <v>6188701</v>
      </c>
      <c r="P29" s="73">
        <f t="shared" ref="P29:P36" si="3">SUM(K29:O29)</f>
        <v>6188701</v>
      </c>
    </row>
    <row r="30" spans="2:16">
      <c r="D30" t="s">
        <v>73</v>
      </c>
      <c r="K30" s="73"/>
      <c r="L30" s="73"/>
      <c r="M30" s="73"/>
      <c r="N30" s="73"/>
      <c r="O30" s="73">
        <v>1701771</v>
      </c>
      <c r="P30" s="73">
        <f t="shared" si="3"/>
        <v>1701771</v>
      </c>
    </row>
    <row r="31" spans="2:16">
      <c r="D31" t="s">
        <v>42</v>
      </c>
      <c r="K31" s="73"/>
      <c r="L31" s="73"/>
      <c r="M31" s="73"/>
      <c r="N31" s="73"/>
      <c r="O31" s="73">
        <v>1059444</v>
      </c>
      <c r="P31" s="73">
        <f t="shared" si="3"/>
        <v>1059444</v>
      </c>
    </row>
    <row r="32" spans="2:16">
      <c r="D32" t="s">
        <v>106</v>
      </c>
      <c r="K32" s="80">
        <v>5085694</v>
      </c>
      <c r="L32" s="73"/>
      <c r="M32" s="73"/>
      <c r="N32" s="73"/>
      <c r="O32" s="73">
        <v>1432807</v>
      </c>
      <c r="P32" s="73">
        <f t="shared" si="3"/>
        <v>6518501</v>
      </c>
    </row>
    <row r="33" spans="3:16">
      <c r="D33" t="s">
        <v>639</v>
      </c>
      <c r="K33" s="73"/>
      <c r="L33" s="73"/>
      <c r="M33" s="73"/>
      <c r="N33" s="73"/>
      <c r="O33" s="73">
        <v>5035904</v>
      </c>
      <c r="P33" s="73">
        <f t="shared" si="3"/>
        <v>5035904</v>
      </c>
    </row>
    <row r="34" spans="3:16">
      <c r="D34" t="s">
        <v>70</v>
      </c>
      <c r="K34" s="73"/>
      <c r="L34" s="73">
        <v>5768418</v>
      </c>
      <c r="M34" s="73"/>
      <c r="N34" s="73"/>
      <c r="O34" s="73">
        <v>7611437</v>
      </c>
      <c r="P34" s="73">
        <f t="shared" si="3"/>
        <v>13379855</v>
      </c>
    </row>
    <row r="35" spans="3:16">
      <c r="D35" t="s">
        <v>72</v>
      </c>
      <c r="K35" s="73"/>
      <c r="L35" s="73"/>
      <c r="M35" s="73"/>
      <c r="N35" s="73"/>
      <c r="O35" s="73">
        <v>2961101</v>
      </c>
      <c r="P35" s="73">
        <f t="shared" si="3"/>
        <v>2961101</v>
      </c>
    </row>
    <row r="36" spans="3:16">
      <c r="D36" t="s">
        <v>224</v>
      </c>
      <c r="K36" s="73"/>
      <c r="L36" s="73"/>
      <c r="M36" s="73">
        <v>7296604</v>
      </c>
      <c r="N36" s="73"/>
      <c r="O36" s="73">
        <v>0</v>
      </c>
      <c r="P36" s="73">
        <f t="shared" si="3"/>
        <v>7296604</v>
      </c>
    </row>
    <row r="37" spans="3:16">
      <c r="C37" t="s">
        <v>640</v>
      </c>
      <c r="K37" s="73"/>
      <c r="L37" s="73"/>
      <c r="M37" s="73"/>
      <c r="N37" s="73"/>
      <c r="O37" s="73"/>
    </row>
    <row r="38" spans="3:16">
      <c r="D38" t="s">
        <v>68</v>
      </c>
      <c r="K38" s="73"/>
      <c r="L38" s="73"/>
      <c r="M38" s="73"/>
      <c r="N38" s="73"/>
      <c r="O38" s="73">
        <v>510732</v>
      </c>
      <c r="P38" s="73">
        <f>SUM(K38:O38)</f>
        <v>510732</v>
      </c>
    </row>
    <row r="39" spans="3:16">
      <c r="D39" t="s">
        <v>639</v>
      </c>
      <c r="K39" s="73"/>
      <c r="L39" s="73"/>
      <c r="M39" s="73"/>
      <c r="N39" s="73"/>
      <c r="O39" s="73">
        <v>256815</v>
      </c>
      <c r="P39" s="73">
        <f>SUM(K39:O39)</f>
        <v>256815</v>
      </c>
    </row>
    <row r="40" spans="3:16">
      <c r="D40" t="s">
        <v>641</v>
      </c>
      <c r="K40" s="73"/>
      <c r="L40" s="73"/>
      <c r="M40" s="73"/>
      <c r="N40" s="73"/>
      <c r="O40" s="73">
        <v>19106</v>
      </c>
      <c r="P40" s="73">
        <f>SUM(K40:O40)</f>
        <v>19106</v>
      </c>
    </row>
    <row r="41" spans="3:16">
      <c r="C41" t="s">
        <v>642</v>
      </c>
      <c r="K41" s="73"/>
      <c r="L41" s="73"/>
      <c r="M41" s="73"/>
      <c r="N41" s="73"/>
      <c r="O41" s="73"/>
    </row>
    <row r="42" spans="3:16">
      <c r="D42" t="s">
        <v>68</v>
      </c>
      <c r="K42" s="73"/>
      <c r="L42" s="73"/>
      <c r="M42" s="73"/>
      <c r="N42" s="73"/>
      <c r="O42" s="73">
        <v>19839</v>
      </c>
      <c r="P42" s="73">
        <f>SUM(K42:O42)</f>
        <v>19839</v>
      </c>
    </row>
    <row r="43" spans="3:16">
      <c r="D43" t="s">
        <v>106</v>
      </c>
      <c r="K43" s="73"/>
      <c r="L43" s="73"/>
      <c r="M43" s="73"/>
      <c r="N43" s="73"/>
      <c r="O43" s="73">
        <v>9409</v>
      </c>
      <c r="P43" s="73">
        <f>SUM(K43:O43)</f>
        <v>9409</v>
      </c>
    </row>
    <row r="44" spans="3:16">
      <c r="D44" t="s">
        <v>224</v>
      </c>
      <c r="K44" s="73"/>
      <c r="L44" s="73"/>
      <c r="M44" s="73"/>
      <c r="N44" s="73"/>
      <c r="O44" s="73">
        <v>136213</v>
      </c>
      <c r="P44" s="73">
        <f>SUM(K44:O44)</f>
        <v>136213</v>
      </c>
    </row>
    <row r="45" spans="3:16">
      <c r="C45" t="s">
        <v>46</v>
      </c>
      <c r="K45" s="84">
        <v>4295190</v>
      </c>
      <c r="L45" s="73"/>
      <c r="M45" s="73"/>
      <c r="N45" s="73">
        <v>-215373</v>
      </c>
      <c r="O45" s="73">
        <v>-18221</v>
      </c>
      <c r="P45" s="73">
        <f>SUM(K45:O45)</f>
        <v>4061596</v>
      </c>
    </row>
    <row r="46" spans="3:16">
      <c r="K46" s="73"/>
      <c r="L46" s="73"/>
      <c r="M46" s="73"/>
      <c r="N46" s="73"/>
      <c r="O46" s="73"/>
      <c r="P46" s="73"/>
    </row>
    <row r="47" spans="3:16" s="5" customFormat="1">
      <c r="D47" s="6"/>
      <c r="E47" s="6" t="s">
        <v>77</v>
      </c>
      <c r="K47" s="79">
        <f>SUM(K27:K45)</f>
        <v>9419608</v>
      </c>
      <c r="L47" s="79">
        <f>SUM(L28:L45)</f>
        <v>5768418</v>
      </c>
      <c r="M47" s="79">
        <f>SUM(M28:M45)</f>
        <v>7296604</v>
      </c>
      <c r="N47" s="79">
        <f>SUM(N28:N45)</f>
        <v>-215373</v>
      </c>
      <c r="O47" s="79">
        <f>SUM(O27:O45)</f>
        <v>27039222</v>
      </c>
      <c r="P47" s="79">
        <f>SUM(P27:P46)</f>
        <v>49308479</v>
      </c>
    </row>
    <row r="48" spans="3:16">
      <c r="K48" s="73"/>
      <c r="L48" s="73"/>
      <c r="M48" s="73"/>
      <c r="N48" s="73"/>
      <c r="O48" s="73"/>
      <c r="P48" s="73"/>
    </row>
    <row r="49" spans="4:16" s="7" customFormat="1">
      <c r="D49" s="8"/>
      <c r="E49" s="8" t="s">
        <v>48</v>
      </c>
      <c r="K49" s="81">
        <f>SUM(K47,K24)</f>
        <v>11045450</v>
      </c>
      <c r="L49" s="81">
        <f>SUM(L24,L47)</f>
        <v>5861885</v>
      </c>
      <c r="M49" s="81">
        <f>SUM(M24,M47)</f>
        <v>7542852</v>
      </c>
      <c r="N49" s="81">
        <f>SUM(N24,N47)</f>
        <v>3068490</v>
      </c>
      <c r="O49" s="81">
        <f>SUM(O47+O24)</f>
        <v>28945708</v>
      </c>
      <c r="P49" s="81">
        <f>SUM(P24+P47)</f>
        <v>56464385</v>
      </c>
    </row>
  </sheetData>
  <mergeCells count="3">
    <mergeCell ref="D1:K1"/>
    <mergeCell ref="D2:K2"/>
    <mergeCell ref="K3:N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R40"/>
  <sheetViews>
    <sheetView workbookViewId="0">
      <selection activeCell="M4" sqref="M4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7.42578125" customWidth="1"/>
    <col min="11" max="11" width="16.28515625" customWidth="1"/>
    <col min="12" max="13" width="16.42578125" customWidth="1"/>
    <col min="14" max="16" width="19" customWidth="1"/>
    <col min="17" max="17" width="19.42578125" customWidth="1"/>
    <col min="18" max="18" width="19.85546875" bestFit="1" customWidth="1"/>
  </cols>
  <sheetData>
    <row r="1" spans="1:18" ht="18.75">
      <c r="D1" s="251" t="s">
        <v>643</v>
      </c>
      <c r="E1" s="251"/>
      <c r="F1" s="251"/>
      <c r="G1" s="251"/>
      <c r="H1" s="251"/>
      <c r="I1" s="251"/>
      <c r="J1" s="251"/>
      <c r="K1" s="251"/>
    </row>
    <row r="2" spans="1:18">
      <c r="D2" s="252" t="s">
        <v>1</v>
      </c>
      <c r="E2" s="252"/>
      <c r="F2" s="252"/>
      <c r="G2" s="252"/>
      <c r="H2" s="252"/>
      <c r="I2" s="252"/>
      <c r="J2" s="252"/>
      <c r="K2" s="252"/>
    </row>
    <row r="4" spans="1:18" ht="45">
      <c r="K4" s="1" t="s">
        <v>50</v>
      </c>
      <c r="L4" s="1" t="s">
        <v>644</v>
      </c>
      <c r="M4" s="1" t="s">
        <v>310</v>
      </c>
      <c r="N4" s="1" t="s">
        <v>645</v>
      </c>
      <c r="O4" s="1" t="s">
        <v>646</v>
      </c>
      <c r="P4" s="1" t="s">
        <v>647</v>
      </c>
      <c r="Q4" s="1" t="s">
        <v>596</v>
      </c>
      <c r="R4" s="1" t="s">
        <v>7</v>
      </c>
    </row>
    <row r="5" spans="1:18">
      <c r="A5" s="86" t="s">
        <v>8</v>
      </c>
    </row>
    <row r="6" spans="1:18">
      <c r="B6" t="s">
        <v>85</v>
      </c>
      <c r="K6" s="72">
        <v>123594</v>
      </c>
      <c r="L6" s="73">
        <v>4161873</v>
      </c>
      <c r="M6" s="73">
        <v>711962</v>
      </c>
      <c r="N6" s="73">
        <v>7013264</v>
      </c>
      <c r="O6" s="73">
        <v>13936598</v>
      </c>
      <c r="P6" s="73">
        <v>15780917</v>
      </c>
      <c r="Q6" s="73">
        <v>26975412</v>
      </c>
      <c r="R6" s="73">
        <f t="shared" ref="R6:R14" si="0">SUM(K6:Q6)</f>
        <v>68703620</v>
      </c>
    </row>
    <row r="7" spans="1:18">
      <c r="B7" t="s">
        <v>648</v>
      </c>
      <c r="K7" s="73"/>
      <c r="L7" s="73"/>
      <c r="M7" s="73"/>
      <c r="N7" s="73"/>
      <c r="O7" s="73"/>
      <c r="P7" s="73"/>
      <c r="Q7" s="73"/>
      <c r="R7" s="73">
        <f t="shared" si="0"/>
        <v>0</v>
      </c>
    </row>
    <row r="8" spans="1:18">
      <c r="C8" t="s">
        <v>311</v>
      </c>
      <c r="K8" s="74">
        <v>111895</v>
      </c>
      <c r="L8" s="73"/>
      <c r="M8" s="73"/>
      <c r="N8" s="73"/>
      <c r="O8" s="73"/>
      <c r="P8" s="73"/>
      <c r="Q8" s="73">
        <v>219852</v>
      </c>
      <c r="R8" s="73">
        <f t="shared" si="0"/>
        <v>331747</v>
      </c>
    </row>
    <row r="9" spans="1:18">
      <c r="C9" t="s">
        <v>152</v>
      </c>
      <c r="K9" s="74">
        <v>2057106</v>
      </c>
      <c r="L9" s="73"/>
      <c r="M9" s="73"/>
      <c r="N9" s="73">
        <v>5062424</v>
      </c>
      <c r="O9" s="73"/>
      <c r="P9" s="73"/>
      <c r="Q9" s="73">
        <v>4378926</v>
      </c>
      <c r="R9" s="73">
        <f t="shared" si="0"/>
        <v>11498456</v>
      </c>
    </row>
    <row r="10" spans="1:18">
      <c r="C10" t="s">
        <v>598</v>
      </c>
      <c r="K10" s="74">
        <v>14987</v>
      </c>
      <c r="L10" s="73">
        <v>1469962</v>
      </c>
      <c r="M10" s="73">
        <v>567302</v>
      </c>
      <c r="N10" s="73"/>
      <c r="O10" s="73"/>
      <c r="P10" s="73"/>
      <c r="Q10" s="73">
        <v>1325009</v>
      </c>
      <c r="R10" s="73">
        <f t="shared" si="0"/>
        <v>3377260</v>
      </c>
    </row>
    <row r="11" spans="1:18">
      <c r="C11" t="s">
        <v>45</v>
      </c>
      <c r="K11" s="82">
        <v>139</v>
      </c>
      <c r="L11" s="73"/>
      <c r="M11" s="73">
        <v>65275</v>
      </c>
      <c r="N11" s="73"/>
      <c r="O11" s="73"/>
      <c r="P11" s="73"/>
      <c r="Q11" s="73">
        <v>107191</v>
      </c>
      <c r="R11" s="73">
        <f t="shared" si="0"/>
        <v>172605</v>
      </c>
    </row>
    <row r="12" spans="1:18">
      <c r="B12" t="s">
        <v>16</v>
      </c>
      <c r="K12" s="75">
        <v>1135361</v>
      </c>
      <c r="L12" s="73">
        <v>1629607</v>
      </c>
      <c r="M12" s="73">
        <v>972192</v>
      </c>
      <c r="N12" s="73"/>
      <c r="O12" s="73"/>
      <c r="P12" s="73"/>
      <c r="Q12" s="73">
        <v>943163</v>
      </c>
      <c r="R12" s="73">
        <f t="shared" si="0"/>
        <v>4680323</v>
      </c>
    </row>
    <row r="13" spans="1:18">
      <c r="B13" t="s">
        <v>59</v>
      </c>
      <c r="K13" s="75">
        <v>52301</v>
      </c>
      <c r="L13" s="73"/>
      <c r="M13" s="73">
        <v>956268</v>
      </c>
      <c r="N13" s="73"/>
      <c r="O13" s="73"/>
      <c r="P13" s="73"/>
      <c r="Q13" s="73">
        <v>2087713</v>
      </c>
      <c r="R13" s="73">
        <f t="shared" si="0"/>
        <v>3096282</v>
      </c>
    </row>
    <row r="14" spans="1:18">
      <c r="B14" t="s">
        <v>100</v>
      </c>
      <c r="K14" s="83">
        <v>48645</v>
      </c>
      <c r="L14" s="73"/>
      <c r="M14" s="73">
        <v>70698</v>
      </c>
      <c r="N14" s="73"/>
      <c r="O14" s="73"/>
      <c r="P14" s="73"/>
      <c r="Q14" s="73">
        <v>31239</v>
      </c>
      <c r="R14" s="73">
        <f t="shared" si="0"/>
        <v>150582</v>
      </c>
    </row>
    <row r="15" spans="1:18">
      <c r="K15" s="73"/>
      <c r="L15" s="73"/>
      <c r="M15" s="73"/>
      <c r="N15" s="73"/>
      <c r="O15" s="73"/>
      <c r="P15" s="73"/>
      <c r="Q15" s="73"/>
      <c r="R15" s="73"/>
    </row>
    <row r="16" spans="1:18" s="3" customFormat="1">
      <c r="A16" s="2"/>
      <c r="B16" s="2"/>
      <c r="C16" s="2"/>
      <c r="D16" s="2"/>
      <c r="E16" s="2" t="s">
        <v>18</v>
      </c>
      <c r="K16" s="76">
        <f>SUM(K6:K14)</f>
        <v>3544028</v>
      </c>
      <c r="L16" s="76">
        <f>SUM(L6:L14)</f>
        <v>7261442</v>
      </c>
      <c r="M16" s="76">
        <f>SUM(M6:M14)</f>
        <v>3343697</v>
      </c>
      <c r="N16" s="76">
        <f>SUM(N6:N14)</f>
        <v>12075688</v>
      </c>
      <c r="O16" s="76">
        <f>SUM(O6:O14)</f>
        <v>13936598</v>
      </c>
      <c r="P16" s="76">
        <f>SUM(P6)</f>
        <v>15780917</v>
      </c>
      <c r="Q16" s="76">
        <f>SUM(Q6:Q15)</f>
        <v>36068505</v>
      </c>
      <c r="R16" s="76">
        <f>SUM(R6:R14)</f>
        <v>92010875</v>
      </c>
    </row>
    <row r="17" spans="1:18">
      <c r="K17" s="73"/>
      <c r="L17" s="73"/>
      <c r="M17" s="73"/>
      <c r="N17" s="73"/>
      <c r="O17" s="73"/>
      <c r="P17" s="73"/>
      <c r="Q17" s="73"/>
      <c r="R17" s="73"/>
    </row>
    <row r="18" spans="1:18">
      <c r="A18" s="4" t="s">
        <v>19</v>
      </c>
      <c r="K18" s="73"/>
      <c r="L18" s="73"/>
      <c r="M18" s="73"/>
      <c r="N18" s="73"/>
      <c r="O18" s="73"/>
      <c r="P18" s="73"/>
      <c r="Q18" s="73"/>
      <c r="R18" s="73"/>
    </row>
    <row r="19" spans="1:18">
      <c r="B19" t="s">
        <v>20</v>
      </c>
      <c r="K19" s="73"/>
      <c r="L19" s="73"/>
      <c r="M19" s="73"/>
      <c r="N19" s="73"/>
      <c r="O19" s="73"/>
      <c r="P19" s="73"/>
      <c r="Q19" s="73"/>
      <c r="R19" s="73"/>
    </row>
    <row r="20" spans="1:18">
      <c r="C20" t="s">
        <v>242</v>
      </c>
      <c r="K20" s="77">
        <v>817576</v>
      </c>
      <c r="L20" s="73"/>
      <c r="M20" s="73">
        <v>1064620</v>
      </c>
      <c r="N20" s="73"/>
      <c r="O20" s="73"/>
      <c r="P20" s="73">
        <v>316408</v>
      </c>
      <c r="Q20" s="73">
        <v>1878308</v>
      </c>
      <c r="R20" s="73">
        <f>SUM(K20:Q20)</f>
        <v>4076912</v>
      </c>
    </row>
    <row r="21" spans="1:18">
      <c r="C21" t="s">
        <v>366</v>
      </c>
      <c r="K21" s="73"/>
      <c r="L21" s="73"/>
      <c r="M21" s="73">
        <v>172537</v>
      </c>
      <c r="N21" s="73"/>
      <c r="O21" s="73"/>
      <c r="P21" s="73">
        <v>87391</v>
      </c>
      <c r="Q21" s="73">
        <v>682441</v>
      </c>
      <c r="R21" s="73">
        <f>SUM(K21:Q21)</f>
        <v>942369</v>
      </c>
    </row>
    <row r="22" spans="1:18">
      <c r="C22" t="s">
        <v>25</v>
      </c>
      <c r="K22" s="78">
        <v>663101</v>
      </c>
      <c r="L22" s="73">
        <v>100000</v>
      </c>
      <c r="M22" s="73">
        <v>162856</v>
      </c>
      <c r="N22" s="73"/>
      <c r="O22" s="73"/>
      <c r="P22" s="73"/>
      <c r="Q22" s="73">
        <v>2553798</v>
      </c>
      <c r="R22" s="73">
        <f>SUM(K22:Q22)</f>
        <v>3479755</v>
      </c>
    </row>
    <row r="23" spans="1:18">
      <c r="C23" t="s">
        <v>87</v>
      </c>
      <c r="K23" s="73"/>
      <c r="L23" s="73"/>
      <c r="M23" s="73"/>
      <c r="N23" s="73"/>
      <c r="O23" s="73"/>
      <c r="P23" s="73"/>
      <c r="Q23" s="73">
        <v>21935</v>
      </c>
      <c r="R23" s="73">
        <f>SUM(K23:Q23)</f>
        <v>21935</v>
      </c>
    </row>
    <row r="24" spans="1:18">
      <c r="K24" s="73"/>
      <c r="L24" s="73"/>
      <c r="M24" s="73"/>
      <c r="N24" s="73"/>
      <c r="O24" s="73"/>
      <c r="P24" s="73"/>
      <c r="Q24" s="73"/>
      <c r="R24" s="73"/>
    </row>
    <row r="25" spans="1:18" s="5" customFormat="1">
      <c r="B25" s="6"/>
      <c r="C25" s="6"/>
      <c r="D25" s="6"/>
      <c r="E25" s="6" t="s">
        <v>26</v>
      </c>
      <c r="K25" s="79">
        <f>SUM(K20:K23)</f>
        <v>1480677</v>
      </c>
      <c r="L25" s="79">
        <f>SUM(L20:L22)</f>
        <v>100000</v>
      </c>
      <c r="M25" s="79">
        <f>SUM(M20:M22)</f>
        <v>1400013</v>
      </c>
      <c r="N25" s="79">
        <f>SUM(N20:N22)</f>
        <v>0</v>
      </c>
      <c r="O25" s="79">
        <f>SUM(O20:O22)</f>
        <v>0</v>
      </c>
      <c r="P25" s="79">
        <f>SUM(P20:P23)</f>
        <v>403799</v>
      </c>
      <c r="Q25" s="79">
        <f>SUM(Q20:Q23)</f>
        <v>5136482</v>
      </c>
      <c r="R25" s="79">
        <f>SUM(R20:R23)</f>
        <v>8520971</v>
      </c>
    </row>
    <row r="26" spans="1:18">
      <c r="K26" s="73"/>
      <c r="L26" s="73"/>
      <c r="M26" s="73"/>
      <c r="N26" s="73"/>
      <c r="O26" s="73"/>
      <c r="P26" s="73"/>
      <c r="Q26" s="73"/>
      <c r="R26" s="73"/>
    </row>
    <row r="27" spans="1:18">
      <c r="A27" s="71" t="s">
        <v>27</v>
      </c>
      <c r="K27" s="73"/>
      <c r="L27" s="73"/>
      <c r="M27" s="73"/>
      <c r="N27" s="73"/>
      <c r="O27" s="73"/>
      <c r="P27" s="73"/>
      <c r="Q27" s="73"/>
      <c r="R27" s="73"/>
    </row>
    <row r="28" spans="1:18">
      <c r="C28" t="s">
        <v>103</v>
      </c>
      <c r="K28" s="73">
        <v>54842</v>
      </c>
      <c r="L28" s="73"/>
      <c r="M28" s="73">
        <v>201184</v>
      </c>
      <c r="N28" s="73"/>
      <c r="O28" s="73"/>
      <c r="P28" s="73"/>
      <c r="Q28" s="73">
        <v>1845768</v>
      </c>
      <c r="R28" s="73">
        <f>SUM(K28:Q28)</f>
        <v>2101794</v>
      </c>
    </row>
    <row r="29" spans="1:18">
      <c r="K29" s="73"/>
      <c r="L29" s="73"/>
      <c r="M29" s="73"/>
      <c r="N29" s="73"/>
      <c r="O29" s="73"/>
      <c r="P29" s="73"/>
      <c r="Q29" s="73"/>
      <c r="R29" s="73"/>
    </row>
    <row r="30" spans="1:18" s="5" customFormat="1">
      <c r="B30" s="6"/>
      <c r="C30" s="6"/>
      <c r="D30" s="6"/>
      <c r="E30" s="6" t="s">
        <v>522</v>
      </c>
      <c r="K30" s="79">
        <f>K28</f>
        <v>54842</v>
      </c>
      <c r="L30" s="79">
        <f>SUM(L28)</f>
        <v>0</v>
      </c>
      <c r="M30" s="79">
        <f t="shared" ref="M30:R30" si="1">SUM(M28)</f>
        <v>201184</v>
      </c>
      <c r="N30" s="79">
        <f t="shared" si="1"/>
        <v>0</v>
      </c>
      <c r="O30" s="79">
        <f t="shared" si="1"/>
        <v>0</v>
      </c>
      <c r="P30" s="79"/>
      <c r="Q30" s="79">
        <f t="shared" si="1"/>
        <v>1845768</v>
      </c>
      <c r="R30" s="79">
        <f t="shared" si="1"/>
        <v>2101794</v>
      </c>
    </row>
    <row r="31" spans="1:18">
      <c r="K31" s="73"/>
      <c r="L31" s="73"/>
      <c r="M31" s="73"/>
      <c r="N31" s="73"/>
      <c r="O31" s="73"/>
      <c r="P31" s="73"/>
      <c r="Q31" s="73"/>
      <c r="R31" s="73"/>
    </row>
    <row r="32" spans="1:18">
      <c r="B32" t="s">
        <v>30</v>
      </c>
      <c r="K32" s="73"/>
      <c r="L32" s="73"/>
      <c r="M32" s="73"/>
      <c r="N32" s="73"/>
      <c r="O32" s="73"/>
      <c r="P32" s="73"/>
      <c r="Q32" s="73"/>
      <c r="R32" s="73"/>
    </row>
    <row r="33" spans="3:18">
      <c r="C33" t="s">
        <v>475</v>
      </c>
      <c r="K33" s="80">
        <v>48645</v>
      </c>
      <c r="L33" s="73"/>
      <c r="M33" s="73">
        <v>70698</v>
      </c>
      <c r="N33" s="73"/>
      <c r="O33" s="73"/>
      <c r="P33" s="73"/>
      <c r="Q33" s="73">
        <v>31239</v>
      </c>
      <c r="R33" s="73">
        <f>SUM(K33:Q33)</f>
        <v>150582</v>
      </c>
    </row>
    <row r="34" spans="3:18">
      <c r="C34" t="s">
        <v>88</v>
      </c>
      <c r="K34" s="73"/>
      <c r="L34" s="73">
        <v>7161442</v>
      </c>
      <c r="M34" s="73">
        <v>1671802</v>
      </c>
      <c r="N34" s="73">
        <v>12075688</v>
      </c>
      <c r="O34" s="73"/>
      <c r="P34" s="73"/>
      <c r="Q34" s="73">
        <v>23007658</v>
      </c>
      <c r="R34" s="73">
        <f>SUM(K34:Q34)</f>
        <v>43916590</v>
      </c>
    </row>
    <row r="35" spans="3:18">
      <c r="C35" t="s">
        <v>259</v>
      </c>
      <c r="K35" s="73"/>
      <c r="L35" s="73"/>
      <c r="M35" s="73"/>
      <c r="N35" s="73"/>
      <c r="O35" s="73">
        <v>13936598</v>
      </c>
      <c r="P35" s="73">
        <v>15377118</v>
      </c>
      <c r="Q35" s="73">
        <v>6047358</v>
      </c>
      <c r="R35" s="73">
        <f t="shared" ref="R35:R36" si="2">SUM(K35:Q35)</f>
        <v>35361074</v>
      </c>
    </row>
    <row r="36" spans="3:18">
      <c r="C36" t="s">
        <v>46</v>
      </c>
      <c r="K36" s="84">
        <v>1959864</v>
      </c>
      <c r="L36" s="73"/>
      <c r="M36" s="73"/>
      <c r="N36" s="73"/>
      <c r="O36" s="73"/>
      <c r="P36" s="73"/>
      <c r="Q36" s="73"/>
      <c r="R36" s="73">
        <f t="shared" si="2"/>
        <v>1959864</v>
      </c>
    </row>
    <row r="37" spans="3:18">
      <c r="K37" s="73"/>
      <c r="L37" s="73"/>
      <c r="M37" s="73"/>
      <c r="N37" s="73"/>
      <c r="O37" s="73"/>
      <c r="P37" s="73"/>
      <c r="Q37" s="73"/>
      <c r="R37" s="73"/>
    </row>
    <row r="38" spans="3:18" s="5" customFormat="1">
      <c r="D38" s="6"/>
      <c r="E38" s="6" t="s">
        <v>77</v>
      </c>
      <c r="K38" s="79">
        <f>SUM(K33:K36)</f>
        <v>2008509</v>
      </c>
      <c r="L38" s="79">
        <f t="shared" ref="L38:Q38" si="3">SUM(L33:L36)</f>
        <v>7161442</v>
      </c>
      <c r="M38" s="79">
        <f t="shared" si="3"/>
        <v>1742500</v>
      </c>
      <c r="N38" s="79">
        <f t="shared" si="3"/>
        <v>12075688</v>
      </c>
      <c r="O38" s="79">
        <f t="shared" si="3"/>
        <v>13936598</v>
      </c>
      <c r="P38" s="79">
        <f>SUM(P33:P36)</f>
        <v>15377118</v>
      </c>
      <c r="Q38" s="79">
        <f t="shared" si="3"/>
        <v>29086255</v>
      </c>
      <c r="R38" s="79">
        <f>SUM(R33:R36)</f>
        <v>81388110</v>
      </c>
    </row>
    <row r="39" spans="3:18">
      <c r="K39" s="73"/>
      <c r="L39" s="73"/>
      <c r="M39" s="73"/>
      <c r="N39" s="73"/>
      <c r="O39" s="73"/>
      <c r="P39" s="73"/>
      <c r="Q39" s="73"/>
      <c r="R39" s="73"/>
    </row>
    <row r="40" spans="3:18" s="7" customFormat="1">
      <c r="D40" s="8"/>
      <c r="E40" s="8" t="s">
        <v>583</v>
      </c>
      <c r="K40" s="81">
        <f>SUM(K38,K25,K30)</f>
        <v>3544028</v>
      </c>
      <c r="L40" s="81">
        <f t="shared" ref="L40:R40" si="4">SUM(L38,L25,L30)</f>
        <v>7261442</v>
      </c>
      <c r="M40" s="81">
        <f t="shared" si="4"/>
        <v>3343697</v>
      </c>
      <c r="N40" s="81">
        <f t="shared" si="4"/>
        <v>12075688</v>
      </c>
      <c r="O40" s="81">
        <f t="shared" si="4"/>
        <v>13936598</v>
      </c>
      <c r="P40" s="81">
        <f>SUM(P25+P30+P38)</f>
        <v>15780917</v>
      </c>
      <c r="Q40" s="81">
        <f t="shared" si="4"/>
        <v>36068505</v>
      </c>
      <c r="R40" s="81">
        <f t="shared" si="4"/>
        <v>92010875</v>
      </c>
    </row>
  </sheetData>
  <mergeCells count="2">
    <mergeCell ref="D1:K1"/>
    <mergeCell ref="D2:K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52"/>
  <sheetViews>
    <sheetView zoomScale="80" zoomScaleNormal="80" zoomScalePageLayoutView="80" workbookViewId="0">
      <selection activeCell="S61" sqref="S61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20.7109375" customWidth="1"/>
    <col min="11" max="11" width="16.28515625" customWidth="1"/>
    <col min="12" max="13" width="16.42578125" customWidth="1"/>
    <col min="14" max="16" width="19.42578125" customWidth="1"/>
    <col min="17" max="17" width="16.85546875" customWidth="1"/>
    <col min="18" max="18" width="17.42578125" customWidth="1"/>
    <col min="19" max="19" width="17" customWidth="1"/>
    <col min="20" max="20" width="18.28515625" customWidth="1"/>
  </cols>
  <sheetData>
    <row r="1" spans="1:19" ht="18.75">
      <c r="D1" s="251" t="s">
        <v>649</v>
      </c>
      <c r="E1" s="251"/>
      <c r="F1" s="251"/>
      <c r="G1" s="251"/>
      <c r="H1" s="251"/>
      <c r="I1" s="251"/>
      <c r="J1" s="251"/>
      <c r="K1" s="251"/>
    </row>
    <row r="2" spans="1:19">
      <c r="D2" s="252" t="s">
        <v>650</v>
      </c>
      <c r="E2" s="252"/>
      <c r="F2" s="252"/>
      <c r="G2" s="252"/>
      <c r="H2" s="252"/>
      <c r="I2" s="252"/>
      <c r="J2" s="252"/>
      <c r="K2" s="252"/>
    </row>
    <row r="3" spans="1:19" ht="29.25" customHeight="1">
      <c r="D3" s="57"/>
      <c r="E3" s="57"/>
      <c r="F3" s="57"/>
      <c r="G3" s="57"/>
      <c r="H3" s="57"/>
      <c r="I3" s="57"/>
      <c r="J3" s="57"/>
      <c r="K3" s="252"/>
      <c r="L3" s="252"/>
      <c r="M3" s="252"/>
      <c r="N3" s="252"/>
    </row>
    <row r="4" spans="1:19" ht="15" customHeight="1">
      <c r="K4" s="190"/>
      <c r="L4" s="190"/>
      <c r="M4" s="190"/>
      <c r="N4" s="190"/>
    </row>
    <row r="5" spans="1:19" ht="45">
      <c r="K5" s="1" t="s">
        <v>2</v>
      </c>
      <c r="L5" s="1" t="s">
        <v>651</v>
      </c>
      <c r="M5" s="1" t="s">
        <v>652</v>
      </c>
      <c r="N5" s="1" t="s">
        <v>146</v>
      </c>
      <c r="O5" s="1" t="s">
        <v>653</v>
      </c>
      <c r="P5" s="1" t="s">
        <v>450</v>
      </c>
      <c r="Q5" s="1" t="s">
        <v>149</v>
      </c>
      <c r="R5" s="1" t="s">
        <v>56</v>
      </c>
      <c r="S5" s="1" t="s">
        <v>7</v>
      </c>
    </row>
    <row r="6" spans="1:19">
      <c r="A6" s="86" t="s">
        <v>8</v>
      </c>
    </row>
    <row r="7" spans="1:19">
      <c r="B7" t="s">
        <v>85</v>
      </c>
      <c r="K7" s="72">
        <v>5891187</v>
      </c>
      <c r="L7" s="73">
        <v>8921581</v>
      </c>
      <c r="M7" s="73">
        <v>9392833</v>
      </c>
      <c r="N7" s="73"/>
      <c r="O7" s="73">
        <v>135625</v>
      </c>
      <c r="P7" s="73">
        <v>953504</v>
      </c>
      <c r="Q7" s="73"/>
      <c r="R7" s="73">
        <v>1130870</v>
      </c>
      <c r="S7" s="73">
        <f>SUM(K7:R7)</f>
        <v>26425600</v>
      </c>
    </row>
    <row r="8" spans="1:19">
      <c r="B8" t="s">
        <v>58</v>
      </c>
      <c r="K8" s="74">
        <v>932007</v>
      </c>
      <c r="L8" s="73">
        <v>434625</v>
      </c>
      <c r="M8" s="73">
        <v>211894</v>
      </c>
      <c r="N8" s="73">
        <v>4558475</v>
      </c>
      <c r="O8" s="73">
        <v>1432020</v>
      </c>
      <c r="P8" s="73"/>
      <c r="Q8" s="73">
        <v>240000</v>
      </c>
      <c r="R8" s="73">
        <v>4656787</v>
      </c>
      <c r="S8" s="73">
        <f>SUM(K8:R8)</f>
        <v>12465808</v>
      </c>
    </row>
    <row r="9" spans="1:19">
      <c r="B9" t="s">
        <v>654</v>
      </c>
      <c r="K9" s="75">
        <v>138381</v>
      </c>
      <c r="L9" s="73"/>
      <c r="M9" s="73"/>
      <c r="N9" s="73"/>
      <c r="O9" s="73"/>
      <c r="P9" s="73"/>
      <c r="Q9" s="73"/>
      <c r="R9" s="73"/>
      <c r="S9" s="73">
        <f>SUM(K9:R9)</f>
        <v>138381</v>
      </c>
    </row>
    <row r="10" spans="1:19">
      <c r="B10" t="s">
        <v>16</v>
      </c>
      <c r="K10" s="73"/>
      <c r="L10" s="73"/>
      <c r="M10" s="73"/>
      <c r="N10" s="73">
        <v>5295415</v>
      </c>
      <c r="O10" s="73">
        <v>3845857</v>
      </c>
      <c r="P10" s="73"/>
      <c r="Q10" s="73"/>
      <c r="R10" s="73">
        <v>8747009</v>
      </c>
      <c r="S10" s="73">
        <f>SUM(K10:R10)</f>
        <v>17888281</v>
      </c>
    </row>
    <row r="11" spans="1:19">
      <c r="K11" s="73"/>
      <c r="L11" s="73"/>
      <c r="M11" s="73"/>
      <c r="N11" s="73"/>
      <c r="O11" s="73"/>
      <c r="P11" s="73"/>
      <c r="Q11" s="73"/>
      <c r="R11" s="73"/>
      <c r="S11" s="73"/>
    </row>
    <row r="12" spans="1:19" s="3" customFormat="1">
      <c r="A12" s="2"/>
      <c r="B12" s="2"/>
      <c r="C12" s="2"/>
      <c r="D12" s="2"/>
      <c r="E12" s="2" t="s">
        <v>62</v>
      </c>
      <c r="K12" s="76">
        <f>SUM(K7:K10)</f>
        <v>6961575</v>
      </c>
      <c r="L12" s="76">
        <f>SUM(L7:L10)</f>
        <v>9356206</v>
      </c>
      <c r="M12" s="76">
        <f>SUM(M7:M10)</f>
        <v>9604727</v>
      </c>
      <c r="N12" s="76">
        <f>SUM(N7:N10)</f>
        <v>9853890</v>
      </c>
      <c r="O12" s="76">
        <f t="shared" ref="O12:P12" si="0">SUM(O7:O10)</f>
        <v>5413502</v>
      </c>
      <c r="P12" s="76">
        <f t="shared" si="0"/>
        <v>953504</v>
      </c>
      <c r="Q12" s="76">
        <f>SUM(Q7:Q10)</f>
        <v>240000</v>
      </c>
      <c r="R12" s="76">
        <f>SUM(R7:R10)</f>
        <v>14534666</v>
      </c>
      <c r="S12" s="76">
        <f>SUM(S7:S10)</f>
        <v>56918070</v>
      </c>
    </row>
    <row r="13" spans="1:19">
      <c r="K13" s="73"/>
      <c r="L13" s="73"/>
      <c r="M13" s="73"/>
      <c r="N13" s="73"/>
      <c r="O13" s="73"/>
      <c r="P13" s="73"/>
      <c r="Q13" s="73"/>
      <c r="R13" s="73"/>
      <c r="S13" s="73"/>
    </row>
    <row r="14" spans="1:19">
      <c r="A14" s="4" t="s">
        <v>140</v>
      </c>
      <c r="K14" s="73"/>
      <c r="L14" s="73"/>
      <c r="M14" s="73"/>
      <c r="N14" s="73"/>
      <c r="O14" s="73"/>
      <c r="P14" s="73"/>
      <c r="Q14" s="73"/>
      <c r="R14" s="73"/>
      <c r="S14" s="73"/>
    </row>
    <row r="15" spans="1:19">
      <c r="B15" t="s">
        <v>20</v>
      </c>
      <c r="K15" s="73"/>
      <c r="L15" s="73"/>
      <c r="M15" s="73"/>
      <c r="N15" s="73"/>
      <c r="O15" s="73"/>
      <c r="P15" s="73"/>
      <c r="Q15" s="73"/>
      <c r="R15" s="73"/>
      <c r="S15" s="73"/>
    </row>
    <row r="16" spans="1:19">
      <c r="C16" t="s">
        <v>21</v>
      </c>
      <c r="K16" s="77">
        <v>215747</v>
      </c>
      <c r="L16" s="73">
        <v>197049</v>
      </c>
      <c r="M16" s="73">
        <v>8969</v>
      </c>
      <c r="N16" s="73">
        <v>127806</v>
      </c>
      <c r="O16" s="73"/>
      <c r="P16" s="73"/>
      <c r="Q16" s="73">
        <v>74281</v>
      </c>
      <c r="R16" s="73">
        <v>510711</v>
      </c>
      <c r="S16" s="73">
        <f>SUM(K16:R16)</f>
        <v>1134563</v>
      </c>
    </row>
    <row r="17" spans="1:19">
      <c r="C17" t="s">
        <v>157</v>
      </c>
      <c r="K17" s="77">
        <v>23935</v>
      </c>
      <c r="L17" s="73"/>
      <c r="M17" s="73">
        <v>1811</v>
      </c>
      <c r="N17" s="73">
        <v>33221</v>
      </c>
      <c r="O17" s="73"/>
      <c r="P17" s="73"/>
      <c r="Q17" s="73"/>
      <c r="R17" s="73">
        <v>39940</v>
      </c>
      <c r="S17" s="73">
        <f t="shared" ref="S17:S21" si="1">SUM(K17:R17)</f>
        <v>98907</v>
      </c>
    </row>
    <row r="18" spans="1:19">
      <c r="C18" t="s">
        <v>537</v>
      </c>
      <c r="K18" s="73"/>
      <c r="L18" s="73"/>
      <c r="M18" s="73">
        <v>24101</v>
      </c>
      <c r="N18" s="73"/>
      <c r="O18" s="73"/>
      <c r="P18" s="73"/>
      <c r="Q18" s="73"/>
      <c r="R18" s="73"/>
      <c r="S18" s="73">
        <f t="shared" si="1"/>
        <v>24101</v>
      </c>
    </row>
    <row r="19" spans="1:19">
      <c r="C19" t="s">
        <v>25</v>
      </c>
      <c r="K19" s="78">
        <v>2912257</v>
      </c>
      <c r="L19" s="73">
        <v>1081243</v>
      </c>
      <c r="M19" s="73">
        <v>4641840</v>
      </c>
      <c r="N19" s="73"/>
      <c r="O19" s="73"/>
      <c r="P19" s="73">
        <v>3733175</v>
      </c>
      <c r="Q19" s="73">
        <v>2569001</v>
      </c>
      <c r="R19" s="73">
        <v>2717850</v>
      </c>
      <c r="S19" s="73">
        <f t="shared" si="1"/>
        <v>17655366</v>
      </c>
    </row>
    <row r="20" spans="1:19">
      <c r="C20" t="s">
        <v>655</v>
      </c>
      <c r="K20" s="73"/>
      <c r="L20" s="73"/>
      <c r="M20" s="73"/>
      <c r="N20" s="73"/>
      <c r="O20" s="73"/>
      <c r="P20" s="73"/>
      <c r="Q20" s="73"/>
      <c r="R20" s="73">
        <v>89704</v>
      </c>
      <c r="S20" s="73">
        <f t="shared" si="1"/>
        <v>89704</v>
      </c>
    </row>
    <row r="21" spans="1:19">
      <c r="C21" t="s">
        <v>87</v>
      </c>
      <c r="K21" s="82">
        <v>174640</v>
      </c>
      <c r="L21" s="73"/>
      <c r="M21" s="73"/>
      <c r="N21" s="73"/>
      <c r="O21" s="73"/>
      <c r="P21" s="73"/>
      <c r="Q21" s="73"/>
      <c r="R21" s="73"/>
      <c r="S21" s="73">
        <f t="shared" si="1"/>
        <v>174640</v>
      </c>
    </row>
    <row r="22" spans="1:19">
      <c r="K22" s="73"/>
      <c r="L22" s="73"/>
      <c r="M22" s="73"/>
      <c r="N22" s="73"/>
      <c r="O22" s="73"/>
      <c r="P22" s="73"/>
      <c r="Q22" s="73"/>
      <c r="R22" s="73"/>
      <c r="S22" s="73"/>
    </row>
    <row r="23" spans="1:19" s="5" customFormat="1">
      <c r="B23" s="6"/>
      <c r="C23" s="6"/>
      <c r="D23" s="6"/>
      <c r="E23" s="6" t="s">
        <v>26</v>
      </c>
      <c r="K23" s="79">
        <f t="shared" ref="K23:S23" si="2">SUM(K16:K21)</f>
        <v>3326579</v>
      </c>
      <c r="L23" s="79">
        <f t="shared" si="2"/>
        <v>1278292</v>
      </c>
      <c r="M23" s="79">
        <f t="shared" si="2"/>
        <v>4676721</v>
      </c>
      <c r="N23" s="79">
        <f t="shared" si="2"/>
        <v>161027</v>
      </c>
      <c r="O23" s="79">
        <f t="shared" si="2"/>
        <v>0</v>
      </c>
      <c r="P23" s="79">
        <f t="shared" si="2"/>
        <v>3733175</v>
      </c>
      <c r="Q23" s="79">
        <f t="shared" si="2"/>
        <v>2643282</v>
      </c>
      <c r="R23" s="79">
        <f t="shared" si="2"/>
        <v>3358205</v>
      </c>
      <c r="S23" s="79">
        <f t="shared" si="2"/>
        <v>19177281</v>
      </c>
    </row>
    <row r="24" spans="1:19">
      <c r="K24" s="73"/>
      <c r="L24" s="73"/>
      <c r="M24" s="73"/>
      <c r="N24" s="73"/>
      <c r="O24" s="73"/>
      <c r="P24" s="73"/>
      <c r="Q24" s="73"/>
      <c r="R24" s="73"/>
      <c r="S24" s="73"/>
    </row>
    <row r="25" spans="1:19">
      <c r="A25" s="71" t="s">
        <v>656</v>
      </c>
      <c r="K25" s="73"/>
      <c r="L25" s="73"/>
      <c r="M25" s="73"/>
      <c r="N25" s="73"/>
      <c r="O25" s="73"/>
      <c r="P25" s="73"/>
      <c r="Q25" s="73"/>
      <c r="R25" s="73"/>
      <c r="S25" s="73"/>
    </row>
    <row r="26" spans="1:19">
      <c r="C26" t="s">
        <v>560</v>
      </c>
      <c r="K26" s="85"/>
      <c r="L26" s="85"/>
      <c r="M26" s="85"/>
      <c r="N26" s="85"/>
      <c r="O26" s="85"/>
      <c r="P26" s="85"/>
      <c r="Q26" s="85"/>
      <c r="R26" s="85"/>
      <c r="S26" s="85">
        <f>SUM(K26:R26)</f>
        <v>0</v>
      </c>
    </row>
    <row r="27" spans="1:19">
      <c r="K27" s="73"/>
      <c r="L27" s="73"/>
      <c r="M27" s="73"/>
      <c r="N27" s="73"/>
      <c r="O27" s="73"/>
      <c r="P27" s="73"/>
      <c r="Q27" s="73"/>
      <c r="R27" s="73"/>
      <c r="S27" s="73"/>
    </row>
    <row r="28" spans="1:19">
      <c r="B28" t="s">
        <v>122</v>
      </c>
      <c r="K28" s="73"/>
      <c r="L28" s="73"/>
      <c r="M28" s="73"/>
      <c r="N28" s="73"/>
      <c r="O28" s="73"/>
      <c r="P28" s="73"/>
      <c r="Q28" s="73"/>
      <c r="R28" s="73"/>
      <c r="S28" s="73"/>
    </row>
    <row r="29" spans="1:19">
      <c r="C29" t="s">
        <v>31</v>
      </c>
      <c r="K29" s="73"/>
      <c r="L29" s="73"/>
      <c r="M29" s="73"/>
      <c r="N29" s="73"/>
      <c r="O29" s="73"/>
      <c r="P29" s="73"/>
      <c r="Q29" s="73"/>
      <c r="R29" s="73"/>
      <c r="S29" s="73"/>
    </row>
    <row r="30" spans="1:19">
      <c r="D30" t="s">
        <v>657</v>
      </c>
      <c r="K30" s="73"/>
      <c r="L30" s="73">
        <v>8077914</v>
      </c>
      <c r="M30" s="73">
        <v>4928006</v>
      </c>
      <c r="N30" s="73"/>
      <c r="O30" s="73"/>
      <c r="P30" s="73"/>
      <c r="Q30" s="73"/>
      <c r="R30" s="73"/>
      <c r="S30" s="73">
        <f>SUM(K30:R30)</f>
        <v>13005920</v>
      </c>
    </row>
    <row r="31" spans="1:19">
      <c r="D31" t="s">
        <v>69</v>
      </c>
      <c r="K31" s="73"/>
      <c r="L31" s="73"/>
      <c r="M31" s="73"/>
      <c r="N31" s="73"/>
      <c r="O31" s="73"/>
      <c r="P31" s="73"/>
      <c r="Q31" s="73"/>
      <c r="R31" s="73">
        <v>112407</v>
      </c>
      <c r="S31" s="73">
        <f>SUM(K31:R31)</f>
        <v>112407</v>
      </c>
    </row>
    <row r="32" spans="1:19">
      <c r="D32" t="s">
        <v>71</v>
      </c>
      <c r="K32" s="73"/>
      <c r="L32" s="73"/>
      <c r="M32" s="73"/>
      <c r="N32" s="73">
        <v>9692863</v>
      </c>
      <c r="O32" s="73"/>
      <c r="P32" s="73"/>
      <c r="Q32" s="73"/>
      <c r="R32" s="73">
        <v>619192</v>
      </c>
      <c r="S32" s="73">
        <f>SUM(K32:R32)</f>
        <v>10312055</v>
      </c>
    </row>
    <row r="33" spans="3:19">
      <c r="D33" t="s">
        <v>70</v>
      </c>
      <c r="K33" s="73"/>
      <c r="L33" s="73"/>
      <c r="M33" s="73"/>
      <c r="N33" s="73"/>
      <c r="O33" s="73"/>
      <c r="P33" s="73"/>
      <c r="Q33" s="73"/>
      <c r="R33" s="73">
        <v>3404919</v>
      </c>
      <c r="S33" s="73">
        <f>SUM(K33:R33)</f>
        <v>3404919</v>
      </c>
    </row>
    <row r="34" spans="3:19">
      <c r="D34" t="s">
        <v>107</v>
      </c>
      <c r="K34" s="73"/>
      <c r="L34" s="73"/>
      <c r="M34" s="73"/>
      <c r="N34" s="73"/>
      <c r="O34" s="73"/>
      <c r="P34" s="73"/>
      <c r="Q34" s="73"/>
      <c r="R34" s="73">
        <v>337909</v>
      </c>
      <c r="S34" s="73">
        <f>SUM(K34:R34)</f>
        <v>337909</v>
      </c>
    </row>
    <row r="35" spans="3:19">
      <c r="D35" t="s">
        <v>43</v>
      </c>
      <c r="K35" s="73"/>
      <c r="L35" s="73"/>
      <c r="M35" s="73"/>
      <c r="N35" s="73"/>
      <c r="O35" s="73"/>
      <c r="P35" s="73"/>
      <c r="Q35" s="73"/>
      <c r="R35" s="73">
        <v>1576497</v>
      </c>
      <c r="S35" s="73">
        <f t="shared" ref="S35:S48" si="3">SUM(K35:R35)</f>
        <v>1576497</v>
      </c>
    </row>
    <row r="36" spans="3:19">
      <c r="D36" t="s">
        <v>106</v>
      </c>
      <c r="K36" s="73"/>
      <c r="L36" s="73"/>
      <c r="M36" s="73"/>
      <c r="N36" s="73"/>
      <c r="O36" s="73"/>
      <c r="P36" s="73"/>
      <c r="Q36" s="73"/>
      <c r="R36" s="73">
        <v>781564</v>
      </c>
      <c r="S36" s="73">
        <f t="shared" si="3"/>
        <v>781564</v>
      </c>
    </row>
    <row r="37" spans="3:19">
      <c r="D37" t="s">
        <v>73</v>
      </c>
      <c r="K37" s="73"/>
      <c r="L37" s="73"/>
      <c r="M37" s="73"/>
      <c r="N37" s="73"/>
      <c r="O37" s="73">
        <v>5413502</v>
      </c>
      <c r="P37" s="73"/>
      <c r="Q37" s="73"/>
      <c r="R37" s="73">
        <v>141721</v>
      </c>
      <c r="S37" s="73">
        <f t="shared" si="3"/>
        <v>5555223</v>
      </c>
    </row>
    <row r="38" spans="3:19">
      <c r="D38" t="s">
        <v>614</v>
      </c>
      <c r="K38" s="73"/>
      <c r="L38" s="73"/>
      <c r="M38" s="73"/>
      <c r="N38" s="73"/>
      <c r="O38" s="73"/>
      <c r="P38" s="73"/>
      <c r="Q38" s="73"/>
      <c r="R38" s="73"/>
      <c r="S38" s="73">
        <f t="shared" si="3"/>
        <v>0</v>
      </c>
    </row>
    <row r="39" spans="3:19">
      <c r="C39" t="s">
        <v>218</v>
      </c>
      <c r="K39" s="73"/>
      <c r="L39" s="73"/>
      <c r="M39" s="73"/>
      <c r="N39" s="73"/>
      <c r="O39" s="73"/>
      <c r="P39" s="73"/>
      <c r="Q39" s="73"/>
      <c r="R39" s="73"/>
      <c r="S39" s="73">
        <f t="shared" si="3"/>
        <v>0</v>
      </c>
    </row>
    <row r="40" spans="3:19">
      <c r="D40" t="s">
        <v>69</v>
      </c>
      <c r="K40" s="73"/>
      <c r="L40" s="73"/>
      <c r="M40" s="73"/>
      <c r="N40" s="73"/>
      <c r="O40" s="73"/>
      <c r="P40" s="73"/>
      <c r="Q40" s="73"/>
      <c r="R40" s="73">
        <v>471828</v>
      </c>
      <c r="S40" s="73">
        <f t="shared" si="3"/>
        <v>471828</v>
      </c>
    </row>
    <row r="41" spans="3:19">
      <c r="D41" t="s">
        <v>71</v>
      </c>
      <c r="K41" s="73"/>
      <c r="L41" s="73"/>
      <c r="M41" s="73"/>
      <c r="N41" s="73"/>
      <c r="O41" s="73"/>
      <c r="P41" s="73"/>
      <c r="Q41" s="73"/>
      <c r="R41" s="73">
        <v>488420</v>
      </c>
      <c r="S41" s="73">
        <f t="shared" si="3"/>
        <v>488420</v>
      </c>
    </row>
    <row r="42" spans="3:19">
      <c r="D42" t="s">
        <v>70</v>
      </c>
      <c r="K42" s="73"/>
      <c r="L42" s="73"/>
      <c r="M42" s="73"/>
      <c r="N42" s="73"/>
      <c r="O42" s="73"/>
      <c r="P42" s="73"/>
      <c r="Q42" s="73"/>
      <c r="R42" s="73"/>
      <c r="S42" s="73">
        <f t="shared" si="3"/>
        <v>0</v>
      </c>
    </row>
    <row r="43" spans="3:19">
      <c r="D43" t="s">
        <v>43</v>
      </c>
      <c r="K43" s="73"/>
      <c r="L43" s="73"/>
      <c r="M43" s="73"/>
      <c r="N43" s="73"/>
      <c r="O43" s="73"/>
      <c r="P43" s="73"/>
      <c r="Q43" s="73"/>
      <c r="R43" s="73">
        <v>190298</v>
      </c>
      <c r="S43" s="73">
        <f t="shared" si="3"/>
        <v>190298</v>
      </c>
    </row>
    <row r="44" spans="3:19">
      <c r="D44" t="s">
        <v>106</v>
      </c>
      <c r="K44" s="73"/>
      <c r="L44" s="73"/>
      <c r="M44" s="73"/>
      <c r="N44" s="73"/>
      <c r="O44" s="73"/>
      <c r="P44" s="73"/>
      <c r="Q44" s="73"/>
      <c r="R44" s="73">
        <v>43500</v>
      </c>
      <c r="S44" s="73">
        <f t="shared" si="3"/>
        <v>43500</v>
      </c>
    </row>
    <row r="45" spans="3:19">
      <c r="C45" t="s">
        <v>170</v>
      </c>
      <c r="K45" s="73"/>
      <c r="L45" s="73"/>
      <c r="M45" s="73"/>
      <c r="N45" s="73"/>
      <c r="O45" s="73"/>
      <c r="P45" s="73"/>
      <c r="Q45" s="73"/>
      <c r="R45" s="73"/>
      <c r="S45" s="73">
        <f t="shared" si="3"/>
        <v>0</v>
      </c>
    </row>
    <row r="46" spans="3:19">
      <c r="D46" t="s">
        <v>43</v>
      </c>
      <c r="K46" s="73"/>
      <c r="L46" s="73"/>
      <c r="M46" s="73"/>
      <c r="N46" s="73"/>
      <c r="O46" s="73"/>
      <c r="P46" s="73"/>
      <c r="Q46" s="73"/>
      <c r="R46" s="73">
        <v>1437829</v>
      </c>
      <c r="S46" s="73">
        <f t="shared" si="3"/>
        <v>1437829</v>
      </c>
    </row>
    <row r="47" spans="3:19">
      <c r="D47" t="s">
        <v>73</v>
      </c>
      <c r="K47" s="73"/>
      <c r="L47" s="73"/>
      <c r="M47" s="73"/>
      <c r="N47" s="73"/>
      <c r="O47" s="73"/>
      <c r="P47" s="73"/>
      <c r="Q47" s="73"/>
      <c r="R47" s="73">
        <v>19794</v>
      </c>
      <c r="S47" s="73">
        <f t="shared" si="3"/>
        <v>19794</v>
      </c>
    </row>
    <row r="48" spans="3:19">
      <c r="C48" t="s">
        <v>46</v>
      </c>
      <c r="K48" s="84">
        <v>3634996</v>
      </c>
      <c r="L48" s="73"/>
      <c r="M48" s="73"/>
      <c r="N48" s="73"/>
      <c r="O48" s="73"/>
      <c r="P48" s="73">
        <v>-2779671</v>
      </c>
      <c r="Q48" s="73">
        <v>-2403282</v>
      </c>
      <c r="R48" s="73">
        <v>1550583</v>
      </c>
      <c r="S48" s="73">
        <f t="shared" si="3"/>
        <v>2626</v>
      </c>
    </row>
    <row r="49" spans="4:19">
      <c r="K49" s="73"/>
      <c r="L49" s="73"/>
      <c r="M49" s="73"/>
      <c r="N49" s="73"/>
      <c r="O49" s="73"/>
      <c r="P49" s="73"/>
      <c r="Q49" s="73"/>
      <c r="R49" s="73"/>
      <c r="S49" s="73"/>
    </row>
    <row r="50" spans="4:19" s="5" customFormat="1">
      <c r="D50" s="6"/>
      <c r="E50" s="6" t="s">
        <v>77</v>
      </c>
      <c r="K50" s="79">
        <f t="shared" ref="K50:S50" si="4">SUM(K29:K48)</f>
        <v>3634996</v>
      </c>
      <c r="L50" s="79">
        <f t="shared" si="4"/>
        <v>8077914</v>
      </c>
      <c r="M50" s="79">
        <f t="shared" si="4"/>
        <v>4928006</v>
      </c>
      <c r="N50" s="79">
        <f t="shared" si="4"/>
        <v>9692863</v>
      </c>
      <c r="O50" s="79">
        <f t="shared" si="4"/>
        <v>5413502</v>
      </c>
      <c r="P50" s="79">
        <f t="shared" si="4"/>
        <v>-2779671</v>
      </c>
      <c r="Q50" s="79">
        <f t="shared" si="4"/>
        <v>-2403282</v>
      </c>
      <c r="R50" s="79">
        <f t="shared" si="4"/>
        <v>11176461</v>
      </c>
      <c r="S50" s="79">
        <f t="shared" si="4"/>
        <v>37740789</v>
      </c>
    </row>
    <row r="51" spans="4:19">
      <c r="K51" s="73"/>
      <c r="L51" s="73"/>
      <c r="M51" s="73"/>
      <c r="N51" s="73"/>
      <c r="O51" s="73"/>
      <c r="P51" s="73"/>
      <c r="Q51" s="73"/>
      <c r="R51" s="73"/>
      <c r="S51" s="73"/>
    </row>
    <row r="52" spans="4:19" s="7" customFormat="1">
      <c r="D52" s="8"/>
      <c r="E52" s="8" t="s">
        <v>48</v>
      </c>
      <c r="K52" s="81">
        <f>SUM(K23+K50)</f>
        <v>6961575</v>
      </c>
      <c r="L52" s="81">
        <f t="shared" ref="L52:S52" si="5">SUM(L50,L23,L26)</f>
        <v>9356206</v>
      </c>
      <c r="M52" s="81">
        <f t="shared" si="5"/>
        <v>9604727</v>
      </c>
      <c r="N52" s="81">
        <f t="shared" si="5"/>
        <v>9853890</v>
      </c>
      <c r="O52" s="81">
        <f t="shared" si="5"/>
        <v>5413502</v>
      </c>
      <c r="P52" s="81">
        <f t="shared" si="5"/>
        <v>953504</v>
      </c>
      <c r="Q52" s="81">
        <f t="shared" si="5"/>
        <v>240000</v>
      </c>
      <c r="R52" s="81">
        <f t="shared" si="5"/>
        <v>14534666</v>
      </c>
      <c r="S52" s="81">
        <f t="shared" si="5"/>
        <v>56918070</v>
      </c>
    </row>
  </sheetData>
  <mergeCells count="3">
    <mergeCell ref="D1:K1"/>
    <mergeCell ref="D2:K2"/>
    <mergeCell ref="K3:N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Z56"/>
  <sheetViews>
    <sheetView topLeftCell="A7" workbookViewId="0">
      <selection activeCell="P48" sqref="P48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20.4257812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6" width="19.42578125" customWidth="1"/>
  </cols>
  <sheetData>
    <row r="1" spans="1:16" ht="18.75">
      <c r="D1" s="251" t="s">
        <v>658</v>
      </c>
      <c r="E1" s="251"/>
      <c r="F1" s="251"/>
      <c r="G1" s="251"/>
      <c r="H1" s="251"/>
      <c r="I1" s="251"/>
      <c r="J1" s="251"/>
      <c r="K1" s="251"/>
    </row>
    <row r="2" spans="1:16">
      <c r="D2" s="252" t="s">
        <v>659</v>
      </c>
      <c r="E2" s="252"/>
      <c r="F2" s="252"/>
      <c r="G2" s="252"/>
      <c r="H2" s="252"/>
      <c r="I2" s="252"/>
      <c r="J2" s="252"/>
      <c r="K2" s="252"/>
    </row>
    <row r="3" spans="1:16" ht="29.25" customHeight="1">
      <c r="D3" s="57"/>
      <c r="E3" s="57"/>
      <c r="F3" s="57"/>
      <c r="G3" s="57"/>
      <c r="H3" s="57"/>
      <c r="I3" s="57"/>
      <c r="J3" s="57"/>
      <c r="K3" s="86"/>
      <c r="L3" s="86"/>
      <c r="M3" s="86"/>
      <c r="N3" s="86"/>
      <c r="O3" s="86"/>
      <c r="P3" s="86"/>
    </row>
    <row r="4" spans="1:16" ht="28.5" customHeight="1">
      <c r="K4" s="264" t="s">
        <v>247</v>
      </c>
      <c r="L4" s="264"/>
      <c r="M4" s="264"/>
      <c r="N4" s="264"/>
      <c r="O4" s="198"/>
      <c r="P4" s="198"/>
    </row>
    <row r="5" spans="1:16" ht="45">
      <c r="K5" s="1" t="s">
        <v>660</v>
      </c>
      <c r="L5" s="1" t="s">
        <v>661</v>
      </c>
      <c r="M5" s="1" t="s">
        <v>662</v>
      </c>
      <c r="N5" s="1" t="s">
        <v>663</v>
      </c>
      <c r="O5" s="1" t="s">
        <v>664</v>
      </c>
      <c r="P5" s="1" t="s">
        <v>7</v>
      </c>
    </row>
    <row r="6" spans="1:16">
      <c r="A6" s="86" t="s">
        <v>8</v>
      </c>
    </row>
    <row r="7" spans="1:16">
      <c r="B7" t="s">
        <v>624</v>
      </c>
      <c r="K7" s="72">
        <v>1552747</v>
      </c>
      <c r="L7" s="73">
        <v>277492</v>
      </c>
      <c r="M7" s="73">
        <v>784454</v>
      </c>
      <c r="N7" s="199">
        <v>546548</v>
      </c>
      <c r="O7" s="73">
        <v>27626589</v>
      </c>
      <c r="P7" s="73">
        <f>SUM(K7:O7)</f>
        <v>30787830</v>
      </c>
    </row>
    <row r="8" spans="1:16">
      <c r="B8" t="s">
        <v>10</v>
      </c>
      <c r="K8" s="77">
        <v>8685447</v>
      </c>
      <c r="L8" s="73"/>
      <c r="M8" s="73">
        <v>19140591</v>
      </c>
      <c r="N8" s="199">
        <v>21450220</v>
      </c>
      <c r="O8" s="73">
        <v>64293995</v>
      </c>
      <c r="P8" s="73">
        <f>SUM(K8:O8)</f>
        <v>113570253</v>
      </c>
    </row>
    <row r="9" spans="1:16">
      <c r="B9" t="s">
        <v>665</v>
      </c>
      <c r="K9" s="73"/>
      <c r="L9" s="73"/>
      <c r="M9" s="73"/>
      <c r="N9" s="199"/>
      <c r="O9" s="73"/>
      <c r="P9" s="73"/>
    </row>
    <row r="10" spans="1:16">
      <c r="C10" t="s">
        <v>666</v>
      </c>
      <c r="K10" s="74">
        <v>4374077</v>
      </c>
      <c r="L10" s="73">
        <v>9025649</v>
      </c>
      <c r="M10" s="73"/>
      <c r="N10" s="199"/>
      <c r="O10" s="73">
        <v>16428046</v>
      </c>
      <c r="P10" s="73">
        <f t="shared" ref="P10:P15" si="0">SUM(K10:O10)</f>
        <v>29827772</v>
      </c>
    </row>
    <row r="11" spans="1:16">
      <c r="C11" t="s">
        <v>667</v>
      </c>
      <c r="K11" s="73"/>
      <c r="L11" s="73"/>
      <c r="M11" s="73">
        <v>7722222</v>
      </c>
      <c r="N11" s="199"/>
      <c r="O11" s="73">
        <v>4211430</v>
      </c>
      <c r="P11" s="73">
        <f t="shared" si="0"/>
        <v>11933652</v>
      </c>
    </row>
    <row r="12" spans="1:16">
      <c r="C12" t="s">
        <v>45</v>
      </c>
      <c r="K12" s="74">
        <v>1806688</v>
      </c>
      <c r="L12" s="73">
        <v>140388</v>
      </c>
      <c r="M12" s="73">
        <v>1135575</v>
      </c>
      <c r="N12" s="199">
        <v>85877</v>
      </c>
      <c r="O12" s="73">
        <v>7295686</v>
      </c>
      <c r="P12" s="73">
        <f t="shared" si="0"/>
        <v>10464214</v>
      </c>
    </row>
    <row r="13" spans="1:16">
      <c r="B13" t="s">
        <v>17</v>
      </c>
      <c r="K13" s="75">
        <v>35390</v>
      </c>
      <c r="L13" s="73"/>
      <c r="M13" s="73"/>
      <c r="N13" s="199"/>
      <c r="O13" s="73">
        <v>316874</v>
      </c>
      <c r="P13" s="73">
        <f t="shared" si="0"/>
        <v>352264</v>
      </c>
    </row>
    <row r="14" spans="1:16">
      <c r="B14" t="s">
        <v>100</v>
      </c>
      <c r="K14" s="83">
        <v>8829</v>
      </c>
      <c r="L14" s="73"/>
      <c r="M14" s="73">
        <v>6230</v>
      </c>
      <c r="N14" s="199"/>
      <c r="O14" s="73">
        <v>5024</v>
      </c>
      <c r="P14" s="73">
        <f t="shared" si="0"/>
        <v>20083</v>
      </c>
    </row>
    <row r="15" spans="1:16">
      <c r="B15" t="s">
        <v>668</v>
      </c>
      <c r="K15" s="73"/>
      <c r="L15" s="73"/>
      <c r="M15" s="73"/>
      <c r="N15" s="199">
        <v>2697704</v>
      </c>
      <c r="O15" s="73">
        <v>16316621</v>
      </c>
      <c r="P15" s="73">
        <f t="shared" si="0"/>
        <v>19014325</v>
      </c>
    </row>
    <row r="16" spans="1:16">
      <c r="K16" s="73"/>
      <c r="L16" s="73"/>
      <c r="M16" s="73"/>
      <c r="N16" s="73"/>
      <c r="O16" s="73"/>
      <c r="P16" s="73"/>
    </row>
    <row r="17" spans="1:16" s="3" customFormat="1">
      <c r="A17" s="2"/>
      <c r="B17" s="2"/>
      <c r="C17" s="2"/>
      <c r="D17" s="2"/>
      <c r="E17" s="2" t="s">
        <v>62</v>
      </c>
      <c r="K17" s="76">
        <f t="shared" ref="K17:P17" si="1">SUM(K7:K15)</f>
        <v>16463178</v>
      </c>
      <c r="L17" s="76">
        <f t="shared" si="1"/>
        <v>9443529</v>
      </c>
      <c r="M17" s="76">
        <f t="shared" si="1"/>
        <v>28789072</v>
      </c>
      <c r="N17" s="76">
        <f t="shared" si="1"/>
        <v>24780349</v>
      </c>
      <c r="O17" s="76">
        <f t="shared" si="1"/>
        <v>136494265</v>
      </c>
      <c r="P17" s="76">
        <f t="shared" si="1"/>
        <v>215970393</v>
      </c>
    </row>
    <row r="18" spans="1:16">
      <c r="K18" s="73"/>
      <c r="L18" s="73"/>
      <c r="M18" s="73"/>
      <c r="N18" s="73"/>
      <c r="O18" s="73"/>
      <c r="P18" s="73"/>
    </row>
    <row r="19" spans="1:16">
      <c r="A19" s="4" t="s">
        <v>119</v>
      </c>
      <c r="K19" s="73"/>
      <c r="L19" s="73"/>
      <c r="M19" s="73"/>
      <c r="N19" s="73"/>
      <c r="O19" s="73"/>
      <c r="P19" s="73"/>
    </row>
    <row r="20" spans="1:16">
      <c r="B20" t="s">
        <v>20</v>
      </c>
      <c r="K20" s="73"/>
      <c r="L20" s="73"/>
      <c r="M20" s="73"/>
      <c r="N20" s="73"/>
      <c r="O20" s="73"/>
      <c r="P20" s="73"/>
    </row>
    <row r="21" spans="1:16">
      <c r="C21" t="s">
        <v>102</v>
      </c>
      <c r="K21" s="77">
        <v>2857724</v>
      </c>
      <c r="L21" s="73">
        <v>582279</v>
      </c>
      <c r="M21" s="73">
        <v>1644450</v>
      </c>
      <c r="N21" s="73">
        <v>1223794</v>
      </c>
      <c r="O21" s="73">
        <v>14543055</v>
      </c>
      <c r="P21" s="73">
        <f>SUM(K21:O21)</f>
        <v>20851302</v>
      </c>
    </row>
    <row r="22" spans="1:16">
      <c r="C22" t="s">
        <v>25</v>
      </c>
      <c r="K22" s="73"/>
      <c r="L22" s="73"/>
      <c r="M22" s="73"/>
      <c r="N22" s="73"/>
      <c r="O22" s="73">
        <v>1676546</v>
      </c>
      <c r="P22" s="73">
        <f>SUM(K22:O22)</f>
        <v>1676546</v>
      </c>
    </row>
    <row r="23" spans="1:16">
      <c r="C23" t="s">
        <v>158</v>
      </c>
      <c r="K23" s="73"/>
      <c r="L23" s="73">
        <v>8640205</v>
      </c>
      <c r="M23" s="73"/>
      <c r="N23" s="73"/>
      <c r="O23" s="73"/>
      <c r="P23" s="73">
        <f>SUM(K23:O23)</f>
        <v>8640205</v>
      </c>
    </row>
    <row r="24" spans="1:16">
      <c r="C24" t="s">
        <v>24</v>
      </c>
      <c r="K24" s="98">
        <v>73336</v>
      </c>
      <c r="L24" s="73"/>
      <c r="M24" s="73">
        <v>185872</v>
      </c>
      <c r="N24" s="73"/>
      <c r="O24" s="73">
        <v>3040773</v>
      </c>
      <c r="P24" s="73">
        <f>SUM(K24:O24)</f>
        <v>3299981</v>
      </c>
    </row>
    <row r="25" spans="1:16">
      <c r="C25" t="s">
        <v>87</v>
      </c>
      <c r="K25" s="82">
        <v>1636340</v>
      </c>
      <c r="L25" s="73">
        <v>19160</v>
      </c>
      <c r="M25" s="73">
        <v>28500</v>
      </c>
      <c r="N25" s="73"/>
      <c r="O25" s="73">
        <v>315849</v>
      </c>
      <c r="P25" s="73">
        <f>SUM(K25:O25)</f>
        <v>1999849</v>
      </c>
    </row>
    <row r="26" spans="1:16">
      <c r="K26" s="73"/>
      <c r="L26" s="73"/>
      <c r="M26" s="73"/>
      <c r="N26" s="73"/>
      <c r="O26" s="73"/>
      <c r="P26" s="73"/>
    </row>
    <row r="27" spans="1:16" s="5" customFormat="1">
      <c r="B27" s="6"/>
      <c r="C27" s="6"/>
      <c r="D27" s="6"/>
      <c r="E27" s="6" t="s">
        <v>26</v>
      </c>
      <c r="K27" s="79">
        <f t="shared" ref="K27:P27" si="2">SUM(K21:K25)</f>
        <v>4567400</v>
      </c>
      <c r="L27" s="79">
        <f t="shared" si="2"/>
        <v>9241644</v>
      </c>
      <c r="M27" s="79">
        <f t="shared" si="2"/>
        <v>1858822</v>
      </c>
      <c r="N27" s="79">
        <f t="shared" si="2"/>
        <v>1223794</v>
      </c>
      <c r="O27" s="79">
        <f t="shared" si="2"/>
        <v>19576223</v>
      </c>
      <c r="P27" s="79">
        <f t="shared" si="2"/>
        <v>36467883</v>
      </c>
    </row>
    <row r="28" spans="1:16" s="102" customFormat="1">
      <c r="B28" s="196"/>
      <c r="C28" s="196"/>
      <c r="D28" s="196"/>
      <c r="E28" s="196"/>
      <c r="K28" s="167"/>
      <c r="L28" s="167"/>
      <c r="M28" s="167"/>
      <c r="N28" s="167"/>
      <c r="O28" s="167"/>
      <c r="P28" s="167"/>
    </row>
    <row r="29" spans="1:16">
      <c r="A29" s="71" t="s">
        <v>27</v>
      </c>
      <c r="K29" s="73"/>
      <c r="L29" s="73"/>
      <c r="M29" s="73"/>
      <c r="N29" s="73"/>
      <c r="O29" s="73"/>
      <c r="P29" s="73"/>
    </row>
    <row r="30" spans="1:16">
      <c r="B30" t="s">
        <v>669</v>
      </c>
      <c r="K30" s="73">
        <v>65830</v>
      </c>
      <c r="L30" s="73">
        <v>131526</v>
      </c>
      <c r="M30" s="73"/>
      <c r="N30" s="73"/>
      <c r="O30" s="73">
        <v>235907</v>
      </c>
      <c r="P30" s="73">
        <f>SUM(K30:O30)</f>
        <v>433263</v>
      </c>
    </row>
    <row r="31" spans="1:16">
      <c r="B31" t="s">
        <v>670</v>
      </c>
      <c r="K31" s="73">
        <v>92821</v>
      </c>
      <c r="L31" s="73">
        <v>70359</v>
      </c>
      <c r="M31" s="73"/>
      <c r="N31" s="73"/>
      <c r="O31" s="73">
        <v>72341</v>
      </c>
      <c r="P31" s="73">
        <f>SUM(K31:O31)</f>
        <v>235521</v>
      </c>
    </row>
    <row r="32" spans="1:16">
      <c r="K32" s="73"/>
      <c r="L32" s="73"/>
      <c r="M32" s="73"/>
      <c r="N32" s="73"/>
      <c r="O32" s="73"/>
      <c r="P32" s="73"/>
    </row>
    <row r="33" spans="1:26">
      <c r="A33" s="205"/>
      <c r="B33" s="205"/>
      <c r="C33" s="205"/>
      <c r="D33" s="205"/>
      <c r="E33" s="206" t="s">
        <v>29</v>
      </c>
      <c r="F33" s="205"/>
      <c r="G33" s="205"/>
      <c r="H33" s="205"/>
      <c r="I33" s="205"/>
      <c r="J33" s="205"/>
      <c r="K33" s="98">
        <f>SUM(K30:K31)</f>
        <v>158651</v>
      </c>
      <c r="L33" s="98">
        <f t="shared" ref="L33:P33" si="3">SUM(L30:L31)</f>
        <v>201885</v>
      </c>
      <c r="M33" s="98">
        <f t="shared" si="3"/>
        <v>0</v>
      </c>
      <c r="N33" s="98">
        <f t="shared" si="3"/>
        <v>0</v>
      </c>
      <c r="O33" s="98">
        <f t="shared" si="3"/>
        <v>308248</v>
      </c>
      <c r="P33" s="98">
        <f t="shared" si="3"/>
        <v>668784</v>
      </c>
      <c r="Q33" s="205"/>
      <c r="R33" s="205"/>
      <c r="S33" s="205"/>
      <c r="T33" s="205"/>
      <c r="U33" s="205"/>
      <c r="V33" s="205"/>
      <c r="W33" s="205"/>
      <c r="X33" s="205"/>
      <c r="Y33" s="205"/>
      <c r="Z33" s="205"/>
    </row>
    <row r="35" spans="1:26">
      <c r="K35" s="73"/>
      <c r="L35" s="73"/>
      <c r="M35" s="73"/>
      <c r="N35" s="73"/>
      <c r="O35" s="73"/>
      <c r="P35" s="73"/>
    </row>
    <row r="36" spans="1:26">
      <c r="B36" s="86" t="s">
        <v>30</v>
      </c>
      <c r="K36" s="73"/>
      <c r="L36" s="73"/>
      <c r="M36" s="73"/>
      <c r="N36" s="73"/>
      <c r="O36" s="73"/>
      <c r="P36" s="73"/>
    </row>
    <row r="37" spans="1:26">
      <c r="C37" t="s">
        <v>671</v>
      </c>
      <c r="K37" s="80">
        <v>8829</v>
      </c>
      <c r="L37" s="73"/>
      <c r="M37" s="73">
        <v>6230</v>
      </c>
      <c r="N37" s="73"/>
      <c r="O37" s="73">
        <v>5024</v>
      </c>
      <c r="P37" s="73">
        <f>SUM(K37:O37)</f>
        <v>20083</v>
      </c>
    </row>
    <row r="38" spans="1:26">
      <c r="C38" t="s">
        <v>88</v>
      </c>
      <c r="K38" s="73"/>
      <c r="L38" s="73"/>
      <c r="M38" s="73">
        <v>26187887</v>
      </c>
      <c r="N38" s="73">
        <v>23556555</v>
      </c>
      <c r="O38" s="73">
        <v>95759421</v>
      </c>
      <c r="P38" s="73">
        <f>SUM(K38:O38)</f>
        <v>145503863</v>
      </c>
    </row>
    <row r="39" spans="1:26">
      <c r="C39" t="s">
        <v>626</v>
      </c>
      <c r="K39" s="73"/>
      <c r="L39" s="73"/>
      <c r="M39" s="73">
        <v>736133</v>
      </c>
      <c r="N39" s="73"/>
      <c r="O39" s="73">
        <v>20845349</v>
      </c>
      <c r="P39" s="73">
        <f>SUM(K39:O39)</f>
        <v>21581482</v>
      </c>
    </row>
    <row r="40" spans="1:26">
      <c r="C40" t="s">
        <v>46</v>
      </c>
      <c r="K40" s="84">
        <v>11728298</v>
      </c>
      <c r="L40" s="73"/>
      <c r="M40" s="73"/>
      <c r="N40" s="73"/>
      <c r="O40" s="73"/>
      <c r="P40" s="73">
        <f>SUM(K40:O40)</f>
        <v>11728298</v>
      </c>
    </row>
    <row r="41" spans="1:26">
      <c r="K41" s="73"/>
      <c r="L41" s="73"/>
      <c r="M41" s="73"/>
      <c r="N41" s="73"/>
      <c r="O41" s="73"/>
      <c r="P41" s="73"/>
    </row>
    <row r="42" spans="1:26" s="5" customFormat="1">
      <c r="D42" s="6"/>
      <c r="E42" s="6" t="s">
        <v>47</v>
      </c>
      <c r="K42" s="79">
        <f t="shared" ref="K42:P42" si="4">SUM(K37:K40)</f>
        <v>11737127</v>
      </c>
      <c r="L42" s="79">
        <f t="shared" si="4"/>
        <v>0</v>
      </c>
      <c r="M42" s="79">
        <f t="shared" si="4"/>
        <v>26930250</v>
      </c>
      <c r="N42" s="79">
        <f t="shared" si="4"/>
        <v>23556555</v>
      </c>
      <c r="O42" s="79">
        <f t="shared" si="4"/>
        <v>116609794</v>
      </c>
      <c r="P42" s="79">
        <f t="shared" si="4"/>
        <v>178833726</v>
      </c>
    </row>
    <row r="43" spans="1:26">
      <c r="K43" s="73"/>
      <c r="L43" s="73"/>
      <c r="M43" s="73"/>
      <c r="N43" s="73"/>
      <c r="O43" s="73"/>
      <c r="P43" s="73"/>
    </row>
    <row r="44" spans="1:26" s="7" customFormat="1">
      <c r="D44" s="8"/>
      <c r="E44" s="8" t="s">
        <v>672</v>
      </c>
      <c r="K44" s="81">
        <f t="shared" ref="K44:N44" si="5">SUM(K27+K33+K42)</f>
        <v>16463178</v>
      </c>
      <c r="L44" s="81">
        <f t="shared" si="5"/>
        <v>9443529</v>
      </c>
      <c r="M44" s="81">
        <f t="shared" si="5"/>
        <v>28789072</v>
      </c>
      <c r="N44" s="81">
        <f t="shared" si="5"/>
        <v>24780349</v>
      </c>
      <c r="O44" s="81">
        <f>SUM(O27+O33+O42)</f>
        <v>136494265</v>
      </c>
      <c r="P44" s="81"/>
    </row>
    <row r="48" spans="1:26">
      <c r="P48">
        <v>408686007</v>
      </c>
    </row>
    <row r="50" spans="16:16">
      <c r="P50">
        <v>402395</v>
      </c>
    </row>
    <row r="52" spans="16:16">
      <c r="P52">
        <v>72620538</v>
      </c>
    </row>
    <row r="55" spans="16:16">
      <c r="P55" s="112">
        <v>-88013974</v>
      </c>
    </row>
    <row r="56" spans="16:16">
      <c r="P56">
        <v>542528692</v>
      </c>
    </row>
  </sheetData>
  <mergeCells count="3">
    <mergeCell ref="D1:K1"/>
    <mergeCell ref="D2:K2"/>
    <mergeCell ref="K4:N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Q36"/>
  <sheetViews>
    <sheetView topLeftCell="A7" workbookViewId="0">
      <selection activeCell="K28" sqref="K28:K31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6" width="2.42578125" customWidth="1"/>
    <col min="7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4" width="19.42578125" customWidth="1"/>
    <col min="15" max="15" width="16.85546875" customWidth="1"/>
    <col min="16" max="17" width="19.42578125" customWidth="1"/>
  </cols>
  <sheetData>
    <row r="1" spans="1:17" ht="18.75">
      <c r="D1" s="251" t="s">
        <v>673</v>
      </c>
      <c r="E1" s="251"/>
      <c r="F1" s="251"/>
      <c r="G1" s="251"/>
      <c r="H1" s="251"/>
      <c r="I1" s="251"/>
      <c r="J1" s="251"/>
      <c r="K1" s="251"/>
    </row>
    <row r="2" spans="1:17">
      <c r="D2" s="252" t="s">
        <v>659</v>
      </c>
      <c r="E2" s="252"/>
      <c r="F2" s="252"/>
      <c r="G2" s="252"/>
      <c r="H2" s="252"/>
      <c r="I2" s="252"/>
      <c r="J2" s="252"/>
      <c r="K2" s="252"/>
    </row>
    <row r="3" spans="1:17">
      <c r="D3" s="57"/>
      <c r="E3" s="57"/>
      <c r="F3" s="57"/>
      <c r="G3" s="57"/>
      <c r="H3" s="57"/>
      <c r="I3" s="57"/>
      <c r="J3" s="57"/>
      <c r="K3" s="86"/>
      <c r="L3" s="86"/>
      <c r="M3" s="86"/>
      <c r="N3" s="86"/>
      <c r="O3" s="86"/>
      <c r="P3" s="86"/>
      <c r="Q3" s="86"/>
    </row>
    <row r="4" spans="1:17">
      <c r="K4" s="207"/>
      <c r="L4" s="207"/>
      <c r="M4" s="207"/>
      <c r="N4" s="207"/>
      <c r="O4" s="207"/>
      <c r="P4" s="207"/>
      <c r="Q4" s="207"/>
    </row>
    <row r="5" spans="1:17" ht="45">
      <c r="K5" s="1" t="s">
        <v>674</v>
      </c>
      <c r="L5" s="1" t="s">
        <v>675</v>
      </c>
      <c r="M5" s="1" t="s">
        <v>304</v>
      </c>
      <c r="N5" s="1" t="s">
        <v>94</v>
      </c>
      <c r="O5" s="1" t="s">
        <v>676</v>
      </c>
      <c r="P5" s="1" t="s">
        <v>6</v>
      </c>
      <c r="Q5" s="1" t="s">
        <v>7</v>
      </c>
    </row>
    <row r="6" spans="1:17">
      <c r="A6" s="86" t="s">
        <v>8</v>
      </c>
    </row>
    <row r="7" spans="1:17">
      <c r="B7" t="s">
        <v>624</v>
      </c>
      <c r="K7" s="72">
        <v>33530</v>
      </c>
      <c r="L7" s="73">
        <v>8876791</v>
      </c>
      <c r="M7" s="73">
        <v>3237884</v>
      </c>
      <c r="N7" s="199">
        <v>70094</v>
      </c>
      <c r="O7" s="199">
        <v>231501</v>
      </c>
      <c r="P7" s="199">
        <v>3246034</v>
      </c>
      <c r="Q7" s="199">
        <f>SUM(K7:P7)</f>
        <v>15695834</v>
      </c>
    </row>
    <row r="8" spans="1:17">
      <c r="B8" t="s">
        <v>677</v>
      </c>
      <c r="K8" s="74">
        <v>2202810</v>
      </c>
      <c r="L8" s="73">
        <v>1365357</v>
      </c>
      <c r="M8" s="73">
        <v>3086864</v>
      </c>
      <c r="N8" s="199">
        <v>2278085</v>
      </c>
      <c r="O8" s="199">
        <v>77983</v>
      </c>
      <c r="P8" s="199">
        <v>861646</v>
      </c>
      <c r="Q8" s="199">
        <f>SUM(K8:P8)</f>
        <v>9872745</v>
      </c>
    </row>
    <row r="9" spans="1:17">
      <c r="B9" t="s">
        <v>59</v>
      </c>
      <c r="K9" s="75">
        <v>414377</v>
      </c>
      <c r="L9" s="73"/>
      <c r="M9" s="73"/>
      <c r="N9" s="199"/>
      <c r="O9" s="199"/>
      <c r="P9" s="199"/>
      <c r="Q9" s="199">
        <f>SUM(K9:P9)</f>
        <v>414377</v>
      </c>
    </row>
    <row r="10" spans="1:17">
      <c r="B10" t="s">
        <v>16</v>
      </c>
      <c r="K10" s="75">
        <v>399279</v>
      </c>
      <c r="L10" s="73"/>
      <c r="M10" s="73"/>
      <c r="N10" s="199">
        <v>700000</v>
      </c>
      <c r="O10" s="199"/>
      <c r="P10" s="199"/>
      <c r="Q10" s="199">
        <f>SUM(K10:P10)</f>
        <v>1099279</v>
      </c>
    </row>
    <row r="11" spans="1:17">
      <c r="B11" t="s">
        <v>678</v>
      </c>
      <c r="K11" s="72">
        <v>570546</v>
      </c>
      <c r="L11" s="73">
        <v>100758</v>
      </c>
      <c r="M11" s="73">
        <v>176461</v>
      </c>
      <c r="N11" s="199">
        <v>20060</v>
      </c>
      <c r="O11" s="199">
        <v>150368</v>
      </c>
      <c r="P11" s="199">
        <v>9531</v>
      </c>
      <c r="Q11" s="199">
        <f>SUM(K11:P11)</f>
        <v>1027724</v>
      </c>
    </row>
    <row r="12" spans="1:17">
      <c r="K12" s="73"/>
      <c r="L12" s="73"/>
      <c r="M12" s="73"/>
      <c r="N12" s="73"/>
      <c r="O12" s="73"/>
      <c r="P12" s="73"/>
      <c r="Q12" s="73"/>
    </row>
    <row r="13" spans="1:17" s="3" customFormat="1">
      <c r="A13" s="2"/>
      <c r="B13" s="2"/>
      <c r="C13" s="2"/>
      <c r="D13" s="2"/>
      <c r="E13" s="2" t="s">
        <v>62</v>
      </c>
      <c r="K13" s="76">
        <f t="shared" ref="K13:Q13" si="0">SUM(K7:K11)</f>
        <v>3620542</v>
      </c>
      <c r="L13" s="76">
        <f t="shared" si="0"/>
        <v>10342906</v>
      </c>
      <c r="M13" s="76">
        <f t="shared" si="0"/>
        <v>6501209</v>
      </c>
      <c r="N13" s="76">
        <f t="shared" si="0"/>
        <v>3068239</v>
      </c>
      <c r="O13" s="76">
        <f t="shared" si="0"/>
        <v>459852</v>
      </c>
      <c r="P13" s="76">
        <f t="shared" si="0"/>
        <v>4117211</v>
      </c>
      <c r="Q13" s="76">
        <f t="shared" si="0"/>
        <v>28109959</v>
      </c>
    </row>
    <row r="14" spans="1:17">
      <c r="K14" s="73"/>
      <c r="L14" s="73"/>
      <c r="M14" s="73"/>
      <c r="N14" s="73"/>
      <c r="O14" s="73"/>
      <c r="P14" s="73"/>
      <c r="Q14" s="73"/>
    </row>
    <row r="15" spans="1:17">
      <c r="A15" s="4" t="s">
        <v>504</v>
      </c>
      <c r="K15" s="73"/>
      <c r="L15" s="73"/>
      <c r="M15" s="73"/>
      <c r="N15" s="73"/>
      <c r="O15" s="73"/>
      <c r="P15" s="73"/>
      <c r="Q15" s="73"/>
    </row>
    <row r="16" spans="1:17">
      <c r="C16" t="s">
        <v>102</v>
      </c>
      <c r="K16" s="77">
        <v>618185</v>
      </c>
      <c r="L16" s="73">
        <v>1287808</v>
      </c>
      <c r="M16" s="73">
        <v>271599</v>
      </c>
      <c r="N16" s="73">
        <v>173149</v>
      </c>
      <c r="O16" s="73">
        <v>134347</v>
      </c>
      <c r="P16" s="73">
        <v>170359</v>
      </c>
      <c r="Q16" s="73">
        <f>SUM(K16:P16)</f>
        <v>2655447</v>
      </c>
    </row>
    <row r="17" spans="1:17">
      <c r="C17" t="s">
        <v>159</v>
      </c>
      <c r="K17" s="78">
        <v>48085</v>
      </c>
      <c r="L17" s="73"/>
      <c r="M17" s="73">
        <v>104756</v>
      </c>
      <c r="N17" s="73"/>
      <c r="O17" s="73"/>
      <c r="P17" s="73">
        <v>291924</v>
      </c>
      <c r="Q17" s="73">
        <f>SUM(K17:P17)</f>
        <v>444765</v>
      </c>
    </row>
    <row r="18" spans="1:17">
      <c r="C18" t="s">
        <v>25</v>
      </c>
      <c r="K18" s="78">
        <v>700000</v>
      </c>
      <c r="L18" s="73"/>
      <c r="M18" s="73"/>
      <c r="N18" s="73"/>
      <c r="O18" s="73">
        <v>176000</v>
      </c>
      <c r="P18" s="73">
        <v>233179</v>
      </c>
      <c r="Q18" s="73">
        <f>SUM(K18:P18)</f>
        <v>1109179</v>
      </c>
    </row>
    <row r="19" spans="1:17">
      <c r="K19" s="73"/>
      <c r="L19" s="73"/>
      <c r="M19" s="73"/>
      <c r="N19" s="73"/>
      <c r="O19" s="73"/>
      <c r="P19" s="73"/>
      <c r="Q19" s="73"/>
    </row>
    <row r="20" spans="1:17" s="5" customFormat="1">
      <c r="B20" s="6"/>
      <c r="C20" s="6"/>
      <c r="D20" s="6"/>
      <c r="E20" s="6" t="s">
        <v>26</v>
      </c>
      <c r="K20" s="79">
        <f>SUM(K16:K18)</f>
        <v>1366270</v>
      </c>
      <c r="L20" s="79">
        <f>SUM(L16:L18)</f>
        <v>1287808</v>
      </c>
      <c r="M20" s="79">
        <f>SUM(M16:M17)</f>
        <v>376355</v>
      </c>
      <c r="N20" s="79">
        <f>SUM(N16:N19)</f>
        <v>173149</v>
      </c>
      <c r="O20" s="79">
        <f>SUM(O16:O18)</f>
        <v>310347</v>
      </c>
      <c r="P20" s="79">
        <f>SUM(P16:P18)</f>
        <v>695462</v>
      </c>
      <c r="Q20" s="79">
        <f>SUM(Q16:Q18)</f>
        <v>4209391</v>
      </c>
    </row>
    <row r="21" spans="1:17">
      <c r="K21" s="73"/>
      <c r="L21" s="73"/>
      <c r="M21" s="73"/>
      <c r="N21" s="73"/>
      <c r="O21" s="73"/>
      <c r="P21" s="73"/>
      <c r="Q21" s="73"/>
    </row>
    <row r="22" spans="1:17">
      <c r="A22" s="71" t="s">
        <v>679</v>
      </c>
      <c r="K22" s="73"/>
      <c r="L22" s="73"/>
      <c r="M22" s="73"/>
      <c r="N22" s="73"/>
      <c r="O22" s="73"/>
      <c r="P22" s="73"/>
      <c r="Q22" s="73"/>
    </row>
    <row r="23" spans="1:17">
      <c r="B23" t="s">
        <v>680</v>
      </c>
      <c r="K23" s="208">
        <v>0</v>
      </c>
      <c r="L23" s="209">
        <v>0</v>
      </c>
      <c r="M23" s="209">
        <v>0</v>
      </c>
      <c r="N23" s="209">
        <v>0</v>
      </c>
      <c r="O23" s="209">
        <v>150368</v>
      </c>
      <c r="P23" s="112"/>
      <c r="Q23" s="209">
        <f>SUM(K23:O23)</f>
        <v>150368</v>
      </c>
    </row>
    <row r="24" spans="1:17">
      <c r="K24" s="210"/>
      <c r="L24" s="211"/>
      <c r="M24" s="211"/>
      <c r="N24" s="211"/>
      <c r="O24" s="211"/>
      <c r="P24" s="211"/>
      <c r="Q24" s="211"/>
    </row>
    <row r="25" spans="1:17">
      <c r="A25" s="205"/>
      <c r="B25" s="205"/>
      <c r="C25" s="205"/>
      <c r="D25" s="205"/>
      <c r="E25" s="206" t="s">
        <v>681</v>
      </c>
      <c r="F25" s="205"/>
      <c r="G25" s="205"/>
      <c r="H25" s="205"/>
      <c r="I25" s="205"/>
      <c r="J25" s="205"/>
      <c r="K25" s="212">
        <v>0</v>
      </c>
      <c r="L25" s="212">
        <v>0</v>
      </c>
      <c r="M25" s="212">
        <v>0</v>
      </c>
      <c r="N25" s="212">
        <v>0</v>
      </c>
      <c r="O25" s="212">
        <f>SUM(O23:O23)</f>
        <v>150368</v>
      </c>
      <c r="P25" s="205"/>
      <c r="Q25" s="212">
        <f>SUM(Q23:Q23)</f>
        <v>150368</v>
      </c>
    </row>
    <row r="26" spans="1:17">
      <c r="K26" s="73"/>
      <c r="L26" s="73"/>
      <c r="M26" s="73"/>
      <c r="N26" s="73"/>
      <c r="O26" s="73"/>
      <c r="P26" s="73"/>
      <c r="Q26" s="73"/>
    </row>
    <row r="27" spans="1:17">
      <c r="B27" s="86" t="s">
        <v>30</v>
      </c>
      <c r="K27" s="73"/>
      <c r="L27" s="73"/>
      <c r="M27" s="73"/>
      <c r="N27" s="73"/>
      <c r="O27" s="73"/>
      <c r="P27" s="73"/>
      <c r="Q27" s="73"/>
    </row>
    <row r="28" spans="1:17">
      <c r="C28" t="s">
        <v>88</v>
      </c>
      <c r="K28" s="80">
        <v>225386</v>
      </c>
      <c r="L28" s="73">
        <v>8970571</v>
      </c>
      <c r="M28" s="73">
        <v>6101161</v>
      </c>
      <c r="N28" s="73">
        <v>2875030</v>
      </c>
      <c r="O28" s="73"/>
      <c r="P28" s="73">
        <v>3337814</v>
      </c>
      <c r="Q28" s="73">
        <f>SUM(K28:P28)</f>
        <v>21509962</v>
      </c>
    </row>
    <row r="29" spans="1:17">
      <c r="C29" t="s">
        <v>626</v>
      </c>
      <c r="K29" s="135">
        <v>497560</v>
      </c>
      <c r="L29" s="73"/>
      <c r="M29" s="73"/>
      <c r="N29" s="73"/>
      <c r="O29" s="73"/>
      <c r="P29" s="73">
        <v>49451</v>
      </c>
      <c r="Q29" s="73">
        <f>SUM(K29:P29)</f>
        <v>547011</v>
      </c>
    </row>
    <row r="30" spans="1:17">
      <c r="C30" t="s">
        <v>89</v>
      </c>
      <c r="K30" s="200">
        <v>72986</v>
      </c>
      <c r="L30" s="73">
        <v>84527</v>
      </c>
      <c r="M30" s="73">
        <v>23693</v>
      </c>
      <c r="N30" s="73">
        <v>20060</v>
      </c>
      <c r="O30" s="73"/>
      <c r="P30" s="73">
        <v>69324</v>
      </c>
      <c r="Q30" s="73">
        <f>SUM(K30:P30)</f>
        <v>270590</v>
      </c>
    </row>
    <row r="31" spans="1:17">
      <c r="C31" t="s">
        <v>46</v>
      </c>
      <c r="K31" s="84">
        <v>1458340</v>
      </c>
      <c r="L31" s="73"/>
      <c r="M31" s="73"/>
      <c r="N31" s="73"/>
      <c r="O31" s="73">
        <v>-863</v>
      </c>
      <c r="P31" s="73">
        <v>-34840</v>
      </c>
      <c r="Q31" s="73">
        <f>SUM(K31:P31)</f>
        <v>1422637</v>
      </c>
    </row>
    <row r="32" spans="1:17">
      <c r="K32" s="73"/>
      <c r="L32" s="73"/>
      <c r="M32" s="73"/>
      <c r="N32" s="73"/>
      <c r="O32" s="73"/>
      <c r="P32" s="73"/>
      <c r="Q32" s="73"/>
    </row>
    <row r="33" spans="4:17" s="5" customFormat="1">
      <c r="D33" s="6"/>
      <c r="E33" s="6" t="s">
        <v>682</v>
      </c>
      <c r="K33" s="79">
        <f t="shared" ref="K33:Q33" si="1">SUM(K28:K31)</f>
        <v>2254272</v>
      </c>
      <c r="L33" s="79">
        <f t="shared" si="1"/>
        <v>9055098</v>
      </c>
      <c r="M33" s="79">
        <f t="shared" si="1"/>
        <v>6124854</v>
      </c>
      <c r="N33" s="79">
        <f t="shared" si="1"/>
        <v>2895090</v>
      </c>
      <c r="O33" s="79">
        <f t="shared" si="1"/>
        <v>-863</v>
      </c>
      <c r="P33" s="79">
        <f t="shared" si="1"/>
        <v>3421749</v>
      </c>
      <c r="Q33" s="79">
        <f t="shared" si="1"/>
        <v>23750200</v>
      </c>
    </row>
    <row r="34" spans="4:17">
      <c r="K34" s="73"/>
      <c r="L34" s="73"/>
      <c r="M34" s="73"/>
      <c r="N34" s="73"/>
      <c r="O34" s="73"/>
      <c r="P34" s="73"/>
      <c r="Q34" s="73"/>
    </row>
    <row r="35" spans="4:17" s="7" customFormat="1">
      <c r="D35" s="8"/>
      <c r="E35" s="8" t="s">
        <v>683</v>
      </c>
      <c r="K35" s="81">
        <f>SUM(K33,K20,K25)</f>
        <v>3620542</v>
      </c>
      <c r="L35" s="81">
        <f t="shared" ref="L35:Q35" si="2">SUM(L33,L20,L25)</f>
        <v>10342906</v>
      </c>
      <c r="M35" s="81">
        <f t="shared" si="2"/>
        <v>6501209</v>
      </c>
      <c r="N35" s="81">
        <f t="shared" si="2"/>
        <v>3068239</v>
      </c>
      <c r="O35" s="81">
        <f>SUM(O20+O25+O33)</f>
        <v>459852</v>
      </c>
      <c r="P35" s="81">
        <f>SUM(P20+P25+P33)</f>
        <v>4117211</v>
      </c>
      <c r="Q35" s="81">
        <f t="shared" si="2"/>
        <v>28109959</v>
      </c>
    </row>
    <row r="36" spans="4:17" s="7" customFormat="1">
      <c r="F36" s="7" t="s">
        <v>684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D36"/>
  <sheetViews>
    <sheetView topLeftCell="A11" workbookViewId="0">
      <selection activeCell="K5" sqref="K5"/>
    </sheetView>
  </sheetViews>
  <sheetFormatPr defaultColWidth="8.85546875" defaultRowHeight="15"/>
  <cols>
    <col min="5" max="5" width="9.140625" customWidth="1"/>
    <col min="10" max="10" width="12.42578125" customWidth="1"/>
    <col min="11" max="11" width="10.7109375" customWidth="1"/>
    <col min="12" max="12" width="11" customWidth="1"/>
    <col min="13" max="13" width="11.42578125" bestFit="1" customWidth="1"/>
    <col min="14" max="14" width="12.28515625" customWidth="1"/>
    <col min="15" max="15" width="13.28515625" bestFit="1" customWidth="1"/>
    <col min="16" max="16" width="10.28515625" bestFit="1" customWidth="1"/>
    <col min="17" max="17" width="15.42578125" customWidth="1"/>
    <col min="18" max="18" width="13.28515625" customWidth="1"/>
  </cols>
  <sheetData>
    <row r="1" spans="1:18">
      <c r="D1" s="86" t="s">
        <v>685</v>
      </c>
    </row>
    <row r="2" spans="1:18">
      <c r="D2" t="s">
        <v>686</v>
      </c>
      <c r="J2" s="151"/>
      <c r="K2" s="151"/>
      <c r="L2" s="151"/>
      <c r="M2" s="151"/>
      <c r="N2" s="151"/>
      <c r="O2" s="151"/>
      <c r="P2" s="151"/>
      <c r="Q2" s="151"/>
      <c r="R2" s="151"/>
    </row>
    <row r="3" spans="1:18">
      <c r="J3" s="151"/>
      <c r="K3" s="151"/>
      <c r="L3" s="151"/>
      <c r="M3" s="151"/>
      <c r="N3" s="151"/>
      <c r="O3" s="151"/>
      <c r="P3" s="151"/>
      <c r="Q3" s="151"/>
      <c r="R3" s="151"/>
    </row>
    <row r="4" spans="1:18">
      <c r="J4" s="151"/>
      <c r="K4" s="151"/>
      <c r="L4" s="151"/>
      <c r="M4" s="151"/>
      <c r="N4" s="151"/>
      <c r="O4" s="151"/>
      <c r="P4" s="151"/>
      <c r="Q4" s="151"/>
      <c r="R4" s="151"/>
    </row>
    <row r="5" spans="1:18" ht="57" customHeight="1">
      <c r="J5" s="152" t="s">
        <v>2</v>
      </c>
      <c r="K5" s="152" t="s">
        <v>262</v>
      </c>
      <c r="L5" s="152" t="s">
        <v>687</v>
      </c>
      <c r="M5" s="152" t="s">
        <v>461</v>
      </c>
      <c r="N5" s="152" t="s">
        <v>688</v>
      </c>
      <c r="O5" s="152" t="s">
        <v>689</v>
      </c>
      <c r="P5" s="152" t="s">
        <v>690</v>
      </c>
      <c r="Q5" s="152" t="s">
        <v>6</v>
      </c>
      <c r="R5" s="152" t="s">
        <v>307</v>
      </c>
    </row>
    <row r="6" spans="1:18" ht="15.75" customHeight="1">
      <c r="A6" s="86" t="s">
        <v>8</v>
      </c>
      <c r="J6" s="27"/>
      <c r="K6" s="27"/>
      <c r="L6" s="27"/>
      <c r="M6" s="27"/>
      <c r="N6" s="27"/>
      <c r="O6" s="27"/>
      <c r="P6" s="27"/>
      <c r="Q6" s="27"/>
      <c r="R6" s="27"/>
    </row>
    <row r="7" spans="1:18" ht="17.25" customHeight="1">
      <c r="B7" t="s">
        <v>85</v>
      </c>
      <c r="J7" s="170">
        <v>196285</v>
      </c>
      <c r="K7" s="171">
        <v>114758</v>
      </c>
      <c r="L7" s="171">
        <v>41693</v>
      </c>
      <c r="M7" s="171">
        <v>450731</v>
      </c>
      <c r="N7" s="171">
        <v>255434</v>
      </c>
      <c r="O7" s="171">
        <v>195926</v>
      </c>
      <c r="P7" s="171">
        <v>22745</v>
      </c>
      <c r="Q7" s="171">
        <v>695184</v>
      </c>
      <c r="R7" s="171">
        <f>SUM(J7:Q7)</f>
        <v>1972756</v>
      </c>
    </row>
    <row r="8" spans="1:18" ht="15" customHeight="1">
      <c r="B8" t="s">
        <v>58</v>
      </c>
      <c r="J8" s="172">
        <v>735895</v>
      </c>
      <c r="K8" s="171">
        <v>43294</v>
      </c>
      <c r="L8" s="171">
        <v>46884</v>
      </c>
      <c r="M8" s="171">
        <v>190577</v>
      </c>
      <c r="N8" s="171">
        <v>61066</v>
      </c>
      <c r="O8" s="171" t="s">
        <v>691</v>
      </c>
      <c r="P8" s="171">
        <v>10824</v>
      </c>
      <c r="Q8" s="171">
        <v>325346</v>
      </c>
      <c r="R8" s="171">
        <f>SUM(J8:Q8)</f>
        <v>1413886</v>
      </c>
    </row>
    <row r="9" spans="1:18">
      <c r="B9" t="s">
        <v>692</v>
      </c>
      <c r="J9" s="171" t="s">
        <v>691</v>
      </c>
      <c r="K9" s="171" t="s">
        <v>691</v>
      </c>
      <c r="L9" s="171" t="s">
        <v>691</v>
      </c>
      <c r="M9" s="171" t="s">
        <v>691</v>
      </c>
      <c r="N9" s="171" t="s">
        <v>691</v>
      </c>
      <c r="O9" s="171">
        <v>980324</v>
      </c>
      <c r="P9" s="171" t="s">
        <v>691</v>
      </c>
      <c r="Q9" s="171" t="s">
        <v>691</v>
      </c>
      <c r="R9" s="171">
        <f>SUM(J9:Q9)</f>
        <v>980324</v>
      </c>
    </row>
    <row r="10" spans="1:18" ht="18" customHeight="1">
      <c r="B10" t="s">
        <v>668</v>
      </c>
      <c r="J10" s="171" t="s">
        <v>691</v>
      </c>
      <c r="K10" s="171" t="s">
        <v>691</v>
      </c>
      <c r="L10" s="171" t="s">
        <v>691</v>
      </c>
      <c r="M10" s="171" t="s">
        <v>691</v>
      </c>
      <c r="N10" s="171" t="s">
        <v>691</v>
      </c>
      <c r="O10" s="171" t="s">
        <v>691</v>
      </c>
      <c r="P10" s="171" t="s">
        <v>691</v>
      </c>
      <c r="Q10" s="171">
        <v>24008</v>
      </c>
      <c r="R10" s="171">
        <f>SUM(J10:Q10)</f>
        <v>24008</v>
      </c>
    </row>
    <row r="11" spans="1:18" ht="13.5" customHeight="1">
      <c r="B11" t="s">
        <v>16</v>
      </c>
      <c r="J11" s="171" t="s">
        <v>691</v>
      </c>
      <c r="K11" s="171">
        <v>36137</v>
      </c>
      <c r="L11" s="171">
        <v>39135</v>
      </c>
      <c r="M11" s="171" t="s">
        <v>691</v>
      </c>
      <c r="N11" s="171">
        <v>24086</v>
      </c>
      <c r="O11" s="171" t="s">
        <v>691</v>
      </c>
      <c r="P11" s="171">
        <v>9034</v>
      </c>
      <c r="Q11" s="171">
        <v>18069</v>
      </c>
      <c r="R11" s="171">
        <f>SUM(J11:Q11)</f>
        <v>126461</v>
      </c>
    </row>
    <row r="12" spans="1:18">
      <c r="J12" s="173"/>
      <c r="K12" s="173"/>
      <c r="L12" s="173"/>
      <c r="M12" s="173"/>
      <c r="N12" s="173"/>
      <c r="O12" s="173"/>
      <c r="P12" s="173"/>
      <c r="Q12" s="173"/>
      <c r="R12" s="173"/>
    </row>
    <row r="13" spans="1:18">
      <c r="A13" s="119"/>
      <c r="B13" s="119"/>
      <c r="C13" s="119"/>
      <c r="D13" s="119"/>
      <c r="E13" s="119" t="s">
        <v>18</v>
      </c>
      <c r="F13" s="119"/>
      <c r="G13" s="119"/>
      <c r="H13" s="119"/>
      <c r="I13" s="119"/>
      <c r="J13" s="174">
        <f t="shared" ref="J13:R13" si="0">SUM(J7:J11)</f>
        <v>932180</v>
      </c>
      <c r="K13" s="175">
        <f t="shared" si="0"/>
        <v>194189</v>
      </c>
      <c r="L13" s="175">
        <f t="shared" si="0"/>
        <v>127712</v>
      </c>
      <c r="M13" s="175">
        <f t="shared" si="0"/>
        <v>641308</v>
      </c>
      <c r="N13" s="175">
        <f t="shared" si="0"/>
        <v>340586</v>
      </c>
      <c r="O13" s="175">
        <f t="shared" si="0"/>
        <v>1176250</v>
      </c>
      <c r="P13" s="175">
        <f t="shared" si="0"/>
        <v>42603</v>
      </c>
      <c r="Q13" s="175">
        <f t="shared" si="0"/>
        <v>1062607</v>
      </c>
      <c r="R13" s="175">
        <f t="shared" si="0"/>
        <v>4517435</v>
      </c>
    </row>
    <row r="14" spans="1:18">
      <c r="J14" s="176"/>
      <c r="K14" s="176"/>
      <c r="L14" s="176"/>
      <c r="M14" s="176"/>
      <c r="N14" s="176"/>
      <c r="O14" s="176"/>
      <c r="P14" s="176"/>
      <c r="Q14" s="176"/>
      <c r="R14" s="176"/>
    </row>
    <row r="15" spans="1:18">
      <c r="A15" s="86" t="s">
        <v>19</v>
      </c>
      <c r="J15" s="176"/>
      <c r="K15" s="176"/>
      <c r="L15" s="176"/>
      <c r="M15" s="176"/>
      <c r="N15" s="176"/>
      <c r="O15" s="176"/>
      <c r="P15" s="176"/>
      <c r="Q15" s="176"/>
      <c r="R15" s="176"/>
    </row>
    <row r="16" spans="1:18">
      <c r="B16" t="s">
        <v>20</v>
      </c>
      <c r="J16" s="176"/>
      <c r="K16" s="176"/>
      <c r="L16" s="176"/>
      <c r="M16" s="176"/>
      <c r="N16" s="176"/>
      <c r="O16" s="176"/>
      <c r="P16" s="176"/>
      <c r="Q16" s="176"/>
      <c r="R16" s="176"/>
    </row>
    <row r="17" spans="1:18" ht="14.25" customHeight="1">
      <c r="C17" t="s">
        <v>102</v>
      </c>
      <c r="J17" s="160">
        <v>28113</v>
      </c>
      <c r="K17" s="176">
        <v>40171</v>
      </c>
      <c r="L17" s="176">
        <v>30629</v>
      </c>
      <c r="M17" s="176">
        <v>3211</v>
      </c>
      <c r="N17" s="176">
        <v>45911</v>
      </c>
      <c r="O17" s="176" t="s">
        <v>691</v>
      </c>
      <c r="P17" s="176" t="s">
        <v>691</v>
      </c>
      <c r="Q17" s="176">
        <v>38532</v>
      </c>
      <c r="R17" s="176">
        <f>SUM(J17:Q17)</f>
        <v>186567</v>
      </c>
    </row>
    <row r="18" spans="1:18" ht="15" customHeight="1">
      <c r="C18" t="s">
        <v>25</v>
      </c>
      <c r="J18" s="163">
        <v>126461</v>
      </c>
      <c r="K18" s="176" t="s">
        <v>691</v>
      </c>
      <c r="L18" s="176" t="s">
        <v>691</v>
      </c>
      <c r="M18" s="176" t="s">
        <v>691</v>
      </c>
      <c r="N18" s="176" t="s">
        <v>691</v>
      </c>
      <c r="O18" s="176" t="s">
        <v>691</v>
      </c>
      <c r="P18" s="176" t="s">
        <v>691</v>
      </c>
      <c r="Q18" s="176" t="s">
        <v>691</v>
      </c>
      <c r="R18" s="176">
        <f>SUM(J18:Q18)</f>
        <v>126461</v>
      </c>
    </row>
    <row r="19" spans="1:18" ht="15.75" customHeight="1">
      <c r="C19" t="s">
        <v>693</v>
      </c>
      <c r="J19" s="176" t="s">
        <v>691</v>
      </c>
      <c r="K19" s="176" t="s">
        <v>691</v>
      </c>
      <c r="L19" s="176" t="s">
        <v>691</v>
      </c>
      <c r="M19" s="176" t="s">
        <v>691</v>
      </c>
      <c r="N19" s="176" t="s">
        <v>691</v>
      </c>
      <c r="O19" s="176" t="s">
        <v>691</v>
      </c>
      <c r="P19" s="176">
        <v>52119</v>
      </c>
      <c r="Q19" s="176" t="s">
        <v>691</v>
      </c>
      <c r="R19" s="176">
        <f>SUM(J19:Q19)</f>
        <v>52119</v>
      </c>
    </row>
    <row r="20" spans="1:18">
      <c r="J20" s="173"/>
      <c r="K20" s="173"/>
      <c r="L20" s="173"/>
      <c r="M20" s="173"/>
      <c r="N20" s="173"/>
      <c r="O20" s="173"/>
      <c r="P20" s="173"/>
      <c r="Q20" s="173"/>
      <c r="R20" s="173"/>
    </row>
    <row r="21" spans="1:18">
      <c r="A21" s="5"/>
      <c r="B21" s="6"/>
      <c r="C21" s="6"/>
      <c r="D21" s="6"/>
      <c r="E21" s="6" t="s">
        <v>26</v>
      </c>
      <c r="F21" s="5"/>
      <c r="G21" s="5"/>
      <c r="H21" s="5"/>
      <c r="I21" s="79"/>
      <c r="J21" s="177">
        <f t="shared" ref="J21:O21" si="1">SUM(J17:J19)</f>
        <v>154574</v>
      </c>
      <c r="K21" s="177">
        <f t="shared" si="1"/>
        <v>40171</v>
      </c>
      <c r="L21" s="177">
        <f t="shared" si="1"/>
        <v>30629</v>
      </c>
      <c r="M21" s="177">
        <f t="shared" si="1"/>
        <v>3211</v>
      </c>
      <c r="N21" s="177">
        <f t="shared" si="1"/>
        <v>45911</v>
      </c>
      <c r="O21" s="177">
        <f t="shared" si="1"/>
        <v>0</v>
      </c>
      <c r="P21" s="177">
        <f t="shared" ref="P21" si="2">SUM(P16:P19)</f>
        <v>52119</v>
      </c>
      <c r="Q21" s="177">
        <f>SUM(Q17:Q19)</f>
        <v>38532</v>
      </c>
      <c r="R21" s="177">
        <f>SUM(R16:R19)</f>
        <v>365147</v>
      </c>
    </row>
    <row r="22" spans="1:18">
      <c r="J22" s="176"/>
      <c r="K22" s="176"/>
      <c r="L22" s="176"/>
      <c r="M22" s="176"/>
      <c r="N22" s="176"/>
      <c r="O22" s="176"/>
      <c r="P22" s="176"/>
      <c r="Q22" s="176"/>
      <c r="R22" s="176"/>
    </row>
    <row r="23" spans="1:18">
      <c r="A23" s="86" t="s">
        <v>694</v>
      </c>
      <c r="J23" s="176"/>
      <c r="K23" s="176"/>
      <c r="L23" s="176"/>
      <c r="M23" s="176"/>
      <c r="N23" s="176"/>
      <c r="O23" s="176"/>
      <c r="P23" s="176"/>
      <c r="Q23" s="176"/>
      <c r="R23" s="176"/>
    </row>
    <row r="24" spans="1:18">
      <c r="C24" t="s">
        <v>31</v>
      </c>
      <c r="J24" s="176"/>
      <c r="K24" s="176"/>
      <c r="L24" s="176"/>
      <c r="M24" s="176"/>
      <c r="N24" s="176"/>
      <c r="O24" s="176"/>
      <c r="P24" s="176"/>
      <c r="Q24" s="176"/>
      <c r="R24" s="176"/>
    </row>
    <row r="25" spans="1:18" ht="18" customHeight="1">
      <c r="D25" t="s">
        <v>73</v>
      </c>
      <c r="J25" s="176" t="s">
        <v>691</v>
      </c>
      <c r="K25" s="176" t="s">
        <v>691</v>
      </c>
      <c r="L25" s="176" t="s">
        <v>691</v>
      </c>
      <c r="M25" s="176" t="s">
        <v>691</v>
      </c>
      <c r="N25" s="176" t="s">
        <v>691</v>
      </c>
      <c r="O25" s="176" t="s">
        <v>691</v>
      </c>
      <c r="P25" s="176" t="s">
        <v>691</v>
      </c>
      <c r="Q25" s="176">
        <v>24008</v>
      </c>
      <c r="R25" s="176">
        <f>SUM(J25:Q25)</f>
        <v>24008</v>
      </c>
    </row>
    <row r="26" spans="1:18" ht="14.25" customHeight="1">
      <c r="D26" t="s">
        <v>695</v>
      </c>
      <c r="J26" s="176" t="s">
        <v>691</v>
      </c>
      <c r="K26" s="176" t="s">
        <v>691</v>
      </c>
      <c r="L26" s="176" t="s">
        <v>691</v>
      </c>
      <c r="M26" s="176" t="s">
        <v>691</v>
      </c>
      <c r="N26" s="176" t="s">
        <v>691</v>
      </c>
      <c r="O26" s="176">
        <v>1176250</v>
      </c>
      <c r="P26" s="176" t="s">
        <v>691</v>
      </c>
      <c r="Q26" s="176" t="s">
        <v>691</v>
      </c>
      <c r="R26" s="176">
        <f>SUM(J26:Q26)</f>
        <v>1176250</v>
      </c>
    </row>
    <row r="27" spans="1:18">
      <c r="C27" t="s">
        <v>696</v>
      </c>
      <c r="J27" s="176"/>
      <c r="K27" s="176"/>
      <c r="L27" s="176"/>
      <c r="M27" s="176"/>
      <c r="N27" s="176"/>
      <c r="O27" s="176"/>
      <c r="P27" s="176"/>
      <c r="Q27" s="176"/>
      <c r="R27" s="176"/>
    </row>
    <row r="28" spans="1:18" ht="16.5" customHeight="1">
      <c r="D28" t="s">
        <v>697</v>
      </c>
      <c r="J28" s="176" t="s">
        <v>691</v>
      </c>
      <c r="K28" s="176">
        <v>154018</v>
      </c>
      <c r="L28" s="176">
        <v>97083</v>
      </c>
      <c r="M28" s="176">
        <v>638097</v>
      </c>
      <c r="N28" s="176">
        <v>294675</v>
      </c>
      <c r="O28" s="176" t="s">
        <v>691</v>
      </c>
      <c r="P28" s="176">
        <v>-9516</v>
      </c>
      <c r="Q28" s="176">
        <v>1000067</v>
      </c>
      <c r="R28" s="176">
        <f>SUM(J28:Q28)</f>
        <v>2174424</v>
      </c>
    </row>
    <row r="29" spans="1:18">
      <c r="C29" t="s">
        <v>698</v>
      </c>
      <c r="J29" s="176"/>
      <c r="K29" s="176"/>
      <c r="L29" s="176"/>
      <c r="M29" s="176"/>
      <c r="N29" s="176"/>
      <c r="O29" s="176"/>
      <c r="P29" s="176"/>
      <c r="Q29" s="176"/>
      <c r="R29" s="176"/>
    </row>
    <row r="30" spans="1:18" ht="16.5" customHeight="1">
      <c r="D30" t="s">
        <v>50</v>
      </c>
      <c r="J30" s="132">
        <v>777606</v>
      </c>
      <c r="K30" s="176" t="s">
        <v>691</v>
      </c>
      <c r="L30" s="176" t="s">
        <v>691</v>
      </c>
      <c r="M30" s="176" t="s">
        <v>691</v>
      </c>
      <c r="N30" s="176" t="s">
        <v>691</v>
      </c>
      <c r="O30" s="176" t="s">
        <v>691</v>
      </c>
      <c r="P30" s="176" t="s">
        <v>691</v>
      </c>
      <c r="Q30" s="176" t="s">
        <v>691</v>
      </c>
      <c r="R30" s="176">
        <f>SUM(J30:Q30)</f>
        <v>777606</v>
      </c>
    </row>
    <row r="31" spans="1:18">
      <c r="J31" s="173"/>
      <c r="K31" s="173"/>
      <c r="L31" s="173"/>
      <c r="M31" s="173"/>
      <c r="N31" s="173"/>
      <c r="O31" s="173"/>
      <c r="P31" s="173"/>
      <c r="Q31" s="173"/>
      <c r="R31" s="173"/>
    </row>
    <row r="32" spans="1:18" ht="16.5" customHeight="1">
      <c r="A32" s="5"/>
      <c r="B32" s="5"/>
      <c r="C32" s="5"/>
      <c r="D32" s="6"/>
      <c r="E32" s="6" t="s">
        <v>47</v>
      </c>
      <c r="F32" s="5"/>
      <c r="G32" s="5"/>
      <c r="H32" s="5"/>
      <c r="I32" s="5"/>
      <c r="J32" s="165">
        <f>SUM(J27:J30)</f>
        <v>777606</v>
      </c>
      <c r="K32" s="165">
        <f>SUM(K27:K30)</f>
        <v>154018</v>
      </c>
      <c r="L32" s="165">
        <f>SUM(L27:L30)</f>
        <v>97083</v>
      </c>
      <c r="M32" s="165">
        <f>SUM(M27:M30)</f>
        <v>638097</v>
      </c>
      <c r="N32" s="165">
        <f>SUM(N27:N30)</f>
        <v>294675</v>
      </c>
      <c r="O32" s="165">
        <f>SUM(O25:O30)</f>
        <v>1176250</v>
      </c>
      <c r="P32" s="165">
        <f>SUM(P25:P30)</f>
        <v>-9516</v>
      </c>
      <c r="Q32" s="165">
        <f>SUM(Q25:Q30)</f>
        <v>1024075</v>
      </c>
      <c r="R32" s="165">
        <f>SUM(R25:R30)</f>
        <v>4152288</v>
      </c>
    </row>
    <row r="33" spans="5:186">
      <c r="J33" s="176"/>
      <c r="K33" s="176"/>
      <c r="L33" s="176"/>
      <c r="M33" s="176"/>
      <c r="N33" s="176"/>
      <c r="O33" s="176"/>
      <c r="P33" s="176"/>
      <c r="Q33" s="176"/>
      <c r="R33" s="176"/>
    </row>
    <row r="34" spans="5:186" s="7" customFormat="1" ht="16.5" customHeight="1">
      <c r="E34" s="7" t="s">
        <v>48</v>
      </c>
      <c r="J34" s="178">
        <f>SUM(J32+J21)</f>
        <v>932180</v>
      </c>
      <c r="K34" s="178">
        <f>SUM(K32+K21)</f>
        <v>194189</v>
      </c>
      <c r="L34" s="178">
        <f>SUM(L32+L21)</f>
        <v>127712</v>
      </c>
      <c r="M34" s="178">
        <f>SUM(M32+M21)</f>
        <v>641308</v>
      </c>
      <c r="N34" s="178">
        <f>SUM(N32+N21)</f>
        <v>340586</v>
      </c>
      <c r="O34" s="178">
        <f t="shared" ref="O34:P34" si="3">SUM(O32+O21)</f>
        <v>1176250</v>
      </c>
      <c r="P34" s="178">
        <f t="shared" si="3"/>
        <v>42603</v>
      </c>
      <c r="Q34" s="178">
        <f>SUM(Q32+Q21)</f>
        <v>1062607</v>
      </c>
      <c r="R34" s="178">
        <f>SUM(R32+R21)</f>
        <v>4517435</v>
      </c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2"/>
      <c r="DC34" s="102"/>
      <c r="DD34" s="102"/>
      <c r="DE34" s="102"/>
      <c r="DF34" s="102"/>
      <c r="DG34" s="102"/>
      <c r="DH34" s="102"/>
      <c r="DI34" s="102"/>
      <c r="DJ34" s="102"/>
      <c r="DK34" s="102"/>
      <c r="DL34" s="102"/>
      <c r="DM34" s="102"/>
      <c r="DN34" s="102"/>
      <c r="DO34" s="102"/>
      <c r="DP34" s="102"/>
      <c r="DQ34" s="102"/>
      <c r="DR34" s="102"/>
      <c r="DS34" s="102"/>
      <c r="DT34" s="102"/>
      <c r="DU34" s="102"/>
      <c r="DV34" s="102"/>
      <c r="DW34" s="102"/>
      <c r="DX34" s="102"/>
      <c r="DY34" s="102"/>
      <c r="DZ34" s="102"/>
      <c r="EA34" s="102"/>
      <c r="EB34" s="102"/>
      <c r="EC34" s="102"/>
      <c r="ED34" s="102"/>
      <c r="EE34" s="102"/>
      <c r="EF34" s="102"/>
      <c r="EG34" s="102"/>
      <c r="EH34" s="102"/>
      <c r="EI34" s="102"/>
      <c r="EJ34" s="102"/>
      <c r="EK34" s="102"/>
      <c r="EL34" s="102"/>
      <c r="EM34" s="102"/>
      <c r="EN34" s="102"/>
      <c r="EO34" s="102"/>
      <c r="EP34" s="102"/>
      <c r="EQ34" s="102"/>
      <c r="ER34" s="102"/>
      <c r="ES34" s="102"/>
      <c r="ET34" s="102"/>
      <c r="EU34" s="102"/>
      <c r="EV34" s="102"/>
      <c r="EW34" s="102"/>
      <c r="EX34" s="102"/>
      <c r="EY34" s="102"/>
      <c r="EZ34" s="102"/>
      <c r="FA34" s="102"/>
      <c r="FB34" s="102"/>
      <c r="FC34" s="102"/>
      <c r="FD34" s="102"/>
      <c r="FE34" s="102"/>
      <c r="FF34" s="102"/>
      <c r="FG34" s="102"/>
      <c r="FH34" s="102"/>
      <c r="FI34" s="102"/>
      <c r="FJ34" s="102"/>
      <c r="FK34" s="102"/>
      <c r="FL34" s="102"/>
      <c r="FM34" s="102"/>
      <c r="FN34" s="102"/>
      <c r="FO34" s="102"/>
      <c r="FP34" s="102"/>
      <c r="FQ34" s="102"/>
      <c r="FR34" s="102"/>
      <c r="FS34" s="102"/>
      <c r="FT34" s="102"/>
      <c r="FU34" s="102"/>
      <c r="FV34" s="102"/>
      <c r="FW34" s="102"/>
      <c r="FX34" s="102"/>
      <c r="FY34" s="102"/>
      <c r="FZ34" s="102"/>
      <c r="GA34" s="102"/>
      <c r="GB34" s="102"/>
      <c r="GC34" s="102"/>
      <c r="GD34" s="102"/>
    </row>
    <row r="35" spans="5:186">
      <c r="J35" s="103"/>
      <c r="K35" s="103"/>
      <c r="L35" s="103"/>
      <c r="M35" s="103"/>
      <c r="N35" s="103"/>
      <c r="O35" s="103"/>
      <c r="P35" s="103"/>
      <c r="Q35" s="103"/>
      <c r="R35" s="103"/>
    </row>
    <row r="36" spans="5:186">
      <c r="J36" s="103"/>
      <c r="K36" s="103"/>
      <c r="L36" s="103"/>
      <c r="M36" s="103"/>
      <c r="N36" s="103"/>
      <c r="O36" s="103"/>
      <c r="P36" s="103"/>
      <c r="Q36" s="103"/>
      <c r="R36" s="103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T54"/>
  <sheetViews>
    <sheetView topLeftCell="A34" zoomScale="80" zoomScaleNormal="80" zoomScalePageLayoutView="80" workbookViewId="0">
      <selection activeCell="S54" sqref="S54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3" width="16.42578125" customWidth="1"/>
    <col min="14" max="14" width="17.28515625" customWidth="1"/>
    <col min="15" max="18" width="19" customWidth="1"/>
    <col min="19" max="19" width="19.42578125" customWidth="1"/>
    <col min="20" max="20" width="19.85546875" bestFit="1" customWidth="1"/>
  </cols>
  <sheetData>
    <row r="1" spans="1:20" ht="18.75">
      <c r="D1" s="251" t="s">
        <v>699</v>
      </c>
      <c r="E1" s="251"/>
      <c r="F1" s="251"/>
      <c r="G1" s="251"/>
      <c r="H1" s="251"/>
      <c r="I1" s="251"/>
      <c r="J1" s="251"/>
      <c r="K1" s="251"/>
    </row>
    <row r="2" spans="1:20">
      <c r="D2" s="252" t="s">
        <v>1</v>
      </c>
      <c r="E2" s="252"/>
      <c r="F2" s="252"/>
      <c r="G2" s="252"/>
      <c r="H2" s="252"/>
      <c r="I2" s="252"/>
      <c r="J2" s="252"/>
      <c r="K2" s="252"/>
    </row>
    <row r="4" spans="1:20" ht="45">
      <c r="K4" s="1" t="s">
        <v>2</v>
      </c>
      <c r="L4" s="1" t="s">
        <v>700</v>
      </c>
      <c r="M4" s="1" t="s">
        <v>701</v>
      </c>
      <c r="N4" s="1" t="s">
        <v>702</v>
      </c>
      <c r="O4" s="1" t="s">
        <v>703</v>
      </c>
      <c r="P4" s="1" t="s">
        <v>704</v>
      </c>
      <c r="Q4" s="1" t="s">
        <v>705</v>
      </c>
      <c r="R4" s="1" t="s">
        <v>706</v>
      </c>
      <c r="S4" s="1" t="s">
        <v>6</v>
      </c>
      <c r="T4" s="1" t="s">
        <v>7</v>
      </c>
    </row>
    <row r="5" spans="1:20">
      <c r="A5" s="86" t="s">
        <v>8</v>
      </c>
    </row>
    <row r="6" spans="1:20">
      <c r="B6" t="s">
        <v>98</v>
      </c>
      <c r="K6" s="72">
        <v>610783</v>
      </c>
      <c r="L6" s="73">
        <v>62025</v>
      </c>
      <c r="M6" s="73"/>
      <c r="N6" s="73">
        <v>39559</v>
      </c>
      <c r="O6" s="73">
        <v>3345</v>
      </c>
      <c r="P6" s="73"/>
      <c r="Q6" s="73"/>
      <c r="R6" s="73"/>
      <c r="S6" s="73">
        <v>865071</v>
      </c>
      <c r="T6" s="73">
        <f>SUM(K6:S6)</f>
        <v>1580783</v>
      </c>
    </row>
    <row r="7" spans="1:20">
      <c r="B7" t="s">
        <v>707</v>
      </c>
      <c r="K7" s="73"/>
      <c r="L7" s="73"/>
      <c r="M7" s="73"/>
      <c r="N7" s="73"/>
      <c r="O7" s="73"/>
      <c r="P7" s="73">
        <v>920945</v>
      </c>
      <c r="Q7" s="73">
        <v>2311081</v>
      </c>
      <c r="R7" s="73">
        <v>4</v>
      </c>
      <c r="S7" s="73"/>
      <c r="T7" s="73">
        <f>SUM(K7:S7)</f>
        <v>3232030</v>
      </c>
    </row>
    <row r="8" spans="1:20">
      <c r="B8" t="s">
        <v>708</v>
      </c>
      <c r="K8" s="74">
        <v>2409716</v>
      </c>
      <c r="L8" s="73">
        <v>142480</v>
      </c>
      <c r="M8" s="73">
        <v>1300905</v>
      </c>
      <c r="N8" s="73"/>
      <c r="O8" s="73">
        <v>378783</v>
      </c>
      <c r="P8" s="73">
        <v>732289</v>
      </c>
      <c r="Q8" s="73"/>
      <c r="R8" s="73"/>
      <c r="S8" s="73">
        <v>1441726</v>
      </c>
      <c r="T8" s="73">
        <f>SUM(K8:S8)</f>
        <v>6405899</v>
      </c>
    </row>
    <row r="9" spans="1:20">
      <c r="B9" t="s">
        <v>100</v>
      </c>
      <c r="K9" s="83">
        <v>10350</v>
      </c>
      <c r="L9" s="73"/>
      <c r="M9" s="73"/>
      <c r="N9" s="73"/>
      <c r="O9" s="73"/>
      <c r="P9" s="73"/>
      <c r="Q9" s="73">
        <v>229168</v>
      </c>
      <c r="R9" s="73"/>
      <c r="S9" s="73"/>
      <c r="T9" s="73">
        <f>SUM(K9:S9)</f>
        <v>239518</v>
      </c>
    </row>
    <row r="10" spans="1:20">
      <c r="B10" t="s">
        <v>709</v>
      </c>
      <c r="K10" s="73"/>
      <c r="L10" s="73"/>
      <c r="M10" s="73"/>
      <c r="N10" s="73"/>
      <c r="O10" s="73"/>
      <c r="P10" s="73"/>
      <c r="Q10" s="73">
        <v>56180653</v>
      </c>
      <c r="R10" s="73"/>
      <c r="S10" s="73"/>
      <c r="T10" s="73">
        <f>SUM(K10:S10)</f>
        <v>56180653</v>
      </c>
    </row>
    <row r="11" spans="1:20">
      <c r="B11" t="s">
        <v>16</v>
      </c>
      <c r="K11" s="75">
        <v>754920</v>
      </c>
      <c r="L11" s="73">
        <v>104</v>
      </c>
      <c r="M11" s="73">
        <v>110463</v>
      </c>
      <c r="N11" s="73"/>
      <c r="O11" s="73">
        <v>4910</v>
      </c>
      <c r="P11" s="73">
        <v>1000000</v>
      </c>
      <c r="Q11" s="73"/>
      <c r="R11" s="73"/>
      <c r="S11" s="73">
        <v>96932</v>
      </c>
      <c r="T11" s="73">
        <v>1967329</v>
      </c>
    </row>
    <row r="12" spans="1:20">
      <c r="B12" t="s">
        <v>710</v>
      </c>
      <c r="K12" s="75">
        <v>22852</v>
      </c>
      <c r="L12" s="73">
        <v>255285</v>
      </c>
      <c r="M12" s="73"/>
      <c r="N12" s="73">
        <v>6962</v>
      </c>
      <c r="O12" s="73"/>
      <c r="P12" s="73"/>
      <c r="Q12" s="73"/>
      <c r="R12" s="73"/>
      <c r="S12" s="73"/>
      <c r="T12" s="73">
        <f>SUM(K12:S12)</f>
        <v>285099</v>
      </c>
    </row>
    <row r="13" spans="1:20">
      <c r="B13" t="s">
        <v>17</v>
      </c>
      <c r="K13" s="75">
        <v>4555</v>
      </c>
      <c r="L13" s="73"/>
      <c r="M13" s="73"/>
      <c r="N13" s="73"/>
      <c r="O13" s="73"/>
      <c r="P13" s="73"/>
      <c r="Q13" s="73"/>
      <c r="R13" s="73"/>
      <c r="S13" s="73"/>
      <c r="T13" s="73">
        <f>SUM(K13:S13)</f>
        <v>4555</v>
      </c>
    </row>
    <row r="14" spans="1:20">
      <c r="B14" t="s">
        <v>59</v>
      </c>
      <c r="K14" s="75">
        <v>140373</v>
      </c>
      <c r="L14" s="73"/>
      <c r="M14" s="73"/>
      <c r="N14" s="73"/>
      <c r="O14" s="73"/>
      <c r="P14" s="73"/>
      <c r="Q14" s="73"/>
      <c r="R14" s="73"/>
      <c r="S14" s="73"/>
      <c r="T14" s="73">
        <f>SUM(K14:S14)</f>
        <v>140373</v>
      </c>
    </row>
    <row r="15" spans="1:20">
      <c r="K15" s="73"/>
      <c r="L15" s="73"/>
      <c r="M15" s="73"/>
      <c r="N15" s="73"/>
      <c r="O15" s="73"/>
      <c r="P15" s="73"/>
      <c r="Q15" s="73"/>
      <c r="R15" s="73"/>
      <c r="S15" s="73"/>
      <c r="T15" s="73"/>
    </row>
    <row r="16" spans="1:20" s="3" customFormat="1">
      <c r="A16" s="2"/>
      <c r="B16" s="2"/>
      <c r="C16" s="2"/>
      <c r="D16" s="2"/>
      <c r="E16" s="2" t="s">
        <v>18</v>
      </c>
      <c r="K16" s="76">
        <f t="shared" ref="K16:R16" si="0">SUM(K6:K14)</f>
        <v>3953549</v>
      </c>
      <c r="L16" s="76">
        <f t="shared" si="0"/>
        <v>459894</v>
      </c>
      <c r="M16" s="76">
        <f t="shared" si="0"/>
        <v>1411368</v>
      </c>
      <c r="N16" s="76">
        <f t="shared" si="0"/>
        <v>46521</v>
      </c>
      <c r="O16" s="76">
        <f t="shared" si="0"/>
        <v>387038</v>
      </c>
      <c r="P16" s="76">
        <f t="shared" si="0"/>
        <v>2653234</v>
      </c>
      <c r="Q16" s="76">
        <f t="shared" si="0"/>
        <v>58720902</v>
      </c>
      <c r="R16" s="76">
        <f t="shared" si="0"/>
        <v>4</v>
      </c>
      <c r="S16" s="76">
        <f>SUM(S6:S15)</f>
        <v>2403729</v>
      </c>
      <c r="T16" s="76">
        <f>SUM(T6:T14)</f>
        <v>70036239</v>
      </c>
    </row>
    <row r="17" spans="1:20">
      <c r="K17" s="73"/>
      <c r="L17" s="73"/>
      <c r="M17" s="73"/>
      <c r="N17" s="73"/>
      <c r="O17" s="73"/>
      <c r="P17" s="73"/>
      <c r="Q17" s="73"/>
      <c r="R17" s="73"/>
      <c r="S17" s="73"/>
      <c r="T17" s="73"/>
    </row>
    <row r="18" spans="1:20">
      <c r="A18" s="4" t="s">
        <v>19</v>
      </c>
      <c r="K18" s="73"/>
      <c r="L18" s="73"/>
      <c r="M18" s="73"/>
      <c r="N18" s="73"/>
      <c r="O18" s="73"/>
      <c r="P18" s="73"/>
      <c r="Q18" s="73"/>
      <c r="R18" s="73"/>
      <c r="S18" s="73"/>
      <c r="T18" s="73"/>
    </row>
    <row r="19" spans="1:20">
      <c r="B19" t="s">
        <v>20</v>
      </c>
      <c r="K19" s="73"/>
      <c r="L19" s="73"/>
      <c r="M19" s="73"/>
      <c r="N19" s="73"/>
      <c r="O19" s="73"/>
      <c r="P19" s="73"/>
      <c r="Q19" s="73"/>
      <c r="R19" s="73"/>
      <c r="S19" s="73"/>
      <c r="T19" s="73"/>
    </row>
    <row r="20" spans="1:20">
      <c r="C20" t="s">
        <v>494</v>
      </c>
      <c r="K20" s="73"/>
      <c r="L20" s="73"/>
      <c r="M20" s="73">
        <v>217</v>
      </c>
      <c r="N20" s="73"/>
      <c r="O20" s="73"/>
      <c r="P20" s="73"/>
      <c r="Q20" s="73"/>
      <c r="R20" s="73"/>
      <c r="S20" s="73">
        <v>18794</v>
      </c>
      <c r="T20" s="73">
        <f t="shared" ref="T20:T22" si="1">SUM(K20:S20)</f>
        <v>19011</v>
      </c>
    </row>
    <row r="21" spans="1:20">
      <c r="C21" t="s">
        <v>21</v>
      </c>
      <c r="K21" s="77">
        <v>308489</v>
      </c>
      <c r="L21" s="73">
        <v>243114</v>
      </c>
      <c r="M21" s="73">
        <v>84397</v>
      </c>
      <c r="N21" s="73">
        <v>55970</v>
      </c>
      <c r="O21" s="73">
        <v>378789</v>
      </c>
      <c r="P21" s="73">
        <v>41411</v>
      </c>
      <c r="Q21" s="73">
        <v>2893888</v>
      </c>
      <c r="R21" s="73"/>
      <c r="S21" s="73">
        <v>333639</v>
      </c>
      <c r="T21" s="73">
        <f t="shared" si="1"/>
        <v>4339697</v>
      </c>
    </row>
    <row r="22" spans="1:20">
      <c r="C22" t="s">
        <v>711</v>
      </c>
      <c r="K22" s="77">
        <v>222805</v>
      </c>
      <c r="L22" s="73">
        <v>70735</v>
      </c>
      <c r="M22" s="73">
        <v>45478</v>
      </c>
      <c r="N22" s="73">
        <v>5550</v>
      </c>
      <c r="O22" s="73"/>
      <c r="P22" s="73"/>
      <c r="Q22" s="73"/>
      <c r="R22" s="73"/>
      <c r="S22" s="73">
        <v>15846</v>
      </c>
      <c r="T22" s="73">
        <f t="shared" si="1"/>
        <v>360414</v>
      </c>
    </row>
    <row r="23" spans="1:20">
      <c r="C23" t="s">
        <v>712</v>
      </c>
      <c r="K23" s="73"/>
      <c r="L23" s="73"/>
      <c r="M23" s="73"/>
      <c r="N23" s="73">
        <v>4387</v>
      </c>
      <c r="O23" s="73"/>
      <c r="P23" s="73"/>
      <c r="Q23" s="73"/>
      <c r="R23" s="73"/>
      <c r="S23" s="73"/>
      <c r="T23" s="73">
        <f>SUM(K23:S23)</f>
        <v>4387</v>
      </c>
    </row>
    <row r="24" spans="1:20">
      <c r="C24" t="s">
        <v>713</v>
      </c>
      <c r="K24" s="78">
        <v>95000</v>
      </c>
      <c r="L24" s="73"/>
      <c r="M24" s="73"/>
      <c r="N24" s="73"/>
      <c r="O24" s="73"/>
      <c r="P24" s="73"/>
      <c r="Q24" s="73"/>
      <c r="R24" s="73"/>
      <c r="S24" s="73"/>
      <c r="T24" s="73">
        <f>SUM(K24:S24)</f>
        <v>95000</v>
      </c>
    </row>
    <row r="25" spans="1:20">
      <c r="C25" t="s">
        <v>25</v>
      </c>
      <c r="K25" s="78">
        <v>1102714</v>
      </c>
      <c r="L25" s="73">
        <v>211410</v>
      </c>
      <c r="M25" s="73">
        <v>343404</v>
      </c>
      <c r="N25" s="73">
        <v>67424</v>
      </c>
      <c r="O25" s="73"/>
      <c r="P25" s="73"/>
      <c r="Q25" s="73"/>
      <c r="R25" s="73"/>
      <c r="S25" s="73">
        <v>242377</v>
      </c>
      <c r="T25" s="73">
        <f>SUM(K25:S25)</f>
        <v>1967329</v>
      </c>
    </row>
    <row r="26" spans="1:20">
      <c r="C26" t="s">
        <v>158</v>
      </c>
      <c r="K26" s="78">
        <v>6389</v>
      </c>
      <c r="L26" s="73"/>
      <c r="M26" s="73"/>
      <c r="N26" s="73"/>
      <c r="O26" s="73"/>
      <c r="P26" s="73"/>
      <c r="Q26" s="73"/>
      <c r="R26" s="73"/>
      <c r="S26" s="73"/>
      <c r="T26" s="73">
        <f>SUM(K26:S26)</f>
        <v>6389</v>
      </c>
    </row>
    <row r="27" spans="1:20">
      <c r="K27" s="73"/>
      <c r="L27" s="73"/>
      <c r="M27" s="73"/>
      <c r="N27" s="73"/>
      <c r="O27" s="73"/>
      <c r="P27" s="73"/>
      <c r="Q27" s="73"/>
      <c r="R27" s="73"/>
      <c r="S27" s="73"/>
      <c r="T27" s="73"/>
    </row>
    <row r="28" spans="1:20" s="5" customFormat="1">
      <c r="B28" s="6"/>
      <c r="C28" s="6"/>
      <c r="D28" s="6"/>
      <c r="E28" s="6" t="s">
        <v>26</v>
      </c>
      <c r="K28" s="79">
        <f t="shared" ref="K28:Q28" si="2">SUM(K21:K26)</f>
        <v>1735397</v>
      </c>
      <c r="L28" s="79">
        <f t="shared" si="2"/>
        <v>525259</v>
      </c>
      <c r="M28" s="79">
        <f t="shared" si="2"/>
        <v>473279</v>
      </c>
      <c r="N28" s="79">
        <f t="shared" si="2"/>
        <v>133331</v>
      </c>
      <c r="O28" s="79">
        <f t="shared" si="2"/>
        <v>378789</v>
      </c>
      <c r="P28" s="79">
        <f t="shared" si="2"/>
        <v>41411</v>
      </c>
      <c r="Q28" s="79">
        <f t="shared" si="2"/>
        <v>2893888</v>
      </c>
      <c r="R28" s="79">
        <f>SUM(R20:R27)</f>
        <v>0</v>
      </c>
      <c r="S28" s="79">
        <f>SUM(S20:S26)</f>
        <v>610656</v>
      </c>
      <c r="T28" s="79">
        <f>SUM(T20:T26)</f>
        <v>6792227</v>
      </c>
    </row>
    <row r="29" spans="1:20">
      <c r="K29" s="73"/>
      <c r="L29" s="73"/>
      <c r="M29" s="73"/>
      <c r="N29" s="73"/>
      <c r="O29" s="73"/>
      <c r="P29" s="73"/>
      <c r="Q29" s="73"/>
      <c r="R29" s="73"/>
      <c r="S29" s="73"/>
      <c r="T29" s="73"/>
    </row>
    <row r="30" spans="1:20">
      <c r="B30" s="86" t="s">
        <v>30</v>
      </c>
      <c r="K30" s="73"/>
      <c r="L30" s="73"/>
      <c r="M30" s="73"/>
      <c r="N30" s="73"/>
      <c r="O30" s="73"/>
      <c r="P30" s="73"/>
      <c r="Q30" s="73"/>
      <c r="R30" s="73"/>
      <c r="S30" s="73"/>
      <c r="T30" s="73"/>
    </row>
    <row r="31" spans="1:20">
      <c r="C31" t="s">
        <v>475</v>
      </c>
      <c r="K31" s="73"/>
      <c r="L31" s="73"/>
      <c r="M31" s="73"/>
      <c r="N31" s="73"/>
      <c r="O31" s="73"/>
      <c r="P31" s="73"/>
      <c r="Q31" s="73"/>
      <c r="R31" s="73"/>
      <c r="S31" s="73"/>
      <c r="T31" s="73"/>
    </row>
    <row r="32" spans="1:20">
      <c r="D32" t="s">
        <v>714</v>
      </c>
      <c r="K32" s="80">
        <v>10350</v>
      </c>
      <c r="L32" s="73"/>
      <c r="M32" s="73"/>
      <c r="N32" s="73"/>
      <c r="O32" s="73"/>
      <c r="P32" s="73"/>
      <c r="Q32" s="73">
        <v>229168</v>
      </c>
      <c r="R32" s="73"/>
      <c r="S32" s="73"/>
      <c r="T32" s="73">
        <f>SUM(K32:S32)</f>
        <v>239518</v>
      </c>
    </row>
    <row r="33" spans="3:20">
      <c r="C33" t="s">
        <v>31</v>
      </c>
      <c r="K33" s="73"/>
      <c r="L33" s="73"/>
      <c r="M33" s="73"/>
      <c r="N33" s="73"/>
      <c r="O33" s="73"/>
      <c r="P33" s="73"/>
      <c r="Q33" s="73"/>
      <c r="R33" s="73"/>
      <c r="S33" s="73"/>
      <c r="T33" s="73">
        <f t="shared" ref="T33:T51" si="3">SUM(K33:S33)</f>
        <v>0</v>
      </c>
    </row>
    <row r="34" spans="3:20">
      <c r="D34" t="s">
        <v>69</v>
      </c>
      <c r="K34" s="73"/>
      <c r="L34" s="73"/>
      <c r="M34" s="73"/>
      <c r="N34" s="73"/>
      <c r="O34" s="73"/>
      <c r="P34" s="73"/>
      <c r="Q34" s="73"/>
      <c r="R34" s="73"/>
      <c r="S34" s="73">
        <v>169372</v>
      </c>
      <c r="T34" s="73">
        <f t="shared" si="3"/>
        <v>169372</v>
      </c>
    </row>
    <row r="35" spans="3:20">
      <c r="D35" t="s">
        <v>71</v>
      </c>
      <c r="K35" s="73"/>
      <c r="L35" s="73"/>
      <c r="M35" s="73"/>
      <c r="N35" s="73"/>
      <c r="O35" s="73"/>
      <c r="P35" s="73"/>
      <c r="Q35" s="73"/>
      <c r="R35" s="73"/>
      <c r="S35" s="73">
        <v>1181404</v>
      </c>
      <c r="T35" s="73">
        <f t="shared" si="3"/>
        <v>1181404</v>
      </c>
    </row>
    <row r="36" spans="3:20">
      <c r="D36" t="s">
        <v>715</v>
      </c>
      <c r="K36" s="80">
        <v>245700</v>
      </c>
      <c r="L36" s="73"/>
      <c r="M36" s="73"/>
      <c r="N36" s="73"/>
      <c r="O36" s="73"/>
      <c r="P36" s="73"/>
      <c r="Q36" s="73"/>
      <c r="R36" s="73"/>
      <c r="S36" s="73"/>
      <c r="T36" s="73">
        <f t="shared" si="3"/>
        <v>245700</v>
      </c>
    </row>
    <row r="37" spans="3:20">
      <c r="D37" t="s">
        <v>716</v>
      </c>
      <c r="K37" s="80">
        <v>54672</v>
      </c>
      <c r="L37" s="73"/>
      <c r="M37" s="73"/>
      <c r="N37" s="73"/>
      <c r="O37" s="73"/>
      <c r="P37" s="73"/>
      <c r="Q37" s="73"/>
      <c r="R37" s="73"/>
      <c r="S37" s="73"/>
      <c r="T37" s="73">
        <f t="shared" si="3"/>
        <v>54672</v>
      </c>
    </row>
    <row r="38" spans="3:20">
      <c r="D38" t="s">
        <v>70</v>
      </c>
      <c r="K38" s="73"/>
      <c r="L38" s="73"/>
      <c r="M38" s="73"/>
      <c r="N38" s="73"/>
      <c r="O38" s="73"/>
      <c r="P38" s="73"/>
      <c r="Q38" s="73"/>
      <c r="R38" s="73"/>
      <c r="S38" s="73">
        <v>383212</v>
      </c>
      <c r="T38" s="73">
        <f t="shared" si="3"/>
        <v>383212</v>
      </c>
    </row>
    <row r="39" spans="3:20">
      <c r="D39" t="s">
        <v>43</v>
      </c>
      <c r="K39" s="73"/>
      <c r="L39" s="73"/>
      <c r="M39" s="73"/>
      <c r="N39" s="73"/>
      <c r="O39" s="73"/>
      <c r="P39" s="73"/>
      <c r="Q39" s="73"/>
      <c r="R39" s="73"/>
      <c r="S39" s="73">
        <v>24800</v>
      </c>
      <c r="T39" s="73">
        <f t="shared" si="3"/>
        <v>24800</v>
      </c>
    </row>
    <row r="40" spans="3:20">
      <c r="D40" t="s">
        <v>106</v>
      </c>
      <c r="K40" s="73"/>
      <c r="L40" s="73"/>
      <c r="M40" s="73">
        <v>937872</v>
      </c>
      <c r="N40" s="73"/>
      <c r="O40" s="73"/>
      <c r="P40" s="73"/>
      <c r="Q40" s="73"/>
      <c r="R40" s="73"/>
      <c r="S40" s="73"/>
      <c r="T40" s="73">
        <f t="shared" si="3"/>
        <v>937872</v>
      </c>
    </row>
    <row r="41" spans="3:20">
      <c r="D41" t="s">
        <v>42</v>
      </c>
      <c r="K41" s="80">
        <v>1144</v>
      </c>
      <c r="L41" s="73"/>
      <c r="M41" s="73"/>
      <c r="N41" s="73"/>
      <c r="O41" s="73"/>
      <c r="R41" s="73"/>
      <c r="S41" s="73">
        <v>298</v>
      </c>
      <c r="T41" s="73">
        <f t="shared" si="3"/>
        <v>1442</v>
      </c>
    </row>
    <row r="42" spans="3:20">
      <c r="D42" t="s">
        <v>717</v>
      </c>
      <c r="K42" s="73"/>
      <c r="L42" s="73"/>
      <c r="M42" s="73"/>
      <c r="N42" s="73"/>
      <c r="O42" s="73"/>
      <c r="P42" s="73">
        <v>2611823</v>
      </c>
      <c r="Q42" s="73">
        <v>55597846</v>
      </c>
      <c r="R42" s="73"/>
      <c r="S42" s="73"/>
      <c r="T42" s="73">
        <f t="shared" si="3"/>
        <v>58209669</v>
      </c>
    </row>
    <row r="43" spans="3:20">
      <c r="D43" t="s">
        <v>73</v>
      </c>
      <c r="K43" s="73"/>
      <c r="L43" s="73"/>
      <c r="M43" s="73"/>
      <c r="N43" s="73"/>
      <c r="O43" s="73"/>
      <c r="P43" s="73"/>
      <c r="Q43" s="73"/>
      <c r="R43" s="73">
        <v>4</v>
      </c>
      <c r="S43" s="73">
        <v>33987</v>
      </c>
      <c r="T43" s="73">
        <f t="shared" si="3"/>
        <v>33991</v>
      </c>
    </row>
    <row r="44" spans="3:20">
      <c r="C44" t="s">
        <v>37</v>
      </c>
      <c r="K44" s="73"/>
      <c r="L44" s="73"/>
      <c r="M44" s="73"/>
      <c r="N44" s="73"/>
      <c r="O44" s="73"/>
      <c r="P44" s="73"/>
      <c r="Q44" s="73"/>
      <c r="R44" s="73"/>
      <c r="S44" s="73"/>
      <c r="T44" s="73">
        <f t="shared" si="3"/>
        <v>0</v>
      </c>
    </row>
    <row r="45" spans="3:20">
      <c r="D45" t="s">
        <v>718</v>
      </c>
      <c r="K45" s="80">
        <v>295101</v>
      </c>
      <c r="L45" s="73"/>
      <c r="M45" s="73"/>
      <c r="N45" s="73"/>
      <c r="O45" s="73"/>
      <c r="P45" s="73"/>
      <c r="Q45" s="73"/>
      <c r="R45" s="73"/>
      <c r="S45" s="73"/>
      <c r="T45" s="73">
        <f t="shared" si="3"/>
        <v>295101</v>
      </c>
    </row>
    <row r="46" spans="3:20">
      <c r="C46" t="s">
        <v>719</v>
      </c>
      <c r="K46" s="73"/>
      <c r="L46" s="73"/>
      <c r="M46" s="73"/>
      <c r="N46" s="73"/>
      <c r="O46" s="73"/>
      <c r="P46" s="73"/>
      <c r="Q46" s="73"/>
      <c r="R46" s="73"/>
      <c r="S46" s="73"/>
      <c r="T46" s="73">
        <f t="shared" si="3"/>
        <v>0</v>
      </c>
    </row>
    <row r="47" spans="3:20">
      <c r="D47" t="s">
        <v>71</v>
      </c>
      <c r="K47" s="200">
        <v>176458</v>
      </c>
      <c r="L47" s="73"/>
      <c r="M47" s="73"/>
      <c r="N47" s="73"/>
      <c r="O47" s="73"/>
      <c r="P47" s="73"/>
      <c r="Q47" s="73"/>
      <c r="R47" s="73"/>
      <c r="S47" s="73"/>
      <c r="T47" s="73">
        <f t="shared" si="3"/>
        <v>176458</v>
      </c>
    </row>
    <row r="48" spans="3:20">
      <c r="D48" t="s">
        <v>716</v>
      </c>
      <c r="K48" s="200">
        <v>121937</v>
      </c>
      <c r="L48" s="73"/>
      <c r="M48" s="73"/>
      <c r="N48" s="73"/>
      <c r="O48" s="73"/>
      <c r="P48" s="73"/>
      <c r="Q48" s="73"/>
      <c r="R48" s="73"/>
      <c r="S48" s="73"/>
      <c r="T48" s="73">
        <f t="shared" si="3"/>
        <v>121937</v>
      </c>
    </row>
    <row r="49" spans="3:20">
      <c r="D49" t="s">
        <v>70</v>
      </c>
      <c r="K49" s="200">
        <v>44601</v>
      </c>
      <c r="L49" s="73"/>
      <c r="M49" s="73"/>
      <c r="N49" s="73"/>
      <c r="O49" s="73"/>
      <c r="P49" s="73"/>
      <c r="Q49" s="73"/>
      <c r="R49" s="73"/>
      <c r="S49" s="73"/>
      <c r="T49" s="73">
        <f t="shared" si="3"/>
        <v>44601</v>
      </c>
    </row>
    <row r="50" spans="3:20">
      <c r="C50" t="s">
        <v>46</v>
      </c>
      <c r="K50" s="84">
        <v>1268189</v>
      </c>
      <c r="L50" s="73">
        <v>-65365</v>
      </c>
      <c r="M50" s="73"/>
      <c r="N50" s="73">
        <v>-86810</v>
      </c>
      <c r="O50" s="73">
        <v>8249</v>
      </c>
      <c r="P50" s="73"/>
      <c r="Q50" s="73"/>
      <c r="R50" s="73"/>
      <c r="S50" s="73"/>
      <c r="T50" s="73">
        <f t="shared" si="3"/>
        <v>1124263</v>
      </c>
    </row>
    <row r="51" spans="3:20">
      <c r="K51" s="73"/>
      <c r="L51" s="73"/>
      <c r="M51" s="73"/>
      <c r="N51" s="73"/>
      <c r="O51" s="73"/>
      <c r="P51" s="73"/>
      <c r="Q51" s="73"/>
      <c r="R51" s="73"/>
      <c r="S51" s="73"/>
      <c r="T51" s="73">
        <f t="shared" si="3"/>
        <v>0</v>
      </c>
    </row>
    <row r="52" spans="3:20" s="5" customFormat="1">
      <c r="D52" s="6"/>
      <c r="E52" s="6" t="s">
        <v>77</v>
      </c>
      <c r="K52" s="79">
        <f>SUM(K32:K50)</f>
        <v>2218152</v>
      </c>
      <c r="L52" s="79">
        <f>SUM(L32:L50)</f>
        <v>-65365</v>
      </c>
      <c r="M52" s="79">
        <f>SUM(M32:M50)</f>
        <v>937872</v>
      </c>
      <c r="N52" s="79">
        <f>SUM(N32:N50)</f>
        <v>-86810</v>
      </c>
      <c r="O52" s="79">
        <f>SUM(O32:O50)</f>
        <v>8249</v>
      </c>
      <c r="P52" s="79">
        <f t="shared" ref="P52:R52" si="4">SUM(P32:P50)</f>
        <v>2611823</v>
      </c>
      <c r="Q52" s="79">
        <f t="shared" si="4"/>
        <v>55827014</v>
      </c>
      <c r="R52" s="79">
        <f t="shared" si="4"/>
        <v>4</v>
      </c>
      <c r="S52" s="79">
        <f>SUM(S32:S50)</f>
        <v>1793073</v>
      </c>
      <c r="T52" s="79">
        <f>SUM(T32:T50)</f>
        <v>63244012</v>
      </c>
    </row>
    <row r="53" spans="3:20">
      <c r="K53" s="73"/>
      <c r="L53" s="73"/>
      <c r="M53" s="73"/>
      <c r="N53" s="73"/>
      <c r="O53" s="73"/>
      <c r="P53" s="73"/>
      <c r="Q53" s="73"/>
      <c r="R53" s="73"/>
      <c r="S53" s="73"/>
      <c r="T53" s="73"/>
    </row>
    <row r="54" spans="3:20" s="7" customFormat="1">
      <c r="D54" s="8"/>
      <c r="E54" s="8" t="s">
        <v>48</v>
      </c>
      <c r="K54" s="81">
        <f>SUM(K52,K28)</f>
        <v>3953549</v>
      </c>
      <c r="L54" s="81">
        <f>SUM(L28,L52)</f>
        <v>459894</v>
      </c>
      <c r="M54" s="81">
        <f>SUM(M28,M52)</f>
        <v>1411151</v>
      </c>
      <c r="N54" s="81">
        <f>SUM(N28,N52)</f>
        <v>46521</v>
      </c>
      <c r="O54" s="81">
        <f>SUM(O28+O52)</f>
        <v>387038</v>
      </c>
      <c r="P54" s="81">
        <f t="shared" ref="P54:R54" si="5">SUM(P28+P52)</f>
        <v>2653234</v>
      </c>
      <c r="Q54" s="81">
        <f t="shared" si="5"/>
        <v>58720902</v>
      </c>
      <c r="R54" s="81">
        <f t="shared" si="5"/>
        <v>4</v>
      </c>
      <c r="S54" s="81">
        <f>SUM(S28,S52)</f>
        <v>2403729</v>
      </c>
      <c r="T54" s="81">
        <f>SUM(T28,T52)</f>
        <v>70036239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6"/>
  </sheetPr>
  <dimension ref="A1:R50"/>
  <sheetViews>
    <sheetView topLeftCell="M35" workbookViewId="0">
      <selection activeCell="R50" sqref="R50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3.140625" customWidth="1"/>
    <col min="12" max="13" width="16.42578125" customWidth="1"/>
    <col min="14" max="14" width="16.140625" customWidth="1"/>
    <col min="15" max="15" width="13.140625" customWidth="1"/>
    <col min="16" max="16" width="19.42578125" customWidth="1"/>
    <col min="17" max="17" width="14.42578125" customWidth="1"/>
    <col min="18" max="18" width="13.85546875" customWidth="1"/>
  </cols>
  <sheetData>
    <row r="1" spans="1:18" ht="18.75">
      <c r="D1" s="251" t="s">
        <v>720</v>
      </c>
      <c r="E1" s="251"/>
      <c r="F1" s="251"/>
      <c r="G1" s="251"/>
      <c r="H1" s="251"/>
      <c r="I1" s="251"/>
      <c r="J1" s="251"/>
      <c r="K1" s="251"/>
    </row>
    <row r="2" spans="1:18">
      <c r="D2" s="252" t="s">
        <v>650</v>
      </c>
      <c r="E2" s="252"/>
      <c r="F2" s="252"/>
      <c r="G2" s="252"/>
      <c r="H2" s="252"/>
      <c r="I2" s="252"/>
      <c r="J2" s="252"/>
      <c r="K2" s="252"/>
    </row>
    <row r="3" spans="1:18" ht="12" customHeight="1">
      <c r="D3" s="57"/>
      <c r="E3" s="57"/>
      <c r="F3" s="57"/>
      <c r="G3" s="57"/>
      <c r="H3" s="57"/>
      <c r="I3" s="57"/>
      <c r="J3" s="57"/>
      <c r="K3" s="252"/>
      <c r="L3" s="252"/>
      <c r="M3" s="252"/>
      <c r="N3" s="252"/>
      <c r="O3" s="215"/>
      <c r="P3" s="215"/>
      <c r="Q3" s="215"/>
    </row>
    <row r="4" spans="1:18" ht="15" customHeight="1">
      <c r="K4" s="190"/>
      <c r="L4" s="190"/>
      <c r="M4" s="190"/>
      <c r="N4" s="190"/>
      <c r="O4" s="190"/>
    </row>
    <row r="5" spans="1:18" ht="60">
      <c r="K5" s="1" t="s">
        <v>2</v>
      </c>
      <c r="L5" s="1" t="s">
        <v>721</v>
      </c>
      <c r="M5" s="1" t="s">
        <v>722</v>
      </c>
      <c r="N5" s="213" t="s">
        <v>723</v>
      </c>
      <c r="O5" s="213" t="s">
        <v>724</v>
      </c>
      <c r="P5" s="213" t="s">
        <v>725</v>
      </c>
      <c r="Q5" s="213" t="s">
        <v>6</v>
      </c>
      <c r="R5" s="213" t="s">
        <v>7</v>
      </c>
    </row>
    <row r="6" spans="1:18">
      <c r="A6" t="s">
        <v>8</v>
      </c>
      <c r="N6" s="214"/>
      <c r="O6" s="214"/>
      <c r="P6" s="214"/>
      <c r="Q6" s="214"/>
    </row>
    <row r="7" spans="1:18">
      <c r="B7" t="s">
        <v>85</v>
      </c>
      <c r="K7" s="72">
        <v>543913</v>
      </c>
      <c r="L7" s="73">
        <v>123</v>
      </c>
      <c r="M7" s="73">
        <v>1</v>
      </c>
      <c r="N7" s="90"/>
      <c r="O7" s="90">
        <v>235</v>
      </c>
      <c r="P7" s="90">
        <v>1</v>
      </c>
      <c r="Q7" s="242">
        <v>2913039</v>
      </c>
      <c r="R7" s="103">
        <f>SUM(K7:Q7)</f>
        <v>3457312</v>
      </c>
    </row>
    <row r="8" spans="1:18">
      <c r="B8" t="s">
        <v>10</v>
      </c>
      <c r="K8" s="73"/>
      <c r="L8" s="73">
        <v>2711991</v>
      </c>
      <c r="M8" s="73">
        <v>684950</v>
      </c>
      <c r="N8" s="90">
        <v>3482462</v>
      </c>
      <c r="O8" s="90"/>
      <c r="P8" s="90">
        <v>2588774</v>
      </c>
      <c r="Q8" s="242">
        <v>3606579</v>
      </c>
      <c r="R8" s="103">
        <f>SUM(K8:Q8)</f>
        <v>13074756</v>
      </c>
    </row>
    <row r="9" spans="1:18">
      <c r="B9" t="s">
        <v>726</v>
      </c>
      <c r="K9" s="73"/>
      <c r="L9" s="73"/>
      <c r="M9" s="73"/>
      <c r="N9" s="90"/>
      <c r="O9" s="90"/>
      <c r="P9" s="90"/>
      <c r="Q9" s="242"/>
      <c r="R9" s="103">
        <f t="shared" ref="R9:R11" si="0">SUM(K9:Q9)</f>
        <v>0</v>
      </c>
    </row>
    <row r="10" spans="1:18">
      <c r="C10" t="s">
        <v>727</v>
      </c>
      <c r="K10" s="74">
        <v>525670</v>
      </c>
      <c r="L10" s="73">
        <v>106793</v>
      </c>
      <c r="M10" s="73">
        <v>17550</v>
      </c>
      <c r="N10" s="90">
        <v>52500</v>
      </c>
      <c r="O10" s="90"/>
      <c r="P10" s="90"/>
      <c r="Q10" s="242">
        <v>190041</v>
      </c>
      <c r="R10" s="103">
        <f t="shared" si="0"/>
        <v>892554</v>
      </c>
    </row>
    <row r="11" spans="1:18">
      <c r="B11" t="s">
        <v>17</v>
      </c>
      <c r="K11" s="75">
        <v>1591344</v>
      </c>
      <c r="L11" s="73">
        <v>1523</v>
      </c>
      <c r="M11" s="73">
        <v>236798</v>
      </c>
      <c r="N11" s="90">
        <v>136</v>
      </c>
      <c r="O11" s="90"/>
      <c r="P11" s="90">
        <v>669137</v>
      </c>
      <c r="Q11" s="242"/>
      <c r="R11" s="103">
        <f t="shared" si="0"/>
        <v>2498938</v>
      </c>
    </row>
    <row r="12" spans="1:18">
      <c r="B12" t="s">
        <v>59</v>
      </c>
      <c r="K12" s="75">
        <v>3432777</v>
      </c>
      <c r="L12" s="73">
        <v>2601623</v>
      </c>
      <c r="M12" s="73">
        <v>584062</v>
      </c>
      <c r="N12" s="90">
        <v>2612456</v>
      </c>
      <c r="O12" s="90"/>
      <c r="P12" s="90"/>
      <c r="Q12" s="242">
        <v>1983583</v>
      </c>
      <c r="R12" s="103">
        <f>SUM(K12:Q12)</f>
        <v>11214501</v>
      </c>
    </row>
    <row r="13" spans="1:18">
      <c r="B13" t="s">
        <v>16</v>
      </c>
      <c r="K13" s="75">
        <v>147639</v>
      </c>
      <c r="L13" s="73">
        <v>82554</v>
      </c>
      <c r="M13" s="73">
        <v>2182</v>
      </c>
      <c r="N13" s="90"/>
      <c r="O13" s="90"/>
      <c r="P13" s="90"/>
      <c r="Q13" s="242">
        <v>6576</v>
      </c>
      <c r="R13" s="103">
        <f>SUM(K13:Q13)</f>
        <v>238951</v>
      </c>
    </row>
    <row r="14" spans="1:18">
      <c r="B14" t="s">
        <v>519</v>
      </c>
      <c r="K14" s="75">
        <v>246000</v>
      </c>
      <c r="L14" s="73">
        <v>1138310</v>
      </c>
      <c r="M14" s="73">
        <v>104951</v>
      </c>
      <c r="N14" s="90"/>
      <c r="O14" s="90"/>
      <c r="P14" s="90"/>
      <c r="Q14" s="242">
        <v>1617615</v>
      </c>
      <c r="R14" s="103">
        <f>SUM(K14:Q14)</f>
        <v>3106876</v>
      </c>
    </row>
    <row r="15" spans="1:18">
      <c r="B15" t="s">
        <v>156</v>
      </c>
      <c r="L15" s="73"/>
      <c r="M15" s="73"/>
      <c r="N15" s="90"/>
      <c r="O15" s="90"/>
      <c r="P15" s="90"/>
      <c r="Q15" s="242">
        <v>71914</v>
      </c>
      <c r="R15" s="103">
        <f>SUM(K15:Q15)</f>
        <v>71914</v>
      </c>
    </row>
    <row r="16" spans="1:18">
      <c r="K16" s="93"/>
      <c r="L16" s="93"/>
      <c r="M16" s="93"/>
      <c r="N16" s="241"/>
      <c r="O16" s="241"/>
      <c r="P16" s="241"/>
      <c r="Q16" s="243"/>
      <c r="R16" s="159"/>
    </row>
    <row r="17" spans="1:18" s="3" customFormat="1">
      <c r="A17" s="2"/>
      <c r="B17" s="2"/>
      <c r="C17" s="2"/>
      <c r="D17" s="2"/>
      <c r="E17" s="2" t="s">
        <v>62</v>
      </c>
      <c r="K17" s="76">
        <f t="shared" ref="K17:R17" si="1">SUM(K7:K15)</f>
        <v>6487343</v>
      </c>
      <c r="L17" s="76">
        <f t="shared" si="1"/>
        <v>6642917</v>
      </c>
      <c r="M17" s="76">
        <f t="shared" si="1"/>
        <v>1630494</v>
      </c>
      <c r="N17" s="76">
        <f t="shared" si="1"/>
        <v>6147554</v>
      </c>
      <c r="O17" s="76">
        <f t="shared" si="1"/>
        <v>235</v>
      </c>
      <c r="P17" s="76">
        <f t="shared" si="1"/>
        <v>3257912</v>
      </c>
      <c r="Q17" s="244">
        <f t="shared" si="1"/>
        <v>10389347</v>
      </c>
      <c r="R17" s="244">
        <f t="shared" si="1"/>
        <v>34555802</v>
      </c>
    </row>
    <row r="18" spans="1:18">
      <c r="K18" s="73"/>
      <c r="L18" s="73"/>
      <c r="M18" s="73"/>
      <c r="N18" s="73"/>
      <c r="O18" s="73"/>
      <c r="P18" s="73"/>
      <c r="Q18" s="103"/>
      <c r="R18" s="103"/>
    </row>
    <row r="19" spans="1:18">
      <c r="A19" s="4" t="s">
        <v>119</v>
      </c>
      <c r="K19" s="73"/>
      <c r="L19" s="73"/>
      <c r="M19" s="73"/>
      <c r="N19" s="73"/>
      <c r="O19" s="73"/>
      <c r="P19" s="73"/>
    </row>
    <row r="20" spans="1:18">
      <c r="C20" t="s">
        <v>728</v>
      </c>
      <c r="K20" s="77">
        <v>609343</v>
      </c>
      <c r="L20" s="73">
        <v>223201</v>
      </c>
      <c r="M20" s="73">
        <v>214184</v>
      </c>
      <c r="N20" s="73"/>
      <c r="O20" s="73"/>
      <c r="P20" s="73"/>
      <c r="Q20" s="73">
        <v>427669</v>
      </c>
      <c r="R20" s="73">
        <f t="shared" ref="R20:R27" si="2">SUM(K20:Q20)</f>
        <v>1474397</v>
      </c>
    </row>
    <row r="21" spans="1:18">
      <c r="C21" t="s">
        <v>366</v>
      </c>
      <c r="L21" s="73"/>
      <c r="M21" s="73"/>
      <c r="N21" s="73">
        <v>1236225</v>
      </c>
      <c r="O21" s="73"/>
      <c r="P21" s="73"/>
      <c r="R21" s="73">
        <f t="shared" si="2"/>
        <v>1236225</v>
      </c>
    </row>
    <row r="22" spans="1:18">
      <c r="C22" t="s">
        <v>22</v>
      </c>
      <c r="L22" s="73">
        <v>58067</v>
      </c>
      <c r="M22" s="73"/>
      <c r="N22" s="73">
        <v>182978</v>
      </c>
      <c r="O22" s="73"/>
      <c r="P22" s="73"/>
      <c r="R22" s="73">
        <f t="shared" si="2"/>
        <v>241045</v>
      </c>
    </row>
    <row r="23" spans="1:18">
      <c r="C23" t="s">
        <v>157</v>
      </c>
      <c r="K23" s="82">
        <v>285491</v>
      </c>
      <c r="L23" s="73">
        <v>110932</v>
      </c>
      <c r="M23" s="73">
        <v>3759</v>
      </c>
      <c r="N23" s="73"/>
      <c r="O23" s="73"/>
      <c r="P23" s="73"/>
      <c r="Q23">
        <v>139903</v>
      </c>
      <c r="R23" s="73">
        <f t="shared" si="2"/>
        <v>540085</v>
      </c>
    </row>
    <row r="24" spans="1:18">
      <c r="C24" t="s">
        <v>158</v>
      </c>
      <c r="K24" s="78">
        <v>100000</v>
      </c>
      <c r="L24" s="73"/>
      <c r="M24" s="73"/>
      <c r="N24" s="73"/>
      <c r="O24" s="73"/>
      <c r="P24" s="73"/>
      <c r="R24" s="73">
        <f t="shared" si="2"/>
        <v>100000</v>
      </c>
    </row>
    <row r="25" spans="1:18">
      <c r="C25" t="s">
        <v>436</v>
      </c>
      <c r="L25" s="73"/>
      <c r="M25" s="73"/>
      <c r="N25" s="73"/>
      <c r="O25" s="73"/>
      <c r="P25" s="73"/>
      <c r="Q25">
        <v>104452</v>
      </c>
      <c r="R25" s="73">
        <f t="shared" si="2"/>
        <v>104452</v>
      </c>
    </row>
    <row r="26" spans="1:18">
      <c r="C26" t="s">
        <v>25</v>
      </c>
      <c r="K26" s="78">
        <v>303170</v>
      </c>
      <c r="L26" s="73"/>
      <c r="M26" s="73"/>
      <c r="N26" s="73"/>
      <c r="O26" s="73"/>
      <c r="P26" s="73"/>
      <c r="R26" s="73">
        <f t="shared" si="2"/>
        <v>303170</v>
      </c>
    </row>
    <row r="27" spans="1:18">
      <c r="C27" t="s">
        <v>729</v>
      </c>
      <c r="K27" s="78">
        <v>3425597</v>
      </c>
      <c r="L27" s="73">
        <v>123000</v>
      </c>
      <c r="M27" s="73"/>
      <c r="N27" s="73">
        <v>3032429</v>
      </c>
      <c r="O27" s="73"/>
      <c r="P27" s="73">
        <v>2676491</v>
      </c>
      <c r="Q27">
        <v>649714</v>
      </c>
      <c r="R27" s="73">
        <f t="shared" si="2"/>
        <v>9907231</v>
      </c>
    </row>
    <row r="28" spans="1:18">
      <c r="K28" s="93"/>
      <c r="L28" s="93"/>
      <c r="M28" s="93"/>
      <c r="N28" s="93"/>
      <c r="O28" s="93"/>
      <c r="P28" s="93"/>
      <c r="Q28" s="94"/>
      <c r="R28" s="94"/>
    </row>
    <row r="29" spans="1:18" s="5" customFormat="1">
      <c r="B29" s="6"/>
      <c r="C29" s="6"/>
      <c r="D29" s="6"/>
      <c r="E29" s="6" t="s">
        <v>26</v>
      </c>
      <c r="K29" s="79">
        <f>SUM(K20:K27)</f>
        <v>4723601</v>
      </c>
      <c r="L29" s="79">
        <f>SUM(L20:L27)</f>
        <v>515200</v>
      </c>
      <c r="M29" s="79">
        <f>SUM(M20:M27)</f>
        <v>217943</v>
      </c>
      <c r="N29" s="79">
        <f>SUM(N20:N27)</f>
        <v>4451632</v>
      </c>
      <c r="O29" s="79">
        <f t="shared" ref="O29:R29" si="3">SUM(O20:O27)</f>
        <v>0</v>
      </c>
      <c r="P29" s="79">
        <f t="shared" si="3"/>
        <v>2676491</v>
      </c>
      <c r="Q29" s="79">
        <f t="shared" si="3"/>
        <v>1321738</v>
      </c>
      <c r="R29" s="79">
        <f t="shared" si="3"/>
        <v>13906605</v>
      </c>
    </row>
    <row r="30" spans="1:18">
      <c r="K30" s="73"/>
      <c r="L30" s="73"/>
      <c r="M30" s="73"/>
      <c r="N30" s="73"/>
      <c r="O30" s="73"/>
      <c r="P30" s="73"/>
    </row>
    <row r="31" spans="1:18">
      <c r="B31" t="s">
        <v>694</v>
      </c>
      <c r="K31" s="73"/>
      <c r="L31" s="73"/>
      <c r="M31" s="73"/>
      <c r="N31" s="73"/>
      <c r="O31" s="73"/>
      <c r="P31" s="73"/>
    </row>
    <row r="32" spans="1:18">
      <c r="C32" t="s">
        <v>730</v>
      </c>
      <c r="K32" s="80">
        <v>1550000</v>
      </c>
      <c r="L32" s="73">
        <v>958000</v>
      </c>
      <c r="M32" s="73"/>
      <c r="N32" s="73"/>
      <c r="O32" s="73"/>
      <c r="P32" s="73">
        <v>611137</v>
      </c>
      <c r="R32" s="73">
        <f t="shared" ref="R32:R46" si="4">SUM(K32:Q32)</f>
        <v>3119137</v>
      </c>
    </row>
    <row r="33" spans="3:18">
      <c r="C33" t="s">
        <v>31</v>
      </c>
      <c r="K33" s="73"/>
      <c r="L33" s="73"/>
      <c r="M33" s="73"/>
      <c r="N33" s="73"/>
      <c r="O33" s="73"/>
      <c r="P33" s="73"/>
      <c r="Q33" s="103"/>
      <c r="R33" s="73">
        <f t="shared" si="4"/>
        <v>0</v>
      </c>
    </row>
    <row r="34" spans="3:18">
      <c r="D34" t="s">
        <v>731</v>
      </c>
      <c r="K34" s="73"/>
      <c r="L34" s="73"/>
      <c r="M34" s="73"/>
      <c r="N34" s="73"/>
      <c r="O34" s="73"/>
      <c r="P34" s="73"/>
      <c r="Q34" s="103">
        <v>1845025</v>
      </c>
      <c r="R34" s="73">
        <f t="shared" si="4"/>
        <v>1845025</v>
      </c>
    </row>
    <row r="35" spans="3:18">
      <c r="D35" t="s">
        <v>73</v>
      </c>
      <c r="K35" s="73"/>
      <c r="L35" s="73"/>
      <c r="M35" s="73"/>
      <c r="N35" s="73"/>
      <c r="O35" s="73"/>
      <c r="P35" s="73"/>
      <c r="Q35" s="103">
        <v>2585368</v>
      </c>
      <c r="R35" s="73">
        <f t="shared" si="4"/>
        <v>2585368</v>
      </c>
    </row>
    <row r="36" spans="3:18">
      <c r="C36" t="s">
        <v>732</v>
      </c>
      <c r="K36" s="73"/>
      <c r="L36" s="73"/>
      <c r="M36" s="73"/>
      <c r="N36" s="73"/>
      <c r="O36" s="73"/>
      <c r="P36" s="73"/>
      <c r="Q36" s="103"/>
      <c r="R36" s="73">
        <f t="shared" si="4"/>
        <v>0</v>
      </c>
    </row>
    <row r="37" spans="3:18">
      <c r="D37" t="s">
        <v>733</v>
      </c>
      <c r="K37" s="73"/>
      <c r="L37" s="73"/>
      <c r="M37" s="73"/>
      <c r="N37" s="73"/>
      <c r="O37" s="73"/>
      <c r="P37" s="73"/>
      <c r="Q37" s="103">
        <v>149465</v>
      </c>
      <c r="R37" s="73">
        <f t="shared" si="4"/>
        <v>149465</v>
      </c>
    </row>
    <row r="38" spans="3:18">
      <c r="D38" t="s">
        <v>70</v>
      </c>
      <c r="K38" s="73"/>
      <c r="L38" s="73"/>
      <c r="M38" s="73"/>
      <c r="N38" s="73"/>
      <c r="O38" s="73"/>
      <c r="P38" s="73"/>
      <c r="Q38" s="103">
        <v>56678</v>
      </c>
      <c r="R38" s="73">
        <f t="shared" si="4"/>
        <v>56678</v>
      </c>
    </row>
    <row r="39" spans="3:18">
      <c r="D39" t="s">
        <v>71</v>
      </c>
      <c r="K39" s="73"/>
      <c r="L39" s="73">
        <v>5169717</v>
      </c>
      <c r="M39" s="73"/>
      <c r="N39" s="73"/>
      <c r="O39" s="73"/>
      <c r="P39" s="73"/>
      <c r="Q39" s="103">
        <v>150145</v>
      </c>
      <c r="R39" s="73">
        <f t="shared" si="4"/>
        <v>5319862</v>
      </c>
    </row>
    <row r="40" spans="3:18">
      <c r="D40" t="s">
        <v>107</v>
      </c>
      <c r="K40" s="73"/>
      <c r="L40" s="73"/>
      <c r="M40" s="73"/>
      <c r="N40" s="73"/>
      <c r="O40" s="73"/>
      <c r="P40" s="73"/>
      <c r="Q40" s="103">
        <v>289307</v>
      </c>
      <c r="R40" s="73">
        <f t="shared" si="4"/>
        <v>289307</v>
      </c>
    </row>
    <row r="41" spans="3:18">
      <c r="D41" t="s">
        <v>106</v>
      </c>
      <c r="K41" s="73"/>
      <c r="L41" s="73"/>
      <c r="M41" s="73"/>
      <c r="N41" s="73"/>
      <c r="O41" s="73"/>
      <c r="P41" s="73"/>
      <c r="Q41" s="103">
        <v>635782</v>
      </c>
      <c r="R41" s="73">
        <f t="shared" si="4"/>
        <v>635782</v>
      </c>
    </row>
    <row r="42" spans="3:18">
      <c r="D42" t="s">
        <v>734</v>
      </c>
      <c r="K42" s="73"/>
      <c r="L42" s="73"/>
      <c r="M42" s="73"/>
      <c r="N42" s="73"/>
      <c r="O42" s="73"/>
      <c r="P42" s="73"/>
      <c r="Q42" s="103">
        <v>8642</v>
      </c>
      <c r="R42" s="73">
        <f t="shared" si="4"/>
        <v>8642</v>
      </c>
    </row>
    <row r="43" spans="3:18">
      <c r="D43" t="s">
        <v>73</v>
      </c>
      <c r="K43" s="73"/>
      <c r="L43" s="73"/>
      <c r="M43" s="73"/>
      <c r="N43" s="73"/>
      <c r="O43" s="73"/>
      <c r="P43" s="73"/>
      <c r="Q43" s="103">
        <v>2647532</v>
      </c>
      <c r="R43" s="73">
        <f t="shared" si="4"/>
        <v>2647532</v>
      </c>
    </row>
    <row r="44" spans="3:18">
      <c r="D44" t="s">
        <v>72</v>
      </c>
      <c r="K44" s="73"/>
      <c r="L44" s="73"/>
      <c r="M44" s="73">
        <v>1412551</v>
      </c>
      <c r="N44" s="73"/>
      <c r="O44" s="73"/>
      <c r="P44" s="73"/>
      <c r="Q44" s="103"/>
      <c r="R44" s="73">
        <f t="shared" si="4"/>
        <v>1412551</v>
      </c>
    </row>
    <row r="45" spans="3:18">
      <c r="D45" t="s">
        <v>42</v>
      </c>
      <c r="K45" s="73"/>
      <c r="L45" s="73"/>
      <c r="M45" s="73"/>
      <c r="N45" s="73">
        <v>1695922</v>
      </c>
      <c r="O45" s="73">
        <v>235</v>
      </c>
      <c r="P45" s="73"/>
      <c r="Q45" s="103"/>
      <c r="R45" s="73">
        <f t="shared" si="4"/>
        <v>1696157</v>
      </c>
    </row>
    <row r="46" spans="3:18">
      <c r="C46" t="s">
        <v>46</v>
      </c>
      <c r="K46" s="84">
        <v>213742</v>
      </c>
      <c r="L46" s="73"/>
      <c r="M46" s="73"/>
      <c r="N46" s="73"/>
      <c r="O46" s="73"/>
      <c r="P46" s="73">
        <v>-29716</v>
      </c>
      <c r="Q46" s="103">
        <v>649665</v>
      </c>
      <c r="R46" s="73">
        <f t="shared" si="4"/>
        <v>833691</v>
      </c>
    </row>
    <row r="47" spans="3:18">
      <c r="K47" s="93"/>
      <c r="L47" s="93"/>
      <c r="M47" s="93"/>
      <c r="N47" s="93"/>
      <c r="O47" s="93"/>
      <c r="P47" s="93"/>
      <c r="Q47" s="94"/>
      <c r="R47" s="94"/>
    </row>
    <row r="48" spans="3:18" s="5" customFormat="1">
      <c r="D48" s="6"/>
      <c r="E48" s="6" t="s">
        <v>77</v>
      </c>
      <c r="K48" s="216">
        <f t="shared" ref="K48:P48" si="5">SUM(K32:K46)</f>
        <v>1763742</v>
      </c>
      <c r="L48" s="216">
        <f t="shared" si="5"/>
        <v>6127717</v>
      </c>
      <c r="M48" s="216">
        <f t="shared" si="5"/>
        <v>1412551</v>
      </c>
      <c r="N48" s="216">
        <f t="shared" si="5"/>
        <v>1695922</v>
      </c>
      <c r="O48" s="216">
        <f t="shared" si="5"/>
        <v>235</v>
      </c>
      <c r="P48" s="216">
        <f t="shared" si="5"/>
        <v>581421</v>
      </c>
      <c r="Q48" s="245">
        <f>SUM(Q32:Q46)</f>
        <v>9017609</v>
      </c>
      <c r="R48" s="250">
        <f>SUM(R32:R46)</f>
        <v>20599197</v>
      </c>
    </row>
    <row r="49" spans="4:18">
      <c r="K49" s="73"/>
      <c r="L49" s="73"/>
      <c r="M49" s="73"/>
      <c r="N49" s="73"/>
      <c r="O49" s="73"/>
      <c r="P49" s="73"/>
    </row>
    <row r="50" spans="4:18" s="7" customFormat="1">
      <c r="D50" s="8"/>
      <c r="E50" s="8" t="s">
        <v>48</v>
      </c>
      <c r="K50" s="81">
        <f>SUM(K48+K29)</f>
        <v>6487343</v>
      </c>
      <c r="L50" s="81">
        <f>SUM(L48,L29,)</f>
        <v>6642917</v>
      </c>
      <c r="M50" s="81">
        <f>SUM(M48,M29,)</f>
        <v>1630494</v>
      </c>
      <c r="N50" s="81">
        <f>SUM(N48,N29,)</f>
        <v>6147554</v>
      </c>
      <c r="O50" s="81">
        <f>SUM(O48,O29,)</f>
        <v>235</v>
      </c>
      <c r="P50" s="81">
        <f>SUM(P48,P29,)</f>
        <v>3257912</v>
      </c>
      <c r="Q50" s="250">
        <f>SUM(Q48+Q29)</f>
        <v>10339347</v>
      </c>
      <c r="R50" s="250">
        <f>SUM(R48+R29)</f>
        <v>34505802</v>
      </c>
    </row>
  </sheetData>
  <mergeCells count="3">
    <mergeCell ref="D1:K1"/>
    <mergeCell ref="D2:K2"/>
    <mergeCell ref="K3:N3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S68"/>
  <sheetViews>
    <sheetView zoomScale="70" zoomScaleNormal="70" workbookViewId="0">
      <selection activeCell="J32" sqref="J32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6" width="19.42578125" customWidth="1"/>
    <col min="17" max="17" width="17" customWidth="1"/>
    <col min="18" max="18" width="14.42578125" customWidth="1"/>
    <col min="19" max="19" width="13.85546875" customWidth="1"/>
  </cols>
  <sheetData>
    <row r="1" spans="1:19" ht="18.75">
      <c r="D1" s="251" t="s">
        <v>735</v>
      </c>
      <c r="E1" s="251"/>
      <c r="F1" s="251"/>
      <c r="G1" s="251"/>
      <c r="H1" s="251"/>
      <c r="I1" s="251"/>
      <c r="J1" s="251"/>
      <c r="K1" s="251"/>
    </row>
    <row r="2" spans="1:19">
      <c r="D2" s="252" t="s">
        <v>650</v>
      </c>
      <c r="E2" s="252"/>
      <c r="F2" s="252"/>
      <c r="G2" s="252"/>
      <c r="H2" s="252"/>
      <c r="I2" s="252"/>
      <c r="J2" s="252"/>
      <c r="K2" s="252"/>
    </row>
    <row r="3" spans="1:19" ht="12" customHeight="1">
      <c r="D3" s="57"/>
      <c r="E3" s="57"/>
      <c r="F3" s="57"/>
      <c r="G3" s="57"/>
      <c r="H3" s="57"/>
      <c r="I3" s="57"/>
      <c r="J3" s="57"/>
      <c r="K3" s="252"/>
      <c r="L3" s="252"/>
      <c r="M3" s="252"/>
      <c r="N3" s="252"/>
      <c r="O3" s="215"/>
      <c r="P3" s="215"/>
      <c r="Q3" s="215"/>
      <c r="R3" s="215"/>
    </row>
    <row r="4" spans="1:19" ht="15" customHeight="1">
      <c r="K4" s="190"/>
      <c r="L4" s="190"/>
      <c r="M4" s="190"/>
      <c r="N4" s="190"/>
      <c r="O4" s="190"/>
    </row>
    <row r="5" spans="1:19" ht="45">
      <c r="K5" s="1" t="s">
        <v>2</v>
      </c>
      <c r="L5" s="1" t="s">
        <v>736</v>
      </c>
      <c r="M5" s="1" t="s">
        <v>737</v>
      </c>
      <c r="N5" s="213" t="s">
        <v>700</v>
      </c>
      <c r="O5" s="213" t="s">
        <v>738</v>
      </c>
      <c r="P5" s="213" t="s">
        <v>739</v>
      </c>
      <c r="Q5" s="213" t="s">
        <v>430</v>
      </c>
      <c r="R5" s="213" t="s">
        <v>6</v>
      </c>
      <c r="S5" s="213" t="s">
        <v>7</v>
      </c>
    </row>
    <row r="6" spans="1:19">
      <c r="A6" t="s">
        <v>8</v>
      </c>
      <c r="N6" s="214"/>
      <c r="O6" s="214"/>
      <c r="P6" s="214"/>
      <c r="Q6" s="214"/>
      <c r="R6" s="214"/>
    </row>
    <row r="7" spans="1:19">
      <c r="B7" t="s">
        <v>85</v>
      </c>
      <c r="K7" s="72">
        <v>6151643</v>
      </c>
      <c r="L7" s="73">
        <v>4469121</v>
      </c>
      <c r="M7" s="73">
        <v>13073789</v>
      </c>
      <c r="N7" s="90">
        <v>2336695</v>
      </c>
      <c r="O7" s="90">
        <v>6557089</v>
      </c>
      <c r="P7" s="90">
        <v>1962244</v>
      </c>
      <c r="Q7" s="90">
        <v>39251509</v>
      </c>
      <c r="R7" s="214">
        <v>7779430</v>
      </c>
      <c r="S7" s="73">
        <f>SUM(K7:R7)</f>
        <v>81581520</v>
      </c>
    </row>
    <row r="8" spans="1:19">
      <c r="B8" t="s">
        <v>10</v>
      </c>
      <c r="K8" s="77">
        <v>1326383</v>
      </c>
      <c r="L8" s="73"/>
      <c r="M8" s="73">
        <v>2914</v>
      </c>
      <c r="N8" s="90">
        <v>991963</v>
      </c>
      <c r="O8" s="90">
        <v>1141951</v>
      </c>
      <c r="P8" s="90">
        <v>7708046</v>
      </c>
      <c r="Q8" s="90">
        <v>12115058</v>
      </c>
      <c r="R8" s="214">
        <v>21870799</v>
      </c>
      <c r="S8" s="73">
        <f t="shared" ref="S8:S21" si="0">SUM(K8:R8)</f>
        <v>45157114</v>
      </c>
    </row>
    <row r="9" spans="1:19">
      <c r="B9" t="s">
        <v>726</v>
      </c>
      <c r="K9" s="73"/>
      <c r="L9" s="73"/>
      <c r="M9" s="73"/>
      <c r="N9" s="90"/>
      <c r="O9" s="90"/>
      <c r="P9" s="90"/>
      <c r="Q9" s="90">
        <f t="shared" ref="Q9:Q21" si="1">SUM(O9:P9)</f>
        <v>0</v>
      </c>
      <c r="R9" s="214"/>
      <c r="S9" s="73">
        <f t="shared" si="0"/>
        <v>0</v>
      </c>
    </row>
    <row r="10" spans="1:19">
      <c r="C10" t="s">
        <v>727</v>
      </c>
      <c r="K10" s="73"/>
      <c r="L10" s="73"/>
      <c r="M10" s="73"/>
      <c r="N10" s="90"/>
      <c r="O10" s="90"/>
      <c r="P10" s="90"/>
      <c r="Q10" s="90"/>
      <c r="R10" s="214"/>
      <c r="S10" s="73"/>
    </row>
    <row r="11" spans="1:19">
      <c r="C11" t="s">
        <v>312</v>
      </c>
      <c r="K11" s="74">
        <v>215334</v>
      </c>
      <c r="L11" s="73">
        <v>353207</v>
      </c>
      <c r="M11" s="73"/>
      <c r="N11" s="90"/>
      <c r="O11" s="90">
        <v>567608</v>
      </c>
      <c r="P11" s="90"/>
      <c r="Q11" s="90"/>
      <c r="R11" s="214">
        <v>1199365</v>
      </c>
      <c r="S11" s="73">
        <f t="shared" si="0"/>
        <v>2335514</v>
      </c>
    </row>
    <row r="12" spans="1:19">
      <c r="C12" t="s">
        <v>311</v>
      </c>
      <c r="K12" s="73"/>
      <c r="L12" s="73">
        <v>31772</v>
      </c>
      <c r="M12" s="73">
        <v>131224</v>
      </c>
      <c r="N12" s="90">
        <v>3159</v>
      </c>
      <c r="O12" s="90">
        <v>13153</v>
      </c>
      <c r="P12" s="90"/>
      <c r="Q12" s="90">
        <v>65</v>
      </c>
      <c r="R12" s="214">
        <v>29802</v>
      </c>
      <c r="S12" s="73">
        <f t="shared" si="0"/>
        <v>209175</v>
      </c>
    </row>
    <row r="13" spans="1:19">
      <c r="C13" t="s">
        <v>45</v>
      </c>
      <c r="K13" s="73"/>
      <c r="L13" s="73"/>
      <c r="M13" s="73">
        <v>323</v>
      </c>
      <c r="N13" s="90"/>
      <c r="O13" s="90"/>
      <c r="P13" s="90"/>
      <c r="Q13" s="90">
        <f t="shared" si="1"/>
        <v>0</v>
      </c>
      <c r="R13" s="214">
        <v>60248</v>
      </c>
      <c r="S13" s="73">
        <f t="shared" si="0"/>
        <v>60571</v>
      </c>
    </row>
    <row r="14" spans="1:19">
      <c r="C14" t="s">
        <v>740</v>
      </c>
      <c r="K14" s="73"/>
      <c r="L14" s="73"/>
      <c r="M14" s="73">
        <v>10496724</v>
      </c>
      <c r="N14" s="90"/>
      <c r="O14" s="90"/>
      <c r="P14" s="90"/>
      <c r="Q14" s="90">
        <f t="shared" si="1"/>
        <v>0</v>
      </c>
      <c r="R14" s="214"/>
      <c r="S14" s="73">
        <f t="shared" si="0"/>
        <v>10496724</v>
      </c>
    </row>
    <row r="15" spans="1:19">
      <c r="B15" t="s">
        <v>16</v>
      </c>
      <c r="K15" s="75">
        <v>26546844</v>
      </c>
      <c r="L15" s="73">
        <v>37053</v>
      </c>
      <c r="M15" s="73">
        <v>877721</v>
      </c>
      <c r="N15" s="90">
        <v>176035</v>
      </c>
      <c r="O15" s="90">
        <v>151891</v>
      </c>
      <c r="P15" s="90">
        <v>125142</v>
      </c>
      <c r="Q15" s="90">
        <v>6562749</v>
      </c>
      <c r="R15" s="214">
        <v>2251183</v>
      </c>
      <c r="S15" s="73">
        <f t="shared" si="0"/>
        <v>36728618</v>
      </c>
    </row>
    <row r="16" spans="1:19">
      <c r="B16" t="s">
        <v>99</v>
      </c>
      <c r="K16" s="75">
        <v>6745876</v>
      </c>
      <c r="L16" s="73">
        <v>5306057</v>
      </c>
      <c r="M16" s="73">
        <v>9077635</v>
      </c>
      <c r="N16" s="90">
        <v>1260650</v>
      </c>
      <c r="O16" s="90">
        <v>7470163</v>
      </c>
      <c r="P16" s="90">
        <v>1117361</v>
      </c>
      <c r="Q16" s="90">
        <v>10119669</v>
      </c>
      <c r="R16" s="214">
        <v>13620833</v>
      </c>
      <c r="S16" s="73">
        <f t="shared" si="0"/>
        <v>54718244</v>
      </c>
    </row>
    <row r="17" spans="1:19">
      <c r="B17" t="s">
        <v>17</v>
      </c>
      <c r="K17" s="75">
        <v>121923</v>
      </c>
      <c r="L17" s="73"/>
      <c r="M17" s="73"/>
      <c r="N17" s="90"/>
      <c r="O17" s="90"/>
      <c r="P17" s="90"/>
      <c r="Q17" s="90">
        <f t="shared" si="1"/>
        <v>0</v>
      </c>
      <c r="R17" s="214"/>
      <c r="S17" s="73">
        <f t="shared" si="0"/>
        <v>121923</v>
      </c>
    </row>
    <row r="18" spans="1:19">
      <c r="B18" t="s">
        <v>155</v>
      </c>
      <c r="K18" s="73"/>
      <c r="L18" s="73"/>
      <c r="M18" s="73">
        <v>14520</v>
      </c>
      <c r="N18" s="90"/>
      <c r="O18" s="90"/>
      <c r="P18" s="90"/>
      <c r="Q18" s="90">
        <f t="shared" si="1"/>
        <v>0</v>
      </c>
      <c r="R18" s="214"/>
      <c r="S18" s="73">
        <f t="shared" si="0"/>
        <v>14520</v>
      </c>
    </row>
    <row r="19" spans="1:19">
      <c r="B19" t="s">
        <v>156</v>
      </c>
      <c r="K19" s="82">
        <v>3421</v>
      </c>
      <c r="L19" s="73"/>
      <c r="M19" s="73">
        <v>650</v>
      </c>
      <c r="N19" s="90">
        <v>40</v>
      </c>
      <c r="O19" s="90"/>
      <c r="P19" s="90"/>
      <c r="Q19" s="90">
        <f t="shared" si="1"/>
        <v>0</v>
      </c>
      <c r="R19" s="214"/>
      <c r="S19" s="73">
        <f t="shared" si="0"/>
        <v>4111</v>
      </c>
    </row>
    <row r="20" spans="1:19">
      <c r="B20" t="s">
        <v>468</v>
      </c>
      <c r="K20" s="73"/>
      <c r="L20" s="73"/>
      <c r="M20" s="73"/>
      <c r="N20" s="90"/>
      <c r="O20" s="90"/>
      <c r="P20" s="90"/>
      <c r="Q20" s="90">
        <f t="shared" si="1"/>
        <v>0</v>
      </c>
      <c r="R20" s="214"/>
      <c r="S20" s="73">
        <f t="shared" si="0"/>
        <v>0</v>
      </c>
    </row>
    <row r="21" spans="1:19">
      <c r="C21" t="s">
        <v>85</v>
      </c>
      <c r="K21" s="72">
        <v>69340</v>
      </c>
      <c r="L21" s="73"/>
      <c r="M21" s="73">
        <v>224150</v>
      </c>
      <c r="N21" s="90"/>
      <c r="O21" s="90"/>
      <c r="P21" s="90"/>
      <c r="Q21" s="90">
        <f t="shared" si="1"/>
        <v>0</v>
      </c>
      <c r="R21" s="214"/>
      <c r="S21" s="73">
        <f t="shared" si="0"/>
        <v>293490</v>
      </c>
    </row>
    <row r="22" spans="1:19">
      <c r="K22" s="73"/>
      <c r="L22" s="73"/>
      <c r="M22" s="73"/>
      <c r="N22" s="90"/>
      <c r="O22" s="90"/>
      <c r="P22" s="90"/>
      <c r="Q22" s="90"/>
      <c r="R22" s="214"/>
    </row>
    <row r="23" spans="1:19" s="3" customFormat="1">
      <c r="A23" s="2"/>
      <c r="B23" s="2"/>
      <c r="C23" s="2"/>
      <c r="D23" s="2"/>
      <c r="E23" s="2" t="s">
        <v>62</v>
      </c>
      <c r="I23" s="246"/>
      <c r="K23" s="76">
        <f t="shared" ref="K23:P23" si="2">SUM(K7:K21)</f>
        <v>41180764</v>
      </c>
      <c r="L23" s="76">
        <f t="shared" si="2"/>
        <v>10197210</v>
      </c>
      <c r="M23" s="76">
        <f t="shared" si="2"/>
        <v>33899650</v>
      </c>
      <c r="N23" s="76">
        <f t="shared" si="2"/>
        <v>4768542</v>
      </c>
      <c r="O23" s="76">
        <f t="shared" si="2"/>
        <v>15901855</v>
      </c>
      <c r="P23" s="76">
        <f t="shared" si="2"/>
        <v>10912793</v>
      </c>
      <c r="Q23" s="76">
        <f>SUM(Q7:Q21)</f>
        <v>68049050</v>
      </c>
      <c r="R23" s="3">
        <f>SUM(R7:R21)</f>
        <v>46811660</v>
      </c>
      <c r="S23" s="3">
        <f>SUM(S7:S21)</f>
        <v>231721524</v>
      </c>
    </row>
    <row r="24" spans="1:19">
      <c r="K24" s="73"/>
      <c r="L24" s="73"/>
      <c r="M24" s="73"/>
      <c r="N24" s="73"/>
      <c r="O24" s="73"/>
      <c r="P24" s="73"/>
      <c r="Q24" s="73"/>
    </row>
    <row r="25" spans="1:19">
      <c r="A25" s="4" t="s">
        <v>119</v>
      </c>
      <c r="K25" s="73"/>
      <c r="L25" s="73"/>
      <c r="M25" s="73"/>
      <c r="N25" s="73"/>
      <c r="O25" s="73"/>
      <c r="P25" s="73"/>
      <c r="Q25" s="73"/>
    </row>
    <row r="26" spans="1:19">
      <c r="C26" t="s">
        <v>741</v>
      </c>
      <c r="K26" s="77">
        <v>690877</v>
      </c>
      <c r="L26" s="73">
        <v>305452</v>
      </c>
      <c r="M26" s="73">
        <v>620817</v>
      </c>
      <c r="N26" s="73">
        <v>257425</v>
      </c>
      <c r="O26" s="73">
        <v>359677</v>
      </c>
      <c r="P26" s="73"/>
      <c r="Q26" s="73">
        <v>4793247</v>
      </c>
      <c r="R26" s="73">
        <v>278331</v>
      </c>
      <c r="S26" s="73">
        <f>SUM(K26:R26)</f>
        <v>7305826</v>
      </c>
    </row>
    <row r="27" spans="1:19">
      <c r="C27" t="s">
        <v>742</v>
      </c>
      <c r="K27" s="82">
        <v>1446</v>
      </c>
      <c r="L27" s="73"/>
      <c r="M27" s="73">
        <v>49695</v>
      </c>
      <c r="N27" s="73"/>
      <c r="O27" s="73"/>
      <c r="P27" s="73"/>
      <c r="Q27" s="73">
        <v>1067378</v>
      </c>
      <c r="R27">
        <v>5000</v>
      </c>
      <c r="S27" s="73">
        <f t="shared" ref="S27:S34" si="3">SUM(K27:R27)</f>
        <v>1123519</v>
      </c>
    </row>
    <row r="28" spans="1:19">
      <c r="C28" t="s">
        <v>103</v>
      </c>
      <c r="K28" s="82">
        <v>3163965</v>
      </c>
      <c r="L28" s="73">
        <v>4349823</v>
      </c>
      <c r="M28" s="73"/>
      <c r="N28" s="73"/>
      <c r="O28" s="73">
        <v>6689358</v>
      </c>
      <c r="P28" s="73"/>
      <c r="Q28" s="73"/>
      <c r="R28">
        <v>13997026</v>
      </c>
      <c r="S28" s="73">
        <f t="shared" si="3"/>
        <v>28200172</v>
      </c>
    </row>
    <row r="29" spans="1:19">
      <c r="C29" t="s">
        <v>743</v>
      </c>
      <c r="K29" s="73"/>
      <c r="L29" s="73"/>
      <c r="M29" s="73">
        <v>11324603</v>
      </c>
      <c r="N29" s="73"/>
      <c r="O29" s="73"/>
      <c r="P29" s="73"/>
      <c r="Q29" s="73"/>
      <c r="S29" s="73">
        <f t="shared" si="3"/>
        <v>11324603</v>
      </c>
    </row>
    <row r="30" spans="1:19">
      <c r="C30" t="s">
        <v>25</v>
      </c>
      <c r="K30" s="78">
        <v>19742994</v>
      </c>
      <c r="L30" s="73">
        <v>809194</v>
      </c>
      <c r="M30" s="73">
        <v>16058449</v>
      </c>
      <c r="N30" s="73">
        <v>552000</v>
      </c>
      <c r="O30" s="73">
        <v>883277</v>
      </c>
      <c r="P30" s="73">
        <v>24205</v>
      </c>
      <c r="Q30" s="73">
        <v>4032240</v>
      </c>
      <c r="R30" s="73">
        <v>2076477</v>
      </c>
      <c r="S30" s="73">
        <f t="shared" si="3"/>
        <v>44178836</v>
      </c>
    </row>
    <row r="31" spans="1:19">
      <c r="C31" t="s">
        <v>436</v>
      </c>
      <c r="K31" s="78">
        <v>616614</v>
      </c>
      <c r="L31" s="73">
        <v>218998</v>
      </c>
      <c r="M31" s="73">
        <v>668625</v>
      </c>
      <c r="N31" s="73">
        <v>19642</v>
      </c>
      <c r="O31" s="73">
        <v>24679</v>
      </c>
      <c r="P31" s="73"/>
      <c r="Q31" s="73">
        <v>6344</v>
      </c>
      <c r="R31" s="73">
        <v>177059</v>
      </c>
      <c r="S31" s="73">
        <f t="shared" si="3"/>
        <v>1731961</v>
      </c>
    </row>
    <row r="32" spans="1:19">
      <c r="C32" t="s">
        <v>158</v>
      </c>
      <c r="K32" s="78">
        <v>34</v>
      </c>
      <c r="L32" s="73"/>
      <c r="M32" s="73"/>
      <c r="N32" s="73"/>
      <c r="O32" s="73"/>
      <c r="P32" s="73"/>
      <c r="Q32" s="73"/>
      <c r="S32" s="73">
        <f t="shared" si="3"/>
        <v>34</v>
      </c>
    </row>
    <row r="33" spans="2:19">
      <c r="C33" t="s">
        <v>744</v>
      </c>
      <c r="K33" s="73"/>
      <c r="L33" s="73"/>
      <c r="M33" s="73"/>
      <c r="N33" s="73"/>
      <c r="O33" s="73"/>
      <c r="P33" s="73"/>
      <c r="Q33" s="73"/>
      <c r="S33" s="73">
        <f t="shared" si="3"/>
        <v>0</v>
      </c>
    </row>
    <row r="34" spans="2:19">
      <c r="D34" t="s">
        <v>745</v>
      </c>
      <c r="K34" s="73"/>
      <c r="L34" s="73"/>
      <c r="M34" s="73">
        <v>133229</v>
      </c>
      <c r="N34" s="73"/>
      <c r="O34" s="73"/>
      <c r="P34" s="73"/>
      <c r="Q34" s="73"/>
      <c r="S34" s="73">
        <f t="shared" si="3"/>
        <v>133229</v>
      </c>
    </row>
    <row r="35" spans="2:19">
      <c r="K35" s="73"/>
      <c r="L35" s="73"/>
      <c r="M35" s="73"/>
      <c r="N35" s="73"/>
      <c r="O35" s="73"/>
      <c r="P35" s="73"/>
      <c r="Q35" s="73"/>
    </row>
    <row r="36" spans="2:19" s="5" customFormat="1">
      <c r="B36" s="6"/>
      <c r="C36" s="6"/>
      <c r="D36" s="6"/>
      <c r="E36" s="6" t="s">
        <v>26</v>
      </c>
      <c r="I36" s="206"/>
      <c r="K36" s="79">
        <f>SUM(K26:K34)</f>
        <v>24215930</v>
      </c>
      <c r="L36" s="79">
        <f>SUM(L26:L34)</f>
        <v>5683467</v>
      </c>
      <c r="M36" s="79">
        <f>SUM(M26:M34)</f>
        <v>28855418</v>
      </c>
      <c r="N36" s="79">
        <f>SUM(N26:N34)</f>
        <v>829067</v>
      </c>
      <c r="O36" s="79">
        <f>SUM(O26:O34)</f>
        <v>7956991</v>
      </c>
      <c r="P36" s="79">
        <f>SUM(P26:P31)</f>
        <v>24205</v>
      </c>
      <c r="Q36" s="79">
        <f>SUM(Q26:Q34)</f>
        <v>9899209</v>
      </c>
      <c r="R36" s="216">
        <f>SUM(R26:R34)</f>
        <v>16533893</v>
      </c>
      <c r="S36" s="216">
        <f>SUM(S26:S34)</f>
        <v>93998180</v>
      </c>
    </row>
    <row r="37" spans="2:19">
      <c r="K37" s="73"/>
      <c r="L37" s="73"/>
      <c r="M37" s="73"/>
      <c r="N37" s="73"/>
      <c r="O37" s="73"/>
      <c r="P37" s="73"/>
      <c r="Q37" s="73"/>
    </row>
    <row r="38" spans="2:19">
      <c r="B38" t="s">
        <v>694</v>
      </c>
      <c r="K38" s="73"/>
      <c r="L38" s="73"/>
      <c r="M38" s="73"/>
      <c r="N38" s="73"/>
      <c r="O38" s="73"/>
      <c r="P38" s="73"/>
      <c r="Q38" s="73"/>
    </row>
    <row r="39" spans="2:19">
      <c r="C39" t="s">
        <v>31</v>
      </c>
      <c r="K39" s="73"/>
      <c r="L39" s="73"/>
      <c r="M39" s="73"/>
      <c r="N39" s="73"/>
      <c r="O39" s="73"/>
      <c r="P39" s="73"/>
      <c r="Q39" s="73"/>
    </row>
    <row r="40" spans="2:19">
      <c r="D40" t="s">
        <v>746</v>
      </c>
      <c r="K40" s="80">
        <v>2500000</v>
      </c>
      <c r="L40" s="73"/>
      <c r="M40" s="73"/>
      <c r="N40" s="73"/>
      <c r="O40" s="73"/>
      <c r="P40" s="73"/>
      <c r="Q40" s="73"/>
      <c r="S40" s="73">
        <f>SUM(K40:R40)</f>
        <v>2500000</v>
      </c>
    </row>
    <row r="41" spans="2:19">
      <c r="D41" t="s">
        <v>747</v>
      </c>
      <c r="K41" s="80">
        <v>69340</v>
      </c>
      <c r="L41" s="73"/>
      <c r="M41" s="73"/>
      <c r="N41" s="73"/>
      <c r="O41" s="73"/>
      <c r="P41" s="73"/>
      <c r="Q41" s="73"/>
      <c r="S41" s="73">
        <f t="shared" ref="S41:S64" si="4">SUM(K41:R41)</f>
        <v>69340</v>
      </c>
    </row>
    <row r="42" spans="2:19">
      <c r="D42" t="s">
        <v>283</v>
      </c>
      <c r="K42" s="73"/>
      <c r="L42" s="73"/>
      <c r="M42" s="73">
        <v>3316805</v>
      </c>
      <c r="N42" s="73"/>
      <c r="O42" s="73"/>
      <c r="P42" s="73"/>
      <c r="Q42" s="73">
        <v>13174010</v>
      </c>
      <c r="S42" s="73">
        <f t="shared" si="4"/>
        <v>16490815</v>
      </c>
    </row>
    <row r="43" spans="2:19">
      <c r="D43" t="s">
        <v>42</v>
      </c>
      <c r="K43" s="73"/>
      <c r="L43" s="73"/>
      <c r="M43" s="73"/>
      <c r="N43" s="73"/>
      <c r="O43" s="73"/>
      <c r="P43" s="73"/>
      <c r="Q43" s="73"/>
      <c r="S43" s="73">
        <f t="shared" si="4"/>
        <v>0</v>
      </c>
    </row>
    <row r="44" spans="2:19">
      <c r="D44" t="s">
        <v>93</v>
      </c>
      <c r="K44" s="73"/>
      <c r="L44" s="73"/>
      <c r="M44" s="73"/>
      <c r="N44" s="73"/>
      <c r="O44" s="73">
        <v>2702056</v>
      </c>
      <c r="P44" s="73"/>
      <c r="Q44" s="73"/>
      <c r="S44" s="73">
        <f t="shared" si="4"/>
        <v>2702056</v>
      </c>
    </row>
    <row r="45" spans="2:19">
      <c r="D45" t="s">
        <v>748</v>
      </c>
      <c r="K45" s="73"/>
      <c r="L45" s="73"/>
      <c r="M45" s="73"/>
      <c r="N45" s="73"/>
      <c r="O45" s="73"/>
      <c r="P45" s="73">
        <v>10888588</v>
      </c>
      <c r="Q45" s="73"/>
      <c r="S45" s="73">
        <f t="shared" si="4"/>
        <v>10888588</v>
      </c>
    </row>
    <row r="46" spans="2:19">
      <c r="D46" t="s">
        <v>73</v>
      </c>
      <c r="K46" s="73"/>
      <c r="L46" s="73"/>
      <c r="M46" s="73"/>
      <c r="N46" s="73"/>
      <c r="O46" s="73"/>
      <c r="P46" s="73"/>
      <c r="Q46" s="73"/>
      <c r="R46">
        <v>15059355</v>
      </c>
      <c r="S46" s="73">
        <f t="shared" si="4"/>
        <v>15059355</v>
      </c>
    </row>
    <row r="47" spans="2:19">
      <c r="D47" t="s">
        <v>749</v>
      </c>
      <c r="K47" s="73"/>
      <c r="L47" s="73"/>
      <c r="M47" s="73"/>
      <c r="N47" s="73"/>
      <c r="O47" s="73"/>
      <c r="P47" s="73"/>
      <c r="Q47" s="73"/>
      <c r="R47">
        <v>14231746</v>
      </c>
      <c r="S47" s="73">
        <f t="shared" si="4"/>
        <v>14231746</v>
      </c>
    </row>
    <row r="48" spans="2:19">
      <c r="C48" t="s">
        <v>750</v>
      </c>
      <c r="K48" s="73"/>
      <c r="L48" s="73"/>
      <c r="M48" s="73"/>
      <c r="N48" s="73"/>
      <c r="O48" s="73"/>
      <c r="P48" s="73"/>
      <c r="Q48" s="73"/>
      <c r="S48" s="73">
        <f t="shared" si="4"/>
        <v>0</v>
      </c>
    </row>
    <row r="49" spans="3:19">
      <c r="D49" t="s">
        <v>42</v>
      </c>
      <c r="K49" s="73"/>
      <c r="L49" s="73"/>
      <c r="M49" s="73"/>
      <c r="N49" s="73"/>
      <c r="O49" s="73"/>
      <c r="P49" s="73"/>
      <c r="Q49" s="73">
        <v>15990694</v>
      </c>
      <c r="S49" s="73">
        <f t="shared" si="4"/>
        <v>15990694</v>
      </c>
    </row>
    <row r="50" spans="3:19">
      <c r="D50" t="s">
        <v>749</v>
      </c>
      <c r="K50" s="73"/>
      <c r="L50" s="73"/>
      <c r="M50" s="73"/>
      <c r="N50" s="73"/>
      <c r="O50" s="73"/>
      <c r="P50" s="73"/>
      <c r="Q50" s="73"/>
      <c r="R50">
        <v>86742</v>
      </c>
      <c r="S50" s="73">
        <f t="shared" si="4"/>
        <v>86742</v>
      </c>
    </row>
    <row r="51" spans="3:19">
      <c r="C51" t="s">
        <v>732</v>
      </c>
      <c r="K51" s="73"/>
      <c r="L51" s="73"/>
      <c r="M51" s="73"/>
      <c r="N51" s="73"/>
      <c r="O51" s="73"/>
      <c r="P51" s="73"/>
      <c r="Q51" s="73"/>
      <c r="S51" s="73">
        <f t="shared" si="4"/>
        <v>0</v>
      </c>
    </row>
    <row r="52" spans="3:19">
      <c r="D52" t="s">
        <v>169</v>
      </c>
      <c r="K52" s="200">
        <v>3127024</v>
      </c>
      <c r="L52" s="73"/>
      <c r="M52" s="73"/>
      <c r="N52" s="73"/>
      <c r="O52" s="73"/>
      <c r="P52" s="73"/>
      <c r="Q52" s="73"/>
      <c r="S52" s="73">
        <f t="shared" si="4"/>
        <v>3127024</v>
      </c>
    </row>
    <row r="53" spans="3:19">
      <c r="D53" t="s">
        <v>746</v>
      </c>
      <c r="K53" s="200">
        <v>97857</v>
      </c>
      <c r="L53" s="73"/>
      <c r="M53" s="73"/>
      <c r="N53" s="73"/>
      <c r="O53" s="73"/>
      <c r="P53" s="73"/>
      <c r="Q53" s="73"/>
      <c r="S53" s="73">
        <f t="shared" si="4"/>
        <v>97857</v>
      </c>
    </row>
    <row r="54" spans="3:19">
      <c r="D54" t="s">
        <v>751</v>
      </c>
      <c r="K54" s="200">
        <v>329076</v>
      </c>
      <c r="L54" s="73"/>
      <c r="M54" s="73"/>
      <c r="N54" s="73"/>
      <c r="O54" s="73"/>
      <c r="P54" s="73"/>
      <c r="Q54" s="73"/>
      <c r="S54" s="73">
        <f t="shared" si="4"/>
        <v>329076</v>
      </c>
    </row>
    <row r="55" spans="3:19">
      <c r="D55" t="s">
        <v>752</v>
      </c>
      <c r="K55" s="200">
        <v>248839</v>
      </c>
      <c r="L55" s="73"/>
      <c r="M55" s="73"/>
      <c r="N55" s="73"/>
      <c r="O55" s="73"/>
      <c r="P55" s="73"/>
      <c r="Q55" s="73"/>
      <c r="S55" s="73">
        <f t="shared" si="4"/>
        <v>248839</v>
      </c>
    </row>
    <row r="56" spans="3:19">
      <c r="D56" t="s">
        <v>753</v>
      </c>
      <c r="K56" s="200">
        <v>129947</v>
      </c>
      <c r="L56" s="73"/>
      <c r="M56" s="73"/>
      <c r="N56" s="73"/>
      <c r="O56" s="73"/>
      <c r="P56" s="73"/>
      <c r="Q56" s="73"/>
      <c r="S56" s="73">
        <f t="shared" si="4"/>
        <v>129947</v>
      </c>
    </row>
    <row r="57" spans="3:19">
      <c r="D57" t="s">
        <v>754</v>
      </c>
      <c r="K57" s="200">
        <v>81398</v>
      </c>
      <c r="L57" s="73"/>
      <c r="M57" s="73"/>
      <c r="N57" s="73"/>
      <c r="O57" s="73"/>
      <c r="P57" s="73"/>
      <c r="Q57" s="73"/>
      <c r="S57" s="73">
        <f t="shared" si="4"/>
        <v>81398</v>
      </c>
    </row>
    <row r="58" spans="3:19">
      <c r="D58" t="s">
        <v>70</v>
      </c>
      <c r="K58" s="73"/>
      <c r="L58" s="73">
        <v>4513743</v>
      </c>
      <c r="M58" s="73"/>
      <c r="N58" s="73"/>
      <c r="O58" s="73"/>
      <c r="P58" s="73"/>
      <c r="Q58" s="73">
        <v>28985137</v>
      </c>
      <c r="S58" s="73">
        <f t="shared" si="4"/>
        <v>33498880</v>
      </c>
    </row>
    <row r="59" spans="3:19">
      <c r="D59" t="s">
        <v>42</v>
      </c>
      <c r="K59" s="73"/>
      <c r="L59" s="73"/>
      <c r="M59" s="73"/>
      <c r="N59" s="73"/>
      <c r="O59" s="73"/>
      <c r="P59" s="73"/>
      <c r="Q59" s="73"/>
      <c r="S59" s="73">
        <f t="shared" si="4"/>
        <v>0</v>
      </c>
    </row>
    <row r="60" spans="3:19">
      <c r="D60" t="s">
        <v>283</v>
      </c>
      <c r="K60" s="73"/>
      <c r="L60" s="73"/>
      <c r="M60" s="73">
        <v>1727427</v>
      </c>
      <c r="N60" s="73"/>
      <c r="O60" s="73"/>
      <c r="P60" s="73"/>
      <c r="Q60" s="73"/>
      <c r="S60" s="73">
        <f t="shared" si="4"/>
        <v>1727427</v>
      </c>
    </row>
    <row r="61" spans="3:19">
      <c r="D61" t="s">
        <v>755</v>
      </c>
      <c r="K61" s="73"/>
      <c r="L61" s="73"/>
      <c r="M61" s="73"/>
      <c r="N61" s="73">
        <v>3939475</v>
      </c>
      <c r="O61" s="73"/>
      <c r="P61" s="73"/>
      <c r="Q61" s="73"/>
      <c r="S61" s="73">
        <f t="shared" si="4"/>
        <v>3939475</v>
      </c>
    </row>
    <row r="62" spans="3:19">
      <c r="D62" t="s">
        <v>93</v>
      </c>
      <c r="K62" s="73"/>
      <c r="L62" s="73"/>
      <c r="M62" s="73"/>
      <c r="N62" s="73"/>
      <c r="O62" s="73">
        <v>5242808</v>
      </c>
      <c r="P62" s="73"/>
      <c r="Q62" s="73"/>
      <c r="S62" s="73">
        <f t="shared" si="4"/>
        <v>5242808</v>
      </c>
    </row>
    <row r="63" spans="3:19">
      <c r="D63" t="s">
        <v>749</v>
      </c>
      <c r="K63" s="73"/>
      <c r="L63" s="73"/>
      <c r="M63" s="73"/>
      <c r="N63" s="73"/>
      <c r="O63" s="73"/>
      <c r="P63" s="73"/>
      <c r="Q63" s="73"/>
      <c r="R63">
        <v>899924</v>
      </c>
      <c r="S63" s="73">
        <f t="shared" si="4"/>
        <v>899924</v>
      </c>
    </row>
    <row r="64" spans="3:19">
      <c r="C64" t="s">
        <v>46</v>
      </c>
      <c r="K64" s="84">
        <v>10382353</v>
      </c>
      <c r="L64" s="73"/>
      <c r="M64" s="73"/>
      <c r="N64" s="73"/>
      <c r="O64" s="73"/>
      <c r="P64" s="73"/>
      <c r="Q64" s="73"/>
      <c r="S64" s="73">
        <f t="shared" si="4"/>
        <v>10382353</v>
      </c>
    </row>
    <row r="65" spans="4:19">
      <c r="K65" s="73"/>
      <c r="L65" s="73"/>
      <c r="M65" s="73"/>
      <c r="N65" s="73"/>
      <c r="O65" s="73"/>
      <c r="P65" s="73"/>
      <c r="Q65" s="73"/>
    </row>
    <row r="66" spans="4:19" s="5" customFormat="1">
      <c r="D66" s="6"/>
      <c r="E66" s="6" t="s">
        <v>77</v>
      </c>
      <c r="K66" s="79">
        <f t="shared" ref="K66:Q66" si="5">SUM(K39:K64)</f>
        <v>16965834</v>
      </c>
      <c r="L66" s="79">
        <f t="shared" si="5"/>
        <v>4513743</v>
      </c>
      <c r="M66" s="79">
        <f t="shared" si="5"/>
        <v>5044232</v>
      </c>
      <c r="N66" s="79">
        <f t="shared" si="5"/>
        <v>3939475</v>
      </c>
      <c r="O66" s="79">
        <f t="shared" si="5"/>
        <v>7944864</v>
      </c>
      <c r="P66" s="79">
        <f t="shared" si="5"/>
        <v>10888588</v>
      </c>
      <c r="Q66" s="79">
        <f t="shared" si="5"/>
        <v>58149841</v>
      </c>
      <c r="R66" s="5">
        <f>SUM(R40:R64)</f>
        <v>30277767</v>
      </c>
      <c r="S66" s="216">
        <f>SUM(S40:S64)</f>
        <v>137724344</v>
      </c>
    </row>
    <row r="67" spans="4:19">
      <c r="K67" s="73"/>
      <c r="L67" s="73"/>
      <c r="M67" s="73"/>
      <c r="N67" s="73"/>
      <c r="O67" s="73"/>
      <c r="P67" s="73"/>
      <c r="Q67" s="73"/>
    </row>
    <row r="68" spans="4:19" s="7" customFormat="1">
      <c r="D68" s="8"/>
      <c r="E68" s="8" t="s">
        <v>48</v>
      </c>
      <c r="J68" s="247"/>
      <c r="K68" s="81">
        <f>SUM(K66+K36)</f>
        <v>41181764</v>
      </c>
      <c r="L68" s="81">
        <f t="shared" ref="L68:Q68" si="6">SUM(L66,L36,)</f>
        <v>10197210</v>
      </c>
      <c r="M68" s="81">
        <f t="shared" si="6"/>
        <v>33899650</v>
      </c>
      <c r="N68" s="81">
        <f t="shared" si="6"/>
        <v>4768542</v>
      </c>
      <c r="O68" s="81">
        <f t="shared" si="6"/>
        <v>15901855</v>
      </c>
      <c r="P68" s="81">
        <f t="shared" si="6"/>
        <v>10912793</v>
      </c>
      <c r="Q68" s="81">
        <f t="shared" si="6"/>
        <v>68049050</v>
      </c>
      <c r="R68" s="104">
        <f>SUM(R66+R36)</f>
        <v>46811660</v>
      </c>
      <c r="S68" s="104">
        <f>SUM(S66+S36)</f>
        <v>231722524</v>
      </c>
    </row>
  </sheetData>
  <mergeCells count="3">
    <mergeCell ref="D1:K1"/>
    <mergeCell ref="D2:K2"/>
    <mergeCell ref="K3:N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Q33"/>
  <sheetViews>
    <sheetView workbookViewId="0">
      <selection activeCell="I12" sqref="I12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11.855468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4.85546875" customWidth="1"/>
    <col min="13" max="13" width="16.42578125" customWidth="1"/>
    <col min="14" max="14" width="15.42578125" customWidth="1"/>
    <col min="15" max="15" width="15.140625" customWidth="1"/>
    <col min="16" max="16" width="17.140625" customWidth="1"/>
    <col min="17" max="17" width="17.28515625" customWidth="1"/>
  </cols>
  <sheetData>
    <row r="1" spans="1:17" ht="18.75">
      <c r="D1" s="251" t="s">
        <v>756</v>
      </c>
      <c r="E1" s="251"/>
      <c r="F1" s="251"/>
      <c r="G1" s="251"/>
      <c r="H1" s="251"/>
      <c r="I1" s="251"/>
      <c r="J1" s="251"/>
      <c r="K1" s="251"/>
    </row>
    <row r="2" spans="1:17">
      <c r="D2" s="252" t="s">
        <v>80</v>
      </c>
      <c r="E2" s="252"/>
      <c r="F2" s="252"/>
      <c r="G2" s="252"/>
      <c r="H2" s="252"/>
      <c r="I2" s="252"/>
      <c r="J2" s="252"/>
      <c r="K2" s="252"/>
    </row>
    <row r="4" spans="1:17" ht="45">
      <c r="K4" s="1" t="s">
        <v>91</v>
      </c>
      <c r="L4" s="1" t="s">
        <v>127</v>
      </c>
      <c r="M4" s="1" t="s">
        <v>558</v>
      </c>
      <c r="N4" s="1" t="s">
        <v>757</v>
      </c>
      <c r="O4" s="1" t="s">
        <v>557</v>
      </c>
      <c r="P4" s="1" t="s">
        <v>6</v>
      </c>
      <c r="Q4" s="1" t="s">
        <v>7</v>
      </c>
    </row>
    <row r="5" spans="1:17">
      <c r="A5" s="86" t="s">
        <v>8</v>
      </c>
    </row>
    <row r="6" spans="1:17">
      <c r="B6" t="s">
        <v>85</v>
      </c>
      <c r="K6" s="72">
        <v>79996</v>
      </c>
      <c r="L6" s="73">
        <v>452054</v>
      </c>
      <c r="M6" s="73">
        <v>1025625</v>
      </c>
      <c r="N6" s="73">
        <v>2922371</v>
      </c>
      <c r="O6" s="73">
        <v>500</v>
      </c>
      <c r="P6" s="73">
        <v>1775926</v>
      </c>
      <c r="Q6" s="73">
        <f>SUM(K6:P6)</f>
        <v>6256472</v>
      </c>
    </row>
    <row r="7" spans="1:17">
      <c r="B7" t="s">
        <v>10</v>
      </c>
      <c r="K7" s="77">
        <v>499287</v>
      </c>
      <c r="L7" s="73">
        <v>152391</v>
      </c>
      <c r="M7" s="73">
        <v>291069</v>
      </c>
      <c r="N7" s="73">
        <v>5794966</v>
      </c>
      <c r="O7" s="73">
        <v>37999</v>
      </c>
      <c r="P7" s="73">
        <v>637555</v>
      </c>
      <c r="Q7" s="73">
        <f>SUM(K7:P7)</f>
        <v>7413267</v>
      </c>
    </row>
    <row r="8" spans="1:17">
      <c r="B8" t="s">
        <v>58</v>
      </c>
      <c r="K8" s="74">
        <v>1326848</v>
      </c>
      <c r="L8" s="73">
        <v>1062628</v>
      </c>
      <c r="M8" s="73">
        <v>835087</v>
      </c>
      <c r="N8" s="73">
        <v>389141</v>
      </c>
      <c r="O8" s="73">
        <v>158776</v>
      </c>
      <c r="P8" s="73">
        <v>870301</v>
      </c>
      <c r="Q8" s="73">
        <f>SUM(K8:P8)</f>
        <v>4642781</v>
      </c>
    </row>
    <row r="9" spans="1:17">
      <c r="B9" t="s">
        <v>16</v>
      </c>
      <c r="K9" s="82">
        <v>12500</v>
      </c>
      <c r="L9" s="73"/>
      <c r="M9" s="73"/>
      <c r="N9" s="73"/>
      <c r="O9" s="73"/>
      <c r="P9" s="73"/>
      <c r="Q9" s="73">
        <f>SUM(K9:P9)</f>
        <v>12500</v>
      </c>
    </row>
    <row r="10" spans="1:17">
      <c r="K10" s="73"/>
      <c r="L10" s="73"/>
      <c r="M10" s="73"/>
      <c r="N10" s="73"/>
      <c r="O10" s="73"/>
      <c r="P10" s="73"/>
      <c r="Q10" s="73"/>
    </row>
    <row r="11" spans="1:17" s="3" customFormat="1">
      <c r="A11" s="2"/>
      <c r="B11" s="2"/>
      <c r="C11" s="2"/>
      <c r="D11" s="2"/>
      <c r="E11" s="2" t="s">
        <v>18</v>
      </c>
      <c r="K11" s="76">
        <f>SUM(K6:K9)</f>
        <v>1918631</v>
      </c>
      <c r="L11" s="76">
        <f t="shared" ref="L11:Q11" si="0">SUM(L6:L9)</f>
        <v>1667073</v>
      </c>
      <c r="M11" s="76">
        <f t="shared" si="0"/>
        <v>2151781</v>
      </c>
      <c r="N11" s="76">
        <f t="shared" si="0"/>
        <v>9106478</v>
      </c>
      <c r="O11" s="76">
        <f t="shared" si="0"/>
        <v>197275</v>
      </c>
      <c r="P11" s="76">
        <f t="shared" si="0"/>
        <v>3283782</v>
      </c>
      <c r="Q11" s="76">
        <f t="shared" si="0"/>
        <v>18325020</v>
      </c>
    </row>
    <row r="12" spans="1:17">
      <c r="K12" s="73"/>
      <c r="L12" s="73"/>
      <c r="M12" s="73"/>
      <c r="N12" s="73"/>
      <c r="O12" s="73"/>
      <c r="P12" s="73"/>
      <c r="Q12" s="73"/>
    </row>
    <row r="13" spans="1:17">
      <c r="A13" s="4" t="s">
        <v>758</v>
      </c>
      <c r="K13" s="73"/>
      <c r="L13" s="73"/>
      <c r="M13" s="73"/>
      <c r="N13" s="73"/>
      <c r="O13" s="73"/>
      <c r="P13" s="73"/>
      <c r="Q13" s="73"/>
    </row>
    <row r="14" spans="1:17">
      <c r="B14" t="s">
        <v>20</v>
      </c>
      <c r="K14" s="73"/>
      <c r="L14" s="73"/>
      <c r="M14" s="73"/>
      <c r="N14" s="73"/>
      <c r="O14" s="73"/>
      <c r="P14" s="73"/>
      <c r="Q14" s="73"/>
    </row>
    <row r="15" spans="1:17">
      <c r="C15" t="s">
        <v>333</v>
      </c>
      <c r="K15" s="240">
        <v>23654</v>
      </c>
      <c r="L15" s="73"/>
      <c r="M15" s="73"/>
      <c r="N15" s="73"/>
      <c r="O15" s="73">
        <v>1134940</v>
      </c>
      <c r="P15" s="73"/>
      <c r="Q15" s="73">
        <f>SUM(K15:P15)</f>
        <v>1158594</v>
      </c>
    </row>
    <row r="16" spans="1:17">
      <c r="C16" t="s">
        <v>21</v>
      </c>
      <c r="K16" s="77">
        <v>514177</v>
      </c>
      <c r="L16" s="73">
        <v>56279</v>
      </c>
      <c r="M16" s="73">
        <v>28951</v>
      </c>
      <c r="N16" s="73">
        <v>27044</v>
      </c>
      <c r="O16" s="73">
        <v>85160</v>
      </c>
      <c r="P16" s="73">
        <v>64618</v>
      </c>
      <c r="Q16" s="73">
        <f>SUM(K16:P16)</f>
        <v>776229</v>
      </c>
    </row>
    <row r="17" spans="1:17">
      <c r="C17" t="s">
        <v>233</v>
      </c>
      <c r="K17" s="77">
        <v>89108</v>
      </c>
      <c r="L17" s="73">
        <v>16488</v>
      </c>
      <c r="M17" s="73"/>
      <c r="N17" s="73">
        <v>10936</v>
      </c>
      <c r="O17" s="73"/>
      <c r="P17" s="73">
        <v>18801</v>
      </c>
      <c r="Q17" s="73">
        <f>SUM(K17:P17)</f>
        <v>135333</v>
      </c>
    </row>
    <row r="18" spans="1:17">
      <c r="C18" t="s">
        <v>22</v>
      </c>
      <c r="K18" s="77">
        <v>30838</v>
      </c>
      <c r="L18" s="73"/>
      <c r="M18" s="73"/>
      <c r="N18" s="73"/>
      <c r="O18" s="73"/>
      <c r="P18" s="73"/>
      <c r="Q18" s="73">
        <f t="shared" ref="Q18:Q20" si="1">SUM(K18:P18)</f>
        <v>30838</v>
      </c>
    </row>
    <row r="19" spans="1:17">
      <c r="C19" t="s">
        <v>552</v>
      </c>
      <c r="K19" s="73"/>
      <c r="L19" s="73">
        <v>355020</v>
      </c>
      <c r="M19" s="73"/>
      <c r="N19" s="73"/>
      <c r="O19" s="73"/>
      <c r="P19" s="73"/>
      <c r="Q19" s="73">
        <f t="shared" si="1"/>
        <v>355020</v>
      </c>
    </row>
    <row r="20" spans="1:17">
      <c r="C20" t="s">
        <v>25</v>
      </c>
      <c r="K20" s="73"/>
      <c r="L20" s="73"/>
      <c r="M20" s="73"/>
      <c r="N20" s="73"/>
      <c r="O20" s="73"/>
      <c r="P20" s="73">
        <v>12500</v>
      </c>
      <c r="Q20" s="73">
        <f t="shared" si="1"/>
        <v>12500</v>
      </c>
    </row>
    <row r="21" spans="1:17">
      <c r="K21" s="73"/>
      <c r="L21" s="73"/>
      <c r="M21" s="73"/>
      <c r="N21" s="73"/>
      <c r="O21" s="73"/>
      <c r="P21" s="73"/>
      <c r="Q21" s="73"/>
    </row>
    <row r="22" spans="1:17" s="5" customFormat="1">
      <c r="B22" s="6"/>
      <c r="C22" s="6"/>
      <c r="D22" s="6"/>
      <c r="E22" s="6" t="s">
        <v>26</v>
      </c>
      <c r="K22" s="79">
        <f t="shared" ref="K22:O22" si="2">SUM(K15:K19)</f>
        <v>657777</v>
      </c>
      <c r="L22" s="79">
        <f t="shared" si="2"/>
        <v>427787</v>
      </c>
      <c r="M22" s="79">
        <f t="shared" si="2"/>
        <v>28951</v>
      </c>
      <c r="N22" s="79">
        <f t="shared" si="2"/>
        <v>37980</v>
      </c>
      <c r="O22" s="79">
        <f t="shared" si="2"/>
        <v>1220100</v>
      </c>
      <c r="P22" s="79">
        <f>SUM(P15:P20)</f>
        <v>95919</v>
      </c>
      <c r="Q22" s="79">
        <f>SUM(Q15:Q20)</f>
        <v>2468514</v>
      </c>
    </row>
    <row r="23" spans="1:17">
      <c r="K23" s="73"/>
      <c r="L23" s="73"/>
      <c r="M23" s="73"/>
      <c r="N23" s="73"/>
      <c r="O23" s="73"/>
      <c r="P23" s="73"/>
      <c r="Q23" s="73"/>
    </row>
    <row r="24" spans="1:17">
      <c r="A24" s="86" t="s">
        <v>759</v>
      </c>
      <c r="K24" s="73"/>
      <c r="L24" s="73"/>
      <c r="M24" s="73"/>
      <c r="N24" s="73"/>
      <c r="O24" s="73"/>
      <c r="P24" s="73"/>
      <c r="Q24" s="73"/>
    </row>
    <row r="25" spans="1:17">
      <c r="B25" t="s">
        <v>760</v>
      </c>
      <c r="K25" s="85"/>
      <c r="L25" s="85"/>
      <c r="M25" s="85"/>
      <c r="N25" s="85"/>
      <c r="O25" s="85"/>
      <c r="P25" s="85">
        <v>14194</v>
      </c>
      <c r="Q25" s="85">
        <f>SUM(K25:P25)</f>
        <v>14194</v>
      </c>
    </row>
    <row r="26" spans="1:17">
      <c r="K26" s="73"/>
      <c r="L26" s="73"/>
      <c r="M26" s="73"/>
      <c r="N26" s="73"/>
      <c r="O26" s="73"/>
      <c r="P26" s="73"/>
      <c r="Q26" s="73"/>
    </row>
    <row r="27" spans="1:17">
      <c r="B27" t="s">
        <v>761</v>
      </c>
      <c r="K27" s="73"/>
      <c r="L27" s="73"/>
      <c r="M27" s="73"/>
      <c r="N27" s="73"/>
      <c r="O27" s="73"/>
      <c r="P27" s="73"/>
      <c r="Q27" s="73"/>
    </row>
    <row r="28" spans="1:17">
      <c r="C28" t="s">
        <v>88</v>
      </c>
      <c r="K28" s="73"/>
      <c r="L28" s="73">
        <v>1239286</v>
      </c>
      <c r="M28" s="73">
        <v>2122830</v>
      </c>
      <c r="N28" s="73">
        <v>9068498</v>
      </c>
      <c r="O28" s="73"/>
      <c r="P28" s="73">
        <v>3181624</v>
      </c>
      <c r="Q28" s="73">
        <f>SUM(K28:P28)</f>
        <v>15612238</v>
      </c>
    </row>
    <row r="29" spans="1:17">
      <c r="C29" t="s">
        <v>46</v>
      </c>
      <c r="K29" s="84">
        <v>1260854</v>
      </c>
      <c r="L29" s="73"/>
      <c r="M29" s="73"/>
      <c r="N29" s="73"/>
      <c r="O29" s="73">
        <v>-1022825</v>
      </c>
      <c r="P29" s="73">
        <v>-4955</v>
      </c>
      <c r="Q29" s="73">
        <f>SUM(K29:P29)</f>
        <v>233074</v>
      </c>
    </row>
    <row r="30" spans="1:17">
      <c r="K30" s="73"/>
      <c r="L30" s="73"/>
      <c r="M30" s="73"/>
      <c r="N30" s="73"/>
      <c r="O30" s="73"/>
      <c r="P30" s="73"/>
      <c r="Q30" s="73"/>
    </row>
    <row r="31" spans="1:17" s="5" customFormat="1">
      <c r="D31" s="6"/>
      <c r="E31" s="6" t="s">
        <v>762</v>
      </c>
      <c r="K31" s="79">
        <f t="shared" ref="K31:Q31" si="3">SUM(K28:K29)</f>
        <v>1260854</v>
      </c>
      <c r="L31" s="79">
        <f t="shared" si="3"/>
        <v>1239286</v>
      </c>
      <c r="M31" s="79">
        <f t="shared" si="3"/>
        <v>2122830</v>
      </c>
      <c r="N31" s="79">
        <f t="shared" si="3"/>
        <v>9068498</v>
      </c>
      <c r="O31" s="79">
        <f t="shared" si="3"/>
        <v>-1022825</v>
      </c>
      <c r="P31" s="79">
        <f t="shared" si="3"/>
        <v>3176669</v>
      </c>
      <c r="Q31" s="79">
        <f t="shared" si="3"/>
        <v>15845312</v>
      </c>
    </row>
    <row r="32" spans="1:17">
      <c r="K32" s="73"/>
      <c r="L32" s="73"/>
      <c r="M32" s="73"/>
      <c r="N32" s="73"/>
      <c r="O32" s="73"/>
      <c r="P32" s="73"/>
      <c r="Q32" s="73"/>
    </row>
    <row r="33" spans="4:17" s="7" customFormat="1">
      <c r="D33" s="8"/>
      <c r="E33" s="8" t="s">
        <v>763</v>
      </c>
      <c r="K33" s="81">
        <f>K31+K25+K22</f>
        <v>1918631</v>
      </c>
      <c r="L33" s="81">
        <f t="shared" ref="L33:Q33" si="4">L31+L25+L22</f>
        <v>1667073</v>
      </c>
      <c r="M33" s="81">
        <f t="shared" si="4"/>
        <v>2151781</v>
      </c>
      <c r="N33" s="81">
        <f t="shared" si="4"/>
        <v>9106478</v>
      </c>
      <c r="O33" s="81">
        <f t="shared" si="4"/>
        <v>197275</v>
      </c>
      <c r="P33" s="81">
        <f t="shared" si="4"/>
        <v>3286782</v>
      </c>
      <c r="Q33" s="81">
        <f t="shared" si="4"/>
        <v>18328020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S41"/>
  <sheetViews>
    <sheetView workbookViewId="0">
      <selection activeCell="H24" sqref="H24"/>
    </sheetView>
  </sheetViews>
  <sheetFormatPr defaultColWidth="8.85546875" defaultRowHeight="15"/>
  <cols>
    <col min="5" max="5" width="10" customWidth="1"/>
    <col min="6" max="10" width="11.85546875" customWidth="1"/>
    <col min="11" max="11" width="12.85546875" customWidth="1"/>
    <col min="12" max="12" width="11.28515625" customWidth="1"/>
    <col min="13" max="13" width="13" customWidth="1"/>
    <col min="14" max="14" width="12.42578125" customWidth="1"/>
    <col min="15" max="15" width="13.28515625" customWidth="1"/>
    <col min="16" max="16" width="16" customWidth="1"/>
    <col min="17" max="17" width="13.140625" customWidth="1"/>
    <col min="18" max="18" width="15.140625" customWidth="1"/>
    <col min="19" max="19" width="17.85546875" customWidth="1"/>
  </cols>
  <sheetData>
    <row r="1" spans="1:19">
      <c r="D1" s="86" t="s">
        <v>764</v>
      </c>
    </row>
    <row r="2" spans="1:19">
      <c r="D2" t="s">
        <v>765</v>
      </c>
      <c r="E2" t="s">
        <v>766</v>
      </c>
    </row>
    <row r="5" spans="1:19" ht="75">
      <c r="K5" s="149" t="s">
        <v>50</v>
      </c>
      <c r="L5" s="149" t="s">
        <v>767</v>
      </c>
      <c r="M5" s="149" t="s">
        <v>768</v>
      </c>
      <c r="N5" s="149" t="s">
        <v>769</v>
      </c>
      <c r="O5" s="149" t="s">
        <v>770</v>
      </c>
      <c r="P5" s="149" t="s">
        <v>771</v>
      </c>
      <c r="Q5" s="149" t="s">
        <v>772</v>
      </c>
      <c r="R5" s="149" t="s">
        <v>6</v>
      </c>
      <c r="S5" s="149" t="s">
        <v>773</v>
      </c>
    </row>
    <row r="6" spans="1:19">
      <c r="A6" s="86" t="s">
        <v>8</v>
      </c>
    </row>
    <row r="7" spans="1:19">
      <c r="B7" t="s">
        <v>98</v>
      </c>
      <c r="K7" s="154">
        <v>1093899</v>
      </c>
      <c r="L7" s="103">
        <v>10364185</v>
      </c>
      <c r="M7" s="103">
        <v>11603963</v>
      </c>
      <c r="N7" s="103">
        <v>16261676</v>
      </c>
      <c r="O7" s="103">
        <v>10551829</v>
      </c>
      <c r="P7" s="103">
        <v>508648</v>
      </c>
      <c r="Q7" s="103">
        <v>574848</v>
      </c>
      <c r="R7" s="103">
        <v>8105247</v>
      </c>
      <c r="S7" s="103">
        <f t="shared" ref="S7:S15" si="0">SUM(K7:R7)</f>
        <v>59064295</v>
      </c>
    </row>
    <row r="8" spans="1:19">
      <c r="B8" t="s">
        <v>774</v>
      </c>
      <c r="K8" s="155" t="s">
        <v>691</v>
      </c>
      <c r="L8" s="103" t="s">
        <v>691</v>
      </c>
      <c r="M8" s="103" t="s">
        <v>691</v>
      </c>
      <c r="N8" s="103">
        <v>40078</v>
      </c>
      <c r="O8" s="103" t="s">
        <v>691</v>
      </c>
      <c r="P8" s="103" t="s">
        <v>691</v>
      </c>
      <c r="Q8" s="103" t="s">
        <v>691</v>
      </c>
      <c r="R8" s="103">
        <v>82563</v>
      </c>
      <c r="S8" s="103">
        <f t="shared" si="0"/>
        <v>122641</v>
      </c>
    </row>
    <row r="9" spans="1:19">
      <c r="B9" t="s">
        <v>775</v>
      </c>
      <c r="E9" s="99"/>
      <c r="F9" s="99"/>
      <c r="G9" s="99"/>
      <c r="H9" s="99"/>
      <c r="I9" s="99"/>
      <c r="J9" s="99"/>
      <c r="K9" s="156">
        <v>71638</v>
      </c>
      <c r="L9" s="103" t="s">
        <v>691</v>
      </c>
      <c r="M9" s="103" t="s">
        <v>691</v>
      </c>
      <c r="N9" s="103" t="s">
        <v>691</v>
      </c>
      <c r="O9" s="103" t="s">
        <v>691</v>
      </c>
      <c r="P9" s="103">
        <v>63867</v>
      </c>
      <c r="Q9" s="103" t="s">
        <v>691</v>
      </c>
      <c r="R9" s="103">
        <v>210203</v>
      </c>
      <c r="S9" s="103">
        <f t="shared" si="0"/>
        <v>345708</v>
      </c>
    </row>
    <row r="10" spans="1:19">
      <c r="B10" t="s">
        <v>416</v>
      </c>
      <c r="K10" s="155" t="s">
        <v>691</v>
      </c>
      <c r="L10" s="103">
        <v>12537</v>
      </c>
      <c r="M10" s="103">
        <v>4235</v>
      </c>
      <c r="N10" s="103">
        <v>14722</v>
      </c>
      <c r="O10" s="103">
        <v>7419</v>
      </c>
      <c r="P10" s="103" t="s">
        <v>691</v>
      </c>
      <c r="Q10" s="103" t="s">
        <v>691</v>
      </c>
      <c r="R10" s="103">
        <v>1216</v>
      </c>
      <c r="S10" s="103">
        <f t="shared" si="0"/>
        <v>40129</v>
      </c>
    </row>
    <row r="11" spans="1:19">
      <c r="B11" t="s">
        <v>16</v>
      </c>
      <c r="K11" s="157">
        <v>347334</v>
      </c>
      <c r="L11" s="103">
        <v>306</v>
      </c>
      <c r="M11" s="103">
        <v>15028</v>
      </c>
      <c r="N11" s="103" t="s">
        <v>691</v>
      </c>
      <c r="O11" s="103">
        <v>672413</v>
      </c>
      <c r="P11" s="103">
        <v>41301</v>
      </c>
      <c r="Q11" s="103" t="s">
        <v>691</v>
      </c>
      <c r="R11" s="103">
        <v>61046</v>
      </c>
      <c r="S11" s="103">
        <f t="shared" si="0"/>
        <v>1137428</v>
      </c>
    </row>
    <row r="12" spans="1:19">
      <c r="B12" t="s">
        <v>776</v>
      </c>
      <c r="K12" s="157">
        <v>111</v>
      </c>
      <c r="L12" s="103" t="s">
        <v>691</v>
      </c>
      <c r="M12" s="103" t="s">
        <v>691</v>
      </c>
      <c r="N12" s="103" t="s">
        <v>691</v>
      </c>
      <c r="O12" s="103">
        <v>519</v>
      </c>
      <c r="P12" s="103" t="s">
        <v>691</v>
      </c>
      <c r="Q12" s="103" t="s">
        <v>691</v>
      </c>
      <c r="R12" s="103" t="s">
        <v>691</v>
      </c>
      <c r="S12" s="103">
        <f t="shared" si="0"/>
        <v>630</v>
      </c>
    </row>
    <row r="13" spans="1:19">
      <c r="B13" t="s">
        <v>99</v>
      </c>
      <c r="K13" s="157">
        <v>2711975</v>
      </c>
      <c r="L13" s="103">
        <v>701802</v>
      </c>
      <c r="M13" s="103">
        <v>701802</v>
      </c>
      <c r="N13" s="103">
        <v>701802</v>
      </c>
      <c r="O13" s="103">
        <v>441978</v>
      </c>
      <c r="P13" s="103">
        <v>1010935</v>
      </c>
      <c r="Q13" s="103">
        <v>939834</v>
      </c>
      <c r="R13" s="103">
        <v>2914777</v>
      </c>
      <c r="S13" s="103">
        <f t="shared" si="0"/>
        <v>10124905</v>
      </c>
    </row>
    <row r="14" spans="1:19">
      <c r="B14" t="s">
        <v>13</v>
      </c>
      <c r="E14" s="99"/>
      <c r="F14" s="99"/>
      <c r="G14" s="99"/>
      <c r="H14" s="99"/>
      <c r="I14" s="99"/>
      <c r="J14" s="99"/>
      <c r="K14" s="156">
        <v>57039</v>
      </c>
      <c r="L14" s="103" t="s">
        <v>691</v>
      </c>
      <c r="M14" s="103" t="s">
        <v>691</v>
      </c>
      <c r="N14" s="103" t="s">
        <v>691</v>
      </c>
      <c r="O14" s="103" t="s">
        <v>691</v>
      </c>
      <c r="P14" s="103" t="s">
        <v>691</v>
      </c>
      <c r="Q14" s="103" t="s">
        <v>691</v>
      </c>
      <c r="R14" s="103">
        <v>12275</v>
      </c>
      <c r="S14" s="103">
        <f t="shared" si="0"/>
        <v>69314</v>
      </c>
    </row>
    <row r="15" spans="1:19">
      <c r="B15" t="s">
        <v>164</v>
      </c>
      <c r="K15" s="155" t="s">
        <v>691</v>
      </c>
      <c r="L15" s="103">
        <v>1345</v>
      </c>
      <c r="M15" s="103" t="s">
        <v>691</v>
      </c>
      <c r="N15" s="103">
        <v>5516</v>
      </c>
      <c r="O15" s="103">
        <v>10776</v>
      </c>
      <c r="P15" s="103">
        <v>7768</v>
      </c>
      <c r="Q15" s="103" t="s">
        <v>691</v>
      </c>
      <c r="R15" s="103">
        <v>502</v>
      </c>
      <c r="S15" s="158">
        <f t="shared" si="0"/>
        <v>25907</v>
      </c>
    </row>
    <row r="16" spans="1:19">
      <c r="K16" s="159"/>
      <c r="L16" s="159"/>
      <c r="M16" s="159"/>
      <c r="N16" s="159"/>
      <c r="O16" s="159"/>
      <c r="P16" s="159"/>
      <c r="Q16" s="159"/>
      <c r="R16" s="159"/>
      <c r="S16" s="159"/>
    </row>
    <row r="17" spans="1:71" s="119" customFormat="1">
      <c r="E17" s="119" t="s">
        <v>62</v>
      </c>
      <c r="K17" s="139">
        <f t="shared" ref="K17:S17" si="1">SUM(K7:K15)</f>
        <v>4281996</v>
      </c>
      <c r="L17" s="138">
        <f t="shared" si="1"/>
        <v>11080175</v>
      </c>
      <c r="M17" s="138">
        <f t="shared" si="1"/>
        <v>12325028</v>
      </c>
      <c r="N17" s="138">
        <f t="shared" si="1"/>
        <v>17023794</v>
      </c>
      <c r="O17" s="138">
        <f t="shared" si="1"/>
        <v>11684934</v>
      </c>
      <c r="P17" s="138">
        <f t="shared" si="1"/>
        <v>1632519</v>
      </c>
      <c r="Q17" s="138">
        <f t="shared" si="1"/>
        <v>1514682</v>
      </c>
      <c r="R17" s="138">
        <f t="shared" si="1"/>
        <v>11387829</v>
      </c>
      <c r="S17" s="138">
        <f t="shared" si="1"/>
        <v>70930957</v>
      </c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68"/>
      <c r="AZ17" s="168"/>
      <c r="BA17" s="168"/>
      <c r="BB17" s="168"/>
      <c r="BC17" s="168"/>
      <c r="BD17" s="168"/>
      <c r="BE17" s="168"/>
      <c r="BF17" s="168"/>
      <c r="BG17" s="168"/>
      <c r="BH17" s="168"/>
      <c r="BI17" s="168"/>
      <c r="BJ17" s="168"/>
      <c r="BK17" s="168"/>
      <c r="BL17" s="168"/>
      <c r="BM17" s="168"/>
      <c r="BN17" s="168"/>
      <c r="BO17" s="168"/>
      <c r="BP17" s="168"/>
      <c r="BQ17" s="168"/>
      <c r="BR17" s="168"/>
      <c r="BS17" s="168"/>
    </row>
    <row r="18" spans="1:71">
      <c r="K18" s="155"/>
      <c r="L18" s="103"/>
      <c r="M18" s="103"/>
      <c r="N18" s="103"/>
      <c r="O18" s="103"/>
      <c r="P18" s="103"/>
      <c r="Q18" s="103"/>
      <c r="R18" s="103"/>
      <c r="S18" s="103"/>
    </row>
    <row r="19" spans="1:71">
      <c r="A19" s="86" t="s">
        <v>140</v>
      </c>
      <c r="K19" s="155"/>
      <c r="L19" s="103"/>
      <c r="M19" s="103"/>
      <c r="N19" s="103"/>
      <c r="O19" s="103"/>
      <c r="P19" s="103"/>
      <c r="Q19" s="103"/>
      <c r="R19" s="103"/>
      <c r="S19" s="103"/>
    </row>
    <row r="20" spans="1:71">
      <c r="B20" t="s">
        <v>20</v>
      </c>
      <c r="K20" s="155"/>
      <c r="L20" s="103"/>
      <c r="M20" s="103"/>
      <c r="N20" s="103"/>
      <c r="O20" s="103"/>
      <c r="P20" s="103"/>
      <c r="Q20" s="103"/>
      <c r="R20" s="103"/>
      <c r="S20" s="103"/>
    </row>
    <row r="21" spans="1:71">
      <c r="C21" t="s">
        <v>21</v>
      </c>
      <c r="K21" s="160">
        <v>1681601</v>
      </c>
      <c r="L21" s="103">
        <v>15580</v>
      </c>
      <c r="M21" s="103">
        <v>23864</v>
      </c>
      <c r="N21" s="103">
        <v>777765</v>
      </c>
      <c r="O21" s="103">
        <v>12388</v>
      </c>
      <c r="P21" s="103">
        <v>51123</v>
      </c>
      <c r="Q21" s="103">
        <v>147992</v>
      </c>
      <c r="R21" s="103">
        <v>146879</v>
      </c>
      <c r="S21" s="103">
        <f t="shared" ref="S21:S26" si="2">SUM(K21:R21)</f>
        <v>2857192</v>
      </c>
    </row>
    <row r="22" spans="1:71">
      <c r="C22" t="s">
        <v>366</v>
      </c>
      <c r="K22" s="160">
        <v>61925</v>
      </c>
      <c r="L22" s="103" t="s">
        <v>691</v>
      </c>
      <c r="M22" s="103">
        <v>5057</v>
      </c>
      <c r="N22" s="103" t="s">
        <v>691</v>
      </c>
      <c r="O22" s="103">
        <v>293556</v>
      </c>
      <c r="P22" s="103" t="s">
        <v>691</v>
      </c>
      <c r="Q22" s="103">
        <v>146293</v>
      </c>
      <c r="R22" s="103">
        <v>124993</v>
      </c>
      <c r="S22" s="103">
        <f t="shared" si="2"/>
        <v>631824</v>
      </c>
    </row>
    <row r="23" spans="1:71">
      <c r="C23" t="s">
        <v>22</v>
      </c>
      <c r="K23" s="161" t="s">
        <v>691</v>
      </c>
      <c r="L23" s="103" t="s">
        <v>691</v>
      </c>
      <c r="M23" s="103" t="s">
        <v>691</v>
      </c>
      <c r="N23" s="103" t="s">
        <v>691</v>
      </c>
      <c r="O23" s="103" t="s">
        <v>691</v>
      </c>
      <c r="P23" s="103" t="s">
        <v>691</v>
      </c>
      <c r="Q23" s="103">
        <v>76008</v>
      </c>
      <c r="R23" s="103">
        <v>47303</v>
      </c>
      <c r="S23" s="103">
        <f t="shared" si="2"/>
        <v>123311</v>
      </c>
    </row>
    <row r="24" spans="1:71">
      <c r="C24" t="s">
        <v>157</v>
      </c>
      <c r="K24" s="162">
        <v>24683</v>
      </c>
      <c r="L24" s="103">
        <v>11625</v>
      </c>
      <c r="M24" s="103">
        <v>5529</v>
      </c>
      <c r="N24" s="103">
        <v>51703</v>
      </c>
      <c r="O24" s="103" t="s">
        <v>691</v>
      </c>
      <c r="P24" s="103">
        <v>70680</v>
      </c>
      <c r="Q24" s="103" t="s">
        <v>691</v>
      </c>
      <c r="R24" s="103">
        <v>47160</v>
      </c>
      <c r="S24" s="103">
        <f t="shared" si="2"/>
        <v>211380</v>
      </c>
    </row>
    <row r="25" spans="1:71">
      <c r="C25" t="s">
        <v>25</v>
      </c>
      <c r="K25" s="163">
        <v>103827</v>
      </c>
      <c r="L25" s="103">
        <v>3499</v>
      </c>
      <c r="M25" s="103">
        <v>852</v>
      </c>
      <c r="N25" s="103">
        <v>67787</v>
      </c>
      <c r="O25" s="103">
        <v>49059</v>
      </c>
      <c r="P25" s="103">
        <v>37299</v>
      </c>
      <c r="Q25" s="103">
        <v>862638</v>
      </c>
      <c r="R25" s="103">
        <v>12467</v>
      </c>
      <c r="S25" s="103">
        <f t="shared" si="2"/>
        <v>1137428</v>
      </c>
    </row>
    <row r="26" spans="1:71">
      <c r="C26" t="s">
        <v>87</v>
      </c>
      <c r="K26" s="162">
        <v>204262</v>
      </c>
      <c r="L26" s="103" t="s">
        <v>691</v>
      </c>
      <c r="M26" s="103" t="s">
        <v>691</v>
      </c>
      <c r="N26" s="103" t="s">
        <v>691</v>
      </c>
      <c r="O26" s="103" t="s">
        <v>691</v>
      </c>
      <c r="P26" s="103" t="s">
        <v>691</v>
      </c>
      <c r="Q26" s="103" t="s">
        <v>691</v>
      </c>
      <c r="R26" s="103" t="s">
        <v>691</v>
      </c>
      <c r="S26" s="103">
        <f t="shared" si="2"/>
        <v>204262</v>
      </c>
    </row>
    <row r="27" spans="1:71">
      <c r="K27" s="159"/>
      <c r="L27" s="159"/>
      <c r="M27" s="159"/>
      <c r="N27" s="159"/>
      <c r="O27" s="159"/>
      <c r="P27" s="159"/>
      <c r="Q27" s="159"/>
      <c r="R27" s="159"/>
      <c r="S27" s="159"/>
    </row>
    <row r="28" spans="1:71">
      <c r="A28" s="5"/>
      <c r="B28" s="6"/>
      <c r="C28" s="6"/>
      <c r="D28" s="6"/>
      <c r="E28" s="6" t="s">
        <v>26</v>
      </c>
      <c r="F28" s="6"/>
      <c r="G28" s="6"/>
      <c r="H28" s="6"/>
      <c r="I28" s="6"/>
      <c r="J28" s="6"/>
      <c r="K28" s="164">
        <f t="shared" ref="K28:S28" si="3">SUM(K21:K26)</f>
        <v>2076298</v>
      </c>
      <c r="L28" s="165">
        <f t="shared" si="3"/>
        <v>30704</v>
      </c>
      <c r="M28" s="165">
        <f t="shared" si="3"/>
        <v>35302</v>
      </c>
      <c r="N28" s="165">
        <f t="shared" si="3"/>
        <v>897255</v>
      </c>
      <c r="O28" s="165">
        <f t="shared" si="3"/>
        <v>355003</v>
      </c>
      <c r="P28" s="165">
        <f t="shared" si="3"/>
        <v>159102</v>
      </c>
      <c r="Q28" s="165">
        <f t="shared" si="3"/>
        <v>1232931</v>
      </c>
      <c r="R28" s="165">
        <f t="shared" si="3"/>
        <v>378802</v>
      </c>
      <c r="S28" s="165">
        <f t="shared" si="3"/>
        <v>5165397</v>
      </c>
      <c r="T28" s="167">
        <f>SUM(T18:T25)</f>
        <v>0</v>
      </c>
      <c r="U28" s="167">
        <f>SUM(U18:U25)</f>
        <v>0</v>
      </c>
      <c r="V28" s="167">
        <f>SUM(V18:V26)</f>
        <v>0</v>
      </c>
    </row>
    <row r="29" spans="1:71">
      <c r="K29" s="155"/>
      <c r="L29" s="103"/>
      <c r="M29" s="103"/>
      <c r="N29" s="103"/>
      <c r="O29" s="103"/>
      <c r="P29" s="103"/>
      <c r="Q29" s="103"/>
      <c r="R29" s="103"/>
      <c r="S29" s="103"/>
    </row>
    <row r="30" spans="1:71">
      <c r="A30" s="86" t="s">
        <v>63</v>
      </c>
      <c r="K30" s="155"/>
      <c r="L30" s="103"/>
      <c r="M30" s="103"/>
      <c r="N30" s="103"/>
      <c r="O30" s="103"/>
      <c r="P30" s="103"/>
      <c r="Q30" s="103"/>
      <c r="R30" s="103"/>
      <c r="S30" s="103"/>
    </row>
    <row r="31" spans="1:71">
      <c r="C31" t="s">
        <v>777</v>
      </c>
      <c r="K31" s="155">
        <v>234110</v>
      </c>
      <c r="L31" s="103" t="s">
        <v>691</v>
      </c>
      <c r="M31" s="103" t="s">
        <v>691</v>
      </c>
      <c r="N31" s="103">
        <v>14942</v>
      </c>
      <c r="O31" s="103"/>
      <c r="P31" s="103">
        <v>75399</v>
      </c>
      <c r="Q31" s="103">
        <v>516246</v>
      </c>
      <c r="R31" s="103">
        <v>245898</v>
      </c>
      <c r="S31" s="103">
        <f>SUM(K31:R31)</f>
        <v>1086595</v>
      </c>
    </row>
    <row r="32" spans="1:71">
      <c r="K32" s="159"/>
      <c r="L32" s="159"/>
      <c r="M32" s="159"/>
      <c r="N32" s="159"/>
      <c r="O32" s="159"/>
      <c r="P32" s="159"/>
      <c r="Q32" s="159"/>
      <c r="R32" s="159"/>
      <c r="S32" s="159"/>
    </row>
    <row r="33" spans="1:71">
      <c r="B33" t="s">
        <v>30</v>
      </c>
      <c r="K33" s="155"/>
      <c r="L33" s="103"/>
      <c r="M33" s="103"/>
      <c r="N33" s="103"/>
      <c r="O33" s="103"/>
      <c r="P33" s="103"/>
      <c r="Q33" s="103"/>
      <c r="R33" s="103"/>
      <c r="S33" s="103"/>
    </row>
    <row r="34" spans="1:71">
      <c r="C34" t="s">
        <v>104</v>
      </c>
      <c r="K34" s="155" t="s">
        <v>691</v>
      </c>
      <c r="L34" s="103">
        <v>1345</v>
      </c>
      <c r="M34" s="103" t="s">
        <v>691</v>
      </c>
      <c r="N34" s="103">
        <v>5516</v>
      </c>
      <c r="O34" s="103">
        <v>10776</v>
      </c>
      <c r="P34" s="103">
        <v>7768</v>
      </c>
      <c r="Q34" s="103" t="s">
        <v>691</v>
      </c>
      <c r="R34" s="103">
        <v>502</v>
      </c>
      <c r="S34" s="103">
        <f>SUM(K34:R34)</f>
        <v>25907</v>
      </c>
    </row>
    <row r="35" spans="1:71">
      <c r="C35" t="s">
        <v>88</v>
      </c>
      <c r="K35" s="155" t="s">
        <v>691</v>
      </c>
      <c r="L35" s="103">
        <v>11048126</v>
      </c>
      <c r="M35" s="103">
        <v>12289726</v>
      </c>
      <c r="N35" s="103">
        <v>16106081</v>
      </c>
      <c r="O35" s="103">
        <v>11319155</v>
      </c>
      <c r="P35" s="103">
        <v>1390250</v>
      </c>
      <c r="Q35" s="103" t="s">
        <v>691</v>
      </c>
      <c r="R35" s="103">
        <v>10762627</v>
      </c>
      <c r="S35" s="103">
        <f>SUM(K35:R35)</f>
        <v>62915965</v>
      </c>
    </row>
    <row r="36" spans="1:71">
      <c r="C36" t="s">
        <v>89</v>
      </c>
      <c r="K36" s="137">
        <v>28196</v>
      </c>
      <c r="L36" s="103" t="s">
        <v>691</v>
      </c>
      <c r="M36" s="103" t="s">
        <v>691</v>
      </c>
      <c r="N36" s="103" t="s">
        <v>691</v>
      </c>
      <c r="O36" s="103" t="s">
        <v>691</v>
      </c>
      <c r="P36" s="103" t="s">
        <v>691</v>
      </c>
      <c r="Q36" s="103" t="s">
        <v>691</v>
      </c>
      <c r="R36" s="103" t="s">
        <v>691</v>
      </c>
      <c r="S36" s="103">
        <f>SUM(K36:R36)</f>
        <v>28196</v>
      </c>
    </row>
    <row r="37" spans="1:71">
      <c r="C37" t="s">
        <v>46</v>
      </c>
      <c r="K37" s="166">
        <v>1943392</v>
      </c>
      <c r="L37" s="103" t="s">
        <v>691</v>
      </c>
      <c r="M37" s="103" t="s">
        <v>691</v>
      </c>
      <c r="N37" s="103" t="s">
        <v>691</v>
      </c>
      <c r="O37" s="103" t="s">
        <v>691</v>
      </c>
      <c r="P37" s="103" t="s">
        <v>691</v>
      </c>
      <c r="Q37" s="103">
        <v>-234495</v>
      </c>
      <c r="R37" s="103" t="s">
        <v>691</v>
      </c>
      <c r="S37" s="103">
        <f>SUM(K37:R37)</f>
        <v>1708897</v>
      </c>
    </row>
    <row r="38" spans="1:71">
      <c r="K38" s="159"/>
      <c r="L38" s="159"/>
      <c r="M38" s="159"/>
      <c r="N38" s="159"/>
      <c r="O38" s="159"/>
      <c r="P38" s="159"/>
      <c r="Q38" s="159"/>
      <c r="R38" s="159"/>
      <c r="S38" s="159"/>
    </row>
    <row r="39" spans="1:71">
      <c r="A39" s="5"/>
      <c r="B39" s="5"/>
      <c r="C39" s="5"/>
      <c r="D39" s="6"/>
      <c r="E39" s="6" t="s">
        <v>47</v>
      </c>
      <c r="F39" s="6"/>
      <c r="G39" s="6"/>
      <c r="H39" s="6"/>
      <c r="I39" s="6"/>
      <c r="J39" s="6"/>
      <c r="K39" s="165">
        <f>SUM(K34:K37)</f>
        <v>1971588</v>
      </c>
      <c r="L39" s="165">
        <f>SUM(L34:L38)</f>
        <v>11049471</v>
      </c>
      <c r="M39" s="165">
        <f t="shared" ref="M39:S39" si="4">SUM(M34:M37)</f>
        <v>12289726</v>
      </c>
      <c r="N39" s="165">
        <f t="shared" si="4"/>
        <v>16111597</v>
      </c>
      <c r="O39" s="165">
        <f t="shared" si="4"/>
        <v>11329931</v>
      </c>
      <c r="P39" s="165">
        <f t="shared" si="4"/>
        <v>1398018</v>
      </c>
      <c r="Q39" s="165">
        <f t="shared" si="4"/>
        <v>-234495</v>
      </c>
      <c r="R39" s="165">
        <f t="shared" si="4"/>
        <v>10763129</v>
      </c>
      <c r="S39" s="165">
        <f t="shared" si="4"/>
        <v>64678965</v>
      </c>
      <c r="T39" s="167">
        <f t="shared" ref="T39:U39" si="5">SUM(T20:T37)</f>
        <v>0</v>
      </c>
      <c r="U39" s="167">
        <f t="shared" si="5"/>
        <v>0</v>
      </c>
      <c r="V39" s="167">
        <f>SUM(V20:V37)</f>
        <v>0</v>
      </c>
    </row>
    <row r="40" spans="1:71">
      <c r="K40" s="103"/>
      <c r="L40" s="103"/>
      <c r="M40" s="103"/>
      <c r="N40" s="103"/>
      <c r="O40" s="103"/>
      <c r="P40" s="103"/>
      <c r="Q40" s="103"/>
      <c r="R40" s="103"/>
      <c r="S40" s="103"/>
    </row>
    <row r="41" spans="1:71" s="7" customFormat="1">
      <c r="E41" s="7" t="s">
        <v>125</v>
      </c>
      <c r="K41" s="169">
        <f>SUM(K39+K31+K28)</f>
        <v>4281996</v>
      </c>
      <c r="L41" s="169">
        <f>SUM(L39+L28)</f>
        <v>11080175</v>
      </c>
      <c r="M41" s="169">
        <f>SUM(M39+M28)</f>
        <v>12325028</v>
      </c>
      <c r="N41" s="169">
        <f>SUM(N39+N28+N31)</f>
        <v>17023794</v>
      </c>
      <c r="O41" s="169">
        <f>SUM(O39+O31+O28)</f>
        <v>11684934</v>
      </c>
      <c r="P41" s="169">
        <f>SUM(P39+P28+P31)</f>
        <v>1632519</v>
      </c>
      <c r="Q41" s="169">
        <f>SUM(Q39+Q28+Q31)</f>
        <v>1514682</v>
      </c>
      <c r="R41" s="169">
        <f>SUM(R39+R28+R31)</f>
        <v>11387829</v>
      </c>
      <c r="S41" s="169">
        <f>SUM(S39+S31+S28)</f>
        <v>70930957</v>
      </c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2"/>
      <c r="BM41" s="102"/>
      <c r="BN41" s="102"/>
      <c r="BO41" s="102"/>
      <c r="BP41" s="102"/>
      <c r="BQ41" s="102"/>
      <c r="BR41" s="102"/>
      <c r="BS41" s="102"/>
    </row>
  </sheetData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V40"/>
  <sheetViews>
    <sheetView topLeftCell="A4" workbookViewId="0">
      <selection activeCell="I5" sqref="I5"/>
    </sheetView>
  </sheetViews>
  <sheetFormatPr defaultColWidth="8.85546875" defaultRowHeight="15"/>
  <cols>
    <col min="11" max="11" width="14.7109375" customWidth="1"/>
    <col min="12" max="12" width="17.85546875" customWidth="1"/>
    <col min="13" max="13" width="13.42578125" customWidth="1"/>
    <col min="14" max="14" width="18.28515625" customWidth="1"/>
    <col min="15" max="15" width="20.7109375" customWidth="1"/>
    <col min="16" max="16" width="13.85546875" customWidth="1"/>
    <col min="17" max="17" width="11.42578125" customWidth="1"/>
    <col min="18" max="18" width="13.85546875" customWidth="1"/>
    <col min="19" max="19" width="15" customWidth="1"/>
    <col min="20" max="20" width="13.7109375" customWidth="1"/>
    <col min="21" max="21" width="12.42578125" customWidth="1"/>
    <col min="22" max="22" width="14.28515625" bestFit="1" customWidth="1"/>
  </cols>
  <sheetData>
    <row r="1" spans="1:22">
      <c r="D1" t="s">
        <v>778</v>
      </c>
    </row>
    <row r="2" spans="1:22">
      <c r="D2" t="s">
        <v>686</v>
      </c>
    </row>
    <row r="5" spans="1:22" ht="45">
      <c r="K5" s="114" t="s">
        <v>2</v>
      </c>
      <c r="L5" s="114" t="s">
        <v>779</v>
      </c>
      <c r="M5" s="114" t="s">
        <v>780</v>
      </c>
      <c r="N5" s="114" t="s">
        <v>701</v>
      </c>
      <c r="O5" s="114" t="s">
        <v>781</v>
      </c>
      <c r="P5" s="114" t="s">
        <v>782</v>
      </c>
      <c r="Q5" s="115" t="s">
        <v>324</v>
      </c>
      <c r="R5" s="114" t="s">
        <v>783</v>
      </c>
      <c r="S5" s="114" t="s">
        <v>784</v>
      </c>
      <c r="T5" s="114" t="s">
        <v>6</v>
      </c>
      <c r="U5" s="116">
        <v>2014</v>
      </c>
      <c r="V5" s="114">
        <v>2013</v>
      </c>
    </row>
    <row r="6" spans="1:22">
      <c r="A6" s="86" t="s">
        <v>8</v>
      </c>
    </row>
    <row r="7" spans="1:22">
      <c r="B7" t="s">
        <v>85</v>
      </c>
      <c r="K7" s="154">
        <v>4211242</v>
      </c>
      <c r="L7" s="103">
        <v>587625</v>
      </c>
      <c r="M7" s="103">
        <v>1650080</v>
      </c>
      <c r="N7" s="103">
        <v>1412702</v>
      </c>
      <c r="O7" s="103">
        <v>709944</v>
      </c>
      <c r="P7" s="103">
        <v>1568172</v>
      </c>
      <c r="Q7" s="103">
        <v>43547</v>
      </c>
      <c r="R7" s="103">
        <v>1229447</v>
      </c>
      <c r="S7" s="103">
        <v>13395</v>
      </c>
      <c r="T7" s="103">
        <v>5946626</v>
      </c>
      <c r="U7" s="103">
        <f>SUM(K7:T7)</f>
        <v>17372780</v>
      </c>
      <c r="V7" s="103">
        <v>23897070</v>
      </c>
    </row>
    <row r="8" spans="1:22">
      <c r="B8" t="s">
        <v>785</v>
      </c>
      <c r="K8" s="155" t="s">
        <v>691</v>
      </c>
      <c r="L8" s="103" t="s">
        <v>691</v>
      </c>
      <c r="M8" s="103">
        <v>698017</v>
      </c>
      <c r="N8" s="103" t="s">
        <v>691</v>
      </c>
      <c r="O8" s="103">
        <v>548134</v>
      </c>
      <c r="P8" s="103" t="s">
        <v>691</v>
      </c>
      <c r="Q8" s="103" t="s">
        <v>691</v>
      </c>
      <c r="R8" s="103" t="s">
        <v>691</v>
      </c>
      <c r="S8" s="103" t="s">
        <v>691</v>
      </c>
      <c r="T8" s="103" t="s">
        <v>691</v>
      </c>
      <c r="U8" s="103">
        <f>SUM(K8:T8)</f>
        <v>1246151</v>
      </c>
      <c r="V8" s="103">
        <v>1246021</v>
      </c>
    </row>
    <row r="9" spans="1:22">
      <c r="B9" t="s">
        <v>58</v>
      </c>
      <c r="K9" s="156">
        <v>563762</v>
      </c>
      <c r="L9" s="103">
        <v>783049</v>
      </c>
      <c r="M9" s="103" t="s">
        <v>691</v>
      </c>
      <c r="N9" s="103">
        <v>456897</v>
      </c>
      <c r="O9" s="103">
        <v>1497573</v>
      </c>
      <c r="P9" s="103" t="s">
        <v>691</v>
      </c>
      <c r="Q9" s="103">
        <v>29816</v>
      </c>
      <c r="R9" s="103">
        <v>1116860</v>
      </c>
      <c r="S9" s="103">
        <v>10948</v>
      </c>
      <c r="T9" s="103">
        <v>2489661</v>
      </c>
      <c r="U9" s="103">
        <f>SUM(K9:T9)</f>
        <v>6948566</v>
      </c>
      <c r="V9" s="103">
        <v>6132255</v>
      </c>
    </row>
    <row r="10" spans="1:22">
      <c r="B10" t="s">
        <v>215</v>
      </c>
      <c r="K10" s="156">
        <v>779969</v>
      </c>
      <c r="L10" s="103" t="s">
        <v>691</v>
      </c>
      <c r="M10" s="103" t="s">
        <v>691</v>
      </c>
      <c r="N10" s="103" t="s">
        <v>691</v>
      </c>
      <c r="O10" s="103" t="s">
        <v>691</v>
      </c>
      <c r="P10" s="103" t="s">
        <v>691</v>
      </c>
      <c r="Q10" s="103" t="s">
        <v>691</v>
      </c>
      <c r="R10" s="103" t="s">
        <v>691</v>
      </c>
      <c r="S10" s="103" t="s">
        <v>691</v>
      </c>
      <c r="T10" s="103">
        <v>136500</v>
      </c>
      <c r="U10" s="103">
        <f>SUM(K10:T10)</f>
        <v>916469</v>
      </c>
      <c r="V10" s="103">
        <v>50148</v>
      </c>
    </row>
    <row r="11" spans="1:22">
      <c r="B11" t="s">
        <v>45</v>
      </c>
      <c r="K11" s="155" t="s">
        <v>691</v>
      </c>
      <c r="L11" s="103" t="s">
        <v>691</v>
      </c>
      <c r="M11" s="103" t="s">
        <v>691</v>
      </c>
      <c r="N11" s="103" t="s">
        <v>691</v>
      </c>
      <c r="O11" s="103" t="s">
        <v>691</v>
      </c>
      <c r="P11" s="103" t="s">
        <v>691</v>
      </c>
      <c r="Q11" s="103" t="s">
        <v>691</v>
      </c>
      <c r="R11" s="103" t="s">
        <v>691</v>
      </c>
      <c r="S11" s="103">
        <v>39589</v>
      </c>
      <c r="T11" s="103" t="s">
        <v>691</v>
      </c>
      <c r="U11" s="103">
        <f>SUM(K11:T11)</f>
        <v>39589</v>
      </c>
      <c r="V11" s="103">
        <v>21627</v>
      </c>
    </row>
    <row r="12" spans="1:22"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</row>
    <row r="13" spans="1:22" s="180" customFormat="1">
      <c r="E13" s="180" t="s">
        <v>62</v>
      </c>
      <c r="K13" s="181">
        <f t="shared" ref="K13:V13" si="0">SUM(K7:K11)</f>
        <v>5554973</v>
      </c>
      <c r="L13" s="180">
        <f t="shared" si="0"/>
        <v>1370674</v>
      </c>
      <c r="M13" s="180">
        <f t="shared" si="0"/>
        <v>2348097</v>
      </c>
      <c r="N13" s="180">
        <f t="shared" si="0"/>
        <v>1869599</v>
      </c>
      <c r="O13" s="180">
        <f t="shared" si="0"/>
        <v>2755651</v>
      </c>
      <c r="P13" s="180">
        <f t="shared" si="0"/>
        <v>1568172</v>
      </c>
      <c r="Q13" s="180">
        <f t="shared" si="0"/>
        <v>73363</v>
      </c>
      <c r="R13" s="180">
        <f t="shared" si="0"/>
        <v>2346307</v>
      </c>
      <c r="S13" s="180">
        <f t="shared" si="0"/>
        <v>63932</v>
      </c>
      <c r="T13" s="180">
        <f t="shared" si="0"/>
        <v>8572787</v>
      </c>
      <c r="U13" s="180">
        <f t="shared" si="0"/>
        <v>26523555</v>
      </c>
      <c r="V13" s="180">
        <f t="shared" si="0"/>
        <v>31347121</v>
      </c>
    </row>
    <row r="14" spans="1:22">
      <c r="K14" s="155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</row>
    <row r="15" spans="1:22">
      <c r="A15" s="86" t="s">
        <v>19</v>
      </c>
      <c r="K15" s="155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</row>
    <row r="16" spans="1:22">
      <c r="A16" s="86" t="s">
        <v>588</v>
      </c>
      <c r="K16" s="155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</row>
    <row r="17" spans="1:22">
      <c r="C17" t="s">
        <v>102</v>
      </c>
      <c r="K17" s="160">
        <v>265826</v>
      </c>
      <c r="L17" s="103">
        <v>110878</v>
      </c>
      <c r="M17" s="103">
        <v>210075</v>
      </c>
      <c r="N17" s="103">
        <v>45698</v>
      </c>
      <c r="O17" s="103">
        <v>10556</v>
      </c>
      <c r="P17" s="103">
        <v>58943</v>
      </c>
      <c r="Q17" s="103">
        <v>5086</v>
      </c>
      <c r="R17" s="103">
        <v>55952</v>
      </c>
      <c r="S17" s="103">
        <v>27489</v>
      </c>
      <c r="T17" s="103">
        <v>147387</v>
      </c>
      <c r="U17" s="103">
        <f>SUM(K17:T17)</f>
        <v>937890</v>
      </c>
      <c r="V17" s="103">
        <v>831526</v>
      </c>
    </row>
    <row r="18" spans="1:22">
      <c r="C18" t="s">
        <v>216</v>
      </c>
      <c r="K18" s="160">
        <v>111738</v>
      </c>
      <c r="L18" s="103" t="s">
        <v>691</v>
      </c>
      <c r="M18" s="103" t="s">
        <v>691</v>
      </c>
      <c r="N18" s="103" t="s">
        <v>691</v>
      </c>
      <c r="O18" s="103">
        <v>18019</v>
      </c>
      <c r="P18" s="103" t="s">
        <v>691</v>
      </c>
      <c r="Q18" s="103">
        <v>46829</v>
      </c>
      <c r="R18" s="103" t="s">
        <v>691</v>
      </c>
      <c r="S18" s="103" t="s">
        <v>691</v>
      </c>
      <c r="T18" s="103">
        <v>739883</v>
      </c>
      <c r="U18" s="158">
        <f>SUM(K18:T18)</f>
        <v>916469</v>
      </c>
      <c r="V18" s="103">
        <v>50148</v>
      </c>
    </row>
    <row r="19" spans="1:22">
      <c r="C19" t="s">
        <v>130</v>
      </c>
      <c r="K19" s="155" t="s">
        <v>691</v>
      </c>
      <c r="L19" s="103" t="s">
        <v>691</v>
      </c>
      <c r="M19" s="103" t="s">
        <v>691</v>
      </c>
      <c r="N19" s="103" t="s">
        <v>691</v>
      </c>
      <c r="O19" s="103" t="s">
        <v>691</v>
      </c>
      <c r="P19" s="103" t="s">
        <v>691</v>
      </c>
      <c r="Q19" s="103" t="s">
        <v>691</v>
      </c>
      <c r="R19" s="103" t="s">
        <v>691</v>
      </c>
      <c r="S19" s="103">
        <v>36443</v>
      </c>
      <c r="T19" s="103">
        <v>8436</v>
      </c>
      <c r="U19" s="103">
        <f>SUM(K19:T19)</f>
        <v>44879</v>
      </c>
      <c r="V19" s="103">
        <v>110008</v>
      </c>
    </row>
    <row r="20" spans="1:22"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</row>
    <row r="21" spans="1:22" s="86" customFormat="1">
      <c r="A21" s="5"/>
      <c r="B21" s="5"/>
      <c r="C21" s="5"/>
      <c r="D21" s="5"/>
      <c r="E21" s="5" t="s">
        <v>26</v>
      </c>
      <c r="F21" s="5"/>
      <c r="G21" s="5"/>
      <c r="H21" s="5"/>
      <c r="I21" s="5"/>
      <c r="J21" s="5"/>
      <c r="K21" s="164">
        <f>SUM(K17:K20)</f>
        <v>377564</v>
      </c>
      <c r="L21" s="165">
        <f>SUM(L17:L19)</f>
        <v>110878</v>
      </c>
      <c r="M21" s="165">
        <f>SUM(M17:M19)</f>
        <v>210075</v>
      </c>
      <c r="N21" s="165">
        <f>SUM(N17:N19)</f>
        <v>45698</v>
      </c>
      <c r="O21" s="165">
        <f t="shared" ref="O21:V21" si="1">SUM(O17:O20)</f>
        <v>28575</v>
      </c>
      <c r="P21" s="165">
        <f t="shared" si="1"/>
        <v>58943</v>
      </c>
      <c r="Q21" s="165">
        <f t="shared" si="1"/>
        <v>51915</v>
      </c>
      <c r="R21" s="165">
        <f t="shared" si="1"/>
        <v>55952</v>
      </c>
      <c r="S21" s="165">
        <f t="shared" si="1"/>
        <v>63932</v>
      </c>
      <c r="T21" s="165">
        <f t="shared" si="1"/>
        <v>895706</v>
      </c>
      <c r="U21" s="165">
        <f t="shared" si="1"/>
        <v>1899238</v>
      </c>
      <c r="V21" s="165">
        <f t="shared" si="1"/>
        <v>991682</v>
      </c>
    </row>
    <row r="22" spans="1:22">
      <c r="K22" s="155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</row>
    <row r="23" spans="1:22">
      <c r="A23" s="86" t="s">
        <v>30</v>
      </c>
      <c r="K23" s="155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</row>
    <row r="24" spans="1:22">
      <c r="C24" t="s">
        <v>31</v>
      </c>
      <c r="K24" s="155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</row>
    <row r="25" spans="1:22">
      <c r="D25" t="s">
        <v>786</v>
      </c>
      <c r="K25" s="155" t="s">
        <v>691</v>
      </c>
      <c r="L25" s="103" t="s">
        <v>691</v>
      </c>
      <c r="M25" s="103" t="s">
        <v>691</v>
      </c>
      <c r="N25" s="103" t="s">
        <v>691</v>
      </c>
      <c r="O25" s="103" t="s">
        <v>691</v>
      </c>
      <c r="P25" s="103" t="s">
        <v>691</v>
      </c>
      <c r="Q25" s="103" t="s">
        <v>691</v>
      </c>
      <c r="R25" s="103" t="s">
        <v>691</v>
      </c>
      <c r="S25" s="103" t="s">
        <v>691</v>
      </c>
      <c r="T25" s="103">
        <v>547417</v>
      </c>
      <c r="U25" s="103">
        <f>SUM(K25:T25)</f>
        <v>547417</v>
      </c>
      <c r="V25" s="103">
        <v>488571</v>
      </c>
    </row>
    <row r="26" spans="1:22">
      <c r="D26" t="s">
        <v>68</v>
      </c>
      <c r="K26" s="136">
        <v>2066</v>
      </c>
      <c r="L26" s="103" t="s">
        <v>691</v>
      </c>
      <c r="M26" s="103" t="s">
        <v>691</v>
      </c>
      <c r="N26" s="103" t="s">
        <v>691</v>
      </c>
      <c r="O26" s="103" t="s">
        <v>691</v>
      </c>
      <c r="P26" s="103" t="s">
        <v>691</v>
      </c>
      <c r="Q26" s="103">
        <v>21448</v>
      </c>
      <c r="R26" s="103" t="s">
        <v>691</v>
      </c>
      <c r="S26" s="103" t="s">
        <v>691</v>
      </c>
      <c r="T26" s="103" t="s">
        <v>691</v>
      </c>
      <c r="U26" s="103">
        <f>SUM(K26:T26)</f>
        <v>23514</v>
      </c>
      <c r="V26" s="103">
        <v>26614</v>
      </c>
    </row>
    <row r="27" spans="1:22">
      <c r="D27" t="s">
        <v>787</v>
      </c>
      <c r="K27" s="155" t="s">
        <v>691</v>
      </c>
      <c r="L27" s="103" t="s">
        <v>691</v>
      </c>
      <c r="M27" s="103" t="s">
        <v>691</v>
      </c>
      <c r="N27" s="103" t="s">
        <v>691</v>
      </c>
      <c r="O27" s="103" t="s">
        <v>691</v>
      </c>
      <c r="P27" s="103" t="s">
        <v>691</v>
      </c>
      <c r="Q27" s="103" t="s">
        <v>691</v>
      </c>
      <c r="R27" s="103" t="s">
        <v>691</v>
      </c>
      <c r="S27" s="103"/>
      <c r="T27" s="103">
        <v>113630</v>
      </c>
      <c r="U27" s="103">
        <f>SUM(K27:T27)</f>
        <v>113630</v>
      </c>
      <c r="V27" s="103" t="s">
        <v>691</v>
      </c>
    </row>
    <row r="28" spans="1:22">
      <c r="D28" t="s">
        <v>69</v>
      </c>
      <c r="K28" s="155" t="s">
        <v>691</v>
      </c>
      <c r="L28" s="103" t="s">
        <v>691</v>
      </c>
      <c r="M28" s="103" t="s">
        <v>691</v>
      </c>
      <c r="N28" s="103" t="s">
        <v>691</v>
      </c>
      <c r="O28" s="103">
        <v>2727076</v>
      </c>
      <c r="P28" s="103" t="s">
        <v>691</v>
      </c>
      <c r="Q28" s="103" t="s">
        <v>691</v>
      </c>
      <c r="R28" s="103" t="s">
        <v>691</v>
      </c>
      <c r="S28" s="103" t="s">
        <v>691</v>
      </c>
      <c r="T28" s="103">
        <v>3174542</v>
      </c>
      <c r="U28" s="103">
        <f>SUM(K28:T28)</f>
        <v>5901618</v>
      </c>
      <c r="V28" s="103">
        <v>6089082</v>
      </c>
    </row>
    <row r="29" spans="1:22">
      <c r="D29" t="s">
        <v>70</v>
      </c>
      <c r="K29" s="155" t="s">
        <v>691</v>
      </c>
      <c r="L29" s="155" t="s">
        <v>691</v>
      </c>
      <c r="M29" s="103" t="s">
        <v>691</v>
      </c>
      <c r="N29" s="103" t="s">
        <v>691</v>
      </c>
      <c r="O29" s="103" t="s">
        <v>691</v>
      </c>
      <c r="P29" s="103" t="s">
        <v>691</v>
      </c>
      <c r="Q29" s="103" t="s">
        <v>691</v>
      </c>
      <c r="R29" s="103" t="s">
        <v>691</v>
      </c>
      <c r="S29" s="103"/>
      <c r="T29" s="103">
        <v>2033652</v>
      </c>
      <c r="U29" s="103">
        <f>SUM(L29:T29)</f>
        <v>2033652</v>
      </c>
      <c r="V29" s="103">
        <v>1942288</v>
      </c>
    </row>
    <row r="30" spans="1:22">
      <c r="D30" t="s">
        <v>71</v>
      </c>
      <c r="K30" s="155" t="s">
        <v>691</v>
      </c>
      <c r="L30" s="103">
        <v>1259797</v>
      </c>
      <c r="M30" s="103">
        <v>2138022</v>
      </c>
      <c r="N30" s="103" t="s">
        <v>691</v>
      </c>
      <c r="O30" s="103" t="s">
        <v>691</v>
      </c>
      <c r="P30" s="103">
        <v>1509228</v>
      </c>
      <c r="Q30" s="103" t="s">
        <v>691</v>
      </c>
      <c r="R30" s="103" t="s">
        <v>691</v>
      </c>
      <c r="S30" s="103" t="s">
        <v>691</v>
      </c>
      <c r="T30" s="103">
        <v>166391</v>
      </c>
      <c r="U30" s="103">
        <f t="shared" ref="U30:U35" si="2">SUM(K30:T30)</f>
        <v>5073438</v>
      </c>
      <c r="V30" s="103">
        <v>5159619</v>
      </c>
    </row>
    <row r="31" spans="1:22">
      <c r="D31" t="s">
        <v>106</v>
      </c>
      <c r="K31" s="155" t="s">
        <v>691</v>
      </c>
      <c r="L31" s="103" t="s">
        <v>691</v>
      </c>
      <c r="M31" s="103" t="s">
        <v>691</v>
      </c>
      <c r="N31" s="103">
        <v>1823902</v>
      </c>
      <c r="O31" s="103" t="s">
        <v>691</v>
      </c>
      <c r="P31" s="103" t="s">
        <v>691</v>
      </c>
      <c r="Q31" s="103" t="s">
        <v>691</v>
      </c>
      <c r="R31" s="103" t="s">
        <v>691</v>
      </c>
      <c r="S31" s="103" t="s">
        <v>691</v>
      </c>
      <c r="T31" s="103">
        <v>534651</v>
      </c>
      <c r="U31" s="103">
        <f t="shared" si="2"/>
        <v>2358553</v>
      </c>
      <c r="V31" s="103">
        <v>2271253</v>
      </c>
    </row>
    <row r="32" spans="1:22">
      <c r="D32" t="s">
        <v>107</v>
      </c>
      <c r="K32" s="155" t="s">
        <v>691</v>
      </c>
      <c r="L32" s="103" t="s">
        <v>691</v>
      </c>
      <c r="M32" s="103" t="s">
        <v>691</v>
      </c>
      <c r="N32" s="103" t="s">
        <v>691</v>
      </c>
      <c r="O32" s="103" t="s">
        <v>691</v>
      </c>
      <c r="P32" s="103" t="s">
        <v>691</v>
      </c>
      <c r="Q32" s="103" t="s">
        <v>691</v>
      </c>
      <c r="R32" s="103">
        <v>2290355</v>
      </c>
      <c r="S32" s="103" t="s">
        <v>691</v>
      </c>
      <c r="T32" s="103">
        <v>8527</v>
      </c>
      <c r="U32" s="103">
        <f t="shared" si="2"/>
        <v>2298882</v>
      </c>
      <c r="V32" s="103">
        <v>2275298</v>
      </c>
    </row>
    <row r="33" spans="1:22">
      <c r="D33" t="s">
        <v>73</v>
      </c>
      <c r="K33" s="155" t="s">
        <v>691</v>
      </c>
      <c r="L33" s="103" t="s">
        <v>691</v>
      </c>
      <c r="M33" s="103" t="s">
        <v>691</v>
      </c>
      <c r="N33" s="103" t="s">
        <v>691</v>
      </c>
      <c r="O33" s="103" t="s">
        <v>691</v>
      </c>
      <c r="P33" s="103" t="s">
        <v>691</v>
      </c>
      <c r="Q33" s="103" t="s">
        <v>691</v>
      </c>
      <c r="R33" s="103" t="s">
        <v>691</v>
      </c>
      <c r="S33" s="103" t="s">
        <v>691</v>
      </c>
      <c r="T33" s="103">
        <v>1098271</v>
      </c>
      <c r="U33" s="103">
        <f t="shared" si="2"/>
        <v>1098271</v>
      </c>
      <c r="V33" s="103">
        <v>1123151</v>
      </c>
    </row>
    <row r="34" spans="1:22">
      <c r="D34" t="s">
        <v>567</v>
      </c>
      <c r="K34" s="136">
        <v>2427545</v>
      </c>
      <c r="L34" s="103" t="s">
        <v>691</v>
      </c>
      <c r="M34" s="103" t="s">
        <v>691</v>
      </c>
      <c r="N34" s="103" t="s">
        <v>691</v>
      </c>
      <c r="O34" s="103" t="s">
        <v>691</v>
      </c>
      <c r="P34" s="103" t="s">
        <v>691</v>
      </c>
      <c r="Q34" s="103" t="s">
        <v>691</v>
      </c>
      <c r="R34" s="103" t="s">
        <v>691</v>
      </c>
      <c r="S34" s="103" t="s">
        <v>691</v>
      </c>
      <c r="T34" s="103" t="s">
        <v>691</v>
      </c>
      <c r="U34" s="103">
        <f t="shared" si="2"/>
        <v>2427545</v>
      </c>
      <c r="V34" s="103">
        <v>2213890</v>
      </c>
    </row>
    <row r="35" spans="1:22">
      <c r="C35" t="s">
        <v>46</v>
      </c>
      <c r="K35" s="132">
        <v>2747798</v>
      </c>
      <c r="L35" s="103" t="s">
        <v>691</v>
      </c>
      <c r="M35" s="103" t="s">
        <v>691</v>
      </c>
      <c r="N35" s="103" t="s">
        <v>691</v>
      </c>
      <c r="O35" s="103" t="s">
        <v>691</v>
      </c>
      <c r="P35" s="103" t="s">
        <v>691</v>
      </c>
      <c r="Q35" s="103" t="s">
        <v>691</v>
      </c>
      <c r="R35" s="103" t="s">
        <v>691</v>
      </c>
      <c r="S35" s="103" t="s">
        <v>691</v>
      </c>
      <c r="T35" s="103" t="s">
        <v>691</v>
      </c>
      <c r="U35" s="103">
        <f t="shared" si="2"/>
        <v>2747798</v>
      </c>
      <c r="V35" s="103">
        <v>8765673</v>
      </c>
    </row>
    <row r="36" spans="1:22"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</row>
    <row r="37" spans="1:22" s="86" customFormat="1">
      <c r="A37" s="5"/>
      <c r="B37" s="5"/>
      <c r="C37" s="5"/>
      <c r="D37" s="5"/>
      <c r="E37" s="5" t="s">
        <v>77</v>
      </c>
      <c r="F37" s="5"/>
      <c r="G37" s="5"/>
      <c r="H37" s="5"/>
      <c r="I37" s="5"/>
      <c r="J37" s="5"/>
      <c r="K37" s="165">
        <f t="shared" ref="K37:V37" si="3">SUM(K25:K35)</f>
        <v>5177409</v>
      </c>
      <c r="L37" s="165">
        <f t="shared" si="3"/>
        <v>1259797</v>
      </c>
      <c r="M37" s="165">
        <f t="shared" si="3"/>
        <v>2138022</v>
      </c>
      <c r="N37" s="165">
        <f t="shared" si="3"/>
        <v>1823902</v>
      </c>
      <c r="O37" s="165">
        <f t="shared" si="3"/>
        <v>2727076</v>
      </c>
      <c r="P37" s="165">
        <f t="shared" si="3"/>
        <v>1509228</v>
      </c>
      <c r="Q37" s="165">
        <f t="shared" si="3"/>
        <v>21448</v>
      </c>
      <c r="R37" s="165">
        <f t="shared" si="3"/>
        <v>2290355</v>
      </c>
      <c r="S37" s="165">
        <f t="shared" si="3"/>
        <v>0</v>
      </c>
      <c r="T37" s="165">
        <f t="shared" si="3"/>
        <v>7677081</v>
      </c>
      <c r="U37" s="165">
        <f t="shared" si="3"/>
        <v>24624318</v>
      </c>
      <c r="V37" s="165">
        <f t="shared" si="3"/>
        <v>30355439</v>
      </c>
    </row>
    <row r="38" spans="1:22" s="86" customFormat="1"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</row>
    <row r="39" spans="1:22">
      <c r="A39" s="7"/>
      <c r="B39" s="7"/>
      <c r="C39" s="7"/>
      <c r="D39" s="7"/>
      <c r="E39" s="7" t="s">
        <v>48</v>
      </c>
      <c r="F39" s="7"/>
      <c r="G39" s="7"/>
      <c r="H39" s="7"/>
      <c r="I39" s="7"/>
      <c r="J39" s="7"/>
      <c r="K39" s="169">
        <f t="shared" ref="K39:V39" si="4">SUM(K21+K37)</f>
        <v>5554973</v>
      </c>
      <c r="L39" s="169">
        <f t="shared" si="4"/>
        <v>1370675</v>
      </c>
      <c r="M39" s="169">
        <f t="shared" si="4"/>
        <v>2348097</v>
      </c>
      <c r="N39" s="169">
        <f t="shared" si="4"/>
        <v>1869600</v>
      </c>
      <c r="O39" s="169">
        <f t="shared" si="4"/>
        <v>2755651</v>
      </c>
      <c r="P39" s="169">
        <f t="shared" si="4"/>
        <v>1568171</v>
      </c>
      <c r="Q39" s="169">
        <f t="shared" si="4"/>
        <v>73363</v>
      </c>
      <c r="R39" s="169">
        <f t="shared" si="4"/>
        <v>2346307</v>
      </c>
      <c r="S39" s="169">
        <f t="shared" si="4"/>
        <v>63932</v>
      </c>
      <c r="T39" s="169">
        <f t="shared" si="4"/>
        <v>8572787</v>
      </c>
      <c r="U39" s="169">
        <f t="shared" si="4"/>
        <v>26523556</v>
      </c>
      <c r="V39" s="169">
        <f t="shared" si="4"/>
        <v>31347121</v>
      </c>
    </row>
    <row r="40" spans="1:22"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S37"/>
  <sheetViews>
    <sheetView workbookViewId="0">
      <selection activeCell="G17" sqref="G17"/>
    </sheetView>
  </sheetViews>
  <sheetFormatPr defaultColWidth="8.85546875" defaultRowHeight="15"/>
  <cols>
    <col min="10" max="10" width="12.85546875" customWidth="1"/>
    <col min="11" max="11" width="12.140625" customWidth="1"/>
    <col min="12" max="12" width="13.28515625" customWidth="1"/>
    <col min="13" max="13" width="16.42578125" customWidth="1"/>
    <col min="14" max="14" width="14" customWidth="1"/>
    <col min="15" max="15" width="12.42578125" customWidth="1"/>
    <col min="16" max="16" width="18.42578125" customWidth="1"/>
    <col min="17" max="17" width="15.42578125" customWidth="1"/>
    <col min="18" max="18" width="18.7109375" customWidth="1"/>
    <col min="19" max="19" width="14" customWidth="1"/>
  </cols>
  <sheetData>
    <row r="1" spans="1:19" ht="18.75">
      <c r="D1" s="105" t="s">
        <v>788</v>
      </c>
      <c r="E1" s="105"/>
      <c r="F1" s="105"/>
      <c r="G1" s="105"/>
    </row>
    <row r="2" spans="1:19">
      <c r="D2" t="s">
        <v>789</v>
      </c>
    </row>
    <row r="4" spans="1:19" ht="45">
      <c r="K4" s="149" t="s">
        <v>2</v>
      </c>
      <c r="L4" s="149" t="s">
        <v>790</v>
      </c>
      <c r="M4" s="149" t="s">
        <v>791</v>
      </c>
      <c r="N4" s="149" t="s">
        <v>792</v>
      </c>
      <c r="O4" s="149" t="s">
        <v>793</v>
      </c>
      <c r="P4" s="149" t="s">
        <v>794</v>
      </c>
      <c r="Q4" s="149" t="s">
        <v>452</v>
      </c>
      <c r="R4" s="149" t="s">
        <v>56</v>
      </c>
      <c r="S4" s="149" t="s">
        <v>7</v>
      </c>
    </row>
    <row r="5" spans="1:19">
      <c r="A5" s="86" t="s">
        <v>8</v>
      </c>
    </row>
    <row r="6" spans="1:19">
      <c r="B6" t="s">
        <v>9</v>
      </c>
      <c r="K6" s="147">
        <v>1849410</v>
      </c>
      <c r="L6" s="61" t="s">
        <v>691</v>
      </c>
      <c r="M6" t="s">
        <v>691</v>
      </c>
      <c r="N6" t="s">
        <v>691</v>
      </c>
      <c r="O6">
        <v>861706</v>
      </c>
      <c r="P6" t="s">
        <v>691</v>
      </c>
      <c r="Q6" s="61">
        <v>123138</v>
      </c>
      <c r="R6" s="61">
        <v>497872</v>
      </c>
      <c r="S6" s="61">
        <f t="shared" ref="S6:S12" si="0">SUM(K6:R6)</f>
        <v>3332126</v>
      </c>
    </row>
    <row r="7" spans="1:19">
      <c r="B7" t="s">
        <v>10</v>
      </c>
      <c r="K7" s="106" t="s">
        <v>691</v>
      </c>
      <c r="L7" s="61" t="s">
        <v>691</v>
      </c>
      <c r="M7" s="61">
        <v>78524</v>
      </c>
      <c r="N7" t="s">
        <v>691</v>
      </c>
      <c r="O7" t="s">
        <v>691</v>
      </c>
      <c r="P7" s="61">
        <v>1185500</v>
      </c>
      <c r="Q7" s="61">
        <v>303195</v>
      </c>
      <c r="R7" s="61">
        <v>1004428</v>
      </c>
      <c r="S7" s="61">
        <f t="shared" si="0"/>
        <v>2571647</v>
      </c>
    </row>
    <row r="8" spans="1:19">
      <c r="B8" t="s">
        <v>58</v>
      </c>
      <c r="K8" s="148">
        <v>656806</v>
      </c>
      <c r="L8">
        <v>181920</v>
      </c>
      <c r="M8" s="61">
        <v>2449037</v>
      </c>
      <c r="N8" s="61">
        <v>260295</v>
      </c>
      <c r="O8" s="61" t="s">
        <v>691</v>
      </c>
      <c r="P8" s="61">
        <v>243366</v>
      </c>
      <c r="Q8" s="61">
        <v>696002</v>
      </c>
      <c r="R8" s="61">
        <v>718848</v>
      </c>
      <c r="S8" s="61">
        <f t="shared" si="0"/>
        <v>5206274</v>
      </c>
    </row>
    <row r="9" spans="1:19">
      <c r="B9" t="s">
        <v>795</v>
      </c>
      <c r="K9" s="108" t="s">
        <v>691</v>
      </c>
      <c r="L9" t="s">
        <v>691</v>
      </c>
      <c r="M9" t="s">
        <v>691</v>
      </c>
      <c r="N9" t="s">
        <v>691</v>
      </c>
      <c r="O9" t="s">
        <v>691</v>
      </c>
      <c r="P9" t="s">
        <v>691</v>
      </c>
      <c r="Q9" t="s">
        <v>691</v>
      </c>
      <c r="R9" s="61">
        <v>47409</v>
      </c>
      <c r="S9" s="61">
        <f t="shared" si="0"/>
        <v>47409</v>
      </c>
    </row>
    <row r="10" spans="1:19">
      <c r="B10" t="s">
        <v>796</v>
      </c>
      <c r="K10" s="106" t="s">
        <v>691</v>
      </c>
      <c r="L10" t="s">
        <v>691</v>
      </c>
      <c r="M10" t="s">
        <v>691</v>
      </c>
      <c r="N10" s="61">
        <v>804454</v>
      </c>
      <c r="O10" t="s">
        <v>691</v>
      </c>
      <c r="P10" t="s">
        <v>691</v>
      </c>
      <c r="Q10" t="s">
        <v>691</v>
      </c>
      <c r="R10" t="s">
        <v>691</v>
      </c>
      <c r="S10" s="61">
        <f t="shared" si="0"/>
        <v>804454</v>
      </c>
    </row>
    <row r="11" spans="1:19">
      <c r="B11" t="s">
        <v>16</v>
      </c>
      <c r="K11" s="106" t="s">
        <v>691</v>
      </c>
      <c r="L11" s="61" t="s">
        <v>691</v>
      </c>
      <c r="M11">
        <v>354662</v>
      </c>
      <c r="N11" s="61">
        <v>155192</v>
      </c>
      <c r="O11" t="s">
        <v>691</v>
      </c>
      <c r="P11" t="s">
        <v>691</v>
      </c>
      <c r="Q11" s="61">
        <v>614510</v>
      </c>
      <c r="R11" s="61">
        <v>1285470</v>
      </c>
      <c r="S11" s="61">
        <f t="shared" si="0"/>
        <v>2409834</v>
      </c>
    </row>
    <row r="12" spans="1:19">
      <c r="B12" t="s">
        <v>99</v>
      </c>
      <c r="K12" s="109">
        <v>27288</v>
      </c>
      <c r="L12" s="112" t="s">
        <v>691</v>
      </c>
      <c r="M12" s="112" t="s">
        <v>691</v>
      </c>
      <c r="N12" s="112" t="s">
        <v>691</v>
      </c>
      <c r="O12" s="112">
        <v>17271</v>
      </c>
      <c r="P12" s="112" t="s">
        <v>691</v>
      </c>
      <c r="Q12" s="112" t="s">
        <v>691</v>
      </c>
      <c r="R12" s="112">
        <v>130478</v>
      </c>
      <c r="S12" s="111">
        <f t="shared" si="0"/>
        <v>175037</v>
      </c>
    </row>
    <row r="13" spans="1:19">
      <c r="K13" s="106"/>
    </row>
    <row r="14" spans="1:19" s="119" customFormat="1">
      <c r="E14" s="119" t="s">
        <v>18</v>
      </c>
      <c r="K14" s="120">
        <f>SUM(K6:K13)</f>
        <v>2533504</v>
      </c>
      <c r="L14" s="121">
        <f>SUM(L6:L12)</f>
        <v>181920</v>
      </c>
      <c r="M14" s="121">
        <f>SUM(M6:M12)</f>
        <v>2882223</v>
      </c>
      <c r="N14" s="121">
        <f>SUM(N6:N13)</f>
        <v>1219941</v>
      </c>
      <c r="O14" s="121">
        <f>SUM(O6:O12)</f>
        <v>878977</v>
      </c>
      <c r="P14" s="121">
        <f>SUM(P6:P12)</f>
        <v>1428866</v>
      </c>
      <c r="Q14" s="121">
        <f>SUM(Q6:Q12)</f>
        <v>1736845</v>
      </c>
      <c r="R14" s="121">
        <f>SUM(R6:R12)</f>
        <v>3684505</v>
      </c>
      <c r="S14" s="121">
        <f>SUM(S6:S12)</f>
        <v>14546781</v>
      </c>
    </row>
    <row r="15" spans="1:19">
      <c r="K15" s="106"/>
    </row>
    <row r="16" spans="1:19">
      <c r="A16" s="86" t="s">
        <v>504</v>
      </c>
      <c r="K16" s="106"/>
    </row>
    <row r="17" spans="1:19">
      <c r="C17" t="s">
        <v>21</v>
      </c>
      <c r="K17" s="144">
        <v>296865</v>
      </c>
      <c r="L17">
        <v>74380</v>
      </c>
      <c r="M17" s="61">
        <v>68292</v>
      </c>
      <c r="N17" s="61">
        <v>143000</v>
      </c>
      <c r="O17" s="61">
        <v>17774</v>
      </c>
      <c r="P17" t="s">
        <v>691</v>
      </c>
      <c r="Q17" s="61">
        <v>11603</v>
      </c>
      <c r="R17" s="61">
        <v>197129</v>
      </c>
      <c r="S17" s="61">
        <f t="shared" ref="S17:S22" si="1">SUM(K17:R17)</f>
        <v>809043</v>
      </c>
    </row>
    <row r="18" spans="1:19">
      <c r="C18" t="s">
        <v>797</v>
      </c>
      <c r="K18" s="106" t="s">
        <v>691</v>
      </c>
      <c r="L18" t="s">
        <v>691</v>
      </c>
      <c r="M18" t="s">
        <v>691</v>
      </c>
      <c r="N18" t="s">
        <v>691</v>
      </c>
      <c r="O18">
        <v>861203</v>
      </c>
      <c r="P18" t="s">
        <v>691</v>
      </c>
      <c r="Q18" t="s">
        <v>691</v>
      </c>
      <c r="R18" s="61" t="s">
        <v>691</v>
      </c>
      <c r="S18" s="61">
        <f t="shared" si="1"/>
        <v>861203</v>
      </c>
    </row>
    <row r="19" spans="1:19">
      <c r="C19" t="s">
        <v>25</v>
      </c>
      <c r="K19" s="145">
        <v>1720700</v>
      </c>
      <c r="L19">
        <v>102815</v>
      </c>
      <c r="M19" s="61" t="s">
        <v>691</v>
      </c>
      <c r="N19" t="s">
        <v>691</v>
      </c>
      <c r="O19" s="61" t="s">
        <v>691</v>
      </c>
      <c r="P19" s="61">
        <v>123211</v>
      </c>
      <c r="Q19" t="s">
        <v>691</v>
      </c>
      <c r="R19" s="61">
        <v>463108</v>
      </c>
      <c r="S19" s="61">
        <f t="shared" si="1"/>
        <v>2409834</v>
      </c>
    </row>
    <row r="20" spans="1:19">
      <c r="C20" t="s">
        <v>798</v>
      </c>
      <c r="K20" s="146">
        <v>10118</v>
      </c>
      <c r="L20" t="s">
        <v>691</v>
      </c>
      <c r="M20" s="61">
        <v>43956</v>
      </c>
      <c r="N20" t="s">
        <v>691</v>
      </c>
      <c r="O20" t="s">
        <v>691</v>
      </c>
      <c r="P20" t="s">
        <v>691</v>
      </c>
      <c r="Q20" s="61">
        <v>27345</v>
      </c>
      <c r="R20" s="61">
        <v>2485</v>
      </c>
      <c r="S20" s="61">
        <f t="shared" si="1"/>
        <v>83904</v>
      </c>
    </row>
    <row r="21" spans="1:19">
      <c r="C21" t="s">
        <v>436</v>
      </c>
      <c r="K21" s="106" t="s">
        <v>691</v>
      </c>
      <c r="L21" t="s">
        <v>691</v>
      </c>
      <c r="M21" t="s">
        <v>691</v>
      </c>
      <c r="N21" s="61" t="s">
        <v>691</v>
      </c>
      <c r="O21" t="s">
        <v>691</v>
      </c>
      <c r="P21" t="s">
        <v>691</v>
      </c>
      <c r="Q21" t="s">
        <v>691</v>
      </c>
      <c r="R21" s="61">
        <v>272389</v>
      </c>
      <c r="S21" s="61">
        <f t="shared" si="1"/>
        <v>272389</v>
      </c>
    </row>
    <row r="22" spans="1:19">
      <c r="K22" s="113" t="s">
        <v>691</v>
      </c>
      <c r="L22" s="112" t="s">
        <v>691</v>
      </c>
      <c r="M22" s="112" t="s">
        <v>691</v>
      </c>
      <c r="N22" s="112">
        <v>618377</v>
      </c>
      <c r="O22" s="112" t="s">
        <v>691</v>
      </c>
      <c r="P22" s="112" t="s">
        <v>691</v>
      </c>
      <c r="Q22" s="112" t="s">
        <v>691</v>
      </c>
      <c r="R22" s="112">
        <v>2094</v>
      </c>
      <c r="S22" s="112">
        <f t="shared" si="1"/>
        <v>620471</v>
      </c>
    </row>
    <row r="23" spans="1:19">
      <c r="K23" s="106"/>
    </row>
    <row r="24" spans="1:19" s="122" customFormat="1">
      <c r="E24" s="122" t="s">
        <v>26</v>
      </c>
      <c r="K24" s="123">
        <f t="shared" ref="K24:S24" si="2">SUM(K17:K22)</f>
        <v>2027683</v>
      </c>
      <c r="L24" s="124">
        <f t="shared" si="2"/>
        <v>177195</v>
      </c>
      <c r="M24" s="125">
        <f t="shared" si="2"/>
        <v>112248</v>
      </c>
      <c r="N24" s="125">
        <f t="shared" si="2"/>
        <v>761377</v>
      </c>
      <c r="O24" s="125">
        <f t="shared" si="2"/>
        <v>878977</v>
      </c>
      <c r="P24" s="125">
        <f t="shared" si="2"/>
        <v>123211</v>
      </c>
      <c r="Q24" s="125">
        <f t="shared" si="2"/>
        <v>38948</v>
      </c>
      <c r="R24" s="125">
        <f t="shared" si="2"/>
        <v>937205</v>
      </c>
      <c r="S24" s="125">
        <f t="shared" si="2"/>
        <v>5056844</v>
      </c>
    </row>
    <row r="25" spans="1:19">
      <c r="K25" s="106"/>
    </row>
    <row r="26" spans="1:19">
      <c r="A26" s="86" t="s">
        <v>308</v>
      </c>
      <c r="K26" s="106"/>
    </row>
    <row r="27" spans="1:19">
      <c r="B27" t="s">
        <v>64</v>
      </c>
      <c r="K27" s="107" t="s">
        <v>799</v>
      </c>
      <c r="L27" t="s">
        <v>691</v>
      </c>
      <c r="M27" t="s">
        <v>691</v>
      </c>
      <c r="N27" t="s">
        <v>691</v>
      </c>
      <c r="O27" t="s">
        <v>691</v>
      </c>
      <c r="P27" t="s">
        <v>691</v>
      </c>
      <c r="Q27" t="s">
        <v>691</v>
      </c>
      <c r="R27">
        <v>9268</v>
      </c>
      <c r="S27" s="61">
        <f>SUM(K27:R27)</f>
        <v>9268</v>
      </c>
    </row>
    <row r="28" spans="1:19">
      <c r="C28" t="s">
        <v>800</v>
      </c>
      <c r="K28" s="110">
        <f t="shared" ref="K28:S28" si="3">SUM(K27)</f>
        <v>0</v>
      </c>
      <c r="L28" s="112">
        <f t="shared" si="3"/>
        <v>0</v>
      </c>
      <c r="M28" s="112">
        <f t="shared" si="3"/>
        <v>0</v>
      </c>
      <c r="N28" s="112">
        <f t="shared" si="3"/>
        <v>0</v>
      </c>
      <c r="O28" s="112">
        <f t="shared" si="3"/>
        <v>0</v>
      </c>
      <c r="P28" s="112">
        <f t="shared" si="3"/>
        <v>0</v>
      </c>
      <c r="Q28" s="112">
        <f t="shared" si="3"/>
        <v>0</v>
      </c>
      <c r="R28" s="112">
        <f t="shared" si="3"/>
        <v>9268</v>
      </c>
      <c r="S28" s="111">
        <f t="shared" si="3"/>
        <v>9268</v>
      </c>
    </row>
    <row r="29" spans="1:19">
      <c r="K29" s="106"/>
    </row>
    <row r="30" spans="1:19">
      <c r="K30" s="106"/>
    </row>
    <row r="31" spans="1:19">
      <c r="A31" s="86" t="s">
        <v>801</v>
      </c>
      <c r="K31" s="106"/>
    </row>
    <row r="32" spans="1:19">
      <c r="C32" t="s">
        <v>88</v>
      </c>
      <c r="K32" s="106" t="s">
        <v>691</v>
      </c>
      <c r="L32" s="61">
        <v>4725</v>
      </c>
      <c r="M32" s="61">
        <v>2769975</v>
      </c>
      <c r="N32" s="61">
        <v>458564</v>
      </c>
      <c r="O32" t="s">
        <v>691</v>
      </c>
      <c r="P32" s="61">
        <v>1305655</v>
      </c>
      <c r="Q32" s="61">
        <v>1697897</v>
      </c>
      <c r="R32" s="61">
        <v>2952564</v>
      </c>
      <c r="S32" s="61">
        <f>SUM(K32:R32)</f>
        <v>9189380</v>
      </c>
    </row>
    <row r="33" spans="3:19">
      <c r="C33" t="s">
        <v>46</v>
      </c>
      <c r="K33" s="142">
        <v>505821</v>
      </c>
      <c r="L33" t="s">
        <v>691</v>
      </c>
      <c r="M33" t="s">
        <v>691</v>
      </c>
      <c r="N33" t="s">
        <v>691</v>
      </c>
      <c r="O33" s="61" t="s">
        <v>691</v>
      </c>
      <c r="P33" t="s">
        <v>691</v>
      </c>
      <c r="Q33" t="s">
        <v>691</v>
      </c>
      <c r="R33" s="61">
        <v>-214532</v>
      </c>
      <c r="S33" s="61">
        <f>SUM(K33:R33)</f>
        <v>291289</v>
      </c>
    </row>
    <row r="34" spans="3:19">
      <c r="K34" s="143"/>
      <c r="L34" s="94"/>
      <c r="M34" s="94"/>
      <c r="N34" s="94"/>
      <c r="O34" s="94"/>
      <c r="P34" s="94"/>
      <c r="Q34" s="94"/>
      <c r="R34" s="94"/>
      <c r="S34" s="94"/>
    </row>
    <row r="35" spans="3:19" s="122" customFormat="1">
      <c r="E35" s="122" t="s">
        <v>47</v>
      </c>
      <c r="K35" s="140">
        <f t="shared" ref="K35:Q35" si="4">SUM(K32:K33)</f>
        <v>505821</v>
      </c>
      <c r="L35" s="141">
        <f t="shared" si="4"/>
        <v>4725</v>
      </c>
      <c r="M35" s="141">
        <f t="shared" si="4"/>
        <v>2769975</v>
      </c>
      <c r="N35" s="141">
        <f t="shared" si="4"/>
        <v>458564</v>
      </c>
      <c r="O35" s="141">
        <f t="shared" si="4"/>
        <v>0</v>
      </c>
      <c r="P35" s="141">
        <f t="shared" si="4"/>
        <v>1305655</v>
      </c>
      <c r="Q35" s="141">
        <f t="shared" si="4"/>
        <v>1697897</v>
      </c>
      <c r="R35" s="141">
        <f>SUM(R32:R34)</f>
        <v>2738032</v>
      </c>
      <c r="S35" s="141">
        <f>SUM(S32:S33)</f>
        <v>9480669</v>
      </c>
    </row>
    <row r="36" spans="3:19">
      <c r="K36" s="106"/>
    </row>
    <row r="37" spans="3:19" s="126" customFormat="1">
      <c r="E37" s="126" t="s">
        <v>802</v>
      </c>
      <c r="K37" s="127">
        <f>SUM(K35+K24+K28)</f>
        <v>2533504</v>
      </c>
      <c r="L37" s="128">
        <f>SUM(L35+L24+L28)</f>
        <v>181920</v>
      </c>
      <c r="M37" s="128">
        <f>SUM(M35+M28+M24)</f>
        <v>2882223</v>
      </c>
      <c r="N37" s="128">
        <f>SUM(N35+N24+N28)</f>
        <v>1219941</v>
      </c>
      <c r="O37" s="128">
        <f>SUM(O24+O35+O28)</f>
        <v>878977</v>
      </c>
      <c r="P37" s="128">
        <f>SUM(P35+P28+P24)</f>
        <v>1428866</v>
      </c>
      <c r="Q37" s="128">
        <f>SUM(Q35+Q24+Q28)</f>
        <v>1736845</v>
      </c>
      <c r="R37" s="128">
        <f>SUM(R35+R24+R28)</f>
        <v>3684505</v>
      </c>
      <c r="S37" s="128">
        <f>SUM(S35+S28+S24)</f>
        <v>14546781</v>
      </c>
    </row>
  </sheetData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36"/>
  <sheetViews>
    <sheetView workbookViewId="0">
      <selection activeCell="I9" sqref="I9"/>
    </sheetView>
  </sheetViews>
  <sheetFormatPr defaultColWidth="8.85546875" defaultRowHeight="15"/>
  <cols>
    <col min="5" max="5" width="10.140625" customWidth="1"/>
    <col min="9" max="9" width="15.140625" customWidth="1"/>
    <col min="10" max="10" width="12.140625" customWidth="1"/>
    <col min="11" max="11" width="14" customWidth="1"/>
    <col min="12" max="12" width="14.42578125" customWidth="1"/>
    <col min="13" max="13" width="13.28515625" customWidth="1"/>
    <col min="14" max="14" width="14" customWidth="1"/>
    <col min="15" max="15" width="15.140625" customWidth="1"/>
  </cols>
  <sheetData>
    <row r="1" spans="1:15" ht="18.75">
      <c r="D1" s="251" t="s">
        <v>803</v>
      </c>
      <c r="E1" s="251"/>
      <c r="F1" s="251"/>
      <c r="G1" s="251"/>
      <c r="H1" s="251"/>
      <c r="I1" s="251"/>
    </row>
    <row r="2" spans="1:15">
      <c r="D2" s="252" t="s">
        <v>80</v>
      </c>
      <c r="E2" s="252"/>
      <c r="F2" s="252"/>
      <c r="G2" s="252"/>
      <c r="H2" s="252"/>
      <c r="I2" s="252"/>
    </row>
    <row r="4" spans="1:15" ht="30">
      <c r="I4" s="1" t="s">
        <v>2</v>
      </c>
      <c r="J4" s="1" t="s">
        <v>238</v>
      </c>
      <c r="K4" s="1" t="s">
        <v>95</v>
      </c>
      <c r="L4" s="1" t="s">
        <v>804</v>
      </c>
      <c r="M4" s="1" t="s">
        <v>42</v>
      </c>
      <c r="N4" s="1" t="s">
        <v>306</v>
      </c>
      <c r="O4" s="1" t="s">
        <v>84</v>
      </c>
    </row>
    <row r="5" spans="1:15">
      <c r="A5" t="s">
        <v>8</v>
      </c>
    </row>
    <row r="6" spans="1:15">
      <c r="B6" t="s">
        <v>85</v>
      </c>
      <c r="I6" s="72">
        <v>532216</v>
      </c>
      <c r="J6" s="73">
        <v>778188</v>
      </c>
      <c r="K6" s="73">
        <v>629174</v>
      </c>
      <c r="L6" s="73">
        <v>852576</v>
      </c>
      <c r="M6" s="73">
        <v>164642</v>
      </c>
      <c r="N6" s="73">
        <v>1847745</v>
      </c>
      <c r="O6" s="73">
        <f>SUM(I6:N6)</f>
        <v>4804541</v>
      </c>
    </row>
    <row r="7" spans="1:15">
      <c r="B7" t="s">
        <v>10</v>
      </c>
      <c r="I7" s="77">
        <v>2221199</v>
      </c>
      <c r="J7" s="73" t="s">
        <v>691</v>
      </c>
      <c r="K7" s="73">
        <v>800399</v>
      </c>
      <c r="L7" s="73" t="s">
        <v>691</v>
      </c>
      <c r="M7" s="73">
        <v>2000000</v>
      </c>
      <c r="N7" s="73">
        <v>1000000</v>
      </c>
      <c r="O7" s="73">
        <f>SUM(I7:N7)</f>
        <v>6021598</v>
      </c>
    </row>
    <row r="8" spans="1:15">
      <c r="B8" t="s">
        <v>58</v>
      </c>
      <c r="I8" s="74">
        <v>933277</v>
      </c>
      <c r="J8" s="73">
        <v>323470</v>
      </c>
      <c r="K8" s="73">
        <v>2861245</v>
      </c>
      <c r="L8" s="73">
        <v>662855</v>
      </c>
      <c r="M8" s="73" t="s">
        <v>691</v>
      </c>
      <c r="N8" s="73">
        <v>927114</v>
      </c>
      <c r="O8" s="73">
        <f>SUM(I8:N8)</f>
        <v>5707961</v>
      </c>
    </row>
    <row r="9" spans="1:15">
      <c r="B9" t="s">
        <v>805</v>
      </c>
      <c r="I9" s="130">
        <v>213669</v>
      </c>
      <c r="J9" s="73" t="s">
        <v>691</v>
      </c>
      <c r="K9" s="73">
        <v>60466</v>
      </c>
      <c r="L9" s="73" t="s">
        <v>691</v>
      </c>
      <c r="M9" s="73" t="s">
        <v>691</v>
      </c>
      <c r="N9" s="73" t="s">
        <v>691</v>
      </c>
      <c r="O9" s="73">
        <f>SUM(I9:N9)</f>
        <v>274135</v>
      </c>
    </row>
    <row r="10" spans="1:15">
      <c r="I10" s="133"/>
      <c r="J10" s="93"/>
      <c r="K10" s="93"/>
      <c r="L10" s="93"/>
      <c r="M10" s="93"/>
      <c r="N10" s="93"/>
      <c r="O10" s="93"/>
    </row>
    <row r="11" spans="1:15">
      <c r="A11" s="2"/>
      <c r="B11" s="2"/>
      <c r="C11" s="2"/>
      <c r="D11" s="2"/>
      <c r="E11" s="2" t="s">
        <v>18</v>
      </c>
      <c r="F11" s="3"/>
      <c r="G11" s="3"/>
      <c r="H11" s="3"/>
      <c r="I11" s="76">
        <f t="shared" ref="I11:O11" si="0">SUM(I6:I9)</f>
        <v>3900361</v>
      </c>
      <c r="J11" s="76">
        <f t="shared" si="0"/>
        <v>1101658</v>
      </c>
      <c r="K11" s="76">
        <f t="shared" si="0"/>
        <v>4351284</v>
      </c>
      <c r="L11" s="76">
        <f t="shared" si="0"/>
        <v>1515431</v>
      </c>
      <c r="M11" s="76">
        <f t="shared" si="0"/>
        <v>2164642</v>
      </c>
      <c r="N11" s="76">
        <f t="shared" si="0"/>
        <v>3774859</v>
      </c>
      <c r="O11" s="76">
        <f t="shared" si="0"/>
        <v>16808235</v>
      </c>
    </row>
    <row r="12" spans="1:15">
      <c r="I12" s="73"/>
      <c r="J12" s="73"/>
      <c r="K12" s="73"/>
      <c r="L12" s="73"/>
      <c r="M12" s="73"/>
      <c r="N12" s="73"/>
      <c r="O12" s="73"/>
    </row>
    <row r="13" spans="1:15">
      <c r="A13" s="4" t="s">
        <v>140</v>
      </c>
      <c r="I13" s="73"/>
      <c r="J13" s="73"/>
      <c r="K13" s="73"/>
      <c r="L13" s="73"/>
      <c r="M13" s="73"/>
      <c r="N13" s="73"/>
      <c r="O13" s="73"/>
    </row>
    <row r="14" spans="1:15">
      <c r="B14" t="s">
        <v>20</v>
      </c>
      <c r="I14" s="73"/>
      <c r="J14" s="73"/>
      <c r="K14" s="73"/>
      <c r="M14" s="73"/>
      <c r="N14" s="73"/>
      <c r="O14" s="73"/>
    </row>
    <row r="15" spans="1:15">
      <c r="C15" t="s">
        <v>806</v>
      </c>
      <c r="I15" s="77">
        <v>49579</v>
      </c>
      <c r="J15" s="73">
        <v>15640</v>
      </c>
      <c r="K15" s="73">
        <v>101230</v>
      </c>
      <c r="L15" s="73">
        <v>24297</v>
      </c>
      <c r="M15" s="73" t="s">
        <v>691</v>
      </c>
      <c r="N15" s="73">
        <v>21920</v>
      </c>
      <c r="O15" s="73">
        <f>SUM(I15:N15)</f>
        <v>212666</v>
      </c>
    </row>
    <row r="16" spans="1:15">
      <c r="C16" t="s">
        <v>807</v>
      </c>
      <c r="I16" s="77">
        <v>31934</v>
      </c>
      <c r="J16" s="73" t="s">
        <v>691</v>
      </c>
      <c r="K16" s="73">
        <v>110230</v>
      </c>
      <c r="L16" s="73">
        <v>25536</v>
      </c>
      <c r="M16" s="73" t="s">
        <v>691</v>
      </c>
      <c r="N16" s="73">
        <v>29248</v>
      </c>
      <c r="O16" s="73">
        <f>SUM(I16:N16)</f>
        <v>196948</v>
      </c>
    </row>
    <row r="17" spans="1:15">
      <c r="C17" t="s">
        <v>24</v>
      </c>
      <c r="I17" s="150">
        <v>10746</v>
      </c>
      <c r="J17" s="73" t="s">
        <v>691</v>
      </c>
      <c r="K17" s="73" t="s">
        <v>691</v>
      </c>
      <c r="L17" s="73" t="s">
        <v>691</v>
      </c>
      <c r="M17" s="73" t="s">
        <v>691</v>
      </c>
      <c r="N17" s="73" t="s">
        <v>691</v>
      </c>
      <c r="O17" s="73">
        <f>SUM(I17:N17)</f>
        <v>10746</v>
      </c>
    </row>
    <row r="18" spans="1:15">
      <c r="C18" t="s">
        <v>159</v>
      </c>
      <c r="I18" s="129">
        <v>159042</v>
      </c>
      <c r="J18" s="73" t="s">
        <v>691</v>
      </c>
      <c r="K18" s="73" t="s">
        <v>691</v>
      </c>
      <c r="L18" s="73" t="s">
        <v>691</v>
      </c>
      <c r="M18" s="73" t="s">
        <v>691</v>
      </c>
      <c r="N18" s="73" t="s">
        <v>691</v>
      </c>
      <c r="O18" s="73">
        <f>SUM(I18:N18)</f>
        <v>159042</v>
      </c>
    </row>
    <row r="19" spans="1:15">
      <c r="C19" t="s">
        <v>808</v>
      </c>
      <c r="I19" s="82">
        <v>7275</v>
      </c>
      <c r="J19" s="73" t="s">
        <v>691</v>
      </c>
      <c r="K19" s="73">
        <v>19695</v>
      </c>
      <c r="L19" s="73">
        <v>8039</v>
      </c>
      <c r="M19" s="73" t="s">
        <v>691</v>
      </c>
      <c r="N19" s="73">
        <v>10910</v>
      </c>
      <c r="O19" s="73">
        <f>SUM(I19:N19)</f>
        <v>45919</v>
      </c>
    </row>
    <row r="20" spans="1:15">
      <c r="I20" s="93"/>
      <c r="J20" s="93"/>
      <c r="K20" s="93"/>
      <c r="L20" s="93"/>
      <c r="M20" s="93"/>
      <c r="N20" s="93"/>
      <c r="O20" s="93"/>
    </row>
    <row r="21" spans="1:15">
      <c r="A21" s="5"/>
      <c r="B21" s="6"/>
      <c r="C21" s="6"/>
      <c r="D21" s="6"/>
      <c r="E21" s="6" t="s">
        <v>26</v>
      </c>
      <c r="F21" s="5"/>
      <c r="G21" s="5"/>
      <c r="H21" s="5"/>
      <c r="I21" s="79">
        <f>SUM(I15:I19)</f>
        <v>258576</v>
      </c>
      <c r="J21" s="79">
        <f t="shared" ref="J21:O21" si="1">SUM(J15:J19)</f>
        <v>15640</v>
      </c>
      <c r="K21" s="79">
        <f t="shared" si="1"/>
        <v>231155</v>
      </c>
      <c r="L21" s="79">
        <f t="shared" si="1"/>
        <v>57872</v>
      </c>
      <c r="M21" s="79">
        <f t="shared" si="1"/>
        <v>0</v>
      </c>
      <c r="N21" s="79">
        <f t="shared" si="1"/>
        <v>62078</v>
      </c>
      <c r="O21" s="79">
        <f t="shared" si="1"/>
        <v>625321</v>
      </c>
    </row>
    <row r="22" spans="1:15">
      <c r="I22" s="73"/>
      <c r="J22" s="73"/>
      <c r="K22" s="73"/>
      <c r="L22" s="73"/>
      <c r="M22" s="73"/>
      <c r="N22" s="73"/>
      <c r="O22" s="73"/>
    </row>
    <row r="23" spans="1:15">
      <c r="A23" s="86" t="s">
        <v>809</v>
      </c>
      <c r="I23" s="73"/>
      <c r="J23" s="73"/>
      <c r="K23" s="73"/>
      <c r="L23" s="73"/>
      <c r="M23" s="73"/>
      <c r="N23" s="73"/>
      <c r="O23" s="73"/>
    </row>
    <row r="24" spans="1:15">
      <c r="B24" t="s">
        <v>385</v>
      </c>
      <c r="I24" s="85">
        <v>23819</v>
      </c>
      <c r="J24" s="85" t="s">
        <v>691</v>
      </c>
      <c r="K24" s="85">
        <v>97702</v>
      </c>
      <c r="L24" s="85">
        <v>22634</v>
      </c>
      <c r="M24" s="85" t="s">
        <v>691</v>
      </c>
      <c r="N24" s="85">
        <v>24234</v>
      </c>
      <c r="O24" s="85">
        <f>SUM(I24:N24)</f>
        <v>168389</v>
      </c>
    </row>
    <row r="25" spans="1:15">
      <c r="I25" s="73"/>
      <c r="J25" s="73"/>
      <c r="K25" s="73"/>
      <c r="L25" s="73"/>
      <c r="M25" s="73"/>
      <c r="N25" s="73"/>
      <c r="O25" s="73"/>
    </row>
    <row r="26" spans="1:15">
      <c r="A26" s="5"/>
      <c r="B26" s="5"/>
      <c r="C26" s="5"/>
      <c r="D26" s="6"/>
      <c r="E26" s="6" t="s">
        <v>810</v>
      </c>
      <c r="F26" s="5"/>
      <c r="G26" s="5"/>
      <c r="H26" s="5"/>
      <c r="I26" s="79">
        <f t="shared" ref="I26:O26" si="2">I24</f>
        <v>23819</v>
      </c>
      <c r="J26" s="79" t="str">
        <f t="shared" si="2"/>
        <v>-</v>
      </c>
      <c r="K26" s="79">
        <f t="shared" si="2"/>
        <v>97702</v>
      </c>
      <c r="L26" s="79">
        <f t="shared" si="2"/>
        <v>22634</v>
      </c>
      <c r="M26" s="79" t="str">
        <f t="shared" si="2"/>
        <v>-</v>
      </c>
      <c r="N26" s="79">
        <f t="shared" si="2"/>
        <v>24234</v>
      </c>
      <c r="O26" s="79">
        <f t="shared" si="2"/>
        <v>168389</v>
      </c>
    </row>
    <row r="27" spans="1:15">
      <c r="I27" s="73"/>
      <c r="J27" s="73"/>
      <c r="K27" s="73"/>
      <c r="L27" s="73"/>
      <c r="M27" s="73"/>
      <c r="N27" s="73"/>
      <c r="O27" s="73"/>
    </row>
    <row r="28" spans="1:15">
      <c r="A28" s="86" t="s">
        <v>30</v>
      </c>
      <c r="I28" s="73"/>
      <c r="J28" s="73"/>
      <c r="K28" s="73"/>
      <c r="L28" s="73"/>
      <c r="M28" s="73"/>
      <c r="N28" s="73"/>
      <c r="O28" s="73"/>
    </row>
    <row r="29" spans="1:15">
      <c r="B29" t="s">
        <v>811</v>
      </c>
      <c r="I29" s="136">
        <v>213669</v>
      </c>
      <c r="J29" s="73" t="s">
        <v>691</v>
      </c>
      <c r="K29" s="73">
        <v>60466</v>
      </c>
      <c r="L29" s="73" t="s">
        <v>691</v>
      </c>
      <c r="M29" s="73" t="s">
        <v>691</v>
      </c>
      <c r="N29" s="73" t="s">
        <v>691</v>
      </c>
      <c r="O29" s="73">
        <f>SUM(I29:N29)</f>
        <v>274135</v>
      </c>
    </row>
    <row r="30" spans="1:15">
      <c r="B30" t="s">
        <v>88</v>
      </c>
      <c r="I30" s="131" t="s">
        <v>691</v>
      </c>
      <c r="J30" s="73">
        <v>1086018</v>
      </c>
      <c r="K30" s="73">
        <v>3961961</v>
      </c>
      <c r="L30" s="73">
        <v>1434925</v>
      </c>
      <c r="M30" s="73">
        <v>2164642</v>
      </c>
      <c r="N30" s="73">
        <v>3688547</v>
      </c>
      <c r="O30" s="73">
        <f>SUM(I30:N30)</f>
        <v>12336093</v>
      </c>
    </row>
    <row r="31" spans="1:15">
      <c r="B31" t="s">
        <v>259</v>
      </c>
      <c r="I31" s="137">
        <v>2000000</v>
      </c>
      <c r="J31" s="73" t="s">
        <v>691</v>
      </c>
      <c r="K31" s="73" t="s">
        <v>691</v>
      </c>
      <c r="L31" s="73" t="s">
        <v>691</v>
      </c>
      <c r="M31" s="73" t="s">
        <v>691</v>
      </c>
      <c r="N31" s="73" t="s">
        <v>691</v>
      </c>
      <c r="O31" s="73">
        <f>SUM(I31:N31)</f>
        <v>2000000</v>
      </c>
    </row>
    <row r="32" spans="1:15">
      <c r="B32" t="s">
        <v>46</v>
      </c>
      <c r="I32" s="132">
        <v>1404297</v>
      </c>
      <c r="J32" s="73" t="s">
        <v>691</v>
      </c>
      <c r="K32" s="73" t="s">
        <v>691</v>
      </c>
      <c r="L32" s="73" t="s">
        <v>691</v>
      </c>
      <c r="M32" s="73" t="s">
        <v>691</v>
      </c>
      <c r="N32" s="73" t="s">
        <v>691</v>
      </c>
      <c r="O32" s="73">
        <f>SUM(I32:N32)</f>
        <v>1404297</v>
      </c>
    </row>
    <row r="33" spans="1:15">
      <c r="I33" s="134"/>
      <c r="J33" s="93"/>
      <c r="K33" s="93"/>
      <c r="L33" s="93"/>
      <c r="M33" s="93"/>
      <c r="N33" s="93"/>
      <c r="O33" s="93"/>
    </row>
    <row r="34" spans="1:15">
      <c r="A34" s="5"/>
      <c r="B34" s="5"/>
      <c r="C34" s="5"/>
      <c r="D34" s="6"/>
      <c r="E34" s="6" t="s">
        <v>812</v>
      </c>
      <c r="F34" s="5"/>
      <c r="G34" s="5"/>
      <c r="H34" s="5"/>
      <c r="I34" s="79">
        <f t="shared" ref="I34:O34" si="3">SUM(I29:I32)</f>
        <v>3617966</v>
      </c>
      <c r="J34" s="79">
        <f t="shared" si="3"/>
        <v>1086018</v>
      </c>
      <c r="K34" s="79">
        <f t="shared" si="3"/>
        <v>4022427</v>
      </c>
      <c r="L34" s="79">
        <f t="shared" si="3"/>
        <v>1434925</v>
      </c>
      <c r="M34" s="79">
        <f t="shared" si="3"/>
        <v>2164642</v>
      </c>
      <c r="N34" s="79">
        <f t="shared" si="3"/>
        <v>3688547</v>
      </c>
      <c r="O34" s="79">
        <f t="shared" si="3"/>
        <v>16014525</v>
      </c>
    </row>
    <row r="36" spans="1:15">
      <c r="A36" s="7" t="s">
        <v>813</v>
      </c>
      <c r="B36" s="7"/>
      <c r="C36" s="7"/>
      <c r="D36" s="7"/>
      <c r="E36" s="7"/>
      <c r="F36" s="7"/>
      <c r="G36" s="7"/>
      <c r="H36" s="7"/>
      <c r="I36" s="104">
        <f>SUM(I21+I26+I34)</f>
        <v>3900361</v>
      </c>
      <c r="J36" s="104">
        <f>SUM(J34+J21)</f>
        <v>1101658</v>
      </c>
      <c r="K36" s="104">
        <f>SUM(K34+K26+K21)</f>
        <v>4351284</v>
      </c>
      <c r="L36" s="104">
        <f>SUM(L34+L26+L21)</f>
        <v>1515431</v>
      </c>
      <c r="M36" s="104">
        <f>SUM(M34)</f>
        <v>2164642</v>
      </c>
      <c r="N36" s="104">
        <f>SUM(N34+N26+N21)</f>
        <v>3774859</v>
      </c>
      <c r="O36" s="104">
        <f>SUM(O34+O26+O21)</f>
        <v>16808235</v>
      </c>
    </row>
  </sheetData>
  <mergeCells count="2">
    <mergeCell ref="D1:I1"/>
    <mergeCell ref="D2:I2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R36"/>
  <sheetViews>
    <sheetView workbookViewId="0">
      <selection activeCell="R39" sqref="R39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11.42578125" customWidth="1"/>
    <col min="6" max="7" width="3.85546875" customWidth="1"/>
    <col min="8" max="9" width="9.140625" customWidth="1"/>
    <col min="10" max="11" width="15.42578125" customWidth="1"/>
    <col min="12" max="12" width="16.28515625" customWidth="1"/>
    <col min="13" max="13" width="16.42578125" customWidth="1"/>
    <col min="14" max="14" width="15.140625" customWidth="1"/>
    <col min="15" max="15" width="16" customWidth="1"/>
    <col min="16" max="16" width="16.85546875" customWidth="1"/>
    <col min="17" max="17" width="12.28515625" customWidth="1"/>
    <col min="18" max="18" width="15.42578125" customWidth="1"/>
    <col min="19" max="19" width="10.28515625" customWidth="1"/>
    <col min="20" max="20" width="18.85546875" customWidth="1"/>
    <col min="21" max="21" width="11.85546875" customWidth="1"/>
  </cols>
  <sheetData>
    <row r="1" spans="1:148" ht="18.75">
      <c r="D1" s="251" t="s">
        <v>814</v>
      </c>
      <c r="E1" s="251"/>
      <c r="F1" s="251"/>
      <c r="G1" s="251"/>
      <c r="H1" s="251"/>
      <c r="I1" s="251"/>
      <c r="J1" s="251"/>
      <c r="K1" s="251"/>
      <c r="L1" s="251"/>
    </row>
    <row r="2" spans="1:148">
      <c r="D2" s="252" t="s">
        <v>1</v>
      </c>
      <c r="E2" s="252"/>
      <c r="F2" s="252"/>
      <c r="G2" s="252"/>
      <c r="H2" s="252"/>
      <c r="I2" s="252"/>
      <c r="J2" s="252"/>
      <c r="K2" s="252"/>
      <c r="L2" s="252"/>
    </row>
    <row r="3" spans="1:148" ht="41.25" customHeight="1">
      <c r="L3" s="1" t="s">
        <v>2</v>
      </c>
      <c r="M3" s="1" t="s">
        <v>93</v>
      </c>
      <c r="N3" s="1" t="s">
        <v>815</v>
      </c>
      <c r="O3" s="1" t="s">
        <v>816</v>
      </c>
      <c r="P3" s="1" t="s">
        <v>817</v>
      </c>
      <c r="Q3" s="1" t="s">
        <v>430</v>
      </c>
      <c r="R3" s="1" t="s">
        <v>818</v>
      </c>
      <c r="S3" s="217" t="s">
        <v>202</v>
      </c>
      <c r="T3" s="1" t="s">
        <v>6</v>
      </c>
      <c r="U3" s="218" t="s">
        <v>84</v>
      </c>
    </row>
    <row r="4" spans="1:148">
      <c r="A4" t="s">
        <v>8</v>
      </c>
    </row>
    <row r="5" spans="1:148">
      <c r="B5" t="s">
        <v>85</v>
      </c>
      <c r="L5" s="72">
        <v>3578849</v>
      </c>
      <c r="M5" s="73">
        <v>1252629</v>
      </c>
      <c r="N5" s="73">
        <v>141066</v>
      </c>
      <c r="O5" s="73">
        <v>352745</v>
      </c>
      <c r="P5" s="73">
        <v>511950</v>
      </c>
      <c r="Q5" s="73">
        <v>254214</v>
      </c>
      <c r="R5" s="73">
        <v>204560</v>
      </c>
      <c r="S5" s="73">
        <v>300903</v>
      </c>
      <c r="T5" s="73">
        <v>1484716</v>
      </c>
      <c r="U5" s="73">
        <f>SUM(L5:T5)</f>
        <v>8081632</v>
      </c>
    </row>
    <row r="6" spans="1:148">
      <c r="B6" t="s">
        <v>10</v>
      </c>
      <c r="L6" s="77">
        <v>8899029</v>
      </c>
      <c r="M6" s="73">
        <v>1250000</v>
      </c>
      <c r="N6" s="73">
        <v>3800756</v>
      </c>
      <c r="O6" s="73">
        <v>1200000</v>
      </c>
      <c r="P6" s="73">
        <v>800000</v>
      </c>
      <c r="S6" s="73">
        <v>650000</v>
      </c>
      <c r="T6" s="73">
        <v>3600000</v>
      </c>
      <c r="U6" s="73">
        <f t="shared" ref="U6:U11" si="0">SUM(L6:T6)</f>
        <v>20199785</v>
      </c>
    </row>
    <row r="7" spans="1:148">
      <c r="B7" t="s">
        <v>819</v>
      </c>
      <c r="L7" s="77">
        <v>108000</v>
      </c>
      <c r="M7" s="73"/>
      <c r="N7" s="73"/>
      <c r="O7" s="73"/>
      <c r="U7" s="73">
        <f t="shared" si="0"/>
        <v>108000</v>
      </c>
    </row>
    <row r="8" spans="1:148">
      <c r="B8" t="s">
        <v>820</v>
      </c>
      <c r="L8" s="74">
        <v>1147291</v>
      </c>
      <c r="M8" s="73">
        <v>2346732</v>
      </c>
      <c r="N8" s="73"/>
      <c r="O8" s="73">
        <v>977804</v>
      </c>
      <c r="P8" s="73">
        <v>977804</v>
      </c>
      <c r="S8">
        <v>1629674</v>
      </c>
      <c r="T8">
        <v>508459</v>
      </c>
      <c r="U8" s="73">
        <f t="shared" si="0"/>
        <v>7587764</v>
      </c>
    </row>
    <row r="9" spans="1:148">
      <c r="B9" t="s">
        <v>391</v>
      </c>
      <c r="L9" s="72">
        <v>8815</v>
      </c>
      <c r="M9" s="73"/>
      <c r="N9" s="73"/>
      <c r="O9" s="73"/>
      <c r="T9">
        <v>472433</v>
      </c>
      <c r="U9" s="73">
        <f t="shared" si="0"/>
        <v>481248</v>
      </c>
    </row>
    <row r="10" spans="1:148">
      <c r="B10" t="s">
        <v>59</v>
      </c>
      <c r="L10" s="75">
        <v>838543</v>
      </c>
      <c r="M10" s="73">
        <v>1548</v>
      </c>
      <c r="N10" s="73"/>
      <c r="O10" s="73">
        <v>75</v>
      </c>
      <c r="Q10" s="73">
        <v>70738</v>
      </c>
      <c r="R10" s="73">
        <v>453504</v>
      </c>
      <c r="S10" s="73">
        <v>882</v>
      </c>
      <c r="T10" s="73">
        <v>378818</v>
      </c>
      <c r="U10" s="73">
        <f t="shared" si="0"/>
        <v>1744108</v>
      </c>
    </row>
    <row r="11" spans="1:148">
      <c r="B11" t="s">
        <v>13</v>
      </c>
      <c r="L11" s="74">
        <v>783</v>
      </c>
      <c r="M11" s="73"/>
      <c r="N11" s="73"/>
      <c r="O11" s="73"/>
      <c r="P11" s="112"/>
      <c r="Q11" s="112"/>
      <c r="R11" s="112"/>
      <c r="S11" s="112"/>
      <c r="T11" s="112"/>
      <c r="U11" s="85">
        <f t="shared" si="0"/>
        <v>783</v>
      </c>
    </row>
    <row r="12" spans="1:148">
      <c r="L12" s="93"/>
      <c r="M12" s="93"/>
      <c r="N12" s="93"/>
      <c r="O12" s="93"/>
    </row>
    <row r="13" spans="1:148" s="3" customFormat="1">
      <c r="A13" s="2"/>
      <c r="B13" s="2"/>
      <c r="C13" s="2"/>
      <c r="D13" s="2"/>
      <c r="E13" s="2" t="s">
        <v>62</v>
      </c>
      <c r="L13" s="76">
        <f>SUM(L5:L11)</f>
        <v>14581310</v>
      </c>
      <c r="M13" s="76">
        <f t="shared" ref="M13" si="1">SUM(M5:M11)</f>
        <v>4850909</v>
      </c>
      <c r="N13" s="76">
        <f>SUM(N5:N11)</f>
        <v>3941822</v>
      </c>
      <c r="O13" s="76">
        <f>SUM(O5:O11)</f>
        <v>2530624</v>
      </c>
      <c r="P13" s="76">
        <f t="shared" ref="P13:U13" si="2">SUM(P5:P11)</f>
        <v>2289754</v>
      </c>
      <c r="Q13" s="76">
        <f t="shared" si="2"/>
        <v>324952</v>
      </c>
      <c r="R13" s="76">
        <f t="shared" si="2"/>
        <v>658064</v>
      </c>
      <c r="S13" s="76">
        <f t="shared" si="2"/>
        <v>2581459</v>
      </c>
      <c r="T13" s="76">
        <f t="shared" si="2"/>
        <v>6444426</v>
      </c>
      <c r="U13" s="76">
        <f t="shared" si="2"/>
        <v>38203320</v>
      </c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02"/>
      <c r="BU13" s="102"/>
      <c r="BV13" s="102"/>
      <c r="BW13" s="102"/>
      <c r="BX13" s="102"/>
      <c r="BY13" s="102"/>
      <c r="BZ13" s="102"/>
      <c r="CA13" s="102"/>
      <c r="CB13" s="102"/>
      <c r="CC13" s="102"/>
      <c r="CD13" s="102"/>
      <c r="CE13" s="102"/>
      <c r="CF13" s="102"/>
      <c r="CG13" s="102"/>
      <c r="CH13" s="102"/>
      <c r="CI13" s="102"/>
      <c r="CJ13" s="102"/>
      <c r="CK13" s="102"/>
      <c r="CL13" s="102"/>
      <c r="CM13" s="102"/>
      <c r="CN13" s="102"/>
      <c r="CO13" s="102"/>
      <c r="CP13" s="102"/>
      <c r="CQ13" s="102"/>
      <c r="CR13" s="102"/>
      <c r="CS13" s="102"/>
      <c r="CT13" s="102"/>
      <c r="CU13" s="102"/>
      <c r="CV13" s="102"/>
      <c r="CW13" s="102"/>
      <c r="CX13" s="102"/>
      <c r="CY13" s="102"/>
      <c r="CZ13" s="102"/>
      <c r="DA13" s="102"/>
      <c r="DB13" s="102"/>
      <c r="DC13" s="102"/>
      <c r="DD13" s="102"/>
      <c r="DE13" s="102"/>
      <c r="DF13" s="102"/>
      <c r="DG13" s="102"/>
      <c r="DH13" s="102"/>
      <c r="DI13" s="102"/>
      <c r="DJ13" s="102"/>
      <c r="DK13" s="102"/>
      <c r="DL13" s="102"/>
      <c r="DM13" s="102"/>
      <c r="DN13" s="102"/>
      <c r="DO13" s="102"/>
      <c r="DP13" s="102"/>
      <c r="DQ13" s="102"/>
      <c r="DR13" s="102"/>
      <c r="DS13" s="102"/>
      <c r="DT13" s="102"/>
      <c r="DU13" s="102"/>
      <c r="DV13" s="102"/>
      <c r="DW13" s="102"/>
      <c r="DX13" s="102"/>
      <c r="DY13" s="102"/>
      <c r="DZ13" s="102"/>
      <c r="EA13" s="102"/>
      <c r="EB13" s="102"/>
      <c r="EC13" s="102"/>
      <c r="ED13" s="102"/>
      <c r="EE13" s="102"/>
      <c r="EF13" s="102"/>
      <c r="EG13" s="102"/>
      <c r="EH13" s="102"/>
      <c r="EI13" s="102"/>
      <c r="EJ13" s="102"/>
      <c r="EK13" s="102"/>
      <c r="EL13" s="102"/>
      <c r="EM13" s="102"/>
      <c r="EN13" s="102"/>
      <c r="EO13" s="102"/>
      <c r="EP13" s="102"/>
      <c r="EQ13" s="102"/>
      <c r="ER13" s="102"/>
    </row>
    <row r="14" spans="1:148">
      <c r="L14" s="73"/>
      <c r="M14" s="73"/>
      <c r="N14" s="73"/>
      <c r="O14" s="73"/>
    </row>
    <row r="15" spans="1:148">
      <c r="A15" s="4" t="s">
        <v>19</v>
      </c>
      <c r="L15" s="73"/>
      <c r="M15" s="73"/>
      <c r="N15" s="73"/>
      <c r="O15" s="73"/>
    </row>
    <row r="16" spans="1:148">
      <c r="B16" t="s">
        <v>20</v>
      </c>
      <c r="L16" s="73"/>
      <c r="M16" s="73"/>
      <c r="N16" s="73"/>
      <c r="O16" s="73"/>
    </row>
    <row r="17" spans="1:148">
      <c r="C17" t="s">
        <v>21</v>
      </c>
      <c r="L17" s="77">
        <v>191643</v>
      </c>
      <c r="M17" s="73">
        <v>9181</v>
      </c>
      <c r="N17" s="73">
        <v>23198</v>
      </c>
      <c r="O17" s="103">
        <v>17418</v>
      </c>
      <c r="P17" s="112">
        <v>3444</v>
      </c>
      <c r="Q17" s="112">
        <v>47090</v>
      </c>
      <c r="R17" s="112">
        <v>87334</v>
      </c>
      <c r="S17" s="112">
        <v>30954</v>
      </c>
      <c r="T17" s="112">
        <v>85959</v>
      </c>
      <c r="U17" s="85">
        <f>SUM(L17:T17)</f>
        <v>496221</v>
      </c>
    </row>
    <row r="18" spans="1:148">
      <c r="L18" s="93"/>
      <c r="M18" s="93"/>
      <c r="N18" s="93"/>
      <c r="O18" s="93"/>
    </row>
    <row r="19" spans="1:148" s="5" customFormat="1">
      <c r="B19" s="6"/>
      <c r="C19" s="6"/>
      <c r="D19" s="6"/>
      <c r="E19" s="6" t="s">
        <v>26</v>
      </c>
      <c r="L19" s="79">
        <f>SUM(L17:L17)</f>
        <v>191643</v>
      </c>
      <c r="M19" s="79">
        <f>SUM(M17:M17)</f>
        <v>9181</v>
      </c>
      <c r="N19" s="79">
        <f t="shared" ref="N19:U19" si="3">SUM(N17:N17)</f>
        <v>23198</v>
      </c>
      <c r="O19" s="79">
        <f t="shared" si="3"/>
        <v>17418</v>
      </c>
      <c r="P19" s="79">
        <f t="shared" si="3"/>
        <v>3444</v>
      </c>
      <c r="Q19" s="79">
        <f t="shared" si="3"/>
        <v>47090</v>
      </c>
      <c r="R19" s="79">
        <f t="shared" si="3"/>
        <v>87334</v>
      </c>
      <c r="S19" s="79">
        <f t="shared" si="3"/>
        <v>30954</v>
      </c>
      <c r="T19" s="79">
        <f t="shared" si="3"/>
        <v>85959</v>
      </c>
      <c r="U19" s="79">
        <f t="shared" si="3"/>
        <v>496221</v>
      </c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2"/>
      <c r="BM19" s="102"/>
      <c r="BN19" s="102"/>
      <c r="BO19" s="102"/>
      <c r="BP19" s="102"/>
      <c r="BQ19" s="102"/>
      <c r="BR19" s="102"/>
      <c r="BS19" s="102"/>
      <c r="BT19" s="102"/>
      <c r="BU19" s="102"/>
      <c r="BV19" s="102"/>
      <c r="BW19" s="102"/>
      <c r="BX19" s="102"/>
      <c r="BY19" s="102"/>
      <c r="BZ19" s="102"/>
      <c r="CA19" s="102"/>
      <c r="CB19" s="102"/>
      <c r="CC19" s="102"/>
      <c r="CD19" s="102"/>
      <c r="CE19" s="102"/>
      <c r="CF19" s="102"/>
      <c r="CG19" s="102"/>
      <c r="CH19" s="102"/>
      <c r="CI19" s="102"/>
      <c r="CJ19" s="102"/>
      <c r="CK19" s="102"/>
      <c r="CL19" s="102"/>
      <c r="CM19" s="102"/>
      <c r="CN19" s="102"/>
      <c r="CO19" s="102"/>
      <c r="CP19" s="102"/>
      <c r="CQ19" s="102"/>
      <c r="CR19" s="102"/>
      <c r="CS19" s="102"/>
      <c r="CT19" s="102"/>
      <c r="CU19" s="102"/>
      <c r="CV19" s="102"/>
      <c r="CW19" s="102"/>
      <c r="CX19" s="102"/>
      <c r="CY19" s="102"/>
      <c r="CZ19" s="102"/>
      <c r="DA19" s="102"/>
      <c r="DB19" s="102"/>
      <c r="DC19" s="102"/>
      <c r="DD19" s="102"/>
      <c r="DE19" s="102"/>
      <c r="DF19" s="102"/>
      <c r="DG19" s="102"/>
      <c r="DH19" s="102"/>
      <c r="DI19" s="102"/>
      <c r="DJ19" s="102"/>
      <c r="DK19" s="102"/>
      <c r="DL19" s="102"/>
      <c r="DM19" s="102"/>
      <c r="DN19" s="102"/>
      <c r="DO19" s="102"/>
      <c r="DP19" s="102"/>
      <c r="DQ19" s="102"/>
      <c r="DR19" s="102"/>
      <c r="DS19" s="102"/>
      <c r="DT19" s="102"/>
      <c r="DU19" s="102"/>
      <c r="DV19" s="102"/>
      <c r="DW19" s="102"/>
      <c r="DX19" s="102"/>
      <c r="DY19" s="102"/>
      <c r="DZ19" s="102"/>
      <c r="EA19" s="102"/>
      <c r="EB19" s="102"/>
      <c r="EC19" s="102"/>
      <c r="ED19" s="102"/>
      <c r="EE19" s="102"/>
      <c r="EF19" s="102"/>
      <c r="EG19" s="102"/>
      <c r="EH19" s="102"/>
      <c r="EI19" s="102"/>
      <c r="EJ19" s="102"/>
      <c r="EK19" s="102"/>
      <c r="EL19" s="102"/>
      <c r="EM19" s="102"/>
      <c r="EN19" s="102"/>
      <c r="EO19" s="102"/>
      <c r="EP19" s="102"/>
      <c r="EQ19" s="102"/>
      <c r="ER19" s="102"/>
    </row>
    <row r="20" spans="1:148">
      <c r="L20" s="73"/>
      <c r="M20" s="73"/>
      <c r="N20" s="73"/>
      <c r="O20" s="73"/>
    </row>
    <row r="21" spans="1:148">
      <c r="A21" s="71" t="s">
        <v>27</v>
      </c>
      <c r="L21" s="73"/>
      <c r="M21" s="73"/>
      <c r="N21" s="73"/>
      <c r="O21" s="73"/>
    </row>
    <row r="22" spans="1:148">
      <c r="A22" s="71"/>
      <c r="C22" t="s">
        <v>821</v>
      </c>
      <c r="L22" s="73"/>
      <c r="M22" s="73"/>
      <c r="N22" s="73"/>
      <c r="O22" s="73"/>
      <c r="T22">
        <v>364274</v>
      </c>
      <c r="U22" s="73">
        <f>SUM(L22:T22)</f>
        <v>364274</v>
      </c>
    </row>
    <row r="23" spans="1:148">
      <c r="C23" t="s">
        <v>160</v>
      </c>
      <c r="L23" s="85">
        <v>1314355</v>
      </c>
      <c r="M23" s="85">
        <v>2688454</v>
      </c>
      <c r="N23" s="85"/>
      <c r="O23" s="85">
        <v>1120188</v>
      </c>
      <c r="P23" s="112">
        <v>1120188</v>
      </c>
      <c r="Q23" s="112"/>
      <c r="R23" s="112"/>
      <c r="S23" s="112">
        <v>1866981</v>
      </c>
      <c r="T23" s="112">
        <v>582499</v>
      </c>
      <c r="U23" s="85">
        <f>SUM(L23:T23)</f>
        <v>8692665</v>
      </c>
    </row>
    <row r="24" spans="1:148">
      <c r="L24" s="73"/>
      <c r="M24" s="73"/>
      <c r="N24" s="73"/>
      <c r="O24" s="73"/>
    </row>
    <row r="25" spans="1:148" s="5" customFormat="1">
      <c r="B25" s="6"/>
      <c r="C25" s="6"/>
      <c r="D25" s="6"/>
      <c r="E25" s="6" t="s">
        <v>29</v>
      </c>
      <c r="L25" s="79">
        <f>SUM(L22:L23)</f>
        <v>1314355</v>
      </c>
      <c r="M25" s="79">
        <f t="shared" ref="M25:U25" si="4">SUM(M22:M23)</f>
        <v>2688454</v>
      </c>
      <c r="N25" s="79">
        <f t="shared" si="4"/>
        <v>0</v>
      </c>
      <c r="O25" s="79">
        <f t="shared" si="4"/>
        <v>1120188</v>
      </c>
      <c r="P25" s="79">
        <f t="shared" si="4"/>
        <v>1120188</v>
      </c>
      <c r="Q25" s="79">
        <f t="shared" si="4"/>
        <v>0</v>
      </c>
      <c r="R25" s="79">
        <f t="shared" si="4"/>
        <v>0</v>
      </c>
      <c r="S25" s="79">
        <f t="shared" si="4"/>
        <v>1866981</v>
      </c>
      <c r="T25" s="79">
        <f t="shared" si="4"/>
        <v>946773</v>
      </c>
      <c r="U25" s="79">
        <f t="shared" si="4"/>
        <v>9056939</v>
      </c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2"/>
      <c r="BM25" s="102"/>
      <c r="BN25" s="102"/>
      <c r="BO25" s="102"/>
      <c r="BP25" s="102"/>
      <c r="BQ25" s="102"/>
      <c r="BR25" s="102"/>
      <c r="BS25" s="102"/>
      <c r="BT25" s="102"/>
      <c r="BU25" s="102"/>
      <c r="BV25" s="102"/>
      <c r="BW25" s="102"/>
      <c r="BX25" s="102"/>
      <c r="BY25" s="102"/>
      <c r="BZ25" s="102"/>
      <c r="CA25" s="102"/>
      <c r="CB25" s="102"/>
      <c r="CC25" s="102"/>
      <c r="CD25" s="102"/>
      <c r="CE25" s="102"/>
      <c r="CF25" s="102"/>
      <c r="CG25" s="102"/>
      <c r="CH25" s="102"/>
      <c r="CI25" s="102"/>
      <c r="CJ25" s="102"/>
      <c r="CK25" s="102"/>
      <c r="CL25" s="102"/>
      <c r="CM25" s="102"/>
      <c r="CN25" s="102"/>
      <c r="CO25" s="102"/>
      <c r="CP25" s="102"/>
      <c r="CQ25" s="102"/>
      <c r="CR25" s="102"/>
      <c r="CS25" s="102"/>
      <c r="CT25" s="102"/>
      <c r="CU25" s="102"/>
      <c r="CV25" s="102"/>
      <c r="CW25" s="102"/>
      <c r="CX25" s="102"/>
      <c r="CY25" s="102"/>
      <c r="CZ25" s="102"/>
      <c r="DA25" s="102"/>
      <c r="DB25" s="102"/>
      <c r="DC25" s="102"/>
      <c r="DD25" s="102"/>
      <c r="DE25" s="102"/>
      <c r="DF25" s="102"/>
      <c r="DG25" s="102"/>
      <c r="DH25" s="102"/>
      <c r="DI25" s="102"/>
      <c r="DJ25" s="102"/>
      <c r="DK25" s="102"/>
      <c r="DL25" s="102"/>
      <c r="DM25" s="102"/>
      <c r="DN25" s="102"/>
      <c r="DO25" s="102"/>
      <c r="DP25" s="102"/>
      <c r="DQ25" s="102"/>
      <c r="DR25" s="102"/>
      <c r="DS25" s="102"/>
      <c r="DT25" s="102"/>
      <c r="DU25" s="102"/>
      <c r="DV25" s="102"/>
      <c r="DW25" s="102"/>
      <c r="DX25" s="102"/>
      <c r="DY25" s="102"/>
      <c r="DZ25" s="102"/>
      <c r="EA25" s="102"/>
      <c r="EB25" s="102"/>
      <c r="EC25" s="102"/>
      <c r="ED25" s="102"/>
      <c r="EE25" s="102"/>
      <c r="EF25" s="102"/>
      <c r="EG25" s="102"/>
      <c r="EH25" s="102"/>
      <c r="EI25" s="102"/>
      <c r="EJ25" s="102"/>
      <c r="EK25" s="102"/>
      <c r="EL25" s="102"/>
      <c r="EM25" s="102"/>
      <c r="EN25" s="102"/>
      <c r="EO25" s="102"/>
      <c r="EP25" s="102"/>
      <c r="EQ25" s="102"/>
      <c r="ER25" s="102"/>
    </row>
    <row r="26" spans="1:148">
      <c r="L26" s="73"/>
      <c r="M26" s="73"/>
      <c r="N26" s="73"/>
      <c r="O26" s="73"/>
    </row>
    <row r="27" spans="1:148">
      <c r="B27" t="s">
        <v>30</v>
      </c>
      <c r="L27" s="73"/>
      <c r="M27" s="73"/>
      <c r="N27" s="73"/>
      <c r="O27" s="73"/>
    </row>
    <row r="28" spans="1:148">
      <c r="C28" t="s">
        <v>822</v>
      </c>
      <c r="L28" s="135">
        <v>113570</v>
      </c>
      <c r="N28" s="73">
        <v>3918624</v>
      </c>
      <c r="O28" s="73"/>
      <c r="U28" s="73">
        <f>SUM(L28:T28)</f>
        <v>4032194</v>
      </c>
    </row>
    <row r="29" spans="1:148">
      <c r="C29" t="s">
        <v>823</v>
      </c>
      <c r="L29" s="90"/>
      <c r="M29" s="73">
        <v>2153274</v>
      </c>
      <c r="N29" s="73"/>
      <c r="O29" s="73">
        <v>1393018</v>
      </c>
      <c r="P29">
        <v>1166122</v>
      </c>
      <c r="S29">
        <v>683524</v>
      </c>
      <c r="T29">
        <v>3186841</v>
      </c>
      <c r="U29" s="73">
        <f t="shared" ref="U29:U32" si="5">SUM(L29:T29)</f>
        <v>8582779</v>
      </c>
    </row>
    <row r="30" spans="1:148">
      <c r="C30" t="s">
        <v>824</v>
      </c>
      <c r="L30" s="90"/>
      <c r="M30" s="73"/>
      <c r="N30" s="73"/>
      <c r="O30" s="73"/>
      <c r="R30">
        <v>570730</v>
      </c>
      <c r="T30">
        <v>2188248</v>
      </c>
      <c r="U30" s="73">
        <f t="shared" si="5"/>
        <v>2758978</v>
      </c>
    </row>
    <row r="31" spans="1:148">
      <c r="C31" t="s">
        <v>825</v>
      </c>
      <c r="L31" s="73"/>
      <c r="M31" s="73"/>
      <c r="N31" s="73"/>
      <c r="O31" s="73"/>
      <c r="Q31">
        <v>277862</v>
      </c>
      <c r="T31">
        <v>36605</v>
      </c>
      <c r="U31" s="73">
        <f t="shared" si="5"/>
        <v>314467</v>
      </c>
    </row>
    <row r="32" spans="1:148">
      <c r="C32" t="s">
        <v>826</v>
      </c>
      <c r="L32" s="84">
        <v>12961742</v>
      </c>
      <c r="M32" s="73"/>
      <c r="N32" s="73"/>
      <c r="O32" s="73"/>
      <c r="P32" s="112"/>
      <c r="Q32" s="112"/>
      <c r="R32" s="112"/>
      <c r="S32" s="112"/>
      <c r="T32" s="112"/>
      <c r="U32" s="85">
        <f t="shared" si="5"/>
        <v>12961742</v>
      </c>
    </row>
    <row r="33" spans="4:148">
      <c r="L33" s="93"/>
      <c r="M33" s="93"/>
      <c r="N33" s="93"/>
      <c r="O33" s="93"/>
    </row>
    <row r="34" spans="4:148" s="5" customFormat="1">
      <c r="D34" s="6"/>
      <c r="E34" s="6" t="s">
        <v>77</v>
      </c>
      <c r="L34" s="79">
        <f>SUM(L28:L32)</f>
        <v>13075312</v>
      </c>
      <c r="M34" s="79">
        <f>SUM(M29:M32)</f>
        <v>2153274</v>
      </c>
      <c r="N34" s="79">
        <f t="shared" ref="N34:U34" si="6">SUM(N28:N32)</f>
        <v>3918624</v>
      </c>
      <c r="O34" s="79">
        <f t="shared" si="6"/>
        <v>1393018</v>
      </c>
      <c r="P34" s="79">
        <f t="shared" si="6"/>
        <v>1166122</v>
      </c>
      <c r="Q34" s="79">
        <f t="shared" si="6"/>
        <v>277862</v>
      </c>
      <c r="R34" s="79">
        <f t="shared" si="6"/>
        <v>570730</v>
      </c>
      <c r="S34" s="79">
        <f t="shared" si="6"/>
        <v>683524</v>
      </c>
      <c r="T34" s="79">
        <f t="shared" si="6"/>
        <v>5411694</v>
      </c>
      <c r="U34" s="79">
        <f t="shared" si="6"/>
        <v>28650160</v>
      </c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2"/>
      <c r="DC34" s="102"/>
      <c r="DD34" s="102"/>
      <c r="DE34" s="102"/>
      <c r="DF34" s="102"/>
      <c r="DG34" s="102"/>
      <c r="DH34" s="102"/>
      <c r="DI34" s="102"/>
      <c r="DJ34" s="102"/>
      <c r="DK34" s="102"/>
      <c r="DL34" s="102"/>
      <c r="DM34" s="102"/>
      <c r="DN34" s="102"/>
      <c r="DO34" s="102"/>
      <c r="DP34" s="102"/>
      <c r="DQ34" s="102"/>
      <c r="DR34" s="102"/>
      <c r="DS34" s="102"/>
      <c r="DT34" s="102"/>
      <c r="DU34" s="102"/>
      <c r="DV34" s="102"/>
      <c r="DW34" s="102"/>
      <c r="DX34" s="102"/>
      <c r="DY34" s="102"/>
      <c r="DZ34" s="102"/>
      <c r="EA34" s="102"/>
      <c r="EB34" s="102"/>
      <c r="EC34" s="102"/>
      <c r="ED34" s="102"/>
      <c r="EE34" s="102"/>
      <c r="EF34" s="102"/>
      <c r="EG34" s="102"/>
      <c r="EH34" s="102"/>
      <c r="EI34" s="102"/>
      <c r="EJ34" s="102"/>
      <c r="EK34" s="102"/>
      <c r="EL34" s="102"/>
      <c r="EM34" s="102"/>
      <c r="EN34" s="102"/>
      <c r="EO34" s="102"/>
      <c r="EP34" s="102"/>
      <c r="EQ34" s="102"/>
      <c r="ER34" s="102"/>
    </row>
    <row r="35" spans="4:148">
      <c r="L35" s="73"/>
      <c r="M35" s="73"/>
      <c r="N35" s="73"/>
      <c r="O35" s="73"/>
    </row>
    <row r="36" spans="4:148" s="7" customFormat="1">
      <c r="D36" s="8"/>
      <c r="E36" s="8" t="s">
        <v>827</v>
      </c>
      <c r="L36" s="81">
        <f>L34+L25+L19</f>
        <v>14581310</v>
      </c>
      <c r="M36" s="81">
        <f t="shared" ref="M36:U36" si="7">M34+M25+M19</f>
        <v>4850909</v>
      </c>
      <c r="N36" s="81">
        <f t="shared" si="7"/>
        <v>3941822</v>
      </c>
      <c r="O36" s="81">
        <f t="shared" si="7"/>
        <v>2530624</v>
      </c>
      <c r="P36" s="81">
        <f t="shared" si="7"/>
        <v>2289754</v>
      </c>
      <c r="Q36" s="81">
        <f t="shared" si="7"/>
        <v>324952</v>
      </c>
      <c r="R36" s="81">
        <f t="shared" si="7"/>
        <v>658064</v>
      </c>
      <c r="S36" s="81">
        <f t="shared" si="7"/>
        <v>2581459</v>
      </c>
      <c r="T36" s="81">
        <f t="shared" si="7"/>
        <v>6444426</v>
      </c>
      <c r="U36" s="81">
        <f t="shared" si="7"/>
        <v>38203320</v>
      </c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2"/>
      <c r="BM36" s="102"/>
      <c r="BN36" s="102"/>
      <c r="BO36" s="102"/>
      <c r="BP36" s="102"/>
      <c r="BQ36" s="102"/>
      <c r="BR36" s="102"/>
      <c r="BS36" s="102"/>
      <c r="BT36" s="102"/>
      <c r="BU36" s="102"/>
      <c r="BV36" s="102"/>
      <c r="BW36" s="102"/>
      <c r="BX36" s="102"/>
      <c r="BY36" s="102"/>
      <c r="BZ36" s="102"/>
      <c r="CA36" s="102"/>
      <c r="CB36" s="102"/>
      <c r="CC36" s="102"/>
      <c r="CD36" s="102"/>
      <c r="CE36" s="102"/>
      <c r="CF36" s="102"/>
      <c r="CG36" s="102"/>
      <c r="CH36" s="102"/>
      <c r="CI36" s="102"/>
      <c r="CJ36" s="102"/>
      <c r="CK36" s="102"/>
      <c r="CL36" s="102"/>
      <c r="CM36" s="102"/>
      <c r="CN36" s="102"/>
      <c r="CO36" s="102"/>
      <c r="CP36" s="102"/>
      <c r="CQ36" s="102"/>
      <c r="CR36" s="102"/>
      <c r="CS36" s="102"/>
      <c r="CT36" s="102"/>
      <c r="CU36" s="102"/>
      <c r="CV36" s="102"/>
      <c r="CW36" s="102"/>
      <c r="CX36" s="102"/>
      <c r="CY36" s="102"/>
      <c r="CZ36" s="102"/>
      <c r="DA36" s="102"/>
      <c r="DB36" s="102"/>
      <c r="DC36" s="102"/>
      <c r="DD36" s="102"/>
      <c r="DE36" s="102"/>
      <c r="DF36" s="102"/>
      <c r="DG36" s="102"/>
      <c r="DH36" s="102"/>
      <c r="DI36" s="102"/>
      <c r="DJ36" s="102"/>
      <c r="DK36" s="102"/>
      <c r="DL36" s="102"/>
      <c r="DM36" s="102"/>
      <c r="DN36" s="102"/>
      <c r="DO36" s="102"/>
      <c r="DP36" s="102"/>
      <c r="DQ36" s="102"/>
      <c r="DR36" s="102"/>
      <c r="DS36" s="102"/>
      <c r="DT36" s="102"/>
      <c r="DU36" s="102"/>
      <c r="DV36" s="102"/>
      <c r="DW36" s="102"/>
      <c r="DX36" s="102"/>
      <c r="DY36" s="102"/>
      <c r="DZ36" s="102"/>
      <c r="EA36" s="102"/>
      <c r="EB36" s="102"/>
      <c r="EC36" s="102"/>
      <c r="ED36" s="102"/>
      <c r="EE36" s="102"/>
      <c r="EF36" s="102"/>
      <c r="EG36" s="102"/>
      <c r="EH36" s="102"/>
      <c r="EI36" s="102"/>
      <c r="EJ36" s="102"/>
      <c r="EK36" s="102"/>
      <c r="EL36" s="102"/>
      <c r="EM36" s="102"/>
      <c r="EN36" s="102"/>
      <c r="EO36" s="102"/>
      <c r="EP36" s="102"/>
      <c r="EQ36" s="102"/>
      <c r="ER36" s="102"/>
    </row>
  </sheetData>
  <mergeCells count="2">
    <mergeCell ref="D1:L1"/>
    <mergeCell ref="D2:L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X29"/>
  <sheetViews>
    <sheetView workbookViewId="0">
      <selection activeCell="K24" sqref="K24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8.4257812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4.85546875" customWidth="1"/>
    <col min="13" max="13" width="16.42578125" customWidth="1"/>
    <col min="14" max="14" width="16.7109375" customWidth="1"/>
    <col min="15" max="16" width="19" customWidth="1"/>
    <col min="17" max="17" width="19.42578125" customWidth="1"/>
    <col min="18" max="18" width="19.85546875" bestFit="1" customWidth="1"/>
  </cols>
  <sheetData>
    <row r="1" spans="1:128" ht="18.75">
      <c r="D1" s="251" t="s">
        <v>828</v>
      </c>
      <c r="E1" s="251"/>
      <c r="F1" s="251"/>
      <c r="G1" s="251"/>
      <c r="H1" s="251"/>
      <c r="I1" s="251"/>
      <c r="J1" s="251"/>
      <c r="K1" s="251"/>
    </row>
    <row r="2" spans="1:128">
      <c r="D2" s="252" t="s">
        <v>80</v>
      </c>
      <c r="E2" s="252"/>
      <c r="F2" s="252"/>
      <c r="G2" s="252"/>
      <c r="H2" s="252"/>
      <c r="I2" s="252"/>
      <c r="J2" s="252"/>
      <c r="K2" s="252"/>
    </row>
    <row r="4" spans="1:128" ht="30">
      <c r="K4" s="1" t="s">
        <v>2</v>
      </c>
      <c r="L4" s="1" t="s">
        <v>829</v>
      </c>
      <c r="M4" s="1" t="s">
        <v>82</v>
      </c>
      <c r="N4" s="1" t="s">
        <v>830</v>
      </c>
      <c r="O4" s="1" t="s">
        <v>831</v>
      </c>
      <c r="P4" s="1" t="s">
        <v>96</v>
      </c>
      <c r="Q4" s="1" t="s">
        <v>832</v>
      </c>
      <c r="R4" s="1" t="s">
        <v>84</v>
      </c>
    </row>
    <row r="5" spans="1:128">
      <c r="A5" t="s">
        <v>8</v>
      </c>
    </row>
    <row r="6" spans="1:128">
      <c r="B6" t="s">
        <v>85</v>
      </c>
      <c r="K6" s="72">
        <v>1180180</v>
      </c>
      <c r="L6" s="73">
        <v>1928188</v>
      </c>
      <c r="M6" s="73">
        <v>1068171</v>
      </c>
      <c r="N6" s="73">
        <v>320000</v>
      </c>
      <c r="O6" s="73">
        <v>254343</v>
      </c>
      <c r="P6" s="73">
        <v>9124</v>
      </c>
      <c r="Q6" s="73">
        <v>1244245</v>
      </c>
      <c r="R6" s="73">
        <f>SUM(K6:Q6)</f>
        <v>6004251</v>
      </c>
    </row>
    <row r="7" spans="1:128">
      <c r="B7" t="s">
        <v>58</v>
      </c>
      <c r="K7" s="74">
        <v>386630</v>
      </c>
      <c r="L7" s="73">
        <v>621737</v>
      </c>
      <c r="M7" s="73">
        <v>128684</v>
      </c>
      <c r="N7" s="73">
        <v>21101</v>
      </c>
      <c r="O7" s="73">
        <v>4500</v>
      </c>
      <c r="P7" s="73">
        <v>4984</v>
      </c>
      <c r="Q7" s="73">
        <v>151061</v>
      </c>
      <c r="R7" s="73">
        <f>SUM(K7:Q7)</f>
        <v>1318697</v>
      </c>
    </row>
    <row r="8" spans="1:128">
      <c r="B8" t="s">
        <v>833</v>
      </c>
      <c r="K8" s="73"/>
      <c r="L8" s="73"/>
      <c r="M8" s="73">
        <v>784477</v>
      </c>
      <c r="N8" s="73"/>
      <c r="O8" s="73"/>
      <c r="P8" s="73"/>
      <c r="Q8" s="73"/>
      <c r="R8" s="73">
        <v>784477</v>
      </c>
    </row>
    <row r="9" spans="1:128" s="3" customFormat="1">
      <c r="A9" s="2"/>
      <c r="B9" s="2"/>
      <c r="C9" s="2"/>
      <c r="D9" s="2"/>
      <c r="E9" s="2" t="s">
        <v>18</v>
      </c>
      <c r="K9" s="76">
        <f t="shared" ref="K9:R9" si="0">SUM(K6:K8)</f>
        <v>1566810</v>
      </c>
      <c r="L9" s="76">
        <f t="shared" si="0"/>
        <v>2549925</v>
      </c>
      <c r="M9" s="76">
        <f t="shared" si="0"/>
        <v>1981332</v>
      </c>
      <c r="N9" s="76">
        <f t="shared" si="0"/>
        <v>341101</v>
      </c>
      <c r="O9" s="76">
        <f t="shared" si="0"/>
        <v>258843</v>
      </c>
      <c r="P9" s="76">
        <f t="shared" si="0"/>
        <v>14108</v>
      </c>
      <c r="Q9" s="76">
        <f t="shared" si="0"/>
        <v>1395306</v>
      </c>
      <c r="R9" s="76">
        <f t="shared" si="0"/>
        <v>8107425</v>
      </c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102"/>
      <c r="CM9" s="102"/>
      <c r="CN9" s="102"/>
      <c r="CO9" s="102"/>
      <c r="CP9" s="102"/>
      <c r="CQ9" s="102"/>
      <c r="CR9" s="102"/>
      <c r="CS9" s="102"/>
      <c r="CT9" s="102"/>
      <c r="CU9" s="102"/>
      <c r="CV9" s="102"/>
      <c r="CW9" s="102"/>
      <c r="CX9" s="102"/>
      <c r="CY9" s="102"/>
      <c r="CZ9" s="102"/>
      <c r="DA9" s="102"/>
      <c r="DB9" s="102"/>
      <c r="DC9" s="102"/>
      <c r="DD9" s="102"/>
      <c r="DE9" s="102"/>
      <c r="DF9" s="102"/>
      <c r="DG9" s="102"/>
      <c r="DH9" s="102"/>
      <c r="DI9" s="102"/>
      <c r="DJ9" s="102"/>
      <c r="DK9" s="102"/>
      <c r="DL9" s="102"/>
      <c r="DM9" s="102"/>
      <c r="DN9" s="102"/>
      <c r="DO9" s="102"/>
      <c r="DP9" s="102"/>
      <c r="DQ9" s="102"/>
      <c r="DR9" s="102"/>
      <c r="DS9" s="102"/>
      <c r="DT9" s="102"/>
      <c r="DU9" s="102"/>
      <c r="DV9" s="102"/>
      <c r="DW9" s="102"/>
      <c r="DX9" s="102"/>
    </row>
    <row r="10" spans="1:128">
      <c r="K10" s="73"/>
      <c r="L10" s="73"/>
      <c r="M10" s="73"/>
      <c r="N10" s="73"/>
      <c r="O10" s="73"/>
      <c r="P10" s="73"/>
      <c r="Q10" s="73"/>
      <c r="R10" s="73"/>
    </row>
    <row r="11" spans="1:128">
      <c r="A11" s="4" t="s">
        <v>19</v>
      </c>
      <c r="K11" s="73"/>
      <c r="L11" s="73"/>
      <c r="M11" s="73"/>
      <c r="N11" s="73"/>
      <c r="O11" s="73"/>
      <c r="P11" s="73"/>
      <c r="Q11" s="73"/>
      <c r="R11" s="73"/>
    </row>
    <row r="12" spans="1:128">
      <c r="B12" t="s">
        <v>20</v>
      </c>
      <c r="K12" s="73"/>
      <c r="L12" s="73"/>
      <c r="M12" s="73"/>
      <c r="O12" s="73"/>
      <c r="P12" s="73"/>
      <c r="Q12" s="73"/>
      <c r="R12" s="73"/>
    </row>
    <row r="13" spans="1:128">
      <c r="C13" t="s">
        <v>333</v>
      </c>
      <c r="L13" s="73"/>
      <c r="M13" s="73"/>
      <c r="N13" s="73">
        <v>105611</v>
      </c>
      <c r="O13" s="73"/>
      <c r="P13" s="73"/>
      <c r="Q13" s="73">
        <v>56</v>
      </c>
      <c r="R13" s="73">
        <f>SUM(K13:Q13)</f>
        <v>105667</v>
      </c>
    </row>
    <row r="14" spans="1:128">
      <c r="C14" t="s">
        <v>21</v>
      </c>
      <c r="K14" s="77">
        <v>49979</v>
      </c>
      <c r="L14" s="73">
        <v>44823</v>
      </c>
      <c r="M14" s="73">
        <v>31834</v>
      </c>
      <c r="N14" s="73">
        <v>94</v>
      </c>
      <c r="O14" s="73"/>
      <c r="P14" s="73">
        <v>322</v>
      </c>
      <c r="Q14" s="73">
        <v>47759</v>
      </c>
      <c r="R14" s="73">
        <f>SUM(K14:Q14)</f>
        <v>174811</v>
      </c>
    </row>
    <row r="15" spans="1:128">
      <c r="C15" t="s">
        <v>22</v>
      </c>
      <c r="K15" s="100">
        <v>37326</v>
      </c>
      <c r="L15" s="73"/>
      <c r="M15" s="73"/>
      <c r="N15" s="73"/>
      <c r="O15" s="73">
        <v>8690</v>
      </c>
      <c r="P15" s="73"/>
      <c r="Q15" s="73"/>
      <c r="R15" s="73">
        <f>SUM(K15:Q15)</f>
        <v>46016</v>
      </c>
    </row>
    <row r="16" spans="1:128">
      <c r="K16" s="93"/>
      <c r="L16" s="93"/>
      <c r="M16" s="93"/>
      <c r="N16" s="93"/>
      <c r="O16" s="93"/>
      <c r="P16" s="93"/>
      <c r="Q16" s="93"/>
      <c r="R16" s="93"/>
    </row>
    <row r="17" spans="1:128" s="5" customFormat="1">
      <c r="B17" s="6"/>
      <c r="C17" s="6"/>
      <c r="D17" s="6"/>
      <c r="E17" s="6" t="s">
        <v>26</v>
      </c>
      <c r="K17" s="79">
        <f>SUM(K14:K15)</f>
        <v>87305</v>
      </c>
      <c r="L17" s="79">
        <f t="shared" ref="L17:R17" si="1">SUM(L13:L15)</f>
        <v>44823</v>
      </c>
      <c r="M17" s="79">
        <f t="shared" si="1"/>
        <v>31834</v>
      </c>
      <c r="N17" s="79">
        <f t="shared" si="1"/>
        <v>105705</v>
      </c>
      <c r="O17" s="79">
        <f t="shared" si="1"/>
        <v>8690</v>
      </c>
      <c r="P17" s="79">
        <f t="shared" si="1"/>
        <v>322</v>
      </c>
      <c r="Q17" s="79">
        <f t="shared" si="1"/>
        <v>47815</v>
      </c>
      <c r="R17" s="79">
        <f t="shared" si="1"/>
        <v>326494</v>
      </c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2"/>
      <c r="CR17" s="102"/>
      <c r="CS17" s="102"/>
      <c r="CT17" s="102"/>
      <c r="CU17" s="102"/>
      <c r="CV17" s="102"/>
      <c r="CW17" s="102"/>
      <c r="CX17" s="102"/>
      <c r="CY17" s="102"/>
      <c r="CZ17" s="102"/>
      <c r="DA17" s="102"/>
      <c r="DB17" s="102"/>
      <c r="DC17" s="102"/>
      <c r="DD17" s="102"/>
      <c r="DE17" s="102"/>
      <c r="DF17" s="102"/>
      <c r="DG17" s="102"/>
      <c r="DH17" s="102"/>
      <c r="DI17" s="102"/>
      <c r="DJ17" s="102"/>
      <c r="DK17" s="102"/>
      <c r="DL17" s="102"/>
      <c r="DM17" s="102"/>
      <c r="DN17" s="102"/>
      <c r="DO17" s="102"/>
      <c r="DP17" s="102"/>
      <c r="DQ17" s="102"/>
      <c r="DR17" s="102"/>
      <c r="DS17" s="102"/>
      <c r="DT17" s="102"/>
      <c r="DU17" s="102"/>
      <c r="DV17" s="102"/>
      <c r="DW17" s="102"/>
      <c r="DX17" s="102"/>
    </row>
    <row r="18" spans="1:128">
      <c r="K18" s="73"/>
      <c r="L18" s="73"/>
      <c r="M18" s="73"/>
      <c r="N18" s="73"/>
      <c r="O18" s="73"/>
      <c r="P18" s="73"/>
      <c r="Q18" s="73"/>
      <c r="R18" s="73"/>
    </row>
    <row r="19" spans="1:128">
      <c r="A19" s="86" t="s">
        <v>834</v>
      </c>
      <c r="K19" s="73"/>
      <c r="L19" s="73"/>
      <c r="M19" s="73"/>
      <c r="N19" s="73"/>
      <c r="O19" s="73"/>
      <c r="P19" s="73"/>
      <c r="Q19" s="73"/>
      <c r="R19" s="73"/>
    </row>
    <row r="20" spans="1:128">
      <c r="B20" t="s">
        <v>835</v>
      </c>
      <c r="K20" s="85">
        <v>44504</v>
      </c>
      <c r="L20" s="85">
        <v>80156</v>
      </c>
      <c r="M20" s="85"/>
      <c r="N20" s="85"/>
      <c r="O20" s="85"/>
      <c r="P20" s="85">
        <v>31601</v>
      </c>
      <c r="Q20" s="85">
        <v>24104</v>
      </c>
      <c r="R20" s="85">
        <f>SUM(K20:Q20)</f>
        <v>180365</v>
      </c>
    </row>
    <row r="21" spans="1:128">
      <c r="K21" s="73"/>
      <c r="L21" s="73"/>
      <c r="M21" s="73"/>
      <c r="N21" s="73"/>
      <c r="O21" s="73"/>
      <c r="P21" s="73"/>
      <c r="Q21" s="73"/>
      <c r="R21" s="73"/>
    </row>
    <row r="22" spans="1:128">
      <c r="B22" t="s">
        <v>836</v>
      </c>
      <c r="L22" s="73"/>
      <c r="M22" s="73"/>
      <c r="N22" s="73"/>
      <c r="O22" s="73"/>
      <c r="P22" s="73"/>
      <c r="Q22" s="73"/>
      <c r="R22" s="73"/>
    </row>
    <row r="23" spans="1:128">
      <c r="C23" t="s">
        <v>88</v>
      </c>
      <c r="K23" s="80">
        <v>17368</v>
      </c>
      <c r="L23" s="73">
        <v>2424946</v>
      </c>
      <c r="M23" s="73">
        <v>1949498</v>
      </c>
      <c r="N23" s="73">
        <v>235396</v>
      </c>
      <c r="O23" s="73">
        <v>250153</v>
      </c>
      <c r="P23" s="73"/>
      <c r="Q23" s="73">
        <v>1323387</v>
      </c>
      <c r="R23" s="73">
        <v>6183380</v>
      </c>
    </row>
    <row r="24" spans="1:128">
      <c r="C24" t="s">
        <v>89</v>
      </c>
      <c r="K24" s="101">
        <v>61368</v>
      </c>
      <c r="L24" s="73"/>
      <c r="M24" s="73"/>
      <c r="N24" s="73"/>
      <c r="O24" s="73"/>
      <c r="P24" s="73"/>
      <c r="Q24" s="73"/>
      <c r="R24" s="73">
        <f>SUM(K24:Q24)</f>
        <v>61368</v>
      </c>
    </row>
    <row r="25" spans="1:128">
      <c r="C25" t="s">
        <v>46</v>
      </c>
      <c r="K25" s="84">
        <v>1356265</v>
      </c>
      <c r="L25" s="73"/>
      <c r="M25" s="73"/>
      <c r="N25" s="73"/>
      <c r="O25" s="73"/>
      <c r="P25" s="73">
        <v>-17815</v>
      </c>
      <c r="Q25" s="73">
        <v>1323387</v>
      </c>
      <c r="R25" s="73">
        <v>1355818</v>
      </c>
    </row>
    <row r="26" spans="1:128">
      <c r="K26" s="73"/>
      <c r="L26" s="93"/>
      <c r="M26" s="93"/>
      <c r="N26" s="93"/>
      <c r="O26" s="93"/>
      <c r="P26" s="93"/>
      <c r="Q26" s="93"/>
      <c r="R26" s="93"/>
    </row>
    <row r="27" spans="1:128" s="5" customFormat="1">
      <c r="D27" s="6"/>
      <c r="E27" s="6" t="s">
        <v>810</v>
      </c>
      <c r="K27" s="79">
        <f>SUM(K23:K25)</f>
        <v>1435001</v>
      </c>
      <c r="L27" s="79">
        <f t="shared" ref="L27:R27" si="2">SUM(L23:L25)</f>
        <v>2424946</v>
      </c>
      <c r="M27" s="79">
        <f t="shared" si="2"/>
        <v>1949498</v>
      </c>
      <c r="N27" s="79">
        <f t="shared" si="2"/>
        <v>235396</v>
      </c>
      <c r="O27" s="79">
        <f t="shared" si="2"/>
        <v>250153</v>
      </c>
      <c r="P27" s="79">
        <f t="shared" si="2"/>
        <v>-17815</v>
      </c>
      <c r="Q27" s="79">
        <f t="shared" si="2"/>
        <v>2646774</v>
      </c>
      <c r="R27" s="79">
        <f t="shared" si="2"/>
        <v>7600566</v>
      </c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2"/>
      <c r="BM27" s="102"/>
      <c r="BN27" s="102"/>
      <c r="BO27" s="102"/>
      <c r="BP27" s="102"/>
      <c r="BQ27" s="102"/>
      <c r="BR27" s="102"/>
      <c r="BS27" s="102"/>
      <c r="BT27" s="102"/>
      <c r="BU27" s="102"/>
      <c r="BV27" s="102"/>
      <c r="BW27" s="102"/>
      <c r="BX27" s="102"/>
      <c r="BY27" s="102"/>
      <c r="BZ27" s="102"/>
      <c r="CA27" s="102"/>
      <c r="CB27" s="102"/>
      <c r="CC27" s="102"/>
      <c r="CD27" s="102"/>
      <c r="CE27" s="102"/>
      <c r="CF27" s="102"/>
      <c r="CG27" s="102"/>
      <c r="CH27" s="102"/>
      <c r="CI27" s="102"/>
      <c r="CJ27" s="102"/>
      <c r="CK27" s="102"/>
      <c r="CL27" s="102"/>
      <c r="CM27" s="102"/>
      <c r="CN27" s="102"/>
      <c r="CO27" s="102"/>
      <c r="CP27" s="102"/>
      <c r="CQ27" s="102"/>
      <c r="CR27" s="102"/>
      <c r="CS27" s="102"/>
      <c r="CT27" s="102"/>
      <c r="CU27" s="102"/>
      <c r="CV27" s="102"/>
      <c r="CW27" s="102"/>
      <c r="CX27" s="102"/>
      <c r="CY27" s="102"/>
      <c r="CZ27" s="102"/>
      <c r="DA27" s="102"/>
      <c r="DB27" s="102"/>
      <c r="DC27" s="102"/>
      <c r="DD27" s="102"/>
      <c r="DE27" s="102"/>
      <c r="DF27" s="102"/>
      <c r="DG27" s="102"/>
      <c r="DH27" s="102"/>
      <c r="DI27" s="102"/>
      <c r="DJ27" s="102"/>
      <c r="DK27" s="102"/>
      <c r="DL27" s="102"/>
      <c r="DM27" s="102"/>
      <c r="DN27" s="102"/>
      <c r="DO27" s="102"/>
      <c r="DP27" s="102"/>
      <c r="DQ27" s="102"/>
      <c r="DR27" s="102"/>
      <c r="DS27" s="102"/>
      <c r="DT27" s="102"/>
      <c r="DU27" s="102"/>
      <c r="DV27" s="102"/>
      <c r="DW27" s="102"/>
      <c r="DX27" s="102"/>
    </row>
    <row r="28" spans="1:128">
      <c r="K28" s="73"/>
      <c r="L28" s="73"/>
      <c r="M28" s="73"/>
      <c r="N28" s="73"/>
      <c r="O28" s="73"/>
      <c r="P28" s="73"/>
      <c r="Q28" s="73"/>
      <c r="R28" s="73"/>
    </row>
    <row r="29" spans="1:128" s="7" customFormat="1">
      <c r="D29" s="8"/>
      <c r="E29" s="8" t="s">
        <v>837</v>
      </c>
      <c r="K29" s="81">
        <f>SUM(K17+K20+K27)</f>
        <v>1566810</v>
      </c>
      <c r="L29" s="81">
        <f>SUM(L17+L20+L27)</f>
        <v>2549925</v>
      </c>
      <c r="M29" s="81">
        <f t="shared" ref="M29:R29" si="3">SUM(M17+M20+M27)</f>
        <v>1981332</v>
      </c>
      <c r="N29" s="81">
        <f t="shared" si="3"/>
        <v>341101</v>
      </c>
      <c r="O29" s="81">
        <f t="shared" si="3"/>
        <v>258843</v>
      </c>
      <c r="P29" s="81">
        <f t="shared" si="3"/>
        <v>14108</v>
      </c>
      <c r="Q29" s="81">
        <f t="shared" si="3"/>
        <v>2718693</v>
      </c>
      <c r="R29" s="81">
        <f t="shared" si="3"/>
        <v>8107425</v>
      </c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02"/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2"/>
      <c r="CF29" s="102"/>
      <c r="CG29" s="102"/>
      <c r="CH29" s="102"/>
      <c r="CI29" s="102"/>
      <c r="CJ29" s="102"/>
      <c r="CK29" s="102"/>
      <c r="CL29" s="102"/>
      <c r="CM29" s="102"/>
      <c r="CN29" s="102"/>
      <c r="CO29" s="102"/>
      <c r="CP29" s="102"/>
      <c r="CQ29" s="102"/>
      <c r="CR29" s="102"/>
      <c r="CS29" s="102"/>
      <c r="CT29" s="102"/>
      <c r="CU29" s="102"/>
      <c r="CV29" s="102"/>
      <c r="CW29" s="102"/>
      <c r="CX29" s="102"/>
      <c r="CY29" s="102"/>
      <c r="CZ29" s="102"/>
      <c r="DA29" s="102"/>
      <c r="DB29" s="102"/>
      <c r="DC29" s="102"/>
      <c r="DD29" s="102"/>
      <c r="DE29" s="102"/>
      <c r="DF29" s="102"/>
      <c r="DG29" s="102"/>
      <c r="DH29" s="102"/>
      <c r="DI29" s="102"/>
      <c r="DJ29" s="102"/>
      <c r="DK29" s="102"/>
      <c r="DL29" s="102"/>
      <c r="DM29" s="102"/>
      <c r="DN29" s="102"/>
      <c r="DO29" s="102"/>
      <c r="DP29" s="102"/>
      <c r="DQ29" s="102"/>
      <c r="DR29" s="102"/>
      <c r="DS29" s="102"/>
      <c r="DT29" s="102"/>
      <c r="DU29" s="102"/>
      <c r="DV29" s="102"/>
      <c r="DW29" s="102"/>
      <c r="DX29" s="102"/>
    </row>
  </sheetData>
  <mergeCells count="2">
    <mergeCell ref="D1:K1"/>
    <mergeCell ref="D2:K2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R37"/>
  <sheetViews>
    <sheetView topLeftCell="A18" workbookViewId="0">
      <selection activeCell="N38" sqref="N38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3.140625" customWidth="1"/>
    <col min="12" max="13" width="16.42578125" customWidth="1"/>
    <col min="14" max="14" width="16.140625" customWidth="1"/>
    <col min="15" max="15" width="13.140625" customWidth="1"/>
    <col min="16" max="16" width="19.42578125" customWidth="1"/>
    <col min="17" max="17" width="14.42578125" customWidth="1"/>
    <col min="18" max="18" width="13.85546875" customWidth="1"/>
  </cols>
  <sheetData>
    <row r="1" spans="1:18" ht="18.75">
      <c r="D1" s="251" t="s">
        <v>838</v>
      </c>
      <c r="E1" s="251"/>
      <c r="F1" s="251"/>
      <c r="G1" s="251"/>
      <c r="H1" s="251"/>
      <c r="I1" s="251"/>
      <c r="J1" s="251"/>
      <c r="K1" s="251"/>
    </row>
    <row r="2" spans="1:18">
      <c r="D2" s="252" t="s">
        <v>650</v>
      </c>
      <c r="E2" s="252"/>
      <c r="F2" s="252"/>
      <c r="G2" s="252"/>
      <c r="H2" s="252"/>
      <c r="I2" s="252"/>
      <c r="J2" s="252"/>
      <c r="K2" s="252"/>
    </row>
    <row r="3" spans="1:18" ht="12" customHeight="1">
      <c r="D3" s="57"/>
      <c r="E3" s="57"/>
      <c r="F3" s="57"/>
      <c r="G3" s="57"/>
      <c r="H3" s="57"/>
      <c r="I3" s="57"/>
      <c r="J3" s="57"/>
      <c r="K3" s="252"/>
      <c r="L3" s="252"/>
      <c r="M3" s="252"/>
      <c r="N3" s="252"/>
      <c r="O3" s="215"/>
      <c r="P3" s="215"/>
      <c r="Q3" s="215"/>
    </row>
    <row r="4" spans="1:18" ht="15" customHeight="1">
      <c r="K4" s="190"/>
      <c r="L4" s="190"/>
      <c r="M4" s="190"/>
      <c r="N4" s="190"/>
      <c r="O4" s="190"/>
    </row>
    <row r="5" spans="1:18" ht="45">
      <c r="K5" s="1" t="s">
        <v>2</v>
      </c>
      <c r="L5" s="1" t="s">
        <v>82</v>
      </c>
      <c r="M5" s="1" t="s">
        <v>202</v>
      </c>
      <c r="N5" s="213" t="s">
        <v>839</v>
      </c>
      <c r="O5" s="213" t="s">
        <v>840</v>
      </c>
      <c r="P5" s="213" t="s">
        <v>841</v>
      </c>
      <c r="Q5" s="213" t="s">
        <v>596</v>
      </c>
      <c r="R5" s="213" t="s">
        <v>7</v>
      </c>
    </row>
    <row r="6" spans="1:18">
      <c r="A6" t="s">
        <v>8</v>
      </c>
      <c r="N6" s="214"/>
      <c r="O6" s="214"/>
      <c r="P6" s="214"/>
      <c r="Q6" s="214"/>
    </row>
    <row r="7" spans="1:18">
      <c r="B7" t="s">
        <v>85</v>
      </c>
      <c r="K7" s="72">
        <v>569799</v>
      </c>
      <c r="L7" s="73">
        <v>36501</v>
      </c>
      <c r="M7" s="73">
        <v>142996</v>
      </c>
      <c r="N7" s="90"/>
      <c r="O7" s="90"/>
      <c r="P7" s="90"/>
      <c r="Q7" s="242">
        <v>377064</v>
      </c>
      <c r="R7" s="103">
        <f>SUM(K7:Q7)</f>
        <v>1126360</v>
      </c>
    </row>
    <row r="8" spans="1:18">
      <c r="B8" t="s">
        <v>10</v>
      </c>
      <c r="K8" s="77">
        <v>5804598</v>
      </c>
      <c r="L8" s="73">
        <v>112534</v>
      </c>
      <c r="M8" s="73">
        <v>238293</v>
      </c>
      <c r="N8" s="90">
        <v>2008577</v>
      </c>
      <c r="O8" s="90">
        <v>488945</v>
      </c>
      <c r="P8" s="90"/>
      <c r="Q8" s="242">
        <v>3876253</v>
      </c>
      <c r="R8" s="103">
        <f>SUM(K8:Q8)</f>
        <v>12529200</v>
      </c>
    </row>
    <row r="9" spans="1:18">
      <c r="B9" t="s">
        <v>164</v>
      </c>
      <c r="K9" s="130">
        <v>41087</v>
      </c>
      <c r="L9" s="73"/>
      <c r="M9" s="73">
        <v>33988</v>
      </c>
      <c r="N9" s="90">
        <v>61149</v>
      </c>
      <c r="O9" s="90"/>
      <c r="P9" s="90"/>
      <c r="Q9" s="242">
        <v>20847</v>
      </c>
      <c r="R9" s="103">
        <f t="shared" ref="R9:R16" si="0">SUM(K9:Q9)</f>
        <v>157071</v>
      </c>
    </row>
    <row r="10" spans="1:18">
      <c r="B10" t="s">
        <v>151</v>
      </c>
      <c r="K10" s="73"/>
      <c r="L10" s="73"/>
      <c r="M10" s="73"/>
      <c r="N10" s="90"/>
      <c r="O10" s="90"/>
      <c r="P10" s="90"/>
      <c r="Q10" s="242"/>
      <c r="R10" s="103">
        <f t="shared" si="0"/>
        <v>0</v>
      </c>
    </row>
    <row r="11" spans="1:18">
      <c r="C11" t="s">
        <v>311</v>
      </c>
      <c r="K11" s="74">
        <v>14175</v>
      </c>
      <c r="L11" s="73">
        <v>3000</v>
      </c>
      <c r="M11" s="73">
        <v>1265</v>
      </c>
      <c r="N11" s="90"/>
      <c r="O11" s="90"/>
      <c r="P11" s="90"/>
      <c r="Q11" s="242">
        <v>54288</v>
      </c>
      <c r="R11" s="103">
        <f t="shared" si="0"/>
        <v>72728</v>
      </c>
    </row>
    <row r="12" spans="1:18">
      <c r="C12" t="s">
        <v>312</v>
      </c>
      <c r="K12" s="74">
        <v>63449</v>
      </c>
      <c r="L12" s="73">
        <v>100678</v>
      </c>
      <c r="M12" s="73">
        <v>63375</v>
      </c>
      <c r="N12" s="90"/>
      <c r="O12" s="90"/>
      <c r="P12" s="90"/>
      <c r="Q12" s="242"/>
      <c r="R12" s="103">
        <f t="shared" si="0"/>
        <v>227502</v>
      </c>
    </row>
    <row r="13" spans="1:18">
      <c r="B13" t="s">
        <v>16</v>
      </c>
      <c r="K13" s="75">
        <v>702680</v>
      </c>
      <c r="L13" s="73">
        <v>6929</v>
      </c>
      <c r="M13" s="73"/>
      <c r="N13" s="90">
        <v>49445</v>
      </c>
      <c r="O13" s="90"/>
      <c r="P13" s="90"/>
      <c r="Q13" s="242">
        <v>1174</v>
      </c>
      <c r="R13" s="103">
        <f t="shared" si="0"/>
        <v>760228</v>
      </c>
    </row>
    <row r="14" spans="1:18">
      <c r="B14" t="s">
        <v>59</v>
      </c>
      <c r="K14" s="75">
        <v>28467</v>
      </c>
      <c r="L14" s="73"/>
      <c r="M14" s="73"/>
      <c r="N14" s="90">
        <v>25227</v>
      </c>
      <c r="O14" s="90"/>
      <c r="P14" s="90"/>
      <c r="Q14" s="242"/>
      <c r="R14" s="103">
        <f t="shared" si="0"/>
        <v>53694</v>
      </c>
    </row>
    <row r="15" spans="1:18">
      <c r="B15" t="s">
        <v>468</v>
      </c>
      <c r="L15" s="73"/>
      <c r="M15" s="73"/>
      <c r="N15" s="90"/>
      <c r="O15" s="90"/>
      <c r="P15" s="90"/>
      <c r="Q15" s="242"/>
      <c r="R15" s="103">
        <f t="shared" si="0"/>
        <v>0</v>
      </c>
    </row>
    <row r="16" spans="1:18">
      <c r="C16" t="s">
        <v>85</v>
      </c>
      <c r="L16" s="73"/>
      <c r="M16" s="73"/>
      <c r="N16" s="90"/>
      <c r="O16" s="90"/>
      <c r="P16" s="90">
        <v>5429</v>
      </c>
      <c r="Q16" s="242"/>
      <c r="R16" s="103">
        <f t="shared" si="0"/>
        <v>5429</v>
      </c>
    </row>
    <row r="17" spans="1:18">
      <c r="C17" t="s">
        <v>10</v>
      </c>
      <c r="L17" s="73"/>
      <c r="M17" s="73"/>
      <c r="N17" s="90"/>
      <c r="O17" s="90"/>
      <c r="P17" s="90">
        <v>1224515</v>
      </c>
      <c r="Q17" s="242">
        <v>90693</v>
      </c>
      <c r="R17" s="103">
        <f>SUM(K17:Q17)</f>
        <v>1315208</v>
      </c>
    </row>
    <row r="18" spans="1:18">
      <c r="K18" s="93"/>
      <c r="L18" s="93"/>
      <c r="M18" s="93"/>
      <c r="N18" s="241"/>
      <c r="O18" s="241"/>
      <c r="P18" s="241"/>
      <c r="Q18" s="243"/>
      <c r="R18" s="159"/>
    </row>
    <row r="19" spans="1:18" s="3" customFormat="1">
      <c r="A19" s="2"/>
      <c r="B19" s="2"/>
      <c r="C19" s="2"/>
      <c r="D19" s="2"/>
      <c r="E19" s="2" t="s">
        <v>62</v>
      </c>
      <c r="K19" s="76">
        <f t="shared" ref="K19:R19" si="1">SUM(K7:K17)</f>
        <v>7224255</v>
      </c>
      <c r="L19" s="76">
        <f t="shared" si="1"/>
        <v>259642</v>
      </c>
      <c r="M19" s="76">
        <f t="shared" si="1"/>
        <v>479917</v>
      </c>
      <c r="N19" s="76">
        <f t="shared" si="1"/>
        <v>2144398</v>
      </c>
      <c r="O19" s="76">
        <f t="shared" si="1"/>
        <v>488945</v>
      </c>
      <c r="P19" s="76">
        <f t="shared" si="1"/>
        <v>1229944</v>
      </c>
      <c r="Q19" s="244">
        <f t="shared" si="1"/>
        <v>4420319</v>
      </c>
      <c r="R19" s="244">
        <f t="shared" si="1"/>
        <v>16247420</v>
      </c>
    </row>
    <row r="20" spans="1:18">
      <c r="K20" s="73"/>
      <c r="L20" s="73"/>
      <c r="M20" s="73"/>
      <c r="N20" s="73"/>
      <c r="O20" s="73"/>
      <c r="P20" s="73"/>
      <c r="Q20" s="103"/>
      <c r="R20" s="103"/>
    </row>
    <row r="21" spans="1:18">
      <c r="A21" s="4" t="s">
        <v>119</v>
      </c>
      <c r="K21" s="73"/>
      <c r="L21" s="73"/>
      <c r="M21" s="73"/>
      <c r="N21" s="73"/>
      <c r="O21" s="73"/>
      <c r="P21" s="73"/>
    </row>
    <row r="22" spans="1:18">
      <c r="C22" t="s">
        <v>728</v>
      </c>
      <c r="K22" s="77">
        <v>196626</v>
      </c>
      <c r="L22" s="73">
        <v>3306</v>
      </c>
      <c r="M22" s="73">
        <v>34352</v>
      </c>
      <c r="N22" s="73">
        <v>25416</v>
      </c>
      <c r="O22" s="73">
        <v>249</v>
      </c>
      <c r="P22" s="73">
        <v>20290</v>
      </c>
      <c r="Q22" s="73">
        <v>273350</v>
      </c>
      <c r="R22" s="73">
        <f t="shared" ref="R22:R25" si="2">SUM(K22:Q22)</f>
        <v>553589</v>
      </c>
    </row>
    <row r="23" spans="1:18">
      <c r="C23" t="s">
        <v>842</v>
      </c>
      <c r="K23" s="82">
        <v>72818</v>
      </c>
      <c r="L23" s="73"/>
      <c r="M23" s="73">
        <v>7928</v>
      </c>
      <c r="N23" s="73">
        <v>14376</v>
      </c>
      <c r="O23" s="73">
        <v>1245</v>
      </c>
      <c r="P23" s="73"/>
      <c r="Q23" s="73">
        <v>12141</v>
      </c>
      <c r="R23" s="73">
        <f t="shared" si="2"/>
        <v>108508</v>
      </c>
    </row>
    <row r="24" spans="1:18">
      <c r="C24" t="s">
        <v>333</v>
      </c>
      <c r="L24" s="73"/>
      <c r="M24" s="73"/>
      <c r="N24" s="73">
        <v>956178</v>
      </c>
      <c r="O24" s="73">
        <v>58488</v>
      </c>
      <c r="P24" s="73">
        <v>187760</v>
      </c>
      <c r="Q24" s="73">
        <v>114306</v>
      </c>
      <c r="R24" s="73">
        <f t="shared" si="2"/>
        <v>1316732</v>
      </c>
    </row>
    <row r="25" spans="1:18">
      <c r="C25" t="s">
        <v>25</v>
      </c>
      <c r="K25" s="78">
        <v>95337</v>
      </c>
      <c r="L25" s="73">
        <v>13750</v>
      </c>
      <c r="M25" s="73">
        <v>113240</v>
      </c>
      <c r="N25" s="73">
        <v>94004</v>
      </c>
      <c r="O25" s="73">
        <v>451919</v>
      </c>
      <c r="P25" s="73"/>
      <c r="Q25" s="73">
        <v>63586</v>
      </c>
      <c r="R25" s="73">
        <f t="shared" si="2"/>
        <v>831836</v>
      </c>
    </row>
    <row r="26" spans="1:18">
      <c r="K26" s="93"/>
      <c r="L26" s="93"/>
      <c r="M26" s="93"/>
      <c r="N26" s="93"/>
      <c r="O26" s="93"/>
      <c r="P26" s="93"/>
      <c r="Q26" s="94"/>
      <c r="R26" s="94"/>
    </row>
    <row r="27" spans="1:18" s="5" customFormat="1">
      <c r="B27" s="6"/>
      <c r="C27" s="6"/>
      <c r="D27" s="6"/>
      <c r="E27" s="6" t="s">
        <v>26</v>
      </c>
      <c r="K27" s="79">
        <f t="shared" ref="K27:R27" si="3">SUM(K22:K25)</f>
        <v>364781</v>
      </c>
      <c r="L27" s="79">
        <f t="shared" si="3"/>
        <v>17056</v>
      </c>
      <c r="M27" s="79">
        <f t="shared" si="3"/>
        <v>155520</v>
      </c>
      <c r="N27" s="79">
        <f t="shared" si="3"/>
        <v>1089974</v>
      </c>
      <c r="O27" s="79">
        <f t="shared" si="3"/>
        <v>511901</v>
      </c>
      <c r="P27" s="79">
        <f t="shared" si="3"/>
        <v>208050</v>
      </c>
      <c r="Q27" s="79">
        <f t="shared" si="3"/>
        <v>463383</v>
      </c>
      <c r="R27" s="79">
        <f t="shared" si="3"/>
        <v>2810665</v>
      </c>
    </row>
    <row r="28" spans="1:18">
      <c r="K28" s="73"/>
      <c r="L28" s="73"/>
      <c r="M28" s="73"/>
      <c r="N28" s="73"/>
      <c r="O28" s="73"/>
      <c r="P28" s="73"/>
    </row>
    <row r="29" spans="1:18">
      <c r="B29" t="s">
        <v>843</v>
      </c>
      <c r="K29" s="73"/>
      <c r="L29" s="73"/>
      <c r="M29" s="73"/>
      <c r="N29" s="73"/>
      <c r="O29" s="73"/>
      <c r="P29" s="73"/>
    </row>
    <row r="30" spans="1:18">
      <c r="C30" t="s">
        <v>104</v>
      </c>
      <c r="K30" s="80">
        <v>41087</v>
      </c>
      <c r="L30" s="73"/>
      <c r="M30" s="73">
        <v>33988</v>
      </c>
      <c r="N30" s="73">
        <v>61149</v>
      </c>
      <c r="O30" s="73"/>
      <c r="P30" s="73"/>
      <c r="Q30">
        <v>20847</v>
      </c>
      <c r="R30" s="73">
        <f t="shared" ref="R30:R33" si="4">SUM(K30:Q30)</f>
        <v>157071</v>
      </c>
    </row>
    <row r="31" spans="1:18">
      <c r="C31" t="s">
        <v>208</v>
      </c>
      <c r="K31" s="73"/>
      <c r="L31" s="73">
        <v>242586</v>
      </c>
      <c r="M31" s="73">
        <v>290409</v>
      </c>
      <c r="N31" s="73">
        <v>993275</v>
      </c>
      <c r="O31" s="73"/>
      <c r="P31" s="73">
        <v>1021894</v>
      </c>
      <c r="Q31" s="103">
        <v>3936089</v>
      </c>
      <c r="R31" s="73">
        <f t="shared" si="4"/>
        <v>6484253</v>
      </c>
    </row>
    <row r="32" spans="1:18">
      <c r="C32" t="s">
        <v>259</v>
      </c>
      <c r="K32" s="101">
        <v>2569266</v>
      </c>
      <c r="L32" s="73"/>
      <c r="M32" s="73"/>
      <c r="N32" s="73"/>
      <c r="O32" s="73"/>
      <c r="P32" s="73"/>
      <c r="Q32" s="103"/>
      <c r="R32" s="73">
        <f t="shared" si="4"/>
        <v>2569266</v>
      </c>
    </row>
    <row r="33" spans="3:18">
      <c r="C33" t="s">
        <v>46</v>
      </c>
      <c r="K33" s="84">
        <v>4249121</v>
      </c>
      <c r="L33" s="73"/>
      <c r="M33" s="73"/>
      <c r="N33" s="73"/>
      <c r="O33" s="73">
        <v>-22956</v>
      </c>
      <c r="P33" s="73"/>
      <c r="Q33" s="103"/>
      <c r="R33" s="73">
        <f t="shared" si="4"/>
        <v>4226165</v>
      </c>
    </row>
    <row r="34" spans="3:18">
      <c r="K34" s="93"/>
      <c r="L34" s="93"/>
      <c r="M34" s="93"/>
      <c r="N34" s="93"/>
      <c r="O34" s="93"/>
      <c r="P34" s="93"/>
      <c r="Q34" s="94"/>
      <c r="R34" s="94"/>
    </row>
    <row r="35" spans="3:18" s="5" customFormat="1">
      <c r="D35" s="6"/>
      <c r="E35" s="6" t="s">
        <v>77</v>
      </c>
      <c r="K35" s="216">
        <f t="shared" ref="K35:R35" si="5">SUM(K30:K33)</f>
        <v>6859474</v>
      </c>
      <c r="L35" s="216">
        <f t="shared" si="5"/>
        <v>242586</v>
      </c>
      <c r="M35" s="216">
        <f t="shared" si="5"/>
        <v>324397</v>
      </c>
      <c r="N35" s="216">
        <f t="shared" si="5"/>
        <v>1054424</v>
      </c>
      <c r="O35" s="216">
        <f t="shared" si="5"/>
        <v>-22956</v>
      </c>
      <c r="P35" s="216">
        <f t="shared" si="5"/>
        <v>1021894</v>
      </c>
      <c r="Q35" s="216">
        <f t="shared" si="5"/>
        <v>3956936</v>
      </c>
      <c r="R35" s="216">
        <f t="shared" si="5"/>
        <v>13436755</v>
      </c>
    </row>
    <row r="36" spans="3:18">
      <c r="K36" s="73"/>
      <c r="L36" s="73"/>
      <c r="M36" s="73"/>
      <c r="N36" s="73"/>
      <c r="O36" s="73"/>
      <c r="P36" s="73"/>
    </row>
    <row r="37" spans="3:18" s="7" customFormat="1">
      <c r="D37" s="8"/>
      <c r="E37" s="8" t="s">
        <v>48</v>
      </c>
      <c r="K37" s="81">
        <f>SUM(K35+K27)</f>
        <v>7224255</v>
      </c>
      <c r="L37" s="81">
        <f>SUM(L35,L27,)</f>
        <v>259642</v>
      </c>
      <c r="M37" s="81">
        <f>SUM(M35,M27,)</f>
        <v>479917</v>
      </c>
      <c r="N37" s="81">
        <f>SUM(N35,N27,)</f>
        <v>2144398</v>
      </c>
      <c r="O37" s="81">
        <f>SUM(O35,O27,)</f>
        <v>488945</v>
      </c>
      <c r="P37" s="81">
        <f>SUM(P35,P27,)</f>
        <v>1229944</v>
      </c>
      <c r="Q37" s="104">
        <f>SUM(Q35+Q27)</f>
        <v>4420319</v>
      </c>
      <c r="R37" s="104">
        <f>SUM(R35+R27)</f>
        <v>16247420</v>
      </c>
    </row>
  </sheetData>
  <mergeCells count="3">
    <mergeCell ref="D1:K1"/>
    <mergeCell ref="D2:K2"/>
    <mergeCell ref="K3:N3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P34"/>
  <sheetViews>
    <sheetView topLeftCell="A3" workbookViewId="0">
      <selection activeCell="E33" sqref="E33"/>
    </sheetView>
  </sheetViews>
  <sheetFormatPr defaultColWidth="8.85546875" defaultRowHeight="15"/>
  <cols>
    <col min="1" max="1" width="5.140625" customWidth="1"/>
    <col min="2" max="2" width="7.85546875" customWidth="1"/>
    <col min="9" max="9" width="15.7109375" customWidth="1"/>
    <col min="10" max="10" width="13.42578125" customWidth="1"/>
    <col min="11" max="11" width="14.7109375" customWidth="1"/>
    <col min="12" max="12" width="14.85546875" customWidth="1"/>
    <col min="14" max="14" width="14.140625" customWidth="1"/>
    <col min="15" max="15" width="13.140625" customWidth="1"/>
    <col min="16" max="16" width="18.42578125" customWidth="1"/>
  </cols>
  <sheetData>
    <row r="1" spans="1:16" ht="18.75">
      <c r="D1" s="251" t="s">
        <v>844</v>
      </c>
      <c r="E1" s="251"/>
      <c r="F1" s="251"/>
      <c r="G1" s="251"/>
      <c r="H1" s="251"/>
      <c r="I1" s="251"/>
    </row>
    <row r="2" spans="1:16">
      <c r="D2" s="252" t="s">
        <v>1</v>
      </c>
      <c r="E2" s="252"/>
      <c r="F2" s="252"/>
      <c r="G2" s="252"/>
      <c r="H2" s="252"/>
      <c r="I2" s="252"/>
    </row>
    <row r="3" spans="1:16">
      <c r="D3" s="57"/>
      <c r="E3" s="57"/>
      <c r="F3" s="57"/>
      <c r="G3" s="57"/>
      <c r="H3" s="57"/>
      <c r="I3" s="57"/>
    </row>
    <row r="4" spans="1:16" ht="45">
      <c r="I4" s="1" t="s">
        <v>2</v>
      </c>
      <c r="J4" s="1" t="s">
        <v>262</v>
      </c>
      <c r="K4" s="1" t="s">
        <v>461</v>
      </c>
      <c r="L4" s="1" t="s">
        <v>452</v>
      </c>
      <c r="M4" s="1" t="s">
        <v>4</v>
      </c>
      <c r="N4" s="1" t="s">
        <v>6</v>
      </c>
      <c r="O4" s="1" t="s">
        <v>564</v>
      </c>
      <c r="P4" s="1" t="s">
        <v>845</v>
      </c>
    </row>
    <row r="5" spans="1:16">
      <c r="A5" t="s">
        <v>8</v>
      </c>
    </row>
    <row r="6" spans="1:16">
      <c r="B6" t="s">
        <v>85</v>
      </c>
      <c r="I6" s="72">
        <v>234891</v>
      </c>
      <c r="K6" s="73">
        <v>302266</v>
      </c>
      <c r="L6" s="73">
        <v>1024057</v>
      </c>
      <c r="M6" s="73">
        <v>238497</v>
      </c>
      <c r="N6" s="73">
        <v>155015</v>
      </c>
      <c r="O6" s="73">
        <f>SUM(I6:N6)</f>
        <v>1954726</v>
      </c>
      <c r="P6" s="73">
        <v>4118802</v>
      </c>
    </row>
    <row r="7" spans="1:16">
      <c r="B7" t="s">
        <v>58</v>
      </c>
      <c r="I7" s="74">
        <v>444437</v>
      </c>
      <c r="J7" s="73">
        <v>544464</v>
      </c>
      <c r="K7" s="73">
        <v>197216</v>
      </c>
      <c r="L7" s="73">
        <v>457870</v>
      </c>
      <c r="M7" s="73">
        <v>302543</v>
      </c>
      <c r="N7" s="73">
        <v>285890</v>
      </c>
      <c r="O7" s="73">
        <f>SUM(I7:N7)</f>
        <v>2232420</v>
      </c>
      <c r="P7" s="73">
        <v>2234175</v>
      </c>
    </row>
    <row r="8" spans="1:16">
      <c r="B8" t="s">
        <v>215</v>
      </c>
      <c r="I8" s="74">
        <v>19186</v>
      </c>
      <c r="J8" s="73"/>
      <c r="K8" s="73"/>
      <c r="L8" s="73"/>
      <c r="M8" s="73">
        <v>431707</v>
      </c>
      <c r="N8" s="73"/>
      <c r="O8" s="73">
        <f>SUM(I8:N8)</f>
        <v>450893</v>
      </c>
      <c r="P8" s="73">
        <v>462594</v>
      </c>
    </row>
    <row r="9" spans="1:16">
      <c r="I9" s="93"/>
      <c r="J9" s="93"/>
      <c r="K9" s="93"/>
      <c r="L9" s="93"/>
      <c r="M9" s="93"/>
      <c r="N9" s="93"/>
      <c r="O9" s="93"/>
      <c r="P9" s="93"/>
    </row>
    <row r="10" spans="1:16">
      <c r="A10" s="2"/>
      <c r="B10" s="2"/>
      <c r="C10" s="2"/>
      <c r="D10" s="117"/>
      <c r="E10" s="2" t="s">
        <v>62</v>
      </c>
      <c r="F10" s="3"/>
      <c r="G10" s="3"/>
      <c r="H10" s="3"/>
      <c r="I10" s="76">
        <f>SUM(I6:I8)</f>
        <v>698514</v>
      </c>
      <c r="J10" s="76">
        <f>SUM(J7:J8)</f>
        <v>544464</v>
      </c>
      <c r="K10" s="76">
        <f t="shared" ref="K10:P10" si="0">SUM(K6:K8)</f>
        <v>499482</v>
      </c>
      <c r="L10" s="76">
        <f t="shared" si="0"/>
        <v>1481927</v>
      </c>
      <c r="M10" s="76">
        <f t="shared" si="0"/>
        <v>972747</v>
      </c>
      <c r="N10" s="76">
        <f t="shared" si="0"/>
        <v>440905</v>
      </c>
      <c r="O10" s="76">
        <f t="shared" si="0"/>
        <v>4638039</v>
      </c>
      <c r="P10" s="76">
        <f t="shared" si="0"/>
        <v>6815571</v>
      </c>
    </row>
    <row r="11" spans="1:16">
      <c r="I11" s="73"/>
      <c r="J11" s="73"/>
      <c r="K11" s="73"/>
      <c r="L11" s="73"/>
      <c r="M11" s="73"/>
      <c r="N11" s="73"/>
      <c r="O11" s="73"/>
      <c r="P11" s="73"/>
    </row>
    <row r="12" spans="1:16">
      <c r="A12" s="4" t="s">
        <v>19</v>
      </c>
      <c r="I12" s="73"/>
      <c r="J12" s="73"/>
      <c r="K12" s="73"/>
      <c r="L12" s="73"/>
      <c r="M12" s="73"/>
      <c r="N12" s="73"/>
      <c r="O12" s="73"/>
      <c r="P12" s="73"/>
    </row>
    <row r="13" spans="1:16">
      <c r="B13" t="s">
        <v>20</v>
      </c>
      <c r="I13" s="73"/>
      <c r="J13" s="73"/>
      <c r="K13" s="73"/>
      <c r="M13" s="73"/>
      <c r="N13" s="73"/>
      <c r="O13" s="73"/>
      <c r="P13" s="73"/>
    </row>
    <row r="14" spans="1:16">
      <c r="C14" t="s">
        <v>21</v>
      </c>
      <c r="I14" s="77">
        <v>85253</v>
      </c>
      <c r="J14" s="73">
        <v>15651</v>
      </c>
      <c r="K14">
        <v>14622</v>
      </c>
      <c r="L14" s="73">
        <v>17538</v>
      </c>
      <c r="M14" s="73">
        <v>75867</v>
      </c>
      <c r="N14" s="73">
        <v>24041</v>
      </c>
      <c r="O14" s="73">
        <f>SUM(I14:N14)</f>
        <v>232972</v>
      </c>
      <c r="P14" s="73">
        <v>82711</v>
      </c>
    </row>
    <row r="15" spans="1:16">
      <c r="C15" t="s">
        <v>216</v>
      </c>
      <c r="I15" s="73"/>
      <c r="J15" s="73">
        <v>431707</v>
      </c>
      <c r="L15" s="73"/>
      <c r="M15" s="73"/>
      <c r="N15" s="73">
        <v>19186</v>
      </c>
      <c r="O15" s="73">
        <f>SUM(J15:N15)</f>
        <v>450893</v>
      </c>
      <c r="P15" s="73">
        <v>462594</v>
      </c>
    </row>
    <row r="16" spans="1:16">
      <c r="I16" s="93"/>
      <c r="J16" s="93"/>
      <c r="K16" s="93"/>
      <c r="L16" s="93"/>
      <c r="M16" s="93"/>
      <c r="N16" s="93"/>
      <c r="O16" s="93"/>
      <c r="P16" s="93"/>
    </row>
    <row r="17" spans="1:16">
      <c r="A17" s="5"/>
      <c r="B17" s="118"/>
      <c r="C17" s="6"/>
      <c r="D17" s="6"/>
      <c r="E17" s="6" t="s">
        <v>26</v>
      </c>
      <c r="F17" s="5"/>
      <c r="G17" s="5"/>
      <c r="H17" s="5"/>
      <c r="I17" s="79">
        <f>SUM(I14:I14)</f>
        <v>85253</v>
      </c>
      <c r="J17" s="79">
        <f>J14+J15</f>
        <v>447358</v>
      </c>
      <c r="K17" s="79">
        <f t="shared" ref="K17:M17" si="1">SUM(K14:K14)</f>
        <v>14622</v>
      </c>
      <c r="L17" s="79">
        <f>L14</f>
        <v>17538</v>
      </c>
      <c r="M17" s="79">
        <f t="shared" si="1"/>
        <v>75867</v>
      </c>
      <c r="N17" s="79">
        <f>N14+N15</f>
        <v>43227</v>
      </c>
      <c r="O17" s="79">
        <f>O14+O15</f>
        <v>683865</v>
      </c>
      <c r="P17" s="79">
        <f>P14+P15</f>
        <v>545305</v>
      </c>
    </row>
    <row r="18" spans="1:16">
      <c r="I18" s="73"/>
      <c r="J18" s="73"/>
      <c r="K18" s="73"/>
      <c r="L18" s="73"/>
      <c r="M18" s="73"/>
      <c r="N18" s="73"/>
      <c r="O18" s="73"/>
      <c r="P18" s="73"/>
    </row>
    <row r="19" spans="1:16">
      <c r="A19" s="71" t="s">
        <v>846</v>
      </c>
      <c r="I19" s="99"/>
      <c r="J19" s="73"/>
      <c r="K19" s="73"/>
      <c r="L19" s="73"/>
      <c r="M19" s="73"/>
      <c r="N19" s="73">
        <v>13144</v>
      </c>
      <c r="O19" s="73">
        <f>SUM(I19:N19)</f>
        <v>13144</v>
      </c>
      <c r="P19" s="73">
        <v>32101</v>
      </c>
    </row>
    <row r="20" spans="1:16">
      <c r="I20" s="93"/>
      <c r="J20" s="93"/>
      <c r="K20" s="93"/>
      <c r="L20" s="93"/>
      <c r="M20" s="93"/>
      <c r="N20" s="93"/>
      <c r="O20" s="93"/>
      <c r="P20" s="93"/>
    </row>
    <row r="21" spans="1:16">
      <c r="A21" t="s">
        <v>30</v>
      </c>
      <c r="I21" s="73"/>
      <c r="J21" s="73"/>
      <c r="K21" s="73"/>
      <c r="L21" s="73"/>
      <c r="M21" s="73"/>
      <c r="N21" s="73"/>
      <c r="O21" s="73"/>
      <c r="P21" s="73"/>
    </row>
    <row r="22" spans="1:16">
      <c r="A22" t="s">
        <v>31</v>
      </c>
      <c r="I22" s="73"/>
      <c r="J22" s="73"/>
      <c r="L22" s="73"/>
      <c r="M22" s="73"/>
      <c r="N22" s="73"/>
      <c r="O22" s="73"/>
      <c r="P22" s="73"/>
    </row>
    <row r="23" spans="1:16">
      <c r="B23" t="s">
        <v>68</v>
      </c>
      <c r="I23" s="90"/>
      <c r="J23" s="73"/>
      <c r="K23" s="73"/>
      <c r="L23" s="73"/>
      <c r="M23" s="73"/>
      <c r="N23" s="73">
        <v>16236</v>
      </c>
      <c r="O23" s="73">
        <f>SUM(I23:N23)</f>
        <v>16236</v>
      </c>
      <c r="P23" s="73">
        <v>5480</v>
      </c>
    </row>
    <row r="24" spans="1:16">
      <c r="B24" t="s">
        <v>106</v>
      </c>
      <c r="I24" s="90"/>
      <c r="J24" s="73"/>
      <c r="K24" s="73">
        <v>484861</v>
      </c>
      <c r="M24" s="73"/>
      <c r="N24" s="73"/>
      <c r="O24" s="73">
        <f t="shared" ref="O24:O30" si="2">SUM(I24:N24)</f>
        <v>484861</v>
      </c>
      <c r="P24" s="73">
        <v>674458</v>
      </c>
    </row>
    <row r="25" spans="1:16">
      <c r="B25" t="s">
        <v>107</v>
      </c>
      <c r="I25" s="73"/>
      <c r="K25" s="73"/>
      <c r="L25" s="73">
        <v>1464389</v>
      </c>
      <c r="N25" s="73"/>
      <c r="O25" s="73">
        <f t="shared" si="2"/>
        <v>1464389</v>
      </c>
      <c r="P25" s="73">
        <v>1301162</v>
      </c>
    </row>
    <row r="26" spans="1:16">
      <c r="B26" t="s">
        <v>847</v>
      </c>
      <c r="I26" s="73"/>
      <c r="J26" s="73">
        <v>97106</v>
      </c>
      <c r="K26" s="73"/>
      <c r="L26" s="73"/>
      <c r="M26" s="73">
        <v>896879</v>
      </c>
      <c r="N26" s="73"/>
      <c r="O26" s="73">
        <f t="shared" si="2"/>
        <v>993985</v>
      </c>
      <c r="P26" s="73">
        <v>1511357</v>
      </c>
    </row>
    <row r="27" spans="1:16">
      <c r="B27" t="s">
        <v>848</v>
      </c>
      <c r="I27" s="73"/>
      <c r="J27" s="73"/>
      <c r="K27" s="73"/>
      <c r="L27" s="73"/>
      <c r="M27" s="73"/>
      <c r="N27" s="73"/>
      <c r="O27" s="73">
        <f t="shared" si="2"/>
        <v>0</v>
      </c>
      <c r="P27" s="73">
        <v>251910</v>
      </c>
    </row>
    <row r="28" spans="1:16">
      <c r="B28" t="s">
        <v>73</v>
      </c>
      <c r="I28" s="73"/>
      <c r="J28" s="73"/>
      <c r="K28" s="73"/>
      <c r="L28" s="73"/>
      <c r="M28" s="73"/>
      <c r="N28" s="73">
        <v>368276</v>
      </c>
      <c r="O28" s="73">
        <f t="shared" si="2"/>
        <v>368276</v>
      </c>
      <c r="P28" s="73">
        <v>334565</v>
      </c>
    </row>
    <row r="29" spans="1:16">
      <c r="B29" t="s">
        <v>353</v>
      </c>
      <c r="I29" s="73"/>
      <c r="J29" s="73"/>
      <c r="K29" s="73"/>
      <c r="L29" s="73"/>
      <c r="M29" s="73"/>
      <c r="N29" s="73">
        <v>22</v>
      </c>
      <c r="O29" s="73">
        <f t="shared" si="2"/>
        <v>22</v>
      </c>
      <c r="P29" s="73">
        <v>1618355</v>
      </c>
    </row>
    <row r="30" spans="1:16">
      <c r="A30" t="s">
        <v>76</v>
      </c>
      <c r="I30" s="84">
        <v>613260</v>
      </c>
      <c r="J30" s="73"/>
      <c r="K30" s="73"/>
      <c r="L30" s="73"/>
      <c r="M30" s="73"/>
      <c r="N30" s="73"/>
      <c r="O30" s="73">
        <f t="shared" si="2"/>
        <v>613260</v>
      </c>
      <c r="P30" s="73">
        <v>540878</v>
      </c>
    </row>
    <row r="31" spans="1:16">
      <c r="I31" s="93"/>
      <c r="J31" s="93"/>
      <c r="K31" s="93"/>
      <c r="L31" s="93"/>
      <c r="M31" s="93"/>
      <c r="N31" s="93"/>
      <c r="O31" s="93"/>
      <c r="P31" s="93"/>
    </row>
    <row r="32" spans="1:16">
      <c r="A32" s="5"/>
      <c r="B32" s="5"/>
      <c r="C32" s="5"/>
      <c r="D32" s="6"/>
      <c r="E32" s="6" t="s">
        <v>77</v>
      </c>
      <c r="F32" s="5"/>
      <c r="G32" s="5"/>
      <c r="H32" s="5"/>
      <c r="I32" s="79">
        <f>I30</f>
        <v>613260</v>
      </c>
      <c r="J32" s="79">
        <f>SUM(J22:J26)</f>
        <v>97106</v>
      </c>
      <c r="K32" s="79">
        <f>SUM(K23:K26)</f>
        <v>484861</v>
      </c>
      <c r="L32" s="79">
        <f t="shared" ref="L32" si="3">SUM(L22:L26)</f>
        <v>1464389</v>
      </c>
      <c r="M32" s="79">
        <f>SUM(M22:M26)</f>
        <v>896879</v>
      </c>
      <c r="N32" s="79">
        <f>SUM(N22:N30)</f>
        <v>384534</v>
      </c>
      <c r="O32" s="79">
        <f>SUM(O22:O30)</f>
        <v>3941029</v>
      </c>
      <c r="P32" s="79">
        <f>SUM(P23:P30)</f>
        <v>6238165</v>
      </c>
    </row>
    <row r="33" spans="1:16">
      <c r="I33" s="73"/>
      <c r="J33" s="73"/>
      <c r="K33" s="73"/>
      <c r="L33" s="73"/>
      <c r="M33" s="73"/>
      <c r="N33" s="73"/>
      <c r="O33" s="73"/>
      <c r="P33" s="73"/>
    </row>
    <row r="34" spans="1:16">
      <c r="A34" s="7"/>
      <c r="B34" s="7"/>
      <c r="C34" s="7"/>
      <c r="D34" s="8"/>
      <c r="E34" s="8" t="s">
        <v>48</v>
      </c>
      <c r="F34" s="7"/>
      <c r="G34" s="7"/>
      <c r="H34" s="7"/>
      <c r="I34" s="81">
        <f t="shared" ref="I34:O34" si="4">I17+I32+I19</f>
        <v>698513</v>
      </c>
      <c r="J34" s="81">
        <f t="shared" si="4"/>
        <v>544464</v>
      </c>
      <c r="K34" s="81">
        <f t="shared" si="4"/>
        <v>499483</v>
      </c>
      <c r="L34" s="81">
        <f t="shared" si="4"/>
        <v>1481927</v>
      </c>
      <c r="M34" s="81">
        <f t="shared" si="4"/>
        <v>972746</v>
      </c>
      <c r="N34" s="81">
        <f t="shared" si="4"/>
        <v>440905</v>
      </c>
      <c r="O34" s="81">
        <f t="shared" si="4"/>
        <v>4638038</v>
      </c>
      <c r="P34" s="81">
        <f>P17+P32+P19</f>
        <v>6815571</v>
      </c>
    </row>
  </sheetData>
  <mergeCells count="2">
    <mergeCell ref="D1:I1"/>
    <mergeCell ref="D2:I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A72"/>
  <sheetViews>
    <sheetView tabSelected="1" topLeftCell="A18" workbookViewId="0">
      <selection activeCell="A35" sqref="A35:XFD35"/>
    </sheetView>
  </sheetViews>
  <sheetFormatPr defaultColWidth="8.85546875" defaultRowHeight="15"/>
  <cols>
    <col min="1" max="1" width="21.42578125" customWidth="1"/>
    <col min="2" max="2" width="16.7109375" customWidth="1"/>
    <col min="3" max="3" width="15.85546875" customWidth="1"/>
    <col min="4" max="4" width="15.140625" customWidth="1"/>
    <col min="5" max="5" width="12.28515625" customWidth="1"/>
    <col min="6" max="6" width="14.42578125" bestFit="1" customWidth="1"/>
    <col min="7" max="7" width="15.42578125" customWidth="1"/>
    <col min="8" max="8" width="15.140625" bestFit="1" customWidth="1"/>
    <col min="9" max="9" width="22.42578125" customWidth="1"/>
    <col min="10" max="10" width="11.42578125" bestFit="1" customWidth="1"/>
    <col min="11" max="11" width="16" customWidth="1"/>
    <col min="12" max="12" width="18.140625" bestFit="1" customWidth="1"/>
    <col min="13" max="13" width="18.85546875" bestFit="1" customWidth="1"/>
    <col min="14" max="14" width="18.42578125" bestFit="1" customWidth="1"/>
    <col min="15" max="15" width="24.42578125" bestFit="1" customWidth="1"/>
    <col min="16" max="16" width="17" bestFit="1" customWidth="1"/>
    <col min="17" max="17" width="23.42578125" bestFit="1" customWidth="1"/>
    <col min="18" max="18" width="11.42578125" bestFit="1" customWidth="1"/>
    <col min="19" max="19" width="15.85546875" customWidth="1"/>
    <col min="20" max="20" width="18.140625" bestFit="1" customWidth="1"/>
    <col min="21" max="21" width="16.85546875" bestFit="1" customWidth="1"/>
    <col min="22" max="22" width="26.42578125" bestFit="1" customWidth="1"/>
    <col min="23" max="23" width="29.140625" bestFit="1" customWidth="1"/>
    <col min="24" max="24" width="28.85546875" bestFit="1" customWidth="1"/>
    <col min="25" max="25" width="43.42578125" bestFit="1" customWidth="1"/>
    <col min="26" max="26" width="11.42578125" bestFit="1" customWidth="1"/>
    <col min="27" max="27" width="17.42578125" customWidth="1"/>
  </cols>
  <sheetData>
    <row r="1" spans="1:27" ht="16.5" customHeight="1" thickBot="1">
      <c r="A1" s="9" t="s">
        <v>849</v>
      </c>
      <c r="B1" s="10"/>
      <c r="C1" s="10"/>
      <c r="D1" s="10"/>
      <c r="E1" s="10"/>
      <c r="F1" s="10"/>
      <c r="G1" s="10"/>
      <c r="H1" s="10"/>
      <c r="I1" s="10"/>
      <c r="J1" s="11"/>
      <c r="K1" s="12"/>
      <c r="L1" s="12"/>
      <c r="M1" s="13"/>
      <c r="N1" s="13"/>
      <c r="O1" s="13"/>
      <c r="P1" s="14"/>
      <c r="Q1" s="13"/>
      <c r="R1" s="11"/>
      <c r="S1" s="12"/>
      <c r="T1" s="12"/>
      <c r="U1" s="15"/>
      <c r="V1" s="16"/>
      <c r="W1" s="16"/>
      <c r="X1" s="16"/>
      <c r="Y1" s="16"/>
      <c r="Z1" s="16"/>
      <c r="AA1" s="17"/>
    </row>
    <row r="2" spans="1:27" ht="19.5" thickBot="1">
      <c r="A2" s="18"/>
      <c r="B2" s="19" t="s">
        <v>8</v>
      </c>
      <c r="C2" s="20"/>
      <c r="D2" s="20"/>
      <c r="E2" s="20"/>
      <c r="F2" s="20"/>
      <c r="G2" s="20"/>
      <c r="H2" s="20"/>
      <c r="I2" s="20"/>
      <c r="J2" s="21"/>
      <c r="K2" s="22"/>
      <c r="L2" s="22"/>
      <c r="M2" s="23" t="s">
        <v>20</v>
      </c>
      <c r="N2" s="14"/>
      <c r="O2" s="14"/>
      <c r="P2" s="14"/>
      <c r="Q2" s="14"/>
      <c r="R2" s="24"/>
      <c r="S2" s="22"/>
      <c r="T2" s="22"/>
      <c r="U2" s="25"/>
      <c r="V2" s="15"/>
      <c r="W2" s="15"/>
      <c r="X2" s="15"/>
      <c r="Y2" s="15"/>
      <c r="Z2" s="15"/>
      <c r="AA2" s="26"/>
    </row>
    <row r="3" spans="1:27" ht="19.5" thickBot="1">
      <c r="A3" s="27"/>
      <c r="B3" s="255" t="s">
        <v>850</v>
      </c>
      <c r="C3" s="255"/>
      <c r="D3" s="255"/>
      <c r="E3" s="255"/>
      <c r="F3" s="255"/>
      <c r="G3" s="256" t="s">
        <v>851</v>
      </c>
      <c r="H3" s="257"/>
      <c r="I3" s="20"/>
      <c r="J3" s="28"/>
      <c r="K3" s="29"/>
      <c r="L3" s="31"/>
      <c r="M3" s="258" t="s">
        <v>852</v>
      </c>
      <c r="N3" s="259"/>
      <c r="O3" s="259"/>
      <c r="P3" s="260"/>
      <c r="Q3" s="14"/>
      <c r="R3" s="30"/>
      <c r="S3" s="29"/>
      <c r="T3" s="31"/>
      <c r="U3" s="32" t="s">
        <v>853</v>
      </c>
      <c r="V3" s="33"/>
      <c r="W3" s="15"/>
      <c r="X3" s="15"/>
      <c r="Y3" s="15"/>
      <c r="Z3" s="15"/>
      <c r="AA3" s="34"/>
    </row>
    <row r="4" spans="1:27" ht="48" thickBot="1">
      <c r="A4" s="35" t="s">
        <v>854</v>
      </c>
      <c r="B4" s="36" t="s">
        <v>57</v>
      </c>
      <c r="C4" s="37" t="s">
        <v>10</v>
      </c>
      <c r="D4" s="38" t="s">
        <v>58</v>
      </c>
      <c r="E4" s="67" t="s">
        <v>60</v>
      </c>
      <c r="F4" s="39" t="s">
        <v>855</v>
      </c>
      <c r="G4" s="40" t="s">
        <v>856</v>
      </c>
      <c r="H4" s="41" t="s">
        <v>383</v>
      </c>
      <c r="I4" s="42" t="s">
        <v>857</v>
      </c>
      <c r="J4" s="43" t="s">
        <v>858</v>
      </c>
      <c r="K4" s="44" t="s">
        <v>858</v>
      </c>
      <c r="L4" s="89" t="s">
        <v>859</v>
      </c>
      <c r="M4" s="45" t="s">
        <v>860</v>
      </c>
      <c r="N4" s="46" t="s">
        <v>861</v>
      </c>
      <c r="O4" s="47" t="s">
        <v>862</v>
      </c>
      <c r="P4" s="48" t="s">
        <v>863</v>
      </c>
      <c r="Q4" s="49" t="s">
        <v>864</v>
      </c>
      <c r="R4" s="43" t="s">
        <v>858</v>
      </c>
      <c r="S4" s="44" t="s">
        <v>858</v>
      </c>
      <c r="T4" s="89" t="s">
        <v>679</v>
      </c>
      <c r="U4" s="50" t="s">
        <v>865</v>
      </c>
      <c r="V4" s="51" t="s">
        <v>866</v>
      </c>
      <c r="W4" s="52" t="s">
        <v>867</v>
      </c>
      <c r="X4" s="53" t="s">
        <v>868</v>
      </c>
      <c r="Y4" s="54" t="s">
        <v>869</v>
      </c>
      <c r="Z4" s="43" t="s">
        <v>858</v>
      </c>
      <c r="AA4" s="44" t="s">
        <v>858</v>
      </c>
    </row>
    <row r="5" spans="1:27" ht="15" customHeight="1" thickBot="1">
      <c r="A5" s="55" t="s">
        <v>870</v>
      </c>
      <c r="J5" s="56"/>
      <c r="K5" s="57"/>
      <c r="L5" s="58" t="s">
        <v>871</v>
      </c>
      <c r="R5" s="56"/>
      <c r="S5" s="57"/>
      <c r="T5" s="58" t="s">
        <v>871</v>
      </c>
      <c r="Z5" s="56"/>
      <c r="AA5" s="57"/>
    </row>
    <row r="6" spans="1:27" ht="15" customHeight="1">
      <c r="A6" s="59" t="s">
        <v>872</v>
      </c>
      <c r="J6" s="56"/>
      <c r="K6" s="57"/>
      <c r="L6" s="87"/>
      <c r="R6" s="56"/>
      <c r="S6" s="57"/>
      <c r="T6" s="87"/>
      <c r="Z6" s="56"/>
      <c r="AA6" s="57"/>
    </row>
    <row r="7" spans="1:27" ht="15" customHeight="1">
      <c r="A7" s="68" t="s">
        <v>873</v>
      </c>
      <c r="B7" s="61">
        <f>Acadia!K6</f>
        <v>540140</v>
      </c>
      <c r="C7" s="61">
        <f>Acadia!K7</f>
        <v>146420</v>
      </c>
      <c r="D7" s="61">
        <f>Acadia!K8+Acadia!K10</f>
        <v>259424</v>
      </c>
      <c r="E7" s="61"/>
      <c r="F7" s="61"/>
      <c r="G7" s="61">
        <f>Acadia!K12+Acadia!K13+Acadia!K14</f>
        <v>2088692</v>
      </c>
      <c r="H7" s="61"/>
      <c r="I7" s="61">
        <f t="shared" ref="I7:I8" si="0">SUM(B7:H7)</f>
        <v>3034676</v>
      </c>
      <c r="J7" s="236" t="str">
        <f t="shared" ref="J7:J8" si="1">IF(I7=K7, "ok", "check")</f>
        <v>ok</v>
      </c>
      <c r="K7" s="60">
        <f>Acadia!K16</f>
        <v>3034676</v>
      </c>
      <c r="L7" s="88"/>
      <c r="M7" s="61">
        <f>Acadia!K20+Acadia!K22</f>
        <v>805704</v>
      </c>
      <c r="N7" s="61"/>
      <c r="O7" s="61"/>
      <c r="P7" s="61"/>
      <c r="Q7" s="61">
        <f t="shared" ref="Q7:Q8" si="2">SUM(M7:P7)</f>
        <v>805704</v>
      </c>
      <c r="R7" s="236" t="str">
        <f t="shared" ref="R7:R8" si="3">IF(Q7=S7, "ok", "check")</f>
        <v>ok</v>
      </c>
      <c r="S7" s="60">
        <f>Acadia!K26</f>
        <v>805704</v>
      </c>
      <c r="T7" s="88"/>
      <c r="U7" s="61">
        <f>Acadia!K35</f>
        <v>523200</v>
      </c>
      <c r="V7" s="61"/>
      <c r="W7" s="61">
        <f>Acadia!K49</f>
        <v>1705772</v>
      </c>
      <c r="X7" s="61">
        <f t="shared" ref="X7" si="4">SUM(U7:W7)</f>
        <v>2228972</v>
      </c>
      <c r="Y7" s="61">
        <f t="shared" ref="Y7:Y8" si="5">SUM(Q7+X7+T7)</f>
        <v>3034676</v>
      </c>
      <c r="Z7" s="70" t="str">
        <f t="shared" ref="Z7:Z8" si="6">IF(Y7=AA7, "ok", "check")</f>
        <v>ok</v>
      </c>
      <c r="AA7" s="60">
        <f>Acadia!K53</f>
        <v>3034676</v>
      </c>
    </row>
    <row r="8" spans="1:27" ht="15" customHeight="1">
      <c r="A8" s="68" t="s">
        <v>874</v>
      </c>
      <c r="B8" s="61">
        <f>Allen!K7</f>
        <v>240932</v>
      </c>
      <c r="C8" s="61"/>
      <c r="D8" s="61">
        <f>Allen!K8</f>
        <v>234039</v>
      </c>
      <c r="E8" s="61"/>
      <c r="F8" s="61"/>
      <c r="G8" s="61">
        <f>Allen!K9+Allen!K11</f>
        <v>323072</v>
      </c>
      <c r="H8" s="61"/>
      <c r="I8" s="61">
        <f t="shared" si="0"/>
        <v>798043</v>
      </c>
      <c r="J8" s="236" t="str">
        <f t="shared" si="1"/>
        <v>ok</v>
      </c>
      <c r="K8" s="60">
        <f>Allen!K14</f>
        <v>798043</v>
      </c>
      <c r="L8" s="88"/>
      <c r="M8" s="61">
        <f>Allen!K18</f>
        <v>76705</v>
      </c>
      <c r="N8" s="61"/>
      <c r="O8" s="61">
        <f>Allen!K20</f>
        <v>4923</v>
      </c>
      <c r="P8" s="61"/>
      <c r="Q8" s="61">
        <f t="shared" si="2"/>
        <v>81628</v>
      </c>
      <c r="R8" s="236" t="str">
        <f t="shared" si="3"/>
        <v>ok</v>
      </c>
      <c r="S8" s="60">
        <f>Allen!K22</f>
        <v>81628</v>
      </c>
      <c r="T8" s="88">
        <f>Allen!K25</f>
        <v>20863</v>
      </c>
      <c r="U8" s="61"/>
      <c r="V8" s="61"/>
      <c r="W8" s="61">
        <f>Allen!K47</f>
        <v>695552</v>
      </c>
      <c r="X8" s="61">
        <f t="shared" ref="X8" si="7">SUM(U8:W8)</f>
        <v>695552</v>
      </c>
      <c r="Y8" s="61">
        <f t="shared" si="5"/>
        <v>798043</v>
      </c>
      <c r="Z8" s="70" t="str">
        <f t="shared" si="6"/>
        <v>ok</v>
      </c>
      <c r="AA8" s="60">
        <f>Allen!K51</f>
        <v>798043</v>
      </c>
    </row>
    <row r="9" spans="1:27" ht="15" customHeight="1">
      <c r="A9" s="68" t="s">
        <v>875</v>
      </c>
      <c r="B9" s="61">
        <f>Assumption!K6</f>
        <v>868790</v>
      </c>
      <c r="C9" s="61">
        <f>Assumption!K7</f>
        <v>6190618</v>
      </c>
      <c r="D9" s="61">
        <f>Assumption!K8</f>
        <v>1286511</v>
      </c>
      <c r="E9" s="61"/>
      <c r="F9" s="61"/>
      <c r="G9" s="61">
        <f>Assumption!K9</f>
        <v>4395</v>
      </c>
      <c r="H9" s="61"/>
      <c r="I9" s="61">
        <f t="shared" ref="I9:I21" si="8">SUM(B9:H9)</f>
        <v>8350314</v>
      </c>
      <c r="J9" s="236" t="str">
        <f t="shared" ref="J9:J64" si="9">IF(I9=K9, "ok", "check")</f>
        <v>ok</v>
      </c>
      <c r="K9" s="60">
        <f>Assumption!K11</f>
        <v>8350314</v>
      </c>
      <c r="L9" s="88"/>
      <c r="M9" s="61">
        <f>Assumption!K15+Assumption!K16</f>
        <v>59943</v>
      </c>
      <c r="N9" s="61"/>
      <c r="O9" s="61">
        <f>Assumption!K17</f>
        <v>49146</v>
      </c>
      <c r="P9" s="61">
        <f>Assumption!K18</f>
        <v>217186</v>
      </c>
      <c r="Q9" s="61">
        <f t="shared" ref="Q9:Q21" si="10">SUM(M9:P9)</f>
        <v>326275</v>
      </c>
      <c r="R9" s="236" t="str">
        <f t="shared" ref="R9:R64" si="11">IF(Q9=S9, "ok", "check")</f>
        <v>ok</v>
      </c>
      <c r="S9" s="60">
        <f>Assumption!K20</f>
        <v>326275</v>
      </c>
      <c r="T9" s="88"/>
      <c r="U9" s="61"/>
      <c r="V9" s="61">
        <f>Assumption!K24</f>
        <v>36555</v>
      </c>
      <c r="W9" s="61">
        <f>Assumption!K25</f>
        <v>7987484</v>
      </c>
      <c r="X9" s="61">
        <f t="shared" ref="X9:X14" si="12">SUM(U9:W9)</f>
        <v>8024039</v>
      </c>
      <c r="Y9" s="61">
        <f t="shared" ref="Y9:Y64" si="13">SUM(Q9+X9+T9)</f>
        <v>8350314</v>
      </c>
      <c r="Z9" s="70" t="str">
        <f t="shared" ref="Z9:Z11" si="14">IF(Y9=AA9, "ok", "check")</f>
        <v>ok</v>
      </c>
      <c r="AA9" s="60">
        <f>Assumption!K29</f>
        <v>8350314</v>
      </c>
    </row>
    <row r="10" spans="1:27" ht="15" customHeight="1">
      <c r="A10" s="68" t="s">
        <v>876</v>
      </c>
      <c r="B10" s="61">
        <f>Avoyelles!K6</f>
        <v>858064</v>
      </c>
      <c r="C10" s="61"/>
      <c r="D10" s="61">
        <f>Avoyelles!K7</f>
        <v>54360</v>
      </c>
      <c r="E10" s="61"/>
      <c r="F10" s="61">
        <f>Avoyelles!K10:K10</f>
        <v>38135</v>
      </c>
      <c r="G10" s="61">
        <f>Avoyelles!K8</f>
        <v>366301</v>
      </c>
      <c r="H10" s="61"/>
      <c r="I10" s="61">
        <f t="shared" si="8"/>
        <v>1316860</v>
      </c>
      <c r="J10" s="236" t="str">
        <f t="shared" si="9"/>
        <v>ok</v>
      </c>
      <c r="K10" s="60">
        <f>Avoyelles!K12</f>
        <v>1316860</v>
      </c>
      <c r="L10" s="88"/>
      <c r="M10" s="61">
        <f>Avoyelles!K17</f>
        <v>122570</v>
      </c>
      <c r="N10" s="61"/>
      <c r="O10" s="61"/>
      <c r="P10" s="61">
        <f>Avoyelles!K19</f>
        <v>2153</v>
      </c>
      <c r="Q10" s="61">
        <f t="shared" si="10"/>
        <v>124723</v>
      </c>
      <c r="R10" s="236" t="str">
        <f t="shared" si="11"/>
        <v>ok</v>
      </c>
      <c r="S10" s="60">
        <f>Avoyelles!K21</f>
        <v>124723</v>
      </c>
      <c r="T10" s="88">
        <f>Avoyelles!K24</f>
        <v>78528</v>
      </c>
      <c r="U10" s="61">
        <f>Avoyelles!K27</f>
        <v>38135</v>
      </c>
      <c r="V10" s="61"/>
      <c r="W10" s="61">
        <f>Avoyelles!K34</f>
        <v>1075474</v>
      </c>
      <c r="X10" s="61">
        <f t="shared" si="12"/>
        <v>1113609</v>
      </c>
      <c r="Y10" s="61">
        <f t="shared" si="13"/>
        <v>1316860</v>
      </c>
      <c r="Z10" s="70" t="str">
        <f t="shared" si="14"/>
        <v>ok</v>
      </c>
      <c r="AA10" s="60">
        <f>Avoyelles!K38</f>
        <v>1316860</v>
      </c>
    </row>
    <row r="11" spans="1:27" ht="15" customHeight="1">
      <c r="A11" s="68" t="s">
        <v>877</v>
      </c>
      <c r="B11" s="61">
        <f>Beauregard!K6</f>
        <v>558156</v>
      </c>
      <c r="C11" s="61"/>
      <c r="D11" s="61">
        <f>Beauregard!K7+Beauregard!K8</f>
        <v>1076296</v>
      </c>
      <c r="E11" s="61"/>
      <c r="F11" s="61"/>
      <c r="G11" s="61"/>
      <c r="H11" s="61"/>
      <c r="I11" s="61">
        <f t="shared" si="8"/>
        <v>1634452</v>
      </c>
      <c r="J11" s="236" t="str">
        <f t="shared" si="9"/>
        <v>ok</v>
      </c>
      <c r="K11" s="60">
        <f>Beauregard!K11</f>
        <v>1634452</v>
      </c>
      <c r="L11" s="88"/>
      <c r="M11" s="61">
        <f>Beauregard!K15</f>
        <v>147115</v>
      </c>
      <c r="N11" s="61"/>
      <c r="O11" s="61"/>
      <c r="P11" s="61">
        <f>Beauregard!K16</f>
        <v>179556</v>
      </c>
      <c r="Q11" s="61">
        <f t="shared" si="10"/>
        <v>326671</v>
      </c>
      <c r="R11" s="236" t="str">
        <f t="shared" si="11"/>
        <v>ok</v>
      </c>
      <c r="S11" s="60">
        <f>Beauregard!K19</f>
        <v>326671</v>
      </c>
      <c r="T11" s="88">
        <f>Beauregard!K23</f>
        <v>142282</v>
      </c>
      <c r="U11" s="61"/>
      <c r="V11" s="61"/>
      <c r="W11" s="61">
        <f>Beauregard!K37</f>
        <v>1165499</v>
      </c>
      <c r="X11" s="61">
        <f t="shared" si="12"/>
        <v>1165499</v>
      </c>
      <c r="Y11" s="61">
        <f>SUM(Q11+X11+T11)</f>
        <v>1634452</v>
      </c>
      <c r="Z11" s="70" t="str">
        <f t="shared" si="14"/>
        <v>ok</v>
      </c>
      <c r="AA11" s="60">
        <f>Beauregard!K41</f>
        <v>1634452</v>
      </c>
    </row>
    <row r="12" spans="1:27" ht="15" customHeight="1">
      <c r="A12" s="68" t="s">
        <v>878</v>
      </c>
      <c r="B12" s="61">
        <f>Bienville!K6</f>
        <v>4705355</v>
      </c>
      <c r="C12" s="61"/>
      <c r="D12" s="61">
        <f>Bienville!K7</f>
        <v>1810762</v>
      </c>
      <c r="E12" s="61"/>
      <c r="F12" s="61"/>
      <c r="G12" s="61"/>
      <c r="H12" s="61"/>
      <c r="I12" s="61">
        <f t="shared" si="8"/>
        <v>6516117</v>
      </c>
      <c r="J12" s="236" t="str">
        <f t="shared" ref="J12:J21" si="15">IF(I12=K12, "ok", "check")</f>
        <v>ok</v>
      </c>
      <c r="K12" s="60">
        <f>Bienville!K9</f>
        <v>6516117</v>
      </c>
      <c r="L12" s="88"/>
      <c r="M12" s="61">
        <f>Bienville!K13+Bienville!K14</f>
        <v>100832</v>
      </c>
      <c r="N12" s="61">
        <f>Bienville!K15</f>
        <v>70000</v>
      </c>
      <c r="O12" s="61"/>
      <c r="P12" s="61"/>
      <c r="Q12" s="61">
        <f t="shared" si="10"/>
        <v>170832</v>
      </c>
      <c r="R12" s="236" t="str">
        <f t="shared" ref="R12:R21" si="16">IF(Q12=S12, "ok", "check")</f>
        <v>ok</v>
      </c>
      <c r="S12" s="60">
        <f>Bienville!K17</f>
        <v>170832</v>
      </c>
      <c r="T12" s="88"/>
      <c r="U12" s="61"/>
      <c r="V12" s="61"/>
      <c r="W12" s="61">
        <f>Bienville!K27</f>
        <v>6345285</v>
      </c>
      <c r="X12" s="61">
        <f t="shared" si="12"/>
        <v>6345285</v>
      </c>
      <c r="Y12" s="61">
        <f t="shared" ref="Y12:Y14" si="17">SUM(Q12+X12+T12)</f>
        <v>6516117</v>
      </c>
      <c r="Z12" s="70" t="str">
        <f t="shared" ref="Z12:Z69" si="18">IF(Y12=AA12, "ok", "check")</f>
        <v>ok</v>
      </c>
      <c r="AA12" s="60">
        <f>Bienville!K31</f>
        <v>6516117</v>
      </c>
    </row>
    <row r="13" spans="1:27" ht="15" customHeight="1">
      <c r="A13" s="68" t="s">
        <v>879</v>
      </c>
      <c r="B13" s="61">
        <f>Bossier!K7</f>
        <v>4175695</v>
      </c>
      <c r="C13" s="61">
        <f>Bossier!K8</f>
        <v>170335</v>
      </c>
      <c r="D13" s="61">
        <f>Bossier!K9</f>
        <v>2966234</v>
      </c>
      <c r="E13" s="61"/>
      <c r="F13" s="61"/>
      <c r="G13" s="61">
        <f>Bossier!K11</f>
        <v>69371</v>
      </c>
      <c r="H13" s="61"/>
      <c r="I13" s="61">
        <f t="shared" si="8"/>
        <v>7381635</v>
      </c>
      <c r="J13" s="236" t="str">
        <f t="shared" si="15"/>
        <v>ok</v>
      </c>
      <c r="K13" s="60">
        <f>Bossier!K14</f>
        <v>7381635</v>
      </c>
      <c r="L13" s="88"/>
      <c r="M13" s="61">
        <f>Bossier!K18</f>
        <v>353048</v>
      </c>
      <c r="N13" s="61"/>
      <c r="O13" s="61"/>
      <c r="P13" s="61"/>
      <c r="Q13" s="61">
        <f t="shared" si="10"/>
        <v>353048</v>
      </c>
      <c r="R13" s="236" t="str">
        <f t="shared" si="16"/>
        <v>ok</v>
      </c>
      <c r="S13" s="60">
        <f>Bossier!K21</f>
        <v>353048</v>
      </c>
      <c r="T13" s="88">
        <f>Bossier!K25+Bossier!K26</f>
        <v>2021394</v>
      </c>
      <c r="U13" s="61"/>
      <c r="V13" s="61">
        <f>Bossier!K33</f>
        <v>3087683</v>
      </c>
      <c r="W13" s="61">
        <f>Bossier!K34</f>
        <v>1919510</v>
      </c>
      <c r="X13" s="61">
        <f t="shared" si="12"/>
        <v>5007193</v>
      </c>
      <c r="Y13" s="61">
        <f t="shared" si="17"/>
        <v>7381635</v>
      </c>
      <c r="Z13" s="70" t="str">
        <f t="shared" si="18"/>
        <v>ok</v>
      </c>
      <c r="AA13" s="60">
        <f>Bossier!K38</f>
        <v>7381635</v>
      </c>
    </row>
    <row r="14" spans="1:27" ht="15" customHeight="1">
      <c r="A14" s="68" t="s">
        <v>880</v>
      </c>
      <c r="B14" s="61">
        <f>Caddo!K6</f>
        <v>4050798</v>
      </c>
      <c r="C14" s="61">
        <f>Caddo!K7</f>
        <v>42798639</v>
      </c>
      <c r="D14" s="61">
        <f>Caddo!K9+Caddo!K11+Caddo!K12</f>
        <v>6457367</v>
      </c>
      <c r="E14" s="61"/>
      <c r="F14" s="61"/>
      <c r="G14" s="61">
        <f>Caddo!K14+Caddo!K13</f>
        <v>1349429</v>
      </c>
      <c r="H14" s="61"/>
      <c r="I14" s="61">
        <f t="shared" si="8"/>
        <v>54656233</v>
      </c>
      <c r="J14" s="236" t="str">
        <f t="shared" si="15"/>
        <v>ok</v>
      </c>
      <c r="K14" s="60">
        <f>Caddo!K18</f>
        <v>54656233</v>
      </c>
      <c r="L14" s="88"/>
      <c r="M14" s="61">
        <f>Caddo!K22+Caddo!K23</f>
        <v>271570</v>
      </c>
      <c r="N14" s="61">
        <f>Caddo!K26</f>
        <v>35478</v>
      </c>
      <c r="O14" s="61">
        <f>Caddo!K28</f>
        <v>14769</v>
      </c>
      <c r="P14" s="61"/>
      <c r="Q14" s="61">
        <f t="shared" si="10"/>
        <v>321817</v>
      </c>
      <c r="R14" s="236" t="str">
        <f t="shared" si="16"/>
        <v>ok</v>
      </c>
      <c r="S14" s="60">
        <f>Caddo!K30</f>
        <v>321817</v>
      </c>
      <c r="T14" s="88">
        <f>Caddo!K36</f>
        <v>66472</v>
      </c>
      <c r="U14" s="61">
        <f>Caddo!K52+Caddo!K54</f>
        <v>37803643</v>
      </c>
      <c r="V14" s="61">
        <f>Caddo!K57</f>
        <v>600000</v>
      </c>
      <c r="W14" s="61">
        <f>Caddo!K58</f>
        <v>15864301</v>
      </c>
      <c r="X14" s="61">
        <f t="shared" si="12"/>
        <v>54267944</v>
      </c>
      <c r="Y14" s="61">
        <f t="shared" si="17"/>
        <v>54656233</v>
      </c>
      <c r="Z14" s="70" t="str">
        <f t="shared" si="18"/>
        <v>ok</v>
      </c>
      <c r="AA14" s="60">
        <f>Caddo!K62</f>
        <v>54656233</v>
      </c>
    </row>
    <row r="15" spans="1:27" ht="15" customHeight="1">
      <c r="A15" s="68" t="s">
        <v>881</v>
      </c>
      <c r="B15" s="61">
        <f>Calcasieu!K6</f>
        <v>13551446</v>
      </c>
      <c r="C15" s="61">
        <f>Calcasieu!K7</f>
        <v>47934238</v>
      </c>
      <c r="D15" s="61">
        <f>Calcasieu!K9+Calcasieu!K11+Calcasieu!K12+Calcasieu!K13+Calcasieu!K14+Calcasieu!K17</f>
        <v>16088070</v>
      </c>
      <c r="E15" s="61"/>
      <c r="F15" s="61"/>
      <c r="G15" s="61">
        <f>Calcasieu!K15+Calcasieu!K16</f>
        <v>573655</v>
      </c>
      <c r="H15" s="61"/>
      <c r="I15" s="61">
        <f t="shared" si="8"/>
        <v>78147409</v>
      </c>
      <c r="J15" s="236" t="str">
        <f t="shared" si="15"/>
        <v>ok</v>
      </c>
      <c r="K15" s="60">
        <f>Calcasieu!K21</f>
        <v>78147409</v>
      </c>
      <c r="L15" s="88"/>
      <c r="M15" s="61">
        <f>Calcasieu!K25+Calcasieu!K31</f>
        <v>1565359</v>
      </c>
      <c r="N15" s="61">
        <f>Calcasieu!K30</f>
        <v>2292</v>
      </c>
      <c r="O15" s="61">
        <f>Calcasieu!K28+Calcasieu!K29</f>
        <v>201515</v>
      </c>
      <c r="P15" s="61">
        <f>Calcasieu!K26+Calcasieu!K32</f>
        <v>389780</v>
      </c>
      <c r="Q15" s="61">
        <f t="shared" si="10"/>
        <v>2158946</v>
      </c>
      <c r="R15" s="236" t="str">
        <f t="shared" si="16"/>
        <v>ok</v>
      </c>
      <c r="S15" s="60">
        <f>Calcasieu!K35</f>
        <v>2158946</v>
      </c>
      <c r="T15" s="88">
        <f>Calcasieu!K38</f>
        <v>11531978</v>
      </c>
      <c r="U15" s="61">
        <f>Calcasieu!K47+Calcasieu!K49</f>
        <v>276544</v>
      </c>
      <c r="V15" s="61">
        <f>Calcasieu!K55+Calcasieu!K56+Calcasieu!K57+Calcasieu!K58+Calcasieu!K59+Calcasieu!K60+Calcasieu!K61</f>
        <v>34754212</v>
      </c>
      <c r="W15" s="61">
        <f>Calcasieu!K62</f>
        <v>29425729</v>
      </c>
      <c r="X15" s="61">
        <f t="shared" ref="X15:X17" si="19">SUM(U15:W15)</f>
        <v>64456485</v>
      </c>
      <c r="Y15" s="61">
        <f t="shared" ref="Y15:Y17" si="20">SUM(Q15+X15+T15)</f>
        <v>78147409</v>
      </c>
      <c r="Z15" s="70" t="str">
        <f t="shared" si="18"/>
        <v>ok</v>
      </c>
      <c r="AA15" s="60">
        <f>Calcasieu!K66</f>
        <v>78147409</v>
      </c>
    </row>
    <row r="16" spans="1:27" ht="15" customHeight="1">
      <c r="A16" s="68" t="s">
        <v>882</v>
      </c>
      <c r="B16" s="61">
        <f>Caldwell!K6</f>
        <v>1128303</v>
      </c>
      <c r="C16" s="61">
        <f>Caldwell!K7</f>
        <v>292218</v>
      </c>
      <c r="D16" s="61"/>
      <c r="E16" s="61"/>
      <c r="F16" s="61"/>
      <c r="G16" s="61">
        <f>Caldwell!K8</f>
        <v>2700</v>
      </c>
      <c r="H16" s="61"/>
      <c r="I16" s="61">
        <f t="shared" si="8"/>
        <v>1423221</v>
      </c>
      <c r="J16" s="236" t="str">
        <f t="shared" si="15"/>
        <v>ok</v>
      </c>
      <c r="K16" s="60">
        <f>Caldwell!K10</f>
        <v>1423221</v>
      </c>
      <c r="L16" s="88"/>
      <c r="M16" s="61">
        <f>Caldwell!K14+Caldwell!K15</f>
        <v>95935</v>
      </c>
      <c r="N16" s="61"/>
      <c r="O16" s="61">
        <f>Caldwell!K16+Caldwell!K17</f>
        <v>119752</v>
      </c>
      <c r="P16" s="61"/>
      <c r="Q16" s="61">
        <f t="shared" si="10"/>
        <v>215687</v>
      </c>
      <c r="R16" s="236" t="str">
        <f t="shared" si="16"/>
        <v>ok</v>
      </c>
      <c r="S16" s="60">
        <f>Caldwell!K19</f>
        <v>215687</v>
      </c>
      <c r="T16" s="88"/>
      <c r="U16" s="61"/>
      <c r="V16" s="61"/>
      <c r="W16" s="61">
        <f>Caldwell!K22</f>
        <v>1207534</v>
      </c>
      <c r="X16" s="61">
        <f t="shared" si="19"/>
        <v>1207534</v>
      </c>
      <c r="Y16" s="61">
        <f t="shared" si="20"/>
        <v>1423221</v>
      </c>
      <c r="Z16" s="70" t="str">
        <f t="shared" si="18"/>
        <v>ok</v>
      </c>
      <c r="AA16" s="60">
        <f>Caldwell!K27</f>
        <v>1423221</v>
      </c>
    </row>
    <row r="17" spans="1:27" ht="15" customHeight="1">
      <c r="A17" s="68" t="s">
        <v>883</v>
      </c>
      <c r="B17" s="61">
        <f>Cameron!K6</f>
        <v>11614255</v>
      </c>
      <c r="C17" s="61"/>
      <c r="D17" s="61">
        <f>Cameron!K7+Cameron!K10</f>
        <v>10588239</v>
      </c>
      <c r="E17" s="61">
        <f>Cameron!K8</f>
        <v>1793767</v>
      </c>
      <c r="F17" s="61">
        <f>Cameron!K9</f>
        <v>66729</v>
      </c>
      <c r="G17" s="61"/>
      <c r="H17" s="61"/>
      <c r="I17" s="61">
        <f t="shared" si="8"/>
        <v>24062990</v>
      </c>
      <c r="J17" s="236" t="str">
        <f t="shared" si="15"/>
        <v>ok</v>
      </c>
      <c r="K17" s="60">
        <f>Cameron!K12</f>
        <v>24062990</v>
      </c>
      <c r="L17" s="88"/>
      <c r="M17" s="61">
        <f>Cameron!K16+Cameron!K19</f>
        <v>3543051</v>
      </c>
      <c r="N17" s="61">
        <f>Cameron!K18</f>
        <v>7413</v>
      </c>
      <c r="O17" s="61">
        <f>Cameron!K17</f>
        <v>2623074</v>
      </c>
      <c r="P17" s="61"/>
      <c r="Q17" s="61">
        <f t="shared" si="10"/>
        <v>6173538</v>
      </c>
      <c r="R17" s="236" t="str">
        <f t="shared" si="16"/>
        <v>ok</v>
      </c>
      <c r="S17" s="60">
        <f>Cameron!K21</f>
        <v>6173538</v>
      </c>
      <c r="T17" s="88"/>
      <c r="U17" s="61">
        <f>Cameron!K29+Cameron!K30</f>
        <v>1860496</v>
      </c>
      <c r="V17" s="61">
        <f>Cameron!K45</f>
        <v>130576</v>
      </c>
      <c r="W17" s="61">
        <f>Cameron!K52</f>
        <v>15898380</v>
      </c>
      <c r="X17" s="61">
        <f t="shared" si="19"/>
        <v>17889452</v>
      </c>
      <c r="Y17" s="61">
        <f t="shared" si="20"/>
        <v>24062990</v>
      </c>
      <c r="Z17" s="70" t="str">
        <f t="shared" si="18"/>
        <v>ok</v>
      </c>
      <c r="AA17" s="60">
        <f>Cameron!K56</f>
        <v>24062990</v>
      </c>
    </row>
    <row r="18" spans="1:27" ht="15" customHeight="1">
      <c r="A18" s="68" t="s">
        <v>884</v>
      </c>
      <c r="B18" s="61">
        <f>Catahoula!K7</f>
        <v>629573</v>
      </c>
      <c r="C18" s="61"/>
      <c r="D18" s="61">
        <f>Catahoula!K10</f>
        <v>519222</v>
      </c>
      <c r="E18" s="61"/>
      <c r="F18" s="61">
        <f>Catahoula!K11</f>
        <v>32620</v>
      </c>
      <c r="G18" s="61"/>
      <c r="H18" s="61"/>
      <c r="I18" s="61">
        <f t="shared" si="8"/>
        <v>1181415</v>
      </c>
      <c r="J18" s="236" t="str">
        <f t="shared" si="15"/>
        <v>ok</v>
      </c>
      <c r="K18" s="60">
        <f>Catahoula!K13</f>
        <v>1181415</v>
      </c>
      <c r="L18" s="88"/>
      <c r="M18" s="61">
        <f>Catahoula!K17+Catahoula!K18</f>
        <v>53509</v>
      </c>
      <c r="N18" s="61"/>
      <c r="O18" s="61"/>
      <c r="P18" s="61"/>
      <c r="Q18" s="61">
        <f t="shared" si="10"/>
        <v>53509</v>
      </c>
      <c r="R18" s="236" t="str">
        <f t="shared" si="16"/>
        <v>ok</v>
      </c>
      <c r="S18" s="60">
        <f>Catahoula!K20</f>
        <v>53509</v>
      </c>
      <c r="T18" s="88">
        <f>Catahoula!K23</f>
        <v>59384</v>
      </c>
      <c r="U18" s="61"/>
      <c r="V18" s="61"/>
      <c r="W18" s="61">
        <f>Catahoula!K29</f>
        <v>1068522</v>
      </c>
      <c r="X18" s="61">
        <f t="shared" ref="X18:X21" si="21">SUM(U18:W18)</f>
        <v>1068522</v>
      </c>
      <c r="Y18" s="61">
        <f t="shared" ref="Y18" si="22">SUM(Q18+X18+T18)</f>
        <v>1181415</v>
      </c>
      <c r="Z18" s="70" t="str">
        <f t="shared" si="18"/>
        <v>ok</v>
      </c>
      <c r="AA18" s="60">
        <f>Catahoula!K33</f>
        <v>1181415</v>
      </c>
    </row>
    <row r="19" spans="1:27" ht="15" customHeight="1">
      <c r="A19" s="68" t="s">
        <v>885</v>
      </c>
      <c r="B19" s="61">
        <f>Claiborne!K7</f>
        <v>3314766</v>
      </c>
      <c r="C19" s="61">
        <f>Claiborne!K8</f>
        <v>443112</v>
      </c>
      <c r="D19" s="61">
        <f>Claiborne!K9</f>
        <v>618190</v>
      </c>
      <c r="E19" s="61"/>
      <c r="F19" s="61">
        <f>Claiborne!K12</f>
        <v>107283</v>
      </c>
      <c r="G19" s="61">
        <f>Claiborne!K10+Claiborne!K11</f>
        <v>23510</v>
      </c>
      <c r="H19" s="61"/>
      <c r="I19" s="61">
        <f t="shared" si="8"/>
        <v>4506861</v>
      </c>
      <c r="J19" s="236" t="str">
        <f t="shared" si="15"/>
        <v>ok</v>
      </c>
      <c r="K19" s="60">
        <f>Claiborne!K14</f>
        <v>4506861</v>
      </c>
      <c r="L19" s="88"/>
      <c r="M19" s="61">
        <f>Claiborne!K18</f>
        <v>224147</v>
      </c>
      <c r="N19" s="61"/>
      <c r="O19" s="61"/>
      <c r="P19" s="61"/>
      <c r="Q19" s="61">
        <f t="shared" si="10"/>
        <v>224147</v>
      </c>
      <c r="R19" s="236" t="str">
        <f t="shared" si="16"/>
        <v>ok</v>
      </c>
      <c r="S19" s="60">
        <f>Claiborne!K22</f>
        <v>224147</v>
      </c>
      <c r="T19" s="88">
        <f>Claiborne!K25</f>
        <v>54472</v>
      </c>
      <c r="U19" s="61">
        <f>Claiborne!K30</f>
        <v>485567</v>
      </c>
      <c r="V19" s="61"/>
      <c r="W19" s="61">
        <f>Claiborne!K31</f>
        <v>3742675</v>
      </c>
      <c r="X19" s="61">
        <f t="shared" si="21"/>
        <v>4228242</v>
      </c>
      <c r="Y19" s="61">
        <f t="shared" ref="Y19:Y21" si="23">SUM(Q19+X19+T19)</f>
        <v>4506861</v>
      </c>
      <c r="Z19" s="70" t="str">
        <f t="shared" si="18"/>
        <v>ok</v>
      </c>
      <c r="AA19" s="60">
        <f>Claiborne!K35</f>
        <v>4506861</v>
      </c>
    </row>
    <row r="20" spans="1:27" ht="15" customHeight="1">
      <c r="A20" s="68" t="s">
        <v>886</v>
      </c>
      <c r="B20" s="61">
        <f>Concordia!K7</f>
        <v>3075673</v>
      </c>
      <c r="C20" s="61"/>
      <c r="D20" s="61">
        <f>Concordia!K9+Concordia!K10+Concordia!K12</f>
        <v>441602</v>
      </c>
      <c r="E20" s="61"/>
      <c r="F20" s="61"/>
      <c r="G20" s="61">
        <f>Concordia!K14</f>
        <v>12550</v>
      </c>
      <c r="H20" s="61"/>
      <c r="I20" s="61">
        <f t="shared" si="8"/>
        <v>3529825</v>
      </c>
      <c r="J20" s="236" t="str">
        <f t="shared" si="15"/>
        <v>ok</v>
      </c>
      <c r="K20" s="60">
        <f>Concordia!K16</f>
        <v>3529825</v>
      </c>
      <c r="L20" s="88"/>
      <c r="M20" s="61">
        <f>Concordia!K19</f>
        <v>69082</v>
      </c>
      <c r="N20" s="61"/>
      <c r="O20" s="61"/>
      <c r="P20" s="61">
        <f>Concordia!K20</f>
        <v>36195</v>
      </c>
      <c r="Q20" s="61">
        <f t="shared" si="10"/>
        <v>105277</v>
      </c>
      <c r="R20" s="236" t="str">
        <f t="shared" si="16"/>
        <v>ok</v>
      </c>
      <c r="S20" s="60">
        <f>Concordia!K23</f>
        <v>105277</v>
      </c>
      <c r="T20" s="88">
        <f>Concordia!K26</f>
        <v>11753</v>
      </c>
      <c r="U20" s="61"/>
      <c r="V20" s="61"/>
      <c r="W20" s="61">
        <f>Concordia!K35</f>
        <v>3412795</v>
      </c>
      <c r="X20" s="61">
        <f t="shared" si="21"/>
        <v>3412795</v>
      </c>
      <c r="Y20" s="61">
        <f t="shared" si="23"/>
        <v>3529825</v>
      </c>
      <c r="Z20" s="70" t="str">
        <f t="shared" si="18"/>
        <v>ok</v>
      </c>
      <c r="AA20" s="60">
        <f>Concordia!K39</f>
        <v>3529825</v>
      </c>
    </row>
    <row r="21" spans="1:27" ht="15" customHeight="1">
      <c r="A21" s="68" t="s">
        <v>887</v>
      </c>
      <c r="B21" s="61">
        <f>DeSoto!K6</f>
        <v>1781428</v>
      </c>
      <c r="C21" s="61">
        <f>DeSoto!K7</f>
        <v>7067168</v>
      </c>
      <c r="D21" s="61">
        <f>DeSoto!K8</f>
        <v>4148243</v>
      </c>
      <c r="E21" s="61"/>
      <c r="F21" s="61"/>
      <c r="G21" s="61">
        <f>DeSoto!K10</f>
        <v>201448</v>
      </c>
      <c r="H21" s="61"/>
      <c r="I21" s="61">
        <f t="shared" si="8"/>
        <v>13198287</v>
      </c>
      <c r="J21" s="236" t="str">
        <f t="shared" si="15"/>
        <v>ok</v>
      </c>
      <c r="K21" s="60">
        <f>DeSoto!K13</f>
        <v>13198287</v>
      </c>
      <c r="L21" s="88"/>
      <c r="M21" s="61">
        <f>DeSoto!K17</f>
        <v>296375</v>
      </c>
      <c r="N21" s="61"/>
      <c r="O21" s="61">
        <f>DeSoto!K20</f>
        <v>8966</v>
      </c>
      <c r="P21" s="61">
        <f>DeSoto!K22</f>
        <v>1800</v>
      </c>
      <c r="Q21" s="61">
        <f t="shared" si="10"/>
        <v>307141</v>
      </c>
      <c r="R21" s="236" t="str">
        <f t="shared" si="16"/>
        <v>ok</v>
      </c>
      <c r="S21" s="60">
        <f>DeSoto!K24</f>
        <v>307141</v>
      </c>
      <c r="T21" s="88">
        <f>DeSoto!K27</f>
        <v>236806</v>
      </c>
      <c r="U21" s="61"/>
      <c r="V21" s="61">
        <f>DeSoto!K43</f>
        <v>13809</v>
      </c>
      <c r="W21" s="61">
        <f>DeSoto!K45</f>
        <v>12640531</v>
      </c>
      <c r="X21" s="61">
        <f t="shared" si="21"/>
        <v>12654340</v>
      </c>
      <c r="Y21" s="61">
        <f t="shared" si="23"/>
        <v>13198287</v>
      </c>
      <c r="Z21" s="70" t="str">
        <f t="shared" si="18"/>
        <v>ok</v>
      </c>
      <c r="AA21" s="60">
        <f>DeSoto!K49</f>
        <v>13198287</v>
      </c>
    </row>
    <row r="22" spans="1:27" ht="15" customHeight="1">
      <c r="A22" s="68" t="s">
        <v>888</v>
      </c>
      <c r="B22" s="61">
        <f>'East Baton Rouge'!K7</f>
        <v>49746105</v>
      </c>
      <c r="C22" s="61">
        <f>'East Baton Rouge'!K8</f>
        <v>56096672</v>
      </c>
      <c r="D22" s="61">
        <f>'East Baton Rouge'!K9+'East Baton Rouge'!K10+'East Baton Rouge'!K11+'East Baton Rouge'!K12+'East Baton Rouge'!K13+'East Baton Rouge'!K14+'East Baton Rouge'!K17</f>
        <v>30145716</v>
      </c>
      <c r="E22" s="61">
        <f>'East Baton Rouge'!K18</f>
        <v>556855</v>
      </c>
      <c r="F22" s="61"/>
      <c r="G22" s="61">
        <f>'East Baton Rouge'!K15+'East Baton Rouge'!K16</f>
        <v>28921403</v>
      </c>
      <c r="H22" s="61"/>
      <c r="I22" s="61">
        <f>SUM(B22:H22)</f>
        <v>165466751</v>
      </c>
      <c r="J22" s="236" t="str">
        <f t="shared" ref="J22:J26" si="24">IF(I22=K22, "ok", "check")</f>
        <v>ok</v>
      </c>
      <c r="K22" s="60">
        <f>'East Baton Rouge'!K19</f>
        <v>165466751</v>
      </c>
      <c r="L22" s="88">
        <f>'East Baton Rouge'!C33+'East Baton Rouge'!C34</f>
        <v>0</v>
      </c>
      <c r="M22" s="61">
        <f>'East Baton Rouge'!K23+'East Baton Rouge'!K26</f>
        <v>26346588</v>
      </c>
      <c r="N22" s="61"/>
      <c r="O22" s="61">
        <f>'East Baton Rouge'!K25</f>
        <v>7384834</v>
      </c>
      <c r="P22" s="61">
        <f>'East Baton Rouge'!K28</f>
        <v>18011657</v>
      </c>
      <c r="Q22" s="61">
        <f t="shared" ref="Q22:Q26" si="25">SUM(M22:P22)</f>
        <v>51743079</v>
      </c>
      <c r="R22" s="236" t="str">
        <f t="shared" ref="R22:R26" si="26">IF(Q22=S22, "ok", "check")</f>
        <v>ok</v>
      </c>
      <c r="S22" s="60">
        <f>'East Baton Rouge'!K30</f>
        <v>51743079</v>
      </c>
      <c r="T22" s="88">
        <f>'East Baton Rouge'!K33+'East Baton Rouge'!K34</f>
        <v>1391129</v>
      </c>
      <c r="U22" s="61">
        <f>'East Baton Rouge'!K40+'East Baton Rouge'!K41+'East Baton Rouge'!K42</f>
        <v>64306294</v>
      </c>
      <c r="V22" s="61">
        <f>'East Baton Rouge'!K43</f>
        <v>32590252</v>
      </c>
      <c r="W22" s="61">
        <f>'East Baton Rouge'!K44</f>
        <v>15435997</v>
      </c>
      <c r="X22" s="61">
        <f t="shared" ref="X22:X26" si="27">SUM(U22:W22)</f>
        <v>112332543</v>
      </c>
      <c r="Y22" s="61">
        <f t="shared" si="13"/>
        <v>165466751</v>
      </c>
      <c r="Z22" s="70" t="str">
        <f t="shared" si="18"/>
        <v>ok</v>
      </c>
      <c r="AA22" s="60">
        <f>'East Baton Rouge'!K48</f>
        <v>165466751</v>
      </c>
    </row>
    <row r="23" spans="1:27" s="214" customFormat="1" ht="15" customHeight="1">
      <c r="A23" s="229" t="s">
        <v>889</v>
      </c>
      <c r="B23" s="230">
        <f>'East Carroll'!K6</f>
        <v>228072</v>
      </c>
      <c r="C23" s="230"/>
      <c r="D23" s="230">
        <f>'East Carroll'!K8+'East Carroll'!K9</f>
        <v>655529</v>
      </c>
      <c r="E23" s="230"/>
      <c r="F23" s="230"/>
      <c r="G23" s="230"/>
      <c r="H23" s="230"/>
      <c r="I23" s="230">
        <f t="shared" ref="I23:I26" si="28">SUM(B23:H23)</f>
        <v>883601</v>
      </c>
      <c r="J23" s="236" t="str">
        <f t="shared" si="24"/>
        <v>ok</v>
      </c>
      <c r="K23" s="231">
        <f>'East Carroll'!K11</f>
        <v>883601</v>
      </c>
      <c r="L23" s="232"/>
      <c r="M23" s="230">
        <f>'East Carroll'!K15</f>
        <v>172155</v>
      </c>
      <c r="N23" s="230"/>
      <c r="O23" s="230"/>
      <c r="P23" s="230"/>
      <c r="Q23" s="230">
        <f t="shared" si="25"/>
        <v>172155</v>
      </c>
      <c r="R23" s="236" t="str">
        <f t="shared" si="26"/>
        <v>ok</v>
      </c>
      <c r="S23" s="231">
        <f>'East Carroll'!K18</f>
        <v>172155</v>
      </c>
      <c r="T23" s="232">
        <f>'East Carroll'!K21</f>
        <v>23541</v>
      </c>
      <c r="U23" s="230"/>
      <c r="V23" s="230"/>
      <c r="W23" s="230">
        <f>'East Carroll'!K27</f>
        <v>687905</v>
      </c>
      <c r="X23" s="230">
        <f t="shared" si="27"/>
        <v>687905</v>
      </c>
      <c r="Y23" s="230">
        <f t="shared" ref="Y23:Y26" si="29">SUM(Q23+X23+T23)</f>
        <v>883601</v>
      </c>
      <c r="Z23" s="70" t="str">
        <f t="shared" si="18"/>
        <v>ok</v>
      </c>
      <c r="AA23" s="231">
        <f>'East Carroll'!K31</f>
        <v>883601</v>
      </c>
    </row>
    <row r="24" spans="1:27" s="214" customFormat="1" ht="15" customHeight="1">
      <c r="A24" s="229" t="s">
        <v>890</v>
      </c>
      <c r="B24" s="230">
        <f>'East Feliciana'!K6</f>
        <v>810939.55</v>
      </c>
      <c r="C24" s="230"/>
      <c r="D24" s="230">
        <f>'East Feliciana'!K9</f>
        <v>396124.82</v>
      </c>
      <c r="E24" s="230"/>
      <c r="F24" s="230"/>
      <c r="G24" s="230">
        <f>'East Feliciana'!K10+'East Feliciana'!K11</f>
        <v>288735.48</v>
      </c>
      <c r="H24" s="230"/>
      <c r="I24" s="230">
        <f t="shared" si="28"/>
        <v>1495799.85</v>
      </c>
      <c r="J24" s="236" t="str">
        <f t="shared" si="24"/>
        <v>ok</v>
      </c>
      <c r="K24" s="231">
        <f>'East Feliciana'!K13</f>
        <v>1495799.85</v>
      </c>
      <c r="L24" s="232"/>
      <c r="M24" s="230">
        <f>'East Feliciana'!K17+'East Feliciana'!K18</f>
        <v>83690.239999999991</v>
      </c>
      <c r="N24" s="230"/>
      <c r="O24" s="230"/>
      <c r="P24" s="230"/>
      <c r="Q24" s="230">
        <f t="shared" si="25"/>
        <v>83690.239999999991</v>
      </c>
      <c r="R24" s="236" t="str">
        <f t="shared" si="26"/>
        <v>ok</v>
      </c>
      <c r="S24" s="231">
        <f>'East Feliciana'!K21</f>
        <v>83690.239999999991</v>
      </c>
      <c r="T24" s="232">
        <f>'East Feliciana'!K24</f>
        <v>47055.21</v>
      </c>
      <c r="U24" s="230">
        <f>'East Feliciana'!K29+'East Feliciana'!K35</f>
        <v>91014.34</v>
      </c>
      <c r="V24" s="230">
        <f>'East Feliciana'!K36</f>
        <v>1274040.06</v>
      </c>
      <c r="W24" s="230"/>
      <c r="X24" s="230">
        <f t="shared" si="27"/>
        <v>1365054.4000000001</v>
      </c>
      <c r="Y24" s="230">
        <f t="shared" ref="Y24" si="30">SUM(Q24+X24+T24)</f>
        <v>1495799.85</v>
      </c>
      <c r="Z24" s="70" t="str">
        <f t="shared" si="18"/>
        <v>ok</v>
      </c>
      <c r="AA24" s="231">
        <f>'East Feliciana'!K40</f>
        <v>1495799.85</v>
      </c>
    </row>
    <row r="25" spans="1:27" ht="15" customHeight="1">
      <c r="A25" s="68" t="s">
        <v>891</v>
      </c>
      <c r="B25" s="61">
        <f>Evangeline!K6</f>
        <v>587936</v>
      </c>
      <c r="C25" s="61"/>
      <c r="D25" s="61">
        <f>Evangeline!K8</f>
        <v>81043</v>
      </c>
      <c r="E25" s="61"/>
      <c r="F25" s="61"/>
      <c r="G25" s="61"/>
      <c r="H25" s="61"/>
      <c r="I25" s="61">
        <f t="shared" si="28"/>
        <v>668979</v>
      </c>
      <c r="J25" s="236" t="str">
        <f t="shared" si="24"/>
        <v>ok</v>
      </c>
      <c r="K25" s="60">
        <f>Evangeline!K11</f>
        <v>668979</v>
      </c>
      <c r="L25" s="88"/>
      <c r="M25" s="61">
        <f>Evangeline!K16</f>
        <v>82573</v>
      </c>
      <c r="N25" s="61"/>
      <c r="O25" s="61"/>
      <c r="P25" s="61"/>
      <c r="Q25" s="61">
        <f t="shared" si="25"/>
        <v>82573</v>
      </c>
      <c r="R25" s="236" t="str">
        <f t="shared" si="26"/>
        <v>ok</v>
      </c>
      <c r="S25" s="60">
        <f>Evangeline!K21</f>
        <v>82573</v>
      </c>
      <c r="T25" s="88"/>
      <c r="U25" s="61"/>
      <c r="V25" s="61">
        <f>Evangeline!K27</f>
        <v>586406</v>
      </c>
      <c r="W25" s="61"/>
      <c r="X25" s="61">
        <f t="shared" si="27"/>
        <v>586406</v>
      </c>
      <c r="Y25" s="61">
        <f t="shared" si="29"/>
        <v>668979</v>
      </c>
      <c r="Z25" s="70" t="str">
        <f t="shared" si="18"/>
        <v>ok</v>
      </c>
      <c r="AA25" s="60">
        <f>Evangeline!K33</f>
        <v>668979</v>
      </c>
    </row>
    <row r="26" spans="1:27" ht="15" customHeight="1">
      <c r="A26" s="68" t="s">
        <v>892</v>
      </c>
      <c r="B26" s="61">
        <f>Franklin!K6</f>
        <v>280695</v>
      </c>
      <c r="C26" s="61"/>
      <c r="D26" s="61">
        <f>Franklin!K7+Franklin!K8</f>
        <v>427871</v>
      </c>
      <c r="E26" s="61"/>
      <c r="F26" s="61"/>
      <c r="G26" s="61"/>
      <c r="H26" s="61"/>
      <c r="I26" s="61">
        <f t="shared" si="28"/>
        <v>708566</v>
      </c>
      <c r="J26" s="236" t="str">
        <f t="shared" si="24"/>
        <v>ok</v>
      </c>
      <c r="K26" s="60">
        <f>Franklin!K10</f>
        <v>708566</v>
      </c>
      <c r="L26" s="88"/>
      <c r="M26" s="61">
        <f>Franklin!K14+Franklin!K15</f>
        <v>83155</v>
      </c>
      <c r="N26" s="61"/>
      <c r="O26" s="61"/>
      <c r="P26" s="61"/>
      <c r="Q26" s="61">
        <f t="shared" si="25"/>
        <v>83155</v>
      </c>
      <c r="R26" s="236" t="str">
        <f t="shared" si="26"/>
        <v>ok</v>
      </c>
      <c r="S26" s="60">
        <f>Franklin!K17</f>
        <v>83155</v>
      </c>
      <c r="T26" s="88"/>
      <c r="U26" s="61"/>
      <c r="V26" s="61"/>
      <c r="W26" s="61">
        <f>Franklin!K29</f>
        <v>625411</v>
      </c>
      <c r="X26" s="61">
        <f t="shared" si="27"/>
        <v>625411</v>
      </c>
      <c r="Y26" s="61">
        <f t="shared" si="29"/>
        <v>708566</v>
      </c>
      <c r="Z26" s="70" t="str">
        <f t="shared" si="18"/>
        <v>ok</v>
      </c>
      <c r="AA26" s="60">
        <f>Franklin!K33</f>
        <v>708566</v>
      </c>
    </row>
    <row r="27" spans="1:27" ht="15" customHeight="1">
      <c r="A27" s="68" t="s">
        <v>893</v>
      </c>
      <c r="B27" s="61">
        <f>Grant!K6</f>
        <v>297567</v>
      </c>
      <c r="C27" s="61"/>
      <c r="D27" s="61">
        <f>Grant!K7+Grant!K8</f>
        <v>509286</v>
      </c>
      <c r="E27" s="61"/>
      <c r="F27" s="61"/>
      <c r="G27" s="61"/>
      <c r="H27" s="61"/>
      <c r="I27" s="61">
        <f t="shared" ref="I27:I28" si="31">SUM(B27:H27)</f>
        <v>806853</v>
      </c>
      <c r="J27" s="236" t="str">
        <f t="shared" ref="J27:J28" si="32">IF(I27=K27, "ok", "check")</f>
        <v>ok</v>
      </c>
      <c r="K27" s="60">
        <f>Grant!K9</f>
        <v>806853</v>
      </c>
      <c r="L27" s="88"/>
      <c r="M27" s="61">
        <f>Grant!K13+Grant!K14</f>
        <v>137005</v>
      </c>
      <c r="N27" s="61"/>
      <c r="O27" s="61"/>
      <c r="P27" s="61"/>
      <c r="Q27" s="61">
        <f t="shared" ref="Q27:Q28" si="33">SUM(M27:P27)</f>
        <v>137005</v>
      </c>
      <c r="R27" s="236" t="str">
        <f t="shared" ref="R27:R28" si="34">IF(Q27=S27, "ok", "check")</f>
        <v>ok</v>
      </c>
      <c r="S27" s="60">
        <f>Grant!K16</f>
        <v>137005</v>
      </c>
      <c r="T27" s="88"/>
      <c r="U27" s="61"/>
      <c r="V27" s="61"/>
      <c r="W27" s="61">
        <f>Grant!K28</f>
        <v>669848</v>
      </c>
      <c r="X27" s="61">
        <f t="shared" ref="X27:X28" si="35">SUM(U27:W27)</f>
        <v>669848</v>
      </c>
      <c r="Y27" s="61">
        <f t="shared" ref="Y27:Y28" si="36">SUM(Q27+X27+T27)</f>
        <v>806853</v>
      </c>
      <c r="Z27" s="70" t="str">
        <f t="shared" si="18"/>
        <v>ok</v>
      </c>
      <c r="AA27" s="60">
        <f>Grant!K31</f>
        <v>806853</v>
      </c>
    </row>
    <row r="28" spans="1:27" ht="15" customHeight="1">
      <c r="A28" s="68" t="s">
        <v>894</v>
      </c>
      <c r="B28" s="61">
        <f>Iberia!K6</f>
        <v>629648</v>
      </c>
      <c r="C28" s="61"/>
      <c r="D28" s="61">
        <f>Iberia!K8+Iberia!K9</f>
        <v>1349029</v>
      </c>
      <c r="E28" s="61"/>
      <c r="F28" s="61"/>
      <c r="G28" s="61">
        <f>Iberia!K10+Iberia!K11</f>
        <v>2015240</v>
      </c>
      <c r="H28" s="61"/>
      <c r="I28" s="61">
        <f t="shared" si="31"/>
        <v>3993917</v>
      </c>
      <c r="J28" s="236" t="str">
        <f t="shared" si="32"/>
        <v>ok</v>
      </c>
      <c r="K28" s="60">
        <f>Iberia!K12</f>
        <v>3993917</v>
      </c>
      <c r="L28" s="88"/>
      <c r="M28" s="61">
        <f>Iberia!K16+Iberia!K17</f>
        <v>268436</v>
      </c>
      <c r="N28" s="61"/>
      <c r="O28" s="61">
        <f>Iberia!K20+Iberia!K21+Iberia!K22</f>
        <v>449030</v>
      </c>
      <c r="P28" s="61"/>
      <c r="Q28" s="61">
        <f t="shared" si="33"/>
        <v>717466</v>
      </c>
      <c r="R28" s="236" t="str">
        <f t="shared" si="34"/>
        <v>ok</v>
      </c>
      <c r="S28" s="60">
        <f>Iberia!K24</f>
        <v>717466</v>
      </c>
      <c r="T28" s="88"/>
      <c r="U28" s="61">
        <f>Iberia!K30</f>
        <v>515153</v>
      </c>
      <c r="V28" s="61">
        <f>Iberia!K31</f>
        <v>1948661</v>
      </c>
      <c r="W28" s="61">
        <f>Iberia!K32</f>
        <v>812637</v>
      </c>
      <c r="X28" s="61">
        <f t="shared" si="35"/>
        <v>3276451</v>
      </c>
      <c r="Y28" s="61">
        <f t="shared" si="36"/>
        <v>3993917</v>
      </c>
      <c r="Z28" s="70" t="str">
        <f t="shared" si="18"/>
        <v>ok</v>
      </c>
      <c r="AA28" s="60">
        <f>Iberia!K35</f>
        <v>3993917</v>
      </c>
    </row>
    <row r="29" spans="1:27" ht="15" customHeight="1">
      <c r="A29" s="68" t="s">
        <v>895</v>
      </c>
      <c r="B29" s="61">
        <f>Iberville!K6+Iberville!K10</f>
        <v>3676173</v>
      </c>
      <c r="C29" s="61"/>
      <c r="D29" s="61">
        <f>Iberville!K7+Iberville!K8</f>
        <v>2597046</v>
      </c>
      <c r="E29" s="61"/>
      <c r="F29" s="61"/>
      <c r="G29" s="61"/>
      <c r="H29" s="61"/>
      <c r="I29" s="61">
        <f t="shared" ref="I29:I44" si="37">SUM(B29:H29)</f>
        <v>6273219</v>
      </c>
      <c r="J29" s="236" t="str">
        <f t="shared" si="9"/>
        <v>ok</v>
      </c>
      <c r="K29" s="60">
        <f>Iberville!K12</f>
        <v>6273219</v>
      </c>
      <c r="L29" s="88"/>
      <c r="M29" s="61">
        <f>Iberville!K16+Iberville!K19</f>
        <v>929820</v>
      </c>
      <c r="N29" s="61"/>
      <c r="O29" s="61"/>
      <c r="P29" s="61"/>
      <c r="Q29" s="61">
        <f t="shared" ref="Q29:Q44" si="38">SUM(M29:P29)</f>
        <v>929820</v>
      </c>
      <c r="R29" s="236" t="str">
        <f t="shared" si="11"/>
        <v>ok</v>
      </c>
      <c r="S29" s="60">
        <f>Iberville!K20</f>
        <v>929820</v>
      </c>
      <c r="T29" s="88"/>
      <c r="U29" s="61">
        <f>Iberville!K24+Iberville!K25</f>
        <v>531656</v>
      </c>
      <c r="V29" s="61"/>
      <c r="W29" s="61">
        <f>Iberville!K28</f>
        <v>4811743</v>
      </c>
      <c r="X29" s="61">
        <f t="shared" ref="X29:X43" si="39">SUM(U29:W29)</f>
        <v>5343399</v>
      </c>
      <c r="Y29" s="61">
        <f t="shared" si="13"/>
        <v>6273219</v>
      </c>
      <c r="Z29" s="70" t="str">
        <f t="shared" si="18"/>
        <v>ok</v>
      </c>
      <c r="AA29" s="60">
        <f>Iberville!K31</f>
        <v>6273219</v>
      </c>
    </row>
    <row r="30" spans="1:27" ht="15" customHeight="1">
      <c r="A30" s="68" t="s">
        <v>896</v>
      </c>
      <c r="B30" s="61">
        <f>Jackson!K6</f>
        <v>2462652</v>
      </c>
      <c r="C30" s="61"/>
      <c r="D30" s="61">
        <f>Jackson!K7+Jackson!K8+Jackson!K9</f>
        <v>1332096</v>
      </c>
      <c r="E30" s="61"/>
      <c r="F30" s="61"/>
      <c r="G30" s="61"/>
      <c r="H30" s="61"/>
      <c r="I30" s="61">
        <f t="shared" si="37"/>
        <v>3794748</v>
      </c>
      <c r="J30" s="236" t="str">
        <f t="shared" si="9"/>
        <v>ok</v>
      </c>
      <c r="K30" s="60">
        <f>Jackson!K11</f>
        <v>3794748</v>
      </c>
      <c r="L30" s="88"/>
      <c r="M30" s="61">
        <f>Jackson!K15</f>
        <v>71630</v>
      </c>
      <c r="N30" s="61"/>
      <c r="O30" s="61"/>
      <c r="P30" s="61">
        <f>Jackson!K17</f>
        <v>4075</v>
      </c>
      <c r="Q30" s="61">
        <f t="shared" si="38"/>
        <v>75705</v>
      </c>
      <c r="R30" s="236" t="str">
        <f t="shared" si="11"/>
        <v>ok</v>
      </c>
      <c r="S30" s="60">
        <f>Jackson!K19</f>
        <v>75705</v>
      </c>
      <c r="T30" s="88">
        <f>Jackson!K22</f>
        <v>99362</v>
      </c>
      <c r="U30" s="61">
        <f>Jackson!K27+Jackson!K29</f>
        <v>1019611</v>
      </c>
      <c r="V30" s="61">
        <f>Jackson!K28</f>
        <v>42300</v>
      </c>
      <c r="W30" s="61">
        <f>Jackson!K30</f>
        <v>2557770</v>
      </c>
      <c r="X30" s="61">
        <f t="shared" si="39"/>
        <v>3619681</v>
      </c>
      <c r="Y30" s="61">
        <f t="shared" si="13"/>
        <v>3794748</v>
      </c>
      <c r="Z30" s="70" t="str">
        <f t="shared" si="18"/>
        <v>ok</v>
      </c>
      <c r="AA30" s="60">
        <f>Jackson!K34</f>
        <v>3794748</v>
      </c>
    </row>
    <row r="31" spans="1:27" ht="15" customHeight="1">
      <c r="A31" s="68" t="s">
        <v>897</v>
      </c>
      <c r="B31" s="61">
        <f>Jefferson!K7</f>
        <v>8</v>
      </c>
      <c r="C31" s="61"/>
      <c r="D31" s="61">
        <f>Jefferson!K12+Jefferson!K13+Jefferson!K14</f>
        <v>20837</v>
      </c>
      <c r="E31" s="61"/>
      <c r="F31" s="61">
        <f>Jefferson!K9+Jefferson!K16</f>
        <v>15182</v>
      </c>
      <c r="G31" s="61"/>
      <c r="H31" s="61"/>
      <c r="I31" s="61">
        <f t="shared" si="37"/>
        <v>36027</v>
      </c>
      <c r="J31" s="236" t="str">
        <f t="shared" si="9"/>
        <v>ok</v>
      </c>
      <c r="K31" s="60">
        <f>Jefferson!K17</f>
        <v>36027</v>
      </c>
      <c r="L31" s="88"/>
      <c r="M31" s="61">
        <f>Jefferson!K21+Jefferson!K22+Jefferson!K25</f>
        <v>8310</v>
      </c>
      <c r="N31" s="61"/>
      <c r="O31" s="61"/>
      <c r="P31" s="61">
        <f>Jefferson!K24</f>
        <v>56</v>
      </c>
      <c r="Q31" s="61">
        <f t="shared" si="38"/>
        <v>8366</v>
      </c>
      <c r="R31" s="236" t="str">
        <f t="shared" si="11"/>
        <v>ok</v>
      </c>
      <c r="S31" s="60">
        <f>Jefferson!K26</f>
        <v>8366</v>
      </c>
      <c r="T31" s="88">
        <f>Jefferson!K30</f>
        <v>4157</v>
      </c>
      <c r="U31" s="61">
        <f>Jefferson!K34+Jefferson!K35</f>
        <v>6878</v>
      </c>
      <c r="V31" s="61"/>
      <c r="W31" s="61">
        <f>Jefferson!K37</f>
        <v>16626</v>
      </c>
      <c r="X31" s="61">
        <f t="shared" si="39"/>
        <v>23504</v>
      </c>
      <c r="Y31" s="61">
        <f t="shared" si="13"/>
        <v>36027</v>
      </c>
      <c r="Z31" s="70" t="str">
        <f t="shared" si="18"/>
        <v>ok</v>
      </c>
      <c r="AA31" s="60">
        <f>Jefferson!K41</f>
        <v>36027</v>
      </c>
    </row>
    <row r="32" spans="1:27" ht="15" customHeight="1">
      <c r="A32" s="68" t="s">
        <v>898</v>
      </c>
      <c r="B32" s="61">
        <f>'Jefferson Davis'!K6</f>
        <v>6883837</v>
      </c>
      <c r="C32" s="61">
        <f>'Jefferson Davis'!K7</f>
        <v>678247</v>
      </c>
      <c r="D32" s="61">
        <f>'Jefferson Davis'!K8</f>
        <v>93939</v>
      </c>
      <c r="E32" s="61"/>
      <c r="F32" s="61"/>
      <c r="G32" s="61">
        <f>'Jefferson Davis'!K9</f>
        <v>300</v>
      </c>
      <c r="H32" s="61"/>
      <c r="I32" s="61">
        <f>SUM(B32:H32)</f>
        <v>7656323</v>
      </c>
      <c r="J32" s="236" t="str">
        <f>IF(I32=K32, "ok", "check")</f>
        <v>ok</v>
      </c>
      <c r="K32" s="60">
        <f>'Jefferson Davis'!K12</f>
        <v>7656323</v>
      </c>
      <c r="L32" s="88"/>
      <c r="M32" s="61">
        <f>'Jefferson Davis'!K16</f>
        <v>69611</v>
      </c>
      <c r="N32" s="61"/>
      <c r="O32" s="61"/>
      <c r="P32" s="61">
        <f>'Jefferson Davis'!K18+'Jefferson Davis'!K19</f>
        <v>550640</v>
      </c>
      <c r="Q32" s="61">
        <f>SUM(M32:P32)</f>
        <v>620251</v>
      </c>
      <c r="R32" s="236" t="str">
        <f>IF(Q32=S32, "ok", "check")</f>
        <v>ok</v>
      </c>
      <c r="S32" s="60">
        <f>'Jefferson Davis'!K21</f>
        <v>620251</v>
      </c>
      <c r="T32" s="88">
        <f>'Jefferson Davis'!K24</f>
        <v>102290</v>
      </c>
      <c r="U32" s="61"/>
      <c r="V32" s="61">
        <f>'Jefferson Davis'!K36</f>
        <v>538003</v>
      </c>
      <c r="W32" s="61">
        <f>'Jefferson Davis'!K37</f>
        <v>6395779</v>
      </c>
      <c r="X32" s="61">
        <f>SUM(U32:W32)</f>
        <v>6933782</v>
      </c>
      <c r="Y32" s="61">
        <f t="shared" ref="Y32" si="40">SUM(Q32+X32+T32)</f>
        <v>7656323</v>
      </c>
      <c r="Z32" s="70" t="str">
        <f>IF(Y32=AA32, "ok", "check")</f>
        <v>ok</v>
      </c>
      <c r="AA32" s="60">
        <f>'Jefferson Davis'!K41</f>
        <v>7656323</v>
      </c>
    </row>
    <row r="33" spans="1:27" s="214" customFormat="1" ht="15" customHeight="1">
      <c r="A33" s="229" t="s">
        <v>899</v>
      </c>
      <c r="B33" s="230">
        <f>Lafayette!K6</f>
        <v>1063216</v>
      </c>
      <c r="C33" s="230">
        <f>Lafayette!K7</f>
        <v>30300501</v>
      </c>
      <c r="D33" s="230">
        <f>Lafayette!K8+Lafayette!K12</f>
        <v>1390193</v>
      </c>
      <c r="E33" s="230"/>
      <c r="F33" s="230"/>
      <c r="G33" s="230">
        <f>Lafayette!K13+Lafayette!K14+Lafayette!K15</f>
        <v>6248815</v>
      </c>
      <c r="H33" s="230">
        <f>Lafayette!K17</f>
        <v>2613</v>
      </c>
      <c r="I33" s="230">
        <f t="shared" si="37"/>
        <v>39005338</v>
      </c>
      <c r="J33" s="236" t="str">
        <f t="shared" si="9"/>
        <v>ok</v>
      </c>
      <c r="K33" s="231">
        <f>Lafayette!K19</f>
        <v>39005338</v>
      </c>
      <c r="L33" s="232"/>
      <c r="M33" s="230">
        <f>Lafayette!K24+Lafayette!K25+Lafayette!K27+Lafayette!K28</f>
        <v>1679825</v>
      </c>
      <c r="N33" s="230"/>
      <c r="O33" s="230">
        <f>Lafayette!K29+Lafayette!K30</f>
        <v>926671</v>
      </c>
      <c r="P33" s="230">
        <f>Lafayette!K32</f>
        <v>3094</v>
      </c>
      <c r="Q33" s="230">
        <f t="shared" si="38"/>
        <v>2609590</v>
      </c>
      <c r="R33" s="236" t="str">
        <f t="shared" si="11"/>
        <v>ok</v>
      </c>
      <c r="S33" s="231">
        <f>Lafayette!K34</f>
        <v>2609590</v>
      </c>
      <c r="T33" s="232"/>
      <c r="U33" s="230">
        <f>Lafayette!K39+Lafayette!K46</f>
        <v>533690</v>
      </c>
      <c r="V33" s="230">
        <f>Lafayette!K48</f>
        <v>1594458</v>
      </c>
      <c r="W33" s="230">
        <f>Lafayette!K49</f>
        <v>34267600</v>
      </c>
      <c r="X33" s="230">
        <f t="shared" si="39"/>
        <v>36395748</v>
      </c>
      <c r="Y33" s="230">
        <f t="shared" si="13"/>
        <v>39005338</v>
      </c>
      <c r="Z33" s="70" t="str">
        <f t="shared" si="18"/>
        <v>ok</v>
      </c>
      <c r="AA33" s="231">
        <f>Lafayette!K53</f>
        <v>39005338</v>
      </c>
    </row>
    <row r="34" spans="1:27" ht="15" customHeight="1">
      <c r="A34" s="68" t="s">
        <v>900</v>
      </c>
      <c r="B34" s="61">
        <f>Lafourche!K7</f>
        <v>2764394</v>
      </c>
      <c r="C34" s="61">
        <f>Lafourche!K8</f>
        <v>91</v>
      </c>
      <c r="D34" s="61">
        <f>Lafourche!K9</f>
        <v>1029659</v>
      </c>
      <c r="E34" s="61"/>
      <c r="F34" s="61"/>
      <c r="G34" s="61">
        <f>Lafourche!K10+Lafourche!K11</f>
        <v>14347650</v>
      </c>
      <c r="H34" s="61">
        <f>Lafourche!K13</f>
        <v>1089087</v>
      </c>
      <c r="I34" s="61">
        <f t="shared" ref="I34:I36" si="41">SUM(B34:H34)</f>
        <v>19230881</v>
      </c>
      <c r="J34" s="236" t="str">
        <f t="shared" si="9"/>
        <v>ok</v>
      </c>
      <c r="K34" s="60">
        <f>Lafourche!K15</f>
        <v>19230881</v>
      </c>
      <c r="L34" s="88"/>
      <c r="M34" s="61">
        <f>Lafourche!K19+Lafourche!K20+Lafourche!K21</f>
        <v>358382</v>
      </c>
      <c r="N34" s="61"/>
      <c r="O34" s="61">
        <f>Lafourche!K22+Lafourche!K23</f>
        <v>14916580</v>
      </c>
      <c r="P34" s="61"/>
      <c r="Q34" s="61">
        <f t="shared" ref="Q34:Q36" si="42">SUM(M34:P34)</f>
        <v>15274962</v>
      </c>
      <c r="R34" s="236" t="str">
        <f t="shared" si="11"/>
        <v>ok</v>
      </c>
      <c r="S34" s="60">
        <f>Lafourche!K26</f>
        <v>15274962</v>
      </c>
      <c r="T34" s="88"/>
      <c r="U34" s="61">
        <f>Lafourche!K29+Lafourche!K31</f>
        <v>1150262</v>
      </c>
      <c r="V34" s="61"/>
      <c r="W34" s="61">
        <f>Lafourche!K40</f>
        <v>2805657</v>
      </c>
      <c r="X34" s="61">
        <f t="shared" ref="X34" si="43">SUM(U34:W34)</f>
        <v>3955919</v>
      </c>
      <c r="Y34" s="61">
        <f t="shared" ref="Y34:Y36" si="44">SUM(Q34+X34+T34)</f>
        <v>19230881</v>
      </c>
      <c r="Z34" s="70" t="str">
        <f t="shared" si="18"/>
        <v>ok</v>
      </c>
      <c r="AA34" s="60">
        <f>Lafourche!K44</f>
        <v>19230881</v>
      </c>
    </row>
    <row r="35" spans="1:27" ht="15" customHeight="1">
      <c r="A35" s="68" t="s">
        <v>901</v>
      </c>
      <c r="B35" s="61">
        <f>LaSalle!K6</f>
        <v>514070</v>
      </c>
      <c r="C35" s="61"/>
      <c r="D35" s="61">
        <f>LaSalle!K8</f>
        <v>1344835</v>
      </c>
      <c r="E35" s="61"/>
      <c r="F35" s="61"/>
      <c r="G35" s="61"/>
      <c r="H35" s="61"/>
      <c r="I35" s="61">
        <f>SUM(B35:H35)</f>
        <v>1858905</v>
      </c>
      <c r="J35" s="236" t="str">
        <f>IF(I35=K35, "ok", "check")</f>
        <v>ok</v>
      </c>
      <c r="K35" s="60">
        <f>LaSalle!K10</f>
        <v>1858905</v>
      </c>
      <c r="L35" s="88"/>
      <c r="M35" s="61">
        <f>LaSalle!K15+LaSalle!K16</f>
        <v>990870</v>
      </c>
      <c r="N35" s="61"/>
      <c r="O35" s="61"/>
      <c r="P35" s="61"/>
      <c r="Q35" s="61">
        <f>SUM(M35:P35)</f>
        <v>990870</v>
      </c>
      <c r="R35" s="236" t="str">
        <f>IF(Q35=S35, "ok", "check")</f>
        <v>ok</v>
      </c>
      <c r="S35" s="60">
        <f>LaSalle!K18</f>
        <v>990870</v>
      </c>
      <c r="T35" s="88"/>
      <c r="U35" s="61"/>
      <c r="V35" s="61"/>
      <c r="W35" s="61">
        <f>LaSalle!K28</f>
        <v>868035</v>
      </c>
      <c r="X35" s="61">
        <f>SUM(U35:W35)</f>
        <v>868035</v>
      </c>
      <c r="Y35" s="61">
        <f>SUM(Q35+X35+T35)</f>
        <v>1858905</v>
      </c>
      <c r="Z35" s="70" t="str">
        <f>IF(Y35=AA35, "ok", "check")</f>
        <v>ok</v>
      </c>
      <c r="AA35" s="60">
        <f>LaSalle!K32</f>
        <v>1858905</v>
      </c>
    </row>
    <row r="36" spans="1:27" ht="15" customHeight="1">
      <c r="A36" s="68" t="s">
        <v>902</v>
      </c>
      <c r="B36" s="61">
        <f>Lincoln!K6</f>
        <v>204938</v>
      </c>
      <c r="C36" s="61">
        <f>Lincoln!K7</f>
        <v>2057619</v>
      </c>
      <c r="D36" s="61">
        <f>Lincoln!K8</f>
        <v>1160680</v>
      </c>
      <c r="E36" s="61"/>
      <c r="F36" s="61"/>
      <c r="G36" s="61">
        <f>Lincoln!K10+Lincoln!K11</f>
        <v>1924856</v>
      </c>
      <c r="H36" s="61">
        <f>Lincoln!K9</f>
        <v>5155</v>
      </c>
      <c r="I36" s="61">
        <f t="shared" si="41"/>
        <v>5353248</v>
      </c>
      <c r="J36" s="236" t="str">
        <f t="shared" si="9"/>
        <v>ok</v>
      </c>
      <c r="K36" s="60">
        <f>Lincoln!K14</f>
        <v>5353248</v>
      </c>
      <c r="L36" s="88"/>
      <c r="M36" s="61">
        <f>Lincoln!K18</f>
        <v>327241</v>
      </c>
      <c r="N36" s="61"/>
      <c r="O36" s="61">
        <f>Lincoln!K19+Lincoln!K20</f>
        <v>1660288</v>
      </c>
      <c r="P36" s="61"/>
      <c r="Q36" s="61">
        <f t="shared" si="42"/>
        <v>1987529</v>
      </c>
      <c r="R36" s="236" t="str">
        <f t="shared" si="11"/>
        <v>ok</v>
      </c>
      <c r="S36" s="60">
        <f>Lincoln!K22</f>
        <v>1987529</v>
      </c>
      <c r="T36" s="88"/>
      <c r="U36" s="61">
        <f>Lincoln!K25</f>
        <v>5155</v>
      </c>
      <c r="V36" s="61"/>
      <c r="W36" s="61">
        <f>Lincoln!K29</f>
        <v>3360564</v>
      </c>
      <c r="X36" s="61">
        <f t="shared" ref="X36" si="45">SUM(U36:W36)</f>
        <v>3365719</v>
      </c>
      <c r="Y36" s="61">
        <f t="shared" si="44"/>
        <v>5353248</v>
      </c>
      <c r="Z36" s="70" t="str">
        <f t="shared" si="18"/>
        <v>ok</v>
      </c>
      <c r="AA36" s="60">
        <f>Lincoln!K33</f>
        <v>5353248</v>
      </c>
    </row>
    <row r="37" spans="1:27" ht="15" customHeight="1">
      <c r="A37" s="68" t="s">
        <v>903</v>
      </c>
      <c r="B37" s="61">
        <f>Livingston!K7+Livingston!K8+Livingston!K12</f>
        <v>1800111</v>
      </c>
      <c r="C37" s="61">
        <f>Livingston!K9</f>
        <v>71236</v>
      </c>
      <c r="D37" s="61">
        <f>Livingston!K10</f>
        <v>487999</v>
      </c>
      <c r="E37" s="61"/>
      <c r="F37" s="61">
        <f>Livingston!K18</f>
        <v>3431708</v>
      </c>
      <c r="G37" s="61">
        <f>Livingston!K16+Livingston!K17</f>
        <v>5910161</v>
      </c>
      <c r="H37" s="61"/>
      <c r="I37" s="61">
        <f t="shared" ref="I37:I40" si="46">SUM(B37:H37)</f>
        <v>11701215</v>
      </c>
      <c r="J37" s="236" t="str">
        <f t="shared" ref="J37:J40" si="47">IF(I37=K37, "ok", "check")</f>
        <v>ok</v>
      </c>
      <c r="K37" s="60">
        <f>Livingston!K20</f>
        <v>11701215</v>
      </c>
      <c r="L37" s="88"/>
      <c r="M37" s="61">
        <f>Livingston!K24+Livingston!K26</f>
        <v>822370</v>
      </c>
      <c r="N37" s="61">
        <f>Livingston!K30</f>
        <v>19700</v>
      </c>
      <c r="O37" s="61">
        <f>Livingston!K28+Livingston!K29</f>
        <v>1208707</v>
      </c>
      <c r="P37" s="61"/>
      <c r="Q37" s="61">
        <f t="shared" ref="Q37:Q40" si="48">SUM(M37:P37)</f>
        <v>2050777</v>
      </c>
      <c r="R37" s="236" t="str">
        <f t="shared" ref="R37:R40" si="49">IF(Q37=S37, "ok", "check")</f>
        <v>ok</v>
      </c>
      <c r="S37" s="60">
        <f>Livingston!K33</f>
        <v>2050777</v>
      </c>
      <c r="T37" s="88"/>
      <c r="U37" s="61">
        <f>Livingston!K38+Livingston!K44</f>
        <v>3522072</v>
      </c>
      <c r="V37" s="61">
        <f>Livingston!K48+Livingston!K49+Livingston!K56</f>
        <v>285846</v>
      </c>
      <c r="W37" s="61">
        <f>Livingston!K57</f>
        <v>5842520</v>
      </c>
      <c r="X37" s="61">
        <f t="shared" ref="X37:X40" si="50">SUM(U37:W37)</f>
        <v>9650438</v>
      </c>
      <c r="Y37" s="61">
        <f t="shared" si="13"/>
        <v>11701215</v>
      </c>
      <c r="Z37" s="70" t="str">
        <f t="shared" si="18"/>
        <v>ok</v>
      </c>
      <c r="AA37" s="60">
        <f>Livingston!K61</f>
        <v>11701215</v>
      </c>
    </row>
    <row r="38" spans="1:27" ht="15" customHeight="1">
      <c r="A38" s="68" t="s">
        <v>904</v>
      </c>
      <c r="B38" s="61">
        <f>Madison!K7</f>
        <v>261440</v>
      </c>
      <c r="C38" s="61"/>
      <c r="D38" s="61">
        <f>Madison!K9+Madison!K10</f>
        <v>709742</v>
      </c>
      <c r="E38" s="61"/>
      <c r="F38" s="61"/>
      <c r="G38" s="61"/>
      <c r="H38" s="61"/>
      <c r="I38" s="61">
        <f t="shared" si="46"/>
        <v>971182</v>
      </c>
      <c r="J38" s="236" t="str">
        <f t="shared" si="47"/>
        <v>ok</v>
      </c>
      <c r="K38" s="60">
        <f>Madison!K12</f>
        <v>971182</v>
      </c>
      <c r="L38" s="88"/>
      <c r="M38" s="61">
        <f>Madison!K16</f>
        <v>126005</v>
      </c>
      <c r="N38" s="61"/>
      <c r="O38" s="61"/>
      <c r="P38" s="61"/>
      <c r="Q38" s="61">
        <f t="shared" si="48"/>
        <v>126005</v>
      </c>
      <c r="R38" s="236" t="str">
        <f t="shared" si="49"/>
        <v>ok</v>
      </c>
      <c r="S38" s="60">
        <f>Madison!K19</f>
        <v>126005</v>
      </c>
      <c r="T38" s="88"/>
      <c r="U38" s="61"/>
      <c r="V38" s="61"/>
      <c r="W38" s="61">
        <f>Madison!K23</f>
        <v>845177</v>
      </c>
      <c r="X38" s="61">
        <f t="shared" si="50"/>
        <v>845177</v>
      </c>
      <c r="Y38" s="61">
        <f t="shared" ref="Y38:Y42" si="51">SUM(Q38+X38+T38)</f>
        <v>971182</v>
      </c>
      <c r="Z38" s="70" t="str">
        <f t="shared" si="18"/>
        <v>ok</v>
      </c>
      <c r="AA38" s="60">
        <f>Madison!K27</f>
        <v>971182</v>
      </c>
    </row>
    <row r="39" spans="1:27" ht="15" customHeight="1">
      <c r="A39" s="68" t="s">
        <v>905</v>
      </c>
      <c r="B39" s="61"/>
      <c r="C39" s="61">
        <f>Morehouse!K8</f>
        <v>25000</v>
      </c>
      <c r="D39" s="61">
        <f>Morehouse!K9</f>
        <v>599680</v>
      </c>
      <c r="E39" s="61"/>
      <c r="F39" s="61"/>
      <c r="G39" s="61">
        <f>Morehouse!K10</f>
        <v>1686</v>
      </c>
      <c r="H39" s="61"/>
      <c r="I39" s="61">
        <f t="shared" si="46"/>
        <v>626366</v>
      </c>
      <c r="J39" s="236" t="str">
        <f t="shared" si="47"/>
        <v>ok</v>
      </c>
      <c r="K39" s="60">
        <f>Morehouse!K12</f>
        <v>626366</v>
      </c>
      <c r="L39" s="88"/>
      <c r="M39" s="61">
        <f>Morehouse!K16</f>
        <v>148143</v>
      </c>
      <c r="N39" s="61"/>
      <c r="O39" s="61">
        <f>Morehouse!K18</f>
        <v>9108</v>
      </c>
      <c r="P39" s="61">
        <f>Morehouse!K15+Morehouse!K17</f>
        <v>1565148</v>
      </c>
      <c r="Q39" s="61">
        <f t="shared" si="48"/>
        <v>1722399</v>
      </c>
      <c r="R39" s="236" t="str">
        <f t="shared" si="49"/>
        <v>ok</v>
      </c>
      <c r="S39" s="60">
        <f>Morehouse!K20</f>
        <v>1722399</v>
      </c>
      <c r="T39" s="88">
        <f>Morehouse!K23</f>
        <v>523992</v>
      </c>
      <c r="U39" s="61"/>
      <c r="V39" s="61"/>
      <c r="W39" s="61">
        <f>Morehouse!K28</f>
        <v>-1620025</v>
      </c>
      <c r="X39" s="61">
        <f t="shared" si="50"/>
        <v>-1620025</v>
      </c>
      <c r="Y39" s="61">
        <f t="shared" si="51"/>
        <v>626366</v>
      </c>
      <c r="Z39" s="70" t="str">
        <f t="shared" si="18"/>
        <v>ok</v>
      </c>
      <c r="AA39" s="60">
        <f>Morehouse!K32</f>
        <v>626366</v>
      </c>
    </row>
    <row r="40" spans="1:27" ht="15" customHeight="1">
      <c r="A40" s="68" t="s">
        <v>906</v>
      </c>
      <c r="B40" s="61">
        <f>Natchitoches!K7</f>
        <v>2371039</v>
      </c>
      <c r="C40" s="61"/>
      <c r="D40" s="61">
        <f>Natchitoches!K8</f>
        <v>448711</v>
      </c>
      <c r="E40" s="61"/>
      <c r="F40" s="61"/>
      <c r="G40" s="61"/>
      <c r="H40" s="61">
        <f>Natchitoches!K11</f>
        <v>7575</v>
      </c>
      <c r="I40" s="61">
        <f t="shared" si="46"/>
        <v>2827325</v>
      </c>
      <c r="J40" s="236" t="str">
        <f t="shared" si="47"/>
        <v>ok</v>
      </c>
      <c r="K40" s="60">
        <f>Natchitoches!K13</f>
        <v>2827325</v>
      </c>
      <c r="L40" s="88"/>
      <c r="M40" s="61">
        <f>Natchitoches!K17+Natchitoches!K18</f>
        <v>583202</v>
      </c>
      <c r="N40" s="61"/>
      <c r="O40" s="61"/>
      <c r="P40" s="61">
        <f>Natchitoches!K20</f>
        <v>207685</v>
      </c>
      <c r="Q40" s="61">
        <f t="shared" si="48"/>
        <v>790887</v>
      </c>
      <c r="R40" s="236" t="str">
        <f t="shared" si="49"/>
        <v>ok</v>
      </c>
      <c r="S40" s="60">
        <f>Natchitoches!K22</f>
        <v>790887</v>
      </c>
      <c r="T40" s="88"/>
      <c r="U40" s="61">
        <f>Natchitoches!K25</f>
        <v>7575</v>
      </c>
      <c r="V40" s="61"/>
      <c r="W40" s="61">
        <f>Natchitoches!K28</f>
        <v>2028863</v>
      </c>
      <c r="X40" s="61">
        <f t="shared" si="50"/>
        <v>2036438</v>
      </c>
      <c r="Y40" s="61">
        <f t="shared" si="51"/>
        <v>2827325</v>
      </c>
      <c r="Z40" s="70" t="str">
        <f t="shared" si="18"/>
        <v>ok</v>
      </c>
      <c r="AA40" s="60">
        <f>Natchitoches!K32</f>
        <v>2827325</v>
      </c>
    </row>
    <row r="41" spans="1:27" ht="15" customHeight="1">
      <c r="A41" s="68" t="s">
        <v>907</v>
      </c>
      <c r="B41" s="61">
        <f>Orleans!K7</f>
        <v>24006</v>
      </c>
      <c r="C41" s="61">
        <f>Orleans!K8</f>
        <v>768</v>
      </c>
      <c r="D41" s="61">
        <f>Orleans!K10+Orleans!K11+Orleans!K12+Orleans!K13</f>
        <v>40821</v>
      </c>
      <c r="E41" s="61"/>
      <c r="F41" s="61">
        <f>Orleans!K19</f>
        <v>3</v>
      </c>
      <c r="G41" s="61">
        <f>Orleans!K15+Orleans!K16+Orleans!K17+Orleans!K18</f>
        <v>24574</v>
      </c>
      <c r="H41" s="61"/>
      <c r="I41" s="61">
        <f t="shared" si="37"/>
        <v>90172</v>
      </c>
      <c r="J41" s="236" t="str">
        <f t="shared" si="9"/>
        <v>ok</v>
      </c>
      <c r="K41" s="60">
        <f>Orleans!K21</f>
        <v>90172</v>
      </c>
      <c r="L41" s="88"/>
      <c r="M41" s="61">
        <f>Orleans!K24</f>
        <v>30650</v>
      </c>
      <c r="N41" s="61"/>
      <c r="O41" s="61">
        <f>Orleans!K27+Orleans!K28</f>
        <v>1309</v>
      </c>
      <c r="P41" s="61">
        <f>Orleans!K29</f>
        <v>7087</v>
      </c>
      <c r="Q41" s="61">
        <f t="shared" si="38"/>
        <v>39046</v>
      </c>
      <c r="R41" s="236" t="str">
        <f t="shared" si="11"/>
        <v>ok</v>
      </c>
      <c r="S41" s="60">
        <f>Orleans!K32</f>
        <v>39046</v>
      </c>
      <c r="T41" s="88">
        <f>Orleans!K35</f>
        <v>8142</v>
      </c>
      <c r="U41" s="61">
        <f>Orleans!K42+Orleans!K43</f>
        <v>32369</v>
      </c>
      <c r="V41" s="61"/>
      <c r="W41" s="61">
        <f>Orleans!K44</f>
        <v>10615</v>
      </c>
      <c r="X41" s="61">
        <f t="shared" si="39"/>
        <v>42984</v>
      </c>
      <c r="Y41" s="61">
        <f t="shared" si="51"/>
        <v>90172</v>
      </c>
      <c r="Z41" s="70" t="str">
        <f t="shared" si="18"/>
        <v>ok</v>
      </c>
      <c r="AA41" s="60">
        <f>Orleans!K48</f>
        <v>90172</v>
      </c>
    </row>
    <row r="42" spans="1:27" ht="15" customHeight="1">
      <c r="A42" s="68" t="s">
        <v>908</v>
      </c>
      <c r="B42" s="61">
        <f>Ouachita!K7</f>
        <v>3114148</v>
      </c>
      <c r="C42" s="61">
        <f>Ouachita!K8</f>
        <v>3248000</v>
      </c>
      <c r="D42" s="61">
        <f>Ouachita!K10+Ouachita!K13</f>
        <v>3373583</v>
      </c>
      <c r="E42" s="61">
        <f>Ouachita!K17</f>
        <v>4768</v>
      </c>
      <c r="F42" s="61"/>
      <c r="G42" s="61">
        <f>Ouachita!K14+Ouachita!K15</f>
        <v>1033411</v>
      </c>
      <c r="H42" s="61">
        <f>Ouachita!K16</f>
        <v>45</v>
      </c>
      <c r="I42" s="61">
        <f t="shared" si="37"/>
        <v>10773955</v>
      </c>
      <c r="J42" s="236" t="str">
        <f t="shared" si="9"/>
        <v>ok</v>
      </c>
      <c r="K42" s="60">
        <f>Ouachita!K19</f>
        <v>10773955</v>
      </c>
      <c r="L42" s="88"/>
      <c r="M42" s="61">
        <f>Ouachita!K23</f>
        <v>1018691</v>
      </c>
      <c r="N42" s="61">
        <f>Ouachita!K25</f>
        <v>337324</v>
      </c>
      <c r="O42" s="61"/>
      <c r="P42" s="61">
        <f>Ouachita!K26</f>
        <v>4870</v>
      </c>
      <c r="Q42" s="61">
        <f t="shared" si="38"/>
        <v>1360885</v>
      </c>
      <c r="R42" s="236" t="str">
        <f t="shared" si="11"/>
        <v>ok</v>
      </c>
      <c r="S42" s="60">
        <f>Ouachita!K28</f>
        <v>1360885</v>
      </c>
      <c r="T42" s="88"/>
      <c r="U42" s="61">
        <f>Ouachita!K33+Ouachita!K34+Ouachita!K37</f>
        <v>4355387</v>
      </c>
      <c r="V42" s="61"/>
      <c r="W42" s="61">
        <f>Ouachita!K38</f>
        <v>5057683</v>
      </c>
      <c r="X42" s="61">
        <f t="shared" si="39"/>
        <v>9413070</v>
      </c>
      <c r="Y42" s="61">
        <f t="shared" si="51"/>
        <v>10773955</v>
      </c>
      <c r="Z42" s="70" t="str">
        <f t="shared" si="18"/>
        <v>ok</v>
      </c>
      <c r="AA42" s="60">
        <f>Ouachita!K42</f>
        <v>10773955</v>
      </c>
    </row>
    <row r="43" spans="1:27" ht="15" customHeight="1">
      <c r="A43" s="68" t="s">
        <v>909</v>
      </c>
      <c r="B43" s="61">
        <f>Plaquemines!K7</f>
        <v>11106929</v>
      </c>
      <c r="C43" s="61">
        <f>Plaquemines!K8</f>
        <v>876257</v>
      </c>
      <c r="D43" s="61">
        <f>Plaquemines!K9</f>
        <v>14447460</v>
      </c>
      <c r="E43" s="61"/>
      <c r="F43" s="61">
        <f>Plaquemines!K12</f>
        <v>2073727</v>
      </c>
      <c r="G43" s="61">
        <f>Plaquemines!K10</f>
        <v>37397371</v>
      </c>
      <c r="H43" s="61">
        <f>Plaquemines!K11</f>
        <v>1393406</v>
      </c>
      <c r="I43" s="61">
        <f t="shared" si="37"/>
        <v>67295150</v>
      </c>
      <c r="J43" s="236" t="str">
        <f t="shared" si="9"/>
        <v>ok</v>
      </c>
      <c r="K43" s="60">
        <f>Plaquemines!K14</f>
        <v>67295150</v>
      </c>
      <c r="L43" s="88"/>
      <c r="M43" s="61">
        <f>Plaquemines!K18+Plaquemines!K19</f>
        <v>5235429</v>
      </c>
      <c r="N43" s="61"/>
      <c r="O43" s="61">
        <f>Plaquemines!K21+Plaquemines!K22</f>
        <v>173144</v>
      </c>
      <c r="P43" s="61">
        <f>Plaquemines!K23</f>
        <v>625708</v>
      </c>
      <c r="Q43" s="61">
        <f t="shared" si="38"/>
        <v>6034281</v>
      </c>
      <c r="R43" s="236" t="str">
        <f t="shared" si="11"/>
        <v>ok</v>
      </c>
      <c r="S43" s="60">
        <f>Plaquemines!K25</f>
        <v>6034281</v>
      </c>
      <c r="T43" s="88">
        <f>Plaquemines!K28</f>
        <v>3961641</v>
      </c>
      <c r="U43" s="61">
        <f>Plaquemines!K31+Plaquemines!K32+Plaquemines!K33</f>
        <v>59291025</v>
      </c>
      <c r="V43" s="61"/>
      <c r="W43" s="61">
        <f>Plaquemines!K35</f>
        <v>-2011795</v>
      </c>
      <c r="X43" s="61">
        <f t="shared" si="39"/>
        <v>57279230</v>
      </c>
      <c r="Y43" s="61">
        <f t="shared" si="13"/>
        <v>67275152</v>
      </c>
      <c r="Z43" s="70" t="str">
        <f t="shared" si="18"/>
        <v>ok</v>
      </c>
      <c r="AA43" s="60">
        <f>Plaquemines!K39</f>
        <v>67275152</v>
      </c>
    </row>
    <row r="44" spans="1:27" ht="15" customHeight="1">
      <c r="A44" s="68" t="s">
        <v>910</v>
      </c>
      <c r="B44" s="61">
        <f>'Pointe Couppe '!K6</f>
        <v>119668</v>
      </c>
      <c r="C44" s="61">
        <f>'Pointe Couppe '!K8</f>
        <v>1303228</v>
      </c>
      <c r="D44" s="61"/>
      <c r="E44" s="61"/>
      <c r="F44" s="61">
        <f>'Pointe Couppe '!K12</f>
        <v>12371</v>
      </c>
      <c r="G44" s="61">
        <f>'Pointe Couppe '!K9+'Pointe Couppe '!K10</f>
        <v>1948842</v>
      </c>
      <c r="H44" s="61">
        <f>'Pointe Couppe '!K11</f>
        <v>90129</v>
      </c>
      <c r="I44" s="61">
        <f t="shared" si="37"/>
        <v>3474238</v>
      </c>
      <c r="J44" s="236" t="str">
        <f t="shared" si="9"/>
        <v>ok</v>
      </c>
      <c r="K44" s="60">
        <f>'Pointe Couppe '!K14</f>
        <v>3474238</v>
      </c>
      <c r="L44" s="88"/>
      <c r="M44" s="61">
        <f>'Pointe Couppe '!K18</f>
        <v>361105</v>
      </c>
      <c r="N44" s="61"/>
      <c r="O44" s="61">
        <f>'Pointe Couppe '!K19+'Pointe Couppe '!K20</f>
        <v>2886086</v>
      </c>
      <c r="P44" s="61"/>
      <c r="Q44" s="61">
        <f t="shared" si="38"/>
        <v>3247191</v>
      </c>
      <c r="R44" s="236" t="str">
        <f t="shared" si="11"/>
        <v>ok</v>
      </c>
      <c r="S44" s="60">
        <f>'Pointe Couppe '!K22</f>
        <v>3247191</v>
      </c>
      <c r="T44" s="88">
        <f>'Pointe Couppe '!K25</f>
        <v>75652</v>
      </c>
      <c r="U44" s="61">
        <f>'Pointe Couppe '!K28+'Pointe Couppe '!K30</f>
        <v>151395</v>
      </c>
      <c r="V44" s="61"/>
      <c r="W44" s="61"/>
      <c r="X44" s="61">
        <f t="shared" ref="X44:X47" si="52">SUM(U44:W44)</f>
        <v>151395</v>
      </c>
      <c r="Y44" s="61">
        <f t="shared" si="13"/>
        <v>3474238</v>
      </c>
      <c r="Z44" s="70" t="str">
        <f t="shared" si="18"/>
        <v>ok</v>
      </c>
      <c r="AA44" s="60">
        <f>'Pointe Couppe '!K35</f>
        <v>3474238</v>
      </c>
    </row>
    <row r="45" spans="1:27" ht="15" customHeight="1">
      <c r="A45" s="68" t="s">
        <v>911</v>
      </c>
      <c r="B45" s="61">
        <f>Rapides!K7</f>
        <v>2441648</v>
      </c>
      <c r="C45" s="61"/>
      <c r="D45" s="61">
        <f>Rapides!K8+Rapides!K9</f>
        <v>2835037</v>
      </c>
      <c r="E45" s="61"/>
      <c r="F45" s="61"/>
      <c r="G45" s="61"/>
      <c r="H45" s="61"/>
      <c r="I45" s="61">
        <f t="shared" ref="I45:I47" si="53">SUM(B45:H45)</f>
        <v>5276685</v>
      </c>
      <c r="J45" s="236" t="str">
        <f t="shared" ref="J45:J47" si="54">IF(I45=K45, "ok", "check")</f>
        <v>ok</v>
      </c>
      <c r="K45" s="60">
        <f>Rapides!K12</f>
        <v>5276685</v>
      </c>
      <c r="L45" s="88"/>
      <c r="M45" s="61">
        <f>Rapides!K16+Rapides!K17</f>
        <v>118387</v>
      </c>
      <c r="N45" s="61"/>
      <c r="O45" s="61"/>
      <c r="P45" s="61"/>
      <c r="Q45" s="61">
        <f t="shared" ref="Q45:Q47" si="55">SUM(M45:P45)</f>
        <v>118387</v>
      </c>
      <c r="R45" s="236" t="str">
        <f t="shared" ref="R45:R47" si="56">IF(Q45=S45, "ok", "check")</f>
        <v>ok</v>
      </c>
      <c r="S45" s="60">
        <f>Rapides!K20</f>
        <v>118387</v>
      </c>
      <c r="T45" s="88"/>
      <c r="U45" s="61">
        <f>Rapides!K26+Rapides!K31</f>
        <v>1486585</v>
      </c>
      <c r="V45" s="61"/>
      <c r="W45" s="61">
        <f>Rapides!K32</f>
        <v>3674712</v>
      </c>
      <c r="X45" s="61">
        <f t="shared" si="52"/>
        <v>5161297</v>
      </c>
      <c r="Y45" s="61">
        <f>SUM(Q45+X45+T45)</f>
        <v>5279684</v>
      </c>
      <c r="Z45" s="70" t="str">
        <f t="shared" si="18"/>
        <v>ok</v>
      </c>
      <c r="AA45" s="60">
        <f>Rapides!K36</f>
        <v>5279684</v>
      </c>
    </row>
    <row r="46" spans="1:27" ht="15" customHeight="1">
      <c r="A46" s="68" t="s">
        <v>912</v>
      </c>
      <c r="B46" s="61">
        <f>'Red River'!K6</f>
        <v>3858507</v>
      </c>
      <c r="C46" s="61">
        <f>'Red River'!K7</f>
        <v>2000000</v>
      </c>
      <c r="D46" s="61">
        <f>'Red River'!K8</f>
        <v>1010211</v>
      </c>
      <c r="E46" s="61"/>
      <c r="F46" s="61"/>
      <c r="G46" s="61"/>
      <c r="H46" s="61">
        <f>'Red River'!K9</f>
        <v>9185</v>
      </c>
      <c r="I46" s="61">
        <f t="shared" si="53"/>
        <v>6877903</v>
      </c>
      <c r="J46" s="236" t="str">
        <f t="shared" si="54"/>
        <v>ok</v>
      </c>
      <c r="K46" s="60">
        <f>'Red River'!K11</f>
        <v>6877903</v>
      </c>
      <c r="L46" s="88"/>
      <c r="M46" s="61">
        <f>'Red River'!K19</f>
        <v>175746</v>
      </c>
      <c r="N46" s="61"/>
      <c r="O46" s="61"/>
      <c r="P46" s="61"/>
      <c r="Q46" s="61">
        <f t="shared" si="55"/>
        <v>175746</v>
      </c>
      <c r="R46" s="236" t="str">
        <f t="shared" si="56"/>
        <v>ok</v>
      </c>
      <c r="S46" s="60">
        <f>'Red River'!K21</f>
        <v>175746</v>
      </c>
      <c r="T46" s="88">
        <f>'Red River'!K23</f>
        <v>4747</v>
      </c>
      <c r="U46" s="61">
        <f>'Red River'!K27</f>
        <v>9185</v>
      </c>
      <c r="V46" s="61"/>
      <c r="W46" s="61">
        <f>'Red River'!K40</f>
        <v>6688225</v>
      </c>
      <c r="X46" s="61">
        <f>SUM(U46:W46)</f>
        <v>6697410</v>
      </c>
      <c r="Y46" s="61">
        <f>SUM(Q46+X46+T46)</f>
        <v>6877903</v>
      </c>
      <c r="Z46" s="70" t="str">
        <f t="shared" si="18"/>
        <v>ok</v>
      </c>
      <c r="AA46" s="60">
        <f>'Red River'!K44</f>
        <v>6877903</v>
      </c>
    </row>
    <row r="47" spans="1:27" ht="15" customHeight="1">
      <c r="A47" s="68" t="s">
        <v>913</v>
      </c>
      <c r="B47" s="61">
        <f>Richland!K7</f>
        <v>1865478</v>
      </c>
      <c r="C47" s="61"/>
      <c r="D47" s="61">
        <f>Richland!K8</f>
        <v>1080288</v>
      </c>
      <c r="E47" s="61"/>
      <c r="F47" s="61"/>
      <c r="G47" s="61"/>
      <c r="H47" s="61"/>
      <c r="I47" s="61">
        <f t="shared" si="53"/>
        <v>2945766</v>
      </c>
      <c r="J47" s="236" t="str">
        <f t="shared" si="54"/>
        <v>ok</v>
      </c>
      <c r="K47" s="60">
        <f>Richland!K10</f>
        <v>2945766</v>
      </c>
      <c r="L47" s="88"/>
      <c r="M47" s="61">
        <f>Richland!K13</f>
        <v>56121</v>
      </c>
      <c r="N47" s="61"/>
      <c r="O47" s="61"/>
      <c r="P47" s="61">
        <f>Richland!K14</f>
        <v>62400</v>
      </c>
      <c r="Q47" s="61">
        <f t="shared" si="55"/>
        <v>118521</v>
      </c>
      <c r="R47" s="236" t="str">
        <f t="shared" si="56"/>
        <v>ok</v>
      </c>
      <c r="S47" s="60">
        <f>Richland!K16</f>
        <v>118521</v>
      </c>
      <c r="T47" s="88">
        <f>Richland!K19</f>
        <v>1095007</v>
      </c>
      <c r="U47" s="61"/>
      <c r="V47" s="61"/>
      <c r="W47" s="61">
        <f>Richland!K23</f>
        <v>1732238</v>
      </c>
      <c r="X47" s="61">
        <f t="shared" si="52"/>
        <v>1732238</v>
      </c>
      <c r="Y47" s="61">
        <f t="shared" ref="Y47" si="57">SUM(Q47+X47+T47)</f>
        <v>2945766</v>
      </c>
      <c r="Z47" s="70" t="str">
        <f t="shared" si="18"/>
        <v>ok</v>
      </c>
      <c r="AA47" s="60">
        <f>Richland!K27</f>
        <v>2945766</v>
      </c>
    </row>
    <row r="48" spans="1:27" ht="15" customHeight="1">
      <c r="A48" s="68" t="s">
        <v>914</v>
      </c>
      <c r="B48" s="61">
        <f>Sabine!K7</f>
        <v>1865478</v>
      </c>
      <c r="C48" s="61"/>
      <c r="D48" s="61">
        <f>Sabine!K8</f>
        <v>1080288</v>
      </c>
      <c r="E48" s="61"/>
      <c r="F48" s="61"/>
      <c r="G48" s="61"/>
      <c r="H48" s="61"/>
      <c r="I48" s="61">
        <f t="shared" ref="I48" si="58">SUM(B48:H48)</f>
        <v>2945766</v>
      </c>
      <c r="J48" s="236" t="str">
        <f t="shared" ref="J48" si="59">IF(I48=K48, "ok", "check")</f>
        <v>ok</v>
      </c>
      <c r="K48" s="60">
        <f>Sabine!K10</f>
        <v>2945766</v>
      </c>
      <c r="L48" s="88"/>
      <c r="M48" s="61">
        <f>Sabine!K13+Sabine!K14</f>
        <v>118521</v>
      </c>
      <c r="N48" s="61"/>
      <c r="O48" s="61"/>
      <c r="P48" s="61"/>
      <c r="Q48" s="61">
        <f t="shared" ref="Q48" si="60">SUM(M48:P48)</f>
        <v>118521</v>
      </c>
      <c r="R48" s="236" t="str">
        <f t="shared" ref="R48" si="61">IF(Q48=S48, "ok", "check")</f>
        <v>ok</v>
      </c>
      <c r="S48" s="60">
        <f>Sabine!K16</f>
        <v>118521</v>
      </c>
      <c r="T48" s="88">
        <f>Sabine!K19</f>
        <v>1095007</v>
      </c>
      <c r="U48" s="61"/>
      <c r="V48" s="61"/>
      <c r="W48" s="61">
        <f>Sabine!K23</f>
        <v>1732238</v>
      </c>
      <c r="X48" s="61">
        <f t="shared" ref="X48" si="62">SUM(U48:W48)</f>
        <v>1732238</v>
      </c>
      <c r="Y48" s="61">
        <f t="shared" ref="Y48" si="63">SUM(Q48+X48+T48)</f>
        <v>2945766</v>
      </c>
      <c r="Z48" s="70" t="str">
        <f t="shared" si="18"/>
        <v>ok</v>
      </c>
      <c r="AA48" s="60">
        <f>Sabine!K27</f>
        <v>2945766</v>
      </c>
    </row>
    <row r="49" spans="1:27" ht="15" customHeight="1">
      <c r="A49" s="68" t="s">
        <v>915</v>
      </c>
      <c r="B49" s="61">
        <f>'St. Bernard'!K7</f>
        <v>6265640</v>
      </c>
      <c r="C49" s="61">
        <f>'St. Bernard'!K8</f>
        <v>4229000</v>
      </c>
      <c r="D49" s="61">
        <f>'St. Bernard'!K10+'St. Bernard'!K11+'St. Bernard'!K12+'St. Bernard'!K13+'St. Bernard'!K14+'St. Bernard'!K15</f>
        <v>3940081</v>
      </c>
      <c r="E49" s="61"/>
      <c r="F49" s="61"/>
      <c r="G49" s="61">
        <f>'St. Bernard'!K16</f>
        <v>4549014</v>
      </c>
      <c r="H49" s="61">
        <f>'St. Bernard'!K17</f>
        <v>98722</v>
      </c>
      <c r="I49" s="61">
        <f t="shared" ref="I49:I58" si="64">SUM(B49:H49)</f>
        <v>19082457</v>
      </c>
      <c r="J49" s="236" t="str">
        <f t="shared" si="9"/>
        <v>ok</v>
      </c>
      <c r="K49" s="60">
        <f>'St. Bernard'!K19</f>
        <v>19082457</v>
      </c>
      <c r="L49" s="88">
        <f>'St. Bernard'!C32</f>
        <v>0</v>
      </c>
      <c r="M49" s="61">
        <f>'St. Bernard'!K22+'St. Bernard'!K23+'St. Bernard'!K24</f>
        <v>2142926</v>
      </c>
      <c r="N49" s="61"/>
      <c r="O49" s="61">
        <f>'St. Bernard'!K25+'St. Bernard'!K26</f>
        <v>6240734</v>
      </c>
      <c r="P49" s="61">
        <f>'St. Bernard'!K27</f>
        <v>1984485</v>
      </c>
      <c r="Q49" s="61">
        <f t="shared" ref="Q49:Q58" si="65">SUM(M49:P49)</f>
        <v>10368145</v>
      </c>
      <c r="R49" s="236" t="str">
        <f t="shared" si="11"/>
        <v>ok</v>
      </c>
      <c r="S49" s="60">
        <f>'St. Bernard'!K29</f>
        <v>10368145</v>
      </c>
      <c r="T49" s="88">
        <f>'St. Bernard'!K32</f>
        <v>4625602</v>
      </c>
      <c r="U49" s="61">
        <f>'St. Bernard'!K37+'St. Bernard'!K39+'St. Bernard'!K41+'St. Bernard'!K50+'St. Bernard'!K54</f>
        <v>4090710</v>
      </c>
      <c r="V49" s="61"/>
      <c r="W49" s="61"/>
      <c r="X49" s="61">
        <f t="shared" ref="X49:X58" si="66">SUM(U49:W49)</f>
        <v>4090710</v>
      </c>
      <c r="Y49" s="61">
        <f t="shared" si="13"/>
        <v>19084457</v>
      </c>
      <c r="Z49" s="70" t="str">
        <f t="shared" si="18"/>
        <v>ok</v>
      </c>
      <c r="AA49" s="60">
        <f>'St. Bernard'!K61</f>
        <v>19084457</v>
      </c>
    </row>
    <row r="50" spans="1:27" ht="15" customHeight="1">
      <c r="A50" s="68" t="s">
        <v>916</v>
      </c>
      <c r="B50" s="61">
        <f>'St. Charles'!K7</f>
        <v>1449461</v>
      </c>
      <c r="C50" s="61">
        <f>'St. Charles'!K8</f>
        <v>41010050</v>
      </c>
      <c r="D50" s="61">
        <f>'St. Charles'!K10+'St. Charles'!K11+'St. Charles'!K12+'St. Charles'!K13</f>
        <v>5820227</v>
      </c>
      <c r="E50" s="61"/>
      <c r="F50" s="61">
        <f>'St. Charles'!K17</f>
        <v>2095</v>
      </c>
      <c r="G50" s="61">
        <f>'St. Charles'!K14+'St. Charles'!K15</f>
        <v>1931718</v>
      </c>
      <c r="H50" s="61">
        <f>'St. Charles'!K16</f>
        <v>442910</v>
      </c>
      <c r="I50" s="61">
        <f t="shared" si="64"/>
        <v>50656461</v>
      </c>
      <c r="J50" s="236" t="str">
        <f t="shared" si="9"/>
        <v>ok</v>
      </c>
      <c r="K50" s="60">
        <f>'St. Charles'!K19</f>
        <v>50656461</v>
      </c>
      <c r="L50" s="88">
        <f>'St. Charles'!C33</f>
        <v>0</v>
      </c>
      <c r="M50" s="61">
        <f>'St. Charles'!K23+'St. Charles'!K24</f>
        <v>1061234</v>
      </c>
      <c r="N50" s="61"/>
      <c r="O50" s="61">
        <f>'St. Charles'!K25+'St. Charles'!K27</f>
        <v>37019</v>
      </c>
      <c r="P50" s="61">
        <f>'St. Charles'!K28</f>
        <v>639643</v>
      </c>
      <c r="Q50" s="61">
        <f t="shared" si="65"/>
        <v>1737896</v>
      </c>
      <c r="R50" s="236" t="str">
        <f t="shared" si="11"/>
        <v>ok</v>
      </c>
      <c r="S50" s="60">
        <f>'St. Charles'!K30</f>
        <v>1737896</v>
      </c>
      <c r="T50" s="88">
        <f>'St. Charles'!K33</f>
        <v>4042325</v>
      </c>
      <c r="U50" s="61">
        <f>'St. Charles'!K39+'St. Charles'!K40+'St. Charles'!K41</f>
        <v>14436466</v>
      </c>
      <c r="V50" s="61">
        <f>'St. Charles'!K42</f>
        <v>21019738</v>
      </c>
      <c r="W50" s="61">
        <f>'St. Charles'!K43</f>
        <v>9420036</v>
      </c>
      <c r="X50" s="61">
        <f t="shared" si="66"/>
        <v>44876240</v>
      </c>
      <c r="Y50" s="61">
        <f t="shared" si="13"/>
        <v>50656461</v>
      </c>
      <c r="Z50" s="70" t="str">
        <f t="shared" si="18"/>
        <v>ok</v>
      </c>
      <c r="AA50" s="60">
        <f>'St. Charles'!K47</f>
        <v>50656461</v>
      </c>
    </row>
    <row r="51" spans="1:27" ht="15" customHeight="1">
      <c r="A51" s="68" t="s">
        <v>917</v>
      </c>
      <c r="B51" s="61">
        <f>'St. Helena'!K7</f>
        <v>87584</v>
      </c>
      <c r="C51" s="61"/>
      <c r="D51" s="61">
        <f>'St. Helena'!K9</f>
        <v>385187</v>
      </c>
      <c r="E51" s="61"/>
      <c r="F51" s="61"/>
      <c r="G51" s="61">
        <f>'St. Helena'!K10</f>
        <v>150516</v>
      </c>
      <c r="H51" s="61"/>
      <c r="I51" s="61">
        <f t="shared" si="64"/>
        <v>623287</v>
      </c>
      <c r="J51" s="236" t="str">
        <f t="shared" ref="J51" si="67">IF(I51=K51, "ok", "check")</f>
        <v>ok</v>
      </c>
      <c r="K51" s="60">
        <f>'St. Helena'!K13</f>
        <v>623287</v>
      </c>
      <c r="L51" s="88"/>
      <c r="M51" s="61">
        <f>'St. Helena'!K17</f>
        <v>68427</v>
      </c>
      <c r="N51" s="61"/>
      <c r="O51" s="61"/>
      <c r="P51" s="61">
        <f>'St. Helena'!K18</f>
        <v>3864</v>
      </c>
      <c r="Q51" s="61">
        <f t="shared" ref="Q51" si="68">SUM(M51:P51)</f>
        <v>72291</v>
      </c>
      <c r="R51" s="236" t="str">
        <f t="shared" ref="R51" si="69">IF(Q51=S51, "ok", "check")</f>
        <v>ok</v>
      </c>
      <c r="S51" s="60">
        <f>'St. Helena'!K21</f>
        <v>72291</v>
      </c>
      <c r="T51" s="88"/>
      <c r="U51" s="61"/>
      <c r="V51" s="61"/>
      <c r="W51" s="61">
        <f>'St. Helena'!K25</f>
        <v>550996</v>
      </c>
      <c r="X51" s="61">
        <f t="shared" ref="X51" si="70">SUM(U51:W51)</f>
        <v>550996</v>
      </c>
      <c r="Y51" s="61">
        <f t="shared" ref="Y51" si="71">SUM(Q51+X51+T51)</f>
        <v>623287</v>
      </c>
      <c r="Z51" s="70" t="str">
        <f t="shared" si="18"/>
        <v>ok</v>
      </c>
      <c r="AA51" s="60">
        <f>'St. Helena'!K29</f>
        <v>623287</v>
      </c>
    </row>
    <row r="52" spans="1:27" ht="15" customHeight="1">
      <c r="A52" s="68" t="s">
        <v>918</v>
      </c>
      <c r="B52" s="61">
        <f>'St. James'!K7</f>
        <v>4781696</v>
      </c>
      <c r="C52" s="61">
        <f>'St. James'!K8</f>
        <v>1199408</v>
      </c>
      <c r="D52" s="61">
        <f>'St. James'!K9</f>
        <v>4922581</v>
      </c>
      <c r="E52" s="61">
        <f>'St. James'!K12</f>
        <v>34391</v>
      </c>
      <c r="F52" s="61"/>
      <c r="G52" s="61">
        <f>'St. James'!K10+'St. James'!K11</f>
        <v>107374</v>
      </c>
      <c r="H52" s="61"/>
      <c r="I52" s="61">
        <f t="shared" si="64"/>
        <v>11045450</v>
      </c>
      <c r="J52" s="236" t="str">
        <f t="shared" si="9"/>
        <v>ok</v>
      </c>
      <c r="K52" s="60">
        <f>'St. James'!K14</f>
        <v>11045450</v>
      </c>
      <c r="L52" s="88"/>
      <c r="M52" s="61">
        <f>'St. James'!K18+'St. James'!K19</f>
        <v>1136061</v>
      </c>
      <c r="N52" s="61"/>
      <c r="O52" s="61">
        <f>'St. James'!K20+'St. James'!K21</f>
        <v>489781</v>
      </c>
      <c r="P52" s="61"/>
      <c r="Q52" s="61">
        <f t="shared" si="65"/>
        <v>1625842</v>
      </c>
      <c r="R52" s="236" t="str">
        <f t="shared" si="11"/>
        <v>ok</v>
      </c>
      <c r="S52" s="60">
        <f>'St. James'!K24</f>
        <v>1625842</v>
      </c>
      <c r="T52" s="88"/>
      <c r="U52" s="61">
        <f>'St. James'!K27+'St. James'!K32</f>
        <v>5124418</v>
      </c>
      <c r="V52" s="61"/>
      <c r="W52" s="61">
        <f>'St. James'!K45</f>
        <v>4295190</v>
      </c>
      <c r="X52" s="61">
        <f t="shared" si="66"/>
        <v>9419608</v>
      </c>
      <c r="Y52" s="61">
        <f>SUM(Q52+X52+T52)</f>
        <v>11045450</v>
      </c>
      <c r="Z52" s="70" t="str">
        <f t="shared" si="18"/>
        <v>ok</v>
      </c>
      <c r="AA52" s="60">
        <f>'St. James'!K49</f>
        <v>11045450</v>
      </c>
    </row>
    <row r="53" spans="1:27" ht="15" customHeight="1">
      <c r="A53" s="68" t="s">
        <v>919</v>
      </c>
      <c r="B53" s="61">
        <f>SUM('St. John the Baptist'!K6)</f>
        <v>123594</v>
      </c>
      <c r="C53" s="61"/>
      <c r="D53" s="61">
        <f>SUM('St. John the Baptist'!K8+'St. John the Baptist'!K9+'St. John the Baptist'!K10)</f>
        <v>2183988</v>
      </c>
      <c r="E53" s="61"/>
      <c r="F53" s="61">
        <f>SUM('St. John the Baptist'!K11)</f>
        <v>139</v>
      </c>
      <c r="G53" s="61">
        <f>SUM('St. John the Baptist'!K12+'St. John the Baptist'!K13)</f>
        <v>1187662</v>
      </c>
      <c r="H53" s="61">
        <f>'St. John the Baptist'!K14</f>
        <v>48645</v>
      </c>
      <c r="I53" s="61">
        <f t="shared" si="64"/>
        <v>3544028</v>
      </c>
      <c r="J53" s="236" t="str">
        <f t="shared" si="9"/>
        <v>ok</v>
      </c>
      <c r="K53" s="60">
        <f>'St. John the Baptist'!K16</f>
        <v>3544028</v>
      </c>
      <c r="L53" s="88">
        <f>'St. John the Baptist'!K28</f>
        <v>54842</v>
      </c>
      <c r="M53" s="61">
        <f>'St. John the Baptist'!K20</f>
        <v>817576</v>
      </c>
      <c r="N53" s="61"/>
      <c r="O53" s="61">
        <f>'St. John the Baptist'!K22</f>
        <v>663101</v>
      </c>
      <c r="P53" s="61"/>
      <c r="Q53" s="61">
        <f t="shared" si="65"/>
        <v>1480677</v>
      </c>
      <c r="R53" s="236" t="str">
        <f t="shared" si="11"/>
        <v>ok</v>
      </c>
      <c r="S53" s="60">
        <f>'St. John the Baptist'!K25</f>
        <v>1480677</v>
      </c>
      <c r="T53" s="88">
        <f>SUM('St. John the Baptist'!K28)</f>
        <v>54842</v>
      </c>
      <c r="U53" s="61">
        <f>'St. John the Baptist'!K33</f>
        <v>48645</v>
      </c>
      <c r="V53" s="61"/>
      <c r="W53" s="61">
        <f>'St. John the Baptist'!K36</f>
        <v>1959864</v>
      </c>
      <c r="X53" s="61">
        <f t="shared" si="66"/>
        <v>2008509</v>
      </c>
      <c r="Y53" s="61">
        <f>SUM('St. John the Baptist'!K40)</f>
        <v>3544028</v>
      </c>
      <c r="Z53" s="70" t="str">
        <f t="shared" si="18"/>
        <v>ok</v>
      </c>
      <c r="AA53" s="60">
        <f>SUM('St. John the Baptist'!K38+'St. John the Baptist'!K30+'St. John the Baptist'!K25)</f>
        <v>3544028</v>
      </c>
    </row>
    <row r="54" spans="1:27" ht="15" customHeight="1">
      <c r="A54" s="68" t="s">
        <v>920</v>
      </c>
      <c r="B54" s="61">
        <f>'St. Landry'!K6</f>
        <v>610783</v>
      </c>
      <c r="C54" s="61"/>
      <c r="D54" s="61">
        <f>SUM('St. Landry'!K8)</f>
        <v>2409716</v>
      </c>
      <c r="E54" s="61"/>
      <c r="F54" s="61"/>
      <c r="G54" s="61">
        <f>SUM('St. Landry'!K11+'St. Landry'!K12+'St. Landry'!K13+'St. Landry'!K14)</f>
        <v>922700</v>
      </c>
      <c r="H54" s="61">
        <f>'St. Landry'!K9</f>
        <v>10350</v>
      </c>
      <c r="I54" s="61">
        <f t="shared" ref="I54:I55" si="72">SUM(B54:H54)</f>
        <v>3953549</v>
      </c>
      <c r="J54" s="236" t="str">
        <f t="shared" ref="J54:J55" si="73">IF(I54=K54, "ok", "check")</f>
        <v>ok</v>
      </c>
      <c r="K54" s="60">
        <f>'St. Landry'!K16</f>
        <v>3953549</v>
      </c>
      <c r="L54" s="88"/>
      <c r="M54" s="61">
        <f>SUM('St. Landry'!K21+'St. Landry'!K22)</f>
        <v>531294</v>
      </c>
      <c r="N54" s="61"/>
      <c r="O54" s="61">
        <f>SUM('St. Landry'!K24+'St. Landry'!K25+'St. Landry'!K26)</f>
        <v>1204103</v>
      </c>
      <c r="P54" s="61"/>
      <c r="Q54" s="61">
        <f t="shared" ref="Q54:Q55" si="74">SUM(M54:P54)</f>
        <v>1735397</v>
      </c>
      <c r="R54" s="236" t="str">
        <f t="shared" ref="R54:R55" si="75">IF(Q54=S54, "ok", "check")</f>
        <v>ok</v>
      </c>
      <c r="S54" s="60">
        <f>'St. Landry'!K28</f>
        <v>1735397</v>
      </c>
      <c r="T54" s="88"/>
      <c r="U54" s="61">
        <f>SUM('St. Landry'!K32+'St. Landry'!K36+'St. Landry'!K37+'St. Landry'!K41+'St. Landry'!K45)</f>
        <v>606967</v>
      </c>
      <c r="V54" s="61">
        <f>SUM('St. Landry'!K47+'St. Landry'!K48+'St. Landry'!K49)</f>
        <v>342996</v>
      </c>
      <c r="W54" s="61">
        <f>'St. Landry'!K50</f>
        <v>1268189</v>
      </c>
      <c r="X54" s="61">
        <f t="shared" ref="X54:X55" si="76">SUM(U54:W54)</f>
        <v>2218152</v>
      </c>
      <c r="Y54" s="61">
        <f t="shared" ref="Y54" si="77">SUM(Q54+X54+T54)</f>
        <v>3953549</v>
      </c>
      <c r="Z54" s="70" t="str">
        <f t="shared" si="18"/>
        <v>ok</v>
      </c>
      <c r="AA54" s="60">
        <f>'St. Landry'!K54</f>
        <v>3953549</v>
      </c>
    </row>
    <row r="55" spans="1:27" ht="15" customHeight="1">
      <c r="A55" s="68" t="s">
        <v>921</v>
      </c>
      <c r="B55" s="61">
        <f>'St. Martin'!K7</f>
        <v>5891187</v>
      </c>
      <c r="C55" s="61"/>
      <c r="D55" s="61">
        <f>'St. Martin'!K8</f>
        <v>932007</v>
      </c>
      <c r="E55" s="61"/>
      <c r="F55" s="61"/>
      <c r="G55" s="61">
        <f>'St. Martin'!K9</f>
        <v>138381</v>
      </c>
      <c r="H55" s="61"/>
      <c r="I55" s="61">
        <f t="shared" si="72"/>
        <v>6961575</v>
      </c>
      <c r="J55" s="236" t="str">
        <f t="shared" si="73"/>
        <v>ok</v>
      </c>
      <c r="K55" s="60">
        <f>'St. Martin'!K12</f>
        <v>6961575</v>
      </c>
      <c r="L55" s="88"/>
      <c r="M55" s="61">
        <f>SUM('St. Martin'!K16+'St. Martin'!K17)</f>
        <v>239682</v>
      </c>
      <c r="N55" s="61"/>
      <c r="O55" s="61">
        <f>'St. Martin'!K19</f>
        <v>2912257</v>
      </c>
      <c r="P55" s="61">
        <f>'St. Martin'!K21</f>
        <v>174640</v>
      </c>
      <c r="Q55" s="61">
        <f t="shared" si="74"/>
        <v>3326579</v>
      </c>
      <c r="R55" s="236" t="str">
        <f t="shared" si="75"/>
        <v>ok</v>
      </c>
      <c r="S55" s="60">
        <f>'St. Martin'!K23</f>
        <v>3326579</v>
      </c>
      <c r="T55" s="88"/>
      <c r="U55" s="61"/>
      <c r="V55" s="61"/>
      <c r="W55" s="61">
        <f>'St. Martin'!K48</f>
        <v>3634996</v>
      </c>
      <c r="X55" s="61">
        <f t="shared" si="76"/>
        <v>3634996</v>
      </c>
      <c r="Y55" s="61">
        <f t="shared" ref="Y55" si="78">SUM(Q55+X55+T55)</f>
        <v>6961575</v>
      </c>
      <c r="Z55" s="70" t="str">
        <f t="shared" si="18"/>
        <v>ok</v>
      </c>
      <c r="AA55" s="60">
        <f>'St. Martin'!K52</f>
        <v>6961575</v>
      </c>
    </row>
    <row r="56" spans="1:27" ht="15" customHeight="1">
      <c r="A56" s="68" t="s">
        <v>922</v>
      </c>
      <c r="B56" s="61"/>
      <c r="C56" s="61"/>
      <c r="D56" s="61"/>
      <c r="E56" s="61"/>
      <c r="F56" s="61"/>
      <c r="G56" s="61"/>
      <c r="H56" s="61"/>
      <c r="I56" s="61">
        <f t="shared" si="64"/>
        <v>0</v>
      </c>
      <c r="J56" s="236" t="str">
        <f t="shared" si="9"/>
        <v>ok</v>
      </c>
      <c r="K56" s="60"/>
      <c r="L56" s="88"/>
      <c r="M56" s="61"/>
      <c r="N56" s="61"/>
      <c r="O56" s="61"/>
      <c r="P56" s="61"/>
      <c r="Q56" s="61">
        <f t="shared" si="65"/>
        <v>0</v>
      </c>
      <c r="R56" s="236" t="str">
        <f t="shared" si="11"/>
        <v>ok</v>
      </c>
      <c r="S56" s="60"/>
      <c r="T56" s="88"/>
      <c r="U56" s="61"/>
      <c r="V56" s="61"/>
      <c r="W56" s="61"/>
      <c r="X56" s="61">
        <f t="shared" si="66"/>
        <v>0</v>
      </c>
      <c r="Y56" s="61">
        <f t="shared" si="13"/>
        <v>0</v>
      </c>
      <c r="Z56" s="70" t="str">
        <f t="shared" si="18"/>
        <v>ok</v>
      </c>
      <c r="AA56" s="60"/>
    </row>
    <row r="57" spans="1:27" ht="15" customHeight="1">
      <c r="A57" s="68" t="s">
        <v>923</v>
      </c>
      <c r="B57" s="61">
        <f>'St. Tammany'!K7</f>
        <v>1552747</v>
      </c>
      <c r="C57" s="61">
        <f>'St. Tammany'!K8</f>
        <v>8685447</v>
      </c>
      <c r="D57" s="61">
        <f>'St. Tammany'!K10+'St. Tammany'!K12</f>
        <v>6180765</v>
      </c>
      <c r="E57" s="61"/>
      <c r="F57" s="61"/>
      <c r="G57" s="61">
        <f>'St. Tammany'!K13</f>
        <v>35390</v>
      </c>
      <c r="H57" s="61">
        <f>'St. Tammany'!K14</f>
        <v>8829</v>
      </c>
      <c r="I57" s="61">
        <f t="shared" si="64"/>
        <v>16463178</v>
      </c>
      <c r="J57" s="236" t="str">
        <f t="shared" si="9"/>
        <v>ok</v>
      </c>
      <c r="K57" s="60">
        <f>'St. Tammany'!K17</f>
        <v>16463178</v>
      </c>
      <c r="L57" s="88"/>
      <c r="M57" s="61">
        <f>'St. Tammany'!K21</f>
        <v>2857724</v>
      </c>
      <c r="N57" s="61">
        <f>'St. Tammany'!K24</f>
        <v>73336</v>
      </c>
      <c r="O57" s="61"/>
      <c r="P57" s="61">
        <f>'St. Tammany'!K25</f>
        <v>1636340</v>
      </c>
      <c r="Q57" s="61">
        <f t="shared" si="65"/>
        <v>4567400</v>
      </c>
      <c r="R57" s="236" t="str">
        <f t="shared" si="11"/>
        <v>ok</v>
      </c>
      <c r="S57" s="60">
        <f>'St. Tammany'!K27</f>
        <v>4567400</v>
      </c>
      <c r="T57" s="88">
        <f>'St. Tammany'!K30+'St. Tammany'!K31</f>
        <v>158651</v>
      </c>
      <c r="U57" s="61">
        <f>'St. Tammany'!K37</f>
        <v>8829</v>
      </c>
      <c r="V57" s="61"/>
      <c r="W57" s="61">
        <f>'St. Tammany'!K40</f>
        <v>11728298</v>
      </c>
      <c r="X57" s="61">
        <f t="shared" si="66"/>
        <v>11737127</v>
      </c>
      <c r="Y57" s="61">
        <f t="shared" si="13"/>
        <v>16463178</v>
      </c>
      <c r="Z57" s="70" t="str">
        <f t="shared" si="18"/>
        <v>ok</v>
      </c>
      <c r="AA57" s="60">
        <f>'St. Tammany'!K44</f>
        <v>16463178</v>
      </c>
    </row>
    <row r="58" spans="1:27" ht="15" customHeight="1">
      <c r="A58" s="68" t="s">
        <v>924</v>
      </c>
      <c r="B58" s="61">
        <f>Tangipahoa!K7+Tangipahoa!K11</f>
        <v>604076</v>
      </c>
      <c r="C58" s="61"/>
      <c r="D58" s="61">
        <f>Tangipahoa!K8</f>
        <v>2202810</v>
      </c>
      <c r="E58" s="61"/>
      <c r="F58" s="61"/>
      <c r="G58" s="61">
        <f>Tangipahoa!K9+Tangipahoa!K10</f>
        <v>813656</v>
      </c>
      <c r="H58" s="61"/>
      <c r="I58" s="61">
        <f t="shared" si="64"/>
        <v>3620542</v>
      </c>
      <c r="J58" s="236" t="str">
        <f t="shared" si="9"/>
        <v>ok</v>
      </c>
      <c r="K58" s="60">
        <f>Tangipahoa!K13</f>
        <v>3620542</v>
      </c>
      <c r="L58" s="88"/>
      <c r="M58" s="61">
        <f>Tangipahoa!K16</f>
        <v>618185</v>
      </c>
      <c r="N58" s="61"/>
      <c r="O58" s="61">
        <f>Tangipahoa!K17+Tangipahoa!K18</f>
        <v>748085</v>
      </c>
      <c r="P58" s="61"/>
      <c r="Q58" s="61">
        <f t="shared" si="65"/>
        <v>1366270</v>
      </c>
      <c r="R58" s="236" t="str">
        <f t="shared" si="11"/>
        <v>ok</v>
      </c>
      <c r="S58" s="60">
        <f>Tangipahoa!K20</f>
        <v>1366270</v>
      </c>
      <c r="T58" s="88"/>
      <c r="U58" s="61">
        <f>Tangipahoa!K28+Tangipahoa!K29</f>
        <v>722946</v>
      </c>
      <c r="V58" s="61">
        <f>Tangipahoa!K30</f>
        <v>72986</v>
      </c>
      <c r="W58" s="61">
        <f>Tangipahoa!K31</f>
        <v>1458340</v>
      </c>
      <c r="X58" s="61">
        <f t="shared" si="66"/>
        <v>2254272</v>
      </c>
      <c r="Y58" s="61">
        <f t="shared" si="13"/>
        <v>3620542</v>
      </c>
      <c r="Z58" s="70" t="str">
        <f t="shared" si="18"/>
        <v>ok</v>
      </c>
      <c r="AA58" s="60">
        <f>Tangipahoa!K35</f>
        <v>3620542</v>
      </c>
    </row>
    <row r="59" spans="1:27" ht="15" customHeight="1">
      <c r="A59" s="68" t="s">
        <v>925</v>
      </c>
      <c r="B59" s="61">
        <f>Tensas!J7</f>
        <v>196285</v>
      </c>
      <c r="C59" s="61"/>
      <c r="D59" s="61">
        <f>Tensas!J8</f>
        <v>735895</v>
      </c>
      <c r="E59" s="61"/>
      <c r="F59" s="61"/>
      <c r="G59" s="61"/>
      <c r="H59" s="61"/>
      <c r="I59" s="61">
        <f t="shared" ref="I59" si="79">SUM(B59:H59)</f>
        <v>932180</v>
      </c>
      <c r="J59" s="236" t="str">
        <f t="shared" ref="J59" si="80">IF(I59=K59, "ok", "check")</f>
        <v>ok</v>
      </c>
      <c r="K59" s="60">
        <f>Tensas!J13</f>
        <v>932180</v>
      </c>
      <c r="L59" s="88"/>
      <c r="M59" s="61">
        <f>Tensas!J17</f>
        <v>28113</v>
      </c>
      <c r="N59" s="61"/>
      <c r="O59" s="61">
        <f>Tensas!J18</f>
        <v>126461</v>
      </c>
      <c r="P59" s="61"/>
      <c r="Q59" s="61">
        <f t="shared" ref="Q59" si="81">SUM(M59:P59)</f>
        <v>154574</v>
      </c>
      <c r="R59" s="236" t="str">
        <f t="shared" ref="R59" si="82">IF(Q59=S59, "ok", "check")</f>
        <v>ok</v>
      </c>
      <c r="S59" s="60">
        <f>Tensas!J21</f>
        <v>154574</v>
      </c>
      <c r="T59" s="88"/>
      <c r="U59" s="61"/>
      <c r="V59" s="61"/>
      <c r="W59" s="61">
        <f>Tensas!J30</f>
        <v>777606</v>
      </c>
      <c r="X59" s="61">
        <f t="shared" ref="X59" si="83">SUM(U59:W59)</f>
        <v>777606</v>
      </c>
      <c r="Y59" s="61">
        <f t="shared" ref="Y59" si="84">SUM(Q59+X59+T59)</f>
        <v>932180</v>
      </c>
      <c r="Z59" s="70" t="str">
        <f t="shared" si="18"/>
        <v>ok</v>
      </c>
      <c r="AA59" s="60">
        <f>Tensas!J34</f>
        <v>932180</v>
      </c>
    </row>
    <row r="60" spans="1:27" ht="15" customHeight="1">
      <c r="A60" s="68" t="s">
        <v>926</v>
      </c>
      <c r="B60" s="61">
        <f>Terrebonne!K7+Terrebonne!K21</f>
        <v>6220983</v>
      </c>
      <c r="C60" s="61">
        <f>Terrebonne!K8</f>
        <v>1326383</v>
      </c>
      <c r="D60" s="61">
        <f>Terrebonne!K11</f>
        <v>215334</v>
      </c>
      <c r="E60" s="61"/>
      <c r="F60" s="61">
        <f>Terrebonne!K19</f>
        <v>3421</v>
      </c>
      <c r="G60" s="61">
        <f>Terrebonne!K15+Terrebonne!K16+Terrebonne!K17</f>
        <v>33414643</v>
      </c>
      <c r="H60" s="61"/>
      <c r="I60" s="61">
        <f t="shared" ref="I60:I66" si="85">SUM(B60:H60)</f>
        <v>41180764</v>
      </c>
      <c r="J60" s="236" t="str">
        <f t="shared" si="9"/>
        <v>ok</v>
      </c>
      <c r="K60" s="60">
        <f>Terrebonne!K23</f>
        <v>41180764</v>
      </c>
      <c r="L60" s="88"/>
      <c r="M60" s="61">
        <f>Terrebonne!K26</f>
        <v>690877</v>
      </c>
      <c r="N60" s="61"/>
      <c r="O60" s="61">
        <f>Terrebonne!K30+Terrebonne!K31+Terrebonne!K32</f>
        <v>20359642</v>
      </c>
      <c r="P60" s="61">
        <f>Terrebonne!K27+Terrebonne!K28</f>
        <v>3165411</v>
      </c>
      <c r="Q60" s="61">
        <f t="shared" ref="Q60:Q66" si="86">SUM(M60:P60)</f>
        <v>24215930</v>
      </c>
      <c r="R60" s="236" t="str">
        <f t="shared" si="11"/>
        <v>ok</v>
      </c>
      <c r="S60" s="60">
        <f>Terrebonne!K36</f>
        <v>24215930</v>
      </c>
      <c r="T60" s="88"/>
      <c r="U60" s="61">
        <f>Terrebonne!K40+Terrebonne!K41</f>
        <v>2569340</v>
      </c>
      <c r="V60" s="61">
        <f>Terrebonne!K52+Terrebonne!K53+Terrebonne!K54+Terrebonne!K55+Terrebonne!K56+Terrebonne!K57</f>
        <v>4014141</v>
      </c>
      <c r="W60" s="61">
        <f>Terrebonne!K64</f>
        <v>10382353</v>
      </c>
      <c r="X60" s="61">
        <f t="shared" ref="X60:X66" si="87">SUM(U60:W60)</f>
        <v>16965834</v>
      </c>
      <c r="Y60" s="61">
        <f t="shared" si="13"/>
        <v>41181764</v>
      </c>
      <c r="Z60" s="70" t="str">
        <f t="shared" si="18"/>
        <v>ok</v>
      </c>
      <c r="AA60" s="60">
        <f>Terrebonne!K68</f>
        <v>41181764</v>
      </c>
    </row>
    <row r="61" spans="1:27">
      <c r="A61" s="68" t="s">
        <v>927</v>
      </c>
      <c r="B61" s="61">
        <f>Union!K6</f>
        <v>79996</v>
      </c>
      <c r="C61" s="61">
        <f>Union!K7</f>
        <v>499287</v>
      </c>
      <c r="D61" s="61">
        <f>Union!K8</f>
        <v>1326848</v>
      </c>
      <c r="E61" s="61"/>
      <c r="F61" s="61">
        <f>Union!K9</f>
        <v>12500</v>
      </c>
      <c r="G61" s="61"/>
      <c r="H61" s="61"/>
      <c r="I61" s="61">
        <f t="shared" si="85"/>
        <v>1918631</v>
      </c>
      <c r="J61" s="236" t="str">
        <f t="shared" ref="J61:J63" si="88">IF(I61=K61, "ok", "check")</f>
        <v>ok</v>
      </c>
      <c r="K61" s="60">
        <f>Union!K11</f>
        <v>1918631</v>
      </c>
      <c r="L61" s="88"/>
      <c r="M61" s="61">
        <f>Union!K16+Union!K17+Union!K18</f>
        <v>634123</v>
      </c>
      <c r="N61" s="61"/>
      <c r="O61" s="61"/>
      <c r="P61" s="61">
        <f>Union!K15</f>
        <v>23654</v>
      </c>
      <c r="Q61" s="61">
        <f t="shared" si="86"/>
        <v>657777</v>
      </c>
      <c r="R61" s="236" t="str">
        <f t="shared" ref="R61:R63" si="89">IF(Q61=S61, "ok", "check")</f>
        <v>ok</v>
      </c>
      <c r="S61" s="60">
        <f>Union!K22</f>
        <v>657777</v>
      </c>
      <c r="T61" s="88"/>
      <c r="U61" s="61"/>
      <c r="V61" s="61"/>
      <c r="W61" s="61">
        <f>Union!K29</f>
        <v>1260854</v>
      </c>
      <c r="X61" s="61">
        <f t="shared" si="87"/>
        <v>1260854</v>
      </c>
      <c r="Y61" s="61">
        <f t="shared" ref="Y61:Y63" si="90">SUM(Q61+X61+T61)</f>
        <v>1918631</v>
      </c>
      <c r="Z61" s="70" t="str">
        <f t="shared" si="18"/>
        <v>ok</v>
      </c>
      <c r="AA61" s="60">
        <f>Union!K33</f>
        <v>1918631</v>
      </c>
    </row>
    <row r="62" spans="1:27" ht="15" customHeight="1">
      <c r="A62" s="68" t="s">
        <v>928</v>
      </c>
      <c r="B62" s="61">
        <f>Vermillion!K7</f>
        <v>1093899</v>
      </c>
      <c r="C62" s="61"/>
      <c r="D62" s="61">
        <f>Vermillion!K9+Vermillion!K14</f>
        <v>128677</v>
      </c>
      <c r="E62" s="61"/>
      <c r="F62" s="61"/>
      <c r="G62" s="61">
        <f>Vermillion!K11+Vermillion!K12+Vermillion!K13</f>
        <v>3059420</v>
      </c>
      <c r="H62" s="61"/>
      <c r="I62" s="61">
        <f t="shared" si="85"/>
        <v>4281996</v>
      </c>
      <c r="J62" s="236" t="str">
        <f t="shared" si="88"/>
        <v>ok</v>
      </c>
      <c r="K62" s="60">
        <f>Vermillion!K17</f>
        <v>4281996</v>
      </c>
      <c r="L62" s="88"/>
      <c r="M62" s="61">
        <f>Vermillion!K21+Vermillion!K22</f>
        <v>1743526</v>
      </c>
      <c r="N62" s="61"/>
      <c r="O62" s="61">
        <f>Vermillion!K25</f>
        <v>103827</v>
      </c>
      <c r="P62" s="61">
        <f>Vermillion!K24+Vermillion!K26</f>
        <v>228945</v>
      </c>
      <c r="Q62" s="61">
        <f t="shared" si="86"/>
        <v>2076298</v>
      </c>
      <c r="R62" s="236" t="str">
        <f t="shared" si="89"/>
        <v>ok</v>
      </c>
      <c r="S62" s="60">
        <f>Vermillion!K28</f>
        <v>2076298</v>
      </c>
      <c r="T62" s="88">
        <f>Vermillion!K31</f>
        <v>234110</v>
      </c>
      <c r="U62" s="61"/>
      <c r="V62" s="61">
        <f>Vermillion!K36</f>
        <v>28196</v>
      </c>
      <c r="W62" s="61">
        <f>Vermillion!K37</f>
        <v>1943392</v>
      </c>
      <c r="X62" s="61">
        <f t="shared" si="87"/>
        <v>1971588</v>
      </c>
      <c r="Y62" s="61">
        <f t="shared" si="90"/>
        <v>4281996</v>
      </c>
      <c r="Z62" s="70" t="str">
        <f t="shared" si="18"/>
        <v>ok</v>
      </c>
      <c r="AA62" s="60">
        <f>Vermillion!K41</f>
        <v>4281996</v>
      </c>
    </row>
    <row r="63" spans="1:27" ht="15" customHeight="1">
      <c r="A63" s="68" t="s">
        <v>929</v>
      </c>
      <c r="B63" s="61">
        <f>Vernon!K7</f>
        <v>4211242</v>
      </c>
      <c r="C63" s="61"/>
      <c r="D63" s="61">
        <f>Vernon!K9+Vernon!K10</f>
        <v>1343731</v>
      </c>
      <c r="E63" s="61"/>
      <c r="F63" s="61"/>
      <c r="G63" s="61"/>
      <c r="H63" s="61"/>
      <c r="I63" s="61">
        <f t="shared" ref="I63" si="91">SUM(B63:H63)</f>
        <v>5554973</v>
      </c>
      <c r="J63" s="236" t="str">
        <f t="shared" si="88"/>
        <v>ok</v>
      </c>
      <c r="K63" s="60">
        <f>Vernon!K13</f>
        <v>5554973</v>
      </c>
      <c r="L63" s="88"/>
      <c r="M63" s="61">
        <f>Vernon!K17+Vernon!K18</f>
        <v>377564</v>
      </c>
      <c r="N63" s="61"/>
      <c r="O63" s="61"/>
      <c r="P63" s="61"/>
      <c r="Q63" s="61">
        <f t="shared" ref="Q63" si="92">SUM(M63:P63)</f>
        <v>377564</v>
      </c>
      <c r="R63" s="236" t="str">
        <f t="shared" si="89"/>
        <v>ok</v>
      </c>
      <c r="S63" s="60">
        <f>Vernon!K21</f>
        <v>377564</v>
      </c>
      <c r="T63" s="88"/>
      <c r="U63" s="61">
        <f>Vernon!K26+Vernon!K34</f>
        <v>2429611</v>
      </c>
      <c r="V63" s="61"/>
      <c r="W63" s="61">
        <f>Vernon!K35</f>
        <v>2747798</v>
      </c>
      <c r="X63" s="61">
        <f t="shared" ref="X63" si="93">SUM(U63:W63)</f>
        <v>5177409</v>
      </c>
      <c r="Y63" s="61">
        <f t="shared" si="90"/>
        <v>5554973</v>
      </c>
      <c r="Z63" s="70" t="str">
        <f t="shared" si="18"/>
        <v>ok</v>
      </c>
      <c r="AA63" s="60">
        <f>Vernon!K39</f>
        <v>5554973</v>
      </c>
    </row>
    <row r="64" spans="1:27" ht="15" customHeight="1">
      <c r="A64" s="68" t="s">
        <v>930</v>
      </c>
      <c r="B64" s="61">
        <f>'Washington '!K6</f>
        <v>1849410</v>
      </c>
      <c r="C64" s="61"/>
      <c r="D64" s="61">
        <f>'Washington '!K8</f>
        <v>656806</v>
      </c>
      <c r="E64" s="61"/>
      <c r="F64" s="61"/>
      <c r="G64" s="61">
        <f>'Washington '!K12</f>
        <v>27288</v>
      </c>
      <c r="H64" s="61"/>
      <c r="I64" s="61">
        <f t="shared" si="85"/>
        <v>2533504</v>
      </c>
      <c r="J64" s="236" t="str">
        <f t="shared" si="9"/>
        <v>ok</v>
      </c>
      <c r="K64" s="60">
        <f>'Washington '!K14</f>
        <v>2533504</v>
      </c>
      <c r="L64" s="88"/>
      <c r="M64" s="61">
        <f>'Washington '!K17</f>
        <v>296865</v>
      </c>
      <c r="N64" s="61"/>
      <c r="O64" s="61">
        <f>'Washington '!K19</f>
        <v>1720700</v>
      </c>
      <c r="P64" s="61">
        <f>'Washington '!K20</f>
        <v>10118</v>
      </c>
      <c r="Q64" s="61">
        <f t="shared" si="86"/>
        <v>2027683</v>
      </c>
      <c r="R64" s="236" t="str">
        <f t="shared" si="11"/>
        <v>ok</v>
      </c>
      <c r="S64" s="60">
        <f>'Washington '!K24</f>
        <v>2027683</v>
      </c>
      <c r="T64" s="88"/>
      <c r="U64" s="61"/>
      <c r="V64" s="61"/>
      <c r="W64" s="61">
        <f>'Washington '!K33</f>
        <v>505821</v>
      </c>
      <c r="X64" s="61">
        <f t="shared" si="87"/>
        <v>505821</v>
      </c>
      <c r="Y64" s="61">
        <f t="shared" si="13"/>
        <v>2533504</v>
      </c>
      <c r="Z64" s="70" t="str">
        <f t="shared" si="18"/>
        <v>ok</v>
      </c>
      <c r="AA64" s="60">
        <f>'Washington '!K37</f>
        <v>2533504</v>
      </c>
    </row>
    <row r="65" spans="1:27" ht="15" customHeight="1">
      <c r="A65" s="68" t="s">
        <v>931</v>
      </c>
      <c r="B65" s="61">
        <f>Webster!I6</f>
        <v>532216</v>
      </c>
      <c r="C65" s="61">
        <f>Webster!I7</f>
        <v>2221199</v>
      </c>
      <c r="D65" s="61">
        <f>Webster!I8</f>
        <v>933277</v>
      </c>
      <c r="E65" s="61"/>
      <c r="F65" s="61"/>
      <c r="G65" s="61"/>
      <c r="H65" s="61">
        <f>Webster!I9</f>
        <v>213669</v>
      </c>
      <c r="I65" s="61">
        <f t="shared" si="85"/>
        <v>3900361</v>
      </c>
      <c r="J65" s="236" t="str">
        <f t="shared" ref="J65:J68" si="94">IF(I65=K65, "ok", "check")</f>
        <v>ok</v>
      </c>
      <c r="K65" s="60">
        <f>Webster!I11</f>
        <v>3900361</v>
      </c>
      <c r="L65" s="88"/>
      <c r="M65" s="61">
        <f>Webster!I15+Webster!I16</f>
        <v>81513</v>
      </c>
      <c r="N65" s="61">
        <f>Webster!I17</f>
        <v>10746</v>
      </c>
      <c r="O65" s="61">
        <f>Webster!I18</f>
        <v>159042</v>
      </c>
      <c r="P65" s="61">
        <f>Webster!I19</f>
        <v>7275</v>
      </c>
      <c r="Q65" s="61">
        <f t="shared" si="86"/>
        <v>258576</v>
      </c>
      <c r="R65" s="236" t="str">
        <f t="shared" ref="R65:R68" si="95">IF(Q65=S65, "ok", "check")</f>
        <v>ok</v>
      </c>
      <c r="S65" s="60">
        <f>Webster!I21</f>
        <v>258576</v>
      </c>
      <c r="T65" s="88">
        <f>Webster!I24</f>
        <v>23819</v>
      </c>
      <c r="U65" s="61">
        <f>Webster!I29</f>
        <v>213669</v>
      </c>
      <c r="V65" s="61">
        <f>Webster!I31</f>
        <v>2000000</v>
      </c>
      <c r="W65" s="61">
        <f>Webster!I32</f>
        <v>1404297</v>
      </c>
      <c r="X65" s="61">
        <f t="shared" si="87"/>
        <v>3617966</v>
      </c>
      <c r="Y65" s="61">
        <f t="shared" ref="Y65:Y68" si="96">SUM(Q65+X65+T65)</f>
        <v>3900361</v>
      </c>
      <c r="Z65" s="70" t="str">
        <f t="shared" si="18"/>
        <v>ok</v>
      </c>
      <c r="AA65" s="60">
        <f>Webster!I36</f>
        <v>3900361</v>
      </c>
    </row>
    <row r="66" spans="1:27" ht="15" customHeight="1">
      <c r="A66" s="68" t="s">
        <v>932</v>
      </c>
      <c r="B66" s="61">
        <f>'West Baton Rouge'!L5+'West Baton Rouge'!L9</f>
        <v>3587664</v>
      </c>
      <c r="C66" s="61">
        <f>'West Baton Rouge'!L6+'West Baton Rouge'!L7</f>
        <v>9007029</v>
      </c>
      <c r="D66" s="61">
        <f>'West Baton Rouge'!L8+'West Baton Rouge'!L11</f>
        <v>1148074</v>
      </c>
      <c r="E66" s="61"/>
      <c r="F66" s="61"/>
      <c r="G66" s="61">
        <f>'West Baton Rouge'!L10</f>
        <v>838543</v>
      </c>
      <c r="H66" s="61"/>
      <c r="I66" s="61">
        <f t="shared" si="85"/>
        <v>14581310</v>
      </c>
      <c r="J66" s="236" t="str">
        <f t="shared" si="94"/>
        <v>ok</v>
      </c>
      <c r="K66" s="60">
        <f>'West Baton Rouge'!L13</f>
        <v>14581310</v>
      </c>
      <c r="L66" s="88"/>
      <c r="M66" s="61">
        <f>'West Baton Rouge'!L17</f>
        <v>191643</v>
      </c>
      <c r="N66" s="61"/>
      <c r="O66" s="61"/>
      <c r="P66" s="61"/>
      <c r="Q66" s="61">
        <f t="shared" si="86"/>
        <v>191643</v>
      </c>
      <c r="R66" s="236" t="str">
        <f t="shared" si="95"/>
        <v>ok</v>
      </c>
      <c r="S66" s="60">
        <f>'West Baton Rouge'!L19</f>
        <v>191643</v>
      </c>
      <c r="T66" s="88">
        <f>'West Baton Rouge'!L23</f>
        <v>1314355</v>
      </c>
      <c r="U66" s="61">
        <f>'West Baton Rouge'!L28</f>
        <v>113570</v>
      </c>
      <c r="V66" s="61"/>
      <c r="W66" s="61">
        <f>'West Baton Rouge'!L32</f>
        <v>12961742</v>
      </c>
      <c r="X66" s="61">
        <f t="shared" si="87"/>
        <v>13075312</v>
      </c>
      <c r="Y66" s="61">
        <f t="shared" si="96"/>
        <v>14581310</v>
      </c>
      <c r="Z66" s="70" t="str">
        <f t="shared" si="18"/>
        <v>ok</v>
      </c>
      <c r="AA66" s="60">
        <f>'West Baton Rouge'!L36</f>
        <v>14581310</v>
      </c>
    </row>
    <row r="67" spans="1:27" ht="15" customHeight="1">
      <c r="A67" s="68" t="s">
        <v>933</v>
      </c>
      <c r="B67" s="61">
        <f>'West Carroll'!K6</f>
        <v>1180180</v>
      </c>
      <c r="C67" s="61"/>
      <c r="D67" s="61">
        <f>'West Carroll'!K7</f>
        <v>386630</v>
      </c>
      <c r="E67" s="61"/>
      <c r="F67" s="61"/>
      <c r="G67" s="61"/>
      <c r="H67" s="61"/>
      <c r="I67" s="61">
        <f t="shared" ref="I67:I69" si="97">SUM(B67:H67)</f>
        <v>1566810</v>
      </c>
      <c r="J67" s="236" t="str">
        <f t="shared" si="94"/>
        <v>ok</v>
      </c>
      <c r="K67" s="60">
        <f>'West Carroll'!K9</f>
        <v>1566810</v>
      </c>
      <c r="L67" s="88"/>
      <c r="M67" s="61">
        <f>'West Carroll'!K14</f>
        <v>49979</v>
      </c>
      <c r="N67" s="61"/>
      <c r="O67" s="61"/>
      <c r="P67" s="61">
        <f>'West Carroll'!K15</f>
        <v>37326</v>
      </c>
      <c r="Q67" s="61">
        <f t="shared" ref="Q67:Q69" si="98">SUM(M67:P67)</f>
        <v>87305</v>
      </c>
      <c r="R67" s="236" t="str">
        <f t="shared" si="95"/>
        <v>ok</v>
      </c>
      <c r="S67" s="60">
        <f>'West Carroll'!K17</f>
        <v>87305</v>
      </c>
      <c r="T67" s="88">
        <f>'West Carroll'!K20</f>
        <v>44504</v>
      </c>
      <c r="U67" s="61">
        <f>'West Carroll'!K23</f>
        <v>17368</v>
      </c>
      <c r="V67" s="61">
        <f>'West Carroll'!K24</f>
        <v>61368</v>
      </c>
      <c r="W67" s="61">
        <f>'West Carroll'!K25</f>
        <v>1356265</v>
      </c>
      <c r="X67" s="61">
        <f t="shared" ref="X67:X69" si="99">SUM(U67:W67)</f>
        <v>1435001</v>
      </c>
      <c r="Y67" s="61">
        <f t="shared" si="96"/>
        <v>1566810</v>
      </c>
      <c r="Z67" s="70" t="str">
        <f t="shared" si="18"/>
        <v>ok</v>
      </c>
      <c r="AA67" s="60">
        <f>'West Carroll'!K29</f>
        <v>1566810</v>
      </c>
    </row>
    <row r="68" spans="1:27" ht="15" customHeight="1">
      <c r="A68" s="68" t="s">
        <v>934</v>
      </c>
      <c r="B68" s="61">
        <f>'West Feliciana'!K7</f>
        <v>569799</v>
      </c>
      <c r="C68" s="61">
        <f>'West Feliciana'!K8</f>
        <v>5804598</v>
      </c>
      <c r="D68" s="61">
        <f>'West Feliciana'!K12+'West Feliciana'!K11</f>
        <v>77624</v>
      </c>
      <c r="E68" s="61"/>
      <c r="F68" s="61"/>
      <c r="G68" s="61">
        <f>'West Feliciana'!K14+'West Feliciana'!K13</f>
        <v>731147</v>
      </c>
      <c r="H68" s="61">
        <f>'West Feliciana'!K9</f>
        <v>41087</v>
      </c>
      <c r="I68" s="61">
        <f t="shared" si="97"/>
        <v>7224255</v>
      </c>
      <c r="J68" s="236" t="str">
        <f t="shared" si="94"/>
        <v>ok</v>
      </c>
      <c r="K68" s="60">
        <f>'West Feliciana'!K19</f>
        <v>7224255</v>
      </c>
      <c r="L68" s="88"/>
      <c r="M68" s="61">
        <f>'West Feliciana'!K22</f>
        <v>196626</v>
      </c>
      <c r="N68" s="61"/>
      <c r="O68" s="61">
        <f>'West Feliciana'!K25</f>
        <v>95337</v>
      </c>
      <c r="P68" s="61">
        <f>'West Feliciana'!K23</f>
        <v>72818</v>
      </c>
      <c r="Q68" s="61">
        <f t="shared" ref="Q68" si="100">SUM(M68:P68)</f>
        <v>364781</v>
      </c>
      <c r="R68" s="236" t="str">
        <f t="shared" si="95"/>
        <v>ok</v>
      </c>
      <c r="S68" s="60">
        <f>'West Feliciana'!K27</f>
        <v>364781</v>
      </c>
      <c r="T68" s="88"/>
      <c r="U68" s="61">
        <f>'West Feliciana'!K30</f>
        <v>41087</v>
      </c>
      <c r="V68" s="61">
        <f>'West Feliciana'!K32</f>
        <v>2569266</v>
      </c>
      <c r="W68" s="61">
        <f>'West Feliciana'!K33</f>
        <v>4249121</v>
      </c>
      <c r="X68" s="61">
        <f t="shared" ref="X68" si="101">SUM(U68:W68)</f>
        <v>6859474</v>
      </c>
      <c r="Y68" s="61">
        <f t="shared" si="96"/>
        <v>7224255</v>
      </c>
      <c r="Z68" s="70" t="str">
        <f t="shared" si="18"/>
        <v>ok</v>
      </c>
      <c r="AA68" s="60">
        <f>'West Feliciana'!K37</f>
        <v>7224255</v>
      </c>
    </row>
    <row r="69" spans="1:27" ht="15" customHeight="1">
      <c r="A69" s="68" t="s">
        <v>935</v>
      </c>
      <c r="B69" s="61">
        <f>Winn!I6</f>
        <v>234891</v>
      </c>
      <c r="C69" s="61"/>
      <c r="D69" s="61">
        <f>Winn!I7+Winn!I8</f>
        <v>463623</v>
      </c>
      <c r="E69" s="61"/>
      <c r="F69" s="61"/>
      <c r="G69" s="61"/>
      <c r="H69" s="61"/>
      <c r="I69" s="61">
        <f t="shared" si="97"/>
        <v>698514</v>
      </c>
      <c r="J69" s="236" t="str">
        <f t="shared" ref="J69" si="102">IF(I69=K69, "ok", "check")</f>
        <v>ok</v>
      </c>
      <c r="K69" s="60">
        <f>Winn!I10</f>
        <v>698514</v>
      </c>
      <c r="L69" s="88"/>
      <c r="M69" s="61">
        <f>Winn!I14</f>
        <v>85253</v>
      </c>
      <c r="N69" s="61"/>
      <c r="O69" s="61"/>
      <c r="P69" s="61"/>
      <c r="Q69" s="61">
        <f t="shared" si="98"/>
        <v>85253</v>
      </c>
      <c r="R69" s="236" t="str">
        <f t="shared" ref="R69" si="103">IF(Q69=S69, "ok", "check")</f>
        <v>ok</v>
      </c>
      <c r="S69" s="60">
        <f>Winn!I17</f>
        <v>85253</v>
      </c>
      <c r="T69" s="88"/>
      <c r="U69" s="61"/>
      <c r="V69" s="61">
        <f>Winn!I30</f>
        <v>613260</v>
      </c>
      <c r="W69" s="61"/>
      <c r="X69" s="61">
        <f t="shared" si="99"/>
        <v>613260</v>
      </c>
      <c r="Y69" s="61">
        <f t="shared" ref="Y69" si="104">SUM(Q69+X69+T69)</f>
        <v>698513</v>
      </c>
      <c r="Z69" s="70" t="str">
        <f t="shared" si="18"/>
        <v>check</v>
      </c>
      <c r="AA69" s="60" t="s">
        <v>270</v>
      </c>
    </row>
    <row r="70" spans="1:27" ht="15" customHeight="1">
      <c r="A70" s="62"/>
      <c r="J70" s="237"/>
      <c r="K70" s="57"/>
      <c r="R70" s="237"/>
      <c r="S70" s="57"/>
      <c r="Z70" s="56"/>
      <c r="AA70" s="57"/>
    </row>
    <row r="71" spans="1:27" ht="15" customHeight="1">
      <c r="A71" s="63" t="s">
        <v>84</v>
      </c>
      <c r="B71" s="64">
        <f t="shared" ref="B71:I71" si="105">SUM(B7:B69)</f>
        <v>191195409.55000001</v>
      </c>
      <c r="C71" s="64">
        <f t="shared" si="105"/>
        <v>275682768</v>
      </c>
      <c r="D71" s="64">
        <f t="shared" si="105"/>
        <v>151590143.81999999</v>
      </c>
      <c r="E71" s="64">
        <f t="shared" si="105"/>
        <v>2389781</v>
      </c>
      <c r="F71" s="64">
        <f t="shared" si="105"/>
        <v>5795913</v>
      </c>
      <c r="G71" s="64">
        <f t="shared" si="105"/>
        <v>152985619.47999999</v>
      </c>
      <c r="H71" s="64">
        <f t="shared" si="105"/>
        <v>3461407</v>
      </c>
      <c r="I71" s="64">
        <f t="shared" si="105"/>
        <v>783101041.85000002</v>
      </c>
      <c r="J71" s="69" t="str">
        <f>IF(I71=K71, "ok", "check")</f>
        <v>ok</v>
      </c>
      <c r="K71" s="66">
        <f t="shared" ref="K71:Q71" si="106">SUM(K7:K69)</f>
        <v>783101041.85000002</v>
      </c>
      <c r="L71" s="66">
        <f t="shared" si="106"/>
        <v>54842</v>
      </c>
      <c r="M71" s="66">
        <f t="shared" si="106"/>
        <v>62037797.240000002</v>
      </c>
      <c r="N71" s="66">
        <f t="shared" si="106"/>
        <v>556289</v>
      </c>
      <c r="O71" s="66">
        <f t="shared" si="106"/>
        <v>67497991</v>
      </c>
      <c r="P71" s="66">
        <f t="shared" si="106"/>
        <v>29853609</v>
      </c>
      <c r="Q71" s="66">
        <f t="shared" si="106"/>
        <v>159945686.24000001</v>
      </c>
      <c r="R71" s="65" t="str">
        <f>IF(Q71=S71, "ok", "check")</f>
        <v>ok</v>
      </c>
      <c r="S71" s="66">
        <f t="shared" ref="S71:Y71" si="107">SUM(S7:S69)</f>
        <v>159945686.24000001</v>
      </c>
      <c r="T71" s="66">
        <f t="shared" si="107"/>
        <v>33153862.210000001</v>
      </c>
      <c r="U71" s="66">
        <f t="shared" si="107"/>
        <v>208426517.34</v>
      </c>
      <c r="V71" s="66">
        <f t="shared" si="107"/>
        <v>108204752.06</v>
      </c>
      <c r="W71" s="66">
        <f t="shared" si="107"/>
        <v>273356224</v>
      </c>
      <c r="X71" s="66">
        <f t="shared" si="107"/>
        <v>589987493.39999998</v>
      </c>
      <c r="Y71" s="66">
        <f t="shared" si="107"/>
        <v>783087041.85000002</v>
      </c>
      <c r="Z71" s="65" t="str">
        <f t="shared" ref="Z71" si="108">IF(Y71=AA71, "ok", "check")</f>
        <v>check</v>
      </c>
      <c r="AA71" s="66">
        <f>SUM(AA7:AA69)</f>
        <v>782388528.85000002</v>
      </c>
    </row>
    <row r="72" spans="1:27">
      <c r="B72" t="s">
        <v>270</v>
      </c>
    </row>
  </sheetData>
  <mergeCells count="3">
    <mergeCell ref="B3:F3"/>
    <mergeCell ref="G3:H3"/>
    <mergeCell ref="M3:P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46E7C3A01C2A47A437981BA5A3419C" ma:contentTypeVersion="11" ma:contentTypeDescription="Create a new document." ma:contentTypeScope="" ma:versionID="d554655ad64208c1d6e2effa97f27dc4">
  <xsd:schema xmlns:xsd="http://www.w3.org/2001/XMLSchema" xmlns:xs="http://www.w3.org/2001/XMLSchema" xmlns:p="http://schemas.microsoft.com/office/2006/metadata/properties" xmlns:ns2="a04dc2bb-3752-482a-bef8-a3d7520562f3" xmlns:ns3="07258940-cd77-4b7c-bf02-282e7e1fade8" xmlns:ns4="a09b295e-4c54-4020-9012-76e6da7e7cd2" targetNamespace="http://schemas.microsoft.com/office/2006/metadata/properties" ma:root="true" ma:fieldsID="df42f594409b0399f47f761bc5024e7c" ns2:_="" ns3:_="" ns4:_="">
    <xsd:import namespace="a04dc2bb-3752-482a-bef8-a3d7520562f3"/>
    <xsd:import namespace="07258940-cd77-4b7c-bf02-282e7e1fade8"/>
    <xsd:import namespace="a09b295e-4c54-4020-9012-76e6da7e7cd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EventHashCode" minOccurs="0"/>
                <xsd:element ref="ns4:MediaServiceGenerationTime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dc2bb-3752-482a-bef8-a3d7520562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58940-cd77-4b7c-bf02-282e7e1fade8" elementFormDefault="qualified">
    <xsd:import namespace="http://schemas.microsoft.com/office/2006/documentManagement/types"/>
    <xsd:import namespace="http://schemas.microsoft.com/office/infopath/2007/PartnerControls"/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b295e-4c54-4020-9012-76e6da7e7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SharedWithUsers xmlns="a04dc2bb-3752-482a-bef8-a3d7520562f3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C770406-3999-49A3-BBD1-43628BE7B8F3}"/>
</file>

<file path=customXml/itemProps2.xml><?xml version="1.0" encoding="utf-8"?>
<ds:datastoreItem xmlns:ds="http://schemas.openxmlformats.org/officeDocument/2006/customXml" ds:itemID="{C38A4021-DE85-4E6A-914C-E02B069955CC}"/>
</file>

<file path=customXml/itemProps3.xml><?xml version="1.0" encoding="utf-8"?>
<ds:datastoreItem xmlns:ds="http://schemas.openxmlformats.org/officeDocument/2006/customXml" ds:itemID="{DA74479D-D49B-478A-ABF2-CA9C188706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lnorwa2</dc:creator>
  <cp:keywords/>
  <dc:description/>
  <cp:lastModifiedBy>Luftig, Valerio</cp:lastModifiedBy>
  <cp:revision/>
  <dcterms:created xsi:type="dcterms:W3CDTF">2011-10-31T16:14:35Z</dcterms:created>
  <dcterms:modified xsi:type="dcterms:W3CDTF">2025-06-17T18:26:01Z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0x0101009346E7C3A01C2A47A437981BA5A3419C</vt:lpwstr>
  </property>
</Properties>
</file>