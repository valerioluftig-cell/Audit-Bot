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14"/>
  <workbookPr autoCompressPictures="0" defaultThemeVersion="124226"/>
  <xr:revisionPtr revIDLastSave="0" documentId="11_1598A2C3A3B0F75DA9D168019D7B6766658BB7DB" xr6:coauthVersionLast="47" xr6:coauthVersionMax="47" xr10:uidLastSave="{00000000-0000-0000-0000-000000000000}"/>
  <bookViews>
    <workbookView xWindow="0" yWindow="0" windowWidth="24165" windowHeight="14925" tabRatio="948" firstSheet="33" activeTab="58" xr2:uid="{00000000-000D-0000-FFFF-FFFF00000000}"/>
  </bookViews>
  <sheets>
    <sheet name="Acadia" sheetId="52" r:id="rId1"/>
    <sheet name="Allen" sheetId="117" r:id="rId2"/>
    <sheet name="Assumption" sheetId="118" r:id="rId3"/>
    <sheet name="Avoyelles" sheetId="167" r:id="rId4"/>
    <sheet name="Beauregard" sheetId="168" r:id="rId5"/>
    <sheet name="Bienville" sheetId="119" r:id="rId6"/>
    <sheet name="Bossier" sheetId="120" r:id="rId7"/>
    <sheet name="Caddo" sheetId="169" r:id="rId8"/>
    <sheet name="Calcasieu" sheetId="144" r:id="rId9"/>
    <sheet name="Caldwell" sheetId="146" r:id="rId10"/>
    <sheet name="Cameron" sheetId="147" r:id="rId11"/>
    <sheet name="Catahoula" sheetId="148" r:id="rId12"/>
    <sheet name="Claiborne" sheetId="149" r:id="rId13"/>
    <sheet name="Concordia" sheetId="150" r:id="rId14"/>
    <sheet name="DeSoto" sheetId="151" r:id="rId15"/>
    <sheet name="East Baton Rouge" sheetId="152" r:id="rId16"/>
    <sheet name="East Carroll" sheetId="153" r:id="rId17"/>
    <sheet name="East Feliciana" sheetId="154" r:id="rId18"/>
    <sheet name="Evangeline" sheetId="155" r:id="rId19"/>
    <sheet name="Franklin" sheetId="156" r:id="rId20"/>
    <sheet name="Grant " sheetId="157" r:id="rId21"/>
    <sheet name="Iberia" sheetId="158" r:id="rId22"/>
    <sheet name="Iberville" sheetId="159" r:id="rId23"/>
    <sheet name="Jackson" sheetId="160" r:id="rId24"/>
    <sheet name="Jefferson Davis" sheetId="161" r:id="rId25"/>
    <sheet name="Jefferson" sheetId="162" r:id="rId26"/>
    <sheet name="Lafayette" sheetId="163" r:id="rId27"/>
    <sheet name="Lafourche" sheetId="164" r:id="rId28"/>
    <sheet name="LaSalle" sheetId="165" r:id="rId29"/>
    <sheet name="Lincoln" sheetId="166" r:id="rId30"/>
    <sheet name="Livingston" sheetId="121" r:id="rId31"/>
    <sheet name="Madison" sheetId="122" r:id="rId32"/>
    <sheet name="Morehouse" sheetId="123" r:id="rId33"/>
    <sheet name="Natchitoches (2)" sheetId="176" r:id="rId34"/>
    <sheet name="Natchitoches" sheetId="125" r:id="rId35"/>
    <sheet name="Ouachita" sheetId="126" r:id="rId36"/>
    <sheet name="Pointe Coupee" sheetId="170" r:id="rId37"/>
    <sheet name="Rapides" sheetId="127" r:id="rId38"/>
    <sheet name="Red River" sheetId="128" r:id="rId39"/>
    <sheet name="Richland" sheetId="129" r:id="rId40"/>
    <sheet name="Sabine" sheetId="130" r:id="rId41"/>
    <sheet name="St. Charles" sheetId="131" r:id="rId42"/>
    <sheet name="St. Helena" sheetId="171" r:id="rId43"/>
    <sheet name="St. James" sheetId="132" r:id="rId44"/>
    <sheet name="St. Mary" sheetId="175" r:id="rId45"/>
    <sheet name="St. Tammany" sheetId="133" r:id="rId46"/>
    <sheet name="Tangipahoa" sheetId="134" r:id="rId47"/>
    <sheet name="Tensas" sheetId="135" r:id="rId48"/>
    <sheet name="Terrebonne" sheetId="136" r:id="rId49"/>
    <sheet name="Union" sheetId="172" r:id="rId50"/>
    <sheet name="Vermilion" sheetId="137" r:id="rId51"/>
    <sheet name="Vernon" sheetId="138" r:id="rId52"/>
    <sheet name="Washington" sheetId="139" r:id="rId53"/>
    <sheet name="Webster" sheetId="140" r:id="rId54"/>
    <sheet name="West Baton Rouge" sheetId="141" r:id="rId55"/>
    <sheet name="West Carroll" sheetId="145" r:id="rId56"/>
    <sheet name="West Feliciana" sheetId="174" r:id="rId57"/>
    <sheet name="Winn" sheetId="143" r:id="rId58"/>
    <sheet name="Governmental Cross Sectional" sheetId="3" r:id="rId59"/>
    <sheet name="Business-type Cross Sectional" sheetId="173" r:id="rId60"/>
    <sheet name="Sheet3" sheetId="17" state="hidden" r:id="rId61"/>
  </sheets>
  <externalReferences>
    <externalReference r:id="rId62"/>
  </externalReferenc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5" i="176" l="1"/>
  <c r="J15" i="176"/>
  <c r="K15" i="176"/>
  <c r="H15" i="176"/>
  <c r="L9" i="176"/>
  <c r="L10" i="176"/>
  <c r="L11" i="176"/>
  <c r="L12" i="176"/>
  <c r="L13" i="176"/>
  <c r="L8" i="176"/>
  <c r="L15" i="176" s="1"/>
  <c r="M29" i="176"/>
  <c r="M19" i="176"/>
  <c r="M20" i="176"/>
  <c r="M21" i="176"/>
  <c r="M22" i="176"/>
  <c r="M23" i="176"/>
  <c r="M25" i="176"/>
  <c r="M8" i="176"/>
  <c r="M9" i="176"/>
  <c r="M10" i="176"/>
  <c r="M13" i="176"/>
  <c r="M11" i="176"/>
  <c r="M12" i="176"/>
  <c r="L25" i="176"/>
  <c r="L27" i="176" s="1"/>
  <c r="L31" i="176"/>
  <c r="G27" i="175"/>
  <c r="M54" i="173"/>
  <c r="J54" i="173"/>
  <c r="D54" i="173"/>
  <c r="C55" i="173"/>
  <c r="K55" i="173"/>
  <c r="G23" i="133"/>
  <c r="M55" i="173"/>
  <c r="L55" i="173"/>
  <c r="L56" i="173"/>
  <c r="K57" i="173"/>
  <c r="L57" i="173"/>
  <c r="C58" i="173"/>
  <c r="D58" i="173"/>
  <c r="F58" i="173"/>
  <c r="K58" i="173"/>
  <c r="I28" i="136"/>
  <c r="M58" i="173"/>
  <c r="L58" i="173"/>
  <c r="K59" i="173"/>
  <c r="L59" i="173"/>
  <c r="J60" i="173"/>
  <c r="K60" i="173"/>
  <c r="I25" i="137"/>
  <c r="M60" i="173"/>
  <c r="L60" i="173"/>
  <c r="K61" i="173"/>
  <c r="L61" i="173"/>
  <c r="K62" i="173"/>
  <c r="L62" i="173"/>
  <c r="K63" i="173"/>
  <c r="L63" i="173"/>
  <c r="K64" i="173"/>
  <c r="L64" i="173"/>
  <c r="K65" i="173"/>
  <c r="L65" i="173"/>
  <c r="J66" i="173"/>
  <c r="K66" i="173"/>
  <c r="I26" i="174"/>
  <c r="M66" i="173"/>
  <c r="L66" i="173"/>
  <c r="L67" i="173"/>
  <c r="C54" i="173"/>
  <c r="K54" i="173"/>
  <c r="L54" i="173"/>
  <c r="G20" i="175"/>
  <c r="AJ57" i="3"/>
  <c r="AF57" i="3"/>
  <c r="AE57" i="3"/>
  <c r="AD57" i="3"/>
  <c r="AC57" i="3"/>
  <c r="AB57" i="3"/>
  <c r="AA57" i="3"/>
  <c r="Z57" i="3"/>
  <c r="S57" i="3"/>
  <c r="K46" i="175"/>
  <c r="R57" i="3"/>
  <c r="M57" i="3"/>
  <c r="L57" i="3"/>
  <c r="H57" i="3"/>
  <c r="F57" i="3"/>
  <c r="D57" i="3"/>
  <c r="C57" i="3"/>
  <c r="Z70" i="3"/>
  <c r="AA70" i="3"/>
  <c r="AB70" i="3"/>
  <c r="AC70" i="3"/>
  <c r="AD70" i="3"/>
  <c r="AE70" i="3"/>
  <c r="AG70" i="3"/>
  <c r="T70" i="3"/>
  <c r="U70" i="3"/>
  <c r="V70" i="3"/>
  <c r="W70" i="3"/>
  <c r="X70" i="3"/>
  <c r="Y70" i="3"/>
  <c r="AH70" i="3"/>
  <c r="AJ70" i="3"/>
  <c r="AI70" i="3"/>
  <c r="J70" i="3"/>
  <c r="K70" i="3"/>
  <c r="L70" i="3"/>
  <c r="M70" i="3"/>
  <c r="N70" i="3"/>
  <c r="C70" i="3"/>
  <c r="D70" i="3"/>
  <c r="G70" i="3"/>
  <c r="P70" i="3"/>
  <c r="R70" i="3"/>
  <c r="Q70" i="3"/>
  <c r="L46" i="175"/>
  <c r="L23" i="175"/>
  <c r="L24" i="175"/>
  <c r="L25" i="175"/>
  <c r="L27" i="175"/>
  <c r="L29" i="175"/>
  <c r="L48" i="175"/>
  <c r="L52" i="175"/>
  <c r="M50" i="175"/>
  <c r="M34" i="175"/>
  <c r="M35" i="175"/>
  <c r="M36" i="175"/>
  <c r="M37" i="175"/>
  <c r="M38" i="175"/>
  <c r="M39" i="175"/>
  <c r="M40" i="175"/>
  <c r="M41" i="175"/>
  <c r="M42" i="175"/>
  <c r="M43" i="175"/>
  <c r="M44" i="175"/>
  <c r="M46" i="175"/>
  <c r="M23" i="175"/>
  <c r="M24" i="175"/>
  <c r="M25" i="175"/>
  <c r="M27" i="175"/>
  <c r="K9" i="175"/>
  <c r="M9" i="175"/>
  <c r="K10" i="175"/>
  <c r="M10" i="175"/>
  <c r="K11" i="175"/>
  <c r="M11" i="175"/>
  <c r="K12" i="175"/>
  <c r="M12" i="175"/>
  <c r="K13" i="175"/>
  <c r="M13" i="175"/>
  <c r="K14" i="175"/>
  <c r="M14" i="175"/>
  <c r="K15" i="175"/>
  <c r="M15" i="175"/>
  <c r="K16" i="175"/>
  <c r="M16" i="175"/>
  <c r="K17" i="175"/>
  <c r="M17" i="175"/>
  <c r="K18" i="175"/>
  <c r="M18" i="175"/>
  <c r="M20" i="175"/>
  <c r="M29" i="175"/>
  <c r="M48" i="175"/>
  <c r="M52" i="175"/>
  <c r="K20" i="175"/>
  <c r="K48" i="175"/>
  <c r="K52" i="175"/>
  <c r="K27" i="175"/>
  <c r="K29" i="175"/>
  <c r="J20" i="175"/>
  <c r="J27" i="175"/>
  <c r="J29" i="175"/>
  <c r="I20" i="175"/>
  <c r="I27" i="175"/>
  <c r="I29" i="175"/>
  <c r="H27" i="175"/>
  <c r="H20" i="175"/>
  <c r="H29" i="175"/>
  <c r="G29" i="175"/>
  <c r="I17" i="174"/>
  <c r="AJ69" i="3"/>
  <c r="AE69" i="3"/>
  <c r="AD69" i="3"/>
  <c r="AC69" i="3"/>
  <c r="AB69" i="3"/>
  <c r="AA69" i="3"/>
  <c r="Z69" i="3"/>
  <c r="S69" i="3"/>
  <c r="M42" i="174"/>
  <c r="R69" i="3"/>
  <c r="L69" i="3"/>
  <c r="F69" i="3"/>
  <c r="D69" i="3"/>
  <c r="C69" i="3"/>
  <c r="P30" i="174"/>
  <c r="P32" i="174"/>
  <c r="P42" i="174"/>
  <c r="P44" i="174"/>
  <c r="O36" i="174"/>
  <c r="O37" i="174"/>
  <c r="O38" i="174"/>
  <c r="O39" i="174"/>
  <c r="O40" i="174"/>
  <c r="O35" i="174"/>
  <c r="N22" i="174"/>
  <c r="O22" i="174"/>
  <c r="N23" i="174"/>
  <c r="O23" i="174"/>
  <c r="N20" i="174"/>
  <c r="N21" i="174"/>
  <c r="N24" i="174"/>
  <c r="N26" i="174"/>
  <c r="N28" i="174"/>
  <c r="N42" i="174"/>
  <c r="N44" i="174"/>
  <c r="O20" i="174"/>
  <c r="O21" i="174"/>
  <c r="O24" i="174"/>
  <c r="O26" i="174"/>
  <c r="M9" i="174"/>
  <c r="O9" i="174"/>
  <c r="M10" i="174"/>
  <c r="O10" i="174"/>
  <c r="M11" i="174"/>
  <c r="O11" i="174"/>
  <c r="M12" i="174"/>
  <c r="O12" i="174"/>
  <c r="M13" i="174"/>
  <c r="O13" i="174"/>
  <c r="M14" i="174"/>
  <c r="O14" i="174"/>
  <c r="M15" i="174"/>
  <c r="O15" i="174"/>
  <c r="O17" i="174"/>
  <c r="O28" i="174"/>
  <c r="O42" i="174"/>
  <c r="O44" i="174"/>
  <c r="M26" i="174"/>
  <c r="M17" i="174"/>
  <c r="M28" i="174"/>
  <c r="M44" i="174"/>
  <c r="J32" i="174"/>
  <c r="K32" i="174"/>
  <c r="L32" i="174"/>
  <c r="M32" i="174"/>
  <c r="N32" i="174"/>
  <c r="O32" i="174"/>
  <c r="I32" i="174"/>
  <c r="P48" i="174"/>
  <c r="O46" i="174"/>
  <c r="O48" i="174"/>
  <c r="N48" i="174"/>
  <c r="M48" i="174"/>
  <c r="P26" i="174"/>
  <c r="P17" i="174"/>
  <c r="P28" i="174"/>
  <c r="L17" i="174"/>
  <c r="L26" i="174"/>
  <c r="L28" i="174"/>
  <c r="K17" i="174"/>
  <c r="K26" i="174"/>
  <c r="K28" i="174"/>
  <c r="J26" i="174"/>
  <c r="J17" i="174"/>
  <c r="J28" i="174"/>
  <c r="I28" i="174"/>
  <c r="G26" i="132"/>
  <c r="M53" i="173"/>
  <c r="J53" i="173"/>
  <c r="C53" i="173"/>
  <c r="I24" i="171"/>
  <c r="M52" i="173"/>
  <c r="J52" i="173"/>
  <c r="C52" i="173"/>
  <c r="G25" i="131"/>
  <c r="M51" i="173"/>
  <c r="D51" i="173"/>
  <c r="C51" i="173"/>
  <c r="H20" i="128"/>
  <c r="M47" i="173"/>
  <c r="C47" i="173"/>
  <c r="I25" i="170"/>
  <c r="M45" i="173"/>
  <c r="F45" i="173"/>
  <c r="D45" i="173"/>
  <c r="C45" i="173"/>
  <c r="H26" i="125"/>
  <c r="M41" i="173"/>
  <c r="I41" i="173"/>
  <c r="J41" i="173"/>
  <c r="C41" i="173"/>
  <c r="I28" i="126"/>
  <c r="M43" i="173"/>
  <c r="C43" i="173"/>
  <c r="I21" i="121"/>
  <c r="M38" i="173"/>
  <c r="C38" i="173"/>
  <c r="M35" i="173"/>
  <c r="C35" i="173"/>
  <c r="I33" i="163"/>
  <c r="M34" i="173"/>
  <c r="J34" i="173"/>
  <c r="D34" i="173"/>
  <c r="C34" i="173"/>
  <c r="I25" i="162"/>
  <c r="M32" i="173"/>
  <c r="C32" i="173"/>
  <c r="I22" i="159"/>
  <c r="M30" i="173"/>
  <c r="C30" i="173"/>
  <c r="I29" i="157"/>
  <c r="M28" i="173"/>
  <c r="C28" i="173"/>
  <c r="I22" i="155"/>
  <c r="M26" i="173"/>
  <c r="J26" i="173"/>
  <c r="C26" i="173"/>
  <c r="I28" i="153"/>
  <c r="M24" i="173"/>
  <c r="D24" i="173"/>
  <c r="I27" i="152"/>
  <c r="M23" i="173"/>
  <c r="J23" i="173"/>
  <c r="F23" i="173"/>
  <c r="E23" i="173"/>
  <c r="D23" i="173"/>
  <c r="C23" i="173"/>
  <c r="M22" i="173"/>
  <c r="C22" i="173"/>
  <c r="I23" i="144"/>
  <c r="M16" i="173"/>
  <c r="C16" i="173"/>
  <c r="I27" i="120"/>
  <c r="M14" i="173"/>
  <c r="C14" i="173"/>
  <c r="I28" i="118"/>
  <c r="M10" i="173"/>
  <c r="C10" i="173"/>
  <c r="K70" i="173"/>
  <c r="M69" i="173"/>
  <c r="C69" i="173"/>
  <c r="D69" i="173"/>
  <c r="E69" i="173"/>
  <c r="F69" i="173"/>
  <c r="G69" i="173"/>
  <c r="H69" i="173"/>
  <c r="I69" i="173"/>
  <c r="J69" i="173"/>
  <c r="K69" i="173"/>
  <c r="L69" i="173"/>
  <c r="K53" i="173"/>
  <c r="L53" i="173"/>
  <c r="K52" i="173"/>
  <c r="L52" i="173"/>
  <c r="K51" i="173"/>
  <c r="L51" i="173"/>
  <c r="K50" i="173"/>
  <c r="L50" i="173"/>
  <c r="K49" i="173"/>
  <c r="L49" i="173"/>
  <c r="K48" i="173"/>
  <c r="L48" i="173"/>
  <c r="K47" i="173"/>
  <c r="L47" i="173"/>
  <c r="K46" i="173"/>
  <c r="L46" i="173"/>
  <c r="K45" i="173"/>
  <c r="L45" i="173"/>
  <c r="K44" i="173"/>
  <c r="L44" i="173"/>
  <c r="K43" i="173"/>
  <c r="L43" i="173"/>
  <c r="K42" i="173"/>
  <c r="L42" i="173"/>
  <c r="K41" i="173"/>
  <c r="L41" i="173"/>
  <c r="K40" i="173"/>
  <c r="L40" i="173"/>
  <c r="K39" i="173"/>
  <c r="L39" i="173"/>
  <c r="K38" i="173"/>
  <c r="L38" i="173"/>
  <c r="K37" i="173"/>
  <c r="L37" i="173"/>
  <c r="K36" i="173"/>
  <c r="L36" i="173"/>
  <c r="K35" i="173"/>
  <c r="L35" i="173"/>
  <c r="K34" i="173"/>
  <c r="L34" i="173"/>
  <c r="K33" i="173"/>
  <c r="L33" i="173"/>
  <c r="K32" i="173"/>
  <c r="L32" i="173"/>
  <c r="K31" i="173"/>
  <c r="L31" i="173"/>
  <c r="K30" i="173"/>
  <c r="L30" i="173"/>
  <c r="K29" i="173"/>
  <c r="L29" i="173"/>
  <c r="K28" i="173"/>
  <c r="L28" i="173"/>
  <c r="K27" i="173"/>
  <c r="L27" i="173"/>
  <c r="K26" i="173"/>
  <c r="L26" i="173"/>
  <c r="K25" i="173"/>
  <c r="L25" i="173"/>
  <c r="K24" i="173"/>
  <c r="L24" i="173"/>
  <c r="K23" i="173"/>
  <c r="L23" i="173"/>
  <c r="K22" i="173"/>
  <c r="L22" i="173"/>
  <c r="K21" i="173"/>
  <c r="L21" i="173"/>
  <c r="K20" i="173"/>
  <c r="L20" i="173"/>
  <c r="K19" i="173"/>
  <c r="L19" i="173"/>
  <c r="K18" i="173"/>
  <c r="L18" i="173"/>
  <c r="K17" i="173"/>
  <c r="L17" i="173"/>
  <c r="K16" i="173"/>
  <c r="L16" i="173"/>
  <c r="K15" i="173"/>
  <c r="L15" i="173"/>
  <c r="K14" i="173"/>
  <c r="L14" i="173"/>
  <c r="L13" i="173"/>
  <c r="K12" i="173"/>
  <c r="L12" i="173"/>
  <c r="K11" i="173"/>
  <c r="L11" i="173"/>
  <c r="K10" i="173"/>
  <c r="L10" i="173"/>
  <c r="K9" i="173"/>
  <c r="L9" i="173"/>
  <c r="K8" i="173"/>
  <c r="L8" i="173"/>
  <c r="K7" i="173"/>
  <c r="L7" i="173"/>
  <c r="AG14" i="3"/>
  <c r="Y14" i="3"/>
  <c r="AH14" i="3"/>
  <c r="AI14" i="3"/>
  <c r="AG16" i="3"/>
  <c r="Y16" i="3"/>
  <c r="AH16" i="3"/>
  <c r="AI16" i="3"/>
  <c r="AG17" i="3"/>
  <c r="Y17" i="3"/>
  <c r="AH17" i="3"/>
  <c r="AI17" i="3"/>
  <c r="AG42" i="3"/>
  <c r="Y42" i="3"/>
  <c r="AH42" i="3"/>
  <c r="AI42" i="3"/>
  <c r="AG44" i="3"/>
  <c r="Y44" i="3"/>
  <c r="AH44" i="3"/>
  <c r="AI44" i="3"/>
  <c r="AG50" i="3"/>
  <c r="Y50" i="3"/>
  <c r="AH50" i="3"/>
  <c r="AI50" i="3"/>
  <c r="AG54" i="3"/>
  <c r="Y54" i="3"/>
  <c r="AH54" i="3"/>
  <c r="AI54" i="3"/>
  <c r="AG55" i="3"/>
  <c r="Y55" i="3"/>
  <c r="AH55" i="3"/>
  <c r="AI55" i="3"/>
  <c r="AG56" i="3"/>
  <c r="Y56" i="3"/>
  <c r="AH56" i="3"/>
  <c r="AI56" i="3"/>
  <c r="AG57" i="3"/>
  <c r="Y57" i="3"/>
  <c r="AH57" i="3"/>
  <c r="AI57" i="3"/>
  <c r="N42" i="3"/>
  <c r="G42" i="3"/>
  <c r="P42" i="3"/>
  <c r="Q42" i="3"/>
  <c r="N44" i="3"/>
  <c r="G44" i="3"/>
  <c r="P44" i="3"/>
  <c r="Q44" i="3"/>
  <c r="N50" i="3"/>
  <c r="G50" i="3"/>
  <c r="P50" i="3"/>
  <c r="Q50" i="3"/>
  <c r="N54" i="3"/>
  <c r="G54" i="3"/>
  <c r="P54" i="3"/>
  <c r="Q54" i="3"/>
  <c r="N55" i="3"/>
  <c r="G55" i="3"/>
  <c r="P55" i="3"/>
  <c r="Q55" i="3"/>
  <c r="N56" i="3"/>
  <c r="G56" i="3"/>
  <c r="P56" i="3"/>
  <c r="Q56" i="3"/>
  <c r="N57" i="3"/>
  <c r="G57" i="3"/>
  <c r="P57" i="3"/>
  <c r="Q57" i="3"/>
  <c r="N14" i="3"/>
  <c r="G14" i="3"/>
  <c r="P14" i="3"/>
  <c r="Q14" i="3"/>
  <c r="N16" i="3"/>
  <c r="G16" i="3"/>
  <c r="P16" i="3"/>
  <c r="Q16" i="3"/>
  <c r="AA62" i="3"/>
  <c r="AB62" i="3"/>
  <c r="I18" i="172"/>
  <c r="AJ62" i="3"/>
  <c r="AF62" i="3"/>
  <c r="AE62" i="3"/>
  <c r="AD62" i="3"/>
  <c r="AC62" i="3"/>
  <c r="Z62" i="3"/>
  <c r="S62" i="3"/>
  <c r="M34" i="172"/>
  <c r="R62" i="3"/>
  <c r="L62" i="3"/>
  <c r="M62" i="3"/>
  <c r="I62" i="3"/>
  <c r="F62" i="3"/>
  <c r="D62" i="3"/>
  <c r="C62" i="3"/>
  <c r="I17" i="171"/>
  <c r="AJ52" i="3"/>
  <c r="AE52" i="3"/>
  <c r="AB52" i="3"/>
  <c r="AD52" i="3"/>
  <c r="AC52" i="3"/>
  <c r="AA52" i="3"/>
  <c r="Z52" i="3"/>
  <c r="S52" i="3"/>
  <c r="M42" i="171"/>
  <c r="R52" i="3"/>
  <c r="M52" i="3"/>
  <c r="H52" i="3"/>
  <c r="F52" i="3"/>
  <c r="D52" i="3"/>
  <c r="C52" i="3"/>
  <c r="N50" i="171"/>
  <c r="M50" i="171"/>
  <c r="J17" i="171"/>
  <c r="I17" i="170"/>
  <c r="AJ45" i="3"/>
  <c r="AE45" i="3"/>
  <c r="AB45" i="3"/>
  <c r="AF45" i="3"/>
  <c r="AD45" i="3"/>
  <c r="AC45" i="3"/>
  <c r="AA45" i="3"/>
  <c r="Z45" i="3"/>
  <c r="S45" i="3"/>
  <c r="M46" i="170"/>
  <c r="R45" i="3"/>
  <c r="L45" i="3"/>
  <c r="M45" i="3"/>
  <c r="I45" i="3"/>
  <c r="F45" i="3"/>
  <c r="D45" i="3"/>
  <c r="C45" i="3"/>
  <c r="N20" i="170"/>
  <c r="N22" i="170"/>
  <c r="R8" i="170"/>
  <c r="R9" i="170"/>
  <c r="R10" i="170"/>
  <c r="R11" i="170"/>
  <c r="R12" i="170"/>
  <c r="R13" i="170"/>
  <c r="R14" i="170"/>
  <c r="R15" i="170"/>
  <c r="R17" i="170"/>
  <c r="R16" i="170"/>
  <c r="R19" i="170"/>
  <c r="R20" i="170"/>
  <c r="R21" i="170"/>
  <c r="R22" i="170"/>
  <c r="R23" i="170"/>
  <c r="R25" i="170"/>
  <c r="R24" i="170"/>
  <c r="R27" i="170"/>
  <c r="R37" i="170"/>
  <c r="R38" i="170"/>
  <c r="R39" i="170"/>
  <c r="R40" i="170"/>
  <c r="R41" i="170"/>
  <c r="R42" i="170"/>
  <c r="R43" i="170"/>
  <c r="R44" i="170"/>
  <c r="AE15" i="3"/>
  <c r="I19" i="169"/>
  <c r="AJ15" i="3"/>
  <c r="AA15" i="3"/>
  <c r="AD15" i="3"/>
  <c r="AB15" i="3"/>
  <c r="AC15" i="3"/>
  <c r="AF15" i="3"/>
  <c r="S15" i="3"/>
  <c r="M48" i="169"/>
  <c r="R15" i="3"/>
  <c r="M15" i="3"/>
  <c r="I15" i="3"/>
  <c r="D15" i="3"/>
  <c r="C15" i="3"/>
  <c r="M9" i="169"/>
  <c r="I22" i="168"/>
  <c r="AJ12" i="3"/>
  <c r="AE12" i="3"/>
  <c r="AF12" i="3"/>
  <c r="AD12" i="3"/>
  <c r="AC12" i="3"/>
  <c r="AA12" i="3"/>
  <c r="Z12" i="3"/>
  <c r="AG12" i="3"/>
  <c r="T12" i="3"/>
  <c r="U12" i="3"/>
  <c r="V12" i="3"/>
  <c r="W12" i="3"/>
  <c r="X12" i="3"/>
  <c r="Y12" i="3"/>
  <c r="AH12" i="3"/>
  <c r="AI12" i="3"/>
  <c r="M36" i="168"/>
  <c r="R12" i="3"/>
  <c r="M12" i="3"/>
  <c r="H12" i="3"/>
  <c r="N12" i="3"/>
  <c r="C12" i="3"/>
  <c r="D12" i="3"/>
  <c r="F12" i="3"/>
  <c r="G12" i="3"/>
  <c r="P12" i="3"/>
  <c r="Q12" i="3"/>
  <c r="R46" i="170"/>
  <c r="N52" i="159"/>
  <c r="O52" i="159"/>
  <c r="P52" i="159"/>
  <c r="Q52" i="159"/>
  <c r="M52" i="159"/>
  <c r="AD11" i="3"/>
  <c r="I15" i="167"/>
  <c r="AJ11" i="3"/>
  <c r="AB11" i="3"/>
  <c r="AC11" i="3"/>
  <c r="AA11" i="3"/>
  <c r="Z11" i="3"/>
  <c r="S11" i="3"/>
  <c r="Y11" i="3"/>
  <c r="M30" i="167"/>
  <c r="R11" i="3"/>
  <c r="M11" i="3"/>
  <c r="J11" i="3"/>
  <c r="H11" i="3"/>
  <c r="N11" i="3"/>
  <c r="D11" i="3"/>
  <c r="C11" i="3"/>
  <c r="G11" i="3"/>
  <c r="M8" i="167"/>
  <c r="M9" i="167"/>
  <c r="M10" i="167"/>
  <c r="M11" i="167"/>
  <c r="M12" i="167"/>
  <c r="M13" i="167"/>
  <c r="M15" i="167"/>
  <c r="M32" i="167"/>
  <c r="M36" i="167"/>
  <c r="N30" i="167"/>
  <c r="N32" i="167"/>
  <c r="N36" i="167"/>
  <c r="L22" i="168"/>
  <c r="K22" i="168"/>
  <c r="J22" i="168"/>
  <c r="M20" i="168"/>
  <c r="M19" i="168"/>
  <c r="M18" i="168"/>
  <c r="M17" i="168"/>
  <c r="M16" i="168"/>
  <c r="M15" i="168"/>
  <c r="M14" i="168"/>
  <c r="M13" i="168"/>
  <c r="M12" i="168"/>
  <c r="M11" i="168"/>
  <c r="M10" i="168"/>
  <c r="M9" i="168"/>
  <c r="L15" i="167"/>
  <c r="K15" i="167"/>
  <c r="J15" i="167"/>
  <c r="L18" i="172"/>
  <c r="K18" i="172"/>
  <c r="J18" i="172"/>
  <c r="M16" i="172"/>
  <c r="M15" i="172"/>
  <c r="M14" i="172"/>
  <c r="M13" i="172"/>
  <c r="M12" i="172"/>
  <c r="M11" i="172"/>
  <c r="M10" i="172"/>
  <c r="M9" i="172"/>
  <c r="M8" i="172"/>
  <c r="P50" i="171"/>
  <c r="O50" i="171"/>
  <c r="P42" i="171"/>
  <c r="O42" i="171"/>
  <c r="N42" i="171"/>
  <c r="Q40" i="171"/>
  <c r="Q39" i="171"/>
  <c r="Q38" i="171"/>
  <c r="Q37" i="171"/>
  <c r="Q36" i="171"/>
  <c r="Q35" i="171"/>
  <c r="Q34" i="171"/>
  <c r="Q33" i="171"/>
  <c r="Q32" i="171"/>
  <c r="Q31" i="171"/>
  <c r="Q30" i="171"/>
  <c r="Q29" i="171"/>
  <c r="Q28" i="171"/>
  <c r="M24" i="171"/>
  <c r="L24" i="171"/>
  <c r="K24" i="171"/>
  <c r="J24" i="171"/>
  <c r="P24" i="171"/>
  <c r="Q21" i="171"/>
  <c r="N20" i="171"/>
  <c r="N24" i="171"/>
  <c r="N17" i="171"/>
  <c r="L17" i="171"/>
  <c r="K17" i="171"/>
  <c r="Q15" i="171"/>
  <c r="M15" i="171"/>
  <c r="Q14" i="171"/>
  <c r="M14" i="171"/>
  <c r="Q13" i="171"/>
  <c r="M13" i="171"/>
  <c r="Q12" i="171"/>
  <c r="M12" i="171"/>
  <c r="Q11" i="171"/>
  <c r="M11" i="171"/>
  <c r="Q10" i="171"/>
  <c r="M10" i="171"/>
  <c r="Q9" i="171"/>
  <c r="M9" i="171"/>
  <c r="Q46" i="170"/>
  <c r="P46" i="170"/>
  <c r="N46" i="170"/>
  <c r="O44" i="170"/>
  <c r="O43" i="170"/>
  <c r="O42" i="170"/>
  <c r="O41" i="170"/>
  <c r="O40" i="170"/>
  <c r="O39" i="170"/>
  <c r="O38" i="170"/>
  <c r="O37" i="170"/>
  <c r="O33" i="170"/>
  <c r="N33" i="170"/>
  <c r="M33" i="170"/>
  <c r="L33" i="170"/>
  <c r="K33" i="170"/>
  <c r="J33" i="170"/>
  <c r="I33" i="170"/>
  <c r="Q31" i="170"/>
  <c r="P30" i="170"/>
  <c r="M25" i="170"/>
  <c r="L25" i="170"/>
  <c r="K25" i="170"/>
  <c r="J25" i="170"/>
  <c r="N23" i="170"/>
  <c r="O23" i="170"/>
  <c r="O22" i="170"/>
  <c r="N21" i="170"/>
  <c r="O21" i="170"/>
  <c r="Q17" i="170"/>
  <c r="P17" i="170"/>
  <c r="P25" i="170"/>
  <c r="P27" i="170"/>
  <c r="L17" i="170"/>
  <c r="K17" i="170"/>
  <c r="J17" i="170"/>
  <c r="M15" i="170"/>
  <c r="O15" i="170"/>
  <c r="M14" i="170"/>
  <c r="O14" i="170"/>
  <c r="M13" i="170"/>
  <c r="O13" i="170"/>
  <c r="M12" i="170"/>
  <c r="O12" i="170"/>
  <c r="M11" i="170"/>
  <c r="O11" i="170"/>
  <c r="O10" i="170"/>
  <c r="M9" i="170"/>
  <c r="O9" i="170"/>
  <c r="M8" i="170"/>
  <c r="N48" i="169"/>
  <c r="M30" i="169"/>
  <c r="L30" i="169"/>
  <c r="K30" i="169"/>
  <c r="J30" i="169"/>
  <c r="I30" i="169"/>
  <c r="N28" i="169"/>
  <c r="N27" i="169"/>
  <c r="N26" i="169"/>
  <c r="N25" i="169"/>
  <c r="N24" i="169"/>
  <c r="N23" i="169"/>
  <c r="N22" i="169"/>
  <c r="L19" i="169"/>
  <c r="K19" i="169"/>
  <c r="J19" i="169"/>
  <c r="M17" i="169"/>
  <c r="M16" i="169"/>
  <c r="M15" i="169"/>
  <c r="M14" i="169"/>
  <c r="M13" i="169"/>
  <c r="M12" i="169"/>
  <c r="M11" i="169"/>
  <c r="M10" i="169"/>
  <c r="AG11" i="3"/>
  <c r="M18" i="172"/>
  <c r="M36" i="172"/>
  <c r="M40" i="172"/>
  <c r="Q17" i="171"/>
  <c r="Q50" i="171"/>
  <c r="O24" i="171"/>
  <c r="O44" i="171"/>
  <c r="O52" i="171"/>
  <c r="N44" i="171"/>
  <c r="N52" i="171"/>
  <c r="Q42" i="171"/>
  <c r="M17" i="171"/>
  <c r="M44" i="171"/>
  <c r="M52" i="171"/>
  <c r="Q33" i="170"/>
  <c r="Q48" i="170"/>
  <c r="Q52" i="170"/>
  <c r="R31" i="170"/>
  <c r="P33" i="170"/>
  <c r="P48" i="170"/>
  <c r="P52" i="170"/>
  <c r="R30" i="170"/>
  <c r="N25" i="170"/>
  <c r="N27" i="170"/>
  <c r="N48" i="170"/>
  <c r="N52" i="170"/>
  <c r="L27" i="170"/>
  <c r="K27" i="170"/>
  <c r="I27" i="170"/>
  <c r="J27" i="170"/>
  <c r="O46" i="170"/>
  <c r="M17" i="170"/>
  <c r="M48" i="170"/>
  <c r="M52" i="170"/>
  <c r="N30" i="169"/>
  <c r="N50" i="169"/>
  <c r="N58" i="169"/>
  <c r="M19" i="169"/>
  <c r="M50" i="169"/>
  <c r="M58" i="169"/>
  <c r="P11" i="3"/>
  <c r="Q11" i="3"/>
  <c r="AH11" i="3"/>
  <c r="AI11" i="3"/>
  <c r="M22" i="168"/>
  <c r="M38" i="168"/>
  <c r="M42" i="168"/>
  <c r="P44" i="171"/>
  <c r="P52" i="171"/>
  <c r="Q20" i="171"/>
  <c r="Q22" i="171"/>
  <c r="Q25" i="170"/>
  <c r="Q27" i="170"/>
  <c r="O8" i="170"/>
  <c r="O17" i="170"/>
  <c r="O20" i="170"/>
  <c r="O25" i="170"/>
  <c r="U10" i="3"/>
  <c r="T10" i="3"/>
  <c r="I10" i="3"/>
  <c r="F10" i="3"/>
  <c r="D10" i="3"/>
  <c r="C10" i="3"/>
  <c r="I22" i="147"/>
  <c r="AJ18" i="3"/>
  <c r="U18" i="3"/>
  <c r="AE18" i="3"/>
  <c r="AD18" i="3"/>
  <c r="AB18" i="3"/>
  <c r="AC18" i="3"/>
  <c r="AA18" i="3"/>
  <c r="Z18" i="3"/>
  <c r="X18" i="3"/>
  <c r="W18" i="3"/>
  <c r="V18" i="3"/>
  <c r="T18" i="3"/>
  <c r="R33" i="170"/>
  <c r="R48" i="170"/>
  <c r="R52" i="170"/>
  <c r="M27" i="170"/>
  <c r="Q24" i="171"/>
  <c r="Q44" i="171"/>
  <c r="Q52" i="171"/>
  <c r="O27" i="170"/>
  <c r="O48" i="170"/>
  <c r="O52" i="170"/>
  <c r="I37" i="162"/>
  <c r="AD28" i="3"/>
  <c r="AC28" i="3"/>
  <c r="AB28" i="3"/>
  <c r="AA28" i="3"/>
  <c r="Z28" i="3"/>
  <c r="X28" i="3"/>
  <c r="W28" i="3"/>
  <c r="U28" i="3"/>
  <c r="T28" i="3"/>
  <c r="F28" i="3"/>
  <c r="D28" i="3"/>
  <c r="C28" i="3"/>
  <c r="C43" i="3"/>
  <c r="C41" i="3"/>
  <c r="C29" i="3"/>
  <c r="C30" i="3"/>
  <c r="C31" i="3"/>
  <c r="C32" i="3"/>
  <c r="C33" i="3"/>
  <c r="C34" i="3"/>
  <c r="C35" i="3"/>
  <c r="C21" i="3"/>
  <c r="C22" i="3"/>
  <c r="C23" i="3"/>
  <c r="C24" i="3"/>
  <c r="C25" i="3"/>
  <c r="C26" i="3"/>
  <c r="C27" i="3"/>
  <c r="I16" i="166"/>
  <c r="AJ37" i="3"/>
  <c r="AE37" i="3"/>
  <c r="AB37" i="3"/>
  <c r="AD37" i="3"/>
  <c r="AC37" i="3"/>
  <c r="AA37" i="3"/>
  <c r="Z37" i="3"/>
  <c r="S37" i="3"/>
  <c r="M32" i="166"/>
  <c r="R37" i="3"/>
  <c r="L37" i="3"/>
  <c r="M37" i="3"/>
  <c r="H37" i="3"/>
  <c r="F37" i="3"/>
  <c r="D37" i="3"/>
  <c r="C37" i="3"/>
  <c r="I17" i="165"/>
  <c r="AJ36" i="3"/>
  <c r="AF36" i="3"/>
  <c r="AD36" i="3"/>
  <c r="AC36" i="3"/>
  <c r="AB36" i="3"/>
  <c r="AA36" i="3"/>
  <c r="Z36" i="3"/>
  <c r="S36" i="3"/>
  <c r="C36" i="3"/>
  <c r="M29" i="165"/>
  <c r="R36" i="3"/>
  <c r="M36" i="3"/>
  <c r="I36" i="3"/>
  <c r="H36" i="3"/>
  <c r="F36" i="3"/>
  <c r="I16" i="164"/>
  <c r="AJ35" i="3"/>
  <c r="AE35" i="3"/>
  <c r="AD35" i="3"/>
  <c r="AC35" i="3"/>
  <c r="AA35" i="3"/>
  <c r="Z35" i="3"/>
  <c r="S35" i="3"/>
  <c r="M35" i="164"/>
  <c r="R35" i="3"/>
  <c r="I35" i="3"/>
  <c r="M35" i="3"/>
  <c r="F35" i="3"/>
  <c r="D35" i="3"/>
  <c r="O30" i="164"/>
  <c r="O27" i="164"/>
  <c r="I21" i="164"/>
  <c r="N21" i="164"/>
  <c r="I21" i="163"/>
  <c r="AJ34" i="3"/>
  <c r="AF34" i="3"/>
  <c r="AE34" i="3"/>
  <c r="AD34" i="3"/>
  <c r="AC34" i="3"/>
  <c r="AB34" i="3"/>
  <c r="AA34" i="3"/>
  <c r="Z34" i="3"/>
  <c r="S34" i="3"/>
  <c r="I34" i="3"/>
  <c r="M60" i="163"/>
  <c r="R34" i="3"/>
  <c r="M34" i="3"/>
  <c r="L34" i="3"/>
  <c r="F34" i="3"/>
  <c r="D34" i="3"/>
  <c r="M33" i="163"/>
  <c r="M9" i="163"/>
  <c r="M10" i="163"/>
  <c r="M11" i="163"/>
  <c r="M12" i="163"/>
  <c r="M13" i="163"/>
  <c r="M14" i="163"/>
  <c r="M15" i="163"/>
  <c r="M16" i="163"/>
  <c r="M17" i="163"/>
  <c r="M18" i="163"/>
  <c r="M19" i="163"/>
  <c r="M21" i="163"/>
  <c r="M35" i="163"/>
  <c r="M42" i="163"/>
  <c r="M62" i="163"/>
  <c r="N60" i="163"/>
  <c r="N24" i="163"/>
  <c r="N25" i="163"/>
  <c r="N26" i="163"/>
  <c r="N27" i="163"/>
  <c r="N28" i="163"/>
  <c r="N29" i="163"/>
  <c r="N30" i="163"/>
  <c r="N31" i="163"/>
  <c r="N33" i="163"/>
  <c r="N35" i="163"/>
  <c r="N42" i="163"/>
  <c r="N62" i="163"/>
  <c r="O47" i="163"/>
  <c r="O48" i="163"/>
  <c r="O49" i="163"/>
  <c r="O50" i="163"/>
  <c r="O51" i="163"/>
  <c r="O52" i="163"/>
  <c r="O53" i="163"/>
  <c r="O54" i="163"/>
  <c r="O55" i="163"/>
  <c r="O56" i="163"/>
  <c r="O57" i="163"/>
  <c r="O58" i="163"/>
  <c r="O60" i="163"/>
  <c r="O24" i="163"/>
  <c r="O25" i="163"/>
  <c r="O26" i="163"/>
  <c r="O27" i="163"/>
  <c r="O28" i="163"/>
  <c r="O29" i="163"/>
  <c r="O30" i="163"/>
  <c r="O31" i="163"/>
  <c r="O33" i="163"/>
  <c r="O9" i="163"/>
  <c r="O10" i="163"/>
  <c r="O11" i="163"/>
  <c r="O12" i="163"/>
  <c r="O13" i="163"/>
  <c r="O14" i="163"/>
  <c r="O15" i="163"/>
  <c r="O16" i="163"/>
  <c r="O17" i="163"/>
  <c r="O18" i="163"/>
  <c r="O19" i="163"/>
  <c r="O21" i="163"/>
  <c r="O35" i="163"/>
  <c r="O42" i="163"/>
  <c r="O62" i="163"/>
  <c r="P60" i="163"/>
  <c r="P21" i="163"/>
  <c r="P33" i="163"/>
  <c r="P35" i="163"/>
  <c r="P38" i="163"/>
  <c r="P39" i="163"/>
  <c r="P40" i="163"/>
  <c r="P41" i="163"/>
  <c r="P42" i="163"/>
  <c r="P62" i="163"/>
  <c r="P66" i="163"/>
  <c r="J42" i="163"/>
  <c r="K42" i="163"/>
  <c r="L42" i="163"/>
  <c r="I42" i="163"/>
  <c r="I19" i="162"/>
  <c r="AJ32" i="3"/>
  <c r="AF32" i="3"/>
  <c r="AE32" i="3"/>
  <c r="AD32" i="3"/>
  <c r="AC32" i="3"/>
  <c r="AA32" i="3"/>
  <c r="Z32" i="3"/>
  <c r="S32" i="3"/>
  <c r="F32" i="3"/>
  <c r="D32" i="3"/>
  <c r="M32" i="3"/>
  <c r="M54" i="162"/>
  <c r="R32" i="3"/>
  <c r="L32" i="3"/>
  <c r="N32" i="3"/>
  <c r="O23" i="162"/>
  <c r="M11" i="162"/>
  <c r="I17" i="161"/>
  <c r="AJ33" i="3"/>
  <c r="AE33" i="3"/>
  <c r="AD33" i="3"/>
  <c r="AC33" i="3"/>
  <c r="AB33" i="3"/>
  <c r="AA33" i="3"/>
  <c r="Z33" i="3"/>
  <c r="S33" i="3"/>
  <c r="M31" i="161"/>
  <c r="R33" i="3"/>
  <c r="I33" i="3"/>
  <c r="M33" i="3"/>
  <c r="H33" i="3"/>
  <c r="F33" i="3"/>
  <c r="D33" i="3"/>
  <c r="I20" i="160"/>
  <c r="AJ31" i="3"/>
  <c r="AD31" i="3"/>
  <c r="AC31" i="3"/>
  <c r="AA31" i="3"/>
  <c r="Z31" i="3"/>
  <c r="X31" i="3"/>
  <c r="W31" i="3"/>
  <c r="V31" i="3"/>
  <c r="U31" i="3"/>
  <c r="T31" i="3"/>
  <c r="M33" i="160"/>
  <c r="R31" i="3"/>
  <c r="L31" i="3"/>
  <c r="M31" i="3"/>
  <c r="F31" i="3"/>
  <c r="D31" i="3"/>
  <c r="I17" i="159"/>
  <c r="AJ30" i="3"/>
  <c r="AE30" i="3"/>
  <c r="AD30" i="3"/>
  <c r="AC30" i="3"/>
  <c r="AB30" i="3"/>
  <c r="AA30" i="3"/>
  <c r="Z30" i="3"/>
  <c r="S30" i="3"/>
  <c r="L30" i="3"/>
  <c r="M44" i="159"/>
  <c r="R30" i="3"/>
  <c r="M30" i="3"/>
  <c r="I30" i="3"/>
  <c r="F30" i="3"/>
  <c r="D30" i="3"/>
  <c r="M9" i="159"/>
  <c r="M10" i="159"/>
  <c r="M11" i="159"/>
  <c r="M12" i="159"/>
  <c r="M13" i="159"/>
  <c r="M14" i="159"/>
  <c r="M15" i="159"/>
  <c r="M17" i="159"/>
  <c r="M24" i="159"/>
  <c r="M46" i="159"/>
  <c r="M54" i="159"/>
  <c r="N44" i="159"/>
  <c r="N20" i="159"/>
  <c r="N22" i="159"/>
  <c r="N24" i="159"/>
  <c r="N46" i="159"/>
  <c r="N54" i="159"/>
  <c r="O33" i="159"/>
  <c r="O34" i="159"/>
  <c r="O35" i="159"/>
  <c r="O36" i="159"/>
  <c r="O37" i="159"/>
  <c r="O38" i="159"/>
  <c r="O39" i="159"/>
  <c r="O40" i="159"/>
  <c r="O41" i="159"/>
  <c r="O44" i="159"/>
  <c r="O20" i="159"/>
  <c r="O22" i="159"/>
  <c r="O9" i="159"/>
  <c r="O10" i="159"/>
  <c r="O11" i="159"/>
  <c r="O12" i="159"/>
  <c r="O13" i="159"/>
  <c r="O14" i="159"/>
  <c r="O15" i="159"/>
  <c r="O17" i="159"/>
  <c r="O24" i="159"/>
  <c r="O46" i="159"/>
  <c r="O54" i="159"/>
  <c r="P22" i="159"/>
  <c r="P17" i="159"/>
  <c r="P24" i="159"/>
  <c r="P27" i="159"/>
  <c r="P30" i="159"/>
  <c r="P44" i="159"/>
  <c r="P46" i="159"/>
  <c r="P54" i="159"/>
  <c r="Q44" i="159"/>
  <c r="Q28" i="159"/>
  <c r="Q30" i="159"/>
  <c r="Q46" i="159"/>
  <c r="Q54" i="159"/>
  <c r="Q22" i="159"/>
  <c r="Q17" i="159"/>
  <c r="Q24" i="159"/>
  <c r="I19" i="158"/>
  <c r="AJ29" i="3"/>
  <c r="AF29" i="3"/>
  <c r="AE29" i="3"/>
  <c r="AD29" i="3"/>
  <c r="AC29" i="3"/>
  <c r="AB29" i="3"/>
  <c r="AA29" i="3"/>
  <c r="Z29" i="3"/>
  <c r="S29" i="3"/>
  <c r="M36" i="158"/>
  <c r="R29" i="3"/>
  <c r="M29" i="3"/>
  <c r="H29" i="3"/>
  <c r="F29" i="3"/>
  <c r="D29" i="3"/>
  <c r="P50" i="157"/>
  <c r="P51" i="157"/>
  <c r="P49" i="157"/>
  <c r="N44" i="157"/>
  <c r="P33" i="157"/>
  <c r="P37" i="157"/>
  <c r="P38" i="157"/>
  <c r="P39" i="157"/>
  <c r="P40" i="157"/>
  <c r="P41" i="157"/>
  <c r="P42" i="157"/>
  <c r="N29" i="157"/>
  <c r="M29" i="157"/>
  <c r="N24" i="157"/>
  <c r="O24" i="157"/>
  <c r="M10" i="157"/>
  <c r="M11" i="157"/>
  <c r="M12" i="157"/>
  <c r="M13" i="157"/>
  <c r="M14" i="157"/>
  <c r="M15" i="157"/>
  <c r="M16" i="157"/>
  <c r="M17" i="157"/>
  <c r="M18" i="157"/>
  <c r="M19" i="157"/>
  <c r="M20" i="157"/>
  <c r="M21" i="157"/>
  <c r="M22" i="157"/>
  <c r="M9" i="157"/>
  <c r="N31" i="157"/>
  <c r="N46" i="157"/>
  <c r="N52" i="157"/>
  <c r="R28" i="3"/>
  <c r="M24" i="157"/>
  <c r="M31" i="157"/>
  <c r="K24" i="157"/>
  <c r="I15" i="156"/>
  <c r="AJ27" i="3"/>
  <c r="AD27" i="3"/>
  <c r="AC27" i="3"/>
  <c r="AB27" i="3"/>
  <c r="AA27" i="3"/>
  <c r="Z27" i="3"/>
  <c r="S27" i="3"/>
  <c r="M30" i="156"/>
  <c r="R27" i="3"/>
  <c r="M27" i="3"/>
  <c r="L27" i="3"/>
  <c r="I27" i="3"/>
  <c r="F27" i="3"/>
  <c r="D27" i="3"/>
  <c r="AE26" i="3"/>
  <c r="AD26" i="3"/>
  <c r="AC26" i="3"/>
  <c r="AB26" i="3"/>
  <c r="AA26" i="3"/>
  <c r="Z26" i="3"/>
  <c r="S26" i="3"/>
  <c r="M26" i="3"/>
  <c r="I26" i="3"/>
  <c r="H26" i="3"/>
  <c r="D26" i="3"/>
  <c r="O34" i="155"/>
  <c r="I15" i="154"/>
  <c r="AJ25" i="3"/>
  <c r="AD25" i="3"/>
  <c r="AC25" i="3"/>
  <c r="AB25" i="3"/>
  <c r="AA25" i="3"/>
  <c r="Z25" i="3"/>
  <c r="S25" i="3"/>
  <c r="M31" i="154"/>
  <c r="R25" i="3"/>
  <c r="M25" i="3"/>
  <c r="H25" i="3"/>
  <c r="F25" i="3"/>
  <c r="D25" i="3"/>
  <c r="I23" i="153"/>
  <c r="AJ24" i="3"/>
  <c r="AE24" i="3"/>
  <c r="AD24" i="3"/>
  <c r="AC24" i="3"/>
  <c r="AB24" i="3"/>
  <c r="AA24" i="3"/>
  <c r="Z24" i="3"/>
  <c r="X24" i="3"/>
  <c r="W24" i="3"/>
  <c r="V24" i="3"/>
  <c r="U24" i="3"/>
  <c r="T24" i="3"/>
  <c r="M42" i="153"/>
  <c r="R24" i="3"/>
  <c r="M24" i="3"/>
  <c r="I24" i="3"/>
  <c r="H24" i="3"/>
  <c r="F24" i="3"/>
  <c r="D24" i="3"/>
  <c r="M10" i="153"/>
  <c r="M11" i="153"/>
  <c r="M12" i="153"/>
  <c r="M13" i="153"/>
  <c r="M14" i="153"/>
  <c r="M15" i="153"/>
  <c r="M16" i="153"/>
  <c r="M17" i="153"/>
  <c r="M18" i="153"/>
  <c r="M19" i="153"/>
  <c r="M20" i="153"/>
  <c r="M21" i="153"/>
  <c r="M23" i="153"/>
  <c r="M28" i="153"/>
  <c r="M44" i="153"/>
  <c r="N26" i="153"/>
  <c r="N28" i="153"/>
  <c r="N42" i="153"/>
  <c r="N44" i="153"/>
  <c r="O10" i="153"/>
  <c r="O11" i="153"/>
  <c r="O12" i="153"/>
  <c r="O13" i="153"/>
  <c r="O14" i="153"/>
  <c r="O15" i="153"/>
  <c r="O16" i="153"/>
  <c r="O17" i="153"/>
  <c r="O18" i="153"/>
  <c r="O19" i="153"/>
  <c r="O20" i="153"/>
  <c r="O21" i="153"/>
  <c r="O23" i="153"/>
  <c r="O26" i="153"/>
  <c r="O28" i="153"/>
  <c r="O32" i="153"/>
  <c r="O33" i="153"/>
  <c r="O34" i="153"/>
  <c r="O35" i="153"/>
  <c r="O36" i="153"/>
  <c r="O37" i="153"/>
  <c r="O38" i="153"/>
  <c r="O39" i="153"/>
  <c r="O40" i="153"/>
  <c r="O42" i="153"/>
  <c r="O44" i="153"/>
  <c r="AA23" i="3"/>
  <c r="I18" i="152"/>
  <c r="AJ23" i="3"/>
  <c r="AF23" i="3"/>
  <c r="AE23" i="3"/>
  <c r="AD23" i="3"/>
  <c r="AC23" i="3"/>
  <c r="Z23" i="3"/>
  <c r="S23" i="3"/>
  <c r="M54" i="152"/>
  <c r="R23" i="3"/>
  <c r="M23" i="3"/>
  <c r="L23" i="3"/>
  <c r="I23" i="3"/>
  <c r="F23" i="3"/>
  <c r="D23" i="3"/>
  <c r="P33" i="152"/>
  <c r="P32" i="152"/>
  <c r="O40" i="152"/>
  <c r="O41" i="152"/>
  <c r="O42" i="152"/>
  <c r="P34" i="152"/>
  <c r="I36" i="152"/>
  <c r="L18" i="152"/>
  <c r="L27" i="152"/>
  <c r="L29" i="152"/>
  <c r="K27" i="152"/>
  <c r="N24" i="152"/>
  <c r="N22" i="152"/>
  <c r="N21" i="152"/>
  <c r="M11" i="152"/>
  <c r="M12" i="152"/>
  <c r="M13" i="152"/>
  <c r="M14" i="152"/>
  <c r="M15" i="152"/>
  <c r="M16" i="152"/>
  <c r="M9" i="152"/>
  <c r="M10" i="152"/>
  <c r="N18" i="152"/>
  <c r="I25" i="151"/>
  <c r="AJ22" i="3"/>
  <c r="AF22" i="3"/>
  <c r="U22" i="3"/>
  <c r="AE22" i="3"/>
  <c r="AD22" i="3"/>
  <c r="AC22" i="3"/>
  <c r="AB22" i="3"/>
  <c r="AA22" i="3"/>
  <c r="Z22" i="3"/>
  <c r="X22" i="3"/>
  <c r="W22" i="3"/>
  <c r="V22" i="3"/>
  <c r="T22" i="3"/>
  <c r="M45" i="151"/>
  <c r="R22" i="3"/>
  <c r="M22" i="3"/>
  <c r="L22" i="3"/>
  <c r="H22" i="3"/>
  <c r="F22" i="3"/>
  <c r="D22" i="3"/>
  <c r="O43" i="151"/>
  <c r="AE21" i="3"/>
  <c r="AC21" i="3"/>
  <c r="AB21" i="3"/>
  <c r="AA21" i="3"/>
  <c r="Z21" i="3"/>
  <c r="X21" i="3"/>
  <c r="W21" i="3"/>
  <c r="V21" i="3"/>
  <c r="U21" i="3"/>
  <c r="T21" i="3"/>
  <c r="M21" i="3"/>
  <c r="H21" i="3"/>
  <c r="F21" i="3"/>
  <c r="D21" i="3"/>
  <c r="M37" i="150"/>
  <c r="R21" i="3"/>
  <c r="AF20" i="3"/>
  <c r="AE20" i="3"/>
  <c r="AD20" i="3"/>
  <c r="AC20" i="3"/>
  <c r="AB20" i="3"/>
  <c r="AA20" i="3"/>
  <c r="Z20" i="3"/>
  <c r="S20" i="3"/>
  <c r="M20" i="3"/>
  <c r="I20" i="3"/>
  <c r="F20" i="3"/>
  <c r="D20" i="3"/>
  <c r="C20" i="3"/>
  <c r="I16" i="148"/>
  <c r="AJ19" i="3"/>
  <c r="AE19" i="3"/>
  <c r="AD19" i="3"/>
  <c r="AC19" i="3"/>
  <c r="AB19" i="3"/>
  <c r="AA19" i="3"/>
  <c r="Z19" i="3"/>
  <c r="S19" i="3"/>
  <c r="M27" i="148"/>
  <c r="R19" i="3"/>
  <c r="M19" i="3"/>
  <c r="I19" i="3"/>
  <c r="F19" i="3"/>
  <c r="D19" i="3"/>
  <c r="C19" i="3"/>
  <c r="H18" i="3"/>
  <c r="J18" i="3"/>
  <c r="M18" i="3"/>
  <c r="F18" i="3"/>
  <c r="C18" i="3"/>
  <c r="L10" i="147"/>
  <c r="L11" i="147"/>
  <c r="L12" i="147"/>
  <c r="L13" i="147"/>
  <c r="L14" i="147"/>
  <c r="L15" i="147"/>
  <c r="L16" i="147"/>
  <c r="L17" i="147"/>
  <c r="L18" i="147"/>
  <c r="L19" i="147"/>
  <c r="L20" i="147"/>
  <c r="L22" i="147"/>
  <c r="L37" i="147"/>
  <c r="L39" i="147"/>
  <c r="L43" i="147"/>
  <c r="M7" i="146"/>
  <c r="M8" i="146"/>
  <c r="M9" i="146"/>
  <c r="M10" i="146"/>
  <c r="M11" i="146"/>
  <c r="M12" i="146"/>
  <c r="M13" i="146"/>
  <c r="M15" i="146"/>
  <c r="M31" i="146"/>
  <c r="M33" i="146"/>
  <c r="M37" i="146"/>
  <c r="R17" i="3"/>
  <c r="M17" i="3"/>
  <c r="F17" i="3"/>
  <c r="D17" i="3"/>
  <c r="C17" i="3"/>
  <c r="L16" i="166"/>
  <c r="K16" i="166"/>
  <c r="J16" i="166"/>
  <c r="M14" i="166"/>
  <c r="M13" i="166"/>
  <c r="M12" i="166"/>
  <c r="M11" i="166"/>
  <c r="M10" i="166"/>
  <c r="M9" i="166"/>
  <c r="M8" i="166"/>
  <c r="L17" i="165"/>
  <c r="K17" i="165"/>
  <c r="J17" i="165"/>
  <c r="M15" i="165"/>
  <c r="M14" i="165"/>
  <c r="M13" i="165"/>
  <c r="M12" i="165"/>
  <c r="M11" i="165"/>
  <c r="M10" i="165"/>
  <c r="M9" i="165"/>
  <c r="L33" i="163"/>
  <c r="K33" i="163"/>
  <c r="J33" i="163"/>
  <c r="L21" i="163"/>
  <c r="K21" i="163"/>
  <c r="J21" i="163"/>
  <c r="O39" i="164"/>
  <c r="P35" i="164"/>
  <c r="N35" i="164"/>
  <c r="O33" i="164"/>
  <c r="O32" i="164"/>
  <c r="O31" i="164"/>
  <c r="O29" i="164"/>
  <c r="O28" i="164"/>
  <c r="P23" i="164"/>
  <c r="P16" i="164"/>
  <c r="P21" i="164"/>
  <c r="O19" i="164"/>
  <c r="L16" i="164"/>
  <c r="L21" i="164"/>
  <c r="K16" i="164"/>
  <c r="K21" i="164"/>
  <c r="J16" i="164"/>
  <c r="J21" i="164"/>
  <c r="M14" i="164"/>
  <c r="O14" i="164"/>
  <c r="M13" i="164"/>
  <c r="O13" i="164"/>
  <c r="M12" i="164"/>
  <c r="O12" i="164"/>
  <c r="M11" i="164"/>
  <c r="O11" i="164"/>
  <c r="M10" i="164"/>
  <c r="O10" i="164"/>
  <c r="M9" i="164"/>
  <c r="P54" i="162"/>
  <c r="N54" i="162"/>
  <c r="O52" i="162"/>
  <c r="O51" i="162"/>
  <c r="O50" i="162"/>
  <c r="O49" i="162"/>
  <c r="O48" i="162"/>
  <c r="O47" i="162"/>
  <c r="O46" i="162"/>
  <c r="O45" i="162"/>
  <c r="O44" i="162"/>
  <c r="O43" i="162"/>
  <c r="O42" i="162"/>
  <c r="O37" i="162"/>
  <c r="N37" i="162"/>
  <c r="M37" i="162"/>
  <c r="L37" i="162"/>
  <c r="K37" i="162"/>
  <c r="J37" i="162"/>
  <c r="P35" i="162"/>
  <c r="P34" i="162"/>
  <c r="P33" i="162"/>
  <c r="P32" i="162"/>
  <c r="P31" i="162"/>
  <c r="P30" i="162"/>
  <c r="M25" i="162"/>
  <c r="L25" i="162"/>
  <c r="L19" i="162"/>
  <c r="L27" i="162"/>
  <c r="K25" i="162"/>
  <c r="K19" i="162"/>
  <c r="K27" i="162"/>
  <c r="J25" i="162"/>
  <c r="N22" i="162"/>
  <c r="P19" i="162"/>
  <c r="J19" i="162"/>
  <c r="M17" i="162"/>
  <c r="O17" i="162"/>
  <c r="M16" i="162"/>
  <c r="O16" i="162"/>
  <c r="M15" i="162"/>
  <c r="O15" i="162"/>
  <c r="M14" i="162"/>
  <c r="O14" i="162"/>
  <c r="M13" i="162"/>
  <c r="O13" i="162"/>
  <c r="M12" i="162"/>
  <c r="O11" i="162"/>
  <c r="M10" i="162"/>
  <c r="O10" i="162"/>
  <c r="M9" i="162"/>
  <c r="O9" i="162"/>
  <c r="L17" i="161"/>
  <c r="K17" i="161"/>
  <c r="J17" i="161"/>
  <c r="M15" i="161"/>
  <c r="M14" i="161"/>
  <c r="M13" i="161"/>
  <c r="M12" i="161"/>
  <c r="M11" i="161"/>
  <c r="M10" i="161"/>
  <c r="M9" i="161"/>
  <c r="L20" i="160"/>
  <c r="K20" i="160"/>
  <c r="J20" i="160"/>
  <c r="M18" i="160"/>
  <c r="M17" i="160"/>
  <c r="M16" i="160"/>
  <c r="M15" i="160"/>
  <c r="M14" i="160"/>
  <c r="M13" i="160"/>
  <c r="M12" i="160"/>
  <c r="M11" i="160"/>
  <c r="M10" i="160"/>
  <c r="O30" i="159"/>
  <c r="N30" i="159"/>
  <c r="M30" i="159"/>
  <c r="L30" i="159"/>
  <c r="K30" i="159"/>
  <c r="J30" i="159"/>
  <c r="I30" i="159"/>
  <c r="M22" i="159"/>
  <c r="L22" i="159"/>
  <c r="K22" i="159"/>
  <c r="J22" i="159"/>
  <c r="L17" i="159"/>
  <c r="L24" i="159"/>
  <c r="K17" i="159"/>
  <c r="K24" i="159"/>
  <c r="J17" i="159"/>
  <c r="N36" i="158"/>
  <c r="N19" i="158"/>
  <c r="L19" i="158"/>
  <c r="K19" i="158"/>
  <c r="J19" i="158"/>
  <c r="M17" i="158"/>
  <c r="M16" i="158"/>
  <c r="M15" i="158"/>
  <c r="M14" i="158"/>
  <c r="M13" i="158"/>
  <c r="M12" i="158"/>
  <c r="M11" i="158"/>
  <c r="M10" i="158"/>
  <c r="M9" i="158"/>
  <c r="O44" i="157"/>
  <c r="O46" i="157"/>
  <c r="O52" i="157"/>
  <c r="L29" i="157"/>
  <c r="K29" i="157"/>
  <c r="K31" i="157"/>
  <c r="J29" i="157"/>
  <c r="P27" i="157"/>
  <c r="P29" i="157"/>
  <c r="L24" i="157"/>
  <c r="J24" i="157"/>
  <c r="I24" i="157"/>
  <c r="AJ28" i="3"/>
  <c r="P22" i="157"/>
  <c r="P21" i="157"/>
  <c r="P20" i="157"/>
  <c r="P19" i="157"/>
  <c r="P18" i="157"/>
  <c r="P16" i="157"/>
  <c r="P15" i="157"/>
  <c r="P13" i="157"/>
  <c r="P12" i="157"/>
  <c r="P11" i="157"/>
  <c r="P10" i="157"/>
  <c r="P9" i="157"/>
  <c r="L15" i="156"/>
  <c r="K15" i="156"/>
  <c r="J15" i="156"/>
  <c r="M13" i="156"/>
  <c r="M12" i="156"/>
  <c r="M11" i="156"/>
  <c r="M10" i="156"/>
  <c r="M9" i="156"/>
  <c r="M8" i="156"/>
  <c r="O42" i="155"/>
  <c r="N38" i="155"/>
  <c r="M38" i="155"/>
  <c r="R26" i="3"/>
  <c r="O36" i="155"/>
  <c r="O35" i="155"/>
  <c r="O33" i="155"/>
  <c r="O32" i="155"/>
  <c r="O31" i="155"/>
  <c r="O29" i="155"/>
  <c r="O28" i="155"/>
  <c r="M22" i="155"/>
  <c r="L22" i="155"/>
  <c r="K22" i="155"/>
  <c r="J22" i="155"/>
  <c r="N20" i="155"/>
  <c r="O20" i="155"/>
  <c r="N19" i="155"/>
  <c r="L16" i="155"/>
  <c r="K16" i="155"/>
  <c r="J16" i="155"/>
  <c r="I16" i="155"/>
  <c r="AJ26" i="3"/>
  <c r="M14" i="155"/>
  <c r="O14" i="155"/>
  <c r="M13" i="155"/>
  <c r="O13" i="155"/>
  <c r="M12" i="155"/>
  <c r="O12" i="155"/>
  <c r="M11" i="155"/>
  <c r="O11" i="155"/>
  <c r="M10" i="155"/>
  <c r="O10" i="155"/>
  <c r="M9" i="155"/>
  <c r="O9" i="155"/>
  <c r="M8" i="155"/>
  <c r="L15" i="154"/>
  <c r="K15" i="154"/>
  <c r="J15" i="154"/>
  <c r="M13" i="154"/>
  <c r="M12" i="154"/>
  <c r="M11" i="154"/>
  <c r="M10" i="154"/>
  <c r="M9" i="154"/>
  <c r="M8" i="154"/>
  <c r="O46" i="153"/>
  <c r="N48" i="153"/>
  <c r="M48" i="153"/>
  <c r="L28" i="153"/>
  <c r="K28" i="153"/>
  <c r="J28" i="153"/>
  <c r="L23" i="153"/>
  <c r="K23" i="153"/>
  <c r="J23" i="153"/>
  <c r="P54" i="152"/>
  <c r="N54" i="152"/>
  <c r="O52" i="152"/>
  <c r="O51" i="152"/>
  <c r="O50" i="152"/>
  <c r="O49" i="152"/>
  <c r="O48" i="152"/>
  <c r="O47" i="152"/>
  <c r="O46" i="152"/>
  <c r="O45" i="152"/>
  <c r="O44" i="152"/>
  <c r="O43" i="152"/>
  <c r="O36" i="152"/>
  <c r="N36" i="152"/>
  <c r="M36" i="152"/>
  <c r="K36" i="152"/>
  <c r="J36" i="152"/>
  <c r="P36" i="152"/>
  <c r="M27" i="152"/>
  <c r="J27" i="152"/>
  <c r="N25" i="152"/>
  <c r="O25" i="152"/>
  <c r="O24" i="152"/>
  <c r="N23" i="152"/>
  <c r="O23" i="152"/>
  <c r="O21" i="152"/>
  <c r="P18" i="152"/>
  <c r="P27" i="152"/>
  <c r="P29" i="152"/>
  <c r="K18" i="152"/>
  <c r="J18" i="152"/>
  <c r="O16" i="152"/>
  <c r="O15" i="152"/>
  <c r="O14" i="152"/>
  <c r="O13" i="152"/>
  <c r="O12" i="152"/>
  <c r="O11" i="152"/>
  <c r="O10" i="152"/>
  <c r="N45" i="151"/>
  <c r="O42" i="151"/>
  <c r="O41" i="151"/>
  <c r="O40" i="151"/>
  <c r="O39" i="151"/>
  <c r="O38" i="151"/>
  <c r="O37" i="151"/>
  <c r="O36" i="151"/>
  <c r="O35" i="151"/>
  <c r="O34" i="151"/>
  <c r="N28" i="151"/>
  <c r="O28" i="151"/>
  <c r="L25" i="151"/>
  <c r="L30" i="151"/>
  <c r="K25" i="151"/>
  <c r="K30" i="151"/>
  <c r="J25" i="151"/>
  <c r="J30" i="151"/>
  <c r="I30" i="151"/>
  <c r="M23" i="151"/>
  <c r="O23" i="151"/>
  <c r="M22" i="151"/>
  <c r="O22" i="151"/>
  <c r="M21" i="151"/>
  <c r="O21" i="151"/>
  <c r="M20" i="151"/>
  <c r="O20" i="151"/>
  <c r="M19" i="151"/>
  <c r="O19" i="151"/>
  <c r="M18" i="151"/>
  <c r="O18" i="151"/>
  <c r="M17" i="151"/>
  <c r="O17" i="151"/>
  <c r="M16" i="151"/>
  <c r="O16" i="151"/>
  <c r="M15" i="151"/>
  <c r="O15" i="151"/>
  <c r="M14" i="151"/>
  <c r="O14" i="151"/>
  <c r="M13" i="151"/>
  <c r="O13" i="151"/>
  <c r="M12" i="151"/>
  <c r="O12" i="151"/>
  <c r="M11" i="151"/>
  <c r="O11" i="151"/>
  <c r="M10" i="151"/>
  <c r="L20" i="150"/>
  <c r="K20" i="150"/>
  <c r="J20" i="150"/>
  <c r="I20" i="150"/>
  <c r="AJ21" i="3"/>
  <c r="M18" i="150"/>
  <c r="M17" i="150"/>
  <c r="M16" i="150"/>
  <c r="M15" i="150"/>
  <c r="M14" i="150"/>
  <c r="M13" i="150"/>
  <c r="M12" i="150"/>
  <c r="M11" i="150"/>
  <c r="M10" i="150"/>
  <c r="M9" i="150"/>
  <c r="M32" i="149"/>
  <c r="R20" i="3"/>
  <c r="L16" i="149"/>
  <c r="K16" i="149"/>
  <c r="J16" i="149"/>
  <c r="I16" i="149"/>
  <c r="AJ20" i="3"/>
  <c r="M14" i="149"/>
  <c r="M13" i="149"/>
  <c r="M12" i="149"/>
  <c r="M11" i="149"/>
  <c r="M10" i="149"/>
  <c r="M9" i="149"/>
  <c r="M8" i="149"/>
  <c r="M7" i="149"/>
  <c r="L16" i="148"/>
  <c r="K16" i="148"/>
  <c r="J16" i="148"/>
  <c r="M14" i="148"/>
  <c r="M13" i="148"/>
  <c r="M12" i="148"/>
  <c r="M11" i="148"/>
  <c r="M10" i="148"/>
  <c r="M9" i="148"/>
  <c r="M8" i="148"/>
  <c r="K22" i="147"/>
  <c r="J22" i="147"/>
  <c r="L15" i="146"/>
  <c r="K15" i="146"/>
  <c r="J15" i="146"/>
  <c r="I15" i="146"/>
  <c r="O38" i="155"/>
  <c r="M16" i="166"/>
  <c r="M34" i="166"/>
  <c r="M38" i="166"/>
  <c r="M17" i="165"/>
  <c r="M31" i="165"/>
  <c r="M35" i="165"/>
  <c r="O35" i="164"/>
  <c r="P37" i="164"/>
  <c r="P41" i="164"/>
  <c r="N37" i="164"/>
  <c r="N41" i="164"/>
  <c r="M16" i="164"/>
  <c r="M21" i="164"/>
  <c r="O9" i="164"/>
  <c r="O16" i="164"/>
  <c r="O21" i="164"/>
  <c r="L35" i="163"/>
  <c r="K35" i="163"/>
  <c r="J35" i="163"/>
  <c r="I35" i="163"/>
  <c r="M66" i="163"/>
  <c r="N25" i="162"/>
  <c r="N27" i="162"/>
  <c r="N56" i="162"/>
  <c r="N60" i="162"/>
  <c r="J27" i="162"/>
  <c r="O54" i="162"/>
  <c r="M19" i="162"/>
  <c r="M27" i="162"/>
  <c r="M56" i="162"/>
  <c r="M60" i="162"/>
  <c r="P37" i="162"/>
  <c r="P56" i="162"/>
  <c r="P60" i="162"/>
  <c r="I27" i="162"/>
  <c r="M17" i="161"/>
  <c r="M33" i="161"/>
  <c r="M37" i="161"/>
  <c r="M20" i="160"/>
  <c r="M35" i="160"/>
  <c r="M39" i="160"/>
  <c r="J24" i="159"/>
  <c r="I24" i="159"/>
  <c r="M19" i="158"/>
  <c r="M38" i="158"/>
  <c r="M42" i="158"/>
  <c r="P24" i="157"/>
  <c r="P31" i="157"/>
  <c r="O29" i="157"/>
  <c r="O31" i="157"/>
  <c r="L31" i="157"/>
  <c r="P44" i="157"/>
  <c r="P46" i="157"/>
  <c r="P52" i="157"/>
  <c r="J31" i="157"/>
  <c r="I31" i="157"/>
  <c r="M15" i="156"/>
  <c r="M32" i="156"/>
  <c r="M36" i="156"/>
  <c r="J24" i="155"/>
  <c r="I24" i="155"/>
  <c r="K24" i="155"/>
  <c r="L24" i="155"/>
  <c r="N22" i="155"/>
  <c r="N24" i="155"/>
  <c r="N40" i="155"/>
  <c r="N44" i="155"/>
  <c r="M16" i="155"/>
  <c r="M24" i="155"/>
  <c r="M40" i="155"/>
  <c r="M44" i="155"/>
  <c r="M15" i="154"/>
  <c r="M33" i="154"/>
  <c r="M37" i="154"/>
  <c r="P56" i="152"/>
  <c r="P60" i="152"/>
  <c r="M18" i="152"/>
  <c r="M29" i="152"/>
  <c r="M56" i="152"/>
  <c r="M60" i="152"/>
  <c r="N27" i="152"/>
  <c r="N29" i="152"/>
  <c r="N56" i="152"/>
  <c r="N60" i="152"/>
  <c r="K29" i="152"/>
  <c r="O54" i="152"/>
  <c r="I29" i="152"/>
  <c r="J29" i="152"/>
  <c r="N30" i="151"/>
  <c r="N47" i="151"/>
  <c r="N51" i="151"/>
  <c r="M25" i="151"/>
  <c r="M30" i="151"/>
  <c r="M47" i="151"/>
  <c r="M51" i="151"/>
  <c r="O45" i="151"/>
  <c r="M20" i="150"/>
  <c r="M16" i="149"/>
  <c r="M34" i="149"/>
  <c r="M38" i="149"/>
  <c r="M16" i="148"/>
  <c r="M29" i="148"/>
  <c r="M33" i="148"/>
  <c r="R18" i="3"/>
  <c r="P25" i="162"/>
  <c r="P27" i="162"/>
  <c r="O12" i="162"/>
  <c r="O19" i="162"/>
  <c r="O22" i="162"/>
  <c r="O25" i="162"/>
  <c r="N38" i="158"/>
  <c r="N42" i="158"/>
  <c r="O8" i="155"/>
  <c r="O16" i="155"/>
  <c r="O19" i="155"/>
  <c r="O22" i="155"/>
  <c r="O24" i="155"/>
  <c r="O22" i="152"/>
  <c r="O27" i="152"/>
  <c r="O9" i="152"/>
  <c r="O18" i="152"/>
  <c r="O10" i="151"/>
  <c r="O25" i="151"/>
  <c r="O30" i="151"/>
  <c r="O37" i="164"/>
  <c r="O41" i="164"/>
  <c r="M37" i="164"/>
  <c r="M41" i="164"/>
  <c r="N66" i="163"/>
  <c r="O40" i="155"/>
  <c r="O44" i="155"/>
  <c r="O48" i="153"/>
  <c r="O29" i="152"/>
  <c r="O56" i="152"/>
  <c r="O60" i="152"/>
  <c r="O47" i="151"/>
  <c r="O51" i="151"/>
  <c r="M39" i="150"/>
  <c r="M43" i="150"/>
  <c r="O66" i="163"/>
  <c r="O27" i="162"/>
  <c r="O56" i="162"/>
  <c r="O60" i="162"/>
  <c r="M40" i="3"/>
  <c r="I40" i="3"/>
  <c r="I48" i="3"/>
  <c r="AJ68" i="3"/>
  <c r="AD68" i="3"/>
  <c r="AC68" i="3"/>
  <c r="AB68" i="3"/>
  <c r="AA68" i="3"/>
  <c r="Z68" i="3"/>
  <c r="S68" i="3"/>
  <c r="R68" i="3"/>
  <c r="M68" i="3"/>
  <c r="I68" i="3"/>
  <c r="D68" i="3"/>
  <c r="C68" i="3"/>
  <c r="AJ67" i="3"/>
  <c r="AF67" i="3"/>
  <c r="AE67" i="3"/>
  <c r="AD67" i="3"/>
  <c r="AC67" i="3"/>
  <c r="AB67" i="3"/>
  <c r="AA67" i="3"/>
  <c r="Z67" i="3"/>
  <c r="S67" i="3"/>
  <c r="Y67" i="3"/>
  <c r="R67" i="3"/>
  <c r="F67" i="3"/>
  <c r="M67" i="3"/>
  <c r="D67" i="3"/>
  <c r="C67" i="3"/>
  <c r="I35" i="144"/>
  <c r="J35" i="144"/>
  <c r="K35" i="144"/>
  <c r="L35" i="144"/>
  <c r="M35" i="144"/>
  <c r="N35" i="144"/>
  <c r="O35" i="144"/>
  <c r="P31" i="144"/>
  <c r="P32" i="144"/>
  <c r="P33" i="144"/>
  <c r="P28" i="144"/>
  <c r="P29" i="144"/>
  <c r="P30" i="144"/>
  <c r="P35" i="144"/>
  <c r="P51" i="144"/>
  <c r="P53" i="144"/>
  <c r="N51" i="144"/>
  <c r="N23" i="144"/>
  <c r="N25" i="144"/>
  <c r="N53" i="144"/>
  <c r="O41" i="144"/>
  <c r="O49" i="144"/>
  <c r="O51" i="144"/>
  <c r="O20" i="144"/>
  <c r="O21" i="144"/>
  <c r="O23" i="144"/>
  <c r="M9" i="144"/>
  <c r="O9" i="144"/>
  <c r="M10" i="144"/>
  <c r="O10" i="144"/>
  <c r="M11" i="144"/>
  <c r="O11" i="144"/>
  <c r="M12" i="144"/>
  <c r="O12" i="144"/>
  <c r="M13" i="144"/>
  <c r="O13" i="144"/>
  <c r="M14" i="144"/>
  <c r="O14" i="144"/>
  <c r="M15" i="144"/>
  <c r="O15" i="144"/>
  <c r="O17" i="144"/>
  <c r="O25" i="144"/>
  <c r="O53" i="144"/>
  <c r="M51" i="144"/>
  <c r="M23" i="144"/>
  <c r="M17" i="144"/>
  <c r="M25" i="144"/>
  <c r="M53" i="144"/>
  <c r="P57" i="144"/>
  <c r="O57" i="144"/>
  <c r="N57" i="144"/>
  <c r="M57" i="144"/>
  <c r="P17" i="144"/>
  <c r="P25" i="144"/>
  <c r="L23" i="144"/>
  <c r="L17" i="144"/>
  <c r="L25" i="144"/>
  <c r="K23" i="144"/>
  <c r="K17" i="144"/>
  <c r="K25" i="144"/>
  <c r="J23" i="144"/>
  <c r="J17" i="144"/>
  <c r="J25" i="144"/>
  <c r="I17" i="144"/>
  <c r="I25" i="144"/>
  <c r="N22" i="120"/>
  <c r="N27" i="120"/>
  <c r="N29" i="120"/>
  <c r="N44" i="120"/>
  <c r="N46" i="120"/>
  <c r="N51" i="120"/>
  <c r="M9" i="120"/>
  <c r="O9" i="120"/>
  <c r="M10" i="120"/>
  <c r="O10" i="120"/>
  <c r="M11" i="120"/>
  <c r="O11" i="120"/>
  <c r="M12" i="120"/>
  <c r="O12" i="120"/>
  <c r="M13" i="120"/>
  <c r="O13" i="120"/>
  <c r="M14" i="120"/>
  <c r="O14" i="120"/>
  <c r="M15" i="120"/>
  <c r="O15" i="120"/>
  <c r="M16" i="120"/>
  <c r="O16" i="120"/>
  <c r="M17" i="120"/>
  <c r="O17" i="120"/>
  <c r="M18" i="120"/>
  <c r="O18" i="120"/>
  <c r="M19" i="120"/>
  <c r="O19" i="120"/>
  <c r="M20" i="120"/>
  <c r="O20" i="120"/>
  <c r="O22" i="120"/>
  <c r="O25" i="120"/>
  <c r="O27" i="120"/>
  <c r="O29" i="120"/>
  <c r="O34" i="120"/>
  <c r="O35" i="120"/>
  <c r="O36" i="120"/>
  <c r="O37" i="120"/>
  <c r="O38" i="120"/>
  <c r="O39" i="120"/>
  <c r="O40" i="120"/>
  <c r="O41" i="120"/>
  <c r="O42" i="120"/>
  <c r="O43" i="120"/>
  <c r="O44" i="120"/>
  <c r="O46" i="120"/>
  <c r="O51" i="120"/>
  <c r="M22" i="120"/>
  <c r="M27" i="120"/>
  <c r="M29" i="120"/>
  <c r="M44" i="120"/>
  <c r="M46" i="120"/>
  <c r="M51" i="120"/>
  <c r="J22" i="120"/>
  <c r="J27" i="120"/>
  <c r="J29" i="120"/>
  <c r="K22" i="120"/>
  <c r="K27" i="120"/>
  <c r="K29" i="120"/>
  <c r="L22" i="120"/>
  <c r="L27" i="120"/>
  <c r="L29" i="120"/>
  <c r="I22" i="120"/>
  <c r="I29" i="120"/>
  <c r="O26" i="120"/>
  <c r="AJ66" i="3"/>
  <c r="AE66" i="3"/>
  <c r="AD66" i="3"/>
  <c r="AC66" i="3"/>
  <c r="AB66" i="3"/>
  <c r="AA66" i="3"/>
  <c r="Z66" i="3"/>
  <c r="X66" i="3"/>
  <c r="W66" i="3"/>
  <c r="V66" i="3"/>
  <c r="U66" i="3"/>
  <c r="T66" i="3"/>
  <c r="Y66" i="3"/>
  <c r="R66" i="3"/>
  <c r="M66" i="3"/>
  <c r="I66" i="3"/>
  <c r="H66" i="3"/>
  <c r="F66" i="3"/>
  <c r="D66" i="3"/>
  <c r="C66" i="3"/>
  <c r="I20" i="136"/>
  <c r="AJ61" i="3"/>
  <c r="I17" i="139"/>
  <c r="AJ65" i="3"/>
  <c r="AF65" i="3"/>
  <c r="AE65" i="3"/>
  <c r="AD65" i="3"/>
  <c r="AC65" i="3"/>
  <c r="AA65" i="3"/>
  <c r="Z65" i="3"/>
  <c r="S65" i="3"/>
  <c r="M39" i="139"/>
  <c r="R65" i="3"/>
  <c r="M65" i="3"/>
  <c r="H65" i="3"/>
  <c r="F65" i="3"/>
  <c r="D65" i="3"/>
  <c r="C65" i="3"/>
  <c r="O12" i="139"/>
  <c r="O13" i="139"/>
  <c r="O14" i="139"/>
  <c r="O15" i="139"/>
  <c r="O11" i="139"/>
  <c r="I21" i="138"/>
  <c r="AJ64" i="3"/>
  <c r="AE64" i="3"/>
  <c r="AD64" i="3"/>
  <c r="AC64" i="3"/>
  <c r="AB64" i="3"/>
  <c r="AA64" i="3"/>
  <c r="Z64" i="3"/>
  <c r="X64" i="3"/>
  <c r="W64" i="3"/>
  <c r="V64" i="3"/>
  <c r="U64" i="3"/>
  <c r="T64" i="3"/>
  <c r="M34" i="138"/>
  <c r="R64" i="3"/>
  <c r="M64" i="3"/>
  <c r="J64" i="3"/>
  <c r="K64" i="3"/>
  <c r="D64" i="3"/>
  <c r="C64" i="3"/>
  <c r="M10" i="138"/>
  <c r="M11" i="138"/>
  <c r="M12" i="138"/>
  <c r="M13" i="138"/>
  <c r="M14" i="138"/>
  <c r="M15" i="138"/>
  <c r="M16" i="138"/>
  <c r="M17" i="138"/>
  <c r="M18" i="138"/>
  <c r="M19" i="138"/>
  <c r="I19" i="137"/>
  <c r="AJ63" i="3"/>
  <c r="AF63" i="3"/>
  <c r="AE63" i="3"/>
  <c r="AD63" i="3"/>
  <c r="AC63" i="3"/>
  <c r="AB63" i="3"/>
  <c r="AA63" i="3"/>
  <c r="Z63" i="3"/>
  <c r="S63" i="3"/>
  <c r="Y63" i="3"/>
  <c r="M46" i="137"/>
  <c r="R63" i="3"/>
  <c r="M63" i="3"/>
  <c r="L63" i="3"/>
  <c r="I63" i="3"/>
  <c r="H63" i="3"/>
  <c r="F63" i="3"/>
  <c r="D63" i="3"/>
  <c r="C63" i="3"/>
  <c r="N22" i="137"/>
  <c r="M10" i="137"/>
  <c r="N39" i="139"/>
  <c r="O37" i="139"/>
  <c r="O36" i="139"/>
  <c r="O35" i="139"/>
  <c r="O34" i="139"/>
  <c r="O33" i="139"/>
  <c r="O32" i="139"/>
  <c r="O31" i="139"/>
  <c r="O30" i="139"/>
  <c r="O29" i="139"/>
  <c r="O28" i="139"/>
  <c r="O27" i="139"/>
  <c r="L22" i="139"/>
  <c r="K22" i="139"/>
  <c r="J22" i="139"/>
  <c r="I22" i="139"/>
  <c r="N20" i="139"/>
  <c r="N22" i="139"/>
  <c r="N24" i="139"/>
  <c r="L17" i="139"/>
  <c r="L24" i="139"/>
  <c r="K17" i="139"/>
  <c r="K24" i="139"/>
  <c r="J17" i="139"/>
  <c r="M15" i="139"/>
  <c r="M14" i="139"/>
  <c r="M13" i="139"/>
  <c r="M12" i="139"/>
  <c r="M11" i="139"/>
  <c r="M10" i="139"/>
  <c r="O10" i="139"/>
  <c r="M9" i="139"/>
  <c r="O9" i="139"/>
  <c r="M8" i="139"/>
  <c r="N34" i="138"/>
  <c r="N21" i="138"/>
  <c r="L21" i="138"/>
  <c r="K21" i="138"/>
  <c r="J21" i="138"/>
  <c r="M9" i="138"/>
  <c r="J24" i="139"/>
  <c r="I24" i="139"/>
  <c r="O39" i="139"/>
  <c r="N41" i="139"/>
  <c r="N45" i="139"/>
  <c r="M17" i="139"/>
  <c r="M24" i="139"/>
  <c r="M41" i="139"/>
  <c r="M45" i="139"/>
  <c r="N36" i="138"/>
  <c r="N40" i="138"/>
  <c r="M21" i="138"/>
  <c r="M36" i="138"/>
  <c r="M40" i="138"/>
  <c r="O20" i="139"/>
  <c r="O22" i="139"/>
  <c r="O8" i="139"/>
  <c r="O17" i="139"/>
  <c r="M61" i="3"/>
  <c r="I61" i="3"/>
  <c r="O24" i="139"/>
  <c r="O41" i="139"/>
  <c r="O45" i="139"/>
  <c r="AF61" i="3"/>
  <c r="AE61" i="3"/>
  <c r="AD61" i="3"/>
  <c r="AC61" i="3"/>
  <c r="AB61" i="3"/>
  <c r="AA61" i="3"/>
  <c r="Z61" i="3"/>
  <c r="S61" i="3"/>
  <c r="Y61" i="3"/>
  <c r="L61" i="3"/>
  <c r="D61" i="3"/>
  <c r="C61" i="3"/>
  <c r="N54" i="136"/>
  <c r="M18" i="136"/>
  <c r="I22" i="135"/>
  <c r="AJ60" i="3"/>
  <c r="AE60" i="3"/>
  <c r="AD60" i="3"/>
  <c r="AC60" i="3"/>
  <c r="AB60" i="3"/>
  <c r="AA60" i="3"/>
  <c r="Z60" i="3"/>
  <c r="X60" i="3"/>
  <c r="W60" i="3"/>
  <c r="V60" i="3"/>
  <c r="U60" i="3"/>
  <c r="T60" i="3"/>
  <c r="M60" i="3"/>
  <c r="H60" i="3"/>
  <c r="F60" i="3"/>
  <c r="D60" i="3"/>
  <c r="C60" i="3"/>
  <c r="M38" i="135"/>
  <c r="R60" i="3"/>
  <c r="AE59" i="3"/>
  <c r="AD59" i="3"/>
  <c r="AC59" i="3"/>
  <c r="AA59" i="3"/>
  <c r="Z59" i="3"/>
  <c r="S59" i="3"/>
  <c r="Y59" i="3"/>
  <c r="M59" i="3"/>
  <c r="L59" i="3"/>
  <c r="H59" i="3"/>
  <c r="F59" i="3"/>
  <c r="D59" i="3"/>
  <c r="C59" i="3"/>
  <c r="N18" i="134"/>
  <c r="N20" i="134"/>
  <c r="O46" i="137"/>
  <c r="N46" i="137"/>
  <c r="O23" i="137"/>
  <c r="O25" i="137"/>
  <c r="M25" i="137"/>
  <c r="L25" i="137"/>
  <c r="K25" i="137"/>
  <c r="J25" i="137"/>
  <c r="N25" i="137"/>
  <c r="O19" i="137"/>
  <c r="N19" i="137"/>
  <c r="L19" i="137"/>
  <c r="K19" i="137"/>
  <c r="J19" i="137"/>
  <c r="M17" i="137"/>
  <c r="M16" i="137"/>
  <c r="M15" i="137"/>
  <c r="M14" i="137"/>
  <c r="M13" i="137"/>
  <c r="M12" i="137"/>
  <c r="M11" i="137"/>
  <c r="N60" i="136"/>
  <c r="M60" i="136"/>
  <c r="O58" i="136"/>
  <c r="O60" i="136"/>
  <c r="P54" i="136"/>
  <c r="M54" i="136"/>
  <c r="R61" i="3"/>
  <c r="O52" i="136"/>
  <c r="O47" i="136"/>
  <c r="O41" i="136"/>
  <c r="N41" i="136"/>
  <c r="M41" i="136"/>
  <c r="L41" i="136"/>
  <c r="K41" i="136"/>
  <c r="J41" i="136"/>
  <c r="I41" i="136"/>
  <c r="P39" i="136"/>
  <c r="P38" i="136"/>
  <c r="P37" i="136"/>
  <c r="P36" i="136"/>
  <c r="P35" i="136"/>
  <c r="P34" i="136"/>
  <c r="P33" i="136"/>
  <c r="P28" i="136"/>
  <c r="P20" i="136"/>
  <c r="P30" i="136"/>
  <c r="M28" i="136"/>
  <c r="L28" i="136"/>
  <c r="K28" i="136"/>
  <c r="J28" i="136"/>
  <c r="N26" i="136"/>
  <c r="O26" i="136"/>
  <c r="N25" i="136"/>
  <c r="O25" i="136"/>
  <c r="N24" i="136"/>
  <c r="O24" i="136"/>
  <c r="N23" i="136"/>
  <c r="L20" i="136"/>
  <c r="K20" i="136"/>
  <c r="J20" i="136"/>
  <c r="O18" i="136"/>
  <c r="M17" i="136"/>
  <c r="O17" i="136"/>
  <c r="M16" i="136"/>
  <c r="O16" i="136"/>
  <c r="M15" i="136"/>
  <c r="O15" i="136"/>
  <c r="M14" i="136"/>
  <c r="O14" i="136"/>
  <c r="M13" i="136"/>
  <c r="O13" i="136"/>
  <c r="M12" i="136"/>
  <c r="O12" i="136"/>
  <c r="M11" i="136"/>
  <c r="O11" i="136"/>
  <c r="M10" i="136"/>
  <c r="O10" i="136"/>
  <c r="M9" i="136"/>
  <c r="O9" i="136"/>
  <c r="L22" i="135"/>
  <c r="K22" i="135"/>
  <c r="J22" i="135"/>
  <c r="M20" i="135"/>
  <c r="M19" i="135"/>
  <c r="M18" i="135"/>
  <c r="M17" i="135"/>
  <c r="M16" i="135"/>
  <c r="M15" i="135"/>
  <c r="M14" i="135"/>
  <c r="M13" i="135"/>
  <c r="M12" i="135"/>
  <c r="M11" i="135"/>
  <c r="M10" i="135"/>
  <c r="N38" i="134"/>
  <c r="M38" i="134"/>
  <c r="R59" i="3"/>
  <c r="L20" i="134"/>
  <c r="K20" i="134"/>
  <c r="J20" i="134"/>
  <c r="I20" i="134"/>
  <c r="L15" i="134"/>
  <c r="K15" i="134"/>
  <c r="J15" i="134"/>
  <c r="I15" i="134"/>
  <c r="AJ59" i="3"/>
  <c r="M13" i="134"/>
  <c r="M12" i="134"/>
  <c r="M11" i="134"/>
  <c r="M10" i="134"/>
  <c r="M9" i="134"/>
  <c r="M8" i="134"/>
  <c r="AF58" i="3"/>
  <c r="AE58" i="3"/>
  <c r="AD58" i="3"/>
  <c r="AC58" i="3"/>
  <c r="AB58" i="3"/>
  <c r="AA58" i="3"/>
  <c r="Z58" i="3"/>
  <c r="S58" i="3"/>
  <c r="Y58" i="3"/>
  <c r="M58" i="3"/>
  <c r="L58" i="3"/>
  <c r="H58" i="3"/>
  <c r="F58" i="3"/>
  <c r="D58" i="3"/>
  <c r="C58" i="3"/>
  <c r="K9" i="133"/>
  <c r="K10" i="133"/>
  <c r="K11" i="133"/>
  <c r="K12" i="133"/>
  <c r="K13" i="133"/>
  <c r="K14" i="133"/>
  <c r="K15" i="133"/>
  <c r="M19" i="137"/>
  <c r="M48" i="137"/>
  <c r="M52" i="137"/>
  <c r="N48" i="137"/>
  <c r="N52" i="137"/>
  <c r="O48" i="137"/>
  <c r="O52" i="137"/>
  <c r="O54" i="136"/>
  <c r="P41" i="136"/>
  <c r="P60" i="136"/>
  <c r="N28" i="136"/>
  <c r="N30" i="136"/>
  <c r="O23" i="136"/>
  <c r="O28" i="136"/>
  <c r="K30" i="136"/>
  <c r="J30" i="136"/>
  <c r="L30" i="136"/>
  <c r="I30" i="136"/>
  <c r="M22" i="135"/>
  <c r="M40" i="135"/>
  <c r="M44" i="135"/>
  <c r="N40" i="134"/>
  <c r="N44" i="134"/>
  <c r="M15" i="134"/>
  <c r="M40" i="134"/>
  <c r="M44" i="134"/>
  <c r="O20" i="136"/>
  <c r="O30" i="136"/>
  <c r="M20" i="136"/>
  <c r="M30" i="136"/>
  <c r="G20" i="132"/>
  <c r="AJ53" i="3"/>
  <c r="AF53" i="3"/>
  <c r="AE53" i="3"/>
  <c r="AD53" i="3"/>
  <c r="AC53" i="3"/>
  <c r="AB53" i="3"/>
  <c r="AA53" i="3"/>
  <c r="Z53" i="3"/>
  <c r="S53" i="3"/>
  <c r="M53" i="3"/>
  <c r="L53" i="3"/>
  <c r="I53" i="3"/>
  <c r="F53" i="3"/>
  <c r="D53" i="3"/>
  <c r="C53" i="3"/>
  <c r="AE51" i="3"/>
  <c r="AD51" i="3"/>
  <c r="AC51" i="3"/>
  <c r="AB51" i="3"/>
  <c r="AA51" i="3"/>
  <c r="Z51" i="3"/>
  <c r="S51" i="3"/>
  <c r="Y51" i="3"/>
  <c r="K48" i="131"/>
  <c r="R51" i="3"/>
  <c r="M51" i="3"/>
  <c r="L51" i="3"/>
  <c r="F51" i="3"/>
  <c r="D51" i="3"/>
  <c r="C51" i="3"/>
  <c r="M41" i="131"/>
  <c r="M38" i="131"/>
  <c r="AE49" i="3"/>
  <c r="AC49" i="3"/>
  <c r="AB49" i="3"/>
  <c r="AA49" i="3"/>
  <c r="Z49" i="3"/>
  <c r="X49" i="3"/>
  <c r="W49" i="3"/>
  <c r="V49" i="3"/>
  <c r="U49" i="3"/>
  <c r="T49" i="3"/>
  <c r="M49" i="3"/>
  <c r="J49" i="3"/>
  <c r="D49" i="3"/>
  <c r="C49" i="3"/>
  <c r="K13" i="130"/>
  <c r="K14" i="130"/>
  <c r="K15" i="130"/>
  <c r="K12" i="130"/>
  <c r="K8" i="130"/>
  <c r="K7" i="130"/>
  <c r="K9" i="130"/>
  <c r="K10" i="130"/>
  <c r="K11" i="130"/>
  <c r="K16" i="130"/>
  <c r="K18" i="130"/>
  <c r="K28" i="130"/>
  <c r="K30" i="130"/>
  <c r="K34" i="130"/>
  <c r="M58" i="133"/>
  <c r="N54" i="133"/>
  <c r="L54" i="133"/>
  <c r="K54" i="133"/>
  <c r="R58" i="3"/>
  <c r="M52" i="133"/>
  <c r="M51" i="133"/>
  <c r="M50" i="133"/>
  <c r="M49" i="133"/>
  <c r="M48" i="133"/>
  <c r="M47" i="133"/>
  <c r="M46" i="133"/>
  <c r="M45" i="133"/>
  <c r="M44" i="133"/>
  <c r="M43" i="133"/>
  <c r="M42" i="133"/>
  <c r="M41" i="133"/>
  <c r="M40" i="133"/>
  <c r="M39" i="133"/>
  <c r="M38" i="133"/>
  <c r="M37" i="133"/>
  <c r="M36" i="133"/>
  <c r="M35" i="133"/>
  <c r="M34" i="133"/>
  <c r="M33" i="133"/>
  <c r="M30" i="133"/>
  <c r="L30" i="133"/>
  <c r="K30" i="133"/>
  <c r="J30" i="133"/>
  <c r="I30" i="133"/>
  <c r="H30" i="133"/>
  <c r="G30" i="133"/>
  <c r="N28" i="133"/>
  <c r="N30" i="133"/>
  <c r="N23" i="133"/>
  <c r="K23" i="133"/>
  <c r="J23" i="133"/>
  <c r="I23" i="133"/>
  <c r="H23" i="133"/>
  <c r="H18" i="133"/>
  <c r="H25" i="133"/>
  <c r="L21" i="133"/>
  <c r="M21" i="133"/>
  <c r="M23" i="133"/>
  <c r="N18" i="133"/>
  <c r="J18" i="133"/>
  <c r="I18" i="133"/>
  <c r="G18" i="133"/>
  <c r="AJ58" i="3"/>
  <c r="K16" i="133"/>
  <c r="M16" i="133"/>
  <c r="M15" i="133"/>
  <c r="M14" i="133"/>
  <c r="M13" i="133"/>
  <c r="M12" i="133"/>
  <c r="M11" i="133"/>
  <c r="M10" i="133"/>
  <c r="M9" i="133"/>
  <c r="M62" i="132"/>
  <c r="M58" i="132"/>
  <c r="M54" i="132"/>
  <c r="N50" i="132"/>
  <c r="L50" i="132"/>
  <c r="K50" i="132"/>
  <c r="R53" i="3"/>
  <c r="M48" i="132"/>
  <c r="M47" i="132"/>
  <c r="M46" i="132"/>
  <c r="M45" i="132"/>
  <c r="M44" i="132"/>
  <c r="M43" i="132"/>
  <c r="M42" i="132"/>
  <c r="M41" i="132"/>
  <c r="M40" i="132"/>
  <c r="M39" i="132"/>
  <c r="M38" i="132"/>
  <c r="M37" i="132"/>
  <c r="M33" i="132"/>
  <c r="L33" i="132"/>
  <c r="K33" i="132"/>
  <c r="J33" i="132"/>
  <c r="I33" i="132"/>
  <c r="H33" i="132"/>
  <c r="G33" i="132"/>
  <c r="N31" i="132"/>
  <c r="N33" i="132"/>
  <c r="K26" i="132"/>
  <c r="J26" i="132"/>
  <c r="I26" i="132"/>
  <c r="H26" i="132"/>
  <c r="L24" i="132"/>
  <c r="M24" i="132"/>
  <c r="M23" i="132"/>
  <c r="N20" i="132"/>
  <c r="J20" i="132"/>
  <c r="I20" i="132"/>
  <c r="H20" i="132"/>
  <c r="K18" i="132"/>
  <c r="M18" i="132"/>
  <c r="M17" i="132"/>
  <c r="M16" i="132"/>
  <c r="M15" i="132"/>
  <c r="M14" i="132"/>
  <c r="K13" i="132"/>
  <c r="M13" i="132"/>
  <c r="K12" i="132"/>
  <c r="M12" i="132"/>
  <c r="M11" i="132"/>
  <c r="K10" i="132"/>
  <c r="M10" i="132"/>
  <c r="M9" i="132"/>
  <c r="M52" i="131"/>
  <c r="N48" i="131"/>
  <c r="L48" i="131"/>
  <c r="M46" i="131"/>
  <c r="M44" i="131"/>
  <c r="M43" i="131"/>
  <c r="M42" i="131"/>
  <c r="M40" i="131"/>
  <c r="M39" i="131"/>
  <c r="M34" i="131"/>
  <c r="L34" i="131"/>
  <c r="K34" i="131"/>
  <c r="J34" i="131"/>
  <c r="I34" i="131"/>
  <c r="H34" i="131"/>
  <c r="G34" i="131"/>
  <c r="N32" i="131"/>
  <c r="N31" i="131"/>
  <c r="N30" i="131"/>
  <c r="K25" i="131"/>
  <c r="J25" i="131"/>
  <c r="I25" i="131"/>
  <c r="H25" i="131"/>
  <c r="M23" i="131"/>
  <c r="M22" i="131"/>
  <c r="M21" i="131"/>
  <c r="N18" i="131"/>
  <c r="N25" i="131"/>
  <c r="N27" i="131"/>
  <c r="J18" i="131"/>
  <c r="I18" i="131"/>
  <c r="I27" i="131"/>
  <c r="H18" i="131"/>
  <c r="G18" i="131"/>
  <c r="AJ51" i="3"/>
  <c r="K16" i="131"/>
  <c r="M16" i="131"/>
  <c r="K15" i="131"/>
  <c r="M15" i="131"/>
  <c r="M14" i="131"/>
  <c r="M13" i="131"/>
  <c r="M12" i="131"/>
  <c r="M11" i="131"/>
  <c r="M9" i="131"/>
  <c r="I25" i="133"/>
  <c r="N56" i="133"/>
  <c r="N60" i="133"/>
  <c r="L23" i="133"/>
  <c r="L25" i="133"/>
  <c r="L56" i="133"/>
  <c r="L60" i="133"/>
  <c r="G25" i="133"/>
  <c r="H28" i="132"/>
  <c r="N52" i="132"/>
  <c r="N56" i="132"/>
  <c r="N64" i="132"/>
  <c r="G28" i="132"/>
  <c r="J28" i="132"/>
  <c r="J25" i="133"/>
  <c r="N25" i="133"/>
  <c r="M54" i="133"/>
  <c r="M50" i="132"/>
  <c r="I28" i="132"/>
  <c r="H27" i="131"/>
  <c r="M48" i="131"/>
  <c r="M25" i="131"/>
  <c r="L25" i="131"/>
  <c r="L27" i="131"/>
  <c r="L50" i="131"/>
  <c r="L54" i="131"/>
  <c r="N34" i="131"/>
  <c r="N50" i="131"/>
  <c r="N54" i="131"/>
  <c r="K18" i="131"/>
  <c r="K50" i="131"/>
  <c r="K54" i="131"/>
  <c r="G27" i="131"/>
  <c r="J27" i="131"/>
  <c r="M18" i="133"/>
  <c r="M25" i="133"/>
  <c r="K18" i="133"/>
  <c r="K56" i="133"/>
  <c r="K60" i="133"/>
  <c r="M20" i="132"/>
  <c r="M26" i="132"/>
  <c r="L26" i="132"/>
  <c r="L28" i="132"/>
  <c r="L52" i="132"/>
  <c r="L56" i="132"/>
  <c r="L64" i="132"/>
  <c r="N26" i="132"/>
  <c r="N28" i="132"/>
  <c r="K20" i="132"/>
  <c r="K52" i="132"/>
  <c r="K56" i="132"/>
  <c r="K64" i="132"/>
  <c r="M10" i="131"/>
  <c r="M18" i="131"/>
  <c r="M27" i="131"/>
  <c r="M50" i="131"/>
  <c r="M54" i="131"/>
  <c r="M56" i="133"/>
  <c r="M60" i="133"/>
  <c r="M28" i="132"/>
  <c r="M52" i="132"/>
  <c r="M56" i="132"/>
  <c r="M64" i="132"/>
  <c r="K27" i="131"/>
  <c r="K25" i="133"/>
  <c r="K28" i="132"/>
  <c r="L28" i="130"/>
  <c r="R49" i="3"/>
  <c r="L18" i="130"/>
  <c r="L30" i="130"/>
  <c r="L34" i="130"/>
  <c r="J18" i="130"/>
  <c r="I18" i="130"/>
  <c r="H18" i="130"/>
  <c r="G18" i="130"/>
  <c r="AJ49" i="3"/>
  <c r="G19" i="129"/>
  <c r="AJ48" i="3"/>
  <c r="AD48" i="3"/>
  <c r="AC48" i="3"/>
  <c r="AB48" i="3"/>
  <c r="AA48" i="3"/>
  <c r="Z48" i="3"/>
  <c r="X48" i="3"/>
  <c r="W48" i="3"/>
  <c r="V48" i="3"/>
  <c r="U48" i="3"/>
  <c r="T48" i="3"/>
  <c r="H48" i="3"/>
  <c r="C48" i="3"/>
  <c r="K26" i="129"/>
  <c r="R48" i="3"/>
  <c r="K9" i="129"/>
  <c r="K10" i="129"/>
  <c r="K11" i="129"/>
  <c r="K12" i="129"/>
  <c r="K13" i="129"/>
  <c r="K14" i="129"/>
  <c r="K15" i="129"/>
  <c r="K16" i="129"/>
  <c r="K17" i="129"/>
  <c r="J19" i="129"/>
  <c r="I19" i="129"/>
  <c r="H19" i="129"/>
  <c r="K8" i="129"/>
  <c r="AD47" i="3"/>
  <c r="AC47" i="3"/>
  <c r="AA47" i="3"/>
  <c r="Z47" i="3"/>
  <c r="S47" i="3"/>
  <c r="Y47" i="3"/>
  <c r="M47" i="3"/>
  <c r="H47" i="3"/>
  <c r="L47" i="3"/>
  <c r="F47" i="3"/>
  <c r="D47" i="3"/>
  <c r="C47" i="3"/>
  <c r="G47" i="3"/>
  <c r="L20" i="128"/>
  <c r="L22" i="128"/>
  <c r="M10" i="128"/>
  <c r="AE46" i="3"/>
  <c r="AD46" i="3"/>
  <c r="AC46" i="3"/>
  <c r="AB46" i="3"/>
  <c r="AA46" i="3"/>
  <c r="Z46" i="3"/>
  <c r="X46" i="3"/>
  <c r="W46" i="3"/>
  <c r="V46" i="3"/>
  <c r="U46" i="3"/>
  <c r="T46" i="3"/>
  <c r="L34" i="127"/>
  <c r="R46" i="3"/>
  <c r="M46" i="3"/>
  <c r="K46" i="3"/>
  <c r="J46" i="3"/>
  <c r="F46" i="3"/>
  <c r="D46" i="3"/>
  <c r="C46" i="3"/>
  <c r="L11" i="127"/>
  <c r="L8" i="127"/>
  <c r="L9" i="127"/>
  <c r="L10" i="127"/>
  <c r="L7" i="127"/>
  <c r="L12" i="127"/>
  <c r="L13" i="127"/>
  <c r="L14" i="127"/>
  <c r="L15" i="127"/>
  <c r="L16" i="127"/>
  <c r="L17" i="127"/>
  <c r="L19" i="127"/>
  <c r="L36" i="127"/>
  <c r="L40" i="127"/>
  <c r="L37" i="128"/>
  <c r="K37" i="128"/>
  <c r="R47" i="3"/>
  <c r="M35" i="128"/>
  <c r="M34" i="128"/>
  <c r="M33" i="128"/>
  <c r="M32" i="128"/>
  <c r="M31" i="128"/>
  <c r="M30" i="128"/>
  <c r="M29" i="128"/>
  <c r="M28" i="128"/>
  <c r="M27" i="128"/>
  <c r="M26" i="128"/>
  <c r="L39" i="128"/>
  <c r="L43" i="128"/>
  <c r="K20" i="128"/>
  <c r="J20" i="128"/>
  <c r="I20" i="128"/>
  <c r="M18" i="128"/>
  <c r="M20" i="128"/>
  <c r="J15" i="128"/>
  <c r="I15" i="128"/>
  <c r="I22" i="128"/>
  <c r="H15" i="128"/>
  <c r="H22" i="128"/>
  <c r="M13" i="128"/>
  <c r="M12" i="128"/>
  <c r="M11" i="128"/>
  <c r="M9" i="128"/>
  <c r="M34" i="127"/>
  <c r="M19" i="127"/>
  <c r="M36" i="127"/>
  <c r="M40" i="127"/>
  <c r="K19" i="127"/>
  <c r="J19" i="127"/>
  <c r="I19" i="127"/>
  <c r="H19" i="127"/>
  <c r="AJ46" i="3"/>
  <c r="J22" i="128"/>
  <c r="AJ47" i="3"/>
  <c r="K19" i="129"/>
  <c r="K28" i="129"/>
  <c r="K32" i="129"/>
  <c r="M37" i="128"/>
  <c r="K15" i="128"/>
  <c r="K22" i="128"/>
  <c r="M15" i="128"/>
  <c r="Z41" i="3"/>
  <c r="AA41" i="3"/>
  <c r="AB41" i="3"/>
  <c r="AF41" i="3"/>
  <c r="AE41" i="3"/>
  <c r="AD41" i="3"/>
  <c r="AC41" i="3"/>
  <c r="S41" i="3"/>
  <c r="M41" i="3"/>
  <c r="L41" i="3"/>
  <c r="F41" i="3"/>
  <c r="D41" i="3"/>
  <c r="G41" i="3"/>
  <c r="AD43" i="3"/>
  <c r="AC43" i="3"/>
  <c r="AB43" i="3"/>
  <c r="AA43" i="3"/>
  <c r="Z43" i="3"/>
  <c r="X43" i="3"/>
  <c r="W43" i="3"/>
  <c r="V43" i="3"/>
  <c r="U43" i="3"/>
  <c r="T43" i="3"/>
  <c r="M43" i="3"/>
  <c r="I43" i="3"/>
  <c r="F43" i="3"/>
  <c r="D43" i="3"/>
  <c r="G43" i="3"/>
  <c r="N49" i="126"/>
  <c r="M49" i="126"/>
  <c r="R43" i="3"/>
  <c r="O36" i="126"/>
  <c r="O35" i="126"/>
  <c r="O38" i="126"/>
  <c r="O39" i="126"/>
  <c r="O40" i="126"/>
  <c r="O41" i="126"/>
  <c r="O42" i="126"/>
  <c r="O43" i="126"/>
  <c r="O44" i="126"/>
  <c r="O45" i="126"/>
  <c r="O46" i="126"/>
  <c r="O47" i="126"/>
  <c r="O49" i="126"/>
  <c r="L23" i="126"/>
  <c r="L28" i="126"/>
  <c r="L30" i="126"/>
  <c r="M28" i="126"/>
  <c r="N28" i="126"/>
  <c r="O26" i="126"/>
  <c r="O28" i="126"/>
  <c r="J28" i="126"/>
  <c r="M22" i="128"/>
  <c r="M39" i="128"/>
  <c r="M43" i="128"/>
  <c r="K39" i="128"/>
  <c r="K43" i="128"/>
  <c r="J15" i="126"/>
  <c r="J23" i="126"/>
  <c r="J30" i="126"/>
  <c r="K15" i="126"/>
  <c r="K23" i="126"/>
  <c r="K30" i="126"/>
  <c r="L15" i="126"/>
  <c r="M15" i="126"/>
  <c r="M23" i="126"/>
  <c r="M30" i="126"/>
  <c r="N15" i="126"/>
  <c r="N23" i="126"/>
  <c r="N30" i="126"/>
  <c r="I15" i="126"/>
  <c r="I23" i="126"/>
  <c r="AJ43" i="3"/>
  <c r="O10" i="126"/>
  <c r="O11" i="126"/>
  <c r="O12" i="126"/>
  <c r="O13" i="126"/>
  <c r="O9" i="126"/>
  <c r="O15" i="126"/>
  <c r="O17" i="126"/>
  <c r="O18" i="126"/>
  <c r="O20" i="126"/>
  <c r="O19" i="126"/>
  <c r="O21" i="126"/>
  <c r="O23" i="126"/>
  <c r="M44" i="125"/>
  <c r="N38" i="125"/>
  <c r="N37" i="125"/>
  <c r="N35" i="125"/>
  <c r="N32" i="125"/>
  <c r="N33" i="125"/>
  <c r="N34" i="125"/>
  <c r="N36" i="125"/>
  <c r="N39" i="125"/>
  <c r="N40" i="125"/>
  <c r="N41" i="125"/>
  <c r="N42" i="125"/>
  <c r="N44" i="125"/>
  <c r="N19" i="125"/>
  <c r="N20" i="125"/>
  <c r="N21" i="125"/>
  <c r="N22" i="125"/>
  <c r="N23" i="125"/>
  <c r="N24" i="125"/>
  <c r="N26" i="125"/>
  <c r="N8" i="125"/>
  <c r="N9" i="125"/>
  <c r="N10" i="125"/>
  <c r="N11" i="125"/>
  <c r="N12" i="125"/>
  <c r="N13" i="125"/>
  <c r="N14" i="125"/>
  <c r="N15" i="125"/>
  <c r="N17" i="125"/>
  <c r="N28" i="125"/>
  <c r="N46" i="125"/>
  <c r="L44" i="125"/>
  <c r="R41" i="3"/>
  <c r="I26" i="125"/>
  <c r="J26" i="125"/>
  <c r="K26" i="125"/>
  <c r="L26" i="125"/>
  <c r="L17" i="125"/>
  <c r="L28" i="125"/>
  <c r="L46" i="125"/>
  <c r="L50" i="125"/>
  <c r="M26" i="125"/>
  <c r="M17" i="125"/>
  <c r="M28" i="125"/>
  <c r="M46" i="125"/>
  <c r="M50" i="125"/>
  <c r="I17" i="125"/>
  <c r="I28" i="125"/>
  <c r="J17" i="125"/>
  <c r="J28" i="125"/>
  <c r="K17" i="125"/>
  <c r="K28" i="125"/>
  <c r="H17" i="125"/>
  <c r="AJ41" i="3"/>
  <c r="N16" i="125"/>
  <c r="N48" i="125"/>
  <c r="H28" i="125"/>
  <c r="G20" i="123"/>
  <c r="AJ40" i="3"/>
  <c r="AF40" i="3"/>
  <c r="AF8" i="3"/>
  <c r="AF39" i="3"/>
  <c r="AC40" i="3"/>
  <c r="AB40" i="3"/>
  <c r="AA40" i="3"/>
  <c r="Z40" i="3"/>
  <c r="X40" i="3"/>
  <c r="W40" i="3"/>
  <c r="W10" i="3"/>
  <c r="W39" i="3"/>
  <c r="V40" i="3"/>
  <c r="V10" i="3"/>
  <c r="V39" i="3"/>
  <c r="U40" i="3"/>
  <c r="T40" i="3"/>
  <c r="K29" i="123"/>
  <c r="R40" i="3"/>
  <c r="H40" i="3"/>
  <c r="N40" i="3"/>
  <c r="C40" i="3"/>
  <c r="K9" i="123"/>
  <c r="J20" i="123"/>
  <c r="I20" i="123"/>
  <c r="H20" i="123"/>
  <c r="K18" i="123"/>
  <c r="K17" i="123"/>
  <c r="K16" i="123"/>
  <c r="K15" i="123"/>
  <c r="K14" i="123"/>
  <c r="K13" i="123"/>
  <c r="K12" i="123"/>
  <c r="K11" i="123"/>
  <c r="K10" i="123"/>
  <c r="AA39" i="3"/>
  <c r="I23" i="122"/>
  <c r="AJ39" i="3"/>
  <c r="AE39" i="3"/>
  <c r="AD39" i="3"/>
  <c r="AC39" i="3"/>
  <c r="AB39" i="3"/>
  <c r="Z39" i="3"/>
  <c r="X39" i="3"/>
  <c r="U39" i="3"/>
  <c r="T39" i="3"/>
  <c r="M36" i="122"/>
  <c r="R39" i="3"/>
  <c r="M39" i="3"/>
  <c r="H39" i="3"/>
  <c r="F39" i="3"/>
  <c r="D39" i="3"/>
  <c r="C39" i="3"/>
  <c r="G39" i="3"/>
  <c r="I16" i="121"/>
  <c r="I23" i="121"/>
  <c r="AJ38" i="3"/>
  <c r="AE38" i="3"/>
  <c r="AD38" i="3"/>
  <c r="AC38" i="3"/>
  <c r="AB38" i="3"/>
  <c r="AA38" i="3"/>
  <c r="Z38" i="3"/>
  <c r="S38" i="3"/>
  <c r="Y38" i="3"/>
  <c r="N36" i="121"/>
  <c r="O27" i="121"/>
  <c r="O28" i="121"/>
  <c r="O29" i="121"/>
  <c r="O30" i="121"/>
  <c r="O31" i="121"/>
  <c r="O32" i="121"/>
  <c r="O33" i="121"/>
  <c r="O36" i="121"/>
  <c r="M36" i="121"/>
  <c r="R38" i="3"/>
  <c r="M38" i="3"/>
  <c r="L38" i="3"/>
  <c r="N38" i="3"/>
  <c r="L7" i="3"/>
  <c r="I7" i="3"/>
  <c r="M7" i="3"/>
  <c r="N7" i="3"/>
  <c r="F38" i="3"/>
  <c r="D38" i="3"/>
  <c r="C38" i="3"/>
  <c r="M9" i="122"/>
  <c r="M10" i="122"/>
  <c r="M11" i="122"/>
  <c r="M12" i="122"/>
  <c r="M13" i="122"/>
  <c r="M14" i="122"/>
  <c r="M15" i="122"/>
  <c r="M16" i="122"/>
  <c r="M17" i="122"/>
  <c r="M18" i="122"/>
  <c r="M19" i="122"/>
  <c r="M20" i="122"/>
  <c r="M21" i="122"/>
  <c r="M23" i="122"/>
  <c r="M38" i="122"/>
  <c r="L23" i="122"/>
  <c r="K23" i="122"/>
  <c r="J23" i="122"/>
  <c r="O8" i="121"/>
  <c r="O9" i="121"/>
  <c r="O10" i="121"/>
  <c r="O11" i="121"/>
  <c r="M12" i="121"/>
  <c r="O12" i="121"/>
  <c r="O13" i="121"/>
  <c r="O14" i="121"/>
  <c r="O16" i="121"/>
  <c r="N16" i="121"/>
  <c r="M16" i="121"/>
  <c r="L16" i="121"/>
  <c r="L21" i="121"/>
  <c r="L23" i="121"/>
  <c r="K16" i="121"/>
  <c r="J16" i="121"/>
  <c r="O19" i="121"/>
  <c r="O21" i="121"/>
  <c r="O42" i="121"/>
  <c r="N21" i="121"/>
  <c r="N23" i="121"/>
  <c r="N42" i="121"/>
  <c r="M21" i="121"/>
  <c r="M23" i="121"/>
  <c r="M42" i="121"/>
  <c r="K21" i="121"/>
  <c r="K23" i="121"/>
  <c r="J21" i="121"/>
  <c r="J23" i="121"/>
  <c r="Z9" i="3"/>
  <c r="AG9" i="3"/>
  <c r="S9" i="3"/>
  <c r="Y9" i="3"/>
  <c r="S7" i="3"/>
  <c r="Y7" i="3"/>
  <c r="S8" i="3"/>
  <c r="Y8" i="3"/>
  <c r="S13" i="3"/>
  <c r="N9" i="3"/>
  <c r="G9" i="3"/>
  <c r="P9" i="3"/>
  <c r="Q9" i="3"/>
  <c r="G10" i="3"/>
  <c r="L40" i="118"/>
  <c r="R10" i="3"/>
  <c r="I13" i="3"/>
  <c r="N10" i="3"/>
  <c r="M13" i="3"/>
  <c r="I17" i="119"/>
  <c r="AJ13" i="3"/>
  <c r="AE13" i="3"/>
  <c r="AB13" i="3"/>
  <c r="AD13" i="3"/>
  <c r="AD7" i="3"/>
  <c r="AD10" i="3"/>
  <c r="AC13" i="3"/>
  <c r="AA13" i="3"/>
  <c r="Z13" i="3"/>
  <c r="Y13" i="3"/>
  <c r="M32" i="119"/>
  <c r="R13" i="3"/>
  <c r="F13" i="3"/>
  <c r="D13" i="3"/>
  <c r="C13" i="3"/>
  <c r="M14" i="119"/>
  <c r="M15" i="119"/>
  <c r="J17" i="119"/>
  <c r="K17" i="119"/>
  <c r="L17" i="119"/>
  <c r="M9" i="119"/>
  <c r="M10" i="119"/>
  <c r="M11" i="119"/>
  <c r="M12" i="119"/>
  <c r="M13" i="119"/>
  <c r="M17" i="119"/>
  <c r="M34" i="119"/>
  <c r="M38" i="119"/>
  <c r="M36" i="52"/>
  <c r="R7" i="3"/>
  <c r="M31" i="117"/>
  <c r="R8" i="3"/>
  <c r="I23" i="118"/>
  <c r="AJ10" i="3"/>
  <c r="AC10" i="3"/>
  <c r="AB10" i="3"/>
  <c r="Z10" i="3"/>
  <c r="AA10" i="3"/>
  <c r="X10" i="3"/>
  <c r="N33" i="118"/>
  <c r="N34" i="118"/>
  <c r="N35" i="118"/>
  <c r="N36" i="118"/>
  <c r="N37" i="118"/>
  <c r="N38" i="118"/>
  <c r="N40" i="118"/>
  <c r="N42" i="118"/>
  <c r="N26" i="118"/>
  <c r="N28" i="118"/>
  <c r="J28" i="118"/>
  <c r="K28" i="118"/>
  <c r="L28" i="118"/>
  <c r="M28" i="118"/>
  <c r="N44" i="118"/>
  <c r="N46" i="118"/>
  <c r="N10" i="118"/>
  <c r="N11" i="118"/>
  <c r="N12" i="118"/>
  <c r="N13" i="118"/>
  <c r="N14" i="118"/>
  <c r="N15" i="118"/>
  <c r="N16" i="118"/>
  <c r="N18" i="118"/>
  <c r="N19" i="118"/>
  <c r="N20" i="118"/>
  <c r="N23" i="118"/>
  <c r="M40" i="118"/>
  <c r="M46" i="118"/>
  <c r="L23" i="118"/>
  <c r="L46" i="118"/>
  <c r="K23" i="118"/>
  <c r="J23" i="118"/>
  <c r="I16" i="117"/>
  <c r="AJ8" i="3"/>
  <c r="AE8" i="3"/>
  <c r="AB8" i="3"/>
  <c r="AA8" i="3"/>
  <c r="Z8" i="3"/>
  <c r="M8" i="3"/>
  <c r="H8" i="3"/>
  <c r="F8" i="3"/>
  <c r="D8" i="3"/>
  <c r="C8" i="3"/>
  <c r="G8" i="3"/>
  <c r="I17" i="52"/>
  <c r="AJ7" i="3"/>
  <c r="AE7" i="3"/>
  <c r="AC7" i="3"/>
  <c r="AB7" i="3"/>
  <c r="AA7" i="3"/>
  <c r="Z7" i="3"/>
  <c r="F7" i="3"/>
  <c r="D7" i="3"/>
  <c r="C7" i="3"/>
  <c r="M9" i="117"/>
  <c r="M10" i="117"/>
  <c r="M11" i="117"/>
  <c r="M12" i="117"/>
  <c r="M13" i="117"/>
  <c r="M14" i="117"/>
  <c r="M16" i="117"/>
  <c r="M33" i="117"/>
  <c r="M37" i="117"/>
  <c r="L16" i="117"/>
  <c r="K16" i="117"/>
  <c r="J16" i="117"/>
  <c r="AG69" i="3"/>
  <c r="Y69" i="3"/>
  <c r="AH69" i="3"/>
  <c r="AI69" i="3"/>
  <c r="N69" i="3"/>
  <c r="G69" i="3"/>
  <c r="Y68" i="3"/>
  <c r="N13" i="3"/>
  <c r="N15" i="3"/>
  <c r="N17" i="3"/>
  <c r="N18" i="3"/>
  <c r="N19" i="3"/>
  <c r="N20" i="3"/>
  <c r="N21" i="3"/>
  <c r="N22" i="3"/>
  <c r="N23" i="3"/>
  <c r="N24" i="3"/>
  <c r="N25" i="3"/>
  <c r="G25" i="3"/>
  <c r="P25" i="3"/>
  <c r="Q25" i="3"/>
  <c r="N26" i="3"/>
  <c r="N27" i="3"/>
  <c r="N28" i="3"/>
  <c r="N29" i="3"/>
  <c r="N30" i="3"/>
  <c r="N31" i="3"/>
  <c r="N33" i="3"/>
  <c r="N34" i="3"/>
  <c r="N35" i="3"/>
  <c r="N36" i="3"/>
  <c r="N37" i="3"/>
  <c r="N41" i="3"/>
  <c r="N45" i="3"/>
  <c r="N48" i="3"/>
  <c r="N51" i="3"/>
  <c r="N52" i="3"/>
  <c r="N58" i="3"/>
  <c r="G58" i="3"/>
  <c r="P58" i="3"/>
  <c r="Q58" i="3"/>
  <c r="N62" i="3"/>
  <c r="N65" i="3"/>
  <c r="N67" i="3"/>
  <c r="Y65" i="3"/>
  <c r="Y62" i="3"/>
  <c r="G62" i="3"/>
  <c r="G59" i="3"/>
  <c r="Y53" i="3"/>
  <c r="Y52" i="3"/>
  <c r="G52" i="3"/>
  <c r="G48" i="3"/>
  <c r="Y45" i="3"/>
  <c r="AG45" i="3"/>
  <c r="AH45" i="3"/>
  <c r="AI45" i="3"/>
  <c r="G45" i="3"/>
  <c r="P45" i="3"/>
  <c r="Q45" i="3"/>
  <c r="Y41" i="3"/>
  <c r="Y37" i="3"/>
  <c r="AG37" i="3"/>
  <c r="G37" i="3"/>
  <c r="Y36" i="3"/>
  <c r="G36" i="3"/>
  <c r="Y35" i="3"/>
  <c r="G35" i="3"/>
  <c r="Y34" i="3"/>
  <c r="G34" i="3"/>
  <c r="Y33" i="3"/>
  <c r="AG33" i="3"/>
  <c r="Y32" i="3"/>
  <c r="G32" i="3"/>
  <c r="G31" i="3"/>
  <c r="Y30" i="3"/>
  <c r="G30" i="3"/>
  <c r="Y29" i="3"/>
  <c r="G29" i="3"/>
  <c r="Y28" i="3"/>
  <c r="E72" i="3"/>
  <c r="AG27" i="3"/>
  <c r="Y27" i="3"/>
  <c r="G27" i="3"/>
  <c r="Y26" i="3"/>
  <c r="G26" i="3"/>
  <c r="AG25" i="3"/>
  <c r="Y25" i="3"/>
  <c r="AH25" i="3"/>
  <c r="AI25" i="3"/>
  <c r="AG24" i="3"/>
  <c r="Y24" i="3"/>
  <c r="G24" i="3"/>
  <c r="P24" i="3"/>
  <c r="Q24" i="3"/>
  <c r="Y23" i="3"/>
  <c r="G23" i="3"/>
  <c r="G22" i="3"/>
  <c r="AG21" i="3"/>
  <c r="Y21" i="3"/>
  <c r="G21" i="3"/>
  <c r="AG20" i="3"/>
  <c r="Y20" i="3"/>
  <c r="G20" i="3"/>
  <c r="G19" i="3"/>
  <c r="Y18" i="3"/>
  <c r="AG18" i="3"/>
  <c r="G18" i="3"/>
  <c r="G17" i="3"/>
  <c r="Y15" i="3"/>
  <c r="G15" i="3"/>
  <c r="AG15" i="3"/>
  <c r="AG19" i="3"/>
  <c r="AG22" i="3"/>
  <c r="Y22" i="3"/>
  <c r="AG23" i="3"/>
  <c r="AH23" i="3"/>
  <c r="AI23" i="3"/>
  <c r="AG26" i="3"/>
  <c r="AG28" i="3"/>
  <c r="AG29" i="3"/>
  <c r="AG30" i="3"/>
  <c r="AG31" i="3"/>
  <c r="AG32" i="3"/>
  <c r="AG34" i="3"/>
  <c r="AG35" i="3"/>
  <c r="AG36" i="3"/>
  <c r="AG51" i="3"/>
  <c r="AG52" i="3"/>
  <c r="AG62" i="3"/>
  <c r="Y19" i="3"/>
  <c r="Y31" i="3"/>
  <c r="AH31" i="3"/>
  <c r="AI31" i="3"/>
  <c r="O72" i="3"/>
  <c r="G28" i="3"/>
  <c r="G33" i="3"/>
  <c r="P33" i="3"/>
  <c r="Q33" i="3"/>
  <c r="N36" i="52"/>
  <c r="N20" i="52"/>
  <c r="N38" i="52"/>
  <c r="N43" i="52"/>
  <c r="M9" i="52"/>
  <c r="M10" i="52"/>
  <c r="M11" i="52"/>
  <c r="M12" i="52"/>
  <c r="M13" i="52"/>
  <c r="M14" i="52"/>
  <c r="M15" i="52"/>
  <c r="M17" i="52"/>
  <c r="M38" i="52"/>
  <c r="J17" i="52"/>
  <c r="L17" i="52"/>
  <c r="K17" i="52"/>
  <c r="O44" i="17"/>
  <c r="N40" i="17"/>
  <c r="M40" i="17"/>
  <c r="M9" i="17"/>
  <c r="M10" i="17"/>
  <c r="M11" i="17"/>
  <c r="M12" i="17"/>
  <c r="M13" i="17"/>
  <c r="M14" i="17"/>
  <c r="M15" i="17"/>
  <c r="M16" i="17"/>
  <c r="M17" i="17"/>
  <c r="M19" i="17"/>
  <c r="M24" i="17"/>
  <c r="M26" i="17"/>
  <c r="M42" i="17"/>
  <c r="O38" i="17"/>
  <c r="O37" i="17"/>
  <c r="O36" i="17"/>
  <c r="O35" i="17"/>
  <c r="O34" i="17"/>
  <c r="O33" i="17"/>
  <c r="O32" i="17"/>
  <c r="O31" i="17"/>
  <c r="O30" i="17"/>
  <c r="O40" i="17"/>
  <c r="O24" i="17"/>
  <c r="N24" i="17"/>
  <c r="L24" i="17"/>
  <c r="L19" i="17"/>
  <c r="L26" i="17"/>
  <c r="K24" i="17"/>
  <c r="J24" i="17"/>
  <c r="I24" i="17"/>
  <c r="I19" i="17"/>
  <c r="I26" i="17"/>
  <c r="N19" i="17"/>
  <c r="N26" i="17"/>
  <c r="N42" i="17"/>
  <c r="N46" i="17"/>
  <c r="K19" i="17"/>
  <c r="J19" i="17"/>
  <c r="J26" i="17"/>
  <c r="O17" i="17"/>
  <c r="O16" i="17"/>
  <c r="O15" i="17"/>
  <c r="O14" i="17"/>
  <c r="O13" i="17"/>
  <c r="O12" i="17"/>
  <c r="O11" i="17"/>
  <c r="O10" i="17"/>
  <c r="O9" i="17"/>
  <c r="O19" i="17"/>
  <c r="O26" i="17"/>
  <c r="K26" i="17"/>
  <c r="P69" i="3"/>
  <c r="Q69" i="3"/>
  <c r="K20" i="123"/>
  <c r="K31" i="123"/>
  <c r="K37" i="123"/>
  <c r="O23" i="121"/>
  <c r="N50" i="125"/>
  <c r="O42" i="17"/>
  <c r="O46" i="17"/>
  <c r="M46" i="17"/>
  <c r="I30" i="126"/>
  <c r="G13" i="3"/>
  <c r="AH52" i="3"/>
  <c r="AI52" i="3"/>
  <c r="AH51" i="3"/>
  <c r="AI51" i="3"/>
  <c r="P41" i="3"/>
  <c r="Q41" i="3"/>
  <c r="AH62" i="3"/>
  <c r="AI62" i="3"/>
  <c r="AH36" i="3"/>
  <c r="AI36" i="3"/>
  <c r="AH20" i="3"/>
  <c r="AI20" i="3"/>
  <c r="AH21" i="3"/>
  <c r="AI21" i="3"/>
  <c r="P27" i="3"/>
  <c r="Q27" i="3"/>
  <c r="AH30" i="3"/>
  <c r="AI30" i="3"/>
  <c r="P34" i="3"/>
  <c r="Q34" i="3"/>
  <c r="P62" i="3"/>
  <c r="Q62" i="3"/>
  <c r="P52" i="3"/>
  <c r="Q52" i="3"/>
  <c r="P35" i="3"/>
  <c r="Q35" i="3"/>
  <c r="P18" i="3"/>
  <c r="Q18" i="3"/>
  <c r="G7" i="3"/>
  <c r="AG10" i="3"/>
  <c r="G38" i="3"/>
  <c r="AG40" i="3"/>
  <c r="N43" i="3"/>
  <c r="P43" i="3"/>
  <c r="Q43" i="3"/>
  <c r="Y43" i="3"/>
  <c r="AG43" i="3"/>
  <c r="G46" i="3"/>
  <c r="N46" i="3"/>
  <c r="P46" i="3"/>
  <c r="Q46" i="3"/>
  <c r="Y46" i="3"/>
  <c r="Y48" i="3"/>
  <c r="AG48" i="3"/>
  <c r="AH48" i="3"/>
  <c r="AI48" i="3"/>
  <c r="G49" i="3"/>
  <c r="N49" i="3"/>
  <c r="AG49" i="3"/>
  <c r="Y49" i="3"/>
  <c r="AH49" i="3"/>
  <c r="AI49" i="3"/>
  <c r="G53" i="3"/>
  <c r="N53" i="3"/>
  <c r="AG53" i="3"/>
  <c r="AH53" i="3"/>
  <c r="AI53" i="3"/>
  <c r="AG58" i="3"/>
  <c r="AH58" i="3"/>
  <c r="AI58" i="3"/>
  <c r="N59" i="3"/>
  <c r="P59" i="3"/>
  <c r="Q59" i="3"/>
  <c r="AG59" i="3"/>
  <c r="AH59" i="3"/>
  <c r="AI59" i="3"/>
  <c r="N60" i="3"/>
  <c r="Y60" i="3"/>
  <c r="AG60" i="3"/>
  <c r="G61" i="3"/>
  <c r="N61" i="3"/>
  <c r="AG61" i="3"/>
  <c r="AH61" i="3"/>
  <c r="AI61" i="3"/>
  <c r="AG63" i="3"/>
  <c r="AH63" i="3"/>
  <c r="AI63" i="3"/>
  <c r="G64" i="3"/>
  <c r="Y64" i="3"/>
  <c r="G65" i="3"/>
  <c r="P65" i="3"/>
  <c r="Q65" i="3"/>
  <c r="AG65" i="3"/>
  <c r="AH65" i="3"/>
  <c r="AI65" i="3"/>
  <c r="N66" i="3"/>
  <c r="AH15" i="3"/>
  <c r="AI15" i="3"/>
  <c r="Y39" i="3"/>
  <c r="N47" i="3"/>
  <c r="P47" i="3"/>
  <c r="Q47" i="3"/>
  <c r="G51" i="3"/>
  <c r="P51" i="3"/>
  <c r="Q51" i="3"/>
  <c r="N63" i="3"/>
  <c r="AG64" i="3"/>
  <c r="AG66" i="3"/>
  <c r="P19" i="3"/>
  <c r="Q19" i="3"/>
  <c r="AG7" i="3"/>
  <c r="AH7" i="3"/>
  <c r="AI7" i="3"/>
  <c r="F72" i="3"/>
  <c r="AG8" i="3"/>
  <c r="AH8" i="3"/>
  <c r="AI8" i="3"/>
  <c r="AG46" i="3"/>
  <c r="N39" i="3"/>
  <c r="P39" i="3"/>
  <c r="Q39" i="3"/>
  <c r="AG41" i="3"/>
  <c r="AH41" i="3"/>
  <c r="AI41" i="3"/>
  <c r="AG47" i="3"/>
  <c r="G60" i="3"/>
  <c r="G63" i="3"/>
  <c r="P63" i="3"/>
  <c r="Q63" i="3"/>
  <c r="N64" i="3"/>
  <c r="G66" i="3"/>
  <c r="H72" i="3"/>
  <c r="AG39" i="3"/>
  <c r="AH39" i="3"/>
  <c r="AI39" i="3"/>
  <c r="P15" i="3"/>
  <c r="Q15" i="3"/>
  <c r="P53" i="3"/>
  <c r="Q53" i="3"/>
  <c r="AG13" i="3"/>
  <c r="AH13" i="3"/>
  <c r="AI13" i="3"/>
  <c r="Y10" i="3"/>
  <c r="P26" i="3"/>
  <c r="Q26" i="3"/>
  <c r="P7" i="3"/>
  <c r="Q7" i="3"/>
  <c r="P10" i="3"/>
  <c r="Q10" i="3"/>
  <c r="P17" i="3"/>
  <c r="Q17" i="3"/>
  <c r="P13" i="3"/>
  <c r="Q13" i="3"/>
  <c r="AG38" i="3"/>
  <c r="AH38" i="3"/>
  <c r="AI38" i="3"/>
  <c r="AH60" i="3"/>
  <c r="AI60" i="3"/>
  <c r="AH9" i="3"/>
  <c r="AI9" i="3"/>
  <c r="P66" i="3"/>
  <c r="Q66" i="3"/>
  <c r="P38" i="3"/>
  <c r="Q38" i="3"/>
  <c r="AH10" i="3"/>
  <c r="AI10" i="3"/>
  <c r="P60" i="3"/>
  <c r="Q60" i="3"/>
  <c r="AH64" i="3"/>
  <c r="AI64" i="3"/>
  <c r="AH66" i="3"/>
  <c r="AI66" i="3"/>
  <c r="AH47" i="3"/>
  <c r="AI47" i="3"/>
  <c r="P21" i="3"/>
  <c r="Q21" i="3"/>
  <c r="P28" i="3"/>
  <c r="Q28" i="3"/>
  <c r="AE72" i="3"/>
  <c r="L72" i="3"/>
  <c r="N8" i="3"/>
  <c r="P8" i="3"/>
  <c r="Q8" i="3"/>
  <c r="V72" i="3"/>
  <c r="AF72" i="3"/>
  <c r="AH22" i="3"/>
  <c r="AI22" i="3"/>
  <c r="AH35" i="3"/>
  <c r="AI35" i="3"/>
  <c r="Y40" i="3"/>
  <c r="AH34" i="3"/>
  <c r="AI34" i="3"/>
  <c r="AH19" i="3"/>
  <c r="AI19" i="3"/>
  <c r="P23" i="3"/>
  <c r="Q23" i="3"/>
  <c r="P36" i="3"/>
  <c r="Q36" i="3"/>
  <c r="P49" i="3"/>
  <c r="Q49" i="3"/>
  <c r="U72" i="3"/>
  <c r="AH18" i="3"/>
  <c r="AI18" i="3"/>
  <c r="P20" i="3"/>
  <c r="Q20" i="3"/>
  <c r="AH26" i="3"/>
  <c r="AI26" i="3"/>
  <c r="AH28" i="3"/>
  <c r="AI28" i="3"/>
  <c r="AH43" i="3"/>
  <c r="AI43" i="3"/>
  <c r="O30" i="126"/>
  <c r="AD72" i="3"/>
  <c r="W72" i="3"/>
  <c r="AH46" i="3"/>
  <c r="AI46" i="3"/>
  <c r="K72" i="3"/>
  <c r="R72" i="3"/>
  <c r="J72" i="3"/>
  <c r="AH29" i="3"/>
  <c r="AI29" i="3"/>
  <c r="P29" i="3"/>
  <c r="Q29" i="3"/>
  <c r="P30" i="3"/>
  <c r="Q30" i="3"/>
  <c r="P31" i="3"/>
  <c r="Q31" i="3"/>
  <c r="P32" i="3"/>
  <c r="Q32" i="3"/>
  <c r="P22" i="3"/>
  <c r="Q22" i="3"/>
  <c r="AJ72" i="3"/>
  <c r="AC72" i="3"/>
  <c r="D72" i="3"/>
  <c r="M72" i="3"/>
  <c r="AH37" i="3"/>
  <c r="AI37" i="3"/>
  <c r="P37" i="3"/>
  <c r="Q37" i="3"/>
  <c r="AH32" i="3"/>
  <c r="AI32" i="3"/>
  <c r="AH33" i="3"/>
  <c r="AI33" i="3"/>
  <c r="AH27" i="3"/>
  <c r="AI27" i="3"/>
  <c r="AH24" i="3"/>
  <c r="AI24" i="3"/>
  <c r="AA72" i="3"/>
  <c r="G68" i="3"/>
  <c r="AG68" i="3"/>
  <c r="AH68" i="3"/>
  <c r="AI68" i="3"/>
  <c r="X72" i="3"/>
  <c r="G67" i="3"/>
  <c r="P67" i="3"/>
  <c r="Q67" i="3"/>
  <c r="AB72" i="3"/>
  <c r="N68" i="3"/>
  <c r="S72" i="3"/>
  <c r="Z72" i="3"/>
  <c r="AG67" i="3"/>
  <c r="AH67" i="3"/>
  <c r="AI67" i="3"/>
  <c r="C72" i="3"/>
  <c r="I72" i="3"/>
  <c r="T72" i="3"/>
  <c r="G40" i="3"/>
  <c r="P48" i="3"/>
  <c r="Q48" i="3"/>
  <c r="P64" i="3"/>
  <c r="Q64" i="3"/>
  <c r="P61" i="3"/>
  <c r="Q61" i="3"/>
  <c r="Y72" i="3"/>
  <c r="AH40" i="3"/>
  <c r="AI40" i="3"/>
  <c r="P68" i="3"/>
  <c r="Q68" i="3"/>
  <c r="N72" i="3"/>
  <c r="AG72" i="3"/>
  <c r="P40" i="3"/>
  <c r="Q40" i="3"/>
  <c r="G72" i="3"/>
  <c r="AH72" i="3"/>
  <c r="AI72" i="3"/>
  <c r="P72" i="3"/>
  <c r="Q72" i="3"/>
  <c r="M15" i="176" l="1"/>
  <c r="M27" i="176"/>
  <c r="M31" i="176" s="1"/>
</calcChain>
</file>

<file path=xl/sharedStrings.xml><?xml version="1.0" encoding="utf-8"?>
<sst xmlns="http://schemas.openxmlformats.org/spreadsheetml/2006/main" count="2893" uniqueCount="726">
  <si>
    <t>Acadia County 2014 Statement of Activities</t>
  </si>
  <si>
    <t>Issued: December 31, 2014</t>
  </si>
  <si>
    <t>NET (EXPENSE) REVENUE AND CHANGE IN NET ASSETS</t>
  </si>
  <si>
    <t xml:space="preserve"> </t>
  </si>
  <si>
    <t>PROGRAM REVENUES</t>
  </si>
  <si>
    <t>PRIMARY GOVERNMENT</t>
  </si>
  <si>
    <t>FUNCTIONS/PROGRAMS</t>
  </si>
  <si>
    <t>Expenses</t>
  </si>
  <si>
    <t>Charges for Services</t>
  </si>
  <si>
    <t>Operating Grants and Contributions</t>
  </si>
  <si>
    <t>Capital Grants and Contributions</t>
  </si>
  <si>
    <t>Total Governmental Activities</t>
  </si>
  <si>
    <t>Component Units</t>
  </si>
  <si>
    <t>Primary Government:</t>
  </si>
  <si>
    <t>Government Activities:</t>
  </si>
  <si>
    <t>General government</t>
  </si>
  <si>
    <t>Public safety</t>
  </si>
  <si>
    <t>Public works</t>
  </si>
  <si>
    <t>Economic development and assistance</t>
  </si>
  <si>
    <t>Health and welfare</t>
  </si>
  <si>
    <t>Culture and recreation</t>
  </si>
  <si>
    <t>Interest on long-term debt</t>
  </si>
  <si>
    <t>Total Government Activities</t>
  </si>
  <si>
    <t>Component units:</t>
  </si>
  <si>
    <t>Acadia Parish District Criminal Court</t>
  </si>
  <si>
    <t>General Revenues:</t>
  </si>
  <si>
    <t>Taxes:</t>
  </si>
  <si>
    <t>Property</t>
  </si>
  <si>
    <t>Sales</t>
  </si>
  <si>
    <t>Severance</t>
  </si>
  <si>
    <t>Fire insurance premiums</t>
  </si>
  <si>
    <t>Occupational and insurance</t>
  </si>
  <si>
    <t>Other</t>
  </si>
  <si>
    <t>Grants and contributions not restricted to specific programs</t>
  </si>
  <si>
    <t>Investment income gains (losses)</t>
  </si>
  <si>
    <t>Loss on disposal of capital assets</t>
  </si>
  <si>
    <t>Miscellaneous</t>
  </si>
  <si>
    <t>Transfers</t>
  </si>
  <si>
    <t xml:space="preserve">Total General Revenues </t>
  </si>
  <si>
    <t>Change in Net Assets</t>
  </si>
  <si>
    <t>Net Assets- Beginning</t>
  </si>
  <si>
    <t>Net Assets- Ending</t>
  </si>
  <si>
    <t>Allen County 2014 Statement of Activities</t>
  </si>
  <si>
    <t>NET (EXPENSE) REVENUE AND CHANGE IN NET POSITIONS</t>
  </si>
  <si>
    <t>Economic development</t>
  </si>
  <si>
    <t>Other governments</t>
  </si>
  <si>
    <t>Ad valorem</t>
  </si>
  <si>
    <t>Sales and use</t>
  </si>
  <si>
    <t>State revenue sharing</t>
  </si>
  <si>
    <t>All other revenues</t>
  </si>
  <si>
    <t>Investment earnings</t>
  </si>
  <si>
    <t>Special items:</t>
  </si>
  <si>
    <t>Gain on disposal of assets</t>
  </si>
  <si>
    <t>Change in Net Position</t>
  </si>
  <si>
    <t>Net Assets- Beginning of Year</t>
  </si>
  <si>
    <t>Net Assets- End of Year</t>
  </si>
  <si>
    <t>East Carroll County 2014 Statement of Activities</t>
  </si>
  <si>
    <t>NET (EXPENSE) REVENUE AND CHANGES IN NET ASSETS</t>
  </si>
  <si>
    <t>Governmental Activities</t>
  </si>
  <si>
    <t>Total</t>
  </si>
  <si>
    <t>General government:</t>
  </si>
  <si>
    <t>Legislative</t>
  </si>
  <si>
    <t>Judicial</t>
  </si>
  <si>
    <t>Elections</t>
  </si>
  <si>
    <t>Finance and administrative</t>
  </si>
  <si>
    <t>Other general government</t>
  </si>
  <si>
    <t>Public utilities</t>
  </si>
  <si>
    <t>Total primary government</t>
  </si>
  <si>
    <t>Buisness-type Activities:</t>
  </si>
  <si>
    <t>Sewer and water</t>
  </si>
  <si>
    <t>Total component units</t>
  </si>
  <si>
    <t>Local sources</t>
  </si>
  <si>
    <t xml:space="preserve">Sales and use taxes </t>
  </si>
  <si>
    <t>Other taxes</t>
  </si>
  <si>
    <t>Other revenue</t>
  </si>
  <si>
    <t>State sources</t>
  </si>
  <si>
    <t xml:space="preserve">Unrestricted revenue </t>
  </si>
  <si>
    <t>Excess of revenues and special items</t>
  </si>
  <si>
    <t>Avoyelles County 2014 Statement of Activities</t>
  </si>
  <si>
    <t>Fees, Fines, and Charges for Services</t>
  </si>
  <si>
    <t>Property taxes, levied for general purposes</t>
  </si>
  <si>
    <t>Sales and use taxes, levied for general purposes</t>
  </si>
  <si>
    <t>Grants and contributions not restricted to specific programs:</t>
  </si>
  <si>
    <t>Parish equalization</t>
  </si>
  <si>
    <t>State grants</t>
  </si>
  <si>
    <t>Casino revenue</t>
  </si>
  <si>
    <t>Interest and investment earnings</t>
  </si>
  <si>
    <t>Special item- Gain on disposal of assets</t>
  </si>
  <si>
    <t>Beauregard County 2014 Statement of Activities</t>
  </si>
  <si>
    <t>Governmental Activities- Net (Expense) Revenue in Changes in Net Assets</t>
  </si>
  <si>
    <t>Financial and administrative</t>
  </si>
  <si>
    <t>Other general government activities</t>
  </si>
  <si>
    <t>Sanitation</t>
  </si>
  <si>
    <t>Other activities</t>
  </si>
  <si>
    <t>Ad valorem taxes</t>
  </si>
  <si>
    <t>Severance taxes</t>
  </si>
  <si>
    <t>Sales taxes</t>
  </si>
  <si>
    <t>State revenue sharing, unrestricted</t>
  </si>
  <si>
    <t>Total General Revenues and special items</t>
  </si>
  <si>
    <t>Conservation of natural resources</t>
  </si>
  <si>
    <t>Debt service</t>
  </si>
  <si>
    <t xml:space="preserve">Property taxes levied for general purposes </t>
  </si>
  <si>
    <t>Property taxes levied for public works</t>
  </si>
  <si>
    <t>Property taxes levied for debt service</t>
  </si>
  <si>
    <t>Sales &amp; use taxes levied for public works</t>
  </si>
  <si>
    <t>Other taxes, penalties, and interest</t>
  </si>
  <si>
    <t>Licenses and permits</t>
  </si>
  <si>
    <t>Unrestricted investment earnings</t>
  </si>
  <si>
    <t>Special item - gain (loss) on disposal of assets</t>
  </si>
  <si>
    <t>Bossier 2014 Statement of Activities</t>
  </si>
  <si>
    <t>Primary government</t>
  </si>
  <si>
    <t>Governmental activities</t>
  </si>
  <si>
    <t>Net (Expenses) Revenue and Changes in Net Assets</t>
  </si>
  <si>
    <t xml:space="preserve">Buisness-type Activities </t>
  </si>
  <si>
    <t>Primary Government: Governmental Activities</t>
  </si>
  <si>
    <t>-</t>
  </si>
  <si>
    <t>Business-type Activities:</t>
  </si>
  <si>
    <t>Total business-type Activities</t>
  </si>
  <si>
    <t xml:space="preserve">Total </t>
  </si>
  <si>
    <t> Sales taxes </t>
  </si>
  <si>
    <t> Gaming tax revenues </t>
  </si>
  <si>
    <t>Franchise taxes</t>
  </si>
  <si>
    <t>Gain of sale of property</t>
  </si>
  <si>
    <t>Net position- Beginning</t>
  </si>
  <si>
    <t>Net position- Ending</t>
  </si>
  <si>
    <t>Caddo County 2014 Statement of Activities</t>
  </si>
  <si>
    <t>Primary Government</t>
  </si>
  <si>
    <t>Criminal justice</t>
  </si>
  <si>
    <t>Highways, streets, and drainage</t>
  </si>
  <si>
    <t>Building facilities</t>
  </si>
  <si>
    <t>Interest and fees on long-term debt</t>
  </si>
  <si>
    <t>Judicial services</t>
  </si>
  <si>
    <t>Fire protection services</t>
  </si>
  <si>
    <t>Sewerage services</t>
  </si>
  <si>
    <t>Water services</t>
  </si>
  <si>
    <t>Hospital services</t>
  </si>
  <si>
    <t>Property taxes levied for general purposes</t>
  </si>
  <si>
    <t>Telephone tariff</t>
  </si>
  <si>
    <t>State revenue sharing and supplemental pay</t>
  </si>
  <si>
    <t>Gaming</t>
  </si>
  <si>
    <t>Oil and gas leases</t>
  </si>
  <si>
    <t>Inmate work release revenue</t>
  </si>
  <si>
    <t>Fire insurance rebate</t>
  </si>
  <si>
    <t>Net position - beginning, as previously stated</t>
  </si>
  <si>
    <t>Prior period adjustment</t>
  </si>
  <si>
    <t>Net Assets- Beginning, as restated</t>
  </si>
  <si>
    <t>Calcasieu Parish 2014 Statement of Activities</t>
  </si>
  <si>
    <t>Business-type Activities</t>
  </si>
  <si>
    <t xml:space="preserve">Economic development </t>
  </si>
  <si>
    <t xml:space="preserve">Water </t>
  </si>
  <si>
    <t>Sewer</t>
  </si>
  <si>
    <t>West Calcasieu Cameron Hospital</t>
  </si>
  <si>
    <t>Sulphur Parks and Recreation</t>
  </si>
  <si>
    <t>Gravity Drainage District No. 5 of Ward 4</t>
  </si>
  <si>
    <t>Gravity Drainage District No. 4 of Ward 3</t>
  </si>
  <si>
    <t>Airport Authority District No. 1</t>
  </si>
  <si>
    <t>Other component units</t>
  </si>
  <si>
    <t>Franchise</t>
  </si>
  <si>
    <t>Gaming revnues</t>
  </si>
  <si>
    <t>Gain on sale of capital assets</t>
  </si>
  <si>
    <t>Gain on forgiveness of debt</t>
  </si>
  <si>
    <t>Special items - transfer of operations</t>
  </si>
  <si>
    <t>Caldwell County 2014 Statement of Activities</t>
  </si>
  <si>
    <t>FUNCTIONS</t>
  </si>
  <si>
    <t>Transportation</t>
  </si>
  <si>
    <t>Property taxes levied for:</t>
  </si>
  <si>
    <t>General purposes</t>
  </si>
  <si>
    <t>Sales and use taxes levied for:</t>
  </si>
  <si>
    <t>Other taxes, penalties and interest</t>
  </si>
  <si>
    <t>Other revenues</t>
  </si>
  <si>
    <t>Total general revenues</t>
  </si>
  <si>
    <t>Change in net position</t>
  </si>
  <si>
    <t>Net position at beginning of year, related</t>
  </si>
  <si>
    <t>Net position at the end of the year</t>
  </si>
  <si>
    <t>Cameron County 2014 Statement of Activities</t>
  </si>
  <si>
    <t>Program Revenues</t>
  </si>
  <si>
    <t>NET REVENUES (EXPENSES) AND CHANGES IN NET POSITION</t>
  </si>
  <si>
    <t>Other taxes for general purposes</t>
  </si>
  <si>
    <t>Fines, forfeitures, and court costs</t>
  </si>
  <si>
    <t>Intergovernmental:</t>
  </si>
  <si>
    <t>State</t>
  </si>
  <si>
    <t>Local</t>
  </si>
  <si>
    <t>Gain (loss) on disposal of capital assets</t>
  </si>
  <si>
    <t>Interest earnings</t>
  </si>
  <si>
    <t>Catahoula County 2014 Statement of Activities</t>
  </si>
  <si>
    <t>Interest expense</t>
  </si>
  <si>
    <t>Property taxes</t>
  </si>
  <si>
    <t>Sales and use taxes</t>
  </si>
  <si>
    <t>Gain (loss) on sale of capital assets</t>
  </si>
  <si>
    <t>Claiborne County 2014 Statement of Activities</t>
  </si>
  <si>
    <t>FUNCTIONS- GOVERNMENTAL ACTIVITIES</t>
  </si>
  <si>
    <t>Conservation</t>
  </si>
  <si>
    <t>Sales and use taxes levied for public works</t>
  </si>
  <si>
    <t>Net increase (decreaase) in the fair value of investments</t>
  </si>
  <si>
    <t>Contributions from private sources</t>
  </si>
  <si>
    <t>Total General Revenues and transfers</t>
  </si>
  <si>
    <t>Concordia County 2014 Statement of Activities</t>
  </si>
  <si>
    <t>NET REVENUE (EXPENSE)  AND CHANGES IN NET ASSETS</t>
  </si>
  <si>
    <t xml:space="preserve">Finance </t>
  </si>
  <si>
    <t>Other general</t>
  </si>
  <si>
    <t xml:space="preserve">Interest </t>
  </si>
  <si>
    <t xml:space="preserve">Intergovernmental revenues </t>
  </si>
  <si>
    <t>Parish transportation</t>
  </si>
  <si>
    <t>Fire insurance premium tax</t>
  </si>
  <si>
    <t>Parish royalty</t>
  </si>
  <si>
    <t>Interest</t>
  </si>
  <si>
    <t>Other general revenues</t>
  </si>
  <si>
    <t>Desoto County 2014 Statement of Activities</t>
  </si>
  <si>
    <t>NET (EXPENSES) REVENUES AND CHANGES IN NET POSITION</t>
  </si>
  <si>
    <t>Program Activities</t>
  </si>
  <si>
    <t>Fees, Fines and Charges for Services</t>
  </si>
  <si>
    <t>Finance and administration</t>
  </si>
  <si>
    <t>Animal control</t>
  </si>
  <si>
    <t>Eastside sewer</t>
  </si>
  <si>
    <t>Total Government</t>
  </si>
  <si>
    <t>Taxes-</t>
  </si>
  <si>
    <t xml:space="preserve">Ad valorem </t>
  </si>
  <si>
    <t xml:space="preserve">Sales &amp; use </t>
  </si>
  <si>
    <t xml:space="preserve">Severance </t>
  </si>
  <si>
    <t xml:space="preserve">Tourism </t>
  </si>
  <si>
    <t>Video poker</t>
  </si>
  <si>
    <t>Rentals, leases and royalties</t>
  </si>
  <si>
    <t>Other miscellaneous</t>
  </si>
  <si>
    <t>Total General Revenues &amp; Transfers</t>
  </si>
  <si>
    <t>East Baton Rouge County 2014 Statement of Activities</t>
  </si>
  <si>
    <t>NET (EXPENSE) REVENUE AND CHANGES IN NET POSITION</t>
  </si>
  <si>
    <t>Conservation and development</t>
  </si>
  <si>
    <t>Interest and fiscal charges on long-term debt</t>
  </si>
  <si>
    <t>Airport</t>
  </si>
  <si>
    <t>Solid waste collection and disposal</t>
  </si>
  <si>
    <t>Convention center</t>
  </si>
  <si>
    <t>Parking facilities</t>
  </si>
  <si>
    <t>Total Business-type Activities</t>
  </si>
  <si>
    <t>Judicial court services</t>
  </si>
  <si>
    <t>Economic development districts</t>
  </si>
  <si>
    <t>Mass transit</t>
  </si>
  <si>
    <t>Gross receipts business</t>
  </si>
  <si>
    <t>Occupancy</t>
  </si>
  <si>
    <t>Occupational</t>
  </si>
  <si>
    <t>Insurance premium</t>
  </si>
  <si>
    <t>Gaming admissions</t>
  </si>
  <si>
    <t>Interest and penalties - delinquent taxes</t>
  </si>
  <si>
    <t>Transfers (to) from other funds</t>
  </si>
  <si>
    <t>Total General Revenues and Transfers</t>
  </si>
  <si>
    <t>Total Component Units</t>
  </si>
  <si>
    <t>Property taxes, levied for debt services</t>
  </si>
  <si>
    <t>Sales taxes, levied for general purposes</t>
  </si>
  <si>
    <t>Net Position- Beginning of Year</t>
  </si>
  <si>
    <t>Net Position- End of Year</t>
  </si>
  <si>
    <t>East Feliciana County 2014 Statement of Activities</t>
  </si>
  <si>
    <t xml:space="preserve">NET REVENUES (EXPENSES)  </t>
  </si>
  <si>
    <t>Total Government Activities/Primary government</t>
  </si>
  <si>
    <t>General Revenues and Transfers:</t>
  </si>
  <si>
    <t>Intergovernmental revenues</t>
  </si>
  <si>
    <t>Franchise fees</t>
  </si>
  <si>
    <t>Insurance rebates</t>
  </si>
  <si>
    <t>Fines and forfeitures</t>
  </si>
  <si>
    <t>Rents and other fees</t>
  </si>
  <si>
    <t>Interest earned</t>
  </si>
  <si>
    <t>Evangeline County 2014 Statement of Activities</t>
  </si>
  <si>
    <t>Ward One sewer system</t>
  </si>
  <si>
    <t>Section 8 housing program</t>
  </si>
  <si>
    <t>Beer taxes</t>
  </si>
  <si>
    <t>Other state grants</t>
  </si>
  <si>
    <t>Net Position- January 1, 2014, as restated</t>
  </si>
  <si>
    <t>Net Position- December 31, 2014</t>
  </si>
  <si>
    <t>Franklin County 2014 Statement of Activities</t>
  </si>
  <si>
    <t>Proceeds from lease</t>
  </si>
  <si>
    <t>Gain (loss) on disposal of assets</t>
  </si>
  <si>
    <t>Grant County 2014 Statement of Activities</t>
  </si>
  <si>
    <t>Net (Expenses) Revenue</t>
  </si>
  <si>
    <t>Road maintenance</t>
  </si>
  <si>
    <t>Landfill maintenance</t>
  </si>
  <si>
    <t>CDBG South Grant Sewer System</t>
  </si>
  <si>
    <t>CDBG Herman Park Sewer System</t>
  </si>
  <si>
    <t>Other public works</t>
  </si>
  <si>
    <t>Utility system</t>
  </si>
  <si>
    <t>Total government</t>
  </si>
  <si>
    <t xml:space="preserve">Net (Expense) Revenue </t>
  </si>
  <si>
    <t>Revenue sharing</t>
  </si>
  <si>
    <t>As Originally Reported Prior Period Adjustment</t>
  </si>
  <si>
    <t>As Restated</t>
  </si>
  <si>
    <t>Iberia County 2014 Statement of Activities</t>
  </si>
  <si>
    <t>Urban redevelopment and housing</t>
  </si>
  <si>
    <t>Unallocated depreciation</t>
  </si>
  <si>
    <t>Total Primary government</t>
  </si>
  <si>
    <t>Component units</t>
  </si>
  <si>
    <t>Hotel/motel taxes</t>
  </si>
  <si>
    <t>Occupational licenses</t>
  </si>
  <si>
    <t>Net Assets- Beginning of Year, as restated</t>
  </si>
  <si>
    <t>Iberville County 2014 Statement of Activities</t>
  </si>
  <si>
    <t>NET (EXPENSE) REVENUE AND CHANGE IN NET POSITION</t>
  </si>
  <si>
    <t>COMPONENT UNITS</t>
  </si>
  <si>
    <t>Public health</t>
  </si>
  <si>
    <t>Water, natural gas and sewer</t>
  </si>
  <si>
    <t>Business-type activities</t>
  </si>
  <si>
    <t>Alcoholic beverage taxes</t>
  </si>
  <si>
    <t>Gaming taxes</t>
  </si>
  <si>
    <t>Unrestricted grants and contributions</t>
  </si>
  <si>
    <t>Miscellaneous revenues</t>
  </si>
  <si>
    <t>Transfers (from) to governmental activities</t>
  </si>
  <si>
    <t>Restatement to beginning net position</t>
  </si>
  <si>
    <t>Net Position-beginning restated</t>
  </si>
  <si>
    <t>Jackson County 2014 Statement of Activities</t>
  </si>
  <si>
    <t>Net (Expense) Revenue and Changes in net Position</t>
  </si>
  <si>
    <t>Severance tax</t>
  </si>
  <si>
    <t>Miscellaneous taxes</t>
  </si>
  <si>
    <t>Jefferson Davis County 2014 Statement of Activities</t>
  </si>
  <si>
    <t>Sales tax</t>
  </si>
  <si>
    <t>Occupational licenses and permits</t>
  </si>
  <si>
    <t>Jefferson County 2014 Statement of Activities</t>
  </si>
  <si>
    <t>(amounts in thousands)</t>
  </si>
  <si>
    <t>Transit</t>
  </si>
  <si>
    <t>Consolidated Waterworks District No. 1</t>
  </si>
  <si>
    <t>Consolidated Sewerage District No. 1</t>
  </si>
  <si>
    <t>JEDCO</t>
  </si>
  <si>
    <t>Jefferson Facilities, Inc</t>
  </si>
  <si>
    <t>Jefferson Redevelopment, Inc</t>
  </si>
  <si>
    <t>Jefferson Parish Finance Authority</t>
  </si>
  <si>
    <t>Hospital District No. 1</t>
  </si>
  <si>
    <t>Hospital District No. 2</t>
  </si>
  <si>
    <t>Alcoholic beverage</t>
  </si>
  <si>
    <t>Chain store</t>
  </si>
  <si>
    <t>Hotel/Motel</t>
  </si>
  <si>
    <t>Auto rental</t>
  </si>
  <si>
    <t>Gain on extinguishement of debt</t>
  </si>
  <si>
    <t>Lafayette County 2014 Statement of Activities</t>
  </si>
  <si>
    <t>Traffic and transportation</t>
  </si>
  <si>
    <t>Streets and drainage</t>
  </si>
  <si>
    <t>Economic opportunity</t>
  </si>
  <si>
    <t>Electric</t>
  </si>
  <si>
    <t>Water</t>
  </si>
  <si>
    <t>Communications system</t>
  </si>
  <si>
    <t>Coal-fired electric plant</t>
  </si>
  <si>
    <t>Solid waste collection services</t>
  </si>
  <si>
    <t>Animal shelter control program</t>
  </si>
  <si>
    <t>CNG Service Station</t>
  </si>
  <si>
    <t>Cajundome Commission</t>
  </si>
  <si>
    <t>Lafayette Regional Airport</t>
  </si>
  <si>
    <t>Lafayette Public Trust Financing Authority</t>
  </si>
  <si>
    <t>Nonmakor component units</t>
  </si>
  <si>
    <t>Lafourche County 2014 Statement of Activities</t>
  </si>
  <si>
    <t>Net (Expense) Revenue Governmental Activities</t>
  </si>
  <si>
    <t>Health and community services</t>
  </si>
  <si>
    <t>Interest and fiscal charges</t>
  </si>
  <si>
    <t>Royalty revenue</t>
  </si>
  <si>
    <t>Grants not restricted to specific programs</t>
  </si>
  <si>
    <t>LaSalle County 2014 Statement of Activities</t>
  </si>
  <si>
    <t>NET (EXPENSE) REVENUE AND CHANGES IN NET  POSITION</t>
  </si>
  <si>
    <t>Intergovernmental</t>
  </si>
  <si>
    <t>Lincoln County 2014 Statement of Activities</t>
  </si>
  <si>
    <t>FUNCTIONS/PROGRAM ACTIVITIES</t>
  </si>
  <si>
    <t>Culture and Recreation</t>
  </si>
  <si>
    <t>Rents and royalties</t>
  </si>
  <si>
    <t>Sale of Assets</t>
  </si>
  <si>
    <t>Transfers to other funds</t>
  </si>
  <si>
    <t>Net Assets- Beginning (Restated)</t>
  </si>
  <si>
    <t>Livingston County 2014 Statement of Activities</t>
  </si>
  <si>
    <t>Debt service interest and fees</t>
  </si>
  <si>
    <t>Utilities-Water and sewer</t>
  </si>
  <si>
    <t>Ad Valorem Taxes</t>
  </si>
  <si>
    <t>Royalties</t>
  </si>
  <si>
    <t>Use of money and property</t>
  </si>
  <si>
    <t>Total General Revenues and Transfers</t>
  </si>
  <si>
    <t>Change in Net Postition</t>
  </si>
  <si>
    <t>Madison County 2014 Statement of Activities</t>
  </si>
  <si>
    <t>Net (expense)</t>
  </si>
  <si>
    <t>Revenues and changes in Net Assets</t>
  </si>
  <si>
    <t>Other general administrative</t>
  </si>
  <si>
    <t> Property taxes, levied for general purposes</t>
  </si>
  <si>
    <t>Other taxes and penalties</t>
  </si>
  <si>
    <t>Interest and invcestment earnings</t>
  </si>
  <si>
    <t>Morehouse Parish 2013 Statement of Activities</t>
  </si>
  <si>
    <t>Current:</t>
  </si>
  <si>
    <t>Building maintenance</t>
  </si>
  <si>
    <t>Taxes</t>
  </si>
  <si>
    <t>Unrestricted investment earnings and miscellaneous</t>
  </si>
  <si>
    <t>Special item:</t>
  </si>
  <si>
    <t>Total General Revenues and Special Item</t>
  </si>
  <si>
    <t>Changes in Net position</t>
  </si>
  <si>
    <t>Net position- beginning of year</t>
  </si>
  <si>
    <t>Net position- ending</t>
  </si>
  <si>
    <t>Natchitoches 2014 Statement of Activities</t>
  </si>
  <si>
    <t>Recreation and culture</t>
  </si>
  <si>
    <t>Ad Valorem</t>
  </si>
  <si>
    <t>Sales &amp; Use</t>
  </si>
  <si>
    <t>Licenses &amp; Permits</t>
  </si>
  <si>
    <t>Net Assets at Beginning of Year</t>
  </si>
  <si>
    <t>Net Assets at End of Year</t>
  </si>
  <si>
    <t>Issued: May 31, 2014</t>
  </si>
  <si>
    <t>Streets and Sanitation</t>
  </si>
  <si>
    <t>Water, Sewer &amp; Utilities</t>
  </si>
  <si>
    <t>Utilities Administration</t>
  </si>
  <si>
    <t>Information Technology</t>
  </si>
  <si>
    <t>Interest on Long-term Debt</t>
  </si>
  <si>
    <t>Video Bingo</t>
  </si>
  <si>
    <t>Interest Income</t>
  </si>
  <si>
    <t>Gain (Loss) on Sale of Assets</t>
  </si>
  <si>
    <t>Rental Income</t>
  </si>
  <si>
    <t>Insurance Recoveries</t>
  </si>
  <si>
    <t>Ouachita County 2013 Statement of Activities</t>
  </si>
  <si>
    <t>Total General Governement</t>
  </si>
  <si>
    <t>Economic and governmental assistance</t>
  </si>
  <si>
    <t>Ad valorem taxes levied for:</t>
  </si>
  <si>
    <t>Special revenue purposes</t>
  </si>
  <si>
    <t>Sales taxes levied for:</t>
  </si>
  <si>
    <t>Assessments</t>
  </si>
  <si>
    <t>Insurance premiums</t>
  </si>
  <si>
    <t>Gain on disposals of assets (net)</t>
  </si>
  <si>
    <t>Pointe Coupee County 2014 Statement of Activities</t>
  </si>
  <si>
    <t>Transportation and development</t>
  </si>
  <si>
    <t>Drainage</t>
  </si>
  <si>
    <t>Gas</t>
  </si>
  <si>
    <t>Solid waste</t>
  </si>
  <si>
    <t>Multi-use center</t>
  </si>
  <si>
    <t>Gain (loss) on sale of capital assets, net</t>
  </si>
  <si>
    <t>Rapides Parish 2014 Statement of Activities</t>
  </si>
  <si>
    <t>Governmental activities:</t>
  </si>
  <si>
    <t>Sales and use taxes, levied for public works</t>
  </si>
  <si>
    <t>Other taxes, licenses, and penalties</t>
  </si>
  <si>
    <t>Federal grant programs - unrestricted</t>
  </si>
  <si>
    <t>State grant programs - unrestricted</t>
  </si>
  <si>
    <t>Local grants</t>
  </si>
  <si>
    <t>Total General Revenues</t>
  </si>
  <si>
    <t>Change in Net position</t>
  </si>
  <si>
    <t>Net position- end of year</t>
  </si>
  <si>
    <t>Red River County 2014 Statement of Activities</t>
  </si>
  <si>
    <t>CHANGES IN NET POSITION</t>
  </si>
  <si>
    <t>License and permits</t>
  </si>
  <si>
    <t>Gaming revenues</t>
  </si>
  <si>
    <t>Interest and investment income (losses)</t>
  </si>
  <si>
    <t>Net Position- Beginning of Year (restated)</t>
  </si>
  <si>
    <t>Richland Parish 2014 Statement of Activities</t>
  </si>
  <si>
    <t>Net position- beginning</t>
  </si>
  <si>
    <t>Sabine Parish 2014 Statement of Activities</t>
  </si>
  <si>
    <t>State grant programs</t>
  </si>
  <si>
    <t>Total General Revenues and Special Items</t>
  </si>
  <si>
    <t>St. Charles County 2014 Statement of Activities</t>
  </si>
  <si>
    <t>Interest and other charges on long-term debt</t>
  </si>
  <si>
    <t>Transfers - capital contributions</t>
  </si>
  <si>
    <t>Waterworks utility system</t>
  </si>
  <si>
    <t>Wastewater utility system</t>
  </si>
  <si>
    <t>Communications district</t>
  </si>
  <si>
    <t>Library service district no. 1</t>
  </si>
  <si>
    <t>Hospital service district</t>
  </si>
  <si>
    <t>Maintenance tax</t>
  </si>
  <si>
    <t>Alcoholic beverage tax</t>
  </si>
  <si>
    <t>Airport expansion agreement</t>
  </si>
  <si>
    <t>Cable TV franchise tax</t>
  </si>
  <si>
    <t xml:space="preserve">Net Assets- Beginning </t>
  </si>
  <si>
    <t>St. Helena County 2014 Statement of Activities</t>
  </si>
  <si>
    <t>Discretely Presented Component Units</t>
  </si>
  <si>
    <t>Primary government governmental activities</t>
  </si>
  <si>
    <t>St. Helena Par Hospital Serv Dist 1 &amp; Subsidiary</t>
  </si>
  <si>
    <t>Water Works Dist No. 2 of St. Helena Par</t>
  </si>
  <si>
    <t>Other Component Units</t>
  </si>
  <si>
    <t>Recreation</t>
  </si>
  <si>
    <t>Interest on long-term indebtedness</t>
  </si>
  <si>
    <t>St. Helena Parish Hospital Serv Dist 1 &amp; Subsidary</t>
  </si>
  <si>
    <t>Water works district No. 2 of St. Helena Parish</t>
  </si>
  <si>
    <t>Fire Insurance rebates</t>
  </si>
  <si>
    <t>Severance Taxes</t>
  </si>
  <si>
    <t>Recovery of bad debts</t>
  </si>
  <si>
    <t>Payments (to) from other local governments</t>
  </si>
  <si>
    <t>Gain (loss) on sale or Acquisition (Disposition) of assets</t>
  </si>
  <si>
    <t>Net Position - beginning</t>
  </si>
  <si>
    <t>Prior period adjustments</t>
  </si>
  <si>
    <t>Net Assets- Beginning of Year (restated)</t>
  </si>
  <si>
    <t>St. James County 2014 Statement of Activities</t>
  </si>
  <si>
    <t>COMPONENT UNIT</t>
  </si>
  <si>
    <t>Highways and streets</t>
  </si>
  <si>
    <t>Public housing</t>
  </si>
  <si>
    <t>Public transportation</t>
  </si>
  <si>
    <t>Gas and water</t>
  </si>
  <si>
    <t>Youth detention</t>
  </si>
  <si>
    <t>St. James Parish Hospital</t>
  </si>
  <si>
    <t>Voluntary payments in lieu of taxes</t>
  </si>
  <si>
    <t>Alcoholic beverages</t>
  </si>
  <si>
    <t>Fines and forfeits</t>
  </si>
  <si>
    <t>Interest on investments</t>
  </si>
  <si>
    <t>Gain (loss) on sale of fixed assets</t>
  </si>
  <si>
    <t>Change in Net Assets before extraordinary item</t>
  </si>
  <si>
    <t>Extraordinary item - loss on impairment of capital asset</t>
  </si>
  <si>
    <t>Change in net assets</t>
  </si>
  <si>
    <t>Net position - beginning as previously reported</t>
  </si>
  <si>
    <t>Adjustment for implementation of GASB 65</t>
  </si>
  <si>
    <t>Net Assets- Beginning of Year, restated</t>
  </si>
  <si>
    <t>St. Mary County 2014 Statement of Activities</t>
  </si>
  <si>
    <t>Fees on long-term debt</t>
  </si>
  <si>
    <t>Solid waste landfil</t>
  </si>
  <si>
    <t>Small animal control</t>
  </si>
  <si>
    <t>Kemper Williams Park</t>
  </si>
  <si>
    <t>Ad valorem taxes levied for general purposes</t>
  </si>
  <si>
    <t>Ad valorem taxes levied for debt service</t>
  </si>
  <si>
    <t>Other taxes, penalties, and interest, etc.</t>
  </si>
  <si>
    <t>Royalty road funds</t>
  </si>
  <si>
    <t>State shared revenue</t>
  </si>
  <si>
    <t>Investment earnings and interest</t>
  </si>
  <si>
    <t>Gain on sale of equipment</t>
  </si>
  <si>
    <t>Special item: payment from St. Mary Library Board</t>
  </si>
  <si>
    <t>Transfers: operating</t>
  </si>
  <si>
    <t>Total General Revenues, Special items, and Transfers</t>
  </si>
  <si>
    <t>St. Tammany County 2014 Statement of Activities</t>
  </si>
  <si>
    <t>Water/Sewer</t>
  </si>
  <si>
    <t>Property taxes, general (Ad valorem, parcel fees, etc.)</t>
  </si>
  <si>
    <t>Property taxes, special purpose (Ad valorem, parcel fees, etc.)</t>
  </si>
  <si>
    <t>Hotel/Motel tax</t>
  </si>
  <si>
    <t>Timber severance tax</t>
  </si>
  <si>
    <t>Mineral severance tax</t>
  </si>
  <si>
    <t>Alcohol tax</t>
  </si>
  <si>
    <t>Cigarette paper tax</t>
  </si>
  <si>
    <t>Gaming revenue tax</t>
  </si>
  <si>
    <t>Fire insurance tax</t>
  </si>
  <si>
    <t>State revenue sharing (unrestricted)</t>
  </si>
  <si>
    <t>Federal payment in lieu of ad valorem</t>
  </si>
  <si>
    <t>Sale of revocated property</t>
  </si>
  <si>
    <t>GNOE excess revenue</t>
  </si>
  <si>
    <t>Extraordinary item -Reimbursement of federal awards</t>
  </si>
  <si>
    <t>Total General Revenues, extraordinary items and transfers</t>
  </si>
  <si>
    <t>Tangipahoa Parish 2014 Statement of Activities</t>
  </si>
  <si>
    <t>Net Revenues (Expenses) Revenues and Changes in Net Position</t>
  </si>
  <si>
    <t>Component Units:</t>
  </si>
  <si>
    <t>2% Fire insurance rebate</t>
  </si>
  <si>
    <t>Donations</t>
  </si>
  <si>
    <t>Gain from disposition of capital assets</t>
  </si>
  <si>
    <t>Transfer and contributions</t>
  </si>
  <si>
    <t>Total general revenues, transfers, and contributions</t>
  </si>
  <si>
    <t>Net Position, beginning (as restated)</t>
  </si>
  <si>
    <t>Tensas Parish 2014 Statement of Activities</t>
  </si>
  <si>
    <t>Primary government:</t>
  </si>
  <si>
    <t>Other general adminstrative</t>
  </si>
  <si>
    <t>State funds:</t>
  </si>
  <si>
    <t>Fire insurance rebates</t>
  </si>
  <si>
    <t>Investment income</t>
  </si>
  <si>
    <t>Contract buyout</t>
  </si>
  <si>
    <t>Total General Revenue</t>
  </si>
  <si>
    <t>Terrebonne County 2014 Statement of Activities</t>
  </si>
  <si>
    <t>Education</t>
  </si>
  <si>
    <t>Electric and gas</t>
  </si>
  <si>
    <t>Sewerage</t>
  </si>
  <si>
    <t>Civic center</t>
  </si>
  <si>
    <t>Health and welfare services</t>
  </si>
  <si>
    <t>Utilities</t>
  </si>
  <si>
    <t>Union County 2014 Statement of Activities</t>
  </si>
  <si>
    <t>OPEB obligation</t>
  </si>
  <si>
    <t>Restricted investment earnings</t>
  </si>
  <si>
    <t>Vermillion County 2014 Statement of Activities</t>
  </si>
  <si>
    <t>ACTIVITIES</t>
  </si>
  <si>
    <t>Fees, fines, and charges for services</t>
  </si>
  <si>
    <t>Criminal Court Fund</t>
  </si>
  <si>
    <t>Tourist Commission</t>
  </si>
  <si>
    <t>Sanitation and waste disposal</t>
  </si>
  <si>
    <t>Criminal court fund</t>
  </si>
  <si>
    <t>Tourist commission</t>
  </si>
  <si>
    <t>Property taxes, levied for debt service</t>
  </si>
  <si>
    <t>Franchise tax</t>
  </si>
  <si>
    <t>Occupational licenses and other permits</t>
  </si>
  <si>
    <t>Interest income</t>
  </si>
  <si>
    <t>Appropriation of capital expenditures from other governmental entities</t>
  </si>
  <si>
    <t>Appropriation of capital expenditures to other governmental entities</t>
  </si>
  <si>
    <t>Net Position, January 01, 2014</t>
  </si>
  <si>
    <t>Net Position, December 31,2014</t>
  </si>
  <si>
    <t>Vernon Parish 2014 Statement of Activities</t>
  </si>
  <si>
    <t>Grants and contributions not restricted to specific purposes:</t>
  </si>
  <si>
    <t>Federal grant programs</t>
  </si>
  <si>
    <t>Washington Parish 2014 Statement of Activities</t>
  </si>
  <si>
    <t>Net Revenues (Expenses) Revenues &amp; Changes in Net Position</t>
  </si>
  <si>
    <t>Hurricane relief and restoration</t>
  </si>
  <si>
    <t>Revenues</t>
  </si>
  <si>
    <t>Total business-type activities</t>
  </si>
  <si>
    <t>Property taxes, levied for general purpose</t>
  </si>
  <si>
    <t>Timber severance</t>
  </si>
  <si>
    <t>Mineral severance</t>
  </si>
  <si>
    <t>Other tax</t>
  </si>
  <si>
    <t>Unrestricted interest</t>
  </si>
  <si>
    <t>Loss on disposal</t>
  </si>
  <si>
    <t>Total general revenue</t>
  </si>
  <si>
    <t>Net Position, beginning</t>
  </si>
  <si>
    <t>Webster Parish 2014 Statement of Activities</t>
  </si>
  <si>
    <t>Community services</t>
  </si>
  <si>
    <t>E-911</t>
  </si>
  <si>
    <t>Grants and contributions not restricted for a specific purpose</t>
  </si>
  <si>
    <t>Fees, charges and commissions</t>
  </si>
  <si>
    <t>West Baton Rouge County 2014 Statement of Activities</t>
  </si>
  <si>
    <t>Urban housing</t>
  </si>
  <si>
    <t>Total Primary Government </t>
  </si>
  <si>
    <t>Rent</t>
  </si>
  <si>
    <t>Total General Revenues </t>
  </si>
  <si>
    <t>West Carroll County 2014 Statement of Activities</t>
  </si>
  <si>
    <t>Ad valorem:</t>
  </si>
  <si>
    <t>Sales and use taxes:</t>
  </si>
  <si>
    <t>West Feliciana County 2014 Statement of Activities</t>
  </si>
  <si>
    <t>Enterprise- waterworks District No. 13</t>
  </si>
  <si>
    <t>Enterprise- hardwood sewer</t>
  </si>
  <si>
    <t>Enterprise- solitude sewer</t>
  </si>
  <si>
    <t>Enterprise- turner sewer</t>
  </si>
  <si>
    <t>Enterprise- independence sewer</t>
  </si>
  <si>
    <t>Transfer (to) from other funds</t>
  </si>
  <si>
    <t>Winn Parish 2014 Statement of Activities</t>
  </si>
  <si>
    <t>Debt Service</t>
  </si>
  <si>
    <t>Federal grant programs- unrestricted</t>
  </si>
  <si>
    <t>State grant programs- unrestricted</t>
  </si>
  <si>
    <t>2014-SOA</t>
  </si>
  <si>
    <t>Other Revenue:</t>
  </si>
  <si>
    <t>General Government:</t>
  </si>
  <si>
    <t>Other Expenditures:</t>
  </si>
  <si>
    <t>Revenues-</t>
  </si>
  <si>
    <t>Intergovernmental Transfers  and Grants (out if negetive):</t>
  </si>
  <si>
    <t>Expenditures-</t>
  </si>
  <si>
    <t>Key:</t>
  </si>
  <si>
    <t>Property/Ad Valorem</t>
  </si>
  <si>
    <t>Sales/Use (includes gaming taxes, hotel-motel etc)</t>
  </si>
  <si>
    <t>Other Tax Revenue</t>
  </si>
  <si>
    <t>Total Tax Revenue (SUM)</t>
  </si>
  <si>
    <t>State Revenue Sharing</t>
  </si>
  <si>
    <t>Source Not Specified</t>
  </si>
  <si>
    <t>Federal</t>
  </si>
  <si>
    <t>Local Transfer</t>
  </si>
  <si>
    <t>All Other Revenue</t>
  </si>
  <si>
    <t>Total Other Revenue (SUM)</t>
  </si>
  <si>
    <t>Total Program Revenue (SUM)</t>
  </si>
  <si>
    <t>Total Revenues (Sum)</t>
  </si>
  <si>
    <t xml:space="preserve">Accuracy </t>
  </si>
  <si>
    <t>Accuracy</t>
  </si>
  <si>
    <t>General Government (not detailed)</t>
  </si>
  <si>
    <t>Finance and Administration</t>
  </si>
  <si>
    <t>Other General Government</t>
  </si>
  <si>
    <t>Total General Government (SUM)</t>
  </si>
  <si>
    <t>Public Safety</t>
  </si>
  <si>
    <t>Public Works</t>
  </si>
  <si>
    <t>Economic Development and Assistance</t>
  </si>
  <si>
    <t>Health and Welfare</t>
  </si>
  <si>
    <t>Interest and fiscal charges on long-term debt (debt service)</t>
  </si>
  <si>
    <t>All Other Expenditures</t>
  </si>
  <si>
    <t>Total Other Expenditures (SUM)</t>
  </si>
  <si>
    <t>Total Expenditures (Sum)</t>
  </si>
  <si>
    <t>Error Found in Statement</t>
  </si>
  <si>
    <t>Parish's Statement Not Available</t>
  </si>
  <si>
    <t>PARISH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</si>
  <si>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</si>
  <si>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</si>
  <si>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</si>
  <si>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</si>
  <si>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</si>
  <si>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</si>
  <si>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</si>
  <si>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</si>
  <si>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</si>
  <si>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</si>
  <si>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</si>
  <si>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</si>
  <si>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</si>
  <si>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</si>
  <si>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</si>
  <si>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</si>
  <si>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</si>
  <si>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</si>
  <si>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</si>
  <si>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</si>
  <si>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</si>
  <si>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</si>
  <si>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</si>
  <si>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</si>
  <si>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</si>
  <si>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</si>
  <si>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</si>
  <si>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</si>
  <si>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</si>
  <si>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</si>
  <si>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</si>
  <si>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</si>
  <si>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</si>
  <si>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</si>
  <si>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</si>
  <si>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</si>
  <si>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</si>
  <si>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</si>
  <si>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</si>
  <si>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</si>
  <si>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</si>
  <si>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</si>
  <si>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</si>
  <si>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</si>
  <si>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</si>
  <si>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</si>
  <si>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</si>
  <si>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</si>
  <si>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</si>
  <si>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</si>
  <si>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</si>
  <si>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</si>
  <si>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</si>
  <si>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</si>
  <si>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</si>
  <si>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</si>
  <si>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</si>
  <si>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</si>
  <si>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</si>
  <si>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</si>
  <si>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</si>
  <si>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</si>
  <si>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</si>
  <si>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</si>
  <si>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Totals</t>
  </si>
  <si>
    <t>Busines-Type Activities</t>
  </si>
  <si>
    <t>Utilities (Water, Sewer, Gas)</t>
  </si>
  <si>
    <t>Health and Waste Disposal</t>
  </si>
  <si>
    <t>Civic Center</t>
  </si>
  <si>
    <t>Other Business-Type Expenditures</t>
  </si>
  <si>
    <t>OCS</t>
  </si>
  <si>
    <t>Calhoun County 2010 Statement of Activities</t>
  </si>
  <si>
    <t>Issued: December 23,2011</t>
  </si>
  <si>
    <t>NET (EXPENSES) REVENUES AND CHANGES IN NET ASSETS</t>
  </si>
  <si>
    <t>Highways and roads</t>
  </si>
  <si>
    <t>Health</t>
  </si>
  <si>
    <t>Welfare</t>
  </si>
  <si>
    <t>Business-Type Activities:</t>
  </si>
  <si>
    <t>Solid Waste</t>
  </si>
  <si>
    <t>Total Business-Type Activities</t>
  </si>
  <si>
    <t>Property taxes for general purposes</t>
  </si>
  <si>
    <t>Property taxes for specific purposes</t>
  </si>
  <si>
    <t>General Sales Tax</t>
  </si>
  <si>
    <t>Other County Sales and Use Taxes</t>
  </si>
  <si>
    <t>Grants/contributions not restricted to specific programs</t>
  </si>
  <si>
    <t>Investment Income</t>
  </si>
  <si>
    <t>Extraordinary Item (Note 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</si>
</sst>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i/>
      <sz val="11"/>
      <name val="Arial"/>
      <family val="2"/>
    </font>
    <font>
      <b/>
      <i/>
      <sz val="11"/>
      <color indexed="8"/>
      <name val="Arial"/>
      <family val="2"/>
    </font>
    <font>
      <b/>
      <sz val="11"/>
      <name val="Arial Black"/>
      <family val="2"/>
    </font>
    <font>
      <b/>
      <sz val="10"/>
      <name val="Arial"/>
      <family val="2"/>
    </font>
    <font>
      <sz val="11"/>
      <color indexed="10"/>
      <name val="Calibri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Calibri"/>
      <family val="2"/>
    </font>
    <font>
      <b/>
      <sz val="11"/>
      <name val="Arial"/>
      <family val="2"/>
    </font>
    <font>
      <b/>
      <sz val="11"/>
      <color theme="0"/>
      <name val="Calibri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10"/>
      <color indexed="8"/>
      <name val="Calibri"/>
    </font>
    <font>
      <sz val="10"/>
      <name val="Calibri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74807"/>
        <bgColor indexed="64"/>
      </patternFill>
    </fill>
    <fill>
      <patternFill patternType="solid">
        <fgColor theme="0" tint="-0.2499465926084170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43" fontId="2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5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0" xfId="0" applyFont="1"/>
    <xf numFmtId="3" fontId="0" fillId="0" borderId="0" xfId="0" applyNumberFormat="1"/>
    <xf numFmtId="0" fontId="1" fillId="0" borderId="0" xfId="0" applyFont="1"/>
    <xf numFmtId="4" fontId="0" fillId="2" borderId="0" xfId="0" applyNumberFormat="1" applyFill="1"/>
    <xf numFmtId="4" fontId="0" fillId="0" borderId="0" xfId="0" applyNumberFormat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1" xfId="0" applyNumberFormat="1" applyFill="1" applyBorder="1"/>
    <xf numFmtId="4" fontId="0" fillId="0" borderId="1" xfId="0" applyNumberFormat="1" applyBorder="1"/>
    <xf numFmtId="0" fontId="5" fillId="8" borderId="0" xfId="0" applyFont="1" applyFill="1"/>
    <xf numFmtId="4" fontId="5" fillId="8" borderId="0" xfId="0" applyNumberFormat="1" applyFont="1" applyFill="1"/>
    <xf numFmtId="0" fontId="1" fillId="9" borderId="0" xfId="0" applyFont="1" applyFill="1"/>
    <xf numFmtId="4" fontId="1" fillId="9" borderId="0" xfId="0" applyNumberFormat="1" applyFont="1" applyFill="1"/>
    <xf numFmtId="0" fontId="5" fillId="10" borderId="0" xfId="0" applyFont="1" applyFill="1"/>
    <xf numFmtId="0" fontId="0" fillId="10" borderId="0" xfId="0" applyFill="1"/>
    <xf numFmtId="4" fontId="5" fillId="10" borderId="0" xfId="0" applyNumberFormat="1" applyFont="1" applyFill="1"/>
    <xf numFmtId="4" fontId="5" fillId="0" borderId="0" xfId="0" applyNumberFormat="1" applyFont="1"/>
    <xf numFmtId="0" fontId="7" fillId="0" borderId="0" xfId="0" applyFont="1"/>
    <xf numFmtId="4" fontId="0" fillId="11" borderId="0" xfId="0" applyNumberFormat="1" applyFill="1"/>
    <xf numFmtId="4" fontId="0" fillId="12" borderId="0" xfId="0" applyNumberFormat="1" applyFill="1"/>
    <xf numFmtId="4" fontId="0" fillId="13" borderId="1" xfId="0" applyNumberFormat="1" applyFill="1" applyBorder="1"/>
    <xf numFmtId="0" fontId="5" fillId="14" borderId="0" xfId="0" applyFont="1" applyFill="1"/>
    <xf numFmtId="4" fontId="5" fillId="14" borderId="0" xfId="0" applyNumberFormat="1" applyFont="1" applyFill="1"/>
    <xf numFmtId="4" fontId="1" fillId="14" borderId="0" xfId="0" applyNumberFormat="1" applyFont="1" applyFill="1"/>
    <xf numFmtId="0" fontId="5" fillId="15" borderId="0" xfId="0" applyFont="1" applyFill="1"/>
    <xf numFmtId="4" fontId="5" fillId="15" borderId="0" xfId="0" applyNumberFormat="1" applyFont="1" applyFill="1"/>
    <xf numFmtId="0" fontId="8" fillId="10" borderId="3" xfId="0" applyFont="1" applyFill="1" applyBorder="1"/>
    <xf numFmtId="0" fontId="9" fillId="10" borderId="0" xfId="0" applyFont="1" applyFill="1"/>
    <xf numFmtId="0" fontId="0" fillId="10" borderId="4" xfId="0" applyFill="1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17" borderId="0" xfId="0" applyFill="1"/>
    <xf numFmtId="0" fontId="9" fillId="17" borderId="0" xfId="0" applyFont="1" applyFill="1"/>
    <xf numFmtId="0" fontId="0" fillId="17" borderId="4" xfId="0" applyFill="1" applyBorder="1"/>
    <xf numFmtId="0" fontId="10" fillId="17" borderId="0" xfId="0" applyFont="1" applyFill="1"/>
    <xf numFmtId="0" fontId="11" fillId="10" borderId="7" xfId="0" applyFont="1" applyFill="1" applyBorder="1"/>
    <xf numFmtId="0" fontId="5" fillId="10" borderId="1" xfId="0" applyFont="1" applyFill="1" applyBorder="1"/>
    <xf numFmtId="0" fontId="5" fillId="10" borderId="4" xfId="0" applyFont="1" applyFill="1" applyBorder="1"/>
    <xf numFmtId="0" fontId="12" fillId="10" borderId="8" xfId="0" applyFont="1" applyFill="1" applyBorder="1"/>
    <xf numFmtId="0" fontId="5" fillId="10" borderId="2" xfId="0" applyFont="1" applyFill="1" applyBorder="1"/>
    <xf numFmtId="0" fontId="5" fillId="10" borderId="9" xfId="0" applyFont="1" applyFill="1" applyBorder="1"/>
    <xf numFmtId="0" fontId="10" fillId="10" borderId="0" xfId="0" applyFont="1" applyFill="1"/>
    <xf numFmtId="0" fontId="0" fillId="18" borderId="5" xfId="0" applyFill="1" applyBorder="1" applyAlignment="1">
      <alignment horizontal="right"/>
    </xf>
    <xf numFmtId="0" fontId="0" fillId="18" borderId="6" xfId="0" applyFill="1" applyBorder="1"/>
    <xf numFmtId="0" fontId="11" fillId="17" borderId="0" xfId="0" applyFont="1" applyFill="1"/>
    <xf numFmtId="0" fontId="0" fillId="17" borderId="1" xfId="0" applyFill="1" applyBorder="1"/>
    <xf numFmtId="0" fontId="5" fillId="17" borderId="1" xfId="0" applyFont="1" applyFill="1" applyBorder="1"/>
    <xf numFmtId="0" fontId="5" fillId="17" borderId="4" xfId="0" applyFont="1" applyFill="1" applyBorder="1"/>
    <xf numFmtId="0" fontId="5" fillId="17" borderId="0" xfId="0" applyFont="1" applyFill="1"/>
    <xf numFmtId="0" fontId="8" fillId="0" borderId="10" xfId="0" applyFont="1" applyBorder="1" applyAlignment="1">
      <alignment horizontal="center"/>
    </xf>
    <xf numFmtId="0" fontId="13" fillId="10" borderId="4" xfId="0" applyFont="1" applyFill="1" applyBorder="1"/>
    <xf numFmtId="0" fontId="14" fillId="10" borderId="12" xfId="0" applyFont="1" applyFill="1" applyBorder="1"/>
    <xf numFmtId="0" fontId="12" fillId="19" borderId="13" xfId="0" applyFont="1" applyFill="1" applyBorder="1"/>
    <xf numFmtId="0" fontId="12" fillId="10" borderId="14" xfId="0" applyFont="1" applyFill="1" applyBorder="1"/>
    <xf numFmtId="0" fontId="15" fillId="10" borderId="14" xfId="0" applyFont="1" applyFill="1" applyBorder="1"/>
    <xf numFmtId="0" fontId="15" fillId="18" borderId="15" xfId="0" applyFont="1" applyFill="1" applyBorder="1" applyAlignment="1">
      <alignment horizontal="center"/>
    </xf>
    <xf numFmtId="0" fontId="15" fillId="18" borderId="16" xfId="0" applyFont="1" applyFill="1" applyBorder="1" applyAlignment="1">
      <alignment horizontal="center"/>
    </xf>
    <xf numFmtId="0" fontId="12" fillId="17" borderId="12" xfId="0" applyFont="1" applyFill="1" applyBorder="1"/>
    <xf numFmtId="0" fontId="12" fillId="17" borderId="14" xfId="0" applyFont="1" applyFill="1" applyBorder="1"/>
    <xf numFmtId="0" fontId="15" fillId="17" borderId="14" xfId="0" applyFont="1" applyFill="1" applyBorder="1"/>
    <xf numFmtId="0" fontId="12" fillId="0" borderId="0" xfId="0" applyFont="1"/>
    <xf numFmtId="0" fontId="16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8" fillId="0" borderId="0" xfId="0" applyFont="1" applyAlignment="1">
      <alignment horizontal="center"/>
    </xf>
    <xf numFmtId="0" fontId="8" fillId="20" borderId="0" xfId="0" applyFont="1" applyFill="1"/>
    <xf numFmtId="0" fontId="5" fillId="20" borderId="0" xfId="0" applyFont="1" applyFill="1"/>
    <xf numFmtId="3" fontId="5" fillId="20" borderId="0" xfId="0" quotePrefix="1" applyNumberFormat="1" applyFont="1" applyFill="1"/>
    <xf numFmtId="3" fontId="5" fillId="20" borderId="0" xfId="0" applyNumberFormat="1" applyFont="1" applyFill="1"/>
    <xf numFmtId="4" fontId="0" fillId="21" borderId="1" xfId="0" applyNumberFormat="1" applyFill="1" applyBorder="1"/>
    <xf numFmtId="4" fontId="7" fillId="0" borderId="0" xfId="0" applyNumberFormat="1" applyFont="1"/>
    <xf numFmtId="0" fontId="20" fillId="0" borderId="1" xfId="0" applyFont="1" applyBorder="1" applyAlignment="1">
      <alignment horizontal="center" wrapText="1"/>
    </xf>
    <xf numFmtId="4" fontId="5" fillId="16" borderId="0" xfId="0" applyNumberFormat="1" applyFont="1" applyFill="1"/>
    <xf numFmtId="4" fontId="5" fillId="22" borderId="0" xfId="0" applyNumberFormat="1" applyFont="1" applyFill="1"/>
    <xf numFmtId="0" fontId="1" fillId="16" borderId="0" xfId="0" applyFont="1" applyFill="1"/>
    <xf numFmtId="4" fontId="1" fillId="16" borderId="0" xfId="0" applyNumberFormat="1" applyFont="1" applyFill="1"/>
    <xf numFmtId="3" fontId="1" fillId="14" borderId="0" xfId="0" applyNumberFormat="1" applyFont="1" applyFill="1"/>
    <xf numFmtId="3" fontId="1" fillId="22" borderId="0" xfId="0" applyNumberFormat="1" applyFont="1" applyFill="1"/>
    <xf numFmtId="4" fontId="0" fillId="13" borderId="0" xfId="0" applyNumberFormat="1" applyFill="1"/>
    <xf numFmtId="4" fontId="0" fillId="7" borderId="0" xfId="0" applyNumberFormat="1" applyFill="1"/>
    <xf numFmtId="3" fontId="1" fillId="16" borderId="0" xfId="0" applyNumberFormat="1" applyFont="1" applyFill="1"/>
    <xf numFmtId="4" fontId="0" fillId="23" borderId="0" xfId="0" applyNumberFormat="1" applyFill="1"/>
    <xf numFmtId="4" fontId="0" fillId="22" borderId="0" xfId="0" applyNumberFormat="1" applyFill="1"/>
    <xf numFmtId="4" fontId="0" fillId="24" borderId="0" xfId="0" applyNumberFormat="1" applyFill="1"/>
    <xf numFmtId="4" fontId="0" fillId="25" borderId="0" xfId="0" applyNumberFormat="1" applyFill="1"/>
    <xf numFmtId="4" fontId="0" fillId="16" borderId="0" xfId="0" applyNumberFormat="1" applyFill="1"/>
    <xf numFmtId="4" fontId="0" fillId="26" borderId="0" xfId="0" applyNumberFormat="1" applyFill="1"/>
    <xf numFmtId="0" fontId="12" fillId="27" borderId="11" xfId="0" applyFont="1" applyFill="1" applyBorder="1"/>
    <xf numFmtId="0" fontId="12" fillId="28" borderId="11" xfId="0" applyFont="1" applyFill="1" applyBorder="1"/>
    <xf numFmtId="0" fontId="12" fillId="29" borderId="11" xfId="0" applyFont="1" applyFill="1" applyBorder="1"/>
    <xf numFmtId="0" fontId="12" fillId="30" borderId="11" xfId="0" applyFont="1" applyFill="1" applyBorder="1"/>
    <xf numFmtId="0" fontId="12" fillId="32" borderId="11" xfId="0" applyFont="1" applyFill="1" applyBorder="1"/>
    <xf numFmtId="0" fontId="12" fillId="33" borderId="13" xfId="0" applyFont="1" applyFill="1" applyBorder="1"/>
    <xf numFmtId="0" fontId="12" fillId="20" borderId="14" xfId="0" applyFont="1" applyFill="1" applyBorder="1"/>
    <xf numFmtId="0" fontId="12" fillId="34" borderId="13" xfId="0" applyFont="1" applyFill="1" applyBorder="1"/>
    <xf numFmtId="0" fontId="14" fillId="32" borderId="11" xfId="0" applyFont="1" applyFill="1" applyBorder="1"/>
    <xf numFmtId="0" fontId="12" fillId="20" borderId="12" xfId="0" applyFont="1" applyFill="1" applyBorder="1"/>
    <xf numFmtId="0" fontId="12" fillId="35" borderId="11" xfId="0" applyFont="1" applyFill="1" applyBorder="1"/>
    <xf numFmtId="0" fontId="12" fillId="36" borderId="11" xfId="0" applyFont="1" applyFill="1" applyBorder="1"/>
    <xf numFmtId="0" fontId="12" fillId="37" borderId="11" xfId="0" applyFont="1" applyFill="1" applyBorder="1"/>
    <xf numFmtId="0" fontId="12" fillId="8" borderId="1" xfId="0" applyFont="1" applyFill="1" applyBorder="1"/>
    <xf numFmtId="0" fontId="12" fillId="38" borderId="9" xfId="0" applyFont="1" applyFill="1" applyBorder="1"/>
    <xf numFmtId="0" fontId="12" fillId="15" borderId="11" xfId="0" applyFont="1" applyFill="1" applyBorder="1"/>
    <xf numFmtId="0" fontId="12" fillId="19" borderId="11" xfId="0" applyFont="1" applyFill="1" applyBorder="1"/>
    <xf numFmtId="0" fontId="8" fillId="39" borderId="0" xfId="0" applyFont="1" applyFill="1"/>
    <xf numFmtId="0" fontId="5" fillId="39" borderId="0" xfId="0" applyFont="1" applyFill="1"/>
    <xf numFmtId="3" fontId="0" fillId="39" borderId="0" xfId="0" applyNumberFormat="1" applyFill="1"/>
    <xf numFmtId="3" fontId="0" fillId="40" borderId="0" xfId="0" applyNumberFormat="1" applyFill="1"/>
    <xf numFmtId="0" fontId="19" fillId="41" borderId="0" xfId="0" applyFont="1" applyFill="1" applyAlignment="1">
      <alignment horizontal="right"/>
    </xf>
    <xf numFmtId="0" fontId="5" fillId="40" borderId="0" xfId="0" applyFont="1" applyFill="1"/>
    <xf numFmtId="0" fontId="5" fillId="42" borderId="0" xfId="0" applyFont="1" applyFill="1"/>
    <xf numFmtId="3" fontId="0" fillId="42" borderId="0" xfId="0" applyNumberFormat="1" applyFill="1"/>
    <xf numFmtId="0" fontId="4" fillId="42" borderId="0" xfId="0" applyFont="1" applyFill="1"/>
    <xf numFmtId="0" fontId="0" fillId="42" borderId="0" xfId="0" applyFill="1"/>
    <xf numFmtId="0" fontId="24" fillId="42" borderId="0" xfId="0" applyFont="1" applyFill="1"/>
    <xf numFmtId="3" fontId="25" fillId="42" borderId="0" xfId="0" applyNumberFormat="1" applyFont="1" applyFill="1"/>
    <xf numFmtId="0" fontId="26" fillId="0" borderId="0" xfId="0" applyFont="1"/>
    <xf numFmtId="0" fontId="25" fillId="0" borderId="0" xfId="0" applyFont="1"/>
    <xf numFmtId="3" fontId="21" fillId="42" borderId="0" xfId="0" applyNumberFormat="1" applyFont="1" applyFill="1"/>
    <xf numFmtId="3" fontId="25" fillId="42" borderId="0" xfId="2" applyNumberFormat="1" applyFont="1" applyFill="1" applyAlignment="1" applyProtection="1"/>
    <xf numFmtId="0" fontId="24" fillId="0" borderId="0" xfId="0" applyFont="1"/>
    <xf numFmtId="3" fontId="21" fillId="0" borderId="0" xfId="0" applyNumberFormat="1" applyFont="1"/>
    <xf numFmtId="0" fontId="21" fillId="0" borderId="0" xfId="0" applyFont="1"/>
    <xf numFmtId="0" fontId="28" fillId="42" borderId="0" xfId="0" applyFont="1" applyFill="1"/>
    <xf numFmtId="0" fontId="29" fillId="42" borderId="0" xfId="0" applyFont="1" applyFill="1"/>
    <xf numFmtId="0" fontId="26" fillId="42" borderId="0" xfId="0" applyFont="1" applyFill="1"/>
    <xf numFmtId="4" fontId="21" fillId="42" borderId="0" xfId="0" applyNumberFormat="1" applyFont="1" applyFill="1"/>
    <xf numFmtId="0" fontId="21" fillId="42" borderId="0" xfId="0" applyFont="1" applyFill="1"/>
    <xf numFmtId="0" fontId="30" fillId="0" borderId="0" xfId="0" applyFont="1"/>
    <xf numFmtId="0" fontId="31" fillId="0" borderId="0" xfId="0" applyFont="1"/>
    <xf numFmtId="3" fontId="25" fillId="0" borderId="0" xfId="0" applyNumberFormat="1" applyFont="1"/>
    <xf numFmtId="3" fontId="25" fillId="40" borderId="0" xfId="0" applyNumberFormat="1" applyFont="1" applyFill="1"/>
    <xf numFmtId="0" fontId="25" fillId="42" borderId="0" xfId="0" applyFont="1" applyFill="1"/>
    <xf numFmtId="0" fontId="8" fillId="42" borderId="0" xfId="0" applyFont="1" applyFill="1"/>
    <xf numFmtId="0" fontId="32" fillId="42" borderId="0" xfId="0" applyFont="1" applyFill="1"/>
    <xf numFmtId="3" fontId="29" fillId="42" borderId="0" xfId="0" applyNumberFormat="1" applyFont="1" applyFill="1"/>
    <xf numFmtId="0" fontId="32" fillId="0" borderId="0" xfId="0" applyFont="1"/>
    <xf numFmtId="3" fontId="29" fillId="0" borderId="0" xfId="0" applyNumberFormat="1" applyFont="1"/>
    <xf numFmtId="0" fontId="30" fillId="42" borderId="0" xfId="0" applyFont="1" applyFill="1"/>
    <xf numFmtId="3" fontId="25" fillId="0" borderId="0" xfId="0" quotePrefix="1" applyNumberFormat="1" applyFont="1"/>
    <xf numFmtId="3" fontId="31" fillId="0" borderId="0" xfId="0" applyNumberFormat="1" applyFont="1"/>
    <xf numFmtId="0" fontId="24" fillId="40" borderId="0" xfId="0" applyFont="1" applyFill="1"/>
    <xf numFmtId="3" fontId="25" fillId="40" borderId="0" xfId="0" quotePrefix="1" applyNumberFormat="1" applyFont="1" applyFill="1"/>
    <xf numFmtId="3" fontId="0" fillId="42" borderId="0" xfId="0" quotePrefix="1" applyNumberFormat="1" applyFill="1"/>
    <xf numFmtId="164" fontId="21" fillId="42" borderId="0" xfId="1" applyNumberFormat="1" applyFont="1" applyFill="1"/>
    <xf numFmtId="0" fontId="23" fillId="0" borderId="0" xfId="0" applyFont="1"/>
    <xf numFmtId="0" fontId="19" fillId="20" borderId="0" xfId="0" applyFont="1" applyFill="1" applyAlignment="1">
      <alignment horizontal="right"/>
    </xf>
    <xf numFmtId="0" fontId="29" fillId="0" borderId="0" xfId="0" applyFont="1"/>
    <xf numFmtId="0" fontId="5" fillId="0" borderId="1" xfId="0" applyFont="1" applyBorder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22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1" xfId="0" applyNumberFormat="1" applyFill="1" applyBorder="1"/>
    <xf numFmtId="164" fontId="0" fillId="0" borderId="1" xfId="0" applyNumberFormat="1" applyBorder="1"/>
    <xf numFmtId="164" fontId="5" fillId="8" borderId="0" xfId="0" applyNumberFormat="1" applyFont="1" applyFill="1"/>
    <xf numFmtId="164" fontId="5" fillId="16" borderId="0" xfId="0" applyNumberFormat="1" applyFont="1" applyFill="1"/>
    <xf numFmtId="164" fontId="0" fillId="16" borderId="0" xfId="0" applyNumberFormat="1" applyFill="1"/>
    <xf numFmtId="164" fontId="1" fillId="16" borderId="0" xfId="0" applyNumberFormat="1" applyFont="1" applyFill="1"/>
    <xf numFmtId="164" fontId="5" fillId="0" borderId="0" xfId="0" applyNumberFormat="1" applyFont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22" borderId="0" xfId="0" applyNumberFormat="1" applyFill="1"/>
    <xf numFmtId="3" fontId="0" fillId="25" borderId="0" xfId="0" applyNumberFormat="1" applyFill="1"/>
    <xf numFmtId="3" fontId="0" fillId="7" borderId="1" xfId="0" applyNumberFormat="1" applyFill="1" applyBorder="1"/>
    <xf numFmtId="3" fontId="0" fillId="0" borderId="1" xfId="0" applyNumberFormat="1" applyBorder="1"/>
    <xf numFmtId="3" fontId="5" fillId="8" borderId="0" xfId="0" applyNumberFormat="1" applyFont="1" applyFill="1"/>
    <xf numFmtId="3" fontId="5" fillId="16" borderId="0" xfId="0" applyNumberFormat="1" applyFont="1" applyFill="1"/>
    <xf numFmtId="3" fontId="5" fillId="0" borderId="0" xfId="0" applyNumberFormat="1" applyFont="1"/>
    <xf numFmtId="3" fontId="0" fillId="11" borderId="0" xfId="0" applyNumberFormat="1" applyFill="1"/>
    <xf numFmtId="3" fontId="0" fillId="5" borderId="0" xfId="0" applyNumberFormat="1" applyFill="1"/>
    <xf numFmtId="3" fontId="0" fillId="24" borderId="0" xfId="0" applyNumberFormat="1" applyFill="1"/>
    <xf numFmtId="3" fontId="0" fillId="12" borderId="0" xfId="0" applyNumberFormat="1" applyFill="1"/>
    <xf numFmtId="3" fontId="5" fillId="14" borderId="0" xfId="0" applyNumberFormat="1" applyFont="1" applyFill="1"/>
    <xf numFmtId="3" fontId="5" fillId="15" borderId="0" xfId="0" applyNumberFormat="1" applyFont="1" applyFill="1"/>
    <xf numFmtId="3" fontId="5" fillId="22" borderId="0" xfId="0" applyNumberFormat="1" applyFont="1" applyFill="1"/>
    <xf numFmtId="164" fontId="0" fillId="7" borderId="0" xfId="0" applyNumberFormat="1" applyFill="1"/>
    <xf numFmtId="164" fontId="0" fillId="23" borderId="0" xfId="0" applyNumberFormat="1" applyFill="1"/>
    <xf numFmtId="164" fontId="0" fillId="26" borderId="0" xfId="0" applyNumberFormat="1" applyFill="1"/>
    <xf numFmtId="164" fontId="7" fillId="0" borderId="0" xfId="0" applyNumberFormat="1" applyFont="1"/>
    <xf numFmtId="164" fontId="5" fillId="14" borderId="0" xfId="0" applyNumberFormat="1" applyFont="1" applyFill="1"/>
    <xf numFmtId="164" fontId="1" fillId="14" borderId="0" xfId="0" applyNumberFormat="1" applyFont="1" applyFill="1"/>
    <xf numFmtId="164" fontId="5" fillId="15" borderId="0" xfId="0" applyNumberFormat="1" applyFont="1" applyFill="1"/>
    <xf numFmtId="164" fontId="5" fillId="22" borderId="0" xfId="0" applyNumberFormat="1" applyFont="1" applyFill="1"/>
    <xf numFmtId="3" fontId="0" fillId="7" borderId="0" xfId="0" applyNumberFormat="1" applyFill="1"/>
    <xf numFmtId="1" fontId="0" fillId="5" borderId="0" xfId="0" applyNumberFormat="1" applyFill="1" applyAlignment="1">
      <alignment horizontal="right"/>
    </xf>
    <xf numFmtId="3" fontId="7" fillId="15" borderId="0" xfId="0" applyNumberFormat="1" applyFont="1" applyFill="1"/>
    <xf numFmtId="1" fontId="0" fillId="6" borderId="0" xfId="0" applyNumberFormat="1" applyFill="1"/>
    <xf numFmtId="164" fontId="5" fillId="0" borderId="18" xfId="0" applyNumberFormat="1" applyFont="1" applyBorder="1"/>
    <xf numFmtId="164" fontId="0" fillId="0" borderId="18" xfId="0" applyNumberFormat="1" applyBorder="1"/>
    <xf numFmtId="3" fontId="0" fillId="0" borderId="18" xfId="0" applyNumberFormat="1" applyBorder="1"/>
    <xf numFmtId="4" fontId="0" fillId="0" borderId="18" xfId="0" applyNumberFormat="1" applyBorder="1"/>
    <xf numFmtId="4" fontId="5" fillId="0" borderId="18" xfId="0" applyNumberFormat="1" applyFont="1" applyBorder="1"/>
    <xf numFmtId="4" fontId="1" fillId="0" borderId="0" xfId="0" applyNumberFormat="1" applyFont="1"/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3" fillId="31" borderId="0" xfId="0" applyFont="1" applyFill="1"/>
    <xf numFmtId="0" fontId="33" fillId="34" borderId="0" xfId="0" applyFont="1" applyFill="1"/>
    <xf numFmtId="0" fontId="33" fillId="20" borderId="0" xfId="0" applyFont="1" applyFill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14" borderId="0" xfId="0" applyFont="1" applyFill="1" applyAlignment="1">
      <alignment vertical="top" wrapText="1"/>
    </xf>
    <xf numFmtId="4" fontId="5" fillId="14" borderId="0" xfId="0" applyNumberFormat="1" applyFont="1" applyFill="1" applyAlignment="1">
      <alignment vertical="top" wrapText="1"/>
    </xf>
    <xf numFmtId="4" fontId="1" fillId="14" borderId="0" xfId="0" applyNumberFormat="1" applyFont="1" applyFill="1" applyAlignment="1">
      <alignment vertical="top" wrapText="1"/>
    </xf>
    <xf numFmtId="0" fontId="0" fillId="22" borderId="0" xfId="0" applyFill="1"/>
    <xf numFmtId="0" fontId="33" fillId="29" borderId="0" xfId="0" applyFont="1" applyFill="1"/>
    <xf numFmtId="4" fontId="5" fillId="43" borderId="0" xfId="0" applyNumberFormat="1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43" borderId="0" xfId="0" applyFont="1" applyFill="1"/>
    <xf numFmtId="0" fontId="0" fillId="43" borderId="0" xfId="0" applyFill="1"/>
    <xf numFmtId="4" fontId="0" fillId="43" borderId="0" xfId="0" applyNumberFormat="1" applyFill="1"/>
    <xf numFmtId="0" fontId="1" fillId="22" borderId="0" xfId="0" applyFont="1" applyFill="1"/>
    <xf numFmtId="0" fontId="33" fillId="35" borderId="0" xfId="0" applyFont="1" applyFill="1"/>
    <xf numFmtId="0" fontId="33" fillId="36" borderId="0" xfId="0" applyFont="1" applyFill="1"/>
    <xf numFmtId="0" fontId="33" fillId="37" borderId="0" xfId="0" applyFont="1" applyFill="1"/>
    <xf numFmtId="0" fontId="33" fillId="8" borderId="0" xfId="0" applyFont="1" applyFill="1"/>
    <xf numFmtId="0" fontId="33" fillId="38" borderId="0" xfId="0" applyFont="1" applyFill="1"/>
    <xf numFmtId="0" fontId="33" fillId="28" borderId="0" xfId="0" applyFont="1" applyFill="1"/>
    <xf numFmtId="0" fontId="33" fillId="30" borderId="0" xfId="0" applyFont="1" applyFill="1"/>
    <xf numFmtId="0" fontId="33" fillId="27" borderId="0" xfId="0" applyFont="1" applyFill="1"/>
    <xf numFmtId="0" fontId="33" fillId="32" borderId="0" xfId="0" applyFont="1" applyFill="1"/>
    <xf numFmtId="0" fontId="33" fillId="0" borderId="0" xfId="0" applyFont="1"/>
    <xf numFmtId="4" fontId="0" fillId="42" borderId="0" xfId="0" applyNumberFormat="1" applyFill="1"/>
    <xf numFmtId="0" fontId="6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/>
    <xf numFmtId="0" fontId="0" fillId="4" borderId="0" xfId="0" applyFill="1"/>
    <xf numFmtId="0" fontId="0" fillId="5" borderId="0" xfId="0" applyFill="1"/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4" fontId="0" fillId="0" borderId="0" xfId="0" applyNumberFormat="1" applyAlignment="1">
      <alignment vertical="center"/>
    </xf>
    <xf numFmtId="0" fontId="6" fillId="0" borderId="0" xfId="0" applyFont="1" applyAlignment="1">
      <alignment horizontal="left"/>
    </xf>
    <xf numFmtId="0" fontId="5" fillId="8" borderId="0" xfId="0" applyFont="1" applyFill="1" applyAlignment="1">
      <alignment vertical="center"/>
    </xf>
    <xf numFmtId="4" fontId="0" fillId="11" borderId="0" xfId="0" applyNumberFormat="1" applyFill="1" applyAlignment="1">
      <alignment vertical="center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" fontId="0" fillId="0" borderId="0" xfId="0" applyNumberFormat="1" applyAlignment="1">
      <alignment vertical="top"/>
    </xf>
    <xf numFmtId="4" fontId="0" fillId="13" borderId="0" xfId="0" applyNumberFormat="1" applyFill="1" applyAlignment="1">
      <alignment vertical="top"/>
    </xf>
    <xf numFmtId="4" fontId="0" fillId="7" borderId="0" xfId="0" applyNumberFormat="1" applyFill="1" applyAlignment="1">
      <alignment vertical="top"/>
    </xf>
    <xf numFmtId="4" fontId="0" fillId="23" borderId="0" xfId="0" applyNumberFormat="1" applyFill="1" applyAlignment="1">
      <alignment vertical="top"/>
    </xf>
    <xf numFmtId="4" fontId="0" fillId="26" borderId="0" xfId="0" applyNumberFormat="1" applyFill="1" applyAlignment="1">
      <alignment vertical="top"/>
    </xf>
    <xf numFmtId="4" fontId="0" fillId="16" borderId="0" xfId="0" applyNumberFormat="1" applyFill="1" applyAlignment="1">
      <alignment vertical="top"/>
    </xf>
    <xf numFmtId="4" fontId="0" fillId="3" borderId="0" xfId="0" applyNumberFormat="1" applyFill="1" applyAlignment="1">
      <alignment vertical="top"/>
    </xf>
    <xf numFmtId="4" fontId="0" fillId="4" borderId="0" xfId="0" applyNumberFormat="1" applyFill="1" applyAlignment="1">
      <alignment vertical="top"/>
    </xf>
    <xf numFmtId="4" fontId="0" fillId="25" borderId="0" xfId="0" applyNumberFormat="1" applyFill="1" applyAlignment="1">
      <alignment vertical="top"/>
    </xf>
    <xf numFmtId="4" fontId="0" fillId="5" borderId="0" xfId="0" applyNumberFormat="1" applyFill="1" applyAlignment="1">
      <alignment vertical="top"/>
    </xf>
    <xf numFmtId="4" fontId="0" fillId="22" borderId="0" xfId="0" applyNumberFormat="1" applyFill="1" applyAlignment="1">
      <alignment vertical="top"/>
    </xf>
    <xf numFmtId="0" fontId="5" fillId="8" borderId="0" xfId="0" applyFont="1" applyFill="1" applyAlignment="1">
      <alignment vertical="top"/>
    </xf>
    <xf numFmtId="4" fontId="5" fillId="8" borderId="0" xfId="0" applyNumberFormat="1" applyFont="1" applyFill="1" applyAlignment="1">
      <alignment vertical="top"/>
    </xf>
    <xf numFmtId="4" fontId="5" fillId="16" borderId="0" xfId="0" applyNumberFormat="1" applyFont="1" applyFill="1" applyAlignment="1">
      <alignment vertical="top"/>
    </xf>
    <xf numFmtId="0" fontId="5" fillId="0" borderId="0" xfId="0" applyFont="1" applyAlignment="1">
      <alignment vertical="top"/>
    </xf>
    <xf numFmtId="4" fontId="5" fillId="0" borderId="0" xfId="0" applyNumberFormat="1" applyFont="1" applyAlignment="1">
      <alignment vertical="top"/>
    </xf>
    <xf numFmtId="4" fontId="0" fillId="11" borderId="0" xfId="0" applyNumberFormat="1" applyFill="1" applyAlignment="1">
      <alignment vertical="top"/>
    </xf>
    <xf numFmtId="4" fontId="0" fillId="24" borderId="0" xfId="0" applyNumberFormat="1" applyFill="1" applyAlignment="1">
      <alignment vertical="top"/>
    </xf>
    <xf numFmtId="4" fontId="0" fillId="12" borderId="0" xfId="0" applyNumberFormat="1" applyFill="1" applyAlignment="1">
      <alignment vertical="top"/>
    </xf>
    <xf numFmtId="0" fontId="5" fillId="14" borderId="0" xfId="0" applyFont="1" applyFill="1" applyAlignment="1">
      <alignment vertical="top"/>
    </xf>
    <xf numFmtId="4" fontId="5" fillId="14" borderId="0" xfId="0" applyNumberFormat="1" applyFont="1" applyFill="1" applyAlignment="1">
      <alignment vertical="top"/>
    </xf>
    <xf numFmtId="4" fontId="1" fillId="14" borderId="0" xfId="0" applyNumberFormat="1" applyFont="1" applyFill="1" applyAlignment="1">
      <alignment vertical="top"/>
    </xf>
    <xf numFmtId="0" fontId="0" fillId="0" borderId="0" xfId="0" applyAlignment="1">
      <alignment vertical="center"/>
    </xf>
    <xf numFmtId="4" fontId="1" fillId="16" borderId="0" xfId="0" applyNumberFormat="1" applyFont="1" applyFill="1" applyAlignment="1">
      <alignment vertical="center"/>
    </xf>
    <xf numFmtId="0" fontId="5" fillId="15" borderId="0" xfId="0" applyFont="1" applyFill="1" applyAlignment="1">
      <alignment vertical="center"/>
    </xf>
    <xf numFmtId="4" fontId="5" fillId="15" borderId="0" xfId="0" applyNumberFormat="1" applyFont="1" applyFill="1" applyAlignment="1">
      <alignment vertical="center"/>
    </xf>
    <xf numFmtId="4" fontId="5" fillId="2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4" fontId="0" fillId="13" borderId="0" xfId="0" applyNumberFormat="1" applyFill="1" applyAlignment="1">
      <alignment vertical="center"/>
    </xf>
    <xf numFmtId="4" fontId="0" fillId="7" borderId="0" xfId="0" applyNumberFormat="1" applyFill="1" applyAlignment="1">
      <alignment vertical="center"/>
    </xf>
    <xf numFmtId="4" fontId="0" fillId="23" borderId="0" xfId="0" applyNumberFormat="1" applyFill="1" applyAlignment="1">
      <alignment vertical="center"/>
    </xf>
    <xf numFmtId="4" fontId="0" fillId="26" borderId="0" xfId="0" applyNumberFormat="1" applyFill="1" applyAlignment="1">
      <alignment vertical="center"/>
    </xf>
    <xf numFmtId="4" fontId="0" fillId="16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/>
    </xf>
    <xf numFmtId="4" fontId="0" fillId="4" borderId="0" xfId="0" applyNumberFormat="1" applyFill="1" applyAlignment="1">
      <alignment vertical="center"/>
    </xf>
    <xf numFmtId="4" fontId="0" fillId="5" borderId="0" xfId="0" applyNumberFormat="1" applyFill="1" applyAlignment="1">
      <alignment vertical="center"/>
    </xf>
    <xf numFmtId="4" fontId="0" fillId="6" borderId="0" xfId="0" applyNumberFormat="1" applyFill="1" applyAlignment="1">
      <alignment vertical="center"/>
    </xf>
    <xf numFmtId="4" fontId="0" fillId="22" borderId="0" xfId="0" applyNumberFormat="1" applyFill="1" applyAlignment="1">
      <alignment vertical="center"/>
    </xf>
    <xf numFmtId="4" fontId="5" fillId="8" borderId="0" xfId="0" applyNumberFormat="1" applyFont="1" applyFill="1" applyAlignment="1">
      <alignment vertical="center"/>
    </xf>
    <xf numFmtId="4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0" fillId="12" borderId="0" xfId="0" applyNumberFormat="1" applyFill="1" applyAlignment="1">
      <alignment vertical="center"/>
    </xf>
    <xf numFmtId="4" fontId="0" fillId="25" borderId="0" xfId="0" applyNumberFormat="1" applyFill="1" applyAlignment="1">
      <alignment vertical="center"/>
    </xf>
    <xf numFmtId="4" fontId="0" fillId="44" borderId="0" xfId="0" applyNumberFormat="1" applyFill="1" applyAlignment="1">
      <alignment vertical="center"/>
    </xf>
    <xf numFmtId="0" fontId="5" fillId="14" borderId="0" xfId="0" applyFont="1" applyFill="1" applyAlignment="1">
      <alignment vertical="center"/>
    </xf>
    <xf numFmtId="4" fontId="5" fillId="14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4" fontId="0" fillId="2" borderId="0" xfId="0" applyNumberFormat="1" applyFill="1" applyAlignment="1">
      <alignment vertical="center"/>
    </xf>
    <xf numFmtId="4" fontId="5" fillId="16" borderId="0" xfId="0" applyNumberFormat="1" applyFont="1" applyFill="1" applyAlignment="1">
      <alignment vertical="center"/>
    </xf>
    <xf numFmtId="4" fontId="0" fillId="24" borderId="0" xfId="0" applyNumberFormat="1" applyFill="1" applyAlignment="1">
      <alignment vertical="center"/>
    </xf>
    <xf numFmtId="4" fontId="1" fillId="14" borderId="0" xfId="0" applyNumberFormat="1" applyFont="1" applyFill="1" applyAlignment="1">
      <alignment vertical="center"/>
    </xf>
    <xf numFmtId="0" fontId="1" fillId="16" borderId="0" xfId="0" applyFont="1" applyFill="1" applyAlignment="1">
      <alignment vertical="center"/>
    </xf>
    <xf numFmtId="3" fontId="1" fillId="14" borderId="0" xfId="0" applyNumberFormat="1" applyFont="1" applyFill="1" applyAlignment="1">
      <alignment vertical="center"/>
    </xf>
    <xf numFmtId="3" fontId="1" fillId="22" borderId="0" xfId="0" applyNumberFormat="1" applyFont="1" applyFill="1" applyAlignment="1">
      <alignment vertical="center"/>
    </xf>
    <xf numFmtId="4" fontId="21" fillId="0" borderId="0" xfId="0" applyNumberFormat="1" applyFont="1"/>
    <xf numFmtId="4" fontId="0" fillId="44" borderId="0" xfId="0" applyNumberFormat="1" applyFill="1"/>
    <xf numFmtId="0" fontId="0" fillId="24" borderId="0" xfId="0" applyFill="1"/>
    <xf numFmtId="0" fontId="5" fillId="0" borderId="2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3" fontId="1" fillId="0" borderId="0" xfId="0" applyNumberFormat="1" applyFont="1"/>
    <xf numFmtId="4" fontId="5" fillId="9" borderId="0" xfId="0" applyNumberFormat="1" applyFont="1" applyFill="1"/>
    <xf numFmtId="164" fontId="1" fillId="43" borderId="0" xfId="0" applyNumberFormat="1" applyFont="1" applyFill="1"/>
    <xf numFmtId="0" fontId="20" fillId="0" borderId="0" xfId="0" applyFont="1" applyAlignment="1">
      <alignment horizontal="center" vertical="center"/>
    </xf>
    <xf numFmtId="164" fontId="33" fillId="20" borderId="0" xfId="0" applyNumberFormat="1" applyFont="1" applyFill="1" applyAlignment="1">
      <alignment horizontal="right"/>
    </xf>
    <xf numFmtId="164" fontId="33" fillId="34" borderId="0" xfId="0" applyNumberFormat="1" applyFont="1" applyFill="1" applyAlignment="1">
      <alignment horizontal="right"/>
    </xf>
    <xf numFmtId="164" fontId="33" fillId="31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  <xf numFmtId="164" fontId="25" fillId="20" borderId="0" xfId="0" applyNumberFormat="1" applyFont="1" applyFill="1"/>
    <xf numFmtId="164" fontId="25" fillId="35" borderId="0" xfId="0" applyNumberFormat="1" applyFont="1" applyFill="1"/>
    <xf numFmtId="164" fontId="25" fillId="36" borderId="0" xfId="0" applyNumberFormat="1" applyFont="1" applyFill="1"/>
    <xf numFmtId="164" fontId="25" fillId="37" borderId="0" xfId="0" applyNumberFormat="1" applyFont="1" applyFill="1"/>
    <xf numFmtId="164" fontId="25" fillId="8" borderId="0" xfId="0" applyNumberFormat="1" applyFont="1" applyFill="1"/>
    <xf numFmtId="164" fontId="29" fillId="3" borderId="0" xfId="0" applyNumberFormat="1" applyFont="1" applyFill="1"/>
    <xf numFmtId="164" fontId="29" fillId="4" borderId="0" xfId="0" applyNumberFormat="1" applyFont="1" applyFill="1"/>
    <xf numFmtId="164" fontId="29" fillId="5" borderId="0" xfId="0" applyNumberFormat="1" applyFont="1" applyFill="1"/>
    <xf numFmtId="164" fontId="29" fillId="6" borderId="0" xfId="0" applyNumberFormat="1" applyFont="1" applyFill="1"/>
    <xf numFmtId="164" fontId="7" fillId="15" borderId="0" xfId="0" applyNumberFormat="1" applyFont="1" applyFill="1"/>
    <xf numFmtId="164" fontId="29" fillId="7" borderId="0" xfId="0" applyNumberFormat="1" applyFont="1" applyFill="1"/>
    <xf numFmtId="0" fontId="25" fillId="32" borderId="0" xfId="0" applyFont="1" applyFill="1"/>
    <xf numFmtId="4" fontId="29" fillId="3" borderId="0" xfId="0" applyNumberFormat="1" applyFont="1" applyFill="1"/>
    <xf numFmtId="4" fontId="29" fillId="4" borderId="0" xfId="0" applyNumberFormat="1" applyFont="1" applyFill="1"/>
    <xf numFmtId="4" fontId="29" fillId="5" borderId="0" xfId="0" applyNumberFormat="1" applyFont="1" applyFill="1"/>
    <xf numFmtId="4" fontId="29" fillId="6" borderId="0" xfId="0" applyNumberFormat="1" applyFont="1" applyFill="1"/>
    <xf numFmtId="4" fontId="29" fillId="22" borderId="0" xfId="0" applyNumberFormat="1" applyFont="1" applyFill="1"/>
    <xf numFmtId="0" fontId="24" fillId="35" borderId="11" xfId="0" applyFont="1" applyFill="1" applyBorder="1"/>
    <xf numFmtId="0" fontId="25" fillId="20" borderId="0" xfId="0" applyFont="1" applyFill="1"/>
    <xf numFmtId="0" fontId="25" fillId="35" borderId="0" xfId="0" applyFont="1" applyFill="1"/>
    <xf numFmtId="0" fontId="25" fillId="36" borderId="0" xfId="0" applyFont="1" applyFill="1"/>
    <xf numFmtId="0" fontId="25" fillId="37" borderId="0" xfId="0" applyFont="1" applyFill="1"/>
    <xf numFmtId="0" fontId="25" fillId="8" borderId="0" xfId="0" applyFont="1" applyFill="1"/>
    <xf numFmtId="4" fontId="7" fillId="15" borderId="0" xfId="0" applyNumberFormat="1" applyFont="1" applyFill="1"/>
    <xf numFmtId="0" fontId="25" fillId="19" borderId="0" xfId="0" applyFont="1" applyFill="1"/>
    <xf numFmtId="164" fontId="1" fillId="22" borderId="0" xfId="0" applyNumberFormat="1" applyFont="1" applyFill="1"/>
    <xf numFmtId="0" fontId="1" fillId="0" borderId="0" xfId="0" applyFont="1" applyAlignment="1">
      <alignment horizontal="center"/>
    </xf>
    <xf numFmtId="164" fontId="0" fillId="25" borderId="0" xfId="0" applyNumberFormat="1" applyFill="1"/>
    <xf numFmtId="0" fontId="0" fillId="0" borderId="1" xfId="0" applyBorder="1"/>
    <xf numFmtId="0" fontId="34" fillId="0" borderId="1" xfId="0" applyFont="1" applyBorder="1" applyAlignment="1">
      <alignment vertical="center" wrapText="1"/>
    </xf>
    <xf numFmtId="0" fontId="1" fillId="0" borderId="1" xfId="0" applyFont="1" applyBorder="1"/>
    <xf numFmtId="0" fontId="35" fillId="32" borderId="0" xfId="0" applyFont="1" applyFill="1"/>
    <xf numFmtId="0" fontId="36" fillId="38" borderId="0" xfId="0" applyFont="1" applyFill="1"/>
    <xf numFmtId="0" fontId="36" fillId="28" borderId="0" xfId="0" applyFont="1" applyFill="1"/>
    <xf numFmtId="0" fontId="36" fillId="30" borderId="0" xfId="0" applyFont="1" applyFill="1"/>
    <xf numFmtId="0" fontId="36" fillId="29" borderId="0" xfId="0" applyFont="1" applyFill="1"/>
    <xf numFmtId="0" fontId="36" fillId="15" borderId="0" xfId="0" applyFont="1" applyFill="1"/>
    <xf numFmtId="0" fontId="1" fillId="45" borderId="0" xfId="0" applyFont="1" applyFill="1"/>
    <xf numFmtId="4" fontId="1" fillId="45" borderId="0" xfId="0" applyNumberFormat="1" applyFont="1" applyFill="1"/>
    <xf numFmtId="0" fontId="0" fillId="45" borderId="0" xfId="0" applyFill="1"/>
    <xf numFmtId="0" fontId="1" fillId="46" borderId="0" xfId="0" applyFont="1" applyFill="1"/>
    <xf numFmtId="4" fontId="1" fillId="46" borderId="0" xfId="0" applyNumberFormat="1" applyFont="1" applyFill="1"/>
    <xf numFmtId="4" fontId="1" fillId="22" borderId="0" xfId="0" applyNumberFormat="1" applyFont="1" applyFill="1"/>
    <xf numFmtId="4" fontId="0" fillId="2" borderId="0" xfId="0" applyNumberFormat="1" applyFill="1" applyAlignment="1">
      <alignment vertical="top"/>
    </xf>
    <xf numFmtId="4" fontId="0" fillId="4" borderId="1" xfId="0" applyNumberFormat="1" applyFill="1" applyBorder="1"/>
    <xf numFmtId="164" fontId="0" fillId="0" borderId="0" xfId="1" applyNumberFormat="1" applyFont="1"/>
    <xf numFmtId="164" fontId="4" fillId="0" borderId="0" xfId="1" applyNumberFormat="1" applyFont="1" applyAlignment="1"/>
    <xf numFmtId="164" fontId="0" fillId="0" borderId="0" xfId="1" applyNumberFormat="1" applyFont="1" applyBorder="1"/>
    <xf numFmtId="164" fontId="0" fillId="0" borderId="0" xfId="1" applyNumberFormat="1" applyFont="1" applyAlignment="1">
      <alignment horizontal="center"/>
    </xf>
    <xf numFmtId="164" fontId="6" fillId="0" borderId="0" xfId="1" applyNumberFormat="1" applyFont="1"/>
    <xf numFmtId="164" fontId="6" fillId="0" borderId="1" xfId="1" applyNumberFormat="1" applyFont="1" applyBorder="1" applyAlignment="1">
      <alignment horizontal="center" wrapText="1"/>
    </xf>
    <xf numFmtId="164" fontId="5" fillId="0" borderId="0" xfId="1" applyNumberFormat="1" applyFont="1"/>
    <xf numFmtId="164" fontId="1" fillId="0" borderId="0" xfId="1" applyNumberFormat="1" applyFont="1"/>
    <xf numFmtId="164" fontId="0" fillId="0" borderId="0" xfId="1" applyNumberFormat="1" applyFont="1" applyFill="1"/>
    <xf numFmtId="164" fontId="0" fillId="13" borderId="0" xfId="1" applyNumberFormat="1" applyFont="1" applyFill="1"/>
    <xf numFmtId="164" fontId="0" fillId="7" borderId="0" xfId="1" applyNumberFormat="1" applyFont="1" applyFill="1"/>
    <xf numFmtId="164" fontId="0" fillId="23" borderId="0" xfId="1" applyNumberFormat="1" applyFont="1" applyFill="1"/>
    <xf numFmtId="164" fontId="0" fillId="26" borderId="0" xfId="1" applyNumberFormat="1" applyFont="1" applyFill="1"/>
    <xf numFmtId="164" fontId="0" fillId="16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22" borderId="0" xfId="1" applyNumberFormat="1" applyFont="1" applyFill="1"/>
    <xf numFmtId="164" fontId="0" fillId="0" borderId="0" xfId="1" applyNumberFormat="1" applyFont="1" applyFill="1" applyBorder="1"/>
    <xf numFmtId="164" fontId="0" fillId="7" borderId="0" xfId="1" applyNumberFormat="1" applyFont="1" applyFill="1" applyBorder="1"/>
    <xf numFmtId="164" fontId="0" fillId="0" borderId="18" xfId="1" applyNumberFormat="1" applyFont="1" applyBorder="1"/>
    <xf numFmtId="164" fontId="5" fillId="8" borderId="0" xfId="1" applyNumberFormat="1" applyFont="1" applyFill="1"/>
    <xf numFmtId="164" fontId="7" fillId="0" borderId="0" xfId="1" applyNumberFormat="1" applyFont="1"/>
    <xf numFmtId="164" fontId="0" fillId="11" borderId="0" xfId="1" applyNumberFormat="1" applyFont="1" applyFill="1"/>
    <xf numFmtId="164" fontId="0" fillId="12" borderId="0" xfId="1" applyNumberFormat="1" applyFont="1" applyFill="1"/>
    <xf numFmtId="164" fontId="0" fillId="24" borderId="0" xfId="1" applyNumberFormat="1" applyFont="1" applyFill="1"/>
    <xf numFmtId="164" fontId="5" fillId="0" borderId="0" xfId="1" applyNumberFormat="1" applyFont="1" applyFill="1"/>
    <xf numFmtId="164" fontId="5" fillId="14" borderId="0" xfId="1" applyNumberFormat="1" applyFont="1" applyFill="1"/>
    <xf numFmtId="164" fontId="5" fillId="14" borderId="0" xfId="1" applyNumberFormat="1" applyFont="1" applyFill="1" applyBorder="1"/>
    <xf numFmtId="164" fontId="1" fillId="14" borderId="0" xfId="1" applyNumberFormat="1" applyFont="1" applyFill="1"/>
    <xf numFmtId="164" fontId="5" fillId="15" borderId="0" xfId="1" applyNumberFormat="1" applyFont="1" applyFill="1"/>
    <xf numFmtId="164" fontId="5" fillId="15" borderId="0" xfId="1" applyNumberFormat="1" applyFont="1" applyFill="1" applyBorder="1"/>
    <xf numFmtId="164" fontId="5" fillId="22" borderId="0" xfId="1" applyNumberFormat="1" applyFont="1" applyFill="1"/>
    <xf numFmtId="4" fontId="21" fillId="12" borderId="0" xfId="0" applyNumberFormat="1" applyFont="1" applyFill="1"/>
    <xf numFmtId="4" fontId="0" fillId="22" borderId="1" xfId="0" applyNumberFormat="1" applyFill="1" applyBorder="1"/>
    <xf numFmtId="0" fontId="20" fillId="0" borderId="2" xfId="0" applyFont="1" applyBorder="1" applyAlignment="1">
      <alignment horizontal="center" wrapText="1"/>
    </xf>
    <xf numFmtId="4" fontId="0" fillId="25" borderId="1" xfId="0" applyNumberFormat="1" applyFill="1" applyBorder="1"/>
    <xf numFmtId="164" fontId="5" fillId="0" borderId="0" xfId="1" applyNumberFormat="1" applyFont="1" applyBorder="1" applyAlignment="1">
      <alignment horizontal="center"/>
    </xf>
    <xf numFmtId="0" fontId="21" fillId="20" borderId="0" xfId="0" applyFont="1" applyFill="1"/>
    <xf numFmtId="4" fontId="1" fillId="0" borderId="2" xfId="0" applyNumberFormat="1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7" fillId="0" borderId="18" xfId="0" applyNumberFormat="1" applyFont="1" applyBorder="1"/>
    <xf numFmtId="164" fontId="5" fillId="9" borderId="0" xfId="0" applyNumberFormat="1" applyFont="1" applyFill="1"/>
    <xf numFmtId="164" fontId="1" fillId="47" borderId="0" xfId="0" applyNumberFormat="1" applyFont="1" applyFill="1"/>
    <xf numFmtId="0" fontId="37" fillId="0" borderId="0" xfId="0" applyFont="1"/>
    <xf numFmtId="0" fontId="38" fillId="0" borderId="0" xfId="0" applyFont="1"/>
    <xf numFmtId="0" fontId="0" fillId="16" borderId="0" xfId="0" applyFill="1"/>
    <xf numFmtId="0" fontId="5" fillId="16" borderId="0" xfId="0" applyFont="1" applyFill="1"/>
    <xf numFmtId="0" fontId="5" fillId="47" borderId="0" xfId="0" applyFont="1" applyFill="1"/>
    <xf numFmtId="4" fontId="5" fillId="47" borderId="0" xfId="0" applyNumberFormat="1" applyFont="1" applyFill="1"/>
    <xf numFmtId="4" fontId="1" fillId="47" borderId="0" xfId="0" applyNumberFormat="1" applyFont="1" applyFill="1"/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14" borderId="3" xfId="0" applyFont="1" applyFill="1" applyBorder="1"/>
    <xf numFmtId="0" fontId="0" fillId="14" borderId="0" xfId="0" applyFill="1"/>
    <xf numFmtId="0" fontId="13" fillId="14" borderId="4" xfId="0" applyFont="1" applyFill="1" applyBorder="1"/>
    <xf numFmtId="0" fontId="12" fillId="21" borderId="12" xfId="0" applyFont="1" applyFill="1" applyBorder="1"/>
    <xf numFmtId="0" fontId="12" fillId="48" borderId="14" xfId="0" applyFont="1" applyFill="1" applyBorder="1"/>
    <xf numFmtId="0" fontId="12" fillId="6" borderId="14" xfId="0" applyFont="1" applyFill="1" applyBorder="1"/>
    <xf numFmtId="0" fontId="12" fillId="13" borderId="14" xfId="0" applyFont="1" applyFill="1" applyBorder="1"/>
    <xf numFmtId="0" fontId="12" fillId="49" borderId="14" xfId="0" applyFont="1" applyFill="1" applyBorder="1"/>
    <xf numFmtId="0" fontId="12" fillId="50" borderId="14" xfId="0" applyFont="1" applyFill="1" applyBorder="1"/>
    <xf numFmtId="0" fontId="12" fillId="51" borderId="14" xfId="0" applyFont="1" applyFill="1" applyBorder="1"/>
    <xf numFmtId="0" fontId="12" fillId="25" borderId="14" xfId="0" applyFont="1" applyFill="1" applyBorder="1"/>
    <xf numFmtId="0" fontId="4" fillId="40" borderId="0" xfId="0" applyFont="1" applyFill="1"/>
    <xf numFmtId="0" fontId="0" fillId="40" borderId="0" xfId="0" applyFill="1"/>
    <xf numFmtId="0" fontId="4" fillId="39" borderId="0" xfId="0" applyFont="1" applyFill="1"/>
    <xf numFmtId="0" fontId="4" fillId="52" borderId="0" xfId="0" applyFont="1" applyFill="1"/>
    <xf numFmtId="0" fontId="5" fillId="52" borderId="0" xfId="0" applyFont="1" applyFill="1"/>
    <xf numFmtId="3" fontId="0" fillId="52" borderId="0" xfId="0" applyNumberFormat="1" applyFill="1"/>
    <xf numFmtId="0" fontId="0" fillId="52" borderId="0" xfId="0" applyFill="1"/>
    <xf numFmtId="0" fontId="19" fillId="0" borderId="0" xfId="0" applyFont="1" applyAlignment="1">
      <alignment horizontal="right"/>
    </xf>
    <xf numFmtId="164" fontId="7" fillId="21" borderId="0" xfId="0" applyNumberFormat="1" applyFont="1" applyFill="1"/>
    <xf numFmtId="164" fontId="0" fillId="21" borderId="0" xfId="0" applyNumberFormat="1" applyFill="1"/>
    <xf numFmtId="4" fontId="7" fillId="21" borderId="0" xfId="0" applyNumberFormat="1" applyFont="1" applyFill="1"/>
    <xf numFmtId="4" fontId="7" fillId="48" borderId="0" xfId="0" applyNumberFormat="1" applyFont="1" applyFill="1"/>
    <xf numFmtId="4" fontId="7" fillId="13" borderId="0" xfId="0" applyNumberFormat="1" applyFont="1" applyFill="1"/>
    <xf numFmtId="4" fontId="7" fillId="6" borderId="0" xfId="0" applyNumberFormat="1" applyFont="1" applyFill="1"/>
    <xf numFmtId="4" fontId="7" fillId="25" borderId="0" xfId="0" applyNumberFormat="1" applyFont="1" applyFill="1"/>
    <xf numFmtId="4" fontId="7" fillId="21" borderId="1" xfId="0" applyNumberFormat="1" applyFont="1" applyFill="1" applyBorder="1"/>
    <xf numFmtId="4" fontId="0" fillId="21" borderId="0" xfId="0" applyNumberFormat="1" applyFill="1"/>
    <xf numFmtId="4" fontId="7" fillId="51" borderId="0" xfId="0" applyNumberFormat="1" applyFont="1" applyFill="1"/>
    <xf numFmtId="4" fontId="7" fillId="21" borderId="0" xfId="0" applyNumberFormat="1" applyFont="1" applyFill="1" applyAlignment="1">
      <alignment vertical="center"/>
    </xf>
    <xf numFmtId="4" fontId="7" fillId="48" borderId="0" xfId="0" applyNumberFormat="1" applyFont="1" applyFill="1" applyAlignment="1">
      <alignment vertical="center"/>
    </xf>
    <xf numFmtId="4" fontId="7" fillId="25" borderId="0" xfId="0" applyNumberFormat="1" applyFont="1" applyFill="1" applyAlignment="1">
      <alignment vertical="center"/>
    </xf>
    <xf numFmtId="0" fontId="34" fillId="0" borderId="1" xfId="0" applyFont="1" applyBorder="1" applyAlignment="1">
      <alignment horizontal="center" vertical="center" wrapText="1"/>
    </xf>
    <xf numFmtId="164" fontId="0" fillId="2" borderId="0" xfId="1" applyNumberFormat="1" applyFont="1" applyFill="1"/>
    <xf numFmtId="164" fontId="0" fillId="6" borderId="0" xfId="1" applyNumberFormat="1" applyFont="1" applyFill="1"/>
    <xf numFmtId="164" fontId="36" fillId="15" borderId="0" xfId="1" applyNumberFormat="1" applyFont="1" applyFill="1" applyBorder="1"/>
    <xf numFmtId="164" fontId="0" fillId="0" borderId="18" xfId="1" applyNumberFormat="1" applyFont="1" applyFill="1" applyBorder="1"/>
    <xf numFmtId="164" fontId="5" fillId="16" borderId="0" xfId="1" applyNumberFormat="1" applyFont="1" applyFill="1"/>
    <xf numFmtId="164" fontId="1" fillId="16" borderId="0" xfId="1" applyNumberFormat="1" applyFont="1" applyFill="1"/>
    <xf numFmtId="164" fontId="7" fillId="25" borderId="0" xfId="1" applyNumberFormat="1" applyFont="1" applyFill="1"/>
    <xf numFmtId="164" fontId="7" fillId="0" borderId="0" xfId="1" applyNumberFormat="1" applyFont="1" applyFill="1"/>
    <xf numFmtId="164" fontId="5" fillId="0" borderId="18" xfId="1" applyNumberFormat="1" applyFont="1" applyFill="1" applyBorder="1"/>
    <xf numFmtId="164" fontId="1" fillId="22" borderId="0" xfId="1" applyNumberFormat="1" applyFont="1" applyFill="1"/>
    <xf numFmtId="0" fontId="12" fillId="24" borderId="11" xfId="0" applyFont="1" applyFill="1" applyBorder="1"/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Border="1" applyAlignment="1">
      <alignment vertical="center"/>
    </xf>
    <xf numFmtId="164" fontId="0" fillId="2" borderId="0" xfId="1" applyNumberFormat="1" applyFont="1" applyFill="1" applyAlignment="1">
      <alignment vertical="center"/>
    </xf>
    <xf numFmtId="164" fontId="0" fillId="0" borderId="0" xfId="1" applyNumberFormat="1" applyFont="1" applyFill="1" applyAlignment="1">
      <alignment vertical="center"/>
    </xf>
    <xf numFmtId="164" fontId="0" fillId="3" borderId="0" xfId="1" applyNumberFormat="1" applyFont="1" applyFill="1" applyAlignment="1">
      <alignment vertical="center"/>
    </xf>
    <xf numFmtId="164" fontId="0" fillId="4" borderId="0" xfId="1" applyNumberFormat="1" applyFont="1" applyFill="1" applyAlignment="1">
      <alignment vertical="center"/>
    </xf>
    <xf numFmtId="164" fontId="0" fillId="25" borderId="0" xfId="1" applyNumberFormat="1" applyFont="1" applyFill="1" applyAlignment="1">
      <alignment vertical="center"/>
    </xf>
    <xf numFmtId="164" fontId="0" fillId="6" borderId="0" xfId="1" applyNumberFormat="1" applyFont="1" applyFill="1" applyAlignment="1">
      <alignment vertical="center"/>
    </xf>
    <xf numFmtId="164" fontId="0" fillId="5" borderId="0" xfId="1" applyNumberFormat="1" applyFont="1" applyFill="1" applyAlignment="1">
      <alignment vertical="center"/>
    </xf>
    <xf numFmtId="164" fontId="0" fillId="22" borderId="0" xfId="1" applyNumberFormat="1" applyFont="1" applyFill="1" applyAlignment="1">
      <alignment vertical="center"/>
    </xf>
    <xf numFmtId="164" fontId="0" fillId="7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164" fontId="0" fillId="0" borderId="18" xfId="1" applyNumberFormat="1" applyFont="1" applyFill="1" applyBorder="1" applyAlignment="1">
      <alignment vertical="center"/>
    </xf>
    <xf numFmtId="164" fontId="0" fillId="0" borderId="18" xfId="1" applyNumberFormat="1" applyFont="1" applyBorder="1" applyAlignment="1">
      <alignment vertical="center"/>
    </xf>
    <xf numFmtId="164" fontId="5" fillId="8" borderId="0" xfId="1" applyNumberFormat="1" applyFont="1" applyFill="1" applyAlignment="1">
      <alignment vertical="center"/>
    </xf>
    <xf numFmtId="164" fontId="5" fillId="16" borderId="0" xfId="1" applyNumberFormat="1" applyFont="1" applyFill="1" applyAlignment="1">
      <alignment vertical="center"/>
    </xf>
    <xf numFmtId="164" fontId="5" fillId="0" borderId="0" xfId="1" applyNumberFormat="1" applyFont="1" applyFill="1" applyAlignment="1">
      <alignment vertical="center"/>
    </xf>
    <xf numFmtId="164" fontId="7" fillId="48" borderId="0" xfId="1" applyNumberFormat="1" applyFont="1" applyFill="1" applyAlignment="1">
      <alignment vertical="center"/>
    </xf>
    <xf numFmtId="164" fontId="7" fillId="0" borderId="0" xfId="1" applyNumberFormat="1" applyFont="1" applyFill="1" applyAlignment="1">
      <alignment vertical="center"/>
    </xf>
    <xf numFmtId="164" fontId="7" fillId="25" borderId="0" xfId="1" applyNumberFormat="1" applyFont="1" applyFill="1" applyAlignment="1">
      <alignment vertical="center"/>
    </xf>
    <xf numFmtId="164" fontId="5" fillId="0" borderId="18" xfId="1" applyNumberFormat="1" applyFont="1" applyFill="1" applyBorder="1" applyAlignment="1">
      <alignment vertical="center"/>
    </xf>
    <xf numFmtId="164" fontId="5" fillId="0" borderId="0" xfId="1" applyNumberFormat="1" applyFont="1" applyAlignment="1">
      <alignment vertical="center"/>
    </xf>
    <xf numFmtId="164" fontId="0" fillId="11" borderId="0" xfId="1" applyNumberFormat="1" applyFont="1" applyFill="1" applyAlignment="1">
      <alignment vertical="center"/>
    </xf>
    <xf numFmtId="164" fontId="0" fillId="12" borderId="0" xfId="1" applyNumberFormat="1" applyFont="1" applyFill="1" applyAlignment="1">
      <alignment vertical="center"/>
    </xf>
    <xf numFmtId="164" fontId="0" fillId="24" borderId="0" xfId="1" applyNumberFormat="1" applyFont="1" applyFill="1" applyAlignment="1">
      <alignment vertical="center"/>
    </xf>
    <xf numFmtId="164" fontId="0" fillId="13" borderId="0" xfId="1" applyNumberFormat="1" applyFont="1" applyFill="1" applyAlignment="1">
      <alignment vertical="center"/>
    </xf>
    <xf numFmtId="164" fontId="5" fillId="14" borderId="0" xfId="1" applyNumberFormat="1" applyFont="1" applyFill="1" applyBorder="1" applyAlignment="1">
      <alignment vertical="center"/>
    </xf>
    <xf numFmtId="164" fontId="5" fillId="14" borderId="0" xfId="1" applyNumberFormat="1" applyFont="1" applyFill="1" applyAlignment="1">
      <alignment vertical="center"/>
    </xf>
    <xf numFmtId="164" fontId="1" fillId="14" borderId="0" xfId="1" applyNumberFormat="1" applyFont="1" applyFill="1" applyAlignment="1">
      <alignment vertical="center"/>
    </xf>
    <xf numFmtId="164" fontId="5" fillId="15" borderId="0" xfId="1" applyNumberFormat="1" applyFont="1" applyFill="1" applyBorder="1" applyAlignment="1">
      <alignment vertical="center"/>
    </xf>
    <xf numFmtId="164" fontId="5" fillId="15" borderId="0" xfId="1" applyNumberFormat="1" applyFont="1" applyFill="1" applyAlignment="1">
      <alignment vertical="center"/>
    </xf>
    <xf numFmtId="164" fontId="5" fillId="22" borderId="0" xfId="1" applyNumberFormat="1" applyFont="1" applyFill="1" applyAlignment="1">
      <alignment vertical="center"/>
    </xf>
    <xf numFmtId="0" fontId="21" fillId="29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" fontId="5" fillId="8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15" borderId="3" xfId="0" applyFont="1" applyFill="1" applyBorder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17" fillId="18" borderId="3" xfId="0" applyFont="1" applyFill="1" applyBorder="1" applyAlignment="1">
      <alignment horizontal="center"/>
    </xf>
    <xf numFmtId="0" fontId="17" fillId="18" borderId="17" xfId="0" applyFont="1" applyFill="1" applyBorder="1" applyAlignment="1">
      <alignment horizontal="center"/>
    </xf>
  </cellXfs>
  <cellStyles count="21">
    <cellStyle name="Comma" xfId="1" builtinId="3"/>
    <cellStyle name="Followed Hyperlink" xfId="11" builtinId="9" hidden="1"/>
    <cellStyle name="Followed Hyperlink" xfId="12" builtinId="9" hidden="1"/>
    <cellStyle name="Followed Hyperlink" xfId="9" builtinId="9" hidden="1"/>
    <cellStyle name="Followed Hyperlink" xfId="6" builtinId="9" hidden="1"/>
    <cellStyle name="Followed Hyperlink" xfId="4" builtinId="9" hidden="1"/>
    <cellStyle name="Followed Hyperlink" xfId="3" builtinId="9" hidden="1"/>
    <cellStyle name="Followed Hyperlink" xfId="5" builtinId="9" hidden="1"/>
    <cellStyle name="Followed Hyperlink" xfId="10" builtinId="9" hidden="1"/>
    <cellStyle name="Followed Hyperlink" xfId="19" builtinId="9" hidden="1"/>
    <cellStyle name="Followed Hyperlink" xfId="20" builtinId="9" hidden="1"/>
    <cellStyle name="Followed Hyperlink" xfId="13" builtinId="9" hidden="1"/>
    <cellStyle name="Followed Hyperlink" xfId="7" builtinId="9" hidden="1"/>
    <cellStyle name="Followed Hyperlink" xfId="8" builtinId="9" hidden="1"/>
    <cellStyle name="Followed Hyperlink" xfId="17" builtinId="9" hidden="1"/>
    <cellStyle name="Followed Hyperlink" xfId="16" builtinId="9" hidden="1"/>
    <cellStyle name="Followed Hyperlink" xfId="18" builtinId="9" hidden="1"/>
    <cellStyle name="Followed Hyperlink" xfId="15" builtinId="9" hidden="1"/>
    <cellStyle name="Followed Hyperlink" xfId="14" builtinId="9" hidden="1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969696"/>
      <color rgb="FF33CCFF"/>
      <color rgb="FF00FF00"/>
      <color rgb="FF339966"/>
      <color rgb="FFFFFF99"/>
      <color rgb="FFCC99FF"/>
      <color rgb="FFFF8080"/>
      <color rgb="FFFF00FF"/>
      <color rgb="FFFF9900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one13/Downloads/Louisiana%202014%20SOA%20EM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adia"/>
      <sheetName val="Allen"/>
      <sheetName val="Sheet3"/>
      <sheetName val="Assumption"/>
      <sheetName val="Bienville"/>
      <sheetName val="Bossier"/>
      <sheetName val="Livingston"/>
      <sheetName val="Madison"/>
      <sheetName val="Morehouse"/>
      <sheetName val="Natchitoches"/>
      <sheetName val="Ouachita"/>
      <sheetName val="Rapides"/>
      <sheetName val="Red River"/>
      <sheetName val="Richland"/>
      <sheetName val="Sabine"/>
      <sheetName val="St. Charles"/>
      <sheetName val="St. James"/>
      <sheetName val="St. Tammany"/>
      <sheetName val="Tangipahoa"/>
      <sheetName val="Tensas"/>
      <sheetName val="Terrebonne"/>
      <sheetName val="Vermilion"/>
      <sheetName val="Vernon"/>
      <sheetName val="Washington"/>
      <sheetName val="Webster"/>
      <sheetName val="West Baton Rouge"/>
      <sheetName val="West Carroll"/>
      <sheetName val="Winn"/>
      <sheetName val="Cross Sectional"/>
      <sheetName val="A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9">
          <cell r="I9">
            <v>-6083044</v>
          </cell>
        </row>
        <row r="10">
          <cell r="I10">
            <v>-7164567</v>
          </cell>
        </row>
        <row r="11">
          <cell r="I11">
            <v>-8042557</v>
          </cell>
        </row>
        <row r="12">
          <cell r="I12">
            <v>-2737565</v>
          </cell>
        </row>
        <row r="13">
          <cell r="I13">
            <v>-1678495</v>
          </cell>
        </row>
        <row r="14">
          <cell r="I14">
            <v>-110747</v>
          </cell>
        </row>
        <row r="15">
          <cell r="I15">
            <v>-330153</v>
          </cell>
        </row>
        <row r="16">
          <cell r="I16">
            <v>-156132</v>
          </cell>
        </row>
        <row r="18">
          <cell r="I18">
            <v>-26303260</v>
          </cell>
        </row>
        <row r="22">
          <cell r="L22">
            <v>8631888</v>
          </cell>
        </row>
        <row r="23">
          <cell r="L23">
            <v>11241723</v>
          </cell>
        </row>
        <row r="24">
          <cell r="L24">
            <v>1094197</v>
          </cell>
        </row>
        <row r="25">
          <cell r="L25">
            <v>20735</v>
          </cell>
        </row>
        <row r="26">
          <cell r="L26">
            <v>942692</v>
          </cell>
        </row>
        <row r="27">
          <cell r="L27">
            <v>220272</v>
          </cell>
        </row>
        <row r="28">
          <cell r="L28">
            <v>80438</v>
          </cell>
        </row>
        <row r="29">
          <cell r="L29">
            <v>513770</v>
          </cell>
        </row>
        <row r="31">
          <cell r="L31">
            <v>22745715</v>
          </cell>
        </row>
      </sheetData>
      <sheetData sheetId="26" refreshError="1">
        <row r="7">
          <cell r="I7">
            <v>-810475</v>
          </cell>
        </row>
        <row r="8">
          <cell r="I8">
            <v>-502093</v>
          </cell>
        </row>
        <row r="9">
          <cell r="I9">
            <v>-4051801</v>
          </cell>
        </row>
        <row r="10">
          <cell r="I10">
            <v>-2885350</v>
          </cell>
        </row>
        <row r="11">
          <cell r="I11">
            <v>-3425</v>
          </cell>
        </row>
        <row r="12">
          <cell r="I12">
            <v>-142390</v>
          </cell>
        </row>
        <row r="13">
          <cell r="I13">
            <v>-164814</v>
          </cell>
        </row>
        <row r="15">
          <cell r="I15">
            <v>-8560348</v>
          </cell>
        </row>
        <row r="20">
          <cell r="M20">
            <v>326757</v>
          </cell>
        </row>
        <row r="21">
          <cell r="M21">
            <v>662487</v>
          </cell>
        </row>
        <row r="23">
          <cell r="M23">
            <v>640960</v>
          </cell>
        </row>
        <row r="24">
          <cell r="M24">
            <v>1922880</v>
          </cell>
        </row>
        <row r="25">
          <cell r="M25">
            <v>700435</v>
          </cell>
        </row>
        <row r="26">
          <cell r="M26">
            <v>96662</v>
          </cell>
        </row>
        <row r="27">
          <cell r="M27">
            <v>756153</v>
          </cell>
        </row>
        <row r="29">
          <cell r="M29">
            <v>5106334</v>
          </cell>
        </row>
      </sheetData>
      <sheetData sheetId="27" refreshError="1">
        <row r="9">
          <cell r="I9">
            <v>-88189</v>
          </cell>
        </row>
        <row r="10">
          <cell r="I10">
            <v>-554766</v>
          </cell>
        </row>
        <row r="11">
          <cell r="I11">
            <v>-22766</v>
          </cell>
        </row>
        <row r="12">
          <cell r="I12">
            <v>-997608</v>
          </cell>
        </row>
        <row r="13">
          <cell r="I13">
            <v>-14608</v>
          </cell>
        </row>
        <row r="14">
          <cell r="I14">
            <v>-981253</v>
          </cell>
        </row>
        <row r="15">
          <cell r="I15">
            <v>-2044207</v>
          </cell>
        </row>
        <row r="16">
          <cell r="I16">
            <v>-494697</v>
          </cell>
        </row>
        <row r="17">
          <cell r="I17">
            <v>-758426</v>
          </cell>
        </row>
        <row r="18">
          <cell r="I18">
            <v>-693812</v>
          </cell>
        </row>
        <row r="19">
          <cell r="I19">
            <v>-38485</v>
          </cell>
        </row>
        <row r="21">
          <cell r="I21">
            <v>-6688817</v>
          </cell>
        </row>
        <row r="25">
          <cell r="M25">
            <v>1532407</v>
          </cell>
        </row>
        <row r="26">
          <cell r="M26">
            <v>1881436</v>
          </cell>
        </row>
        <row r="27">
          <cell r="L27">
            <v>0</v>
          </cell>
          <cell r="M27">
            <v>114752</v>
          </cell>
        </row>
        <row r="28">
          <cell r="M28">
            <v>40325</v>
          </cell>
        </row>
        <row r="29">
          <cell r="M29">
            <v>1509053</v>
          </cell>
        </row>
        <row r="30">
          <cell r="L30">
            <v>0</v>
          </cell>
          <cell r="M30">
            <v>22154</v>
          </cell>
        </row>
        <row r="31">
          <cell r="L31">
            <v>0</v>
          </cell>
          <cell r="M31">
            <v>241992</v>
          </cell>
        </row>
        <row r="33">
          <cell r="M33">
            <v>5342119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workbookViewId="0">
      <selection activeCell="L27" sqref="L27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  <col min="14" max="14" width="12.28515625" customWidth="1"/>
  </cols>
  <sheetData>
    <row r="1" spans="1:15" ht="30" customHeight="1">
      <c r="J1" s="520" t="s">
        <v>0</v>
      </c>
      <c r="K1" s="520"/>
      <c r="L1" s="520"/>
      <c r="M1" s="520"/>
    </row>
    <row r="2" spans="1:15" ht="21.75" customHeight="1">
      <c r="J2" s="521" t="s">
        <v>1</v>
      </c>
      <c r="K2" s="521"/>
      <c r="L2" s="521"/>
      <c r="M2" s="521"/>
    </row>
    <row r="3" spans="1:15" ht="10.5" customHeight="1">
      <c r="E3" s="3"/>
      <c r="F3" s="3"/>
      <c r="G3" s="3"/>
      <c r="H3" s="3"/>
      <c r="I3" s="3"/>
      <c r="J3" s="3"/>
      <c r="K3" s="3"/>
      <c r="L3" s="3"/>
    </row>
    <row r="4" spans="1:15" ht="42" customHeight="1">
      <c r="E4" s="2"/>
      <c r="M4" s="523" t="s">
        <v>2</v>
      </c>
      <c r="N4" s="523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 t="s">
        <v>5</v>
      </c>
      <c r="N5" s="158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11</v>
      </c>
      <c r="N6" s="81" t="s">
        <v>12</v>
      </c>
    </row>
    <row r="7" spans="1:15" ht="30.75" customHeight="1">
      <c r="A7" s="8" t="s">
        <v>13</v>
      </c>
      <c r="I7" s="159"/>
      <c r="J7" s="159"/>
      <c r="K7" s="159"/>
      <c r="L7" s="159"/>
      <c r="M7" s="159"/>
      <c r="N7" s="159"/>
      <c r="O7" s="159"/>
    </row>
    <row r="8" spans="1:15">
      <c r="B8" s="10" t="s">
        <v>14</v>
      </c>
      <c r="I8" s="159"/>
      <c r="J8" s="159"/>
      <c r="K8" s="159"/>
      <c r="L8" s="159"/>
      <c r="M8" s="159"/>
      <c r="N8" s="159"/>
      <c r="O8" s="159"/>
    </row>
    <row r="9" spans="1:15">
      <c r="C9" t="s">
        <v>15</v>
      </c>
      <c r="H9" s="12"/>
      <c r="I9" s="160">
        <v>-3174139</v>
      </c>
      <c r="J9" s="159">
        <v>90048</v>
      </c>
      <c r="K9" s="159"/>
      <c r="L9" s="159">
        <v>9155</v>
      </c>
      <c r="M9" s="159">
        <f t="shared" ref="M9:M15" si="0">SUM(I9:L9)</f>
        <v>-3074936</v>
      </c>
      <c r="N9" s="159"/>
      <c r="O9" s="159"/>
    </row>
    <row r="10" spans="1:15">
      <c r="C10" t="s">
        <v>16</v>
      </c>
      <c r="H10" s="12"/>
      <c r="I10" s="161">
        <v>-1842385</v>
      </c>
      <c r="J10" s="159">
        <v>20664</v>
      </c>
      <c r="K10" s="159">
        <v>133860</v>
      </c>
      <c r="L10" s="159">
        <v>204990</v>
      </c>
      <c r="M10" s="159">
        <f t="shared" si="0"/>
        <v>-1482871</v>
      </c>
      <c r="N10" s="159"/>
      <c r="O10" s="159"/>
    </row>
    <row r="11" spans="1:15">
      <c r="C11" t="s">
        <v>17</v>
      </c>
      <c r="H11" s="12"/>
      <c r="I11" s="162">
        <v>-5893248</v>
      </c>
      <c r="J11" s="159"/>
      <c r="K11" s="159">
        <v>610860</v>
      </c>
      <c r="L11" s="159">
        <v>42195</v>
      </c>
      <c r="M11" s="159">
        <f t="shared" si="0"/>
        <v>-5240193</v>
      </c>
      <c r="N11" s="159"/>
      <c r="O11" s="159"/>
    </row>
    <row r="12" spans="1:15">
      <c r="C12" t="s">
        <v>18</v>
      </c>
      <c r="H12" s="12"/>
      <c r="I12" s="163">
        <v>-574712</v>
      </c>
      <c r="J12" s="159">
        <v>8414</v>
      </c>
      <c r="K12" s="159"/>
      <c r="L12" s="159">
        <v>324518</v>
      </c>
      <c r="M12" s="159">
        <f t="shared" si="0"/>
        <v>-241780</v>
      </c>
      <c r="N12" s="159"/>
      <c r="O12" s="159"/>
    </row>
    <row r="13" spans="1:15">
      <c r="C13" t="s">
        <v>19</v>
      </c>
      <c r="H13" s="12"/>
      <c r="I13" s="164">
        <v>-7186309</v>
      </c>
      <c r="J13" s="159">
        <v>5880</v>
      </c>
      <c r="K13" s="159">
        <v>246456</v>
      </c>
      <c r="L13" s="159">
        <v>514892</v>
      </c>
      <c r="M13" s="159">
        <f t="shared" si="0"/>
        <v>-6419081</v>
      </c>
      <c r="N13" s="159"/>
      <c r="O13" s="159"/>
    </row>
    <row r="14" spans="1:15">
      <c r="C14" t="s">
        <v>20</v>
      </c>
      <c r="H14" s="12"/>
      <c r="I14" s="165">
        <v>-340726</v>
      </c>
      <c r="J14" s="159">
        <v>82248</v>
      </c>
      <c r="K14" s="159"/>
      <c r="L14" s="159"/>
      <c r="M14" s="159">
        <f t="shared" si="0"/>
        <v>-258478</v>
      </c>
      <c r="N14" s="159"/>
      <c r="O14" s="159"/>
    </row>
    <row r="15" spans="1:15">
      <c r="C15" t="s">
        <v>21</v>
      </c>
      <c r="H15" s="12"/>
      <c r="I15" s="166">
        <v>-394773</v>
      </c>
      <c r="J15" s="167"/>
      <c r="K15" s="167"/>
      <c r="L15" s="167"/>
      <c r="M15" s="167">
        <f t="shared" si="0"/>
        <v>-394773</v>
      </c>
      <c r="N15" s="167"/>
      <c r="O15" s="159"/>
    </row>
    <row r="16" spans="1:15">
      <c r="H16" s="12"/>
      <c r="I16" s="159"/>
      <c r="J16" s="159"/>
      <c r="K16" s="159"/>
      <c r="L16" s="159"/>
      <c r="M16" s="159"/>
      <c r="N16" s="159"/>
      <c r="O16" s="159"/>
    </row>
    <row r="17" spans="1:15">
      <c r="E17" s="19" t="s">
        <v>22</v>
      </c>
      <c r="F17" s="19"/>
      <c r="G17" s="19"/>
      <c r="H17" s="20"/>
      <c r="I17" s="168">
        <f>SUM(I9:I15)</f>
        <v>-19406292</v>
      </c>
      <c r="J17" s="168">
        <f>SUM(J9:J15)</f>
        <v>207254</v>
      </c>
      <c r="K17" s="168">
        <f>SUM(K9:K15)</f>
        <v>991176</v>
      </c>
      <c r="L17" s="168">
        <f>SUM(L9:L15)</f>
        <v>1095750</v>
      </c>
      <c r="M17" s="169">
        <f>SUM(M9:M15)</f>
        <v>-17112112</v>
      </c>
      <c r="N17" s="170"/>
      <c r="O17" s="159"/>
    </row>
    <row r="18" spans="1:15">
      <c r="H18" s="12"/>
      <c r="I18" s="159"/>
      <c r="J18" s="159"/>
      <c r="K18" s="159"/>
      <c r="L18" s="159"/>
      <c r="M18" s="159"/>
      <c r="N18" s="159"/>
      <c r="O18" s="159"/>
    </row>
    <row r="19" spans="1:15">
      <c r="A19" s="10" t="s">
        <v>23</v>
      </c>
      <c r="H19" s="12"/>
      <c r="I19" s="159"/>
      <c r="J19" s="159"/>
      <c r="K19" s="159"/>
      <c r="L19" s="159"/>
      <c r="M19" s="159"/>
      <c r="N19" s="159"/>
      <c r="O19" s="159"/>
    </row>
    <row r="20" spans="1:15">
      <c r="B20" t="s">
        <v>24</v>
      </c>
      <c r="H20" s="12"/>
      <c r="I20" s="171">
        <v>-751832</v>
      </c>
      <c r="J20" s="171">
        <v>174579</v>
      </c>
      <c r="K20" s="171">
        <v>63659</v>
      </c>
      <c r="L20" s="171">
        <v>0</v>
      </c>
      <c r="M20" s="171"/>
      <c r="N20" s="171">
        <f>SUM(I20:M20)</f>
        <v>-513594</v>
      </c>
      <c r="O20" s="159"/>
    </row>
    <row r="21" spans="1:15">
      <c r="H21" s="12"/>
      <c r="I21" s="159"/>
      <c r="J21" s="159"/>
      <c r="K21" s="159"/>
      <c r="L21" s="159"/>
      <c r="M21" s="159"/>
      <c r="N21" s="159"/>
      <c r="O21" s="159"/>
    </row>
    <row r="22" spans="1:15">
      <c r="A22" s="8"/>
      <c r="B22" s="8"/>
      <c r="C22" s="8"/>
      <c r="D22" s="8"/>
      <c r="E22" s="8"/>
      <c r="G22" s="8" t="s">
        <v>25</v>
      </c>
      <c r="H22" s="26"/>
      <c r="I22" s="172"/>
      <c r="J22" s="172"/>
      <c r="K22" s="172"/>
      <c r="L22" s="172"/>
      <c r="M22" s="159"/>
      <c r="N22" s="159"/>
      <c r="O22" s="159"/>
    </row>
    <row r="23" spans="1:15">
      <c r="A23" s="8"/>
      <c r="B23" s="8"/>
      <c r="C23" s="8"/>
      <c r="D23" s="8"/>
      <c r="E23" s="8"/>
      <c r="G23" s="8"/>
      <c r="H23" s="80" t="s">
        <v>26</v>
      </c>
      <c r="I23" s="172"/>
      <c r="J23" s="172"/>
      <c r="K23" s="172"/>
      <c r="L23" s="172"/>
      <c r="M23" s="159"/>
      <c r="N23" s="159"/>
      <c r="O23" s="159"/>
    </row>
    <row r="24" spans="1:15">
      <c r="H24" s="12"/>
      <c r="I24" s="159" t="s">
        <v>27</v>
      </c>
      <c r="J24" s="159"/>
      <c r="K24" s="159"/>
      <c r="L24" s="159"/>
      <c r="M24" s="173">
        <v>4784714</v>
      </c>
      <c r="N24" s="159"/>
      <c r="O24" s="159"/>
    </row>
    <row r="25" spans="1:15">
      <c r="H25" s="12"/>
      <c r="I25" s="159" t="s">
        <v>28</v>
      </c>
      <c r="J25" s="159"/>
      <c r="K25" s="159"/>
      <c r="L25" s="159"/>
      <c r="M25" s="162">
        <v>11822706</v>
      </c>
      <c r="N25" s="159"/>
      <c r="O25" s="159"/>
    </row>
    <row r="26" spans="1:15">
      <c r="H26" s="12"/>
      <c r="I26" s="159" t="s">
        <v>29</v>
      </c>
      <c r="J26" s="159"/>
      <c r="K26" s="159"/>
      <c r="L26" s="159"/>
      <c r="M26" s="164">
        <v>1006729</v>
      </c>
      <c r="N26" s="159"/>
      <c r="O26" s="159"/>
    </row>
    <row r="27" spans="1:15">
      <c r="H27" s="12"/>
      <c r="I27" s="159" t="s">
        <v>30</v>
      </c>
      <c r="J27" s="159"/>
      <c r="K27" s="159"/>
      <c r="L27" s="159"/>
      <c r="M27" s="164">
        <v>251271</v>
      </c>
      <c r="N27" s="159"/>
      <c r="O27" s="159"/>
    </row>
    <row r="28" spans="1:15">
      <c r="H28" s="12"/>
      <c r="I28" s="159" t="s">
        <v>31</v>
      </c>
      <c r="J28" s="159"/>
      <c r="K28" s="159"/>
      <c r="L28" s="159"/>
      <c r="M28" s="164">
        <v>486902</v>
      </c>
      <c r="N28" s="159"/>
      <c r="O28" s="159"/>
    </row>
    <row r="29" spans="1:15">
      <c r="H29" s="12"/>
      <c r="I29" s="159" t="s">
        <v>32</v>
      </c>
      <c r="J29" s="159"/>
      <c r="K29" s="159"/>
      <c r="L29" s="159"/>
      <c r="M29" s="164">
        <v>285866</v>
      </c>
      <c r="N29" s="159"/>
      <c r="O29" s="159"/>
    </row>
    <row r="30" spans="1:15">
      <c r="H30" s="12" t="s">
        <v>33</v>
      </c>
      <c r="I30" s="159"/>
      <c r="J30" s="159"/>
      <c r="K30" s="159"/>
      <c r="L30" s="159"/>
      <c r="M30" s="160">
        <v>443266</v>
      </c>
      <c r="N30" s="159"/>
      <c r="O30" s="159"/>
    </row>
    <row r="31" spans="1:15">
      <c r="H31" s="12" t="s">
        <v>34</v>
      </c>
      <c r="I31" s="159"/>
      <c r="J31" s="159"/>
      <c r="K31" s="159"/>
      <c r="L31" s="159"/>
      <c r="M31" s="174">
        <v>122176</v>
      </c>
      <c r="N31" s="159"/>
      <c r="O31" s="159"/>
    </row>
    <row r="32" spans="1:15">
      <c r="H32" s="12" t="s">
        <v>35</v>
      </c>
      <c r="I32" s="159"/>
      <c r="J32" s="159"/>
      <c r="K32" s="159"/>
      <c r="L32" s="159"/>
      <c r="M32" s="174">
        <v>-44090</v>
      </c>
      <c r="N32" s="159"/>
      <c r="O32" s="159"/>
    </row>
    <row r="33" spans="5:15">
      <c r="H33" s="12" t="s">
        <v>36</v>
      </c>
      <c r="I33" s="159"/>
      <c r="J33" s="159"/>
      <c r="K33" s="159"/>
      <c r="L33" s="159"/>
      <c r="M33" s="174">
        <v>437977</v>
      </c>
      <c r="N33" s="159"/>
      <c r="O33" s="159"/>
    </row>
    <row r="34" spans="5:15">
      <c r="H34" s="12" t="s">
        <v>37</v>
      </c>
      <c r="I34" s="159"/>
      <c r="J34" s="159"/>
      <c r="K34" s="159"/>
      <c r="L34" s="159"/>
      <c r="M34" s="175">
        <v>-515000</v>
      </c>
      <c r="N34" s="159">
        <v>515000</v>
      </c>
      <c r="O34" s="159"/>
    </row>
    <row r="35" spans="5:15">
      <c r="H35" s="12"/>
      <c r="I35" s="159"/>
      <c r="J35" s="159"/>
      <c r="K35" s="159"/>
      <c r="L35" s="159"/>
      <c r="M35" s="159"/>
      <c r="N35" s="159"/>
      <c r="O35" s="159"/>
    </row>
    <row r="36" spans="5:15">
      <c r="H36" s="20" t="s">
        <v>38</v>
      </c>
      <c r="I36" s="168"/>
      <c r="J36" s="168"/>
      <c r="K36" s="168"/>
      <c r="L36" s="168"/>
      <c r="M36" s="168">
        <f>SUM(M24:M34)</f>
        <v>19082517</v>
      </c>
      <c r="N36" s="171">
        <f>SUM(N24:N34)</f>
        <v>515000</v>
      </c>
      <c r="O36" s="159"/>
    </row>
    <row r="37" spans="5:15">
      <c r="H37" s="12"/>
      <c r="I37" s="159"/>
      <c r="J37" s="159"/>
      <c r="K37" s="159"/>
      <c r="L37" s="159"/>
      <c r="M37" s="159"/>
      <c r="N37" s="159"/>
      <c r="O37" s="159"/>
    </row>
    <row r="38" spans="5:15">
      <c r="H38" s="20" t="s">
        <v>39</v>
      </c>
      <c r="I38" s="168"/>
      <c r="J38" s="168"/>
      <c r="K38" s="168"/>
      <c r="L38" s="168"/>
      <c r="M38" s="168">
        <f>SUM(M17,M36)</f>
        <v>1970405</v>
      </c>
      <c r="N38" s="171">
        <f>N36+N20</f>
        <v>1406</v>
      </c>
      <c r="O38" s="159"/>
    </row>
    <row r="39" spans="5:15">
      <c r="H39" s="26"/>
      <c r="I39" s="26"/>
      <c r="J39" s="26"/>
      <c r="K39" s="26"/>
      <c r="L39" s="26"/>
      <c r="M39" s="26"/>
    </row>
    <row r="40" spans="5:15">
      <c r="H40" s="26"/>
      <c r="I40" s="26"/>
      <c r="J40" s="26"/>
      <c r="K40" s="26"/>
      <c r="L40" s="26"/>
      <c r="M40" s="26"/>
    </row>
    <row r="41" spans="5:15">
      <c r="E41" s="31" t="s">
        <v>40</v>
      </c>
      <c r="F41" s="31"/>
      <c r="G41" s="31"/>
      <c r="H41" s="32"/>
      <c r="I41" s="32"/>
      <c r="J41" s="32"/>
      <c r="K41" s="32"/>
      <c r="L41" s="32"/>
      <c r="M41" s="33">
        <v>52621424</v>
      </c>
      <c r="N41" s="86">
        <v>38809</v>
      </c>
    </row>
    <row r="42" spans="5:15">
      <c r="H42" s="12"/>
      <c r="I42" s="12"/>
      <c r="J42" s="12"/>
      <c r="K42" s="12"/>
      <c r="L42" s="12"/>
      <c r="M42" s="12"/>
    </row>
    <row r="43" spans="5:15">
      <c r="E43" s="34" t="s">
        <v>41</v>
      </c>
      <c r="F43" s="34"/>
      <c r="G43" s="34"/>
      <c r="H43" s="35"/>
      <c r="I43" s="35"/>
      <c r="J43" s="35"/>
      <c r="K43" s="35"/>
      <c r="L43" s="35"/>
      <c r="M43" s="83">
        <v>54591829</v>
      </c>
      <c r="N43" s="87">
        <f>N41+N38</f>
        <v>40215</v>
      </c>
    </row>
    <row r="50" spans="11:13">
      <c r="K50" s="9"/>
      <c r="L50" s="9"/>
      <c r="M50" s="9"/>
    </row>
  </sheetData>
  <mergeCells count="4">
    <mergeCell ref="J1:M1"/>
    <mergeCell ref="J2:M2"/>
    <mergeCell ref="J5:L5"/>
    <mergeCell ref="M4:N4"/>
  </mergeCells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workbookViewId="0">
      <selection activeCell="O6" sqref="O6"/>
    </sheetView>
  </sheetViews>
  <sheetFormatPr defaultColWidth="8.85546875" defaultRowHeight="15"/>
  <cols>
    <col min="9" max="9" width="16.85546875" customWidth="1"/>
    <col min="10" max="11" width="17" customWidth="1"/>
    <col min="12" max="12" width="13.140625" customWidth="1"/>
    <col min="13" max="13" width="21.42578125" customWidth="1"/>
  </cols>
  <sheetData>
    <row r="1" spans="1:13" ht="23.25">
      <c r="J1" s="520" t="s">
        <v>42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60.75">
      <c r="E4" s="2"/>
      <c r="M4" s="431" t="s">
        <v>43</v>
      </c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3" t="s">
        <v>5</v>
      </c>
    </row>
    <row r="6" spans="1:13" ht="60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11</v>
      </c>
    </row>
    <row r="7" spans="1:13">
      <c r="A7" s="8" t="s">
        <v>13</v>
      </c>
      <c r="I7" s="9"/>
      <c r="J7" s="9"/>
      <c r="K7" s="9"/>
      <c r="L7" s="9"/>
      <c r="M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76">
        <v>-2194302</v>
      </c>
      <c r="J9" s="9">
        <v>230115</v>
      </c>
      <c r="K9" s="9">
        <v>16150</v>
      </c>
      <c r="L9" s="9"/>
      <c r="M9" s="9">
        <f t="shared" ref="M9:M14" si="0">SUM(I9:L9)</f>
        <v>-1948037</v>
      </c>
    </row>
    <row r="10" spans="1:13">
      <c r="C10" t="s">
        <v>16</v>
      </c>
      <c r="H10" s="12"/>
      <c r="I10" s="177">
        <v>-592121</v>
      </c>
      <c r="J10" s="9"/>
      <c r="K10" s="9">
        <v>513</v>
      </c>
      <c r="L10" s="9"/>
      <c r="M10" s="9">
        <f t="shared" si="0"/>
        <v>-591608</v>
      </c>
    </row>
    <row r="11" spans="1:13">
      <c r="C11" t="s">
        <v>17</v>
      </c>
      <c r="H11" s="12"/>
      <c r="I11" s="178">
        <v>-6135280</v>
      </c>
      <c r="J11" s="9"/>
      <c r="K11" s="9">
        <v>374203</v>
      </c>
      <c r="L11" s="9"/>
      <c r="M11" s="9">
        <f t="shared" si="0"/>
        <v>-5761077</v>
      </c>
    </row>
    <row r="12" spans="1:13">
      <c r="C12" t="s">
        <v>44</v>
      </c>
      <c r="H12" s="12"/>
      <c r="I12" s="179">
        <v>-302516</v>
      </c>
      <c r="J12" s="9">
        <v>73693</v>
      </c>
      <c r="K12" s="9">
        <v>66854</v>
      </c>
      <c r="L12" s="9">
        <v>128448</v>
      </c>
      <c r="M12" s="9">
        <f t="shared" si="0"/>
        <v>-33521</v>
      </c>
    </row>
    <row r="13" spans="1:13">
      <c r="C13" t="s">
        <v>45</v>
      </c>
      <c r="H13" s="12"/>
      <c r="I13" s="180">
        <v>-719358</v>
      </c>
      <c r="J13" s="9"/>
      <c r="K13" s="9">
        <v>755647</v>
      </c>
      <c r="L13" s="9"/>
      <c r="M13" s="9">
        <f t="shared" si="0"/>
        <v>36289</v>
      </c>
    </row>
    <row r="14" spans="1:13">
      <c r="C14" t="s">
        <v>21</v>
      </c>
      <c r="H14" s="12"/>
      <c r="I14" s="181">
        <v>-4853</v>
      </c>
      <c r="J14" s="182"/>
      <c r="K14" s="182"/>
      <c r="L14" s="182"/>
      <c r="M14" s="182">
        <f t="shared" si="0"/>
        <v>-4853</v>
      </c>
    </row>
    <row r="15" spans="1:13">
      <c r="H15" s="12"/>
      <c r="I15" s="9"/>
      <c r="J15" s="9"/>
      <c r="K15" s="9"/>
      <c r="L15" s="9"/>
      <c r="M15" s="9"/>
    </row>
    <row r="16" spans="1:13">
      <c r="E16" s="19" t="s">
        <v>22</v>
      </c>
      <c r="F16" s="19"/>
      <c r="G16" s="19"/>
      <c r="H16" s="20"/>
      <c r="I16" s="183">
        <f>SUM(I9:I14)</f>
        <v>-9948430</v>
      </c>
      <c r="J16" s="183">
        <f>SUM(J9:J14)</f>
        <v>303808</v>
      </c>
      <c r="K16" s="183">
        <f>SUM(K9:K14)</f>
        <v>1213367</v>
      </c>
      <c r="L16" s="183">
        <f>SUM(L9:L14)</f>
        <v>128448</v>
      </c>
      <c r="M16" s="184">
        <f>SUM(M9:M14)</f>
        <v>-8302807</v>
      </c>
    </row>
    <row r="17" spans="1:13">
      <c r="H17" s="12"/>
      <c r="I17" s="9"/>
      <c r="J17" s="9"/>
      <c r="K17" s="9"/>
      <c r="L17" s="9"/>
      <c r="M17" s="9"/>
    </row>
    <row r="18" spans="1:13">
      <c r="H18" s="12"/>
      <c r="I18" s="9"/>
      <c r="J18" s="9"/>
      <c r="K18" s="9"/>
      <c r="L18" s="9"/>
      <c r="M18" s="9"/>
    </row>
    <row r="19" spans="1:13">
      <c r="A19" s="8"/>
      <c r="B19" s="8"/>
      <c r="C19" s="8"/>
      <c r="D19" s="8"/>
      <c r="E19" s="8"/>
      <c r="G19" s="8" t="s">
        <v>25</v>
      </c>
      <c r="H19" s="26"/>
      <c r="I19" s="185"/>
      <c r="J19" s="185"/>
      <c r="K19" s="185"/>
      <c r="L19" s="185"/>
      <c r="M19" s="9"/>
    </row>
    <row r="20" spans="1:13">
      <c r="A20" s="8"/>
      <c r="B20" s="8"/>
      <c r="C20" s="8"/>
      <c r="D20" s="8"/>
      <c r="E20" s="8"/>
      <c r="G20" s="8"/>
      <c r="H20" s="80" t="s">
        <v>26</v>
      </c>
      <c r="I20" s="185"/>
      <c r="J20" s="185"/>
      <c r="K20" s="185"/>
      <c r="L20" s="185"/>
      <c r="M20" s="9"/>
    </row>
    <row r="21" spans="1:13">
      <c r="H21" s="12"/>
      <c r="I21" s="9" t="s">
        <v>46</v>
      </c>
      <c r="J21" s="9"/>
      <c r="K21" s="9"/>
      <c r="L21" s="9"/>
      <c r="M21" s="186">
        <v>3151619</v>
      </c>
    </row>
    <row r="22" spans="1:13">
      <c r="H22" s="12"/>
      <c r="I22" s="9" t="s">
        <v>47</v>
      </c>
      <c r="J22" s="9"/>
      <c r="K22" s="9"/>
      <c r="L22" s="9"/>
      <c r="M22" s="178">
        <v>1871684</v>
      </c>
    </row>
    <row r="23" spans="1:13">
      <c r="H23" s="12"/>
      <c r="I23" s="9" t="s">
        <v>29</v>
      </c>
      <c r="J23" s="9"/>
      <c r="K23" s="9"/>
      <c r="L23" s="9"/>
      <c r="M23" s="187">
        <v>1135569</v>
      </c>
    </row>
    <row r="24" spans="1:13">
      <c r="H24" s="12"/>
      <c r="I24" s="9" t="s">
        <v>32</v>
      </c>
      <c r="J24" s="9"/>
      <c r="K24" s="9"/>
      <c r="L24" s="9"/>
      <c r="M24" s="187">
        <v>354</v>
      </c>
    </row>
    <row r="25" spans="1:13">
      <c r="H25" s="12" t="s">
        <v>48</v>
      </c>
      <c r="I25" s="9"/>
      <c r="J25" s="9"/>
      <c r="K25" s="9"/>
      <c r="L25" s="9"/>
      <c r="M25" s="188">
        <v>175817</v>
      </c>
    </row>
    <row r="26" spans="1:13">
      <c r="H26" s="12" t="s">
        <v>49</v>
      </c>
      <c r="I26" s="9"/>
      <c r="J26" s="9"/>
      <c r="K26" s="9"/>
      <c r="L26" s="9"/>
      <c r="M26" s="189">
        <v>1276190</v>
      </c>
    </row>
    <row r="27" spans="1:13">
      <c r="H27" s="12" t="s">
        <v>50</v>
      </c>
      <c r="I27" s="9"/>
      <c r="J27" s="9"/>
      <c r="K27" s="9"/>
      <c r="L27" s="9"/>
      <c r="M27" s="189">
        <v>14301</v>
      </c>
    </row>
    <row r="28" spans="1:13">
      <c r="H28" s="12" t="s">
        <v>51</v>
      </c>
      <c r="I28" s="9"/>
      <c r="J28" s="9"/>
      <c r="K28" s="9"/>
      <c r="L28" s="9"/>
      <c r="M28" s="9"/>
    </row>
    <row r="29" spans="1:13">
      <c r="H29" s="12"/>
      <c r="I29" s="9" t="s">
        <v>52</v>
      </c>
      <c r="J29" s="9"/>
      <c r="K29" s="9"/>
      <c r="L29" s="9"/>
      <c r="M29" s="189">
        <v>1252</v>
      </c>
    </row>
    <row r="30" spans="1:13">
      <c r="H30" s="12"/>
      <c r="I30" s="9"/>
      <c r="J30" s="9"/>
      <c r="K30" s="9"/>
      <c r="L30" s="9"/>
      <c r="M30" s="9"/>
    </row>
    <row r="31" spans="1:13">
      <c r="H31" s="20" t="s">
        <v>38</v>
      </c>
      <c r="I31" s="183"/>
      <c r="J31" s="183"/>
      <c r="K31" s="183"/>
      <c r="L31" s="183"/>
      <c r="M31" s="183">
        <f>SUM(M21:M29)</f>
        <v>7626786</v>
      </c>
    </row>
    <row r="32" spans="1:13">
      <c r="H32" s="12"/>
      <c r="I32" s="9"/>
      <c r="J32" s="9"/>
      <c r="K32" s="9"/>
      <c r="L32" s="9"/>
      <c r="M32" s="9"/>
    </row>
    <row r="33" spans="5:13">
      <c r="H33" s="20" t="s">
        <v>53</v>
      </c>
      <c r="I33" s="183"/>
      <c r="J33" s="183"/>
      <c r="K33" s="183"/>
      <c r="L33" s="183"/>
      <c r="M33" s="183">
        <f>SUM(M16,M31)</f>
        <v>-676021</v>
      </c>
    </row>
    <row r="34" spans="5:13">
      <c r="H34" s="26"/>
      <c r="I34" s="185"/>
      <c r="J34" s="185"/>
      <c r="K34" s="185"/>
      <c r="L34" s="185"/>
      <c r="M34" s="185"/>
    </row>
    <row r="35" spans="5:13">
      <c r="E35" s="31" t="s">
        <v>54</v>
      </c>
      <c r="F35" s="31"/>
      <c r="G35" s="31"/>
      <c r="H35" s="32"/>
      <c r="I35" s="190"/>
      <c r="J35" s="190"/>
      <c r="K35" s="190"/>
      <c r="L35" s="190"/>
      <c r="M35" s="86">
        <v>30884380</v>
      </c>
    </row>
    <row r="36" spans="5:13">
      <c r="H36" s="12"/>
      <c r="I36" s="9"/>
      <c r="J36" s="9"/>
      <c r="K36" s="9"/>
      <c r="L36" s="9"/>
      <c r="M36" s="9"/>
    </row>
    <row r="37" spans="5:13">
      <c r="E37" s="34" t="s">
        <v>55</v>
      </c>
      <c r="F37" s="34"/>
      <c r="G37" s="34"/>
      <c r="H37" s="35"/>
      <c r="I37" s="191"/>
      <c r="J37" s="191"/>
      <c r="K37" s="191"/>
      <c r="L37" s="191"/>
      <c r="M37" s="192">
        <f>SUM(M33,M35)</f>
        <v>30208359</v>
      </c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topLeftCell="A6" workbookViewId="0">
      <selection activeCell="H17" sqref="H17:I17"/>
    </sheetView>
  </sheetViews>
  <sheetFormatPr defaultColWidth="8.85546875" defaultRowHeight="15"/>
  <cols>
    <col min="9" max="9" width="16.7109375" customWidth="1"/>
    <col min="10" max="10" width="16.140625" customWidth="1"/>
    <col min="11" max="11" width="14.140625" customWidth="1"/>
    <col min="12" max="12" width="19.28515625" customWidth="1"/>
    <col min="13" max="13" width="16.140625" customWidth="1"/>
    <col min="14" max="14" width="17.7109375" customWidth="1"/>
  </cols>
  <sheetData>
    <row r="1" spans="1:15" ht="52.5" customHeight="1">
      <c r="J1" s="524" t="s">
        <v>56</v>
      </c>
      <c r="K1" s="524"/>
      <c r="L1" s="524"/>
      <c r="M1" s="419"/>
      <c r="N1" s="419"/>
    </row>
    <row r="2" spans="1:15" ht="18.75">
      <c r="J2" s="521" t="s">
        <v>1</v>
      </c>
      <c r="K2" s="521"/>
      <c r="L2" s="521"/>
      <c r="M2" s="420"/>
      <c r="N2" s="420"/>
    </row>
    <row r="3" spans="1:15" ht="15.75">
      <c r="E3" s="3"/>
      <c r="F3" s="3"/>
      <c r="G3" s="3"/>
      <c r="H3" s="3"/>
      <c r="I3" s="3"/>
      <c r="J3" s="3"/>
      <c r="K3" s="3"/>
    </row>
    <row r="4" spans="1:15" ht="33.75" customHeight="1">
      <c r="E4" s="2"/>
      <c r="L4" s="522" t="s">
        <v>57</v>
      </c>
      <c r="M4" s="522"/>
      <c r="N4" s="522"/>
    </row>
    <row r="5" spans="1:15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5" t="s">
        <v>5</v>
      </c>
      <c r="M5" s="525"/>
      <c r="N5" s="525"/>
    </row>
    <row r="6" spans="1:15" ht="45">
      <c r="A6" s="5" t="s">
        <v>6</v>
      </c>
      <c r="I6" s="6" t="s">
        <v>7</v>
      </c>
      <c r="J6" s="6" t="s">
        <v>8</v>
      </c>
      <c r="K6" s="6" t="s">
        <v>9</v>
      </c>
      <c r="L6" s="6" t="s">
        <v>58</v>
      </c>
      <c r="M6" s="6" t="s">
        <v>12</v>
      </c>
      <c r="N6" s="6" t="s">
        <v>59</v>
      </c>
    </row>
    <row r="7" spans="1:15">
      <c r="A7" s="8" t="s">
        <v>13</v>
      </c>
      <c r="I7" s="9"/>
      <c r="J7" s="9"/>
      <c r="K7" s="9"/>
    </row>
    <row r="8" spans="1:15">
      <c r="B8" s="10" t="s">
        <v>14</v>
      </c>
      <c r="I8" s="159"/>
      <c r="J8" s="159"/>
      <c r="K8" s="159"/>
      <c r="L8" s="159"/>
      <c r="M8" s="159"/>
      <c r="N8" s="159"/>
      <c r="O8" s="159"/>
    </row>
    <row r="9" spans="1:15">
      <c r="B9" s="10"/>
      <c r="C9" t="s">
        <v>60</v>
      </c>
      <c r="I9" s="159"/>
      <c r="J9" s="159"/>
      <c r="K9" s="159"/>
      <c r="L9" s="159"/>
      <c r="M9" s="159"/>
      <c r="N9" s="159"/>
      <c r="O9" s="159"/>
    </row>
    <row r="10" spans="1:15">
      <c r="D10" t="s">
        <v>61</v>
      </c>
      <c r="H10" s="12"/>
      <c r="I10" s="175">
        <v>583006</v>
      </c>
      <c r="J10" s="159"/>
      <c r="K10" s="159"/>
      <c r="L10" s="159">
        <v>-583006</v>
      </c>
      <c r="M10" s="159"/>
      <c r="N10" s="159">
        <f t="shared" ref="N10:N14" si="0">SUM(L10:M10)</f>
        <v>-583006</v>
      </c>
      <c r="O10" s="159"/>
    </row>
    <row r="11" spans="1:15">
      <c r="D11" t="s">
        <v>62</v>
      </c>
      <c r="H11" s="12"/>
      <c r="I11" s="193">
        <v>970822</v>
      </c>
      <c r="J11" s="159">
        <v>85720</v>
      </c>
      <c r="K11" s="159"/>
      <c r="L11" s="159">
        <v>-885102</v>
      </c>
      <c r="M11" s="159"/>
      <c r="N11" s="159">
        <f t="shared" si="0"/>
        <v>-885102</v>
      </c>
      <c r="O11" s="159"/>
    </row>
    <row r="12" spans="1:15">
      <c r="D12" t="s">
        <v>63</v>
      </c>
      <c r="H12" s="12"/>
      <c r="I12" s="194">
        <v>51593</v>
      </c>
      <c r="J12" s="159"/>
      <c r="K12" s="159"/>
      <c r="L12" s="159">
        <v>-51593</v>
      </c>
      <c r="M12" s="159"/>
      <c r="N12" s="159">
        <f t="shared" si="0"/>
        <v>-51593</v>
      </c>
      <c r="O12" s="159"/>
    </row>
    <row r="13" spans="1:15">
      <c r="D13" t="s">
        <v>64</v>
      </c>
      <c r="H13" s="12"/>
      <c r="I13" s="195">
        <v>351185</v>
      </c>
      <c r="J13" s="159"/>
      <c r="K13" s="159"/>
      <c r="L13" s="159">
        <v>-351185</v>
      </c>
      <c r="M13" s="159"/>
      <c r="N13" s="159">
        <f t="shared" si="0"/>
        <v>-351185</v>
      </c>
      <c r="O13" s="159"/>
    </row>
    <row r="14" spans="1:15">
      <c r="D14" t="s">
        <v>65</v>
      </c>
      <c r="H14" s="12"/>
      <c r="I14" s="170">
        <v>167869</v>
      </c>
      <c r="J14" s="159"/>
      <c r="K14" s="159"/>
      <c r="L14" s="159">
        <v>-167869</v>
      </c>
      <c r="M14" s="159"/>
      <c r="N14" s="159">
        <f t="shared" si="0"/>
        <v>-167869</v>
      </c>
      <c r="O14" s="159"/>
    </row>
    <row r="15" spans="1:15">
      <c r="C15" t="s">
        <v>16</v>
      </c>
      <c r="H15" s="12"/>
      <c r="I15" s="161">
        <v>3430554</v>
      </c>
      <c r="J15" s="159">
        <v>705549</v>
      </c>
      <c r="K15" s="159">
        <v>191140</v>
      </c>
      <c r="L15" s="159">
        <v>-2533865</v>
      </c>
      <c r="M15" s="159"/>
      <c r="N15" s="159">
        <f t="shared" ref="N15:N20" si="1">SUM(L15:M15)</f>
        <v>-2533865</v>
      </c>
      <c r="O15" s="159"/>
    </row>
    <row r="16" spans="1:15">
      <c r="C16" t="s">
        <v>17</v>
      </c>
      <c r="H16" s="12"/>
      <c r="I16" s="162">
        <v>5847342</v>
      </c>
      <c r="J16" s="159">
        <v>2204841</v>
      </c>
      <c r="K16" s="159">
        <v>85615</v>
      </c>
      <c r="L16" s="159">
        <v>-3556996</v>
      </c>
      <c r="M16" s="159"/>
      <c r="N16" s="159">
        <f t="shared" si="1"/>
        <v>-3556996</v>
      </c>
      <c r="O16" s="159"/>
    </row>
    <row r="17" spans="1:15">
      <c r="C17" t="s">
        <v>66</v>
      </c>
      <c r="H17" s="12"/>
      <c r="I17" s="12"/>
      <c r="J17" s="159"/>
      <c r="K17" s="159"/>
      <c r="L17" s="159"/>
      <c r="M17" s="159"/>
      <c r="N17" s="159"/>
      <c r="O17" s="159"/>
    </row>
    <row r="18" spans="1:15">
      <c r="C18" t="s">
        <v>19</v>
      </c>
      <c r="H18" s="12"/>
      <c r="I18" s="164">
        <v>2470140</v>
      </c>
      <c r="J18" s="159">
        <v>195714</v>
      </c>
      <c r="K18" s="159">
        <v>1161181</v>
      </c>
      <c r="L18" s="159">
        <v>-1113245</v>
      </c>
      <c r="M18" s="159"/>
      <c r="N18" s="159">
        <f t="shared" si="1"/>
        <v>-1113245</v>
      </c>
      <c r="O18" s="159"/>
    </row>
    <row r="19" spans="1:15">
      <c r="C19" t="s">
        <v>20</v>
      </c>
      <c r="H19" s="12"/>
      <c r="I19" s="165">
        <v>1276963</v>
      </c>
      <c r="J19" s="159">
        <v>10590</v>
      </c>
      <c r="K19" s="159">
        <v>742</v>
      </c>
      <c r="L19" s="159">
        <v>-1265631</v>
      </c>
      <c r="M19" s="159"/>
      <c r="N19" s="159">
        <f t="shared" si="1"/>
        <v>-1265631</v>
      </c>
      <c r="O19" s="159"/>
    </row>
    <row r="20" spans="1:15">
      <c r="C20" t="s">
        <v>18</v>
      </c>
      <c r="H20" s="12"/>
      <c r="I20" s="163">
        <v>221560</v>
      </c>
      <c r="J20" s="159">
        <v>2405</v>
      </c>
      <c r="K20" s="159"/>
      <c r="L20" s="159">
        <v>-219155</v>
      </c>
      <c r="M20" s="159"/>
      <c r="N20" s="159">
        <f t="shared" si="1"/>
        <v>-219155</v>
      </c>
      <c r="O20" s="159"/>
    </row>
    <row r="21" spans="1:15">
      <c r="C21" t="s">
        <v>21</v>
      </c>
      <c r="H21" s="12"/>
      <c r="I21" s="159"/>
      <c r="J21" s="159"/>
      <c r="K21" s="159"/>
      <c r="L21" s="159"/>
      <c r="M21" s="159"/>
      <c r="N21" s="159"/>
      <c r="O21" s="159"/>
    </row>
    <row r="22" spans="1:15">
      <c r="H22" s="12"/>
      <c r="I22" s="206"/>
      <c r="J22" s="206"/>
      <c r="K22" s="206"/>
      <c r="L22" s="206"/>
      <c r="M22" s="206"/>
      <c r="N22" s="206"/>
      <c r="O22" s="159"/>
    </row>
    <row r="23" spans="1:15">
      <c r="E23" s="19" t="s">
        <v>67</v>
      </c>
      <c r="F23" s="19"/>
      <c r="G23" s="19"/>
      <c r="H23" s="20"/>
      <c r="I23" s="168">
        <f>SUM(I10:I20)</f>
        <v>15371034</v>
      </c>
      <c r="J23" s="168">
        <f>SUM(J10:J20)</f>
        <v>3204819</v>
      </c>
      <c r="K23" s="168">
        <f>SUM(K10:K20)</f>
        <v>1438678</v>
      </c>
      <c r="L23" s="169">
        <f>SUM(L10:L20)</f>
        <v>-10727647</v>
      </c>
      <c r="M23" s="169"/>
      <c r="N23" s="422">
        <f>SUM(N10:N20)</f>
        <v>-10727647</v>
      </c>
      <c r="O23" s="159"/>
    </row>
    <row r="24" spans="1:15">
      <c r="E24" s="8"/>
      <c r="F24" s="8"/>
      <c r="G24" s="8"/>
      <c r="H24" s="26"/>
      <c r="I24" s="172"/>
      <c r="J24" s="172"/>
      <c r="K24" s="172"/>
      <c r="L24" s="172"/>
      <c r="M24" s="172"/>
      <c r="N24" s="172"/>
      <c r="O24" s="159"/>
    </row>
    <row r="25" spans="1:15">
      <c r="B25" s="10" t="s">
        <v>68</v>
      </c>
      <c r="E25" s="8"/>
      <c r="F25" s="8"/>
      <c r="G25" s="8"/>
      <c r="H25" s="26"/>
      <c r="I25" s="172"/>
      <c r="J25" s="172"/>
      <c r="K25" s="172"/>
      <c r="L25" s="172"/>
      <c r="M25" s="172"/>
      <c r="N25" s="172"/>
      <c r="O25" s="159"/>
    </row>
    <row r="26" spans="1:15">
      <c r="B26" s="10"/>
      <c r="C26" t="s">
        <v>69</v>
      </c>
      <c r="E26" s="8"/>
      <c r="F26" s="8"/>
      <c r="G26" s="8"/>
      <c r="H26" s="26"/>
      <c r="I26" s="462">
        <v>3587268</v>
      </c>
      <c r="J26" s="196">
        <v>4437297</v>
      </c>
      <c r="K26" s="196"/>
      <c r="L26" s="196"/>
      <c r="M26" s="196">
        <v>850029</v>
      </c>
      <c r="N26" s="196">
        <f>SUM(L26:M26)</f>
        <v>850029</v>
      </c>
      <c r="O26" s="159"/>
    </row>
    <row r="27" spans="1:15">
      <c r="B27" s="10"/>
      <c r="E27" s="8"/>
      <c r="F27" s="8"/>
      <c r="G27" s="8"/>
      <c r="H27" s="26"/>
      <c r="I27" s="205"/>
      <c r="J27" s="205"/>
      <c r="K27" s="205"/>
      <c r="L27" s="205"/>
      <c r="M27" s="205"/>
      <c r="N27" s="421"/>
      <c r="O27" s="159"/>
    </row>
    <row r="28" spans="1:15">
      <c r="E28" s="19" t="s">
        <v>70</v>
      </c>
      <c r="F28" s="19"/>
      <c r="G28" s="19"/>
      <c r="H28" s="20"/>
      <c r="I28" s="168">
        <f t="shared" ref="I28:N28" si="2">SUM(I26:I26)</f>
        <v>3587268</v>
      </c>
      <c r="J28" s="168">
        <f t="shared" si="2"/>
        <v>4437297</v>
      </c>
      <c r="K28" s="168">
        <f t="shared" si="2"/>
        <v>0</v>
      </c>
      <c r="L28" s="168">
        <f t="shared" si="2"/>
        <v>0</v>
      </c>
      <c r="M28" s="168">
        <f t="shared" si="2"/>
        <v>850029</v>
      </c>
      <c r="N28" s="422">
        <f t="shared" si="2"/>
        <v>850029</v>
      </c>
      <c r="O28" s="159"/>
    </row>
    <row r="29" spans="1:15">
      <c r="E29" s="8"/>
      <c r="F29" s="8"/>
      <c r="G29" s="8"/>
      <c r="H29" s="26"/>
      <c r="I29" s="172"/>
      <c r="J29" s="172"/>
      <c r="K29" s="172"/>
      <c r="L29" s="172"/>
      <c r="M29" s="172"/>
      <c r="N29" s="172"/>
      <c r="O29" s="159"/>
    </row>
    <row r="30" spans="1:15">
      <c r="H30" s="12"/>
      <c r="I30" s="159"/>
      <c r="J30" s="159"/>
      <c r="K30" s="159"/>
      <c r="L30" s="159"/>
      <c r="M30" s="159"/>
      <c r="N30" s="159"/>
      <c r="O30" s="159"/>
    </row>
    <row r="31" spans="1:15">
      <c r="A31" s="8"/>
      <c r="B31" s="8"/>
      <c r="C31" s="8"/>
      <c r="D31" s="8"/>
      <c r="E31" s="8"/>
      <c r="G31" s="8" t="s">
        <v>71</v>
      </c>
      <c r="H31" s="26"/>
      <c r="I31" s="172"/>
      <c r="J31" s="172"/>
      <c r="K31" s="172"/>
      <c r="L31" s="159"/>
      <c r="M31" s="159"/>
      <c r="N31" s="159"/>
      <c r="O31" s="159"/>
    </row>
    <row r="32" spans="1:15">
      <c r="A32" s="8"/>
      <c r="B32" s="8"/>
      <c r="C32" s="8"/>
      <c r="D32" s="8"/>
      <c r="E32" s="8"/>
      <c r="G32" s="8"/>
      <c r="H32" s="80" t="s">
        <v>26</v>
      </c>
      <c r="I32" s="172"/>
      <c r="J32" s="172"/>
      <c r="K32" s="172"/>
      <c r="L32" s="159"/>
      <c r="M32" s="159"/>
      <c r="N32" s="159"/>
      <c r="O32" s="159"/>
    </row>
    <row r="33" spans="5:15">
      <c r="H33" s="12"/>
      <c r="I33" s="159" t="s">
        <v>46</v>
      </c>
      <c r="J33" s="159"/>
      <c r="K33" s="159"/>
      <c r="L33" s="173">
        <v>4643634</v>
      </c>
      <c r="M33" s="159"/>
      <c r="N33" s="159">
        <f t="shared" ref="N33:N38" si="3">SUM(L33:M33)</f>
        <v>4643634</v>
      </c>
      <c r="O33" s="159"/>
    </row>
    <row r="34" spans="5:15">
      <c r="H34" s="12"/>
      <c r="I34" s="159" t="s">
        <v>72</v>
      </c>
      <c r="J34" s="159"/>
      <c r="K34" s="159"/>
      <c r="L34" s="173">
        <v>4564298</v>
      </c>
      <c r="M34" s="159"/>
      <c r="N34" s="159">
        <f t="shared" si="3"/>
        <v>4564298</v>
      </c>
      <c r="O34" s="159"/>
    </row>
    <row r="35" spans="5:15">
      <c r="H35" s="12"/>
      <c r="I35" s="159" t="s">
        <v>73</v>
      </c>
      <c r="J35" s="159"/>
      <c r="K35" s="159"/>
      <c r="L35" s="162">
        <v>1071008</v>
      </c>
      <c r="M35" s="159"/>
      <c r="N35" s="159">
        <f t="shared" si="3"/>
        <v>1071008</v>
      </c>
      <c r="O35" s="159"/>
    </row>
    <row r="36" spans="5:15">
      <c r="H36" s="12"/>
      <c r="I36" s="159" t="s">
        <v>74</v>
      </c>
      <c r="J36" s="159"/>
      <c r="K36" s="159"/>
      <c r="L36" s="164">
        <v>1890578</v>
      </c>
      <c r="M36" s="159"/>
      <c r="N36" s="159">
        <f t="shared" si="3"/>
        <v>1890578</v>
      </c>
      <c r="O36" s="159"/>
    </row>
    <row r="37" spans="5:15">
      <c r="H37" s="12" t="s">
        <v>75</v>
      </c>
      <c r="I37" s="159"/>
      <c r="J37" s="159"/>
      <c r="K37" s="159"/>
      <c r="L37" s="159"/>
      <c r="M37" s="159"/>
      <c r="N37" s="159">
        <f t="shared" si="3"/>
        <v>0</v>
      </c>
      <c r="O37" s="159"/>
    </row>
    <row r="38" spans="5:15">
      <c r="H38" s="12"/>
      <c r="I38" s="159" t="s">
        <v>76</v>
      </c>
      <c r="J38" s="159"/>
      <c r="K38" s="159"/>
      <c r="L38" s="160">
        <v>882766</v>
      </c>
      <c r="M38" s="159"/>
      <c r="N38" s="159">
        <f t="shared" si="3"/>
        <v>882766</v>
      </c>
      <c r="O38" s="159"/>
    </row>
    <row r="39" spans="5:15">
      <c r="H39" s="12"/>
      <c r="I39" s="159"/>
      <c r="J39" s="159"/>
      <c r="K39" s="159"/>
      <c r="L39" s="206"/>
      <c r="M39" s="206"/>
      <c r="N39" s="206"/>
      <c r="O39" s="159"/>
    </row>
    <row r="40" spans="5:15">
      <c r="H40" s="20" t="s">
        <v>38</v>
      </c>
      <c r="I40" s="168"/>
      <c r="J40" s="168"/>
      <c r="K40" s="168"/>
      <c r="L40" s="168">
        <f>SUM(L33:L38)</f>
        <v>13052284</v>
      </c>
      <c r="M40" s="168">
        <f>SUM(M33:M38)</f>
        <v>0</v>
      </c>
      <c r="N40" s="422">
        <f>SUM(N33:N38)</f>
        <v>13052284</v>
      </c>
      <c r="O40" s="159"/>
    </row>
    <row r="41" spans="5:15">
      <c r="H41" s="12"/>
      <c r="I41" s="159"/>
      <c r="J41" s="159"/>
      <c r="K41" s="159"/>
      <c r="L41" s="159"/>
      <c r="M41" s="159"/>
      <c r="N41" s="159"/>
      <c r="O41" s="159"/>
    </row>
    <row r="42" spans="5:15">
      <c r="H42" s="20" t="s">
        <v>77</v>
      </c>
      <c r="I42" s="168"/>
      <c r="J42" s="168"/>
      <c r="K42" s="168"/>
      <c r="L42" s="168">
        <v>2278985</v>
      </c>
      <c r="M42" s="168">
        <v>1121196</v>
      </c>
      <c r="N42" s="422">
        <f>N40</f>
        <v>13052284</v>
      </c>
      <c r="O42" s="159"/>
    </row>
    <row r="43" spans="5:15">
      <c r="H43" s="26"/>
      <c r="I43" s="172"/>
      <c r="J43" s="172"/>
      <c r="K43" s="172"/>
      <c r="L43" s="172"/>
      <c r="M43" s="172"/>
      <c r="N43" s="172"/>
      <c r="O43" s="159"/>
    </row>
    <row r="44" spans="5:15">
      <c r="E44" s="31" t="s">
        <v>54</v>
      </c>
      <c r="F44" s="31"/>
      <c r="G44" s="31"/>
      <c r="H44" s="32"/>
      <c r="I44" s="197"/>
      <c r="J44" s="197"/>
      <c r="K44" s="197"/>
      <c r="L44" s="198">
        <v>64597952</v>
      </c>
      <c r="M44" s="198">
        <v>18297426</v>
      </c>
      <c r="N44" s="423">
        <f>SUM(L44:M44)</f>
        <v>82895378</v>
      </c>
      <c r="O44" s="159"/>
    </row>
    <row r="45" spans="5:15">
      <c r="H45" s="12"/>
      <c r="I45" s="159"/>
      <c r="J45" s="159"/>
      <c r="K45" s="159"/>
      <c r="L45" s="159"/>
      <c r="M45" s="159"/>
      <c r="N45" s="159"/>
      <c r="O45" s="159"/>
    </row>
    <row r="46" spans="5:15">
      <c r="E46" s="34" t="s">
        <v>55</v>
      </c>
      <c r="F46" s="34"/>
      <c r="G46" s="34"/>
      <c r="H46" s="35"/>
      <c r="I46" s="199"/>
      <c r="J46" s="199"/>
      <c r="K46" s="199"/>
      <c r="L46" s="200">
        <f>SUM(L42,L44)</f>
        <v>66876937</v>
      </c>
      <c r="M46" s="200">
        <f>M44+M42</f>
        <v>19418622</v>
      </c>
      <c r="N46" s="200">
        <f>N44+N42</f>
        <v>95947662</v>
      </c>
      <c r="O46" s="159"/>
    </row>
    <row r="47" spans="5:15">
      <c r="I47" s="159"/>
      <c r="J47" s="159"/>
      <c r="K47" s="159"/>
      <c r="L47" s="159"/>
      <c r="M47" s="159"/>
      <c r="N47" s="159"/>
      <c r="O47" s="159"/>
    </row>
  </sheetData>
  <mergeCells count="5">
    <mergeCell ref="J1:L1"/>
    <mergeCell ref="J2:L2"/>
    <mergeCell ref="L4:N4"/>
    <mergeCell ref="J5:K5"/>
    <mergeCell ref="L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>
      <selection activeCell="F36" sqref="F36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0.85546875" customWidth="1"/>
    <col min="14" max="14" width="12.28515625" customWidth="1"/>
  </cols>
  <sheetData>
    <row r="1" spans="1:14" ht="30" customHeight="1">
      <c r="J1" s="520" t="s">
        <v>78</v>
      </c>
      <c r="K1" s="520"/>
      <c r="L1" s="520"/>
      <c r="M1" s="520"/>
    </row>
    <row r="2" spans="1:14" ht="21.75" customHeight="1">
      <c r="J2" s="521" t="s">
        <v>1</v>
      </c>
      <c r="K2" s="521"/>
      <c r="L2" s="521"/>
      <c r="M2" s="521"/>
    </row>
    <row r="3" spans="1:14" ht="10.5" customHeight="1">
      <c r="E3" s="3"/>
      <c r="F3" s="3"/>
      <c r="G3" s="3"/>
      <c r="H3" s="3"/>
      <c r="I3" s="3"/>
      <c r="J3" s="3"/>
      <c r="K3" s="3"/>
      <c r="L3" s="3"/>
    </row>
    <row r="4" spans="1:14" ht="42" customHeight="1">
      <c r="E4" s="2"/>
      <c r="M4" s="523" t="s">
        <v>2</v>
      </c>
      <c r="N4" s="523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6" t="s">
        <v>58</v>
      </c>
      <c r="N5" s="526"/>
    </row>
    <row r="6" spans="1:14" ht="44.25" customHeight="1">
      <c r="A6" s="5" t="s">
        <v>6</v>
      </c>
      <c r="I6" s="6" t="s">
        <v>7</v>
      </c>
      <c r="J6" s="6" t="s">
        <v>79</v>
      </c>
      <c r="K6" s="6" t="s">
        <v>9</v>
      </c>
      <c r="L6" s="6" t="s">
        <v>10</v>
      </c>
      <c r="M6" s="7" t="s">
        <v>58</v>
      </c>
      <c r="N6" s="81" t="s">
        <v>12</v>
      </c>
    </row>
    <row r="7" spans="1:14">
      <c r="B7" s="10" t="s">
        <v>14</v>
      </c>
      <c r="I7" s="9"/>
      <c r="J7" s="9"/>
      <c r="K7" s="9"/>
      <c r="L7" s="9"/>
      <c r="M7" s="9"/>
    </row>
    <row r="8" spans="1:14">
      <c r="C8" t="s">
        <v>15</v>
      </c>
      <c r="H8" s="12"/>
      <c r="I8" s="11">
        <v>-1411958</v>
      </c>
      <c r="J8" s="12">
        <v>84619</v>
      </c>
      <c r="K8" s="12"/>
      <c r="L8" s="12">
        <v>62255</v>
      </c>
      <c r="M8" s="12">
        <f t="shared" ref="M8:M10" si="0">SUM(I8:L8)</f>
        <v>-1265084</v>
      </c>
    </row>
    <row r="9" spans="1:14">
      <c r="C9" t="s">
        <v>16</v>
      </c>
      <c r="H9" s="12"/>
      <c r="I9" s="13">
        <v>-1006255</v>
      </c>
      <c r="J9" s="12">
        <v>592631</v>
      </c>
      <c r="K9" s="12">
        <v>88011</v>
      </c>
      <c r="L9" s="12"/>
      <c r="M9" s="12">
        <f t="shared" si="0"/>
        <v>-325613</v>
      </c>
    </row>
    <row r="10" spans="1:14">
      <c r="C10" t="s">
        <v>17</v>
      </c>
      <c r="H10" s="12"/>
      <c r="I10" s="14">
        <v>-4651624</v>
      </c>
      <c r="J10" s="12">
        <v>1527</v>
      </c>
      <c r="K10" s="12">
        <v>492067</v>
      </c>
      <c r="L10" s="12">
        <v>478231</v>
      </c>
      <c r="M10" s="12">
        <f t="shared" si="0"/>
        <v>-3679799</v>
      </c>
    </row>
    <row r="11" spans="1:14">
      <c r="C11" t="s">
        <v>19</v>
      </c>
      <c r="H11" s="12"/>
      <c r="I11" s="15">
        <v>-831081</v>
      </c>
      <c r="J11" s="12"/>
      <c r="K11" s="12">
        <v>544620</v>
      </c>
      <c r="L11" s="12"/>
      <c r="M11" s="12">
        <f>SUM(I11:L11)</f>
        <v>-286461</v>
      </c>
    </row>
    <row r="12" spans="1:14">
      <c r="C12" t="s">
        <v>20</v>
      </c>
      <c r="H12" s="12"/>
      <c r="I12" s="16">
        <v>-629145</v>
      </c>
      <c r="J12" s="12">
        <v>14658</v>
      </c>
      <c r="K12" s="12"/>
      <c r="L12" s="12"/>
      <c r="M12" s="12">
        <f t="shared" ref="M12:M13" si="1">SUM(I12:L12)</f>
        <v>-614487</v>
      </c>
    </row>
    <row r="13" spans="1:14">
      <c r="C13" t="s">
        <v>44</v>
      </c>
      <c r="H13" s="12"/>
      <c r="I13" s="413">
        <v>-296694</v>
      </c>
      <c r="J13" s="18"/>
      <c r="K13" s="18">
        <v>25000</v>
      </c>
      <c r="L13" s="18"/>
      <c r="M13" s="18">
        <f t="shared" si="1"/>
        <v>-271694</v>
      </c>
      <c r="N13" s="362"/>
    </row>
    <row r="14" spans="1:14">
      <c r="H14" s="12"/>
      <c r="I14" s="12"/>
      <c r="J14" s="12"/>
      <c r="K14" s="12"/>
      <c r="L14" s="12"/>
      <c r="M14" s="12"/>
    </row>
    <row r="15" spans="1:14">
      <c r="E15" s="19" t="s">
        <v>22</v>
      </c>
      <c r="F15" s="19"/>
      <c r="G15" s="19"/>
      <c r="H15" s="20"/>
      <c r="I15" s="20">
        <f>SUM(I8:I13)</f>
        <v>-8826757</v>
      </c>
      <c r="J15" s="20">
        <f>SUM(J8:J13)</f>
        <v>693435</v>
      </c>
      <c r="K15" s="20">
        <f>SUM(K8:K13)</f>
        <v>1149698</v>
      </c>
      <c r="L15" s="20">
        <f>SUM(L8:L13)</f>
        <v>540486</v>
      </c>
      <c r="M15" s="82">
        <f>SUM(M8:M13)</f>
        <v>-6443138</v>
      </c>
      <c r="N15" s="426"/>
    </row>
    <row r="16" spans="1:14">
      <c r="H16" s="12"/>
      <c r="I16" s="12"/>
      <c r="J16" s="12"/>
      <c r="K16" s="12"/>
      <c r="L16" s="12"/>
      <c r="M16" s="12"/>
    </row>
    <row r="17" spans="1:14">
      <c r="A17" s="8"/>
      <c r="B17" s="8"/>
      <c r="C17" s="8"/>
      <c r="D17" s="8"/>
      <c r="E17" s="8"/>
      <c r="G17" s="8" t="s">
        <v>25</v>
      </c>
      <c r="H17" s="26"/>
      <c r="I17" s="26"/>
      <c r="J17" s="26"/>
      <c r="K17" s="26"/>
      <c r="L17" s="26"/>
      <c r="M17" s="12"/>
    </row>
    <row r="18" spans="1:14">
      <c r="A18" s="8"/>
      <c r="B18" s="8"/>
      <c r="C18" s="8"/>
      <c r="D18" s="8"/>
      <c r="E18" s="8"/>
      <c r="G18" s="8"/>
      <c r="H18" s="80" t="s">
        <v>26</v>
      </c>
      <c r="I18" s="26"/>
      <c r="J18" s="26"/>
      <c r="K18" s="26"/>
      <c r="L18" s="26"/>
      <c r="M18" s="12"/>
    </row>
    <row r="19" spans="1:14">
      <c r="H19" s="12"/>
      <c r="I19" s="12" t="s">
        <v>80</v>
      </c>
      <c r="J19" s="12"/>
      <c r="K19" s="12"/>
      <c r="L19" s="12"/>
      <c r="M19" s="28">
        <v>2107549</v>
      </c>
    </row>
    <row r="20" spans="1:14">
      <c r="H20" s="12"/>
      <c r="I20" s="12" t="s">
        <v>81</v>
      </c>
      <c r="J20" s="12"/>
      <c r="K20" s="12"/>
      <c r="L20" s="12"/>
      <c r="M20" s="14">
        <v>4528838</v>
      </c>
      <c r="N20" s="9"/>
    </row>
    <row r="21" spans="1:14">
      <c r="H21" s="12" t="s">
        <v>82</v>
      </c>
      <c r="I21" s="12"/>
      <c r="J21" s="12"/>
      <c r="K21" s="12"/>
      <c r="L21" s="12"/>
      <c r="M21" s="12"/>
    </row>
    <row r="22" spans="1:14">
      <c r="H22" s="12"/>
      <c r="I22" s="12" t="s">
        <v>48</v>
      </c>
      <c r="J22" s="12"/>
      <c r="K22" s="12"/>
      <c r="L22" s="12"/>
      <c r="M22" s="93">
        <v>206873</v>
      </c>
    </row>
    <row r="23" spans="1:14">
      <c r="H23" s="12"/>
      <c r="I23" s="12" t="s">
        <v>83</v>
      </c>
      <c r="J23" s="12"/>
      <c r="K23" s="12"/>
      <c r="L23" s="12"/>
      <c r="M23" s="29">
        <v>299658</v>
      </c>
    </row>
    <row r="24" spans="1:14">
      <c r="H24" s="12"/>
      <c r="I24" s="12" t="s">
        <v>84</v>
      </c>
      <c r="J24" s="12"/>
      <c r="K24" s="12"/>
      <c r="L24" s="12"/>
      <c r="M24" s="322">
        <v>519014</v>
      </c>
    </row>
    <row r="25" spans="1:14">
      <c r="H25" s="12"/>
      <c r="I25" s="12" t="s">
        <v>85</v>
      </c>
      <c r="J25" s="12"/>
      <c r="K25" s="12"/>
      <c r="L25" s="12"/>
      <c r="M25" s="29">
        <v>28899</v>
      </c>
    </row>
    <row r="26" spans="1:14">
      <c r="H26" s="12" t="s">
        <v>86</v>
      </c>
      <c r="I26" s="12"/>
      <c r="J26" s="12"/>
      <c r="K26" s="12"/>
      <c r="L26" s="12"/>
      <c r="M26" s="29">
        <v>27870</v>
      </c>
    </row>
    <row r="27" spans="1:14">
      <c r="H27" s="12" t="s">
        <v>36</v>
      </c>
      <c r="I27" s="12"/>
      <c r="J27" s="12"/>
      <c r="K27" s="12"/>
      <c r="L27" s="12"/>
      <c r="M27" s="29">
        <v>67030</v>
      </c>
      <c r="N27" s="9"/>
    </row>
    <row r="28" spans="1:14">
      <c r="H28" s="12" t="s">
        <v>87</v>
      </c>
      <c r="I28" s="12"/>
      <c r="J28" s="12"/>
      <c r="K28" s="12"/>
      <c r="L28" s="12"/>
      <c r="M28" s="29">
        <v>1525</v>
      </c>
      <c r="N28" s="9"/>
    </row>
    <row r="29" spans="1:14">
      <c r="H29" s="12"/>
      <c r="I29" s="12"/>
      <c r="J29" s="12"/>
      <c r="K29" s="12"/>
      <c r="L29" s="12"/>
      <c r="M29" s="12"/>
    </row>
    <row r="30" spans="1:14">
      <c r="H30" s="20" t="s">
        <v>38</v>
      </c>
      <c r="I30" s="20"/>
      <c r="J30" s="20"/>
      <c r="K30" s="20"/>
      <c r="L30" s="20"/>
      <c r="M30" s="20">
        <f>SUM(M19:M28)</f>
        <v>7787256</v>
      </c>
      <c r="N30" s="84">
        <f>SUM(N19:N27)</f>
        <v>0</v>
      </c>
    </row>
    <row r="31" spans="1:14">
      <c r="H31" s="12"/>
      <c r="I31" s="12"/>
      <c r="J31" s="12"/>
      <c r="K31" s="12"/>
      <c r="L31" s="12"/>
      <c r="M31" s="12"/>
    </row>
    <row r="32" spans="1:14">
      <c r="H32" s="20" t="s">
        <v>39</v>
      </c>
      <c r="I32" s="20"/>
      <c r="J32" s="20"/>
      <c r="K32" s="20"/>
      <c r="L32" s="20"/>
      <c r="M32" s="20">
        <f>SUM(M15,M30)</f>
        <v>1344118</v>
      </c>
      <c r="N32" s="85">
        <f>N30</f>
        <v>0</v>
      </c>
    </row>
    <row r="33" spans="5:14">
      <c r="H33" s="26"/>
      <c r="I33" s="26"/>
      <c r="J33" s="26"/>
      <c r="K33" s="26"/>
      <c r="L33" s="26"/>
      <c r="M33" s="26"/>
    </row>
    <row r="34" spans="5:14">
      <c r="E34" s="31" t="s">
        <v>54</v>
      </c>
      <c r="F34" s="31"/>
      <c r="G34" s="31"/>
      <c r="H34" s="32"/>
      <c r="I34" s="32"/>
      <c r="J34" s="32"/>
      <c r="K34" s="32"/>
      <c r="L34" s="32"/>
      <c r="M34" s="33">
        <v>15278046</v>
      </c>
      <c r="N34" s="86"/>
    </row>
    <row r="35" spans="5:14">
      <c r="H35" s="12"/>
      <c r="I35" s="12"/>
      <c r="J35" s="12"/>
      <c r="K35" s="12"/>
      <c r="L35" s="12"/>
      <c r="M35" s="12"/>
    </row>
    <row r="36" spans="5:14">
      <c r="E36" s="34" t="s">
        <v>55</v>
      </c>
      <c r="F36" s="34"/>
      <c r="G36" s="34"/>
      <c r="H36" s="35"/>
      <c r="I36" s="35"/>
      <c r="J36" s="35"/>
      <c r="K36" s="35"/>
      <c r="L36" s="35"/>
      <c r="M36" s="83">
        <f>SUM(M32,M34)</f>
        <v>16622164</v>
      </c>
      <c r="N36" s="87">
        <f>N34+N32</f>
        <v>0</v>
      </c>
    </row>
    <row r="43" spans="5:14">
      <c r="K43" s="9"/>
      <c r="L43" s="9"/>
      <c r="M43" s="9"/>
    </row>
  </sheetData>
  <mergeCells count="5">
    <mergeCell ref="J1:M1"/>
    <mergeCell ref="J2:M2"/>
    <mergeCell ref="M4:N4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"/>
  <sheetViews>
    <sheetView workbookViewId="0">
      <selection activeCell="J12" sqref="J12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6.42578125" customWidth="1"/>
    <col min="11" max="11" width="16.28515625" customWidth="1"/>
    <col min="12" max="12" width="15.42578125" customWidth="1"/>
    <col min="13" max="13" width="26.42578125" customWidth="1"/>
  </cols>
  <sheetData>
    <row r="1" spans="1:13" ht="30" customHeight="1">
      <c r="J1" s="1" t="s">
        <v>88</v>
      </c>
      <c r="K1" s="1"/>
      <c r="L1" s="1"/>
      <c r="M1" s="1"/>
    </row>
    <row r="2" spans="1:13" ht="21.75" customHeight="1">
      <c r="J2" s="521" t="s">
        <v>1</v>
      </c>
      <c r="K2" s="521"/>
      <c r="L2" s="521"/>
      <c r="M2" s="521"/>
    </row>
    <row r="3" spans="1:13" ht="21.75" customHeight="1">
      <c r="J3" s="420"/>
      <c r="K3" s="420"/>
      <c r="L3" s="420"/>
      <c r="M3" s="420"/>
    </row>
    <row r="4" spans="1:13" ht="27.75" customHeight="1">
      <c r="A4" t="s">
        <v>3</v>
      </c>
      <c r="C4" s="4"/>
      <c r="D4" s="4"/>
      <c r="E4" s="4"/>
      <c r="F4" s="4"/>
      <c r="G4" s="4"/>
      <c r="H4" s="4"/>
      <c r="I4" s="4"/>
      <c r="J4" s="527" t="s">
        <v>4</v>
      </c>
      <c r="K4" s="527"/>
      <c r="L4" s="527"/>
    </row>
    <row r="5" spans="1:13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431" t="s">
        <v>89</v>
      </c>
    </row>
    <row r="6" spans="1:13" ht="18" customHeight="1">
      <c r="A6" s="8" t="s">
        <v>13</v>
      </c>
      <c r="I6" s="9"/>
      <c r="J6" s="9"/>
      <c r="K6" s="9"/>
      <c r="L6" s="9"/>
    </row>
    <row r="7" spans="1:13">
      <c r="B7" s="10" t="s">
        <v>14</v>
      </c>
      <c r="I7" s="9"/>
      <c r="J7" s="9"/>
      <c r="K7" s="9"/>
      <c r="L7" s="9"/>
      <c r="M7" s="9"/>
    </row>
    <row r="8" spans="1:13">
      <c r="B8" s="10"/>
      <c r="C8" t="s">
        <v>15</v>
      </c>
      <c r="I8" s="9"/>
      <c r="J8" s="9"/>
      <c r="K8" s="9"/>
      <c r="L8" s="9"/>
      <c r="M8" s="9"/>
    </row>
    <row r="9" spans="1:13">
      <c r="D9" t="s">
        <v>61</v>
      </c>
      <c r="H9" s="12"/>
      <c r="I9" s="88">
        <v>-244689</v>
      </c>
      <c r="J9" s="12"/>
      <c r="K9" s="12"/>
      <c r="L9" s="12"/>
      <c r="M9" s="12">
        <f>SUM(I9:L9)</f>
        <v>-244689</v>
      </c>
    </row>
    <row r="10" spans="1:13">
      <c r="D10" t="s">
        <v>62</v>
      </c>
      <c r="H10" s="12"/>
      <c r="I10" s="89">
        <v>-1065401</v>
      </c>
      <c r="J10" s="12">
        <v>844291</v>
      </c>
      <c r="K10" s="12">
        <v>8400</v>
      </c>
      <c r="L10" s="12"/>
      <c r="M10" s="12">
        <f t="shared" ref="M10:M20" si="0">SUM(I10:L10)</f>
        <v>-212710</v>
      </c>
    </row>
    <row r="11" spans="1:13">
      <c r="D11" t="s">
        <v>63</v>
      </c>
      <c r="H11" s="12"/>
      <c r="I11" s="91">
        <v>-77658</v>
      </c>
      <c r="J11" s="12"/>
      <c r="K11" s="12"/>
      <c r="L11" s="12"/>
      <c r="M11" s="12">
        <f t="shared" si="0"/>
        <v>-77658</v>
      </c>
    </row>
    <row r="12" spans="1:13">
      <c r="D12" t="s">
        <v>90</v>
      </c>
      <c r="H12" s="12"/>
      <c r="I12" s="96">
        <v>-474076</v>
      </c>
      <c r="J12" s="12">
        <v>206908</v>
      </c>
      <c r="K12" s="12"/>
      <c r="L12" s="12"/>
      <c r="M12" s="12">
        <f t="shared" si="0"/>
        <v>-267168</v>
      </c>
    </row>
    <row r="13" spans="1:13">
      <c r="D13" t="s">
        <v>91</v>
      </c>
      <c r="H13" s="12"/>
      <c r="I13" s="95">
        <v>-793563</v>
      </c>
      <c r="J13" s="12">
        <v>190115</v>
      </c>
      <c r="K13" s="12"/>
      <c r="L13" s="12"/>
      <c r="M13" s="12">
        <f t="shared" si="0"/>
        <v>-603448</v>
      </c>
    </row>
    <row r="14" spans="1:13">
      <c r="C14" t="s">
        <v>16</v>
      </c>
      <c r="H14" s="12"/>
      <c r="I14" s="13">
        <v>-2444391</v>
      </c>
      <c r="J14" s="12"/>
      <c r="K14" s="12">
        <v>78824</v>
      </c>
      <c r="L14" s="12"/>
      <c r="M14" s="12">
        <f t="shared" si="0"/>
        <v>-2365567</v>
      </c>
    </row>
    <row r="15" spans="1:13">
      <c r="C15" t="s">
        <v>17</v>
      </c>
      <c r="H15" s="12"/>
      <c r="I15" s="14">
        <v>-8964712</v>
      </c>
      <c r="J15" s="12">
        <v>19000</v>
      </c>
      <c r="K15" s="12">
        <v>523576</v>
      </c>
      <c r="L15" s="12">
        <v>833328</v>
      </c>
      <c r="M15" s="12">
        <f t="shared" si="0"/>
        <v>-7588808</v>
      </c>
    </row>
    <row r="16" spans="1:13">
      <c r="C16" t="s">
        <v>19</v>
      </c>
      <c r="H16" s="12"/>
      <c r="I16" s="15">
        <v>-530539</v>
      </c>
      <c r="J16" s="12"/>
      <c r="K16" s="12">
        <v>31919</v>
      </c>
      <c r="L16" s="12"/>
      <c r="M16" s="12">
        <f t="shared" si="0"/>
        <v>-498620</v>
      </c>
    </row>
    <row r="17" spans="1:13">
      <c r="C17" t="s">
        <v>20</v>
      </c>
      <c r="H17" s="12"/>
      <c r="I17" s="16">
        <v>-1412319</v>
      </c>
      <c r="J17" s="12"/>
      <c r="K17" s="12">
        <v>88847</v>
      </c>
      <c r="L17" s="12"/>
      <c r="M17" s="12">
        <f t="shared" si="0"/>
        <v>-1323472</v>
      </c>
    </row>
    <row r="18" spans="1:13">
      <c r="C18" t="s">
        <v>92</v>
      </c>
      <c r="H18" s="12"/>
      <c r="I18" s="94">
        <v>-1509263</v>
      </c>
      <c r="J18" s="12">
        <v>61968</v>
      </c>
      <c r="K18" s="12"/>
      <c r="L18" s="12"/>
      <c r="M18" s="12">
        <f t="shared" si="0"/>
        <v>-1447295</v>
      </c>
    </row>
    <row r="19" spans="1:13">
      <c r="C19" t="s">
        <v>93</v>
      </c>
      <c r="H19" s="12"/>
      <c r="I19" s="94">
        <v>-121343</v>
      </c>
      <c r="J19" s="12"/>
      <c r="K19" s="12"/>
      <c r="L19" s="12"/>
      <c r="M19" s="12">
        <f t="shared" si="0"/>
        <v>-121343</v>
      </c>
    </row>
    <row r="20" spans="1:13">
      <c r="C20" t="s">
        <v>21</v>
      </c>
      <c r="H20" s="12"/>
      <c r="I20" s="89">
        <v>-75859</v>
      </c>
      <c r="J20" s="12"/>
      <c r="K20" s="12"/>
      <c r="L20" s="12"/>
      <c r="M20" s="12">
        <f t="shared" si="0"/>
        <v>-75859</v>
      </c>
    </row>
    <row r="21" spans="1:13">
      <c r="H21" s="12"/>
      <c r="I21" s="12"/>
      <c r="J21" s="12"/>
      <c r="K21" s="12"/>
      <c r="L21" s="12"/>
      <c r="M21" s="12"/>
    </row>
    <row r="22" spans="1:13">
      <c r="E22" s="19" t="s">
        <v>22</v>
      </c>
      <c r="F22" s="19"/>
      <c r="G22" s="19"/>
      <c r="H22" s="20"/>
      <c r="I22" s="20">
        <f>SUM(I9:I20)</f>
        <v>-17713813</v>
      </c>
      <c r="J22" s="20">
        <f>SUM(J9:J20)</f>
        <v>1322282</v>
      </c>
      <c r="K22" s="20">
        <f>SUM(K9:K20)</f>
        <v>731566</v>
      </c>
      <c r="L22" s="20">
        <f>SUM(L9:L20)</f>
        <v>833328</v>
      </c>
      <c r="M22" s="82">
        <f>SUM(M9:M20)</f>
        <v>-14826637</v>
      </c>
    </row>
    <row r="23" spans="1:13">
      <c r="E23" s="8"/>
      <c r="F23" s="8"/>
      <c r="G23" s="8"/>
      <c r="H23" s="26"/>
      <c r="I23" s="26"/>
      <c r="J23" s="26"/>
      <c r="K23" s="26"/>
      <c r="L23" s="26"/>
      <c r="M23" s="26"/>
    </row>
    <row r="24" spans="1:13">
      <c r="A24" s="8"/>
      <c r="B24" s="8"/>
      <c r="C24" s="8"/>
      <c r="D24" s="8"/>
      <c r="E24" s="8"/>
      <c r="G24" s="8" t="s">
        <v>25</v>
      </c>
      <c r="H24" s="26"/>
      <c r="I24" s="26"/>
      <c r="J24" s="26"/>
      <c r="K24" s="26"/>
      <c r="L24" s="26"/>
      <c r="M24" s="12"/>
    </row>
    <row r="25" spans="1:13">
      <c r="A25" s="8"/>
      <c r="B25" s="8"/>
      <c r="C25" s="8"/>
      <c r="D25" s="8"/>
      <c r="E25" s="8"/>
      <c r="G25" s="8"/>
      <c r="H25" s="80" t="s">
        <v>26</v>
      </c>
      <c r="I25" s="26"/>
      <c r="J25" s="26"/>
      <c r="K25" s="26"/>
      <c r="L25" s="26"/>
      <c r="M25" s="12"/>
    </row>
    <row r="26" spans="1:13">
      <c r="H26" s="12"/>
      <c r="I26" s="12" t="s">
        <v>94</v>
      </c>
      <c r="J26" s="12"/>
      <c r="K26" s="12"/>
      <c r="L26" s="12"/>
      <c r="M26" s="28">
        <v>5571237</v>
      </c>
    </row>
    <row r="27" spans="1:13">
      <c r="H27" s="12"/>
      <c r="I27" s="12" t="s">
        <v>95</v>
      </c>
      <c r="J27" s="12"/>
      <c r="K27" s="12"/>
      <c r="L27" s="12"/>
      <c r="M27" s="15">
        <v>1604653</v>
      </c>
    </row>
    <row r="28" spans="1:13">
      <c r="H28" s="12"/>
      <c r="I28" s="12" t="s">
        <v>96</v>
      </c>
      <c r="J28" s="12"/>
      <c r="K28" s="12"/>
      <c r="L28" s="12"/>
      <c r="M28" s="14">
        <v>8947813</v>
      </c>
    </row>
    <row r="29" spans="1:13">
      <c r="H29" s="12"/>
      <c r="I29" s="12" t="s">
        <v>97</v>
      </c>
      <c r="J29" s="12"/>
      <c r="K29" s="12"/>
      <c r="L29" s="12"/>
      <c r="M29" s="93">
        <v>125274</v>
      </c>
    </row>
    <row r="30" spans="1:13">
      <c r="H30" s="12"/>
      <c r="I30" s="12" t="s">
        <v>73</v>
      </c>
      <c r="J30" s="12"/>
      <c r="K30" s="12"/>
      <c r="L30" s="12"/>
      <c r="M30" s="15">
        <v>179369</v>
      </c>
    </row>
    <row r="31" spans="1:13">
      <c r="H31" s="12" t="s">
        <v>86</v>
      </c>
      <c r="I31" s="12"/>
      <c r="J31" s="12"/>
      <c r="K31" s="12"/>
      <c r="L31" s="12"/>
      <c r="M31" s="29">
        <v>15640</v>
      </c>
    </row>
    <row r="32" spans="1:13">
      <c r="H32" s="12" t="s">
        <v>51</v>
      </c>
      <c r="I32" s="12"/>
      <c r="J32" s="12"/>
      <c r="K32" s="12"/>
      <c r="L32" s="12"/>
      <c r="M32" s="12"/>
    </row>
    <row r="33" spans="5:13">
      <c r="H33" s="12"/>
      <c r="I33" s="12" t="s">
        <v>36</v>
      </c>
      <c r="J33" s="12"/>
      <c r="K33" s="12"/>
      <c r="L33" s="12"/>
      <c r="M33" s="29">
        <v>440381</v>
      </c>
    </row>
    <row r="34" spans="5:13">
      <c r="H34" s="12"/>
      <c r="I34" s="12" t="s">
        <v>52</v>
      </c>
      <c r="J34" s="12"/>
      <c r="K34" s="12"/>
      <c r="L34" s="12"/>
      <c r="M34" s="29">
        <v>-54099</v>
      </c>
    </row>
    <row r="35" spans="5:13">
      <c r="H35" s="12"/>
      <c r="I35" s="12"/>
      <c r="J35" s="12"/>
      <c r="K35" s="12"/>
      <c r="L35" s="12"/>
      <c r="M35" s="12"/>
    </row>
    <row r="36" spans="5:13">
      <c r="H36" s="20" t="s">
        <v>98</v>
      </c>
      <c r="I36" s="20"/>
      <c r="J36" s="20"/>
      <c r="K36" s="20"/>
      <c r="L36" s="20"/>
      <c r="M36" s="20">
        <f>SUM(M26:M34)</f>
        <v>16830268</v>
      </c>
    </row>
    <row r="37" spans="5:13">
      <c r="H37" s="12"/>
      <c r="I37" s="12"/>
      <c r="J37" s="12"/>
      <c r="K37" s="12"/>
      <c r="L37" s="12"/>
      <c r="M37" s="12"/>
    </row>
    <row r="38" spans="5:13">
      <c r="H38" s="20" t="s">
        <v>39</v>
      </c>
      <c r="I38" s="20"/>
      <c r="J38" s="20"/>
      <c r="K38" s="20"/>
      <c r="L38" s="20"/>
      <c r="M38" s="20">
        <f>M36+M22</f>
        <v>2003631</v>
      </c>
    </row>
    <row r="39" spans="5:13">
      <c r="H39" s="26"/>
      <c r="I39" s="26"/>
      <c r="J39" s="26"/>
      <c r="K39" s="26"/>
      <c r="L39" s="26"/>
      <c r="M39" s="26"/>
    </row>
    <row r="40" spans="5:13">
      <c r="E40" s="31" t="s">
        <v>54</v>
      </c>
      <c r="F40" s="31"/>
      <c r="G40" s="31"/>
      <c r="H40" s="32"/>
      <c r="I40" s="32"/>
      <c r="J40" s="32"/>
      <c r="K40" s="32"/>
      <c r="L40" s="32"/>
      <c r="M40" s="33">
        <v>47805721</v>
      </c>
    </row>
    <row r="41" spans="5:13">
      <c r="H41" s="12"/>
      <c r="I41" s="12"/>
      <c r="J41" s="12"/>
      <c r="K41" s="12"/>
      <c r="L41" s="12"/>
      <c r="M41" s="12"/>
    </row>
    <row r="42" spans="5:13">
      <c r="E42" s="34" t="s">
        <v>55</v>
      </c>
      <c r="F42" s="34"/>
      <c r="G42" s="34"/>
      <c r="H42" s="35"/>
      <c r="I42" s="35"/>
      <c r="J42" s="35"/>
      <c r="K42" s="35"/>
      <c r="L42" s="35"/>
      <c r="M42" s="83">
        <f>SUM(M38,M40)</f>
        <v>49809352</v>
      </c>
    </row>
    <row r="49" spans="11:13">
      <c r="K49" s="9"/>
      <c r="L49" s="9"/>
      <c r="M49" s="9"/>
    </row>
  </sheetData>
  <mergeCells count="2">
    <mergeCell ref="J2:M2"/>
    <mergeCell ref="J4:L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workbookViewId="0">
      <selection activeCell="E35" sqref="E35"/>
    </sheetView>
  </sheetViews>
  <sheetFormatPr defaultColWidth="8.85546875" defaultRowHeight="15"/>
  <cols>
    <col min="9" max="9" width="15.140625" customWidth="1"/>
    <col min="10" max="10" width="14.85546875" customWidth="1"/>
    <col min="11" max="11" width="16" customWidth="1"/>
    <col min="12" max="12" width="15.28515625" customWidth="1"/>
    <col min="13" max="13" width="21.28515625" customWidth="1"/>
  </cols>
  <sheetData>
    <row r="1" spans="1:13" ht="23.25">
      <c r="J1" s="520" t="s">
        <v>42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60.75">
      <c r="E4" s="2"/>
      <c r="M4" s="431" t="s">
        <v>43</v>
      </c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3" t="s">
        <v>5</v>
      </c>
    </row>
    <row r="6" spans="1:13" ht="45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11</v>
      </c>
    </row>
    <row r="7" spans="1:13">
      <c r="A7" s="8" t="s">
        <v>13</v>
      </c>
      <c r="I7" s="9"/>
      <c r="J7" s="9"/>
      <c r="K7" s="9"/>
      <c r="L7" s="9"/>
      <c r="M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76">
        <v>-2320292</v>
      </c>
      <c r="J9" s="9">
        <v>30957</v>
      </c>
      <c r="K9" s="9">
        <v>84139</v>
      </c>
      <c r="L9" s="9"/>
      <c r="M9" s="9">
        <f t="shared" ref="M9:M15" si="0">SUM(I9:L9)</f>
        <v>-2205196</v>
      </c>
    </row>
    <row r="10" spans="1:13">
      <c r="C10" t="s">
        <v>16</v>
      </c>
      <c r="H10" s="12"/>
      <c r="I10" s="177">
        <v>-672115</v>
      </c>
      <c r="J10" s="9"/>
      <c r="K10" s="9">
        <v>94203</v>
      </c>
      <c r="L10" s="9"/>
      <c r="M10" s="9">
        <f t="shared" si="0"/>
        <v>-577912</v>
      </c>
    </row>
    <row r="11" spans="1:13">
      <c r="C11" t="s">
        <v>17</v>
      </c>
      <c r="H11" s="12"/>
      <c r="I11" s="178">
        <v>-6139111</v>
      </c>
      <c r="J11" s="9"/>
      <c r="K11" s="9">
        <v>60383</v>
      </c>
      <c r="L11" s="9">
        <v>327795</v>
      </c>
      <c r="M11" s="9">
        <f t="shared" si="0"/>
        <v>-5750933</v>
      </c>
    </row>
    <row r="12" spans="1:13">
      <c r="C12" t="s">
        <v>19</v>
      </c>
      <c r="H12" s="12"/>
      <c r="I12" s="202">
        <v>-541954</v>
      </c>
      <c r="J12" s="9"/>
      <c r="K12" s="9">
        <v>442763</v>
      </c>
      <c r="L12" s="9"/>
      <c r="M12" s="9">
        <f t="shared" si="0"/>
        <v>-99191</v>
      </c>
    </row>
    <row r="13" spans="1:13">
      <c r="C13" t="s">
        <v>99</v>
      </c>
      <c r="H13" s="12"/>
      <c r="I13" s="204">
        <v>-30848</v>
      </c>
      <c r="J13" s="9"/>
      <c r="K13" s="9"/>
      <c r="L13" s="9"/>
      <c r="M13" s="9">
        <f t="shared" si="0"/>
        <v>-30848</v>
      </c>
    </row>
    <row r="14" spans="1:13">
      <c r="C14" t="s">
        <v>18</v>
      </c>
      <c r="H14" s="12"/>
      <c r="I14" s="203">
        <v>-64978</v>
      </c>
      <c r="J14" s="9"/>
      <c r="K14" s="9">
        <v>8567</v>
      </c>
      <c r="L14" s="9"/>
      <c r="M14" s="9">
        <f t="shared" si="0"/>
        <v>-56411</v>
      </c>
    </row>
    <row r="15" spans="1:13">
      <c r="C15" t="s">
        <v>100</v>
      </c>
      <c r="H15" s="12"/>
      <c r="I15" s="201">
        <v>-396683</v>
      </c>
      <c r="J15" s="9"/>
      <c r="K15" s="9"/>
      <c r="L15" s="9"/>
      <c r="M15" s="9">
        <f t="shared" si="0"/>
        <v>-396683</v>
      </c>
    </row>
    <row r="16" spans="1:13">
      <c r="H16" s="12"/>
      <c r="I16" s="207"/>
      <c r="J16" s="207"/>
      <c r="K16" s="207"/>
      <c r="L16" s="207"/>
      <c r="M16" s="207"/>
    </row>
    <row r="17" spans="1:13">
      <c r="E17" s="19" t="s">
        <v>22</v>
      </c>
      <c r="F17" s="19"/>
      <c r="G17" s="19"/>
      <c r="H17" s="20"/>
      <c r="I17" s="183">
        <f>SUM(I9:I15)</f>
        <v>-10165981</v>
      </c>
      <c r="J17" s="183">
        <f t="shared" ref="J17:M17" si="1">SUM(J9:J15)</f>
        <v>30957</v>
      </c>
      <c r="K17" s="183">
        <f t="shared" si="1"/>
        <v>690055</v>
      </c>
      <c r="L17" s="183">
        <f t="shared" si="1"/>
        <v>327795</v>
      </c>
      <c r="M17" s="183">
        <f t="shared" si="1"/>
        <v>-9117174</v>
      </c>
    </row>
    <row r="18" spans="1:13">
      <c r="H18" s="12"/>
      <c r="I18" s="9"/>
      <c r="J18" s="9"/>
      <c r="K18" s="9"/>
      <c r="L18" s="9"/>
      <c r="M18" s="9"/>
    </row>
    <row r="19" spans="1:13">
      <c r="H19" s="12"/>
      <c r="I19" s="9"/>
      <c r="J19" s="9"/>
      <c r="K19" s="9"/>
      <c r="L19" s="9"/>
      <c r="M19" s="9"/>
    </row>
    <row r="20" spans="1:13">
      <c r="A20" s="8"/>
      <c r="B20" s="8"/>
      <c r="C20" s="8"/>
      <c r="D20" s="8"/>
      <c r="E20" s="8"/>
      <c r="G20" s="8" t="s">
        <v>25</v>
      </c>
      <c r="H20" s="26"/>
      <c r="I20" s="185"/>
      <c r="J20" s="185"/>
      <c r="K20" s="185"/>
      <c r="L20" s="185"/>
      <c r="M20" s="9"/>
    </row>
    <row r="21" spans="1:13">
      <c r="A21" s="8"/>
      <c r="B21" s="8"/>
      <c r="C21" s="8"/>
      <c r="D21" s="8"/>
      <c r="E21" s="8"/>
      <c r="G21" s="8"/>
      <c r="H21" s="80" t="s">
        <v>26</v>
      </c>
      <c r="I21" s="185"/>
      <c r="J21" s="185"/>
      <c r="K21" s="185"/>
      <c r="L21" s="185"/>
      <c r="M21" s="9"/>
    </row>
    <row r="22" spans="1:13">
      <c r="H22" s="12"/>
      <c r="I22" s="9" t="s">
        <v>101</v>
      </c>
      <c r="J22" s="9"/>
      <c r="K22" s="9"/>
      <c r="L22" s="9"/>
      <c r="M22" s="186">
        <v>1536450</v>
      </c>
    </row>
    <row r="23" spans="1:13">
      <c r="H23" s="12"/>
      <c r="I23" s="9" t="s">
        <v>102</v>
      </c>
      <c r="J23" s="9"/>
      <c r="K23" s="9"/>
      <c r="L23" s="9"/>
      <c r="M23" s="186">
        <v>1813814</v>
      </c>
    </row>
    <row r="24" spans="1:13">
      <c r="H24" s="12"/>
      <c r="I24" s="9" t="s">
        <v>103</v>
      </c>
      <c r="J24" s="9"/>
      <c r="K24" s="9"/>
      <c r="L24" s="9"/>
      <c r="M24" s="186">
        <v>1094758</v>
      </c>
    </row>
    <row r="25" spans="1:13">
      <c r="H25" s="12"/>
      <c r="I25" s="9" t="s">
        <v>104</v>
      </c>
      <c r="J25" s="9"/>
      <c r="K25" s="9"/>
      <c r="L25" s="9"/>
      <c r="M25" s="178">
        <v>2345499</v>
      </c>
    </row>
    <row r="26" spans="1:13">
      <c r="H26" s="12" t="s">
        <v>105</v>
      </c>
      <c r="I26" s="9"/>
      <c r="J26" s="9"/>
      <c r="K26" s="9"/>
      <c r="L26" s="9"/>
      <c r="M26" s="202">
        <v>32162</v>
      </c>
    </row>
    <row r="27" spans="1:13">
      <c r="H27" s="12" t="s">
        <v>33</v>
      </c>
      <c r="I27" s="9"/>
      <c r="J27" s="9"/>
      <c r="K27" s="9"/>
      <c r="L27" s="9"/>
      <c r="M27" s="160">
        <v>1512686</v>
      </c>
    </row>
    <row r="28" spans="1:13">
      <c r="H28" s="12" t="s">
        <v>106</v>
      </c>
      <c r="I28" s="9"/>
      <c r="J28" s="9"/>
      <c r="K28" s="9"/>
      <c r="L28" s="9"/>
      <c r="M28" s="189">
        <v>82708</v>
      </c>
    </row>
    <row r="29" spans="1:13">
      <c r="H29" s="12" t="s">
        <v>107</v>
      </c>
      <c r="I29" s="9"/>
      <c r="J29" s="9"/>
      <c r="K29" s="9"/>
      <c r="L29" s="9"/>
      <c r="M29" s="176">
        <v>127199</v>
      </c>
    </row>
    <row r="30" spans="1:13">
      <c r="H30" s="12" t="s">
        <v>108</v>
      </c>
      <c r="I30" s="9"/>
      <c r="J30" s="9"/>
      <c r="K30" s="9"/>
      <c r="L30" s="9"/>
      <c r="M30" s="189">
        <v>23210</v>
      </c>
    </row>
    <row r="31" spans="1:13">
      <c r="H31" s="12"/>
      <c r="I31" s="9"/>
      <c r="J31" s="9"/>
      <c r="K31" s="9"/>
      <c r="L31" s="9"/>
      <c r="M31" s="9"/>
    </row>
    <row r="32" spans="1:13">
      <c r="H32" s="20" t="s">
        <v>38</v>
      </c>
      <c r="I32" s="183"/>
      <c r="J32" s="183"/>
      <c r="K32" s="183"/>
      <c r="L32" s="183"/>
      <c r="M32" s="183">
        <f>SUM(M22:M30)</f>
        <v>8568486</v>
      </c>
    </row>
    <row r="33" spans="5:13">
      <c r="H33" s="12"/>
      <c r="I33" s="9"/>
      <c r="J33" s="9"/>
      <c r="K33" s="9"/>
      <c r="L33" s="9"/>
      <c r="M33" s="9"/>
    </row>
    <row r="34" spans="5:13">
      <c r="H34" s="20" t="s">
        <v>53</v>
      </c>
      <c r="I34" s="183"/>
      <c r="J34" s="183"/>
      <c r="K34" s="183"/>
      <c r="L34" s="183"/>
      <c r="M34" s="183">
        <f>SUM(M17,M32)</f>
        <v>-548688</v>
      </c>
    </row>
    <row r="35" spans="5:13">
      <c r="H35" s="26"/>
      <c r="I35" s="185"/>
      <c r="J35" s="185"/>
      <c r="K35" s="185"/>
      <c r="L35" s="185"/>
      <c r="M35" s="185"/>
    </row>
    <row r="36" spans="5:13">
      <c r="E36" s="31" t="s">
        <v>54</v>
      </c>
      <c r="F36" s="31"/>
      <c r="G36" s="31"/>
      <c r="H36" s="32"/>
      <c r="I36" s="190"/>
      <c r="J36" s="190"/>
      <c r="K36" s="190"/>
      <c r="L36" s="190"/>
      <c r="M36" s="86">
        <v>32575214</v>
      </c>
    </row>
    <row r="37" spans="5:13">
      <c r="H37" s="12"/>
      <c r="I37" s="9"/>
      <c r="J37" s="9"/>
      <c r="K37" s="9"/>
      <c r="L37" s="9"/>
      <c r="M37" s="9"/>
    </row>
    <row r="38" spans="5:13">
      <c r="E38" s="34" t="s">
        <v>55</v>
      </c>
      <c r="F38" s="34"/>
      <c r="G38" s="34"/>
      <c r="H38" s="35"/>
      <c r="I38" s="191"/>
      <c r="J38" s="191"/>
      <c r="K38" s="191"/>
      <c r="L38" s="191"/>
      <c r="M38" s="192">
        <f>SUM(M34,M36)</f>
        <v>32026526</v>
      </c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1"/>
  <sheetViews>
    <sheetView workbookViewId="0">
      <selection activeCell="I25" sqref="I25"/>
    </sheetView>
  </sheetViews>
  <sheetFormatPr defaultColWidth="8.85546875" defaultRowHeight="15"/>
  <cols>
    <col min="9" max="9" width="15.28515625" customWidth="1"/>
    <col min="10" max="10" width="15" customWidth="1"/>
    <col min="11" max="11" width="14.140625" customWidth="1"/>
    <col min="12" max="12" width="17" customWidth="1"/>
    <col min="13" max="13" width="26.42578125" customWidth="1"/>
    <col min="14" max="14" width="14.42578125" customWidth="1"/>
    <col min="15" max="15" width="15.28515625" customWidth="1"/>
  </cols>
  <sheetData>
    <row r="1" spans="1:15" ht="23.25">
      <c r="J1" s="520" t="s">
        <v>109</v>
      </c>
      <c r="K1" s="520"/>
      <c r="L1" s="520"/>
      <c r="M1" s="520"/>
    </row>
    <row r="2" spans="1:15" ht="18.75">
      <c r="J2" s="521" t="s">
        <v>1</v>
      </c>
      <c r="K2" s="521"/>
      <c r="L2" s="521"/>
      <c r="M2" s="521"/>
    </row>
    <row r="3" spans="1:15" ht="15.75">
      <c r="E3" s="3"/>
      <c r="F3" s="3"/>
      <c r="G3" s="3"/>
      <c r="H3" s="3"/>
      <c r="I3" s="3"/>
      <c r="J3" s="3"/>
      <c r="K3" s="3"/>
      <c r="L3" s="3"/>
      <c r="M3" s="441" t="s">
        <v>110</v>
      </c>
    </row>
    <row r="4" spans="1:15" ht="18.75">
      <c r="E4" s="2"/>
      <c r="M4" s="431" t="s">
        <v>111</v>
      </c>
    </row>
    <row r="5" spans="1:15" ht="37.5" customHeight="1">
      <c r="A5" t="s">
        <v>3</v>
      </c>
      <c r="C5" s="4"/>
      <c r="D5" s="4"/>
      <c r="E5" s="4"/>
      <c r="F5" s="4"/>
      <c r="G5" s="4"/>
      <c r="H5" s="4"/>
      <c r="I5" s="211"/>
      <c r="J5" s="527" t="s">
        <v>4</v>
      </c>
      <c r="K5" s="527"/>
      <c r="L5" s="527"/>
      <c r="M5" s="527" t="s">
        <v>112</v>
      </c>
      <c r="N5" s="527"/>
      <c r="O5" s="527"/>
    </row>
    <row r="6" spans="1:15" ht="45">
      <c r="A6" s="5" t="s">
        <v>6</v>
      </c>
      <c r="I6" s="212" t="s">
        <v>7</v>
      </c>
      <c r="J6" s="212" t="s">
        <v>8</v>
      </c>
      <c r="K6" s="212" t="s">
        <v>9</v>
      </c>
      <c r="L6" s="212" t="s">
        <v>10</v>
      </c>
      <c r="M6" s="212" t="s">
        <v>111</v>
      </c>
      <c r="N6" s="246" t="s">
        <v>113</v>
      </c>
      <c r="O6" s="329" t="s">
        <v>59</v>
      </c>
    </row>
    <row r="7" spans="1:15">
      <c r="A7" s="8" t="s">
        <v>114</v>
      </c>
      <c r="I7" s="159"/>
      <c r="J7" s="159"/>
      <c r="K7" s="159"/>
      <c r="L7" s="159"/>
      <c r="M7" s="159"/>
    </row>
    <row r="8" spans="1:15">
      <c r="C8" t="s">
        <v>15</v>
      </c>
      <c r="H8" s="12"/>
      <c r="I8" s="127"/>
      <c r="J8" s="159"/>
      <c r="K8" s="159"/>
      <c r="L8" s="159"/>
      <c r="M8" s="159"/>
    </row>
    <row r="9" spans="1:15">
      <c r="D9" t="s">
        <v>61</v>
      </c>
      <c r="H9" s="12"/>
      <c r="I9" s="334">
        <v>-545378</v>
      </c>
      <c r="J9" s="159"/>
      <c r="K9" s="159" t="s">
        <v>115</v>
      </c>
      <c r="L9" s="159"/>
      <c r="M9" s="159">
        <f>SUM(I9+J9)</f>
        <v>-545378</v>
      </c>
      <c r="O9" s="159">
        <f>SUM(M9:N9)</f>
        <v>-545378</v>
      </c>
    </row>
    <row r="10" spans="1:15">
      <c r="D10" t="s">
        <v>62</v>
      </c>
      <c r="H10" s="12"/>
      <c r="I10" s="335">
        <v>-3210443</v>
      </c>
      <c r="J10" s="159">
        <v>1124204</v>
      </c>
      <c r="K10" s="159" t="s">
        <v>115</v>
      </c>
      <c r="L10" s="159"/>
      <c r="M10" s="159">
        <f>SUM(I10:L10)</f>
        <v>-2086239</v>
      </c>
      <c r="O10" s="159">
        <f t="shared" ref="O10:O20" si="0">SUM(M10:N10)</f>
        <v>-2086239</v>
      </c>
    </row>
    <row r="11" spans="1:15">
      <c r="D11" t="s">
        <v>63</v>
      </c>
      <c r="H11" s="12"/>
      <c r="I11" s="336">
        <v>-256229</v>
      </c>
      <c r="J11" s="159" t="s">
        <v>115</v>
      </c>
      <c r="K11" s="159" t="s">
        <v>115</v>
      </c>
      <c r="L11" s="159" t="s">
        <v>115</v>
      </c>
      <c r="M11" s="159">
        <f>SUM(I11:L11)</f>
        <v>-256229</v>
      </c>
      <c r="O11" s="159">
        <f t="shared" si="0"/>
        <v>-256229</v>
      </c>
    </row>
    <row r="12" spans="1:15">
      <c r="D12" t="s">
        <v>64</v>
      </c>
      <c r="H12" s="12"/>
      <c r="I12" s="337">
        <v>-1698947</v>
      </c>
      <c r="J12" s="159">
        <v>20700</v>
      </c>
      <c r="K12" s="159"/>
      <c r="L12" s="159" t="s">
        <v>115</v>
      </c>
      <c r="M12" s="159">
        <f>SUM(I12:L12)</f>
        <v>-1678247</v>
      </c>
      <c r="O12" s="159">
        <f t="shared" si="0"/>
        <v>-1678247</v>
      </c>
    </row>
    <row r="13" spans="1:15">
      <c r="D13" t="s">
        <v>32</v>
      </c>
      <c r="H13" s="12"/>
      <c r="I13" s="338">
        <v>-3276854</v>
      </c>
      <c r="J13" s="159">
        <v>236673</v>
      </c>
      <c r="K13" s="159">
        <v>609</v>
      </c>
      <c r="L13" s="159" t="s">
        <v>115</v>
      </c>
      <c r="M13" s="159">
        <f>SUM(I13:L13)</f>
        <v>-3039572</v>
      </c>
      <c r="O13" s="159">
        <f t="shared" si="0"/>
        <v>-3039572</v>
      </c>
    </row>
    <row r="14" spans="1:15">
      <c r="C14" t="s">
        <v>16</v>
      </c>
      <c r="H14" s="12"/>
      <c r="I14" s="339">
        <v>-5879127</v>
      </c>
      <c r="J14" s="159">
        <v>343141</v>
      </c>
      <c r="K14" s="159">
        <v>44090</v>
      </c>
      <c r="L14" s="159"/>
      <c r="M14" s="159">
        <f t="shared" ref="M14:M19" si="1">SUM(I14:L14)</f>
        <v>-5491896</v>
      </c>
      <c r="O14" s="159">
        <f t="shared" si="0"/>
        <v>-5491896</v>
      </c>
    </row>
    <row r="15" spans="1:15">
      <c r="C15" t="s">
        <v>17</v>
      </c>
      <c r="H15" s="12"/>
      <c r="I15" s="340">
        <v>-16737152</v>
      </c>
      <c r="J15" s="159">
        <v>367165</v>
      </c>
      <c r="K15" s="159">
        <v>168188</v>
      </c>
      <c r="L15" s="159">
        <v>19662577</v>
      </c>
      <c r="M15" s="159">
        <f t="shared" si="1"/>
        <v>3460778</v>
      </c>
      <c r="O15" s="159">
        <f t="shared" si="0"/>
        <v>3460778</v>
      </c>
    </row>
    <row r="16" spans="1:15">
      <c r="C16" t="s">
        <v>66</v>
      </c>
      <c r="H16" s="12"/>
      <c r="I16" s="340">
        <v>-61824</v>
      </c>
      <c r="J16" s="159"/>
      <c r="K16" s="159"/>
      <c r="L16" s="159"/>
      <c r="M16" s="159">
        <f t="shared" si="1"/>
        <v>-61824</v>
      </c>
      <c r="O16" s="159">
        <f t="shared" si="0"/>
        <v>-61824</v>
      </c>
    </row>
    <row r="17" spans="1:15">
      <c r="C17" t="s">
        <v>19</v>
      </c>
      <c r="H17" s="12"/>
      <c r="I17" s="341">
        <v>-4799126</v>
      </c>
      <c r="J17" s="159" t="s">
        <v>115</v>
      </c>
      <c r="K17" s="159">
        <v>3894996</v>
      </c>
      <c r="L17" s="159"/>
      <c r="M17" s="159">
        <f t="shared" si="1"/>
        <v>-904130</v>
      </c>
      <c r="O17" s="159">
        <f t="shared" si="0"/>
        <v>-904130</v>
      </c>
    </row>
    <row r="18" spans="1:15">
      <c r="C18" t="s">
        <v>20</v>
      </c>
      <c r="H18" s="12"/>
      <c r="I18" s="342">
        <v>-5061207</v>
      </c>
      <c r="J18" s="159">
        <v>73887</v>
      </c>
      <c r="K18" s="159">
        <v>22892</v>
      </c>
      <c r="L18" s="159" t="s">
        <v>115</v>
      </c>
      <c r="M18" s="159">
        <f t="shared" si="1"/>
        <v>-4964428</v>
      </c>
      <c r="O18" s="159">
        <f t="shared" si="0"/>
        <v>-4964428</v>
      </c>
    </row>
    <row r="19" spans="1:15">
      <c r="C19" t="s">
        <v>44</v>
      </c>
      <c r="H19" s="12"/>
      <c r="I19" s="343">
        <v>-1887534</v>
      </c>
      <c r="J19" s="159" t="s">
        <v>115</v>
      </c>
      <c r="K19" s="159" t="s">
        <v>115</v>
      </c>
      <c r="L19" s="159" t="s">
        <v>115</v>
      </c>
      <c r="M19" s="159">
        <f t="shared" si="1"/>
        <v>-1887534</v>
      </c>
      <c r="O19" s="159">
        <f t="shared" si="0"/>
        <v>-1887534</v>
      </c>
    </row>
    <row r="20" spans="1:15">
      <c r="C20" t="s">
        <v>21</v>
      </c>
      <c r="H20" s="12"/>
      <c r="I20" s="344">
        <v>-2064894</v>
      </c>
      <c r="J20" s="159" t="s">
        <v>115</v>
      </c>
      <c r="K20" s="159" t="s">
        <v>115</v>
      </c>
      <c r="L20" s="159" t="s">
        <v>115</v>
      </c>
      <c r="M20" s="159">
        <f>SUM(I20:L20)</f>
        <v>-2064894</v>
      </c>
      <c r="O20" s="159">
        <f t="shared" si="0"/>
        <v>-2064894</v>
      </c>
    </row>
    <row r="21" spans="1:15">
      <c r="H21" s="12"/>
      <c r="I21" s="159"/>
      <c r="J21" s="159"/>
      <c r="K21" s="159"/>
      <c r="L21" s="159"/>
      <c r="M21" s="159"/>
      <c r="O21" s="159"/>
    </row>
    <row r="22" spans="1:15">
      <c r="E22" s="19" t="s">
        <v>22</v>
      </c>
      <c r="F22" s="19"/>
      <c r="G22" s="19"/>
      <c r="H22" s="20"/>
      <c r="I22" s="168">
        <f>SUM(I9:I20)</f>
        <v>-45478715</v>
      </c>
      <c r="J22" s="168">
        <f>SUM(J8:J19)</f>
        <v>2165770</v>
      </c>
      <c r="K22" s="168">
        <f>SUM(K8:K19)</f>
        <v>4130775</v>
      </c>
      <c r="L22" s="168">
        <f>SUM(L8:L19)</f>
        <v>19662577</v>
      </c>
      <c r="M22" s="169">
        <f>SUM(M9:M20)</f>
        <v>-19519593</v>
      </c>
      <c r="N22" s="169">
        <f t="shared" ref="N22:O22" si="2">SUM(N9:N20)</f>
        <v>0</v>
      </c>
      <c r="O22" s="169">
        <f t="shared" si="2"/>
        <v>-19519593</v>
      </c>
    </row>
    <row r="23" spans="1:15">
      <c r="H23" s="12"/>
      <c r="I23" s="159"/>
      <c r="J23" s="159"/>
      <c r="K23" s="159"/>
      <c r="L23" s="159"/>
      <c r="M23" s="159"/>
    </row>
    <row r="24" spans="1:15">
      <c r="B24" t="s">
        <v>116</v>
      </c>
      <c r="H24" s="12"/>
      <c r="I24" s="159"/>
      <c r="J24" s="159"/>
      <c r="K24" s="159"/>
      <c r="L24" s="159"/>
      <c r="M24" s="159"/>
    </row>
    <row r="25" spans="1:15">
      <c r="C25" t="s">
        <v>69</v>
      </c>
      <c r="H25" s="12"/>
      <c r="I25" s="463">
        <v>-1116728</v>
      </c>
      <c r="J25" s="159">
        <v>1769201</v>
      </c>
      <c r="K25" s="159" t="s">
        <v>115</v>
      </c>
      <c r="L25" s="159"/>
      <c r="M25" s="159" t="s">
        <v>115</v>
      </c>
      <c r="N25" s="9">
        <v>652473</v>
      </c>
      <c r="O25" s="159">
        <f>SUM(M25:N25)</f>
        <v>652473</v>
      </c>
    </row>
    <row r="26" spans="1:15">
      <c r="H26" s="12"/>
      <c r="I26" s="159"/>
      <c r="J26" s="159"/>
      <c r="K26" s="159"/>
      <c r="L26" s="159"/>
      <c r="M26" s="159"/>
      <c r="O26" s="159">
        <f>SUM(I26:N26)</f>
        <v>0</v>
      </c>
    </row>
    <row r="27" spans="1:15">
      <c r="E27" s="230" t="s">
        <v>117</v>
      </c>
      <c r="F27" s="230"/>
      <c r="G27" s="230"/>
      <c r="H27" s="230"/>
      <c r="I27" s="328">
        <f>SUM(I25)</f>
        <v>-1116728</v>
      </c>
      <c r="J27" s="328">
        <f t="shared" ref="J27:O27" si="3">SUM(J25)</f>
        <v>1769201</v>
      </c>
      <c r="K27" s="328">
        <f t="shared" si="3"/>
        <v>0</v>
      </c>
      <c r="L27" s="328">
        <f t="shared" si="3"/>
        <v>0</v>
      </c>
      <c r="M27" s="328">
        <f t="shared" si="3"/>
        <v>0</v>
      </c>
      <c r="N27" s="328">
        <f t="shared" si="3"/>
        <v>652473</v>
      </c>
      <c r="O27" s="328">
        <f t="shared" si="3"/>
        <v>652473</v>
      </c>
    </row>
    <row r="28" spans="1:15">
      <c r="H28" s="12"/>
      <c r="I28" s="159"/>
      <c r="J28" s="159"/>
      <c r="K28" s="159"/>
      <c r="L28" s="159"/>
      <c r="M28" s="159"/>
    </row>
    <row r="29" spans="1:15">
      <c r="E29" s="230" t="s">
        <v>118</v>
      </c>
      <c r="F29" s="230"/>
      <c r="G29" s="230"/>
      <c r="H29" s="230"/>
      <c r="I29" s="328">
        <f>SUM(I22+I27)</f>
        <v>-46595443</v>
      </c>
      <c r="J29" s="328">
        <f t="shared" ref="J29:O29" si="4">SUM(J22+J27)</f>
        <v>3934971</v>
      </c>
      <c r="K29" s="328">
        <f t="shared" si="4"/>
        <v>4130775</v>
      </c>
      <c r="L29" s="328">
        <f t="shared" si="4"/>
        <v>19662577</v>
      </c>
      <c r="M29" s="328">
        <f t="shared" si="4"/>
        <v>-19519593</v>
      </c>
      <c r="N29" s="328">
        <f t="shared" si="4"/>
        <v>652473</v>
      </c>
      <c r="O29" s="328">
        <f t="shared" si="4"/>
        <v>-18867120</v>
      </c>
    </row>
    <row r="30" spans="1:15">
      <c r="H30" s="12"/>
      <c r="I30" s="159"/>
      <c r="J30" s="159"/>
      <c r="K30" s="159"/>
      <c r="L30" s="159"/>
      <c r="M30" s="159"/>
    </row>
    <row r="31" spans="1:15">
      <c r="H31" s="12"/>
      <c r="I31" s="159"/>
      <c r="J31" s="159"/>
      <c r="K31" s="159"/>
      <c r="L31" s="159"/>
      <c r="M31" s="159"/>
    </row>
    <row r="32" spans="1:15">
      <c r="A32" s="8"/>
      <c r="B32" s="8"/>
      <c r="C32" s="8"/>
      <c r="D32" s="8"/>
      <c r="E32" s="8"/>
      <c r="G32" s="8" t="s">
        <v>25</v>
      </c>
      <c r="H32" s="26"/>
      <c r="I32" s="172"/>
      <c r="J32" s="172"/>
      <c r="K32" s="172"/>
      <c r="L32" s="172"/>
      <c r="M32" s="159"/>
    </row>
    <row r="33" spans="1:15">
      <c r="A33" s="8"/>
      <c r="B33" s="8"/>
      <c r="C33" s="8"/>
      <c r="D33" s="8"/>
      <c r="E33" s="8"/>
      <c r="G33" s="8"/>
      <c r="H33" s="80" t="s">
        <v>26</v>
      </c>
      <c r="I33" s="172"/>
      <c r="J33" s="172"/>
      <c r="K33" s="172"/>
      <c r="L33" s="172"/>
      <c r="M33" s="159"/>
    </row>
    <row r="34" spans="1:15">
      <c r="H34" s="12"/>
      <c r="I34" s="159" t="s">
        <v>94</v>
      </c>
      <c r="J34" s="159"/>
      <c r="K34" s="159"/>
      <c r="L34" s="159"/>
      <c r="M34" s="173">
        <v>14361439</v>
      </c>
      <c r="O34" s="159">
        <f>SUM(M34:N34)</f>
        <v>14361439</v>
      </c>
    </row>
    <row r="35" spans="1:15">
      <c r="H35" s="12"/>
      <c r="I35" s="159" t="s">
        <v>119</v>
      </c>
      <c r="J35" s="159"/>
      <c r="K35" s="159"/>
      <c r="L35" s="159"/>
      <c r="M35" s="162">
        <v>17506962</v>
      </c>
      <c r="O35" s="159">
        <f t="shared" ref="O35:O43" si="5">SUM(M35:N35)</f>
        <v>17506962</v>
      </c>
    </row>
    <row r="36" spans="1:15">
      <c r="H36" s="12"/>
      <c r="I36" s="159" t="s">
        <v>120</v>
      </c>
      <c r="J36" s="159"/>
      <c r="K36" s="159"/>
      <c r="L36" s="159"/>
      <c r="M36" s="162">
        <v>4265533</v>
      </c>
      <c r="O36" s="159">
        <f t="shared" si="5"/>
        <v>4265533</v>
      </c>
    </row>
    <row r="37" spans="1:15">
      <c r="H37" s="12"/>
      <c r="I37" s="159" t="s">
        <v>121</v>
      </c>
      <c r="J37" s="159"/>
      <c r="K37" s="159"/>
      <c r="L37" s="159"/>
      <c r="M37" s="162">
        <v>514614</v>
      </c>
      <c r="O37" s="159">
        <f t="shared" si="5"/>
        <v>514614</v>
      </c>
    </row>
    <row r="38" spans="1:15">
      <c r="H38" s="12"/>
      <c r="I38" s="159" t="s">
        <v>73</v>
      </c>
      <c r="J38" s="159"/>
      <c r="K38" s="159"/>
      <c r="L38" s="159"/>
      <c r="M38" s="164">
        <v>1099386</v>
      </c>
      <c r="O38" s="159">
        <f t="shared" si="5"/>
        <v>1099386</v>
      </c>
    </row>
    <row r="39" spans="1:15">
      <c r="H39" s="12"/>
      <c r="I39" s="159" t="s">
        <v>50</v>
      </c>
      <c r="J39" s="159"/>
      <c r="K39" s="159"/>
      <c r="L39" s="159"/>
      <c r="M39" s="331">
        <v>65382</v>
      </c>
      <c r="N39" s="159">
        <v>2804</v>
      </c>
      <c r="O39" s="159">
        <f t="shared" si="5"/>
        <v>68186</v>
      </c>
    </row>
    <row r="40" spans="1:15">
      <c r="H40" s="12"/>
      <c r="I40" s="159" t="s">
        <v>48</v>
      </c>
      <c r="J40" s="159"/>
      <c r="K40" s="159"/>
      <c r="L40" s="159"/>
      <c r="M40" s="332">
        <v>547857</v>
      </c>
      <c r="O40" s="159">
        <f t="shared" si="5"/>
        <v>547857</v>
      </c>
    </row>
    <row r="41" spans="1:15">
      <c r="H41" s="12"/>
      <c r="I41" s="159" t="s">
        <v>36</v>
      </c>
      <c r="J41" s="159"/>
      <c r="K41" s="159"/>
      <c r="L41" s="159"/>
      <c r="M41" s="331">
        <v>2822201</v>
      </c>
      <c r="N41">
        <v>496</v>
      </c>
      <c r="O41" s="159">
        <f t="shared" si="5"/>
        <v>2822697</v>
      </c>
    </row>
    <row r="42" spans="1:15">
      <c r="H42" s="12"/>
      <c r="I42" s="159" t="s">
        <v>122</v>
      </c>
      <c r="J42" s="159"/>
      <c r="K42" s="159"/>
      <c r="L42" s="159"/>
      <c r="M42" s="331">
        <v>184504</v>
      </c>
      <c r="O42" s="159">
        <f t="shared" si="5"/>
        <v>184504</v>
      </c>
    </row>
    <row r="43" spans="1:15">
      <c r="H43" s="12"/>
      <c r="I43" s="159" t="s">
        <v>37</v>
      </c>
      <c r="J43" s="159"/>
      <c r="K43" s="159"/>
      <c r="L43" s="159"/>
      <c r="M43" s="330">
        <v>-8676072</v>
      </c>
      <c r="N43" s="159">
        <v>8676072</v>
      </c>
      <c r="O43" s="159">
        <f t="shared" si="5"/>
        <v>0</v>
      </c>
    </row>
    <row r="44" spans="1:15">
      <c r="H44" s="20" t="s">
        <v>38</v>
      </c>
      <c r="I44" s="168"/>
      <c r="J44" s="168"/>
      <c r="K44" s="168"/>
      <c r="L44" s="168"/>
      <c r="M44" s="168">
        <f>SUM(M34:M43)</f>
        <v>32691806</v>
      </c>
      <c r="N44" s="168">
        <f>SUM(N34:N43)</f>
        <v>8679372</v>
      </c>
      <c r="O44" s="168">
        <f>SUM(O34:O43)</f>
        <v>41371178</v>
      </c>
    </row>
    <row r="45" spans="1:15">
      <c r="H45" s="12"/>
      <c r="I45" s="159"/>
      <c r="J45" s="159"/>
      <c r="K45" s="159"/>
      <c r="L45" s="159"/>
      <c r="M45" s="159"/>
    </row>
    <row r="46" spans="1:15">
      <c r="H46" s="20" t="s">
        <v>39</v>
      </c>
      <c r="I46" s="168"/>
      <c r="J46" s="168"/>
      <c r="K46" s="168"/>
      <c r="L46" s="168"/>
      <c r="M46" s="168">
        <f>SUM(M29+M44)</f>
        <v>13172213</v>
      </c>
      <c r="N46" s="168">
        <f t="shared" ref="N46:O46" si="6">SUM(N29+N44)</f>
        <v>9331845</v>
      </c>
      <c r="O46" s="168">
        <f t="shared" si="6"/>
        <v>22504058</v>
      </c>
    </row>
    <row r="47" spans="1:15">
      <c r="H47" s="26"/>
      <c r="I47" s="26"/>
      <c r="J47" s="26"/>
      <c r="K47" s="26"/>
      <c r="L47" s="26"/>
      <c r="M47" s="26"/>
    </row>
    <row r="48" spans="1:15">
      <c r="H48" s="26"/>
      <c r="I48" s="26"/>
      <c r="J48" s="26"/>
      <c r="K48" s="26"/>
      <c r="L48" s="26"/>
      <c r="M48" s="26"/>
    </row>
    <row r="49" spans="5:15">
      <c r="E49" s="31" t="s">
        <v>123</v>
      </c>
      <c r="F49" s="31"/>
      <c r="G49" s="31"/>
      <c r="H49" s="32"/>
      <c r="I49" s="32"/>
      <c r="J49" s="32"/>
      <c r="K49" s="32"/>
      <c r="L49" s="32"/>
      <c r="M49" s="86">
        <v>267079437</v>
      </c>
      <c r="N49" s="86">
        <v>2735299</v>
      </c>
      <c r="O49" s="86">
        <v>269814736</v>
      </c>
    </row>
    <row r="50" spans="5:15">
      <c r="H50" s="12"/>
      <c r="I50" s="12"/>
      <c r="J50" s="12"/>
      <c r="K50" s="12"/>
      <c r="L50" s="12"/>
      <c r="M50" s="12"/>
    </row>
    <row r="51" spans="5:15">
      <c r="E51" s="34" t="s">
        <v>124</v>
      </c>
      <c r="F51" s="34"/>
      <c r="G51" s="34"/>
      <c r="H51" s="35"/>
      <c r="I51" s="35"/>
      <c r="J51" s="35"/>
      <c r="K51" s="35"/>
      <c r="L51" s="35"/>
      <c r="M51" s="192">
        <f>SUM(M46,M49)</f>
        <v>280251650</v>
      </c>
      <c r="N51" s="192">
        <f t="shared" ref="N51:O51" si="7">SUM(N46,N49)</f>
        <v>12067144</v>
      </c>
      <c r="O51" s="192">
        <f t="shared" si="7"/>
        <v>292318794</v>
      </c>
    </row>
  </sheetData>
  <mergeCells count="4">
    <mergeCell ref="J1:M1"/>
    <mergeCell ref="J2:M2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5"/>
  <sheetViews>
    <sheetView workbookViewId="0">
      <selection activeCell="I9" sqref="I9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8.28515625" customWidth="1"/>
    <col min="14" max="14" width="18.42578125" customWidth="1"/>
  </cols>
  <sheetData>
    <row r="1" spans="1:14" ht="30" customHeight="1">
      <c r="J1" s="1" t="s">
        <v>125</v>
      </c>
      <c r="K1" s="1"/>
      <c r="L1" s="1"/>
      <c r="M1" s="1"/>
      <c r="N1" s="419"/>
    </row>
    <row r="2" spans="1:14" ht="21.75" customHeight="1">
      <c r="J2" s="521" t="s">
        <v>1</v>
      </c>
      <c r="K2" s="521"/>
      <c r="L2" s="521"/>
      <c r="M2" s="521"/>
      <c r="N2" s="420"/>
    </row>
    <row r="3" spans="1:14" ht="18.75" customHeight="1">
      <c r="E3" s="3"/>
      <c r="F3" s="3"/>
      <c r="G3" s="3"/>
      <c r="H3" s="3"/>
      <c r="I3" s="3"/>
      <c r="J3" s="3"/>
      <c r="K3" s="3"/>
      <c r="L3" s="3"/>
    </row>
    <row r="4" spans="1:14" ht="30.75" customHeight="1">
      <c r="E4" s="2"/>
      <c r="M4" s="523"/>
      <c r="N4" s="523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2" t="s">
        <v>57</v>
      </c>
      <c r="N5" s="522"/>
    </row>
    <row r="6" spans="1:14" ht="30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126</v>
      </c>
      <c r="N6" s="6" t="s">
        <v>12</v>
      </c>
    </row>
    <row r="7" spans="1:14" ht="16.5" customHeight="1">
      <c r="A7" s="8" t="s">
        <v>13</v>
      </c>
      <c r="I7" s="9"/>
      <c r="J7" s="9"/>
      <c r="K7" s="9"/>
      <c r="L7" s="9"/>
    </row>
    <row r="8" spans="1:14">
      <c r="B8" s="10" t="s">
        <v>14</v>
      </c>
      <c r="I8" s="9"/>
      <c r="J8" s="9"/>
      <c r="K8" s="9"/>
      <c r="L8" s="9"/>
      <c r="M8" s="9"/>
      <c r="N8" s="9"/>
    </row>
    <row r="9" spans="1:14">
      <c r="B9" s="10"/>
      <c r="C9" t="s">
        <v>15</v>
      </c>
      <c r="I9" s="176">
        <v>-9616443</v>
      </c>
      <c r="J9" s="9">
        <v>3172380</v>
      </c>
      <c r="K9" s="9">
        <v>281149</v>
      </c>
      <c r="L9" s="9">
        <v>200560</v>
      </c>
      <c r="M9" s="12">
        <f>SUM(I9:L9)</f>
        <v>-5962354</v>
      </c>
      <c r="N9" s="9"/>
    </row>
    <row r="10" spans="1:14">
      <c r="C10" t="s">
        <v>127</v>
      </c>
      <c r="H10" s="12"/>
      <c r="I10" s="94">
        <v>-22965185</v>
      </c>
      <c r="J10" s="12">
        <v>30283</v>
      </c>
      <c r="K10" s="12">
        <v>1330598</v>
      </c>
      <c r="L10" s="12"/>
      <c r="M10" s="12">
        <f>SUM(I10:L10)</f>
        <v>-21604304</v>
      </c>
      <c r="N10" s="12"/>
    </row>
    <row r="11" spans="1:14">
      <c r="C11" t="s">
        <v>19</v>
      </c>
      <c r="H11" s="12"/>
      <c r="I11" s="15">
        <v>-15373363</v>
      </c>
      <c r="J11" s="12">
        <v>168282</v>
      </c>
      <c r="K11" s="12">
        <v>11286901</v>
      </c>
      <c r="L11" s="12">
        <v>319671</v>
      </c>
      <c r="M11" s="12">
        <f>SUM(I11:L11)</f>
        <v>-3598509</v>
      </c>
      <c r="N11" s="12"/>
    </row>
    <row r="12" spans="1:14">
      <c r="C12" t="s">
        <v>128</v>
      </c>
      <c r="H12" s="12"/>
      <c r="I12" s="14">
        <v>-23738530</v>
      </c>
      <c r="J12" s="12">
        <v>481901</v>
      </c>
      <c r="K12" s="12">
        <v>2323462</v>
      </c>
      <c r="L12" s="12"/>
      <c r="M12" s="12">
        <f>SUM(I12:L12)</f>
        <v>-20933167</v>
      </c>
      <c r="N12" s="12"/>
    </row>
    <row r="13" spans="1:14">
      <c r="C13" t="s">
        <v>129</v>
      </c>
      <c r="H13" s="12"/>
      <c r="I13" s="94">
        <v>-6178313</v>
      </c>
      <c r="J13" s="12"/>
      <c r="K13" s="12">
        <v>114638</v>
      </c>
      <c r="L13" s="12"/>
      <c r="M13" s="12">
        <f>SUM(I13:K13)</f>
        <v>-6063675</v>
      </c>
      <c r="N13" s="12"/>
    </row>
    <row r="14" spans="1:14">
      <c r="C14" t="s">
        <v>92</v>
      </c>
      <c r="H14" s="12"/>
      <c r="I14" s="94">
        <v>-2620248</v>
      </c>
      <c r="J14" s="12"/>
      <c r="K14" s="12"/>
      <c r="L14" s="12"/>
      <c r="M14" s="12">
        <f>SUM(I14:K14)</f>
        <v>-2620248</v>
      </c>
      <c r="N14" s="12"/>
    </row>
    <row r="15" spans="1:14">
      <c r="C15" t="s">
        <v>20</v>
      </c>
      <c r="H15" s="12"/>
      <c r="I15" s="16">
        <v>-15957204</v>
      </c>
      <c r="J15" s="12">
        <v>113615</v>
      </c>
      <c r="K15" s="12">
        <v>425193</v>
      </c>
      <c r="L15" s="12"/>
      <c r="M15" s="12">
        <f>SUM(I15:K15)</f>
        <v>-15418396</v>
      </c>
      <c r="N15" s="12"/>
    </row>
    <row r="16" spans="1:14">
      <c r="C16" t="s">
        <v>44</v>
      </c>
      <c r="H16" s="12"/>
      <c r="I16" s="92">
        <v>-4221537</v>
      </c>
      <c r="J16" s="12"/>
      <c r="K16" s="12">
        <v>73851</v>
      </c>
      <c r="L16" s="12"/>
      <c r="M16" s="12">
        <f>SUM(I16:K16)</f>
        <v>-4147686</v>
      </c>
      <c r="N16" s="12"/>
    </row>
    <row r="17" spans="1:14">
      <c r="C17" t="s">
        <v>130</v>
      </c>
      <c r="H17" s="12"/>
      <c r="I17" s="89">
        <v>-2126069</v>
      </c>
      <c r="J17" s="12"/>
      <c r="K17" s="12"/>
      <c r="L17" s="12"/>
      <c r="M17" s="12">
        <f>SUM(I17:K17)</f>
        <v>-2126069</v>
      </c>
      <c r="N17" s="12"/>
    </row>
    <row r="18" spans="1:14">
      <c r="H18" s="12"/>
      <c r="I18" s="12"/>
      <c r="J18" s="12"/>
      <c r="K18" s="12"/>
      <c r="L18" s="12"/>
      <c r="M18" s="12"/>
      <c r="N18" s="12"/>
    </row>
    <row r="19" spans="1:14">
      <c r="E19" s="19" t="s">
        <v>22</v>
      </c>
      <c r="F19" s="19"/>
      <c r="G19" s="19"/>
      <c r="H19" s="20"/>
      <c r="I19" s="20">
        <f>SUM(I9:I17)</f>
        <v>-102796892</v>
      </c>
      <c r="J19" s="20">
        <f>SUM(J9:J17)</f>
        <v>3966461</v>
      </c>
      <c r="K19" s="20">
        <f>SUM(K9:K17)</f>
        <v>15835792</v>
      </c>
      <c r="L19" s="20">
        <f>SUM(L9:L17)</f>
        <v>520231</v>
      </c>
      <c r="M19" s="82">
        <f>SUM(M9:M17)</f>
        <v>-82474408</v>
      </c>
      <c r="N19" s="82"/>
    </row>
    <row r="20" spans="1:14">
      <c r="E20" s="8"/>
      <c r="F20" s="8"/>
      <c r="G20" s="8"/>
      <c r="H20" s="26"/>
      <c r="I20" s="26"/>
      <c r="J20" s="26"/>
      <c r="K20" s="26"/>
      <c r="L20" s="26"/>
      <c r="M20" s="26"/>
      <c r="N20" s="26"/>
    </row>
    <row r="21" spans="1:14">
      <c r="A21" s="10" t="s">
        <v>23</v>
      </c>
      <c r="H21" s="12"/>
      <c r="I21" s="12"/>
      <c r="J21" s="12"/>
      <c r="K21" s="12"/>
      <c r="L21" s="12"/>
      <c r="M21" s="12"/>
      <c r="N21" s="12"/>
    </row>
    <row r="22" spans="1:14">
      <c r="B22" t="s">
        <v>131</v>
      </c>
      <c r="H22" s="12"/>
      <c r="I22" s="12">
        <v>-8479315</v>
      </c>
      <c r="J22" s="12">
        <v>1131910</v>
      </c>
      <c r="K22" s="12">
        <v>6608097</v>
      </c>
      <c r="L22" s="12"/>
      <c r="M22" s="12"/>
      <c r="N22" s="12">
        <f t="shared" ref="N22:N28" si="0">SUM(I22:M22)</f>
        <v>-739308</v>
      </c>
    </row>
    <row r="23" spans="1:14">
      <c r="B23" t="s">
        <v>44</v>
      </c>
      <c r="H23" s="12"/>
      <c r="I23" s="12">
        <v>-339932</v>
      </c>
      <c r="J23" s="12"/>
      <c r="K23" s="12"/>
      <c r="L23" s="12"/>
      <c r="M23" s="12"/>
      <c r="N23" s="12">
        <f t="shared" si="0"/>
        <v>-339932</v>
      </c>
    </row>
    <row r="24" spans="1:14">
      <c r="B24" t="s">
        <v>16</v>
      </c>
      <c r="H24" s="12"/>
      <c r="I24" s="12">
        <v>-39691975</v>
      </c>
      <c r="J24" s="12">
        <v>14223855</v>
      </c>
      <c r="K24" s="12"/>
      <c r="L24" s="12"/>
      <c r="M24" s="12"/>
      <c r="N24" s="12">
        <f t="shared" si="0"/>
        <v>-25468120</v>
      </c>
    </row>
    <row r="25" spans="1:14">
      <c r="B25" t="s">
        <v>132</v>
      </c>
      <c r="H25" s="12"/>
      <c r="I25" s="12">
        <v>-11455942</v>
      </c>
      <c r="J25" s="12">
        <v>2883925</v>
      </c>
      <c r="K25" s="12">
        <v>3500</v>
      </c>
      <c r="L25" s="12">
        <v>134347</v>
      </c>
      <c r="M25" s="12"/>
      <c r="N25" s="12">
        <f t="shared" si="0"/>
        <v>-8434170</v>
      </c>
    </row>
    <row r="26" spans="1:14">
      <c r="B26" t="s">
        <v>133</v>
      </c>
      <c r="H26" s="12"/>
      <c r="I26" s="12">
        <v>-1215183</v>
      </c>
      <c r="J26" s="12">
        <v>1065134</v>
      </c>
      <c r="K26" s="12"/>
      <c r="L26" s="12"/>
      <c r="M26" s="12"/>
      <c r="N26" s="12">
        <f t="shared" si="0"/>
        <v>-150049</v>
      </c>
    </row>
    <row r="27" spans="1:14">
      <c r="B27" t="s">
        <v>134</v>
      </c>
      <c r="H27" s="12"/>
      <c r="I27" s="12">
        <v>-1917255</v>
      </c>
      <c r="J27" s="12">
        <v>2027286</v>
      </c>
      <c r="K27" s="12"/>
      <c r="L27" s="12"/>
      <c r="M27" s="12"/>
      <c r="N27" s="12">
        <f t="shared" si="0"/>
        <v>110031</v>
      </c>
    </row>
    <row r="28" spans="1:14">
      <c r="B28" t="s">
        <v>135</v>
      </c>
      <c r="H28" s="12"/>
      <c r="I28" s="12">
        <v>-18299617</v>
      </c>
      <c r="J28" s="12">
        <v>15503099</v>
      </c>
      <c r="K28" s="12">
        <v>1531826</v>
      </c>
      <c r="L28" s="12">
        <v>240946</v>
      </c>
      <c r="M28" s="12"/>
      <c r="N28" s="12">
        <f t="shared" si="0"/>
        <v>-1023746</v>
      </c>
    </row>
    <row r="29" spans="1:14">
      <c r="H29" s="12"/>
      <c r="I29" s="12"/>
      <c r="J29" s="12"/>
      <c r="K29" s="12"/>
      <c r="L29" s="12"/>
      <c r="M29" s="12"/>
      <c r="N29" s="12"/>
    </row>
    <row r="30" spans="1:14">
      <c r="E30" s="19" t="s">
        <v>70</v>
      </c>
      <c r="F30" s="19"/>
      <c r="G30" s="19"/>
      <c r="H30" s="20"/>
      <c r="I30" s="20">
        <f t="shared" ref="I30:N30" si="1">SUM(I22:I28)</f>
        <v>-81399219</v>
      </c>
      <c r="J30" s="20">
        <f t="shared" si="1"/>
        <v>36835209</v>
      </c>
      <c r="K30" s="20">
        <f t="shared" si="1"/>
        <v>8143423</v>
      </c>
      <c r="L30" s="20">
        <f t="shared" si="1"/>
        <v>375293</v>
      </c>
      <c r="M30" s="82">
        <f t="shared" si="1"/>
        <v>0</v>
      </c>
      <c r="N30" s="82">
        <f t="shared" si="1"/>
        <v>-36045294</v>
      </c>
    </row>
    <row r="31" spans="1:14">
      <c r="H31" s="12"/>
      <c r="I31" s="12"/>
      <c r="J31" s="12"/>
      <c r="K31" s="12"/>
      <c r="L31" s="12"/>
      <c r="M31" s="12"/>
      <c r="N31" s="12"/>
    </row>
    <row r="32" spans="1:14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</row>
    <row r="33" spans="1:14">
      <c r="A33" s="8"/>
      <c r="B33" s="8"/>
      <c r="C33" s="8"/>
      <c r="D33" s="8"/>
      <c r="E33" s="8"/>
      <c r="G33" s="8"/>
      <c r="H33" s="80" t="s">
        <v>26</v>
      </c>
      <c r="I33" s="26"/>
      <c r="J33" s="26"/>
      <c r="K33" s="26"/>
      <c r="L33" s="26"/>
      <c r="M33" s="12"/>
      <c r="N33" s="12"/>
    </row>
    <row r="34" spans="1:14">
      <c r="H34" s="12"/>
      <c r="I34" s="12" t="s">
        <v>136</v>
      </c>
      <c r="J34" s="12"/>
      <c r="K34" s="12"/>
      <c r="L34" s="12"/>
      <c r="M34" s="28">
        <v>57040935</v>
      </c>
      <c r="N34" s="12">
        <v>8149198</v>
      </c>
    </row>
    <row r="35" spans="1:14">
      <c r="H35" s="12"/>
      <c r="I35" s="12" t="s">
        <v>103</v>
      </c>
      <c r="J35" s="12"/>
      <c r="K35" s="12"/>
      <c r="L35" s="12"/>
      <c r="M35" s="28">
        <v>2519914</v>
      </c>
      <c r="N35" s="12"/>
    </row>
    <row r="36" spans="1:14">
      <c r="H36" s="12"/>
      <c r="I36" s="12" t="s">
        <v>96</v>
      </c>
      <c r="J36" s="12"/>
      <c r="K36" s="12"/>
      <c r="L36" s="12"/>
      <c r="M36" s="14">
        <v>13851983</v>
      </c>
      <c r="N36" s="12">
        <v>16191048</v>
      </c>
    </row>
    <row r="37" spans="1:14">
      <c r="H37" s="12"/>
      <c r="I37" s="12" t="s">
        <v>121</v>
      </c>
      <c r="J37" s="12"/>
      <c r="K37" s="12"/>
      <c r="L37" s="12"/>
      <c r="M37" s="14">
        <v>220613</v>
      </c>
      <c r="N37" s="12"/>
    </row>
    <row r="38" spans="1:14">
      <c r="H38" s="12"/>
      <c r="I38" s="12" t="s">
        <v>137</v>
      </c>
      <c r="J38" s="12"/>
      <c r="K38" s="12"/>
      <c r="L38" s="12"/>
      <c r="M38" s="12"/>
      <c r="N38" s="12">
        <v>3595485</v>
      </c>
    </row>
    <row r="39" spans="1:14">
      <c r="H39" s="12" t="s">
        <v>138</v>
      </c>
      <c r="I39" s="12"/>
      <c r="J39" s="12"/>
      <c r="K39" s="12"/>
      <c r="L39" s="12"/>
      <c r="M39" s="12"/>
      <c r="N39" s="12">
        <v>503031</v>
      </c>
    </row>
    <row r="40" spans="1:14">
      <c r="H40" s="12" t="s">
        <v>139</v>
      </c>
      <c r="I40" s="12"/>
      <c r="J40" s="12"/>
      <c r="K40" s="12"/>
      <c r="L40" s="12"/>
      <c r="M40" s="14">
        <v>1791430</v>
      </c>
      <c r="N40" s="12"/>
    </row>
    <row r="41" spans="1:14">
      <c r="H41" s="12" t="s">
        <v>33</v>
      </c>
      <c r="I41" s="12"/>
      <c r="J41" s="12"/>
      <c r="K41" s="12"/>
      <c r="L41" s="12"/>
      <c r="M41" s="11">
        <v>1273355</v>
      </c>
      <c r="N41" s="12"/>
    </row>
    <row r="42" spans="1:14">
      <c r="H42" s="12" t="s">
        <v>140</v>
      </c>
      <c r="I42" s="12"/>
      <c r="J42" s="12"/>
      <c r="K42" s="12"/>
      <c r="L42" s="12"/>
      <c r="M42" s="29">
        <v>853285</v>
      </c>
      <c r="N42" s="12"/>
    </row>
    <row r="43" spans="1:14">
      <c r="H43" s="12" t="s">
        <v>50</v>
      </c>
      <c r="I43" s="12"/>
      <c r="J43" s="12"/>
      <c r="K43" s="12"/>
      <c r="L43" s="12"/>
      <c r="M43" s="29">
        <v>930818</v>
      </c>
      <c r="N43" s="12">
        <v>118393</v>
      </c>
    </row>
    <row r="44" spans="1:14">
      <c r="H44" s="12" t="s">
        <v>141</v>
      </c>
      <c r="I44" s="12"/>
      <c r="J44" s="12"/>
      <c r="K44" s="12"/>
      <c r="L44" s="12"/>
      <c r="M44" s="12"/>
      <c r="N44" s="12">
        <v>1423038</v>
      </c>
    </row>
    <row r="45" spans="1:14">
      <c r="H45" s="12" t="s">
        <v>142</v>
      </c>
      <c r="I45" s="12"/>
      <c r="J45" s="12"/>
      <c r="K45" s="12"/>
      <c r="L45" s="12"/>
      <c r="M45" s="12"/>
      <c r="N45" s="12">
        <v>212799</v>
      </c>
    </row>
    <row r="46" spans="1:14">
      <c r="H46" s="12" t="s">
        <v>36</v>
      </c>
      <c r="I46" s="12"/>
      <c r="J46" s="12"/>
      <c r="K46" s="12"/>
      <c r="L46" s="12"/>
      <c r="M46" s="29">
        <v>936432</v>
      </c>
      <c r="N46" s="12">
        <v>2437636</v>
      </c>
    </row>
    <row r="47" spans="1:14">
      <c r="H47" s="12"/>
      <c r="I47" s="12"/>
      <c r="J47" s="12"/>
      <c r="K47" s="12"/>
      <c r="L47" s="12"/>
      <c r="M47" s="12"/>
      <c r="N47" s="12"/>
    </row>
    <row r="48" spans="1:14">
      <c r="H48" s="20" t="s">
        <v>38</v>
      </c>
      <c r="I48" s="20"/>
      <c r="J48" s="20"/>
      <c r="K48" s="20"/>
      <c r="L48" s="20"/>
      <c r="M48" s="20">
        <f>SUM(M33:M46)</f>
        <v>79418765</v>
      </c>
      <c r="N48" s="20">
        <f>SUM(N34:N46)</f>
        <v>32630628</v>
      </c>
    </row>
    <row r="49" spans="5:14">
      <c r="H49" s="12"/>
      <c r="I49" s="12"/>
      <c r="J49" s="12"/>
      <c r="K49" s="12"/>
      <c r="L49" s="12"/>
      <c r="M49" s="12"/>
      <c r="N49" s="12"/>
    </row>
    <row r="50" spans="5:14">
      <c r="H50" s="20" t="s">
        <v>39</v>
      </c>
      <c r="I50" s="20"/>
      <c r="J50" s="20"/>
      <c r="K50" s="20"/>
      <c r="L50" s="20"/>
      <c r="M50" s="20">
        <f>M48+M19</f>
        <v>-3055643</v>
      </c>
      <c r="N50" s="20">
        <f>N48+N30</f>
        <v>-3414666</v>
      </c>
    </row>
    <row r="51" spans="5:14">
      <c r="H51" s="26"/>
      <c r="I51" s="26"/>
      <c r="J51" s="26"/>
      <c r="K51" s="26"/>
      <c r="L51" s="26"/>
      <c r="M51" s="26"/>
      <c r="N51" s="26"/>
    </row>
    <row r="52" spans="5:14">
      <c r="H52" s="82" t="s">
        <v>143</v>
      </c>
      <c r="I52" s="82"/>
      <c r="J52" s="82"/>
      <c r="K52" s="82"/>
      <c r="L52" s="82"/>
      <c r="M52" s="82">
        <v>353774749</v>
      </c>
      <c r="N52" s="82">
        <v>56071996</v>
      </c>
    </row>
    <row r="53" spans="5:14">
      <c r="H53" s="26"/>
      <c r="I53" s="26"/>
      <c r="J53" s="26"/>
      <c r="K53" s="26"/>
      <c r="L53" s="26"/>
      <c r="M53" s="26"/>
      <c r="N53" s="26"/>
    </row>
    <row r="54" spans="5:14">
      <c r="H54" s="82" t="s">
        <v>144</v>
      </c>
      <c r="I54" s="82"/>
      <c r="J54" s="82"/>
      <c r="K54" s="82"/>
      <c r="L54" s="82"/>
      <c r="M54" s="82"/>
      <c r="N54" s="82">
        <v>-1874824</v>
      </c>
    </row>
    <row r="55" spans="5:14">
      <c r="H55" s="26"/>
      <c r="I55" s="26"/>
      <c r="J55" s="26"/>
      <c r="K55" s="26"/>
      <c r="L55" s="26"/>
      <c r="M55" s="26"/>
      <c r="N55" s="26"/>
    </row>
    <row r="56" spans="5:14">
      <c r="E56" s="31" t="s">
        <v>145</v>
      </c>
      <c r="F56" s="31"/>
      <c r="G56" s="31"/>
      <c r="H56" s="32"/>
      <c r="I56" s="32"/>
      <c r="J56" s="32"/>
      <c r="K56" s="32"/>
      <c r="L56" s="32"/>
      <c r="M56" s="33">
        <v>353774749</v>
      </c>
      <c r="N56" s="33">
        <v>54197172</v>
      </c>
    </row>
    <row r="57" spans="5:14">
      <c r="H57" s="12"/>
      <c r="I57" s="12"/>
      <c r="J57" s="12"/>
      <c r="K57" s="12"/>
      <c r="L57" s="12"/>
      <c r="M57" s="12"/>
      <c r="N57" s="12"/>
    </row>
    <row r="58" spans="5:14">
      <c r="E58" s="34" t="s">
        <v>55</v>
      </c>
      <c r="F58" s="34"/>
      <c r="G58" s="34"/>
      <c r="H58" s="35"/>
      <c r="I58" s="35"/>
      <c r="J58" s="35"/>
      <c r="K58" s="35"/>
      <c r="L58" s="35"/>
      <c r="M58" s="83">
        <f>SUM(M50,M56)</f>
        <v>350719106</v>
      </c>
      <c r="N58" s="83">
        <f>N56+N50</f>
        <v>50782506</v>
      </c>
    </row>
    <row r="65" spans="11:14">
      <c r="K65" s="9"/>
      <c r="L65" s="9"/>
      <c r="M65" s="9"/>
      <c r="N65" s="9"/>
    </row>
  </sheetData>
  <mergeCells count="4">
    <mergeCell ref="J2:M2"/>
    <mergeCell ref="M4:N4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5"/>
  <sheetViews>
    <sheetView workbookViewId="0">
      <selection activeCell="G20" sqref="G20"/>
    </sheetView>
  </sheetViews>
  <sheetFormatPr defaultColWidth="8.85546875" defaultRowHeight="15"/>
  <cols>
    <col min="9" max="9" width="15.140625" customWidth="1"/>
    <col min="10" max="10" width="17" customWidth="1"/>
    <col min="11" max="11" width="16.28515625" customWidth="1"/>
    <col min="12" max="12" width="14.85546875" customWidth="1"/>
    <col min="13" max="13" width="16.7109375" customWidth="1"/>
    <col min="14" max="14" width="14" customWidth="1"/>
    <col min="15" max="15" width="16" customWidth="1"/>
    <col min="16" max="16" width="15.85546875" customWidth="1"/>
  </cols>
  <sheetData>
    <row r="1" spans="1:16" ht="23.25" customHeight="1">
      <c r="J1" s="1" t="s">
        <v>146</v>
      </c>
      <c r="K1" s="333"/>
      <c r="L1" s="333"/>
      <c r="M1" s="333"/>
      <c r="N1" s="419"/>
      <c r="O1" s="419"/>
    </row>
    <row r="2" spans="1:16" ht="18.75">
      <c r="J2" s="521" t="s">
        <v>1</v>
      </c>
      <c r="K2" s="521"/>
      <c r="L2" s="521"/>
      <c r="M2" s="521"/>
      <c r="N2" s="420"/>
      <c r="O2" s="420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.75">
      <c r="E4" s="2"/>
      <c r="M4" s="522" t="s">
        <v>2</v>
      </c>
      <c r="N4" s="522"/>
      <c r="O4" s="522"/>
      <c r="P4" s="523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5" t="s">
        <v>5</v>
      </c>
      <c r="N5" s="525"/>
      <c r="O5" s="525"/>
      <c r="P5" s="360"/>
    </row>
    <row r="6" spans="1:16" ht="45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12</v>
      </c>
    </row>
    <row r="7" spans="1:16">
      <c r="A7" s="8" t="s">
        <v>13</v>
      </c>
      <c r="H7" s="159"/>
      <c r="I7" s="159"/>
      <c r="J7" s="159"/>
      <c r="K7" s="159"/>
      <c r="L7" s="159"/>
      <c r="M7" s="159"/>
      <c r="N7" s="159"/>
      <c r="O7" s="159"/>
      <c r="P7" s="159"/>
    </row>
    <row r="8" spans="1:16">
      <c r="B8" s="10" t="s">
        <v>14</v>
      </c>
      <c r="H8" s="159"/>
      <c r="I8" s="159"/>
      <c r="J8" s="159"/>
      <c r="K8" s="159"/>
      <c r="L8" s="159"/>
      <c r="M8" s="159"/>
      <c r="N8" s="159"/>
      <c r="O8" s="159"/>
      <c r="P8" s="159"/>
    </row>
    <row r="9" spans="1:16">
      <c r="C9" t="s">
        <v>15</v>
      </c>
      <c r="H9" s="159"/>
      <c r="I9" s="160">
        <v>-23801813</v>
      </c>
      <c r="J9" s="159">
        <v>11462762</v>
      </c>
      <c r="K9" s="159">
        <v>361194</v>
      </c>
      <c r="L9" s="159">
        <v>260240</v>
      </c>
      <c r="M9" s="159">
        <f t="shared" ref="M9:M15" si="0">SUM(I9:L9)</f>
        <v>-11717617</v>
      </c>
      <c r="N9" s="159"/>
      <c r="O9" s="159">
        <f t="shared" ref="O9:O15" si="1">SUM(M9:N9)</f>
        <v>-11717617</v>
      </c>
      <c r="P9" s="159"/>
    </row>
    <row r="10" spans="1:16">
      <c r="C10" t="s">
        <v>16</v>
      </c>
      <c r="H10" s="159"/>
      <c r="I10" s="161">
        <v>-15334942</v>
      </c>
      <c r="J10" s="159">
        <v>974246</v>
      </c>
      <c r="K10" s="159">
        <v>1990481</v>
      </c>
      <c r="L10" s="159">
        <v>23348</v>
      </c>
      <c r="M10" s="159">
        <f t="shared" si="0"/>
        <v>-12346867</v>
      </c>
      <c r="N10" s="159"/>
      <c r="O10" s="159">
        <f t="shared" si="1"/>
        <v>-12346867</v>
      </c>
      <c r="P10" s="159"/>
    </row>
    <row r="11" spans="1:16">
      <c r="C11" t="s">
        <v>17</v>
      </c>
      <c r="H11" s="159"/>
      <c r="I11" s="162">
        <v>-39564313</v>
      </c>
      <c r="J11" s="159">
        <v>755722</v>
      </c>
      <c r="K11" s="159">
        <v>4226657</v>
      </c>
      <c r="L11" s="159">
        <v>2138548</v>
      </c>
      <c r="M11" s="159">
        <f t="shared" si="0"/>
        <v>-32443386</v>
      </c>
      <c r="N11" s="159"/>
      <c r="O11" s="159">
        <f t="shared" si="1"/>
        <v>-32443386</v>
      </c>
      <c r="P11" s="159"/>
    </row>
    <row r="12" spans="1:16">
      <c r="C12" t="s">
        <v>92</v>
      </c>
      <c r="H12" s="159"/>
      <c r="I12" s="361">
        <v>-6993188</v>
      </c>
      <c r="J12" s="159">
        <v>183</v>
      </c>
      <c r="K12" s="159">
        <v>1205</v>
      </c>
      <c r="L12" s="159"/>
      <c r="M12" s="159">
        <f t="shared" si="0"/>
        <v>-6991800</v>
      </c>
      <c r="N12" s="159"/>
      <c r="O12" s="159">
        <f t="shared" si="1"/>
        <v>-6991800</v>
      </c>
      <c r="P12" s="159"/>
    </row>
    <row r="13" spans="1:16">
      <c r="C13" t="s">
        <v>19</v>
      </c>
      <c r="H13" s="159"/>
      <c r="I13" s="164">
        <v>-14834996</v>
      </c>
      <c r="J13" s="159">
        <v>140126</v>
      </c>
      <c r="K13" s="159">
        <v>7820536</v>
      </c>
      <c r="L13" s="159"/>
      <c r="M13" s="159">
        <f t="shared" si="0"/>
        <v>-6874334</v>
      </c>
      <c r="N13" s="159"/>
      <c r="O13" s="159">
        <f t="shared" si="1"/>
        <v>-6874334</v>
      </c>
      <c r="P13" s="159"/>
    </row>
    <row r="14" spans="1:16">
      <c r="C14" t="s">
        <v>20</v>
      </c>
      <c r="H14" s="159"/>
      <c r="I14" s="165">
        <v>-15996312</v>
      </c>
      <c r="J14" s="159">
        <v>1478785</v>
      </c>
      <c r="K14" s="159">
        <v>26675</v>
      </c>
      <c r="L14" s="159">
        <v>1548664</v>
      </c>
      <c r="M14" s="159">
        <f t="shared" si="0"/>
        <v>-12942188</v>
      </c>
      <c r="N14" s="159"/>
      <c r="O14" s="159">
        <f t="shared" si="1"/>
        <v>-12942188</v>
      </c>
      <c r="P14" s="159"/>
    </row>
    <row r="15" spans="1:16">
      <c r="C15" t="s">
        <v>148</v>
      </c>
      <c r="H15" s="159"/>
      <c r="I15" s="163">
        <v>-3883483</v>
      </c>
      <c r="J15" s="159">
        <v>1425178</v>
      </c>
      <c r="K15" s="159">
        <v>89559</v>
      </c>
      <c r="L15" s="159"/>
      <c r="M15" s="159">
        <f t="shared" si="0"/>
        <v>-2368746</v>
      </c>
      <c r="N15" s="159"/>
      <c r="O15" s="159">
        <f t="shared" si="1"/>
        <v>-2368746</v>
      </c>
      <c r="P15" s="159"/>
    </row>
    <row r="16" spans="1:16">
      <c r="H16" s="159"/>
      <c r="I16" s="206"/>
      <c r="J16" s="206"/>
      <c r="K16" s="206"/>
      <c r="L16" s="206"/>
      <c r="M16" s="206"/>
      <c r="N16" s="206"/>
      <c r="O16" s="206"/>
      <c r="P16" s="206"/>
    </row>
    <row r="17" spans="1:17">
      <c r="E17" s="19" t="s">
        <v>22</v>
      </c>
      <c r="F17" s="19"/>
      <c r="G17" s="19"/>
      <c r="H17" s="168"/>
      <c r="I17" s="168">
        <f>SUM(I9:I15)</f>
        <v>-120409047</v>
      </c>
      <c r="J17" s="168">
        <f>SUM(J9:J15)</f>
        <v>16237002</v>
      </c>
      <c r="K17" s="168">
        <f>SUM(K9:K15)</f>
        <v>14516307</v>
      </c>
      <c r="L17" s="168">
        <f>SUM(L9:L15)</f>
        <v>3970800</v>
      </c>
      <c r="M17" s="169">
        <f>SUM(M9:M15)</f>
        <v>-85684938</v>
      </c>
      <c r="N17" s="169"/>
      <c r="O17" s="169">
        <f>SUM(O9:O15)</f>
        <v>-85684938</v>
      </c>
      <c r="P17" s="171">
        <f>SUM(P9:P15)</f>
        <v>0</v>
      </c>
    </row>
    <row r="18" spans="1:17">
      <c r="E18" s="8"/>
      <c r="F18" s="8"/>
      <c r="G18" s="8"/>
      <c r="H18" s="172"/>
      <c r="I18" s="172"/>
      <c r="J18" s="172"/>
      <c r="K18" s="172"/>
      <c r="L18" s="172"/>
      <c r="M18" s="172"/>
      <c r="N18" s="172"/>
      <c r="O18" s="172"/>
      <c r="P18" s="159"/>
    </row>
    <row r="19" spans="1:17">
      <c r="B19" s="10" t="s">
        <v>116</v>
      </c>
      <c r="E19" s="8"/>
      <c r="F19" s="8"/>
      <c r="G19" s="8"/>
      <c r="H19" s="172"/>
      <c r="I19" s="172"/>
      <c r="J19" s="172"/>
      <c r="K19" s="172"/>
      <c r="L19" s="172"/>
      <c r="M19" s="172"/>
      <c r="N19" s="172"/>
      <c r="O19" s="172"/>
      <c r="P19" s="159"/>
    </row>
    <row r="20" spans="1:17">
      <c r="B20" s="10"/>
      <c r="C20" t="s">
        <v>149</v>
      </c>
      <c r="E20" s="8"/>
      <c r="F20" s="8"/>
      <c r="G20" s="8"/>
      <c r="H20" s="172"/>
      <c r="I20" s="462">
        <v>703323</v>
      </c>
      <c r="J20" s="196">
        <v>711779</v>
      </c>
      <c r="K20" s="196"/>
      <c r="L20" s="196"/>
      <c r="M20" s="196"/>
      <c r="N20" s="196">
        <v>8456</v>
      </c>
      <c r="O20" s="196">
        <f>N20</f>
        <v>8456</v>
      </c>
      <c r="P20" s="159"/>
    </row>
    <row r="21" spans="1:17">
      <c r="B21" s="10"/>
      <c r="C21" t="s">
        <v>150</v>
      </c>
      <c r="E21" s="8"/>
      <c r="F21" s="8"/>
      <c r="G21" s="8"/>
      <c r="H21" s="172"/>
      <c r="I21" s="462">
        <v>873402</v>
      </c>
      <c r="J21" s="196">
        <v>292967</v>
      </c>
      <c r="K21" s="196"/>
      <c r="L21" s="196"/>
      <c r="M21" s="196"/>
      <c r="N21" s="196">
        <v>-580435</v>
      </c>
      <c r="O21" s="196">
        <f>N21</f>
        <v>-580435</v>
      </c>
      <c r="P21" s="159"/>
    </row>
    <row r="22" spans="1:17">
      <c r="B22" s="10"/>
      <c r="E22" s="8"/>
      <c r="F22" s="8"/>
      <c r="G22" s="8"/>
      <c r="H22" s="172"/>
      <c r="I22" s="205"/>
      <c r="J22" s="205"/>
      <c r="K22" s="205"/>
      <c r="L22" s="205"/>
      <c r="M22" s="205"/>
      <c r="N22" s="205"/>
      <c r="O22" s="205"/>
      <c r="P22" s="206"/>
      <c r="Q22" s="159"/>
    </row>
    <row r="23" spans="1:17">
      <c r="E23" s="19" t="s">
        <v>117</v>
      </c>
      <c r="F23" s="19"/>
      <c r="G23" s="19"/>
      <c r="H23" s="168"/>
      <c r="I23" s="168">
        <f t="shared" ref="I23:O23" si="2">SUM(I20:I21)</f>
        <v>1576725</v>
      </c>
      <c r="J23" s="168">
        <f t="shared" si="2"/>
        <v>1004746</v>
      </c>
      <c r="K23" s="168">
        <f t="shared" si="2"/>
        <v>0</v>
      </c>
      <c r="L23" s="168">
        <f t="shared" si="2"/>
        <v>0</v>
      </c>
      <c r="M23" s="169">
        <f t="shared" si="2"/>
        <v>0</v>
      </c>
      <c r="N23" s="169">
        <f t="shared" si="2"/>
        <v>-571979</v>
      </c>
      <c r="O23" s="169">
        <f t="shared" si="2"/>
        <v>-571979</v>
      </c>
      <c r="P23" s="170"/>
      <c r="Q23" s="159"/>
    </row>
    <row r="24" spans="1:17">
      <c r="E24" s="8"/>
      <c r="F24" s="8"/>
      <c r="G24" s="8"/>
      <c r="H24" s="172"/>
      <c r="I24" s="172"/>
      <c r="J24" s="172"/>
      <c r="K24" s="172"/>
      <c r="L24" s="172"/>
      <c r="M24" s="172"/>
      <c r="N24" s="172"/>
      <c r="O24" s="172"/>
      <c r="P24" s="159"/>
      <c r="Q24" s="159"/>
    </row>
    <row r="25" spans="1:17">
      <c r="E25" s="19" t="s">
        <v>67</v>
      </c>
      <c r="F25" s="19"/>
      <c r="G25" s="19"/>
      <c r="H25" s="168"/>
      <c r="I25" s="168">
        <f t="shared" ref="I25:P25" si="3">I23+I17</f>
        <v>-118832322</v>
      </c>
      <c r="J25" s="168">
        <f t="shared" si="3"/>
        <v>17241748</v>
      </c>
      <c r="K25" s="168">
        <f t="shared" si="3"/>
        <v>14516307</v>
      </c>
      <c r="L25" s="168">
        <f t="shared" si="3"/>
        <v>3970800</v>
      </c>
      <c r="M25" s="168">
        <f t="shared" si="3"/>
        <v>-85684938</v>
      </c>
      <c r="N25" s="168">
        <f t="shared" si="3"/>
        <v>-571979</v>
      </c>
      <c r="O25" s="168">
        <f t="shared" si="3"/>
        <v>-86256917</v>
      </c>
      <c r="P25" s="168">
        <f t="shared" si="3"/>
        <v>0</v>
      </c>
      <c r="Q25" s="159"/>
    </row>
    <row r="26" spans="1:17"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17">
      <c r="A27" s="10" t="s">
        <v>23</v>
      </c>
      <c r="H27" s="12"/>
      <c r="I27" s="12"/>
      <c r="J27" s="12"/>
      <c r="K27" s="12"/>
      <c r="L27" s="12"/>
      <c r="M27" s="12"/>
      <c r="N27" s="12"/>
      <c r="O27" s="12"/>
    </row>
    <row r="28" spans="1:17">
      <c r="B28" t="s">
        <v>151</v>
      </c>
      <c r="H28" s="159"/>
      <c r="I28" s="159">
        <v>-76872289</v>
      </c>
      <c r="J28" s="159">
        <v>65019753</v>
      </c>
      <c r="K28" s="159">
        <v>4077</v>
      </c>
      <c r="L28" s="159"/>
      <c r="M28" s="159"/>
      <c r="N28" s="159"/>
      <c r="O28" s="159"/>
      <c r="P28" s="159">
        <f>SUM(I28:L28)</f>
        <v>-11848459</v>
      </c>
      <c r="Q28" s="159"/>
    </row>
    <row r="29" spans="1:17">
      <c r="B29" t="s">
        <v>152</v>
      </c>
      <c r="H29" s="159"/>
      <c r="I29" s="159">
        <v>-5737059</v>
      </c>
      <c r="J29" s="159">
        <v>2228194</v>
      </c>
      <c r="K29" s="159"/>
      <c r="L29" s="159"/>
      <c r="M29" s="159"/>
      <c r="N29" s="159"/>
      <c r="O29" s="159"/>
      <c r="P29" s="159">
        <f t="shared" ref="P29:P33" si="4">SUM(I29:L29)</f>
        <v>-3508865</v>
      </c>
      <c r="Q29" s="159"/>
    </row>
    <row r="30" spans="1:17">
      <c r="B30" t="s">
        <v>153</v>
      </c>
      <c r="H30" s="159"/>
      <c r="I30" s="159">
        <v>-2473270</v>
      </c>
      <c r="J30" s="159">
        <v>98420</v>
      </c>
      <c r="K30" s="159"/>
      <c r="L30" s="159"/>
      <c r="M30" s="159"/>
      <c r="N30" s="159"/>
      <c r="O30" s="159"/>
      <c r="P30" s="159">
        <f t="shared" si="4"/>
        <v>-2374850</v>
      </c>
      <c r="Q30" s="159"/>
    </row>
    <row r="31" spans="1:17">
      <c r="B31" t="s">
        <v>154</v>
      </c>
      <c r="H31" s="159"/>
      <c r="I31" s="159">
        <v>-2745645</v>
      </c>
      <c r="J31" s="159"/>
      <c r="K31" s="159"/>
      <c r="L31" s="159">
        <v>17490</v>
      </c>
      <c r="M31" s="159"/>
      <c r="N31" s="159"/>
      <c r="O31" s="159"/>
      <c r="P31" s="159">
        <f t="shared" si="4"/>
        <v>-2728155</v>
      </c>
      <c r="Q31" s="159"/>
    </row>
    <row r="32" spans="1:17">
      <c r="B32" t="s">
        <v>155</v>
      </c>
      <c r="H32" s="159"/>
      <c r="I32" s="159">
        <v>-4158495</v>
      </c>
      <c r="J32" s="159">
        <v>2095038</v>
      </c>
      <c r="K32" s="159">
        <v>204566</v>
      </c>
      <c r="L32" s="159">
        <v>3696733</v>
      </c>
      <c r="M32" s="159"/>
      <c r="N32" s="159"/>
      <c r="O32" s="159"/>
      <c r="P32" s="159">
        <f t="shared" si="4"/>
        <v>1837842</v>
      </c>
      <c r="Q32" s="159"/>
    </row>
    <row r="33" spans="1:19">
      <c r="B33" t="s">
        <v>156</v>
      </c>
      <c r="H33" s="159"/>
      <c r="I33" s="159">
        <v>-45669669</v>
      </c>
      <c r="J33" s="159">
        <v>17745600</v>
      </c>
      <c r="K33" s="159">
        <v>4576744</v>
      </c>
      <c r="L33" s="159">
        <v>1693292</v>
      </c>
      <c r="M33" s="159"/>
      <c r="N33" s="159"/>
      <c r="O33" s="159"/>
      <c r="P33" s="159">
        <f t="shared" si="4"/>
        <v>-21654033</v>
      </c>
      <c r="Q33" s="159"/>
    </row>
    <row r="34" spans="1:19">
      <c r="H34" s="159"/>
      <c r="I34" s="206"/>
      <c r="J34" s="206"/>
      <c r="K34" s="206"/>
      <c r="L34" s="206"/>
      <c r="M34" s="206"/>
      <c r="N34" s="206"/>
      <c r="O34" s="206"/>
      <c r="P34" s="206"/>
      <c r="Q34" s="159"/>
    </row>
    <row r="35" spans="1:19">
      <c r="E35" s="19" t="s">
        <v>70</v>
      </c>
      <c r="F35" s="19"/>
      <c r="G35" s="19"/>
      <c r="H35" s="168"/>
      <c r="I35" s="171">
        <f t="shared" ref="I35:O35" si="5">SUM(I28:I33)</f>
        <v>-137656427</v>
      </c>
      <c r="J35" s="171">
        <f t="shared" si="5"/>
        <v>87187005</v>
      </c>
      <c r="K35" s="171">
        <f t="shared" si="5"/>
        <v>4785387</v>
      </c>
      <c r="L35" s="171">
        <f t="shared" si="5"/>
        <v>5407515</v>
      </c>
      <c r="M35" s="171">
        <f t="shared" si="5"/>
        <v>0</v>
      </c>
      <c r="N35" s="171">
        <f t="shared" si="5"/>
        <v>0</v>
      </c>
      <c r="O35" s="171">
        <f t="shared" si="5"/>
        <v>0</v>
      </c>
      <c r="P35" s="171">
        <f>SUM(P28:P33)</f>
        <v>-40276520</v>
      </c>
      <c r="Q35" s="159"/>
    </row>
    <row r="36" spans="1:19">
      <c r="H36" s="159"/>
      <c r="I36" s="159"/>
      <c r="J36" s="159"/>
      <c r="K36" s="159"/>
      <c r="L36" s="159"/>
      <c r="M36" s="159"/>
      <c r="N36" s="159"/>
      <c r="O36" s="159"/>
      <c r="P36" s="159"/>
      <c r="Q36" s="159"/>
    </row>
    <row r="37" spans="1:19">
      <c r="A37" s="8"/>
      <c r="B37" s="8"/>
      <c r="C37" s="8"/>
      <c r="D37" s="8"/>
      <c r="E37" s="8"/>
      <c r="G37" s="8" t="s">
        <v>25</v>
      </c>
      <c r="H37" s="26"/>
      <c r="I37" s="26"/>
      <c r="J37" s="26"/>
      <c r="K37" s="26"/>
      <c r="L37" s="26"/>
      <c r="M37" s="12"/>
      <c r="N37" s="12"/>
      <c r="O37" s="12"/>
    </row>
    <row r="38" spans="1:19">
      <c r="A38" s="8"/>
      <c r="B38" s="8"/>
      <c r="C38" s="8"/>
      <c r="D38" s="8"/>
      <c r="E38" s="8"/>
      <c r="G38" s="8"/>
      <c r="H38" s="80" t="s">
        <v>26</v>
      </c>
      <c r="I38" s="26"/>
      <c r="J38" s="26"/>
      <c r="K38" s="26"/>
      <c r="L38" s="172"/>
      <c r="M38" s="159"/>
      <c r="N38" s="159"/>
      <c r="O38" s="159"/>
      <c r="P38" s="159"/>
      <c r="Q38" s="159"/>
      <c r="R38" s="159"/>
      <c r="S38" s="159"/>
    </row>
    <row r="39" spans="1:19">
      <c r="H39" s="12"/>
      <c r="I39" s="12" t="s">
        <v>27</v>
      </c>
      <c r="J39" s="12"/>
      <c r="K39" s="12"/>
      <c r="L39" s="159"/>
      <c r="M39" s="173">
        <v>44934024</v>
      </c>
      <c r="N39" s="159">
        <v>366670</v>
      </c>
      <c r="O39" s="159">
        <v>45300694</v>
      </c>
      <c r="P39" s="159">
        <v>48130460</v>
      </c>
      <c r="Q39" s="159"/>
      <c r="R39" s="159"/>
      <c r="S39" s="159"/>
    </row>
    <row r="40" spans="1:19">
      <c r="H40" s="12"/>
      <c r="I40" s="12" t="s">
        <v>28</v>
      </c>
      <c r="J40" s="12"/>
      <c r="K40" s="12"/>
      <c r="L40" s="159"/>
      <c r="M40" s="162">
        <v>42716206</v>
      </c>
      <c r="N40" s="159"/>
      <c r="O40" s="159">
        <v>42716206</v>
      </c>
      <c r="P40" s="159"/>
      <c r="Q40" s="159"/>
      <c r="R40" s="159"/>
      <c r="S40" s="159"/>
    </row>
    <row r="41" spans="1:19">
      <c r="H41" s="12"/>
      <c r="I41" s="12" t="s">
        <v>157</v>
      </c>
      <c r="J41" s="12"/>
      <c r="K41" s="12"/>
      <c r="L41" s="159"/>
      <c r="M41" s="162">
        <v>963051</v>
      </c>
      <c r="N41" s="159"/>
      <c r="O41" s="159">
        <f t="shared" ref="O41:O49" si="6">SUM(M41:N41)</f>
        <v>963051</v>
      </c>
      <c r="P41" s="159"/>
      <c r="Q41" s="159"/>
      <c r="R41" s="159"/>
      <c r="S41" s="159"/>
    </row>
    <row r="42" spans="1:19">
      <c r="H42" s="12" t="s">
        <v>158</v>
      </c>
      <c r="I42" s="12"/>
      <c r="J42" s="12"/>
      <c r="K42" s="12"/>
      <c r="L42" s="159"/>
      <c r="M42" s="162">
        <v>11894569</v>
      </c>
      <c r="N42" s="159"/>
      <c r="O42" s="159">
        <v>11894569</v>
      </c>
      <c r="P42" s="159"/>
      <c r="Q42" s="159"/>
      <c r="R42" s="159"/>
      <c r="S42" s="159"/>
    </row>
    <row r="43" spans="1:19">
      <c r="H43" s="12" t="s">
        <v>33</v>
      </c>
      <c r="I43" s="12"/>
      <c r="J43" s="12"/>
      <c r="K43" s="12"/>
      <c r="L43" s="159"/>
      <c r="M43" s="160">
        <v>3123894</v>
      </c>
      <c r="N43" s="159"/>
      <c r="O43" s="159">
        <v>3123894</v>
      </c>
      <c r="P43" s="159">
        <v>849588</v>
      </c>
      <c r="Q43" s="159"/>
      <c r="R43" s="159"/>
      <c r="S43" s="159"/>
    </row>
    <row r="44" spans="1:19">
      <c r="H44" s="12" t="s">
        <v>50</v>
      </c>
      <c r="I44" s="12"/>
      <c r="J44" s="12"/>
      <c r="K44" s="12"/>
      <c r="L44" s="159"/>
      <c r="M44" s="174">
        <v>2715152</v>
      </c>
      <c r="N44" s="159">
        <v>21576</v>
      </c>
      <c r="O44" s="159">
        <v>2736728</v>
      </c>
      <c r="P44" s="159">
        <v>489961</v>
      </c>
      <c r="Q44" s="159"/>
      <c r="R44" s="159"/>
      <c r="S44" s="159"/>
    </row>
    <row r="45" spans="1:19">
      <c r="H45" s="12" t="s">
        <v>159</v>
      </c>
      <c r="I45" s="12"/>
      <c r="J45" s="12"/>
      <c r="K45" s="12"/>
      <c r="L45" s="159"/>
      <c r="M45" s="174">
        <v>250745</v>
      </c>
      <c r="N45" s="159"/>
      <c r="O45" s="159">
        <v>250745</v>
      </c>
      <c r="P45" s="159">
        <v>1323256</v>
      </c>
      <c r="Q45" s="159"/>
      <c r="R45" s="159"/>
      <c r="S45" s="159"/>
    </row>
    <row r="46" spans="1:19">
      <c r="H46" s="12" t="s">
        <v>160</v>
      </c>
      <c r="I46" s="12"/>
      <c r="J46" s="12"/>
      <c r="K46" s="12"/>
      <c r="L46" s="159"/>
      <c r="M46" s="159"/>
      <c r="N46" s="159"/>
      <c r="O46" s="159"/>
      <c r="P46" s="159">
        <v>348623</v>
      </c>
      <c r="Q46" s="159"/>
      <c r="R46" s="159"/>
      <c r="S46" s="159"/>
    </row>
    <row r="47" spans="1:19">
      <c r="H47" s="12" t="s">
        <v>36</v>
      </c>
      <c r="I47" s="12"/>
      <c r="J47" s="12"/>
      <c r="K47" s="12"/>
      <c r="L47" s="159"/>
      <c r="M47" s="174">
        <v>42067</v>
      </c>
      <c r="N47" s="159">
        <v>600</v>
      </c>
      <c r="O47" s="159">
        <v>42667</v>
      </c>
      <c r="P47" s="159">
        <v>1736222</v>
      </c>
      <c r="Q47" s="159"/>
      <c r="R47" s="159"/>
      <c r="S47" s="159"/>
    </row>
    <row r="48" spans="1:19">
      <c r="H48" s="12" t="s">
        <v>161</v>
      </c>
      <c r="I48" s="12"/>
      <c r="J48" s="12"/>
      <c r="K48" s="12"/>
      <c r="L48" s="159"/>
      <c r="M48" s="174">
        <v>29057</v>
      </c>
      <c r="N48" s="159"/>
      <c r="O48" s="159">
        <v>29057</v>
      </c>
      <c r="P48" s="159">
        <v>-29057</v>
      </c>
      <c r="Q48" s="159"/>
      <c r="R48" s="159"/>
      <c r="S48" s="159"/>
    </row>
    <row r="49" spans="5:19">
      <c r="G49" t="s">
        <v>37</v>
      </c>
      <c r="H49" s="12"/>
      <c r="I49" s="12"/>
      <c r="J49" s="12"/>
      <c r="K49" s="12"/>
      <c r="L49" s="159"/>
      <c r="M49" s="175">
        <v>-440133</v>
      </c>
      <c r="N49" s="159">
        <v>440133</v>
      </c>
      <c r="O49" s="159">
        <f t="shared" si="6"/>
        <v>0</v>
      </c>
      <c r="P49" s="159"/>
      <c r="Q49" s="159"/>
      <c r="R49" s="159"/>
      <c r="S49" s="159"/>
    </row>
    <row r="50" spans="5:19">
      <c r="H50" s="12"/>
      <c r="I50" s="12"/>
      <c r="J50" s="12"/>
      <c r="K50" s="12"/>
      <c r="L50" s="159"/>
      <c r="M50" s="206"/>
      <c r="N50" s="206"/>
      <c r="O50" s="206"/>
      <c r="P50" s="206"/>
      <c r="Q50" s="159"/>
      <c r="R50" s="159"/>
      <c r="S50" s="159"/>
    </row>
    <row r="51" spans="5:19">
      <c r="H51" s="20" t="s">
        <v>38</v>
      </c>
      <c r="I51" s="20"/>
      <c r="J51" s="20"/>
      <c r="K51" s="20"/>
      <c r="L51" s="168"/>
      <c r="M51" s="168">
        <f>SUM(M39:M49)</f>
        <v>106228632</v>
      </c>
      <c r="N51" s="168">
        <f>SUM(N39:N49)</f>
        <v>828979</v>
      </c>
      <c r="O51" s="168">
        <f>SUM(O39:O49)</f>
        <v>107057611</v>
      </c>
      <c r="P51" s="171">
        <f>SUM(P39:P49)</f>
        <v>52849053</v>
      </c>
      <c r="Q51" s="159"/>
      <c r="R51" s="159"/>
      <c r="S51" s="159"/>
    </row>
    <row r="52" spans="5:19">
      <c r="H52" s="12"/>
      <c r="I52" s="12"/>
      <c r="J52" s="12"/>
      <c r="K52" s="12"/>
      <c r="L52" s="159"/>
      <c r="M52" s="159"/>
      <c r="N52" s="159"/>
      <c r="O52" s="159"/>
      <c r="P52" s="159"/>
      <c r="Q52" s="159"/>
      <c r="R52" s="159"/>
      <c r="S52" s="159"/>
    </row>
    <row r="53" spans="5:19">
      <c r="H53" s="20" t="s">
        <v>39</v>
      </c>
      <c r="I53" s="20"/>
      <c r="J53" s="20"/>
      <c r="K53" s="20"/>
      <c r="L53" s="168"/>
      <c r="M53" s="168">
        <f>SUM(M51+M25)</f>
        <v>20543694</v>
      </c>
      <c r="N53" s="168">
        <f t="shared" ref="N53:O53" si="7">SUM(N51+N25)</f>
        <v>257000</v>
      </c>
      <c r="O53" s="168">
        <f t="shared" si="7"/>
        <v>20800694</v>
      </c>
      <c r="P53" s="168">
        <f>SUM(P51+P35)</f>
        <v>12572533</v>
      </c>
      <c r="Q53" s="159"/>
      <c r="R53" s="159"/>
      <c r="S53" s="159"/>
    </row>
    <row r="54" spans="5:19">
      <c r="H54" s="26"/>
      <c r="I54" s="26"/>
      <c r="J54" s="26"/>
      <c r="K54" s="26"/>
      <c r="L54" s="172"/>
      <c r="M54" s="172"/>
      <c r="N54" s="172"/>
      <c r="O54" s="172"/>
      <c r="P54" s="159"/>
      <c r="Q54" s="159"/>
      <c r="R54" s="159"/>
      <c r="S54" s="159"/>
    </row>
    <row r="55" spans="5:19">
      <c r="E55" s="31" t="s">
        <v>54</v>
      </c>
      <c r="F55" s="31"/>
      <c r="G55" s="31"/>
      <c r="H55" s="32"/>
      <c r="I55" s="32"/>
      <c r="J55" s="32"/>
      <c r="K55" s="32"/>
      <c r="L55" s="197"/>
      <c r="M55" s="198">
        <v>754326114</v>
      </c>
      <c r="N55" s="198">
        <v>10512983</v>
      </c>
      <c r="O55" s="198">
        <v>764839097</v>
      </c>
      <c r="P55" s="198">
        <v>319861846</v>
      </c>
      <c r="Q55" s="159"/>
      <c r="R55" s="159"/>
      <c r="S55" s="159"/>
    </row>
    <row r="56" spans="5:19">
      <c r="H56" s="12"/>
      <c r="I56" s="12"/>
      <c r="J56" s="12"/>
      <c r="K56" s="12"/>
      <c r="L56" s="159"/>
      <c r="M56" s="159"/>
      <c r="N56" s="159"/>
      <c r="O56" s="159"/>
      <c r="P56" s="159"/>
      <c r="Q56" s="159"/>
      <c r="R56" s="159"/>
      <c r="S56" s="159"/>
    </row>
    <row r="57" spans="5:19">
      <c r="E57" s="34" t="s">
        <v>55</v>
      </c>
      <c r="F57" s="34"/>
      <c r="G57" s="34"/>
      <c r="H57" s="35"/>
      <c r="I57" s="35"/>
      <c r="J57" s="35"/>
      <c r="K57" s="35"/>
      <c r="L57" s="199"/>
      <c r="M57" s="200">
        <f>SUM(M53,M55)</f>
        <v>774869808</v>
      </c>
      <c r="N57" s="200">
        <f>N55+N53</f>
        <v>10769983</v>
      </c>
      <c r="O57" s="200">
        <f>O55+O53</f>
        <v>785639791</v>
      </c>
      <c r="P57" s="359">
        <f>P55+P53</f>
        <v>332434379</v>
      </c>
      <c r="Q57" s="159"/>
      <c r="R57" s="159"/>
      <c r="S57" s="159"/>
    </row>
    <row r="58" spans="5:19">
      <c r="L58" s="159"/>
      <c r="M58" s="159"/>
      <c r="N58" s="159"/>
      <c r="O58" s="159"/>
      <c r="P58" s="159"/>
      <c r="Q58" s="159"/>
      <c r="R58" s="159"/>
      <c r="S58" s="159"/>
    </row>
    <row r="59" spans="5:19">
      <c r="L59" s="159"/>
      <c r="M59" s="159"/>
      <c r="N59" s="159"/>
      <c r="O59" s="159"/>
      <c r="P59" s="159"/>
      <c r="Q59" s="159"/>
      <c r="R59" s="159"/>
      <c r="S59" s="159"/>
    </row>
    <row r="60" spans="5:19">
      <c r="L60" s="159"/>
      <c r="M60" s="159"/>
      <c r="N60" s="159"/>
      <c r="O60" s="159"/>
      <c r="P60" s="159"/>
      <c r="Q60" s="159"/>
      <c r="R60" s="159"/>
      <c r="S60" s="159"/>
    </row>
    <row r="61" spans="5:19">
      <c r="L61" s="159"/>
      <c r="M61" s="159"/>
      <c r="N61" s="159"/>
      <c r="O61" s="159"/>
      <c r="P61" s="159"/>
      <c r="Q61" s="159"/>
      <c r="R61" s="159"/>
      <c r="S61" s="159"/>
    </row>
    <row r="62" spans="5:19">
      <c r="L62" s="159"/>
      <c r="M62" s="159"/>
      <c r="N62" s="159"/>
      <c r="O62" s="159"/>
      <c r="P62" s="159"/>
      <c r="Q62" s="159"/>
      <c r="R62" s="159"/>
      <c r="S62" s="159"/>
    </row>
    <row r="63" spans="5:19">
      <c r="L63" s="159"/>
      <c r="M63" s="159"/>
      <c r="N63" s="159"/>
      <c r="O63" s="159"/>
      <c r="P63" s="159"/>
      <c r="Q63" s="159"/>
      <c r="R63" s="159"/>
      <c r="S63" s="159"/>
    </row>
    <row r="64" spans="5:19">
      <c r="L64" s="159"/>
      <c r="M64" s="159"/>
      <c r="N64" s="159"/>
      <c r="O64" s="159"/>
      <c r="P64" s="159"/>
      <c r="Q64" s="159"/>
      <c r="R64" s="159"/>
      <c r="S64" s="159"/>
    </row>
    <row r="65" spans="12:19">
      <c r="L65" s="159"/>
      <c r="M65" s="159"/>
      <c r="N65" s="159"/>
      <c r="O65" s="159"/>
      <c r="P65" s="159"/>
      <c r="Q65" s="159"/>
      <c r="R65" s="159"/>
      <c r="S65" s="159"/>
    </row>
  </sheetData>
  <mergeCells count="4"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4"/>
  <sheetViews>
    <sheetView workbookViewId="0">
      <selection activeCell="M38" sqref="M38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0" customHeight="1">
      <c r="J1" s="520" t="s">
        <v>162</v>
      </c>
      <c r="K1" s="520"/>
      <c r="L1" s="520"/>
      <c r="M1" s="520"/>
    </row>
    <row r="2" spans="1:13" ht="21.75" customHeight="1">
      <c r="J2" s="521" t="s">
        <v>1</v>
      </c>
      <c r="K2" s="521"/>
      <c r="L2" s="521"/>
      <c r="M2" s="521"/>
    </row>
    <row r="3" spans="1:13" ht="10.5" customHeight="1">
      <c r="E3" s="3"/>
      <c r="F3" s="3"/>
      <c r="G3" s="3"/>
      <c r="H3" s="3"/>
      <c r="I3" s="3"/>
      <c r="J3" s="3"/>
      <c r="K3" s="3"/>
      <c r="L3" s="3"/>
    </row>
    <row r="4" spans="1:13" ht="42" customHeight="1">
      <c r="E4" s="2"/>
      <c r="M4" s="432"/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3"/>
    </row>
    <row r="6" spans="1:13" ht="48.75" customHeight="1">
      <c r="A6" s="5" t="s">
        <v>163</v>
      </c>
      <c r="I6" s="6" t="s">
        <v>7</v>
      </c>
      <c r="J6" s="6" t="s">
        <v>8</v>
      </c>
      <c r="K6" s="6" t="s">
        <v>9</v>
      </c>
      <c r="L6" s="6" t="s">
        <v>10</v>
      </c>
      <c r="M6" s="431" t="s">
        <v>57</v>
      </c>
    </row>
    <row r="7" spans="1:13">
      <c r="C7" t="s">
        <v>15</v>
      </c>
      <c r="H7" s="12"/>
      <c r="I7" s="11">
        <v>-974157</v>
      </c>
      <c r="J7" s="12">
        <v>161203</v>
      </c>
      <c r="K7" s="12">
        <v>168079</v>
      </c>
      <c r="L7" s="12"/>
      <c r="M7" s="12">
        <f t="shared" ref="M7:M13" si="0">SUM(I7:L7)</f>
        <v>-644875</v>
      </c>
    </row>
    <row r="8" spans="1:13">
      <c r="C8" t="s">
        <v>16</v>
      </c>
      <c r="H8" s="12"/>
      <c r="I8" s="13">
        <v>-534651</v>
      </c>
      <c r="J8" s="12">
        <v>106913</v>
      </c>
      <c r="K8" s="12">
        <v>171957</v>
      </c>
      <c r="L8" s="12">
        <v>67128</v>
      </c>
      <c r="M8" s="12">
        <f t="shared" si="0"/>
        <v>-188653</v>
      </c>
    </row>
    <row r="9" spans="1:13">
      <c r="C9" t="s">
        <v>17</v>
      </c>
      <c r="H9" s="12"/>
      <c r="I9" s="14">
        <v>-2017407</v>
      </c>
      <c r="J9" s="12">
        <v>103039</v>
      </c>
      <c r="K9" s="12">
        <v>204609</v>
      </c>
      <c r="L9" s="12">
        <v>203397</v>
      </c>
      <c r="M9" s="12">
        <f t="shared" si="0"/>
        <v>-1506362</v>
      </c>
    </row>
    <row r="10" spans="1:13">
      <c r="C10" t="s">
        <v>19</v>
      </c>
      <c r="H10" s="12"/>
      <c r="I10" s="15">
        <v>-147216</v>
      </c>
      <c r="J10" s="12"/>
      <c r="K10" s="12">
        <v>70834</v>
      </c>
      <c r="L10" s="12"/>
      <c r="M10" s="12">
        <f t="shared" si="0"/>
        <v>-76382</v>
      </c>
    </row>
    <row r="11" spans="1:13">
      <c r="C11" t="s">
        <v>20</v>
      </c>
      <c r="H11" s="12"/>
      <c r="I11" s="16">
        <v>-218065</v>
      </c>
      <c r="J11" s="12">
        <v>14422</v>
      </c>
      <c r="K11" s="12">
        <v>15367</v>
      </c>
      <c r="L11" s="12">
        <v>3423044</v>
      </c>
      <c r="M11" s="12">
        <f t="shared" si="0"/>
        <v>3234768</v>
      </c>
    </row>
    <row r="12" spans="1:13">
      <c r="C12" t="s">
        <v>18</v>
      </c>
      <c r="H12" s="12"/>
      <c r="I12" s="92">
        <v>-232966</v>
      </c>
      <c r="J12" s="12"/>
      <c r="K12" s="12"/>
      <c r="L12" s="12"/>
      <c r="M12" s="12">
        <f t="shared" si="0"/>
        <v>-232966</v>
      </c>
    </row>
    <row r="13" spans="1:13">
      <c r="C13" t="s">
        <v>164</v>
      </c>
      <c r="H13" s="12"/>
      <c r="I13" s="378">
        <v>-5820</v>
      </c>
      <c r="J13" s="18">
        <v>4114</v>
      </c>
      <c r="K13" s="18"/>
      <c r="L13" s="18"/>
      <c r="M13" s="18">
        <f t="shared" si="0"/>
        <v>-1706</v>
      </c>
    </row>
    <row r="14" spans="1:13">
      <c r="H14" s="12"/>
      <c r="I14" s="12"/>
      <c r="J14" s="12"/>
      <c r="K14" s="12"/>
      <c r="L14" s="12"/>
      <c r="M14" s="12"/>
    </row>
    <row r="15" spans="1:13">
      <c r="E15" s="19" t="s">
        <v>22</v>
      </c>
      <c r="F15" s="19"/>
      <c r="G15" s="19"/>
      <c r="H15" s="20"/>
      <c r="I15" s="20">
        <f>SUM(I7:I13)</f>
        <v>-4130282</v>
      </c>
      <c r="J15" s="20">
        <f>SUM(J7:J13)</f>
        <v>389691</v>
      </c>
      <c r="K15" s="20">
        <f>SUM(K7:K13)</f>
        <v>630846</v>
      </c>
      <c r="L15" s="20">
        <f>SUM(L7:L13)</f>
        <v>3693569</v>
      </c>
      <c r="M15" s="82">
        <f>SUM(M7:M13)</f>
        <v>583824</v>
      </c>
    </row>
    <row r="16" spans="1:13">
      <c r="H16" s="12"/>
      <c r="I16" s="12"/>
      <c r="J16" s="12"/>
      <c r="K16" s="12"/>
      <c r="L16" s="12"/>
      <c r="M16" s="12"/>
    </row>
    <row r="17" spans="1:13">
      <c r="A17" s="8" t="s">
        <v>25</v>
      </c>
      <c r="B17" s="8"/>
      <c r="C17" s="8"/>
      <c r="D17" s="8"/>
      <c r="E17" s="8"/>
      <c r="H17" s="26"/>
      <c r="I17" s="26"/>
      <c r="J17" s="26"/>
      <c r="K17" s="26"/>
      <c r="L17" s="26"/>
      <c r="M17" s="12"/>
    </row>
    <row r="18" spans="1:13">
      <c r="A18" s="80" t="s">
        <v>165</v>
      </c>
      <c r="B18" s="8"/>
      <c r="C18" s="8"/>
      <c r="D18" s="8"/>
      <c r="E18" s="8"/>
      <c r="G18" s="8"/>
      <c r="I18" s="26"/>
      <c r="J18" s="26"/>
      <c r="K18" s="26"/>
      <c r="L18" s="26"/>
      <c r="M18" s="12"/>
    </row>
    <row r="19" spans="1:13">
      <c r="A19" s="12"/>
      <c r="B19" s="12" t="s">
        <v>166</v>
      </c>
      <c r="J19" s="12"/>
      <c r="K19" s="12"/>
      <c r="L19" s="12"/>
      <c r="M19" s="28">
        <v>772517</v>
      </c>
    </row>
    <row r="20" spans="1:13">
      <c r="A20" s="12"/>
      <c r="B20" s="12" t="s">
        <v>17</v>
      </c>
      <c r="J20" s="12"/>
      <c r="K20" s="12"/>
      <c r="L20" s="12"/>
      <c r="M20" s="28">
        <v>510944</v>
      </c>
    </row>
    <row r="21" spans="1:13">
      <c r="A21" s="12"/>
      <c r="B21" s="12" t="s">
        <v>19</v>
      </c>
      <c r="J21" s="12"/>
      <c r="K21" s="12"/>
      <c r="L21" s="12"/>
      <c r="M21" s="28">
        <v>127013</v>
      </c>
    </row>
    <row r="22" spans="1:13">
      <c r="A22" s="12"/>
      <c r="B22" s="12" t="s">
        <v>20</v>
      </c>
      <c r="J22" s="12"/>
      <c r="K22" s="12"/>
      <c r="L22" s="12"/>
      <c r="M22" s="12"/>
    </row>
    <row r="23" spans="1:13">
      <c r="A23" s="12"/>
      <c r="B23" s="12" t="s">
        <v>18</v>
      </c>
      <c r="J23" s="12"/>
      <c r="K23" s="12"/>
      <c r="L23" s="12"/>
      <c r="M23" s="28">
        <v>326618</v>
      </c>
    </row>
    <row r="24" spans="1:13">
      <c r="A24" s="12" t="s">
        <v>167</v>
      </c>
      <c r="I24" s="12"/>
      <c r="J24" s="12"/>
      <c r="K24" s="12"/>
      <c r="L24" s="12"/>
      <c r="M24" s="12"/>
    </row>
    <row r="25" spans="1:13">
      <c r="A25" s="12"/>
      <c r="B25" s="12" t="s">
        <v>166</v>
      </c>
      <c r="J25" s="12"/>
      <c r="K25" s="12"/>
      <c r="L25" s="12"/>
      <c r="M25" s="14">
        <v>266445</v>
      </c>
    </row>
    <row r="26" spans="1:13">
      <c r="A26" s="12"/>
      <c r="B26" s="12" t="s">
        <v>17</v>
      </c>
      <c r="J26" s="12"/>
      <c r="K26" s="12"/>
      <c r="L26" s="12"/>
      <c r="M26" s="14">
        <v>1686092</v>
      </c>
    </row>
    <row r="27" spans="1:13">
      <c r="A27" s="12" t="s">
        <v>168</v>
      </c>
      <c r="I27" s="12"/>
      <c r="J27" s="12"/>
      <c r="K27" s="12"/>
      <c r="L27" s="12"/>
      <c r="M27" s="15">
        <v>9870</v>
      </c>
    </row>
    <row r="28" spans="1:13">
      <c r="A28" s="12" t="s">
        <v>107</v>
      </c>
      <c r="I28" s="12"/>
      <c r="J28" s="12"/>
      <c r="K28" s="12"/>
      <c r="L28" s="12"/>
      <c r="M28" s="29">
        <v>28075</v>
      </c>
    </row>
    <row r="29" spans="1:13">
      <c r="A29" s="12" t="s">
        <v>169</v>
      </c>
      <c r="I29" s="12"/>
      <c r="J29" s="12"/>
      <c r="K29" s="12"/>
      <c r="L29" s="12"/>
      <c r="M29" s="29">
        <v>5885</v>
      </c>
    </row>
    <row r="30" spans="1:13">
      <c r="H30" s="12"/>
      <c r="I30" s="12"/>
      <c r="J30" s="12"/>
      <c r="K30" s="12"/>
      <c r="L30" s="12"/>
      <c r="M30" s="12"/>
    </row>
    <row r="31" spans="1:13">
      <c r="E31" s="20" t="s">
        <v>170</v>
      </c>
      <c r="F31" s="20"/>
      <c r="G31" s="20"/>
      <c r="H31" s="20"/>
      <c r="I31" s="20"/>
      <c r="J31" s="20"/>
      <c r="K31" s="20"/>
      <c r="L31" s="20"/>
      <c r="M31" s="20">
        <f>SUM(M19:M29)</f>
        <v>3733459</v>
      </c>
    </row>
    <row r="32" spans="1:13">
      <c r="H32" s="12"/>
      <c r="I32" s="12"/>
      <c r="J32" s="12"/>
      <c r="K32" s="12"/>
      <c r="L32" s="12"/>
      <c r="M32" s="12"/>
    </row>
    <row r="33" spans="5:13">
      <c r="E33" s="20" t="s">
        <v>171</v>
      </c>
      <c r="F33" s="20"/>
      <c r="G33" s="20"/>
      <c r="H33" s="20"/>
      <c r="I33" s="20"/>
      <c r="J33" s="20"/>
      <c r="K33" s="20"/>
      <c r="L33" s="20"/>
      <c r="M33" s="20">
        <f>SUM(M15,M31)</f>
        <v>4317283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172</v>
      </c>
      <c r="F35" s="31"/>
      <c r="G35" s="31"/>
      <c r="H35" s="32"/>
      <c r="I35" s="32"/>
      <c r="J35" s="32"/>
      <c r="K35" s="32"/>
      <c r="L35" s="32"/>
      <c r="M35" s="33">
        <v>19052485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173</v>
      </c>
      <c r="F37" s="34"/>
      <c r="G37" s="34"/>
      <c r="H37" s="35"/>
      <c r="I37" s="35"/>
      <c r="J37" s="35"/>
      <c r="K37" s="35"/>
      <c r="L37" s="35"/>
      <c r="M37" s="83">
        <f>SUM(M33,M35)</f>
        <v>23369768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"/>
  <sheetViews>
    <sheetView topLeftCell="A4" workbookViewId="0">
      <selection activeCell="I1" sqref="I1:L1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1" width="19.28515625" customWidth="1"/>
    <col min="12" max="12" width="24" customWidth="1"/>
  </cols>
  <sheetData>
    <row r="1" spans="1:13" ht="27" customHeight="1">
      <c r="I1" s="520" t="s">
        <v>174</v>
      </c>
      <c r="J1" s="520"/>
      <c r="K1" s="520"/>
      <c r="L1" s="520"/>
    </row>
    <row r="2" spans="1:13" ht="18.75">
      <c r="J2" s="2" t="s">
        <v>1</v>
      </c>
      <c r="K2" s="2"/>
      <c r="L2" s="2"/>
      <c r="M2" s="2"/>
    </row>
    <row r="3" spans="1:13" ht="15.75">
      <c r="E3" s="3"/>
      <c r="F3" s="3"/>
      <c r="G3" s="3"/>
      <c r="H3" s="3"/>
      <c r="I3" s="3"/>
      <c r="J3" s="3"/>
      <c r="K3" s="3"/>
    </row>
    <row r="4" spans="1:13" ht="18.75">
      <c r="E4" s="2"/>
      <c r="L4" s="432"/>
    </row>
    <row r="5" spans="1:13" ht="60">
      <c r="A5" t="s">
        <v>3</v>
      </c>
      <c r="C5" s="4"/>
      <c r="D5" s="4"/>
      <c r="E5" s="4"/>
      <c r="F5" s="4"/>
      <c r="G5" s="4"/>
      <c r="H5" s="4"/>
      <c r="I5" s="4"/>
      <c r="J5" s="522" t="s">
        <v>175</v>
      </c>
      <c r="K5" s="522"/>
      <c r="L5" s="324" t="s">
        <v>176</v>
      </c>
    </row>
    <row r="6" spans="1:13" ht="42" customHeight="1">
      <c r="A6" s="5" t="s">
        <v>6</v>
      </c>
      <c r="I6" s="6" t="s">
        <v>7</v>
      </c>
      <c r="J6" s="6" t="s">
        <v>9</v>
      </c>
      <c r="K6" s="6" t="s">
        <v>10</v>
      </c>
      <c r="L6" s="7" t="s">
        <v>58</v>
      </c>
    </row>
    <row r="7" spans="1:13">
      <c r="A7" s="8" t="s">
        <v>13</v>
      </c>
      <c r="I7" s="9"/>
      <c r="J7" s="9"/>
      <c r="K7" s="9"/>
    </row>
    <row r="8" spans="1:13">
      <c r="B8" s="10" t="s">
        <v>14</v>
      </c>
      <c r="I8" s="9"/>
      <c r="J8" s="9"/>
      <c r="K8" s="9"/>
      <c r="L8" s="9"/>
    </row>
    <row r="9" spans="1:13">
      <c r="B9" t="s">
        <v>60</v>
      </c>
      <c r="I9" s="9"/>
      <c r="J9" s="9"/>
      <c r="K9" s="9"/>
      <c r="L9" s="9"/>
    </row>
    <row r="10" spans="1:13">
      <c r="C10" t="s">
        <v>61</v>
      </c>
      <c r="H10" s="12"/>
      <c r="I10" s="88">
        <v>-232074</v>
      </c>
      <c r="J10" s="12"/>
      <c r="K10" s="12"/>
      <c r="L10" s="12">
        <f t="shared" ref="L10:L20" si="0">SUM(I10:K10)</f>
        <v>-232074</v>
      </c>
    </row>
    <row r="11" spans="1:13">
      <c r="C11" t="s">
        <v>62</v>
      </c>
      <c r="H11" s="12"/>
      <c r="I11" s="89">
        <v>-1318873</v>
      </c>
      <c r="J11" s="12"/>
      <c r="K11" s="12"/>
      <c r="L11" s="12">
        <f>SUM(I11:K11)</f>
        <v>-1318873</v>
      </c>
    </row>
    <row r="12" spans="1:13">
      <c r="C12" t="s">
        <v>63</v>
      </c>
      <c r="H12" s="12"/>
      <c r="I12" s="91">
        <v>-6843</v>
      </c>
      <c r="J12" s="12"/>
      <c r="K12" s="12"/>
      <c r="L12" s="12">
        <f>SUM(I12:K12)</f>
        <v>-6843</v>
      </c>
    </row>
    <row r="13" spans="1:13">
      <c r="C13" t="s">
        <v>64</v>
      </c>
      <c r="H13" s="12"/>
      <c r="I13" s="96">
        <v>-1601427</v>
      </c>
      <c r="J13" s="12">
        <v>2930</v>
      </c>
      <c r="K13" s="12"/>
      <c r="L13" s="12">
        <f>SUM(I13:K13)</f>
        <v>-1598497</v>
      </c>
    </row>
    <row r="14" spans="1:13">
      <c r="C14" t="s">
        <v>65</v>
      </c>
      <c r="H14" s="12"/>
      <c r="I14" s="95">
        <v>-2668369</v>
      </c>
      <c r="J14" s="12"/>
      <c r="K14" s="12"/>
      <c r="L14" s="12">
        <f>SUM(I14:K14)</f>
        <v>-2668369</v>
      </c>
    </row>
    <row r="15" spans="1:13">
      <c r="C15" t="s">
        <v>21</v>
      </c>
      <c r="H15" s="12"/>
      <c r="I15" s="89">
        <v>-105744</v>
      </c>
      <c r="J15" s="12"/>
      <c r="K15" s="12"/>
      <c r="L15" s="12">
        <f>SUM(I15:K15)</f>
        <v>-105744</v>
      </c>
    </row>
    <row r="16" spans="1:13">
      <c r="C16" t="s">
        <v>16</v>
      </c>
      <c r="H16" s="12"/>
      <c r="I16" s="13">
        <v>-2803731</v>
      </c>
      <c r="J16" s="12">
        <v>2645</v>
      </c>
      <c r="K16" s="12">
        <v>2550478</v>
      </c>
      <c r="L16" s="12">
        <f t="shared" si="0"/>
        <v>-250608</v>
      </c>
    </row>
    <row r="17" spans="1:12">
      <c r="C17" t="s">
        <v>17</v>
      </c>
      <c r="H17" s="12"/>
      <c r="I17" s="14">
        <v>-6533293</v>
      </c>
      <c r="J17" s="12">
        <v>4943</v>
      </c>
      <c r="K17" s="12">
        <v>2455307</v>
      </c>
      <c r="L17" s="12">
        <f t="shared" si="0"/>
        <v>-4073043</v>
      </c>
    </row>
    <row r="18" spans="1:12">
      <c r="C18" t="s">
        <v>20</v>
      </c>
      <c r="H18" s="12"/>
      <c r="I18" s="16">
        <v>-1924589</v>
      </c>
      <c r="J18" s="12"/>
      <c r="K18" s="12"/>
      <c r="L18" s="12">
        <f t="shared" si="0"/>
        <v>-1924589</v>
      </c>
    </row>
    <row r="19" spans="1:12">
      <c r="C19" t="s">
        <v>19</v>
      </c>
      <c r="H19" s="12"/>
      <c r="I19" s="15">
        <v>-512083</v>
      </c>
      <c r="J19" s="12"/>
      <c r="K19" s="12"/>
      <c r="L19" s="12">
        <f t="shared" si="0"/>
        <v>-512083</v>
      </c>
    </row>
    <row r="20" spans="1:12">
      <c r="C20" t="s">
        <v>44</v>
      </c>
      <c r="H20" s="12"/>
      <c r="I20" s="92">
        <v>-1848271</v>
      </c>
      <c r="J20" s="12">
        <v>12474217</v>
      </c>
      <c r="K20" s="12"/>
      <c r="L20" s="12">
        <f t="shared" si="0"/>
        <v>10625946</v>
      </c>
    </row>
    <row r="21" spans="1:12">
      <c r="H21" s="12"/>
      <c r="I21" s="12"/>
      <c r="J21" s="12"/>
      <c r="K21" s="12"/>
      <c r="L21" s="12"/>
    </row>
    <row r="22" spans="1:12">
      <c r="E22" s="19" t="s">
        <v>22</v>
      </c>
      <c r="F22" s="19"/>
      <c r="G22" s="19"/>
      <c r="H22" s="20"/>
      <c r="I22" s="20">
        <f>SUM(I10:I20)</f>
        <v>-19555297</v>
      </c>
      <c r="J22" s="20">
        <f>SUM(J10:J20)</f>
        <v>12484735</v>
      </c>
      <c r="K22" s="20">
        <f>SUM(K10:K20)</f>
        <v>5005785</v>
      </c>
      <c r="L22" s="82">
        <f>SUM(L10:L20)</f>
        <v>-2064777</v>
      </c>
    </row>
    <row r="23" spans="1:12">
      <c r="H23" s="12"/>
      <c r="I23" s="12"/>
      <c r="J23" s="12"/>
      <c r="K23" s="12"/>
      <c r="L23" s="12"/>
    </row>
    <row r="24" spans="1:12">
      <c r="A24" s="8"/>
      <c r="B24" s="8"/>
      <c r="C24" s="8"/>
      <c r="D24" s="8"/>
      <c r="E24" s="8"/>
      <c r="G24" s="8" t="s">
        <v>25</v>
      </c>
      <c r="H24" s="26"/>
      <c r="I24" s="26"/>
      <c r="J24" s="26"/>
      <c r="K24" s="26"/>
      <c r="L24" s="12"/>
    </row>
    <row r="25" spans="1:12">
      <c r="A25" s="8"/>
      <c r="B25" s="8"/>
      <c r="C25" s="8"/>
      <c r="D25" s="8"/>
      <c r="E25" s="8"/>
      <c r="G25" s="8"/>
      <c r="H25" s="80" t="s">
        <v>26</v>
      </c>
      <c r="I25" s="26"/>
      <c r="J25" s="26"/>
      <c r="K25" s="26"/>
      <c r="L25" s="12"/>
    </row>
    <row r="26" spans="1:12">
      <c r="H26" s="12"/>
      <c r="I26" s="12" t="s">
        <v>80</v>
      </c>
      <c r="J26" s="12"/>
      <c r="K26" s="12"/>
      <c r="L26" s="28">
        <v>7216305</v>
      </c>
    </row>
    <row r="27" spans="1:12">
      <c r="H27" s="12"/>
      <c r="I27" s="12" t="s">
        <v>177</v>
      </c>
      <c r="J27" s="12"/>
      <c r="K27" s="12"/>
      <c r="L27" s="15">
        <v>994588</v>
      </c>
    </row>
    <row r="28" spans="1:12">
      <c r="H28" s="12" t="s">
        <v>106</v>
      </c>
      <c r="I28" s="12"/>
      <c r="J28" s="12"/>
      <c r="K28" s="12"/>
      <c r="L28" s="29">
        <v>383734</v>
      </c>
    </row>
    <row r="29" spans="1:12">
      <c r="H29" s="12" t="s">
        <v>178</v>
      </c>
      <c r="I29" s="12"/>
      <c r="J29" s="12"/>
      <c r="K29" s="12"/>
      <c r="L29" s="29">
        <v>144837</v>
      </c>
    </row>
    <row r="30" spans="1:12">
      <c r="H30" s="12" t="s">
        <v>179</v>
      </c>
      <c r="I30" s="12"/>
      <c r="J30" s="12"/>
      <c r="K30" s="12"/>
      <c r="L30" s="12"/>
    </row>
    <row r="31" spans="1:12">
      <c r="H31" s="12"/>
      <c r="I31" s="12" t="s">
        <v>180</v>
      </c>
      <c r="J31" s="12"/>
      <c r="K31" s="12"/>
      <c r="L31" s="322">
        <v>5217490</v>
      </c>
    </row>
    <row r="32" spans="1:12">
      <c r="H32" s="12"/>
      <c r="I32" s="12" t="s">
        <v>181</v>
      </c>
      <c r="J32" s="12"/>
      <c r="K32" s="12"/>
      <c r="L32" s="93">
        <v>40173</v>
      </c>
    </row>
    <row r="33" spans="5:12">
      <c r="H33" s="12" t="s">
        <v>182</v>
      </c>
      <c r="I33" s="12"/>
      <c r="J33" s="12"/>
      <c r="K33" s="12"/>
      <c r="L33" s="29">
        <v>521126</v>
      </c>
    </row>
    <row r="34" spans="5:12">
      <c r="H34" s="12" t="s">
        <v>183</v>
      </c>
      <c r="I34" s="12"/>
      <c r="J34" s="12"/>
      <c r="K34" s="12"/>
      <c r="L34" s="29">
        <v>32491</v>
      </c>
    </row>
    <row r="35" spans="5:12">
      <c r="H35" s="12" t="s">
        <v>32</v>
      </c>
      <c r="I35" s="12"/>
      <c r="J35" s="12"/>
      <c r="K35" s="12"/>
      <c r="L35" s="29">
        <v>134116</v>
      </c>
    </row>
    <row r="36" spans="5:12">
      <c r="H36" s="12"/>
      <c r="I36" s="12"/>
      <c r="J36" s="12"/>
      <c r="K36" s="12"/>
      <c r="L36" s="12"/>
    </row>
    <row r="37" spans="5:12">
      <c r="H37" s="20" t="s">
        <v>38</v>
      </c>
      <c r="I37" s="20"/>
      <c r="J37" s="20"/>
      <c r="K37" s="20"/>
      <c r="L37" s="20">
        <f>SUM(L26:L35)</f>
        <v>14684860</v>
      </c>
    </row>
    <row r="38" spans="5:12">
      <c r="H38" s="12"/>
      <c r="I38" s="12"/>
      <c r="J38" s="12"/>
      <c r="K38" s="12"/>
      <c r="L38" s="12"/>
    </row>
    <row r="39" spans="5:12">
      <c r="H39" s="20" t="s">
        <v>53</v>
      </c>
      <c r="I39" s="20"/>
      <c r="J39" s="20"/>
      <c r="K39" s="20"/>
      <c r="L39" s="20">
        <f>SUM(L22,L37)</f>
        <v>12620083</v>
      </c>
    </row>
    <row r="40" spans="5:12">
      <c r="H40" s="26"/>
      <c r="I40" s="26"/>
      <c r="J40" s="26"/>
      <c r="K40" s="26"/>
      <c r="L40" s="26"/>
    </row>
    <row r="41" spans="5:12">
      <c r="E41" s="31" t="s">
        <v>54</v>
      </c>
      <c r="F41" s="31"/>
      <c r="G41" s="31"/>
      <c r="H41" s="32"/>
      <c r="I41" s="32"/>
      <c r="J41" s="32"/>
      <c r="K41" s="32"/>
      <c r="L41" s="33">
        <v>146194005</v>
      </c>
    </row>
    <row r="42" spans="5:12">
      <c r="H42" s="12"/>
      <c r="I42" s="12"/>
      <c r="J42" s="12"/>
      <c r="K42" s="12"/>
      <c r="L42" s="12"/>
    </row>
    <row r="43" spans="5:12">
      <c r="E43" s="34" t="s">
        <v>55</v>
      </c>
      <c r="F43" s="34"/>
      <c r="G43" s="34"/>
      <c r="H43" s="35"/>
      <c r="I43" s="35"/>
      <c r="J43" s="35"/>
      <c r="K43" s="35"/>
      <c r="L43" s="83">
        <f>SUM(L39+L41)</f>
        <v>158814088</v>
      </c>
    </row>
    <row r="50" spans="10:12">
      <c r="J50" s="9"/>
      <c r="K50" s="9"/>
      <c r="L50" s="9"/>
    </row>
  </sheetData>
  <mergeCells count="2">
    <mergeCell ref="I1:L1"/>
    <mergeCell ref="J5:K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0"/>
  <sheetViews>
    <sheetView workbookViewId="0">
      <selection activeCell="J1" sqref="J1:M1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6.140625" customWidth="1"/>
    <col min="11" max="11" width="18" customWidth="1"/>
    <col min="12" max="12" width="19.28515625" customWidth="1"/>
    <col min="13" max="13" width="24" customWidth="1"/>
  </cols>
  <sheetData>
    <row r="1" spans="1:13" ht="31.5" customHeight="1">
      <c r="J1" s="520" t="s">
        <v>184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.75">
      <c r="E4" s="2"/>
      <c r="M4" s="432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3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431" t="s">
        <v>57</v>
      </c>
    </row>
    <row r="7" spans="1:13">
      <c r="B7" s="10" t="s">
        <v>14</v>
      </c>
      <c r="I7" s="9"/>
      <c r="J7" s="9"/>
      <c r="K7" s="9"/>
      <c r="L7" s="9"/>
      <c r="M7" s="9"/>
    </row>
    <row r="8" spans="1:13">
      <c r="C8" t="s">
        <v>15</v>
      </c>
      <c r="H8" s="12"/>
      <c r="I8" s="11">
        <v>-722386</v>
      </c>
      <c r="J8" s="12">
        <v>113558</v>
      </c>
      <c r="K8" s="12">
        <v>25405</v>
      </c>
      <c r="L8" s="12"/>
      <c r="M8" s="12">
        <f t="shared" ref="M8:M14" si="0">SUM(I8:L8)</f>
        <v>-583423</v>
      </c>
    </row>
    <row r="9" spans="1:13">
      <c r="C9" t="s">
        <v>16</v>
      </c>
      <c r="H9" s="12"/>
      <c r="I9" s="13">
        <v>-405469</v>
      </c>
      <c r="J9" s="12"/>
      <c r="K9" s="12">
        <v>349662</v>
      </c>
      <c r="L9" s="12"/>
      <c r="M9" s="12">
        <f t="shared" si="0"/>
        <v>-55807</v>
      </c>
    </row>
    <row r="10" spans="1:13">
      <c r="C10" t="s">
        <v>17</v>
      </c>
      <c r="H10" s="12"/>
      <c r="I10" s="14">
        <v>-1875439</v>
      </c>
      <c r="J10" s="12">
        <v>937</v>
      </c>
      <c r="K10" s="12">
        <v>181846</v>
      </c>
      <c r="L10" s="12">
        <v>64800</v>
      </c>
      <c r="M10" s="12">
        <f t="shared" si="0"/>
        <v>-1627856</v>
      </c>
    </row>
    <row r="11" spans="1:13">
      <c r="C11" t="s">
        <v>19</v>
      </c>
      <c r="H11" s="12"/>
      <c r="I11" s="15">
        <v>-240465</v>
      </c>
      <c r="J11" s="12"/>
      <c r="K11" s="12">
        <v>291827</v>
      </c>
      <c r="L11" s="12"/>
      <c r="M11" s="12">
        <f t="shared" si="0"/>
        <v>51362</v>
      </c>
    </row>
    <row r="12" spans="1:13">
      <c r="C12" t="s">
        <v>20</v>
      </c>
      <c r="H12" s="12"/>
      <c r="I12" s="16">
        <v>-352181</v>
      </c>
      <c r="J12" s="12">
        <v>5648</v>
      </c>
      <c r="K12" s="12">
        <v>44756</v>
      </c>
      <c r="L12" s="12"/>
      <c r="M12" s="12">
        <f t="shared" si="0"/>
        <v>-301777</v>
      </c>
    </row>
    <row r="13" spans="1:13">
      <c r="C13" t="s">
        <v>18</v>
      </c>
      <c r="H13" s="12"/>
      <c r="I13" s="92">
        <v>-2792</v>
      </c>
      <c r="J13" s="12"/>
      <c r="K13" s="12"/>
      <c r="L13" s="12"/>
      <c r="M13" s="12">
        <f t="shared" si="0"/>
        <v>-2792</v>
      </c>
    </row>
    <row r="14" spans="1:13">
      <c r="C14" t="s">
        <v>185</v>
      </c>
      <c r="H14" s="12"/>
      <c r="I14" s="17">
        <v>-4485</v>
      </c>
      <c r="J14" s="18"/>
      <c r="K14" s="18"/>
      <c r="L14" s="18"/>
      <c r="M14" s="18">
        <f t="shared" si="0"/>
        <v>-4485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SUM(I8:I14)</f>
        <v>-3603217</v>
      </c>
      <c r="J16" s="20">
        <f>SUM(J8:J14)</f>
        <v>120143</v>
      </c>
      <c r="K16" s="20">
        <f>SUM(K8:K14)</f>
        <v>893496</v>
      </c>
      <c r="L16" s="20">
        <f>SUM(L8:L14)</f>
        <v>64800</v>
      </c>
      <c r="M16" s="82">
        <f>SUM(M8:M14)</f>
        <v>-2524778</v>
      </c>
    </row>
    <row r="17" spans="1:13">
      <c r="H17" s="12"/>
      <c r="I17" s="12"/>
      <c r="J17" s="12"/>
      <c r="K17" s="12"/>
      <c r="L17" s="12"/>
      <c r="M17" s="12"/>
    </row>
    <row r="18" spans="1:13">
      <c r="A18" s="8"/>
      <c r="B18" s="8"/>
      <c r="C18" s="8"/>
      <c r="D18" s="8"/>
      <c r="E18" s="8"/>
      <c r="G18" s="8" t="s">
        <v>25</v>
      </c>
      <c r="H18" s="26"/>
      <c r="I18" s="26"/>
      <c r="J18" s="26"/>
      <c r="K18" s="26"/>
      <c r="L18" s="26"/>
      <c r="M18" s="12"/>
    </row>
    <row r="19" spans="1:13">
      <c r="H19" s="12" t="s">
        <v>186</v>
      </c>
      <c r="I19" s="12"/>
      <c r="J19" s="12"/>
      <c r="K19" s="12"/>
      <c r="L19" s="12"/>
      <c r="M19" s="28">
        <v>864032</v>
      </c>
    </row>
    <row r="20" spans="1:13">
      <c r="H20" s="12" t="s">
        <v>187</v>
      </c>
      <c r="I20" s="12"/>
      <c r="J20" s="12"/>
      <c r="K20" s="12"/>
      <c r="L20" s="12"/>
      <c r="M20" s="14">
        <v>1753095</v>
      </c>
    </row>
    <row r="21" spans="1:13">
      <c r="H21" s="12" t="s">
        <v>168</v>
      </c>
      <c r="I21" s="12"/>
      <c r="J21" s="12"/>
      <c r="K21" s="12"/>
      <c r="L21" s="12"/>
      <c r="M21" s="15">
        <v>5214</v>
      </c>
    </row>
    <row r="22" spans="1:13">
      <c r="H22" s="12" t="s">
        <v>33</v>
      </c>
      <c r="I22" s="12"/>
      <c r="J22" s="12"/>
      <c r="K22" s="12"/>
      <c r="L22" s="12"/>
      <c r="M22" s="11">
        <v>337458</v>
      </c>
    </row>
    <row r="23" spans="1:13">
      <c r="H23" s="12" t="s">
        <v>107</v>
      </c>
      <c r="I23" s="12"/>
      <c r="J23" s="12"/>
      <c r="K23" s="12"/>
      <c r="L23" s="12"/>
      <c r="M23" s="29">
        <v>6434</v>
      </c>
    </row>
    <row r="24" spans="1:13">
      <c r="H24" s="12" t="s">
        <v>188</v>
      </c>
      <c r="I24" s="12"/>
      <c r="J24" s="12"/>
      <c r="K24" s="12"/>
      <c r="L24" s="12"/>
      <c r="M24" s="29">
        <v>-18786</v>
      </c>
    </row>
    <row r="25" spans="1:13">
      <c r="H25" s="12" t="s">
        <v>32</v>
      </c>
      <c r="I25" s="12"/>
      <c r="J25" s="12"/>
      <c r="K25" s="12"/>
      <c r="L25" s="12"/>
      <c r="M25" s="29">
        <v>21987</v>
      </c>
    </row>
    <row r="26" spans="1:13">
      <c r="H26" s="12"/>
      <c r="I26" s="12"/>
      <c r="J26" s="12"/>
      <c r="K26" s="12"/>
      <c r="L26" s="12"/>
      <c r="M26" s="12"/>
    </row>
    <row r="27" spans="1:13">
      <c r="H27" s="20" t="s">
        <v>38</v>
      </c>
      <c r="I27" s="20"/>
      <c r="J27" s="20"/>
      <c r="K27" s="20"/>
      <c r="L27" s="20"/>
      <c r="M27" s="20">
        <f>SUM(M19:M25)</f>
        <v>2969434</v>
      </c>
    </row>
    <row r="28" spans="1:13">
      <c r="H28" s="12"/>
      <c r="I28" s="12"/>
      <c r="J28" s="12"/>
      <c r="K28" s="12"/>
      <c r="L28" s="12"/>
      <c r="M28" s="12"/>
    </row>
    <row r="29" spans="1:13">
      <c r="H29" s="20" t="s">
        <v>53</v>
      </c>
      <c r="I29" s="20"/>
      <c r="J29" s="20"/>
      <c r="K29" s="20"/>
      <c r="L29" s="20"/>
      <c r="M29" s="20">
        <f>SUM(M16,M27)</f>
        <v>444656</v>
      </c>
    </row>
    <row r="30" spans="1:13">
      <c r="H30" s="26"/>
      <c r="I30" s="26"/>
      <c r="J30" s="26"/>
      <c r="K30" s="26"/>
      <c r="L30" s="26"/>
      <c r="M30" s="26"/>
    </row>
    <row r="31" spans="1:13">
      <c r="E31" s="31" t="s">
        <v>54</v>
      </c>
      <c r="F31" s="31"/>
      <c r="G31" s="31"/>
      <c r="H31" s="32"/>
      <c r="I31" s="32"/>
      <c r="J31" s="32"/>
      <c r="K31" s="32"/>
      <c r="L31" s="32"/>
      <c r="M31" s="33">
        <v>8526187</v>
      </c>
    </row>
    <row r="32" spans="1:13">
      <c r="H32" s="12"/>
      <c r="I32" s="12"/>
      <c r="J32" s="12"/>
      <c r="K32" s="12"/>
      <c r="L32" s="12"/>
      <c r="M32" s="12"/>
    </row>
    <row r="33" spans="5:13">
      <c r="E33" s="34" t="s">
        <v>55</v>
      </c>
      <c r="F33" s="34"/>
      <c r="G33" s="34"/>
      <c r="H33" s="35"/>
      <c r="I33" s="35"/>
      <c r="J33" s="35"/>
      <c r="K33" s="35"/>
      <c r="L33" s="35"/>
      <c r="M33" s="83">
        <f>SUM(M29,M31)</f>
        <v>8970843</v>
      </c>
    </row>
    <row r="40" spans="5:13">
      <c r="K40" s="9"/>
      <c r="L40" s="9"/>
      <c r="M40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5"/>
  <sheetViews>
    <sheetView workbookViewId="0">
      <selection activeCell="F13" sqref="F13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520" t="s">
        <v>189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433"/>
    </row>
    <row r="5" spans="1:13" ht="42.75" customHeight="1">
      <c r="A5" s="5" t="s">
        <v>190</v>
      </c>
      <c r="I5" s="6" t="s">
        <v>7</v>
      </c>
      <c r="J5" s="6" t="s">
        <v>8</v>
      </c>
      <c r="K5" s="6" t="s">
        <v>9</v>
      </c>
      <c r="L5" s="6" t="s">
        <v>10</v>
      </c>
      <c r="M5" s="431" t="s">
        <v>57</v>
      </c>
    </row>
    <row r="6" spans="1:13">
      <c r="B6" s="10" t="s">
        <v>14</v>
      </c>
      <c r="I6" s="9"/>
      <c r="J6" s="9"/>
      <c r="K6" s="9"/>
      <c r="L6" s="9"/>
      <c r="M6" s="9"/>
    </row>
    <row r="7" spans="1:13">
      <c r="C7" t="s">
        <v>15</v>
      </c>
      <c r="H7" s="12"/>
      <c r="I7" s="11">
        <v>-1522797</v>
      </c>
      <c r="J7" s="12">
        <v>482299</v>
      </c>
      <c r="K7" s="12"/>
      <c r="L7" s="12"/>
      <c r="M7" s="12">
        <f t="shared" ref="M7:M14" si="0">SUM(I7:L7)</f>
        <v>-1040498</v>
      </c>
    </row>
    <row r="8" spans="1:13">
      <c r="C8" t="s">
        <v>16</v>
      </c>
      <c r="H8" s="12"/>
      <c r="I8" s="13">
        <v>-317573</v>
      </c>
      <c r="J8" s="12"/>
      <c r="K8" s="12">
        <v>124395</v>
      </c>
      <c r="L8" s="12">
        <v>53242</v>
      </c>
      <c r="M8" s="12">
        <f t="shared" si="0"/>
        <v>-139936</v>
      </c>
    </row>
    <row r="9" spans="1:13">
      <c r="C9" t="s">
        <v>17</v>
      </c>
      <c r="H9" s="12"/>
      <c r="I9" s="14">
        <v>-3489014</v>
      </c>
      <c r="J9" s="12"/>
      <c r="K9" s="12">
        <v>598941</v>
      </c>
      <c r="L9" s="12"/>
      <c r="M9" s="12">
        <f t="shared" si="0"/>
        <v>-2890073</v>
      </c>
    </row>
    <row r="10" spans="1:13">
      <c r="C10" t="s">
        <v>19</v>
      </c>
      <c r="H10" s="12"/>
      <c r="I10" s="15">
        <v>-643674</v>
      </c>
      <c r="J10" s="12">
        <v>7005</v>
      </c>
      <c r="K10" s="12">
        <v>460878</v>
      </c>
      <c r="L10" s="12"/>
      <c r="M10" s="12">
        <f t="shared" si="0"/>
        <v>-175791</v>
      </c>
    </row>
    <row r="11" spans="1:13">
      <c r="C11" t="s">
        <v>20</v>
      </c>
      <c r="H11" s="12"/>
      <c r="I11" s="16">
        <v>-676727</v>
      </c>
      <c r="J11" s="12">
        <v>3110</v>
      </c>
      <c r="K11" s="12">
        <v>27474</v>
      </c>
      <c r="L11" s="12"/>
      <c r="M11" s="12">
        <f t="shared" si="0"/>
        <v>-646143</v>
      </c>
    </row>
    <row r="12" spans="1:13">
      <c r="C12" t="s">
        <v>18</v>
      </c>
      <c r="H12" s="12"/>
      <c r="I12" s="92">
        <v>-60013</v>
      </c>
      <c r="J12" s="12"/>
      <c r="K12" s="12"/>
      <c r="L12" s="12"/>
      <c r="M12" s="12">
        <f t="shared" si="0"/>
        <v>-60013</v>
      </c>
    </row>
    <row r="13" spans="1:13">
      <c r="C13" t="s">
        <v>191</v>
      </c>
      <c r="H13" s="12"/>
      <c r="I13" s="94">
        <v>-5200</v>
      </c>
      <c r="J13" s="12"/>
      <c r="K13" s="12"/>
      <c r="L13" s="12"/>
      <c r="M13" s="12">
        <f>SUM(I13:L13)</f>
        <v>-5200</v>
      </c>
    </row>
    <row r="14" spans="1:13">
      <c r="C14" t="s">
        <v>185</v>
      </c>
      <c r="H14" s="12"/>
      <c r="I14" s="17">
        <v>-41425</v>
      </c>
      <c r="J14" s="18"/>
      <c r="K14" s="18"/>
      <c r="L14" s="18"/>
      <c r="M14" s="18">
        <f t="shared" si="0"/>
        <v>-41425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SUM(I7:I14)</f>
        <v>-6756423</v>
      </c>
      <c r="J16" s="20">
        <f>SUM(J7:J14)</f>
        <v>492414</v>
      </c>
      <c r="K16" s="20">
        <f>SUM(K7:K14)</f>
        <v>1211688</v>
      </c>
      <c r="L16" s="20">
        <f>SUM(L7:L14)</f>
        <v>53242</v>
      </c>
      <c r="M16" s="82">
        <f>SUM(M7:M14)</f>
        <v>-4999079</v>
      </c>
    </row>
    <row r="17" spans="1:13">
      <c r="H17" s="12"/>
      <c r="I17" s="12"/>
      <c r="J17" s="12"/>
      <c r="K17" s="12"/>
      <c r="L17" s="12"/>
      <c r="M17" s="12"/>
    </row>
    <row r="18" spans="1:13">
      <c r="A18" s="8"/>
      <c r="B18" s="8"/>
      <c r="C18" s="8"/>
      <c r="D18" s="8"/>
      <c r="E18" s="8"/>
      <c r="G18" s="8" t="s">
        <v>25</v>
      </c>
      <c r="H18" s="26"/>
      <c r="I18" s="26"/>
      <c r="J18" s="26"/>
      <c r="K18" s="26"/>
      <c r="L18" s="26"/>
      <c r="M18" s="12"/>
    </row>
    <row r="19" spans="1:13">
      <c r="A19" s="8"/>
      <c r="B19" s="8"/>
      <c r="C19" s="8"/>
      <c r="D19" s="8"/>
      <c r="E19" s="8"/>
      <c r="G19" s="8"/>
      <c r="H19" s="80" t="s">
        <v>165</v>
      </c>
      <c r="I19" s="26"/>
      <c r="J19" s="26"/>
      <c r="K19" s="26"/>
      <c r="L19" s="26"/>
      <c r="M19" s="12"/>
    </row>
    <row r="20" spans="1:13">
      <c r="H20" s="12"/>
      <c r="I20" s="12" t="s">
        <v>166</v>
      </c>
      <c r="J20" s="12"/>
      <c r="K20" s="12"/>
      <c r="L20" s="12"/>
      <c r="M20" s="28">
        <v>919359</v>
      </c>
    </row>
    <row r="21" spans="1:13">
      <c r="H21" s="12"/>
      <c r="I21" s="12" t="s">
        <v>17</v>
      </c>
      <c r="J21" s="12"/>
      <c r="K21" s="12"/>
      <c r="L21" s="12"/>
      <c r="M21" s="28">
        <v>1374532</v>
      </c>
    </row>
    <row r="22" spans="1:13">
      <c r="H22" s="12"/>
      <c r="I22" s="12" t="s">
        <v>20</v>
      </c>
      <c r="J22" s="12"/>
      <c r="K22" s="12"/>
      <c r="L22" s="12"/>
      <c r="M22" s="28">
        <v>791597</v>
      </c>
    </row>
    <row r="23" spans="1:13">
      <c r="H23" s="12" t="s">
        <v>192</v>
      </c>
      <c r="I23" s="12"/>
      <c r="J23" s="12"/>
      <c r="K23" s="12"/>
      <c r="L23" s="12"/>
      <c r="M23" s="14">
        <v>870929</v>
      </c>
    </row>
    <row r="24" spans="1:13">
      <c r="H24" s="12" t="s">
        <v>168</v>
      </c>
      <c r="I24" s="12"/>
      <c r="J24" s="12"/>
      <c r="K24" s="12"/>
      <c r="L24" s="12"/>
      <c r="M24" s="15">
        <v>8821</v>
      </c>
    </row>
    <row r="25" spans="1:13">
      <c r="H25" s="12" t="s">
        <v>33</v>
      </c>
      <c r="I25" s="12"/>
      <c r="J25" s="12"/>
      <c r="K25" s="12"/>
      <c r="L25" s="12"/>
      <c r="M25" s="11">
        <v>1613286</v>
      </c>
    </row>
    <row r="26" spans="1:13">
      <c r="H26" s="12" t="s">
        <v>107</v>
      </c>
      <c r="I26" s="12"/>
      <c r="J26" s="12"/>
      <c r="K26" s="12"/>
      <c r="L26" s="12"/>
      <c r="M26" s="29">
        <v>129994</v>
      </c>
    </row>
    <row r="27" spans="1:13">
      <c r="H27" s="12" t="s">
        <v>193</v>
      </c>
      <c r="I27" s="12"/>
      <c r="J27" s="12"/>
      <c r="K27" s="12"/>
      <c r="L27" s="12"/>
      <c r="M27" s="29">
        <v>23125</v>
      </c>
    </row>
    <row r="28" spans="1:13">
      <c r="H28" s="12" t="s">
        <v>159</v>
      </c>
      <c r="I28" s="12"/>
      <c r="J28" s="12"/>
      <c r="K28" s="12"/>
      <c r="L28" s="12"/>
      <c r="M28" s="29">
        <v>42509</v>
      </c>
    </row>
    <row r="29" spans="1:13">
      <c r="H29" s="12" t="s">
        <v>194</v>
      </c>
      <c r="I29" s="12"/>
      <c r="J29" s="12"/>
      <c r="K29" s="12"/>
      <c r="L29" s="12"/>
      <c r="M29" s="29">
        <v>5500</v>
      </c>
    </row>
    <row r="30" spans="1:13">
      <c r="H30" s="12" t="s">
        <v>32</v>
      </c>
      <c r="I30" s="12"/>
      <c r="J30" s="12"/>
      <c r="K30" s="12"/>
      <c r="L30" s="12"/>
      <c r="M30" s="29">
        <v>103549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195</v>
      </c>
      <c r="I32" s="20"/>
      <c r="J32" s="20"/>
      <c r="K32" s="20"/>
      <c r="L32" s="20"/>
      <c r="M32" s="20">
        <f>SUM(M20:M30)</f>
        <v>5883201</v>
      </c>
    </row>
    <row r="33" spans="5:13">
      <c r="H33" s="12"/>
      <c r="I33" s="12"/>
      <c r="J33" s="12"/>
      <c r="K33" s="12"/>
      <c r="L33" s="12"/>
      <c r="M33" s="12"/>
    </row>
    <row r="34" spans="5:13">
      <c r="H34" s="20" t="s">
        <v>53</v>
      </c>
      <c r="I34" s="20"/>
      <c r="J34" s="20"/>
      <c r="K34" s="20"/>
      <c r="L34" s="20"/>
      <c r="M34" s="20">
        <f>SUM(M16,M32)</f>
        <v>884122</v>
      </c>
    </row>
    <row r="35" spans="5:13">
      <c r="H35" s="26"/>
      <c r="I35" s="26"/>
      <c r="J35" s="26"/>
      <c r="K35" s="26"/>
      <c r="L35" s="26"/>
      <c r="M35" s="26"/>
    </row>
    <row r="36" spans="5:13">
      <c r="E36" s="31" t="s">
        <v>54</v>
      </c>
      <c r="F36" s="31"/>
      <c r="G36" s="31"/>
      <c r="H36" s="32"/>
      <c r="I36" s="32"/>
      <c r="J36" s="32"/>
      <c r="K36" s="32"/>
      <c r="L36" s="32"/>
      <c r="M36" s="33">
        <v>15382153</v>
      </c>
    </row>
    <row r="37" spans="5:13">
      <c r="H37" s="12"/>
      <c r="I37" s="12"/>
      <c r="J37" s="12"/>
      <c r="K37" s="12"/>
      <c r="L37" s="12"/>
      <c r="M37" s="12"/>
    </row>
    <row r="38" spans="5:13">
      <c r="E38" s="34" t="s">
        <v>55</v>
      </c>
      <c r="F38" s="34"/>
      <c r="G38" s="34"/>
      <c r="H38" s="35"/>
      <c r="I38" s="35"/>
      <c r="J38" s="35"/>
      <c r="K38" s="35"/>
      <c r="L38" s="35"/>
      <c r="M38" s="83">
        <f>SUM(M34,M36)</f>
        <v>16266275</v>
      </c>
    </row>
    <row r="45" spans="5:13">
      <c r="K45" s="9"/>
      <c r="L45" s="9"/>
      <c r="M45" s="9"/>
    </row>
  </sheetData>
  <mergeCells count="3">
    <mergeCell ref="J1:M1"/>
    <mergeCell ref="J2:M2"/>
    <mergeCell ref="J4:L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3"/>
  <sheetViews>
    <sheetView workbookViewId="0">
      <selection activeCell="E13" sqref="E13"/>
    </sheetView>
  </sheetViews>
  <sheetFormatPr defaultColWidth="8.85546875" defaultRowHeight="15"/>
  <cols>
    <col min="1" max="1" width="3.140625" style="379" customWidth="1"/>
    <col min="2" max="2" width="2.42578125" style="379" customWidth="1"/>
    <col min="3" max="3" width="3.28515625" style="379" customWidth="1"/>
    <col min="4" max="4" width="8.42578125" style="379" customWidth="1"/>
    <col min="5" max="5" width="8.85546875" style="379"/>
    <col min="6" max="6" width="13.28515625" style="379" customWidth="1"/>
    <col min="7" max="7" width="5.7109375" style="379" customWidth="1"/>
    <col min="8" max="8" width="3" style="379" customWidth="1"/>
    <col min="9" max="9" width="15.140625" style="379" customWidth="1"/>
    <col min="10" max="10" width="18.85546875" style="379" bestFit="1" customWidth="1"/>
    <col min="11" max="12" width="19.28515625" style="379" customWidth="1"/>
    <col min="13" max="13" width="24" style="379" customWidth="1"/>
    <col min="14" max="16384" width="8.85546875" style="379"/>
  </cols>
  <sheetData>
    <row r="1" spans="1:13" ht="31.5" customHeight="1">
      <c r="J1" s="528" t="s">
        <v>196</v>
      </c>
      <c r="K1" s="528"/>
      <c r="L1" s="528"/>
      <c r="M1" s="528"/>
    </row>
    <row r="2" spans="1:13" ht="18.75">
      <c r="J2" s="529" t="s">
        <v>1</v>
      </c>
      <c r="K2" s="529"/>
      <c r="L2" s="529"/>
      <c r="M2" s="529"/>
    </row>
    <row r="3" spans="1:13" ht="15.75">
      <c r="E3" s="380"/>
      <c r="F3" s="380"/>
      <c r="G3" s="380"/>
      <c r="H3" s="380"/>
      <c r="I3" s="380"/>
      <c r="J3" s="380"/>
      <c r="K3" s="380"/>
      <c r="L3" s="380"/>
      <c r="M3" s="381"/>
    </row>
    <row r="4" spans="1:13">
      <c r="A4" s="379" t="s">
        <v>3</v>
      </c>
      <c r="C4" s="382"/>
      <c r="D4" s="382"/>
      <c r="E4" s="382"/>
      <c r="F4" s="382"/>
      <c r="G4" s="382"/>
      <c r="H4" s="382"/>
      <c r="I4" s="382"/>
      <c r="J4" s="530" t="s">
        <v>4</v>
      </c>
      <c r="K4" s="530"/>
      <c r="L4" s="530"/>
      <c r="M4" s="416"/>
    </row>
    <row r="5" spans="1:13" ht="42.75" customHeight="1">
      <c r="A5" s="383" t="s">
        <v>6</v>
      </c>
      <c r="I5" s="384" t="s">
        <v>7</v>
      </c>
      <c r="J5" s="384" t="s">
        <v>8</v>
      </c>
      <c r="K5" s="384" t="s">
        <v>9</v>
      </c>
      <c r="L5" s="384" t="s">
        <v>10</v>
      </c>
      <c r="M5" s="437" t="s">
        <v>197</v>
      </c>
    </row>
    <row r="6" spans="1:13">
      <c r="A6" s="385" t="s">
        <v>13</v>
      </c>
    </row>
    <row r="7" spans="1:13">
      <c r="B7" s="386" t="s">
        <v>14</v>
      </c>
      <c r="M7" s="381"/>
    </row>
    <row r="8" spans="1:13">
      <c r="B8" s="379" t="s">
        <v>60</v>
      </c>
      <c r="I8" s="387"/>
      <c r="J8" s="387"/>
    </row>
    <row r="9" spans="1:13">
      <c r="C9" s="379" t="s">
        <v>61</v>
      </c>
      <c r="I9" s="388">
        <v>-236369</v>
      </c>
      <c r="J9" s="387"/>
      <c r="M9" s="379">
        <f t="shared" ref="M9:M18" si="0">SUM(I9:L9)</f>
        <v>-236369</v>
      </c>
    </row>
    <row r="10" spans="1:13">
      <c r="C10" s="379" t="s">
        <v>62</v>
      </c>
      <c r="I10" s="389">
        <v>-635894</v>
      </c>
      <c r="J10" s="387"/>
      <c r="M10" s="379">
        <f t="shared" si="0"/>
        <v>-635894</v>
      </c>
    </row>
    <row r="11" spans="1:13">
      <c r="C11" s="379" t="s">
        <v>63</v>
      </c>
      <c r="I11" s="390">
        <v>-45930</v>
      </c>
      <c r="J11" s="387"/>
      <c r="M11" s="379">
        <f t="shared" si="0"/>
        <v>-45930</v>
      </c>
    </row>
    <row r="12" spans="1:13">
      <c r="C12" s="379" t="s">
        <v>198</v>
      </c>
      <c r="I12" s="391">
        <v>-337662</v>
      </c>
      <c r="J12" s="387"/>
      <c r="M12" s="379">
        <f t="shared" si="0"/>
        <v>-337662</v>
      </c>
    </row>
    <row r="13" spans="1:13">
      <c r="C13" s="379" t="s">
        <v>199</v>
      </c>
      <c r="I13" s="392">
        <v>-774236</v>
      </c>
      <c r="J13" s="387"/>
      <c r="L13" s="379">
        <v>20505</v>
      </c>
      <c r="M13" s="379">
        <f t="shared" si="0"/>
        <v>-753731</v>
      </c>
    </row>
    <row r="14" spans="1:13">
      <c r="B14" s="379" t="s">
        <v>16</v>
      </c>
      <c r="I14" s="393">
        <v>-197180</v>
      </c>
      <c r="J14" s="387">
        <v>155840</v>
      </c>
      <c r="K14" s="379">
        <v>40326</v>
      </c>
      <c r="M14" s="379">
        <f t="shared" si="0"/>
        <v>-1014</v>
      </c>
    </row>
    <row r="15" spans="1:13">
      <c r="B15" s="379" t="s">
        <v>17</v>
      </c>
      <c r="I15" s="394">
        <v>-3094988</v>
      </c>
      <c r="J15" s="387"/>
      <c r="L15" s="379">
        <v>190512</v>
      </c>
      <c r="M15" s="379">
        <f t="shared" si="0"/>
        <v>-2904476</v>
      </c>
    </row>
    <row r="16" spans="1:13">
      <c r="B16" s="379" t="s">
        <v>19</v>
      </c>
      <c r="I16" s="395">
        <v>-275734</v>
      </c>
      <c r="J16" s="387"/>
      <c r="K16" s="379">
        <v>123153</v>
      </c>
      <c r="L16" s="379">
        <v>35363</v>
      </c>
      <c r="M16" s="379">
        <f t="shared" si="0"/>
        <v>-117218</v>
      </c>
    </row>
    <row r="17" spans="1:13">
      <c r="B17" s="379" t="s">
        <v>44</v>
      </c>
      <c r="I17" s="396">
        <v>-94869</v>
      </c>
      <c r="J17" s="387"/>
      <c r="M17" s="379">
        <f t="shared" si="0"/>
        <v>-94869</v>
      </c>
    </row>
    <row r="18" spans="1:13">
      <c r="B18" s="379" t="s">
        <v>200</v>
      </c>
      <c r="I18" s="398">
        <v>-384541</v>
      </c>
      <c r="J18" s="397"/>
      <c r="K18" s="381"/>
      <c r="L18" s="381"/>
      <c r="M18" s="379">
        <f t="shared" si="0"/>
        <v>-384541</v>
      </c>
    </row>
    <row r="19" spans="1:13">
      <c r="I19" s="399"/>
      <c r="J19" s="399"/>
      <c r="K19" s="399"/>
      <c r="L19" s="399"/>
      <c r="M19" s="399"/>
    </row>
    <row r="20" spans="1:13">
      <c r="E20" s="400" t="s">
        <v>22</v>
      </c>
      <c r="F20" s="400"/>
      <c r="G20" s="400"/>
      <c r="H20" s="400"/>
      <c r="I20" s="400">
        <f>SUM(I9:I18)</f>
        <v>-6077403</v>
      </c>
      <c r="J20" s="400">
        <f>SUM(J9:J18)</f>
        <v>155840</v>
      </c>
      <c r="K20" s="400">
        <f>SUM(K9:K18)</f>
        <v>163479</v>
      </c>
      <c r="L20" s="400">
        <f>SUM(L9:L18)</f>
        <v>246380</v>
      </c>
      <c r="M20" s="400">
        <f>SUM(M9:M18)</f>
        <v>-5511704</v>
      </c>
    </row>
    <row r="22" spans="1:13">
      <c r="A22" s="385"/>
      <c r="B22" s="385"/>
      <c r="C22" s="385"/>
      <c r="D22" s="385"/>
      <c r="E22" s="385"/>
      <c r="G22" s="385" t="s">
        <v>25</v>
      </c>
      <c r="H22" s="385"/>
      <c r="I22" s="385"/>
      <c r="J22" s="385"/>
      <c r="K22" s="385"/>
      <c r="L22" s="385"/>
    </row>
    <row r="23" spans="1:13">
      <c r="A23" s="385"/>
      <c r="B23" s="385"/>
      <c r="C23" s="385"/>
      <c r="D23" s="385"/>
      <c r="E23" s="385"/>
      <c r="G23" s="385"/>
      <c r="H23" s="401" t="s">
        <v>26</v>
      </c>
      <c r="I23" s="385"/>
      <c r="J23" s="385"/>
      <c r="K23" s="385"/>
      <c r="L23" s="385"/>
    </row>
    <row r="24" spans="1:13">
      <c r="I24" s="379" t="s">
        <v>94</v>
      </c>
      <c r="M24" s="402">
        <v>1785913</v>
      </c>
    </row>
    <row r="25" spans="1:13">
      <c r="I25" s="379" t="s">
        <v>96</v>
      </c>
      <c r="M25" s="394">
        <v>2856287</v>
      </c>
    </row>
    <row r="26" spans="1:13">
      <c r="I26" s="379" t="s">
        <v>73</v>
      </c>
      <c r="M26" s="395">
        <v>35256</v>
      </c>
    </row>
    <row r="27" spans="1:13">
      <c r="H27" s="379" t="s">
        <v>201</v>
      </c>
      <c r="M27" s="387"/>
    </row>
    <row r="28" spans="1:13">
      <c r="I28" s="379" t="s">
        <v>48</v>
      </c>
      <c r="M28" s="404">
        <v>107518</v>
      </c>
    </row>
    <row r="29" spans="1:13">
      <c r="I29" s="379" t="s">
        <v>95</v>
      </c>
      <c r="M29" s="403">
        <v>1011692</v>
      </c>
    </row>
    <row r="30" spans="1:13">
      <c r="I30" s="379" t="s">
        <v>202</v>
      </c>
      <c r="M30" s="403">
        <v>320993</v>
      </c>
    </row>
    <row r="31" spans="1:13">
      <c r="I31" s="379" t="s">
        <v>203</v>
      </c>
      <c r="M31" s="403">
        <v>83499</v>
      </c>
    </row>
    <row r="32" spans="1:13">
      <c r="I32" s="379" t="s">
        <v>204</v>
      </c>
      <c r="M32" s="403">
        <v>42329</v>
      </c>
    </row>
    <row r="33" spans="5:13">
      <c r="H33" s="379" t="s">
        <v>106</v>
      </c>
      <c r="M33" s="403">
        <v>266261</v>
      </c>
    </row>
    <row r="34" spans="5:13">
      <c r="H34" s="379" t="s">
        <v>205</v>
      </c>
      <c r="M34" s="403">
        <v>25953</v>
      </c>
    </row>
    <row r="35" spans="5:13">
      <c r="H35" s="379" t="s">
        <v>206</v>
      </c>
      <c r="M35" s="403">
        <v>241635</v>
      </c>
    </row>
    <row r="37" spans="5:13">
      <c r="H37" s="400" t="s">
        <v>170</v>
      </c>
      <c r="I37" s="400"/>
      <c r="J37" s="400"/>
      <c r="K37" s="400"/>
      <c r="L37" s="400"/>
      <c r="M37" s="400">
        <f>SUM(M24:M35)</f>
        <v>6777336</v>
      </c>
    </row>
    <row r="38" spans="5:13">
      <c r="H38" s="405"/>
      <c r="I38" s="405"/>
      <c r="J38" s="405"/>
      <c r="K38" s="405"/>
      <c r="L38" s="405"/>
      <c r="M38" s="405"/>
    </row>
    <row r="39" spans="5:13">
      <c r="H39" s="400" t="s">
        <v>53</v>
      </c>
      <c r="I39" s="400"/>
      <c r="J39" s="400"/>
      <c r="K39" s="400"/>
      <c r="L39" s="400"/>
      <c r="M39" s="400">
        <f>SUM(M20+M37)</f>
        <v>1265632</v>
      </c>
    </row>
    <row r="40" spans="5:13">
      <c r="H40" s="405"/>
      <c r="I40" s="405"/>
      <c r="J40" s="405"/>
      <c r="K40" s="405"/>
      <c r="L40" s="405"/>
      <c r="M40" s="405"/>
    </row>
    <row r="41" spans="5:13">
      <c r="E41" s="406" t="s">
        <v>54</v>
      </c>
      <c r="F41" s="406"/>
      <c r="G41" s="406"/>
      <c r="H41" s="406"/>
      <c r="I41" s="407"/>
      <c r="J41" s="407"/>
      <c r="K41" s="406"/>
      <c r="L41" s="406"/>
      <c r="M41" s="408">
        <v>10918102</v>
      </c>
    </row>
    <row r="43" spans="5:13">
      <c r="E43" s="409" t="s">
        <v>55</v>
      </c>
      <c r="F43" s="409"/>
      <c r="G43" s="409"/>
      <c r="H43" s="409"/>
      <c r="I43" s="410"/>
      <c r="J43" s="410"/>
      <c r="K43" s="409"/>
      <c r="L43" s="409"/>
      <c r="M43" s="411">
        <f>SUM(M41+M39)</f>
        <v>12183734</v>
      </c>
    </row>
  </sheetData>
  <mergeCells count="3">
    <mergeCell ref="J1:M1"/>
    <mergeCell ref="J2:M2"/>
    <mergeCell ref="J4:L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8"/>
  <sheetViews>
    <sheetView topLeftCell="A4" workbookViewId="0">
      <selection activeCell="I28" sqref="I28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520" t="s">
        <v>207</v>
      </c>
      <c r="K1" s="520"/>
      <c r="L1" s="520"/>
      <c r="M1" s="520"/>
      <c r="N1" s="419"/>
      <c r="O1" s="419"/>
    </row>
    <row r="2" spans="1:15" ht="21.75" customHeight="1">
      <c r="J2" s="521" t="s">
        <v>1</v>
      </c>
      <c r="K2" s="521"/>
      <c r="L2" s="521"/>
      <c r="M2" s="521"/>
      <c r="N2" s="420"/>
      <c r="O2" s="420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2" t="s">
        <v>208</v>
      </c>
      <c r="N5" s="522"/>
      <c r="O5" s="522"/>
    </row>
    <row r="6" spans="1:15" ht="44.25" customHeight="1">
      <c r="A6" s="5" t="s">
        <v>209</v>
      </c>
      <c r="I6" s="6" t="s">
        <v>7</v>
      </c>
      <c r="J6" s="6" t="s">
        <v>210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t="s">
        <v>60</v>
      </c>
      <c r="I9" s="9"/>
      <c r="J9" s="9"/>
      <c r="K9" s="9"/>
      <c r="L9" s="9"/>
      <c r="M9" s="9"/>
      <c r="N9" s="9"/>
      <c r="O9" s="9"/>
    </row>
    <row r="10" spans="1:15">
      <c r="C10" t="s">
        <v>61</v>
      </c>
      <c r="H10" s="12"/>
      <c r="I10" s="88">
        <v>-400475</v>
      </c>
      <c r="J10" s="12"/>
      <c r="K10" s="12"/>
      <c r="L10" s="12"/>
      <c r="M10" s="12">
        <f>SUM(I10:L10)</f>
        <v>-400475</v>
      </c>
      <c r="N10" s="12"/>
      <c r="O10" s="12">
        <f t="shared" ref="O10:O23" si="0">SUM(M10:N10)</f>
        <v>-400475</v>
      </c>
    </row>
    <row r="11" spans="1:15">
      <c r="C11" t="s">
        <v>62</v>
      </c>
      <c r="H11" s="12"/>
      <c r="I11" s="89">
        <v>-2693579</v>
      </c>
      <c r="J11" s="12">
        <v>1016052</v>
      </c>
      <c r="K11" s="12"/>
      <c r="L11" s="12"/>
      <c r="M11" s="12">
        <f>SUM(I11:L11)</f>
        <v>-1677527</v>
      </c>
      <c r="N11" s="12"/>
      <c r="O11" s="12">
        <f>SUM(M11:N11)</f>
        <v>-1677527</v>
      </c>
    </row>
    <row r="12" spans="1:15">
      <c r="C12" t="s">
        <v>63</v>
      </c>
      <c r="H12" s="12"/>
      <c r="I12" s="91">
        <v>-101110</v>
      </c>
      <c r="J12" s="12"/>
      <c r="K12" s="12"/>
      <c r="L12" s="12"/>
      <c r="M12" s="12">
        <f>SUM(I12:L12)</f>
        <v>-101110</v>
      </c>
      <c r="N12" s="12"/>
      <c r="O12" s="12">
        <f>SUM(M12:N12)</f>
        <v>-101110</v>
      </c>
    </row>
    <row r="13" spans="1:15">
      <c r="C13" t="s">
        <v>211</v>
      </c>
      <c r="H13" s="12"/>
      <c r="I13" s="96">
        <v>-2029058</v>
      </c>
      <c r="J13" s="12">
        <v>312381</v>
      </c>
      <c r="K13" s="12">
        <v>11382</v>
      </c>
      <c r="L13" s="12"/>
      <c r="M13" s="12">
        <f>SUM(I13:L13)</f>
        <v>-1705295</v>
      </c>
      <c r="N13" s="12"/>
      <c r="O13" s="12">
        <f>SUM(M13:N13)</f>
        <v>-1705295</v>
      </c>
    </row>
    <row r="14" spans="1:15">
      <c r="C14" t="s">
        <v>32</v>
      </c>
      <c r="H14" s="12"/>
      <c r="I14" s="95">
        <v>-854448</v>
      </c>
      <c r="J14" s="12"/>
      <c r="K14" s="12"/>
      <c r="L14" s="12"/>
      <c r="M14" s="12">
        <f>SUM(I14:L14)</f>
        <v>-854448</v>
      </c>
      <c r="N14" s="12"/>
      <c r="O14" s="12">
        <f>SUM(M14:N14)</f>
        <v>-854448</v>
      </c>
    </row>
    <row r="15" spans="1:15">
      <c r="C15" t="s">
        <v>16</v>
      </c>
      <c r="H15" s="12"/>
      <c r="I15" s="13">
        <v>-1096246</v>
      </c>
      <c r="J15" s="12"/>
      <c r="K15" s="12">
        <v>111066</v>
      </c>
      <c r="L15" s="12"/>
      <c r="M15" s="12">
        <f t="shared" ref="M15:M23" si="1">SUM(I15:L15)</f>
        <v>-985180</v>
      </c>
      <c r="N15" s="12"/>
      <c r="O15" s="12">
        <f t="shared" si="0"/>
        <v>-985180</v>
      </c>
    </row>
    <row r="16" spans="1:15">
      <c r="C16" t="s">
        <v>17</v>
      </c>
      <c r="H16" s="12"/>
      <c r="I16" s="14">
        <v>-10446041</v>
      </c>
      <c r="J16" s="12">
        <v>197301</v>
      </c>
      <c r="K16" s="12"/>
      <c r="L16" s="12">
        <v>398964</v>
      </c>
      <c r="M16" s="12">
        <f t="shared" si="1"/>
        <v>-9849776</v>
      </c>
      <c r="N16" s="12"/>
      <c r="O16" s="12">
        <f t="shared" si="0"/>
        <v>-9849776</v>
      </c>
    </row>
    <row r="17" spans="1:15">
      <c r="C17" t="s">
        <v>92</v>
      </c>
      <c r="H17" s="12"/>
      <c r="I17" s="94">
        <v>-4058906</v>
      </c>
      <c r="J17" s="12">
        <v>946774</v>
      </c>
      <c r="K17" s="12"/>
      <c r="L17" s="12"/>
      <c r="M17" s="12">
        <f>SUM(I17:L17)</f>
        <v>-3112132</v>
      </c>
      <c r="N17" s="12"/>
      <c r="O17" s="12">
        <f t="shared" si="0"/>
        <v>-3112132</v>
      </c>
    </row>
    <row r="18" spans="1:15">
      <c r="C18" t="s">
        <v>20</v>
      </c>
      <c r="H18" s="12"/>
      <c r="I18" s="16">
        <v>-279817</v>
      </c>
      <c r="J18" s="12"/>
      <c r="K18" s="12"/>
      <c r="L18" s="12"/>
      <c r="M18" s="12">
        <f t="shared" si="1"/>
        <v>-279817</v>
      </c>
      <c r="N18" s="12"/>
      <c r="O18" s="12">
        <f t="shared" si="0"/>
        <v>-279817</v>
      </c>
    </row>
    <row r="19" spans="1:15">
      <c r="C19" t="s">
        <v>19</v>
      </c>
      <c r="H19" s="12"/>
      <c r="I19" s="15">
        <v>-2206951</v>
      </c>
      <c r="J19" s="12"/>
      <c r="K19" s="12">
        <v>1605452</v>
      </c>
      <c r="L19" s="12"/>
      <c r="M19" s="12">
        <f t="shared" si="1"/>
        <v>-601499</v>
      </c>
      <c r="N19" s="12"/>
      <c r="O19" s="12">
        <f t="shared" si="0"/>
        <v>-601499</v>
      </c>
    </row>
    <row r="20" spans="1:15">
      <c r="C20" t="s">
        <v>44</v>
      </c>
      <c r="H20" s="12"/>
      <c r="I20" s="92">
        <v>-3299353</v>
      </c>
      <c r="J20" s="12"/>
      <c r="K20" s="12">
        <v>2689861</v>
      </c>
      <c r="L20" s="12"/>
      <c r="M20" s="12">
        <f>SUM(I20:L20)</f>
        <v>-609492</v>
      </c>
      <c r="N20" s="12"/>
      <c r="O20" s="12">
        <f t="shared" si="0"/>
        <v>-609492</v>
      </c>
    </row>
    <row r="21" spans="1:15">
      <c r="C21" t="s">
        <v>164</v>
      </c>
      <c r="H21" s="12"/>
      <c r="I21" s="14">
        <v>-814370</v>
      </c>
      <c r="J21" s="12">
        <v>242760</v>
      </c>
      <c r="K21" s="12">
        <v>160493</v>
      </c>
      <c r="L21" s="12"/>
      <c r="M21" s="12">
        <f>SUM(I21:L21)</f>
        <v>-411117</v>
      </c>
      <c r="N21" s="12"/>
      <c r="O21" s="12">
        <f t="shared" si="0"/>
        <v>-411117</v>
      </c>
    </row>
    <row r="22" spans="1:15">
      <c r="C22" t="s">
        <v>212</v>
      </c>
      <c r="H22" s="12"/>
      <c r="I22" s="94">
        <v>-345903</v>
      </c>
      <c r="J22" s="12">
        <v>22434</v>
      </c>
      <c r="K22" s="12">
        <v>700</v>
      </c>
      <c r="L22" s="12"/>
      <c r="M22" s="12">
        <f>SUM(I22:L22)</f>
        <v>-322769</v>
      </c>
      <c r="N22" s="12"/>
      <c r="O22" s="12">
        <f t="shared" si="0"/>
        <v>-322769</v>
      </c>
    </row>
    <row r="23" spans="1:15">
      <c r="C23" t="s">
        <v>21</v>
      </c>
      <c r="H23" s="12"/>
      <c r="I23" s="89">
        <v>-255</v>
      </c>
      <c r="J23" s="12"/>
      <c r="K23" s="12"/>
      <c r="L23" s="12"/>
      <c r="M23" s="12">
        <f t="shared" si="1"/>
        <v>-255</v>
      </c>
      <c r="N23" s="12"/>
      <c r="O23" s="12">
        <f t="shared" si="0"/>
        <v>-255</v>
      </c>
    </row>
    <row r="24" spans="1:15">
      <c r="H24" s="12"/>
      <c r="I24" s="12"/>
      <c r="J24" s="12"/>
      <c r="K24" s="12"/>
      <c r="L24" s="12"/>
      <c r="M24" s="12"/>
      <c r="N24" s="12"/>
      <c r="O24" s="12"/>
    </row>
    <row r="25" spans="1:15">
      <c r="E25" s="19" t="s">
        <v>22</v>
      </c>
      <c r="F25" s="19"/>
      <c r="G25" s="19"/>
      <c r="H25" s="20"/>
      <c r="I25" s="20">
        <f>SUM(I10:I23)</f>
        <v>-28626512</v>
      </c>
      <c r="J25" s="20">
        <f>SUM(J10:J23)</f>
        <v>2737702</v>
      </c>
      <c r="K25" s="20">
        <f>SUM(K10:K23)</f>
        <v>4578954</v>
      </c>
      <c r="L25" s="20">
        <f>SUM(L10:L23)</f>
        <v>398964</v>
      </c>
      <c r="M25" s="82">
        <f>SUM(M10:M23)</f>
        <v>-20910892</v>
      </c>
      <c r="N25" s="82"/>
      <c r="O25" s="82">
        <f>SUM(O10:O23)</f>
        <v>-20910892</v>
      </c>
    </row>
    <row r="26" spans="1:15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5">
      <c r="B27" s="10" t="s">
        <v>116</v>
      </c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5">
      <c r="B28" s="10"/>
      <c r="C28" t="s">
        <v>213</v>
      </c>
      <c r="E28" s="8"/>
      <c r="F28" s="8"/>
      <c r="G28" s="8"/>
      <c r="H28" s="26"/>
      <c r="I28" s="464">
        <v>-33209</v>
      </c>
      <c r="J28" s="80">
        <v>13837</v>
      </c>
      <c r="K28" s="80"/>
      <c r="L28" s="80"/>
      <c r="M28" s="80"/>
      <c r="N28" s="80">
        <f>SUM(I28:L28)</f>
        <v>-19372</v>
      </c>
      <c r="O28" s="80">
        <f>N28</f>
        <v>-19372</v>
      </c>
    </row>
    <row r="29" spans="1:15">
      <c r="E29" s="8"/>
      <c r="F29" s="8"/>
      <c r="G29" s="8"/>
      <c r="H29" s="26"/>
      <c r="I29" s="26"/>
      <c r="J29" s="26"/>
      <c r="K29" s="26"/>
      <c r="L29" s="26"/>
      <c r="M29" s="26"/>
      <c r="N29" s="26"/>
      <c r="O29" s="26"/>
    </row>
    <row r="30" spans="1:15">
      <c r="E30" s="19" t="s">
        <v>214</v>
      </c>
      <c r="F30" s="19"/>
      <c r="G30" s="19"/>
      <c r="H30" s="20"/>
      <c r="I30" s="20">
        <f t="shared" ref="I30:N30" si="2">I28+I25</f>
        <v>-28659721</v>
      </c>
      <c r="J30" s="20">
        <f t="shared" si="2"/>
        <v>2751539</v>
      </c>
      <c r="K30" s="20">
        <f t="shared" si="2"/>
        <v>4578954</v>
      </c>
      <c r="L30" s="20">
        <f t="shared" si="2"/>
        <v>398964</v>
      </c>
      <c r="M30" s="82">
        <f t="shared" si="2"/>
        <v>-20910892</v>
      </c>
      <c r="N30" s="82">
        <f t="shared" si="2"/>
        <v>-19372</v>
      </c>
      <c r="O30" s="82">
        <f>O28+O25</f>
        <v>-20930264</v>
      </c>
    </row>
    <row r="31" spans="1:15">
      <c r="H31" s="12"/>
      <c r="I31" s="12"/>
      <c r="J31" s="12"/>
      <c r="K31" s="12"/>
      <c r="L31" s="12"/>
      <c r="M31" s="12"/>
      <c r="N31" s="12"/>
      <c r="O31" s="12"/>
    </row>
    <row r="32" spans="1:15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  <c r="O32" s="12"/>
    </row>
    <row r="33" spans="1:15">
      <c r="A33" s="8"/>
      <c r="B33" s="8"/>
      <c r="C33" s="8"/>
      <c r="D33" s="8"/>
      <c r="E33" s="8"/>
      <c r="G33" s="8" t="s">
        <v>215</v>
      </c>
      <c r="H33" s="26"/>
      <c r="I33" s="26"/>
      <c r="J33" s="26"/>
      <c r="K33" s="26"/>
      <c r="L33" s="26"/>
      <c r="M33" s="12"/>
      <c r="N33" s="12"/>
      <c r="O33" s="12"/>
    </row>
    <row r="34" spans="1:15">
      <c r="A34" s="8"/>
      <c r="B34" s="8"/>
      <c r="C34" s="8"/>
      <c r="D34" s="8"/>
      <c r="E34" s="8"/>
      <c r="G34" s="8"/>
      <c r="H34" s="80" t="s">
        <v>216</v>
      </c>
      <c r="I34" s="26"/>
      <c r="J34" s="26"/>
      <c r="K34" s="26"/>
      <c r="L34" s="26"/>
      <c r="M34" s="28">
        <v>12327537</v>
      </c>
      <c r="N34" s="12"/>
      <c r="O34" s="12">
        <f t="shared" ref="O34:O43" si="3">SUM(M34:N34)</f>
        <v>12327537</v>
      </c>
    </row>
    <row r="35" spans="1:15">
      <c r="H35" s="12" t="s">
        <v>217</v>
      </c>
      <c r="I35" s="12"/>
      <c r="J35" s="12"/>
      <c r="K35" s="12"/>
      <c r="L35" s="12"/>
      <c r="M35" s="14">
        <v>7344797</v>
      </c>
      <c r="N35" s="12"/>
      <c r="O35" s="12">
        <f t="shared" si="3"/>
        <v>7344797</v>
      </c>
    </row>
    <row r="36" spans="1:15">
      <c r="H36" s="12" t="s">
        <v>218</v>
      </c>
      <c r="I36" s="12"/>
      <c r="J36" s="12"/>
      <c r="K36" s="12"/>
      <c r="L36" s="12"/>
      <c r="M36" s="15">
        <v>1233958</v>
      </c>
      <c r="N36" s="12"/>
      <c r="O36" s="12">
        <f t="shared" si="3"/>
        <v>1233958</v>
      </c>
    </row>
    <row r="37" spans="1:15">
      <c r="H37" s="12" t="s">
        <v>219</v>
      </c>
      <c r="I37" s="12"/>
      <c r="J37" s="12"/>
      <c r="K37" s="12"/>
      <c r="L37" s="12"/>
      <c r="M37" s="14">
        <v>104653</v>
      </c>
      <c r="N37" s="12"/>
      <c r="O37" s="12">
        <f t="shared" si="3"/>
        <v>104653</v>
      </c>
    </row>
    <row r="38" spans="1:15">
      <c r="H38" s="12" t="s">
        <v>220</v>
      </c>
      <c r="I38" s="12"/>
      <c r="J38" s="12"/>
      <c r="K38" s="12"/>
      <c r="L38" s="12"/>
      <c r="M38" s="14">
        <v>137400</v>
      </c>
      <c r="N38" s="12"/>
      <c r="O38" s="12">
        <f t="shared" si="3"/>
        <v>137400</v>
      </c>
    </row>
    <row r="39" spans="1:15">
      <c r="H39" s="12" t="s">
        <v>50</v>
      </c>
      <c r="I39" s="12"/>
      <c r="J39" s="12"/>
      <c r="K39" s="12"/>
      <c r="L39" s="12"/>
      <c r="M39" s="29">
        <v>483798</v>
      </c>
      <c r="N39" s="12"/>
      <c r="O39" s="12">
        <f t="shared" si="3"/>
        <v>483798</v>
      </c>
    </row>
    <row r="40" spans="1:15">
      <c r="H40" s="12" t="s">
        <v>48</v>
      </c>
      <c r="I40" s="12"/>
      <c r="J40" s="12"/>
      <c r="K40" s="12"/>
      <c r="L40" s="12"/>
      <c r="M40" s="93">
        <v>51600</v>
      </c>
      <c r="N40" s="12"/>
      <c r="O40" s="12">
        <f t="shared" si="3"/>
        <v>51600</v>
      </c>
    </row>
    <row r="41" spans="1:15">
      <c r="H41" s="12" t="s">
        <v>221</v>
      </c>
      <c r="I41" s="12"/>
      <c r="J41" s="12"/>
      <c r="K41" s="12"/>
      <c r="L41" s="12"/>
      <c r="M41" s="29">
        <v>624592</v>
      </c>
      <c r="N41" s="12"/>
      <c r="O41" s="12">
        <f t="shared" si="3"/>
        <v>624592</v>
      </c>
    </row>
    <row r="42" spans="1:15">
      <c r="H42" s="12" t="s">
        <v>222</v>
      </c>
      <c r="I42" s="12"/>
      <c r="J42" s="12"/>
      <c r="K42" s="12"/>
      <c r="L42" s="12"/>
      <c r="M42" s="29">
        <v>421020</v>
      </c>
      <c r="N42" s="12"/>
      <c r="O42" s="12">
        <f t="shared" si="3"/>
        <v>421020</v>
      </c>
    </row>
    <row r="43" spans="1:15">
      <c r="H43" t="s">
        <v>37</v>
      </c>
      <c r="I43" s="12"/>
      <c r="J43" s="12"/>
      <c r="K43" s="12"/>
      <c r="L43" s="12"/>
      <c r="M43" s="417">
        <v>-19350</v>
      </c>
      <c r="N43" s="12">
        <v>19350</v>
      </c>
      <c r="O43" s="12">
        <f t="shared" si="3"/>
        <v>0</v>
      </c>
    </row>
    <row r="44" spans="1:15">
      <c r="H44" s="12"/>
      <c r="I44" s="12"/>
      <c r="J44" s="12"/>
      <c r="K44" s="12"/>
      <c r="L44" s="12"/>
      <c r="M44" s="12"/>
      <c r="N44" s="12"/>
      <c r="O44" s="12"/>
    </row>
    <row r="45" spans="1:15">
      <c r="H45" s="20" t="s">
        <v>223</v>
      </c>
      <c r="I45" s="20"/>
      <c r="J45" s="20"/>
      <c r="K45" s="20"/>
      <c r="L45" s="20"/>
      <c r="M45" s="20">
        <f>SUM(M34:M43)</f>
        <v>22710005</v>
      </c>
      <c r="N45" s="20">
        <f>SUM(N34:N43)</f>
        <v>19350</v>
      </c>
      <c r="O45" s="20">
        <f>SUM(O34:O43)</f>
        <v>22729355</v>
      </c>
    </row>
    <row r="46" spans="1:15">
      <c r="H46" s="12"/>
      <c r="I46" s="12"/>
      <c r="J46" s="12"/>
      <c r="K46" s="12"/>
      <c r="L46" s="12"/>
      <c r="M46" s="12"/>
      <c r="N46" s="12"/>
      <c r="O46" s="12"/>
    </row>
    <row r="47" spans="1:15">
      <c r="H47" s="20" t="s">
        <v>53</v>
      </c>
      <c r="I47" s="20"/>
      <c r="J47" s="20"/>
      <c r="K47" s="20"/>
      <c r="L47" s="20"/>
      <c r="M47" s="20">
        <f>M45+M30</f>
        <v>1799113</v>
      </c>
      <c r="N47" s="20">
        <f>N45+N30</f>
        <v>-22</v>
      </c>
      <c r="O47" s="20">
        <f>O45+O30</f>
        <v>1799091</v>
      </c>
    </row>
    <row r="48" spans="1:15">
      <c r="H48" s="26"/>
      <c r="I48" s="26"/>
      <c r="J48" s="26"/>
      <c r="K48" s="26"/>
      <c r="L48" s="26"/>
      <c r="M48" s="26"/>
      <c r="N48" s="26"/>
      <c r="O48" s="26"/>
    </row>
    <row r="49" spans="5:15">
      <c r="E49" s="31" t="s">
        <v>54</v>
      </c>
      <c r="F49" s="31"/>
      <c r="G49" s="31"/>
      <c r="H49" s="32"/>
      <c r="I49" s="32"/>
      <c r="J49" s="32"/>
      <c r="K49" s="32"/>
      <c r="L49" s="32"/>
      <c r="M49" s="33">
        <v>112259766</v>
      </c>
      <c r="N49" s="33">
        <v>11911</v>
      </c>
      <c r="O49" s="33">
        <v>112271677</v>
      </c>
    </row>
    <row r="50" spans="5:15">
      <c r="H50" s="12"/>
      <c r="I50" s="12"/>
      <c r="J50" s="12"/>
      <c r="K50" s="12"/>
      <c r="L50" s="12"/>
      <c r="M50" s="12"/>
      <c r="N50" s="12"/>
      <c r="O50" s="12"/>
    </row>
    <row r="51" spans="5:15">
      <c r="E51" s="34" t="s">
        <v>55</v>
      </c>
      <c r="F51" s="34"/>
      <c r="G51" s="34"/>
      <c r="H51" s="35"/>
      <c r="I51" s="35"/>
      <c r="J51" s="35"/>
      <c r="K51" s="35"/>
      <c r="L51" s="35"/>
      <c r="M51" s="83">
        <f>SUM(M47,M49)</f>
        <v>114058879</v>
      </c>
      <c r="N51" s="83">
        <f>N49+N47</f>
        <v>11889</v>
      </c>
      <c r="O51" s="83">
        <f>O49+O47</f>
        <v>114070768</v>
      </c>
    </row>
    <row r="58" spans="5:15">
      <c r="K58" s="9"/>
      <c r="L58" s="9"/>
      <c r="M58" s="9"/>
      <c r="N58" s="9"/>
      <c r="O58" s="9"/>
    </row>
  </sheetData>
  <mergeCells count="4">
    <mergeCell ref="J1:M1"/>
    <mergeCell ref="J2:M2"/>
    <mergeCell ref="M5:O5"/>
    <mergeCell ref="J5:L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67"/>
  <sheetViews>
    <sheetView topLeftCell="A3" workbookViewId="0">
      <selection activeCell="I25" sqref="I25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1.2851562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1" t="s">
        <v>224</v>
      </c>
      <c r="K1" s="1"/>
      <c r="L1" s="1"/>
      <c r="M1" s="1"/>
      <c r="N1" s="419"/>
      <c r="O1" s="419"/>
    </row>
    <row r="2" spans="1:16" ht="21.75" customHeight="1">
      <c r="J2" s="521" t="s">
        <v>1</v>
      </c>
      <c r="K2" s="521"/>
      <c r="L2" s="521"/>
      <c r="M2" s="521"/>
      <c r="N2" s="420"/>
      <c r="O2" s="420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522" t="s">
        <v>225</v>
      </c>
      <c r="N4" s="522"/>
      <c r="O4" s="522"/>
      <c r="P4" s="522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431"/>
      <c r="M5" s="526" t="s">
        <v>5</v>
      </c>
      <c r="N5" s="526"/>
      <c r="O5" s="526"/>
      <c r="P5" s="360"/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-99148612</v>
      </c>
      <c r="J9" s="12">
        <v>22795703</v>
      </c>
      <c r="K9" s="12">
        <v>320097</v>
      </c>
      <c r="L9" s="12"/>
      <c r="M9" s="12">
        <f t="shared" ref="M9:M16" si="0">SUM(I9:L9)</f>
        <v>-76032812</v>
      </c>
      <c r="N9" s="12"/>
      <c r="O9" s="12">
        <f t="shared" ref="O9:O16" si="1">SUM(M9:N9)</f>
        <v>-76032812</v>
      </c>
    </row>
    <row r="10" spans="1:16">
      <c r="C10" t="s">
        <v>16</v>
      </c>
      <c r="H10" s="12"/>
      <c r="I10" s="13">
        <v>-233011923</v>
      </c>
      <c r="J10" s="12">
        <v>27006901</v>
      </c>
      <c r="K10" s="12">
        <v>10769916</v>
      </c>
      <c r="L10" s="12">
        <v>321868</v>
      </c>
      <c r="M10" s="12">
        <f t="shared" si="0"/>
        <v>-194913238</v>
      </c>
      <c r="N10" s="12"/>
      <c r="O10" s="12">
        <f t="shared" si="1"/>
        <v>-194913238</v>
      </c>
    </row>
    <row r="11" spans="1:16">
      <c r="C11" t="s">
        <v>164</v>
      </c>
      <c r="H11" s="12"/>
      <c r="I11" s="14">
        <v>-66920723</v>
      </c>
      <c r="J11" s="12">
        <v>216379</v>
      </c>
      <c r="K11" s="12">
        <v>571666</v>
      </c>
      <c r="L11" s="12">
        <v>23610909</v>
      </c>
      <c r="M11" s="12">
        <f t="shared" si="0"/>
        <v>-42521769</v>
      </c>
      <c r="N11" s="12"/>
      <c r="O11" s="12">
        <f t="shared" si="1"/>
        <v>-42521769</v>
      </c>
    </row>
    <row r="12" spans="1:16">
      <c r="C12" t="s">
        <v>92</v>
      </c>
      <c r="H12" s="12"/>
      <c r="I12" s="94">
        <v>-5790</v>
      </c>
      <c r="J12" s="12">
        <v>51270</v>
      </c>
      <c r="K12" s="12"/>
      <c r="L12" s="12"/>
      <c r="M12" s="12">
        <f t="shared" si="0"/>
        <v>45480</v>
      </c>
      <c r="N12" s="12"/>
      <c r="O12" s="12">
        <f t="shared" si="1"/>
        <v>45480</v>
      </c>
    </row>
    <row r="13" spans="1:16">
      <c r="C13" t="s">
        <v>19</v>
      </c>
      <c r="H13" s="12"/>
      <c r="I13" s="15">
        <v>-9796865</v>
      </c>
      <c r="J13" s="12">
        <v>800646</v>
      </c>
      <c r="K13" s="12">
        <v>299188</v>
      </c>
      <c r="L13" s="12"/>
      <c r="M13" s="12">
        <f t="shared" si="0"/>
        <v>-8697031</v>
      </c>
      <c r="N13" s="12"/>
      <c r="O13" s="12">
        <f t="shared" si="1"/>
        <v>-8697031</v>
      </c>
    </row>
    <row r="14" spans="1:16">
      <c r="C14" t="s">
        <v>20</v>
      </c>
      <c r="H14" s="12"/>
      <c r="I14" s="16">
        <v>-43762277</v>
      </c>
      <c r="J14" s="12">
        <v>298515</v>
      </c>
      <c r="K14" s="12">
        <v>1106189</v>
      </c>
      <c r="L14" s="12"/>
      <c r="M14" s="12">
        <f t="shared" si="0"/>
        <v>-42357573</v>
      </c>
      <c r="N14" s="12"/>
      <c r="O14" s="12">
        <f t="shared" si="1"/>
        <v>-42357573</v>
      </c>
    </row>
    <row r="15" spans="1:16">
      <c r="C15" t="s">
        <v>226</v>
      </c>
      <c r="H15" s="12"/>
      <c r="I15" s="94">
        <v>-46084260</v>
      </c>
      <c r="J15" s="12">
        <v>3520513</v>
      </c>
      <c r="K15" s="12">
        <v>31193540</v>
      </c>
      <c r="L15" s="12">
        <v>470640</v>
      </c>
      <c r="M15" s="12">
        <f t="shared" si="0"/>
        <v>-10899567</v>
      </c>
      <c r="N15" s="12"/>
      <c r="O15" s="12">
        <f t="shared" si="1"/>
        <v>-10899567</v>
      </c>
    </row>
    <row r="16" spans="1:16">
      <c r="C16" t="s">
        <v>227</v>
      </c>
      <c r="H16" s="12"/>
      <c r="I16" s="89">
        <v>-13413000</v>
      </c>
      <c r="J16" s="12"/>
      <c r="K16" s="12"/>
      <c r="L16" s="12"/>
      <c r="M16" s="12">
        <f t="shared" si="0"/>
        <v>-13413000</v>
      </c>
      <c r="N16" s="12"/>
      <c r="O16" s="12">
        <f t="shared" si="1"/>
        <v>-13413000</v>
      </c>
    </row>
    <row r="17" spans="1:16">
      <c r="H17" s="12"/>
      <c r="I17" s="12"/>
      <c r="J17" s="12"/>
      <c r="K17" s="12"/>
      <c r="L17" s="12"/>
      <c r="M17" s="12"/>
      <c r="N17" s="12"/>
      <c r="O17" s="12"/>
    </row>
    <row r="18" spans="1:16">
      <c r="E18" s="19" t="s">
        <v>22</v>
      </c>
      <c r="F18" s="19"/>
      <c r="G18" s="19"/>
      <c r="H18" s="20"/>
      <c r="I18" s="20">
        <f>SUM(I9:I16)</f>
        <v>-512143450</v>
      </c>
      <c r="J18" s="20">
        <f>SUM(J9:J16)</f>
        <v>54689927</v>
      </c>
      <c r="K18" s="20">
        <f>SUM(K9:K16)</f>
        <v>44260596</v>
      </c>
      <c r="L18" s="20">
        <f>SUM(L9:L16)</f>
        <v>24403417</v>
      </c>
      <c r="M18" s="82">
        <f>SUM(M9:M16)</f>
        <v>-388789510</v>
      </c>
      <c r="N18" s="82">
        <f t="shared" ref="N18" si="2">SUM(N9:N16)</f>
        <v>0</v>
      </c>
      <c r="O18" s="82">
        <f>SUM(O9:O16)</f>
        <v>-388789510</v>
      </c>
      <c r="P18" s="84">
        <f>SUM(P9:P16)</f>
        <v>0</v>
      </c>
    </row>
    <row r="19" spans="1:16"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B20" s="10" t="s">
        <v>116</v>
      </c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C21" t="s">
        <v>228</v>
      </c>
      <c r="E21" s="8"/>
      <c r="F21" s="8"/>
      <c r="G21" s="8"/>
      <c r="H21" s="26"/>
      <c r="I21" s="467">
        <v>-28541998</v>
      </c>
      <c r="J21" s="80">
        <v>17237125</v>
      </c>
      <c r="K21" s="80">
        <v>560556</v>
      </c>
      <c r="L21" s="80">
        <v>2620425</v>
      </c>
      <c r="M21" s="80"/>
      <c r="N21" s="80">
        <f>SUM(I21:L21)</f>
        <v>-8123892</v>
      </c>
      <c r="O21" s="80">
        <f>SUM(M21:N21)</f>
        <v>-8123892</v>
      </c>
    </row>
    <row r="22" spans="1:16">
      <c r="C22" t="s">
        <v>150</v>
      </c>
      <c r="E22" s="8"/>
      <c r="F22" s="8"/>
      <c r="G22" s="8"/>
      <c r="H22" s="26"/>
      <c r="I22" s="464">
        <v>-156351603</v>
      </c>
      <c r="J22" s="80">
        <v>75419472</v>
      </c>
      <c r="K22" s="80">
        <v>6819819</v>
      </c>
      <c r="L22" s="80">
        <v>5748809</v>
      </c>
      <c r="M22" s="80"/>
      <c r="N22" s="80">
        <f>SUM(I22:L22)</f>
        <v>-68363503</v>
      </c>
      <c r="O22" s="80">
        <f>SUM(M22:N22)</f>
        <v>-68363503</v>
      </c>
    </row>
    <row r="23" spans="1:16">
      <c r="C23" t="s">
        <v>229</v>
      </c>
      <c r="E23" s="8"/>
      <c r="F23" s="8"/>
      <c r="G23" s="8"/>
      <c r="H23" s="26"/>
      <c r="I23" s="465">
        <v>-40892829</v>
      </c>
      <c r="J23" s="80">
        <v>37589552</v>
      </c>
      <c r="K23" s="80"/>
      <c r="L23" s="80"/>
      <c r="M23" s="80"/>
      <c r="N23" s="80">
        <f>SUM(I23:K23)</f>
        <v>-3303277</v>
      </c>
      <c r="O23" s="80">
        <f>SUM(M23:N23)</f>
        <v>-3303277</v>
      </c>
    </row>
    <row r="24" spans="1:16">
      <c r="C24" t="s">
        <v>230</v>
      </c>
      <c r="E24" s="8"/>
      <c r="F24" s="8"/>
      <c r="G24" s="8"/>
      <c r="H24" s="26"/>
      <c r="I24" s="466">
        <v>-13381809</v>
      </c>
      <c r="J24" s="80">
        <v>6491539</v>
      </c>
      <c r="K24" s="80">
        <v>331905</v>
      </c>
      <c r="L24" s="80">
        <v>1983034</v>
      </c>
      <c r="M24" s="80"/>
      <c r="N24" s="80">
        <f>SUM(I24:L24)</f>
        <v>-4575331</v>
      </c>
      <c r="O24" s="80">
        <f>SUM(M24:N24)</f>
        <v>-4575331</v>
      </c>
    </row>
    <row r="25" spans="1:16">
      <c r="C25" t="s">
        <v>231</v>
      </c>
      <c r="E25" s="8"/>
      <c r="F25" s="8"/>
      <c r="G25" s="8"/>
      <c r="H25" s="26"/>
      <c r="I25" s="468">
        <v>-2745073</v>
      </c>
      <c r="J25" s="80">
        <v>852633</v>
      </c>
      <c r="K25" s="80"/>
      <c r="L25" s="80"/>
      <c r="M25" s="80"/>
      <c r="N25" s="80">
        <f>SUM(I25:K25)</f>
        <v>-1892440</v>
      </c>
      <c r="O25" s="80">
        <f>SUM(M25:N25)</f>
        <v>-1892440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E27" s="19" t="s">
        <v>232</v>
      </c>
      <c r="F27" s="19"/>
      <c r="G27" s="19"/>
      <c r="H27" s="20"/>
      <c r="I27" s="20">
        <f>SUM(I21:I25)</f>
        <v>-241913312</v>
      </c>
      <c r="J27" s="20">
        <f t="shared" ref="J27:O27" si="3">SUM(J21:J25)</f>
        <v>137590321</v>
      </c>
      <c r="K27" s="20">
        <f t="shared" si="3"/>
        <v>7712280</v>
      </c>
      <c r="L27" s="20">
        <f t="shared" si="3"/>
        <v>10352268</v>
      </c>
      <c r="M27" s="82">
        <f t="shared" si="3"/>
        <v>0</v>
      </c>
      <c r="N27" s="82">
        <f t="shared" si="3"/>
        <v>-86258443</v>
      </c>
      <c r="O27" s="82">
        <f t="shared" si="3"/>
        <v>-86258443</v>
      </c>
      <c r="P27" s="84">
        <f>SUM(P15:P25)</f>
        <v>0</v>
      </c>
    </row>
    <row r="28" spans="1:16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6">
      <c r="E29" s="19" t="s">
        <v>67</v>
      </c>
      <c r="F29" s="19"/>
      <c r="G29" s="19"/>
      <c r="H29" s="20"/>
      <c r="I29" s="20">
        <f>I27+I18</f>
        <v>-754056762</v>
      </c>
      <c r="J29" s="20">
        <f>J27+J18</f>
        <v>192280248</v>
      </c>
      <c r="K29" s="20">
        <f>SUM(K18+K27)</f>
        <v>51972876</v>
      </c>
      <c r="L29" s="20">
        <f>SUM(L18+L27)</f>
        <v>34755685</v>
      </c>
      <c r="M29" s="82">
        <f>M27+M18</f>
        <v>-388789510</v>
      </c>
      <c r="N29" s="82">
        <f>N27+N18</f>
        <v>-86258443</v>
      </c>
      <c r="O29" s="82">
        <f>O27+O18</f>
        <v>-475047953</v>
      </c>
      <c r="P29" s="84">
        <f>SUM(P17:P27)</f>
        <v>0</v>
      </c>
    </row>
    <row r="30" spans="1:16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1:16">
      <c r="A31" s="10" t="s">
        <v>23</v>
      </c>
      <c r="H31" s="12"/>
      <c r="I31" s="12"/>
      <c r="J31" s="12"/>
      <c r="K31" s="12"/>
      <c r="L31" s="12"/>
      <c r="M31" s="12"/>
      <c r="N31" s="12"/>
      <c r="O31" s="12"/>
    </row>
    <row r="32" spans="1:16">
      <c r="B32" t="s">
        <v>233</v>
      </c>
      <c r="H32" s="12"/>
      <c r="I32" s="12">
        <v>-58983934</v>
      </c>
      <c r="J32" s="12">
        <v>24052298</v>
      </c>
      <c r="K32" s="12">
        <v>24105511</v>
      </c>
      <c r="L32" s="12"/>
      <c r="M32" s="12"/>
      <c r="N32" s="12"/>
      <c r="O32" s="12"/>
      <c r="P32" s="12">
        <f>SUM(I32:M32)</f>
        <v>-10826125</v>
      </c>
    </row>
    <row r="33" spans="1:16">
      <c r="B33" t="s">
        <v>234</v>
      </c>
      <c r="H33" s="12"/>
      <c r="I33" s="12">
        <v>-3783707</v>
      </c>
      <c r="J33" s="12">
        <v>468858</v>
      </c>
      <c r="K33" s="12">
        <v>671397</v>
      </c>
      <c r="L33" s="12">
        <v>1825000</v>
      </c>
      <c r="M33" s="12"/>
      <c r="N33" s="12"/>
      <c r="O33" s="12"/>
      <c r="P33" s="12">
        <f>SUM(I33:M33)</f>
        <v>-818452</v>
      </c>
    </row>
    <row r="34" spans="1:16">
      <c r="B34" t="s">
        <v>235</v>
      </c>
      <c r="H34" s="12"/>
      <c r="I34" s="12">
        <v>-25275010</v>
      </c>
      <c r="J34" s="12">
        <v>2103473</v>
      </c>
      <c r="K34" s="12"/>
      <c r="L34" s="12">
        <v>5460644</v>
      </c>
      <c r="M34" s="12"/>
      <c r="N34" s="12"/>
      <c r="O34" s="12"/>
      <c r="P34" s="12">
        <f t="shared" ref="P34" si="4">SUM(I34:M34)</f>
        <v>-17710893</v>
      </c>
    </row>
    <row r="35" spans="1:16">
      <c r="H35" s="12"/>
      <c r="I35" s="12"/>
      <c r="J35" s="12"/>
      <c r="K35" s="12"/>
      <c r="L35" s="12"/>
      <c r="M35" s="12"/>
      <c r="N35" s="12"/>
      <c r="O35" s="12"/>
    </row>
    <row r="36" spans="1:16">
      <c r="E36" s="19" t="s">
        <v>70</v>
      </c>
      <c r="F36" s="19"/>
      <c r="G36" s="19"/>
      <c r="H36" s="20"/>
      <c r="I36" s="20">
        <f>SUM(I32:I34)</f>
        <v>-88042651</v>
      </c>
      <c r="J36" s="20">
        <f t="shared" ref="J36:P36" si="5">SUM(J32:J34)</f>
        <v>26624629</v>
      </c>
      <c r="K36" s="20">
        <f t="shared" si="5"/>
        <v>24776908</v>
      </c>
      <c r="L36" s="20"/>
      <c r="M36" s="82">
        <f t="shared" si="5"/>
        <v>0</v>
      </c>
      <c r="N36" s="82">
        <f t="shared" si="5"/>
        <v>0</v>
      </c>
      <c r="O36" s="82">
        <f t="shared" si="5"/>
        <v>0</v>
      </c>
      <c r="P36" s="85">
        <f t="shared" si="5"/>
        <v>-29355470</v>
      </c>
    </row>
    <row r="37" spans="1:16">
      <c r="H37" s="12"/>
      <c r="I37" s="12"/>
      <c r="J37" s="12"/>
      <c r="K37" s="12"/>
      <c r="L37" s="12"/>
      <c r="M37" s="12"/>
      <c r="N37" s="12"/>
      <c r="O37" s="12"/>
    </row>
    <row r="38" spans="1:16">
      <c r="A38" s="8"/>
      <c r="B38" s="8"/>
      <c r="C38" s="8"/>
      <c r="D38" s="8"/>
      <c r="E38" s="8"/>
      <c r="G38" s="8" t="s">
        <v>25</v>
      </c>
      <c r="H38" s="26"/>
      <c r="I38" s="26"/>
      <c r="J38" s="26"/>
      <c r="K38" s="26"/>
      <c r="L38" s="26"/>
      <c r="M38" s="12"/>
      <c r="N38" s="12"/>
      <c r="O38" s="12"/>
    </row>
    <row r="39" spans="1:16">
      <c r="A39" s="8"/>
      <c r="B39" s="8"/>
      <c r="C39" s="8"/>
      <c r="D39" s="8"/>
      <c r="E39" s="8"/>
      <c r="G39" s="8"/>
      <c r="H39" s="80" t="s">
        <v>26</v>
      </c>
      <c r="I39" s="26"/>
      <c r="J39" s="26"/>
      <c r="K39" s="26"/>
      <c r="L39" s="26"/>
      <c r="M39" s="12"/>
      <c r="N39" s="12"/>
      <c r="O39" s="12"/>
    </row>
    <row r="40" spans="1:16">
      <c r="H40" s="12"/>
      <c r="I40" s="12" t="s">
        <v>27</v>
      </c>
      <c r="J40" s="12"/>
      <c r="K40" s="12"/>
      <c r="L40" s="12"/>
      <c r="M40" s="28">
        <v>98252896</v>
      </c>
      <c r="N40" s="12"/>
      <c r="O40" s="12">
        <f t="shared" ref="O40:O52" si="6">SUM(M40:N40)</f>
        <v>98252896</v>
      </c>
      <c r="P40" s="12">
        <v>16417996</v>
      </c>
    </row>
    <row r="41" spans="1:16">
      <c r="H41" s="12"/>
      <c r="I41" s="12" t="s">
        <v>236</v>
      </c>
      <c r="J41" s="12"/>
      <c r="K41" s="12"/>
      <c r="L41" s="12"/>
      <c r="M41" s="15">
        <v>24761520</v>
      </c>
      <c r="N41" s="12"/>
      <c r="O41" s="12">
        <f t="shared" si="6"/>
        <v>24761520</v>
      </c>
      <c r="P41" s="12"/>
    </row>
    <row r="42" spans="1:16">
      <c r="H42" s="12"/>
      <c r="I42" s="12" t="s">
        <v>28</v>
      </c>
      <c r="J42" s="12"/>
      <c r="K42" s="12"/>
      <c r="L42" s="12"/>
      <c r="M42" s="14">
        <v>223779923</v>
      </c>
      <c r="N42" s="12">
        <v>43583023</v>
      </c>
      <c r="O42" s="12">
        <f t="shared" si="6"/>
        <v>267362946</v>
      </c>
      <c r="P42" s="12"/>
    </row>
    <row r="43" spans="1:16">
      <c r="H43" s="12"/>
      <c r="I43" s="12" t="s">
        <v>237</v>
      </c>
      <c r="J43" s="12"/>
      <c r="K43" s="12"/>
      <c r="L43" s="12"/>
      <c r="M43" s="15">
        <v>2211310</v>
      </c>
      <c r="N43" s="12"/>
      <c r="O43" s="12">
        <f t="shared" si="6"/>
        <v>2211310</v>
      </c>
      <c r="P43" s="12">
        <v>2246904</v>
      </c>
    </row>
    <row r="44" spans="1:16">
      <c r="H44" s="12"/>
      <c r="I44" s="12" t="s">
        <v>238</v>
      </c>
      <c r="J44" s="12"/>
      <c r="K44" s="12"/>
      <c r="L44" s="12"/>
      <c r="M44" s="15">
        <v>10664408</v>
      </c>
      <c r="N44" s="12"/>
      <c r="O44" s="12">
        <f t="shared" si="6"/>
        <v>10664408</v>
      </c>
      <c r="P44" s="12"/>
    </row>
    <row r="45" spans="1:16">
      <c r="H45" s="12"/>
      <c r="I45" s="12" t="s">
        <v>239</v>
      </c>
      <c r="J45" s="12"/>
      <c r="K45" s="12"/>
      <c r="L45" s="12"/>
      <c r="M45" s="15">
        <v>3734350</v>
      </c>
      <c r="N45" s="12"/>
      <c r="O45" s="12">
        <f t="shared" si="6"/>
        <v>3734350</v>
      </c>
    </row>
    <row r="46" spans="1:16">
      <c r="H46" s="12"/>
      <c r="I46" s="12" t="s">
        <v>240</v>
      </c>
      <c r="J46" s="12"/>
      <c r="K46" s="12"/>
      <c r="L46" s="12"/>
      <c r="M46" s="14">
        <v>9218503</v>
      </c>
      <c r="N46" s="12"/>
      <c r="O46" s="12">
        <f t="shared" si="6"/>
        <v>9218503</v>
      </c>
    </row>
    <row r="47" spans="1:16">
      <c r="H47" s="12"/>
      <c r="I47" s="12" t="s">
        <v>241</v>
      </c>
      <c r="J47" s="12"/>
      <c r="K47" s="12"/>
      <c r="L47" s="12"/>
      <c r="M47" s="15">
        <v>1483091</v>
      </c>
      <c r="N47" s="12"/>
      <c r="O47" s="12">
        <f t="shared" si="6"/>
        <v>1483091</v>
      </c>
    </row>
    <row r="48" spans="1:16">
      <c r="H48" s="12" t="s">
        <v>36</v>
      </c>
      <c r="I48" s="12"/>
      <c r="J48" s="12"/>
      <c r="K48" s="12"/>
      <c r="L48" s="12"/>
      <c r="M48" s="29">
        <v>17480</v>
      </c>
      <c r="N48" s="12"/>
      <c r="O48" s="12">
        <f t="shared" si="6"/>
        <v>17480</v>
      </c>
    </row>
    <row r="49" spans="5:16">
      <c r="H49" s="12" t="s">
        <v>33</v>
      </c>
      <c r="I49" s="12"/>
      <c r="J49" s="12"/>
      <c r="K49" s="12"/>
      <c r="L49" s="12"/>
      <c r="M49" s="11">
        <v>5551706</v>
      </c>
      <c r="N49" s="12"/>
      <c r="O49" s="12">
        <f t="shared" si="6"/>
        <v>5551706</v>
      </c>
      <c r="P49">
        <v>557920</v>
      </c>
    </row>
    <row r="50" spans="5:16">
      <c r="H50" s="12" t="s">
        <v>50</v>
      </c>
      <c r="I50" s="12"/>
      <c r="J50" s="12"/>
      <c r="K50" s="12"/>
      <c r="L50" s="12"/>
      <c r="M50" s="29">
        <v>413278</v>
      </c>
      <c r="N50" s="12">
        <v>1035201</v>
      </c>
      <c r="O50" s="12">
        <f t="shared" si="6"/>
        <v>1448479</v>
      </c>
      <c r="P50" s="9">
        <v>6905053</v>
      </c>
    </row>
    <row r="51" spans="5:16">
      <c r="H51" s="12" t="s">
        <v>159</v>
      </c>
      <c r="I51" s="12"/>
      <c r="J51" s="12"/>
      <c r="K51" s="12"/>
      <c r="L51" s="12"/>
      <c r="M51" s="29">
        <v>813639</v>
      </c>
      <c r="N51" s="12">
        <v>147297</v>
      </c>
      <c r="O51" s="12">
        <f t="shared" si="6"/>
        <v>960936</v>
      </c>
      <c r="P51" s="9">
        <v>387379</v>
      </c>
    </row>
    <row r="52" spans="5:16">
      <c r="H52" s="12" t="s">
        <v>242</v>
      </c>
      <c r="I52" s="12"/>
      <c r="J52" s="12"/>
      <c r="K52" s="12"/>
      <c r="L52" s="12"/>
      <c r="M52" s="88">
        <v>886331</v>
      </c>
      <c r="N52" s="12">
        <v>-886331</v>
      </c>
      <c r="O52" s="12">
        <f t="shared" si="6"/>
        <v>0</v>
      </c>
      <c r="P52" s="9"/>
    </row>
    <row r="53" spans="5:16">
      <c r="H53" s="12"/>
      <c r="I53" s="12"/>
      <c r="J53" s="12"/>
      <c r="K53" s="12"/>
      <c r="L53" s="12"/>
      <c r="M53" s="12"/>
      <c r="N53" s="12"/>
      <c r="O53" s="12"/>
    </row>
    <row r="54" spans="5:16">
      <c r="H54" s="20" t="s">
        <v>243</v>
      </c>
      <c r="I54" s="20"/>
      <c r="J54" s="20"/>
      <c r="K54" s="20"/>
      <c r="L54" s="20"/>
      <c r="M54" s="20">
        <f>SUM(M40:M52)</f>
        <v>381788435</v>
      </c>
      <c r="N54" s="20">
        <f>SUM(N40:N52)</f>
        <v>43879190</v>
      </c>
      <c r="O54" s="20">
        <f>SUM(O40:O52)</f>
        <v>425667625</v>
      </c>
      <c r="P54" s="84">
        <f>SUM(P40:P51)</f>
        <v>26515252</v>
      </c>
    </row>
    <row r="55" spans="5:16">
      <c r="H55" s="12"/>
      <c r="I55" s="12"/>
      <c r="J55" s="12"/>
      <c r="K55" s="12"/>
      <c r="L55" s="12"/>
      <c r="M55" s="12"/>
      <c r="N55" s="12"/>
      <c r="O55" s="12"/>
    </row>
    <row r="56" spans="5:16">
      <c r="H56" s="20" t="s">
        <v>53</v>
      </c>
      <c r="I56" s="20"/>
      <c r="J56" s="20"/>
      <c r="K56" s="20"/>
      <c r="L56" s="20"/>
      <c r="M56" s="20">
        <f>M54+M29</f>
        <v>-7001075</v>
      </c>
      <c r="N56" s="20">
        <f t="shared" ref="N56:O56" si="7">N54+N29</f>
        <v>-42379253</v>
      </c>
      <c r="O56" s="20">
        <f t="shared" si="7"/>
        <v>-49380328</v>
      </c>
      <c r="P56" s="20">
        <f>P54+P36</f>
        <v>-2840218</v>
      </c>
    </row>
    <row r="57" spans="5:16">
      <c r="H57" s="26"/>
      <c r="I57" s="26"/>
      <c r="J57" s="26"/>
      <c r="K57" s="26"/>
      <c r="L57" s="26"/>
      <c r="M57" s="26"/>
      <c r="N57" s="26"/>
      <c r="O57" s="26"/>
    </row>
    <row r="58" spans="5:16">
      <c r="E58" s="31" t="s">
        <v>54</v>
      </c>
      <c r="F58" s="31"/>
      <c r="G58" s="31"/>
      <c r="H58" s="32"/>
      <c r="I58" s="32"/>
      <c r="J58" s="32"/>
      <c r="K58" s="32"/>
      <c r="L58" s="32"/>
      <c r="M58" s="33">
        <v>614633296</v>
      </c>
      <c r="N58" s="33">
        <v>925527089</v>
      </c>
      <c r="O58" s="33">
        <v>1540160385</v>
      </c>
      <c r="P58" s="86">
        <v>45352953</v>
      </c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E60" s="34" t="s">
        <v>55</v>
      </c>
      <c r="F60" s="34"/>
      <c r="G60" s="34"/>
      <c r="H60" s="35"/>
      <c r="I60" s="35"/>
      <c r="J60" s="35"/>
      <c r="K60" s="35"/>
      <c r="L60" s="35"/>
      <c r="M60" s="83">
        <f>SUM(M56,M58)</f>
        <v>607632221</v>
      </c>
      <c r="N60" s="83">
        <f>N58+N56</f>
        <v>883147836</v>
      </c>
      <c r="O60" s="83">
        <f>O58+O56</f>
        <v>1490780057</v>
      </c>
      <c r="P60" s="87">
        <f>P58+P56</f>
        <v>42512735</v>
      </c>
    </row>
    <row r="67" spans="11:15">
      <c r="K67" s="9"/>
      <c r="L67" s="9"/>
      <c r="M67" s="9"/>
      <c r="N67" s="9"/>
      <c r="O67" s="9"/>
    </row>
  </sheetData>
  <mergeCells count="4">
    <mergeCell ref="J2:M2"/>
    <mergeCell ref="M4:P4"/>
    <mergeCell ref="J5:K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5"/>
  <sheetViews>
    <sheetView workbookViewId="0">
      <selection activeCell="I26" sqref="I26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520" t="s">
        <v>56</v>
      </c>
      <c r="K1" s="520"/>
      <c r="L1" s="520"/>
      <c r="M1" s="520"/>
      <c r="N1" s="419"/>
      <c r="O1" s="419"/>
    </row>
    <row r="2" spans="1:15" ht="21.75" customHeight="1">
      <c r="J2" s="521" t="s">
        <v>1</v>
      </c>
      <c r="K2" s="521"/>
      <c r="L2" s="521"/>
      <c r="M2" s="521"/>
      <c r="N2" s="420"/>
      <c r="O2" s="420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2" t="s">
        <v>225</v>
      </c>
      <c r="N5" s="522"/>
      <c r="O5" s="522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s="10"/>
      <c r="C9" t="s">
        <v>60</v>
      </c>
      <c r="I9" s="9"/>
      <c r="J9" s="9"/>
      <c r="K9" s="9"/>
      <c r="L9" s="9"/>
      <c r="M9" s="9"/>
      <c r="N9" s="9"/>
      <c r="O9" s="9"/>
    </row>
    <row r="10" spans="1:15">
      <c r="D10" t="s">
        <v>61</v>
      </c>
      <c r="H10" s="12"/>
      <c r="I10" s="88">
        <v>-39938</v>
      </c>
      <c r="J10" s="12"/>
      <c r="K10" s="12"/>
      <c r="L10" s="12"/>
      <c r="M10" s="12">
        <f>SUM(I10:L10)</f>
        <v>-39938</v>
      </c>
      <c r="N10" s="12"/>
      <c r="O10" s="12">
        <f>SUM(M10:N10)</f>
        <v>-39938</v>
      </c>
    </row>
    <row r="11" spans="1:15">
      <c r="D11" t="s">
        <v>62</v>
      </c>
      <c r="H11" s="12"/>
      <c r="I11" s="89">
        <v>-613097</v>
      </c>
      <c r="J11" s="12">
        <v>442209</v>
      </c>
      <c r="K11" s="12">
        <v>1200</v>
      </c>
      <c r="L11" s="12"/>
      <c r="M11" s="12">
        <f t="shared" ref="M11:M12" si="0">SUM(I11:L11)</f>
        <v>-169688</v>
      </c>
      <c r="N11" s="12"/>
      <c r="O11" s="12">
        <f>SUM(M11:N11)</f>
        <v>-169688</v>
      </c>
    </row>
    <row r="12" spans="1:15">
      <c r="D12" t="s">
        <v>63</v>
      </c>
      <c r="H12" s="12"/>
      <c r="I12" s="91">
        <v>-52551</v>
      </c>
      <c r="J12" s="12"/>
      <c r="K12" s="12"/>
      <c r="L12" s="12"/>
      <c r="M12" s="12">
        <f t="shared" si="0"/>
        <v>-52551</v>
      </c>
      <c r="N12" s="12"/>
      <c r="O12" s="12">
        <f>SUM(M12:N12)</f>
        <v>-52551</v>
      </c>
    </row>
    <row r="13" spans="1:15">
      <c r="D13" t="s">
        <v>64</v>
      </c>
      <c r="H13" s="12"/>
      <c r="I13" s="96">
        <v>-219715</v>
      </c>
      <c r="J13" s="12"/>
      <c r="K13" s="12"/>
      <c r="L13" s="12"/>
      <c r="M13" s="12">
        <f>SUM(I13:L13)</f>
        <v>-219715</v>
      </c>
      <c r="N13" s="12"/>
      <c r="O13" s="12">
        <f>SUM(M13:N13)</f>
        <v>-219715</v>
      </c>
    </row>
    <row r="14" spans="1:15">
      <c r="D14" t="s">
        <v>65</v>
      </c>
      <c r="H14" s="12"/>
      <c r="I14" s="95">
        <v>-1092292</v>
      </c>
      <c r="J14" s="12"/>
      <c r="K14" s="12">
        <v>294206</v>
      </c>
      <c r="L14" s="12"/>
      <c r="M14" s="12">
        <f>SUM(I14:L14)</f>
        <v>-798086</v>
      </c>
      <c r="N14" s="12"/>
      <c r="O14" s="12">
        <f>SUM(M14:N14)</f>
        <v>-798086</v>
      </c>
    </row>
    <row r="15" spans="1:15">
      <c r="C15" t="s">
        <v>16</v>
      </c>
      <c r="H15" s="12"/>
      <c r="I15" s="13">
        <v>-452380</v>
      </c>
      <c r="J15" s="12"/>
      <c r="K15" s="12">
        <v>113082</v>
      </c>
      <c r="L15" s="12">
        <v>450626</v>
      </c>
      <c r="M15" s="12">
        <f t="shared" ref="M15:M21" si="1">SUM(I15:L15)</f>
        <v>111328</v>
      </c>
      <c r="N15" s="12"/>
      <c r="O15" s="12">
        <f t="shared" ref="O15:O21" si="2">SUM(M15:N15)</f>
        <v>111328</v>
      </c>
    </row>
    <row r="16" spans="1:15">
      <c r="C16" t="s">
        <v>17</v>
      </c>
      <c r="H16" s="12"/>
      <c r="I16" s="14">
        <v>-1558407</v>
      </c>
      <c r="J16" s="12">
        <v>101241</v>
      </c>
      <c r="K16" s="12">
        <v>264287</v>
      </c>
      <c r="L16" s="12"/>
      <c r="M16" s="12">
        <f t="shared" si="1"/>
        <v>-1192879</v>
      </c>
      <c r="N16" s="12"/>
      <c r="O16" s="12">
        <f t="shared" si="2"/>
        <v>-1192879</v>
      </c>
    </row>
    <row r="17" spans="1:15">
      <c r="C17" t="s">
        <v>19</v>
      </c>
      <c r="H17" s="12"/>
      <c r="I17" s="15">
        <v>-136634</v>
      </c>
      <c r="J17" s="12"/>
      <c r="K17" s="12"/>
      <c r="L17" s="12"/>
      <c r="M17" s="12">
        <f>SUM(I17:L17)</f>
        <v>-136634</v>
      </c>
      <c r="N17" s="12"/>
      <c r="O17" s="12">
        <f t="shared" si="2"/>
        <v>-136634</v>
      </c>
    </row>
    <row r="18" spans="1:15">
      <c r="C18" t="s">
        <v>20</v>
      </c>
      <c r="H18" s="12"/>
      <c r="I18" s="16">
        <v>-349005</v>
      </c>
      <c r="J18" s="12">
        <v>11585</v>
      </c>
      <c r="K18" s="12">
        <v>23045</v>
      </c>
      <c r="L18" s="12"/>
      <c r="M18" s="12">
        <f>SUM(I18:L18)</f>
        <v>-314375</v>
      </c>
      <c r="N18" s="12"/>
      <c r="O18" s="12">
        <f t="shared" si="2"/>
        <v>-314375</v>
      </c>
    </row>
    <row r="19" spans="1:15">
      <c r="C19" t="s">
        <v>18</v>
      </c>
      <c r="H19" s="12"/>
      <c r="I19" s="92">
        <v>-6860</v>
      </c>
      <c r="J19" s="12"/>
      <c r="K19" s="12"/>
      <c r="L19" s="12"/>
      <c r="M19" s="12">
        <f>SUM(I19:L19)</f>
        <v>-6860</v>
      </c>
      <c r="N19" s="12"/>
      <c r="O19" s="12">
        <f t="shared" si="2"/>
        <v>-6860</v>
      </c>
    </row>
    <row r="20" spans="1:15">
      <c r="C20" t="s">
        <v>164</v>
      </c>
      <c r="H20" s="12"/>
      <c r="I20" s="14">
        <v>-31501</v>
      </c>
      <c r="J20" s="12"/>
      <c r="K20" s="12"/>
      <c r="L20" s="12"/>
      <c r="M20" s="12">
        <f>SUM(I20:L20)</f>
        <v>-31501</v>
      </c>
      <c r="N20" s="12"/>
      <c r="O20" s="12">
        <f t="shared" si="2"/>
        <v>-31501</v>
      </c>
    </row>
    <row r="21" spans="1:15">
      <c r="C21" t="s">
        <v>21</v>
      </c>
      <c r="H21" s="12"/>
      <c r="I21" s="89">
        <v>-19777</v>
      </c>
      <c r="J21" s="12"/>
      <c r="K21" s="12"/>
      <c r="L21" s="12"/>
      <c r="M21" s="12">
        <f t="shared" si="1"/>
        <v>-19777</v>
      </c>
      <c r="N21" s="12"/>
      <c r="O21" s="12">
        <f t="shared" si="2"/>
        <v>-19777</v>
      </c>
    </row>
    <row r="22" spans="1:15">
      <c r="H22" s="12"/>
      <c r="I22" s="12"/>
      <c r="J22" s="12"/>
      <c r="K22" s="12"/>
      <c r="L22" s="12"/>
      <c r="M22" s="12"/>
      <c r="N22" s="12"/>
      <c r="O22" s="12"/>
    </row>
    <row r="23" spans="1:15">
      <c r="E23" s="19" t="s">
        <v>22</v>
      </c>
      <c r="F23" s="19"/>
      <c r="G23" s="19"/>
      <c r="H23" s="20"/>
      <c r="I23" s="20">
        <f>SUM(I10:I21)</f>
        <v>-4572157</v>
      </c>
      <c r="J23" s="20">
        <f>SUM(J10:J21)</f>
        <v>555035</v>
      </c>
      <c r="K23" s="20">
        <f>SUM(K10:K21)</f>
        <v>695820</v>
      </c>
      <c r="L23" s="20">
        <f>SUM(L10:L21)</f>
        <v>450626</v>
      </c>
      <c r="M23" s="82">
        <f>SUM(M10:M21)</f>
        <v>-2870676</v>
      </c>
      <c r="N23" s="82"/>
      <c r="O23" s="82">
        <f>SUM(O10:O21)</f>
        <v>-2870676</v>
      </c>
    </row>
    <row r="24" spans="1:15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5">
      <c r="B25" s="10" t="s">
        <v>116</v>
      </c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5">
      <c r="B26" s="10"/>
      <c r="C26" t="s">
        <v>19</v>
      </c>
      <c r="E26" s="8"/>
      <c r="F26" s="8"/>
      <c r="G26" s="8"/>
      <c r="H26" s="26"/>
      <c r="I26" s="465">
        <v>-630500</v>
      </c>
      <c r="J26" s="80">
        <v>3388</v>
      </c>
      <c r="K26" s="80">
        <v>631807</v>
      </c>
      <c r="L26" s="80">
        <v>0</v>
      </c>
      <c r="M26" s="80"/>
      <c r="N26" s="80">
        <f>SUM(I26:L26)</f>
        <v>4695</v>
      </c>
      <c r="O26" s="80">
        <f>SUM(M26:N26)</f>
        <v>4695</v>
      </c>
    </row>
    <row r="27" spans="1:15">
      <c r="B27" s="10"/>
      <c r="E27" s="8"/>
      <c r="F27" s="8"/>
      <c r="G27" s="8"/>
      <c r="H27" s="26"/>
      <c r="I27" s="80"/>
      <c r="J27" s="80"/>
      <c r="K27" s="80"/>
      <c r="L27" s="80"/>
      <c r="M27" s="80"/>
      <c r="N27" s="80"/>
      <c r="O27" s="80"/>
    </row>
    <row r="28" spans="1:15">
      <c r="E28" s="19" t="s">
        <v>244</v>
      </c>
      <c r="F28" s="19"/>
      <c r="G28" s="19"/>
      <c r="H28" s="20"/>
      <c r="I28" s="20">
        <f t="shared" ref="I28:O28" si="3">SUM(I26:I26)</f>
        <v>-630500</v>
      </c>
      <c r="J28" s="20">
        <f t="shared" si="3"/>
        <v>3388</v>
      </c>
      <c r="K28" s="20">
        <f t="shared" si="3"/>
        <v>631807</v>
      </c>
      <c r="L28" s="20">
        <f t="shared" si="3"/>
        <v>0</v>
      </c>
      <c r="M28" s="82">
        <f t="shared" si="3"/>
        <v>0</v>
      </c>
      <c r="N28" s="82">
        <f t="shared" si="3"/>
        <v>4695</v>
      </c>
      <c r="O28" s="82">
        <f t="shared" si="3"/>
        <v>4695</v>
      </c>
    </row>
    <row r="29" spans="1:15">
      <c r="H29" s="12"/>
      <c r="I29" s="12"/>
      <c r="J29" s="12"/>
      <c r="K29" s="12"/>
      <c r="L29" s="12"/>
      <c r="M29" s="12"/>
      <c r="N29" s="12"/>
      <c r="O29" s="12"/>
    </row>
    <row r="30" spans="1:15">
      <c r="A30" s="8"/>
      <c r="B30" s="8"/>
      <c r="C30" s="8"/>
      <c r="D30" s="8"/>
      <c r="E30" s="8"/>
      <c r="G30" s="8" t="s">
        <v>25</v>
      </c>
      <c r="H30" s="26"/>
      <c r="I30" s="26"/>
      <c r="J30" s="26"/>
      <c r="K30" s="26"/>
      <c r="L30" s="26"/>
      <c r="M30" s="12"/>
      <c r="N30" s="12"/>
      <c r="O30" s="12"/>
    </row>
    <row r="31" spans="1:15">
      <c r="A31" s="8"/>
      <c r="B31" s="8"/>
      <c r="C31" s="8"/>
      <c r="D31" s="8"/>
      <c r="E31" s="8"/>
      <c r="G31" s="8"/>
      <c r="H31" s="80" t="s">
        <v>26</v>
      </c>
      <c r="I31" s="26"/>
      <c r="J31" s="26"/>
      <c r="K31" s="26"/>
      <c r="L31" s="26"/>
      <c r="M31" s="12"/>
      <c r="N31" s="12"/>
      <c r="O31" s="12"/>
    </row>
    <row r="32" spans="1:15">
      <c r="H32" s="12"/>
      <c r="I32" s="12" t="s">
        <v>80</v>
      </c>
      <c r="J32" s="12"/>
      <c r="K32" s="12"/>
      <c r="L32" s="12"/>
      <c r="M32" s="28">
        <v>2230477</v>
      </c>
      <c r="N32" s="12"/>
      <c r="O32" s="12">
        <f t="shared" ref="O32:O40" si="4">SUM(M32:N32)</f>
        <v>2230477</v>
      </c>
    </row>
    <row r="33" spans="5:15">
      <c r="H33" s="12"/>
      <c r="I33" s="12" t="s">
        <v>245</v>
      </c>
      <c r="J33" s="12"/>
      <c r="K33" s="12"/>
      <c r="L33" s="12"/>
      <c r="M33" s="28">
        <v>72199</v>
      </c>
      <c r="N33" s="12"/>
      <c r="O33" s="12">
        <f t="shared" si="4"/>
        <v>72199</v>
      </c>
    </row>
    <row r="34" spans="5:15">
      <c r="H34" s="12"/>
      <c r="I34" s="12" t="s">
        <v>246</v>
      </c>
      <c r="J34" s="12"/>
      <c r="K34" s="12"/>
      <c r="L34" s="12"/>
      <c r="M34" s="14">
        <v>657398</v>
      </c>
      <c r="N34" s="12"/>
      <c r="O34" s="12">
        <f t="shared" si="4"/>
        <v>657398</v>
      </c>
    </row>
    <row r="35" spans="5:15">
      <c r="H35" s="12" t="s">
        <v>48</v>
      </c>
      <c r="I35" s="12"/>
      <c r="J35" s="12"/>
      <c r="K35" s="12"/>
      <c r="L35" s="12"/>
      <c r="M35" s="93">
        <v>47309</v>
      </c>
      <c r="N35" s="12"/>
      <c r="O35" s="12">
        <f t="shared" si="4"/>
        <v>47309</v>
      </c>
    </row>
    <row r="36" spans="5:15">
      <c r="H36" s="12" t="s">
        <v>73</v>
      </c>
      <c r="I36" s="12"/>
      <c r="J36" s="12"/>
      <c r="K36" s="12"/>
      <c r="L36" s="12"/>
      <c r="M36" s="15">
        <v>34249</v>
      </c>
      <c r="N36" s="12"/>
      <c r="O36" s="12">
        <f t="shared" si="4"/>
        <v>34249</v>
      </c>
    </row>
    <row r="37" spans="5:15">
      <c r="H37" s="12" t="s">
        <v>33</v>
      </c>
      <c r="I37" s="12"/>
      <c r="J37" s="12"/>
      <c r="K37" s="12"/>
      <c r="L37" s="12"/>
      <c r="M37" s="11">
        <v>60182</v>
      </c>
      <c r="N37" s="12"/>
      <c r="O37" s="12">
        <f t="shared" si="4"/>
        <v>60182</v>
      </c>
    </row>
    <row r="38" spans="5:15">
      <c r="H38" s="12" t="s">
        <v>106</v>
      </c>
      <c r="I38" s="12"/>
      <c r="J38" s="12"/>
      <c r="K38" s="12"/>
      <c r="L38" s="12"/>
      <c r="M38" s="29">
        <v>148989</v>
      </c>
      <c r="N38" s="12"/>
      <c r="O38" s="12">
        <f t="shared" si="4"/>
        <v>148989</v>
      </c>
    </row>
    <row r="39" spans="5:15">
      <c r="H39" s="12" t="s">
        <v>86</v>
      </c>
      <c r="I39" s="12"/>
      <c r="J39" s="12"/>
      <c r="K39" s="12"/>
      <c r="L39" s="12"/>
      <c r="M39" s="29">
        <v>4176</v>
      </c>
      <c r="N39" s="12">
        <v>280</v>
      </c>
      <c r="O39" s="12">
        <f t="shared" si="4"/>
        <v>4456</v>
      </c>
    </row>
    <row r="40" spans="5:15">
      <c r="H40" s="12" t="s">
        <v>36</v>
      </c>
      <c r="I40" s="12"/>
      <c r="J40" s="12"/>
      <c r="K40" s="12"/>
      <c r="L40" s="12"/>
      <c r="M40" s="29">
        <v>127335</v>
      </c>
      <c r="N40" s="12"/>
      <c r="O40" s="12">
        <f t="shared" si="4"/>
        <v>127335</v>
      </c>
    </row>
    <row r="41" spans="5:15">
      <c r="H41" s="12"/>
      <c r="I41" s="12"/>
      <c r="J41" s="12"/>
      <c r="K41" s="12"/>
      <c r="L41" s="12"/>
      <c r="M41" s="12"/>
      <c r="N41" s="12"/>
      <c r="O41" s="12"/>
    </row>
    <row r="42" spans="5:15">
      <c r="H42" s="20" t="s">
        <v>38</v>
      </c>
      <c r="I42" s="20"/>
      <c r="J42" s="20"/>
      <c r="K42" s="20"/>
      <c r="L42" s="20"/>
      <c r="M42" s="20">
        <f>SUM(M32:M40)</f>
        <v>3382314</v>
      </c>
      <c r="N42" s="20">
        <f>SUM(N32:N40)</f>
        <v>280</v>
      </c>
      <c r="O42" s="20">
        <f>SUM(O32:O40)</f>
        <v>3382594</v>
      </c>
    </row>
    <row r="43" spans="5:15">
      <c r="H43" s="12"/>
      <c r="I43" s="12"/>
      <c r="J43" s="12"/>
      <c r="K43" s="12"/>
      <c r="L43" s="12"/>
      <c r="M43" s="12"/>
      <c r="N43" s="12"/>
      <c r="O43" s="12"/>
    </row>
    <row r="44" spans="5:15">
      <c r="H44" s="20" t="s">
        <v>53</v>
      </c>
      <c r="I44" s="20"/>
      <c r="J44" s="20"/>
      <c r="K44" s="20"/>
      <c r="L44" s="20"/>
      <c r="M44" s="20">
        <f t="shared" ref="M44:N44" si="5">SUM(M23+M28+M42)</f>
        <v>511638</v>
      </c>
      <c r="N44" s="20">
        <f t="shared" si="5"/>
        <v>4975</v>
      </c>
      <c r="O44" s="20">
        <f>SUM(O23+O28+O42)</f>
        <v>516613</v>
      </c>
    </row>
    <row r="45" spans="5:15">
      <c r="H45" s="26"/>
      <c r="I45" s="26"/>
      <c r="J45" s="26"/>
      <c r="K45" s="26"/>
      <c r="L45" s="26"/>
      <c r="M45" s="26"/>
      <c r="N45" s="26"/>
      <c r="O45" s="26"/>
    </row>
    <row r="46" spans="5:15">
      <c r="E46" s="31" t="s">
        <v>247</v>
      </c>
      <c r="F46" s="31"/>
      <c r="G46" s="31"/>
      <c r="H46" s="32"/>
      <c r="I46" s="32"/>
      <c r="J46" s="32"/>
      <c r="K46" s="32"/>
      <c r="L46" s="32"/>
      <c r="M46" s="33">
        <v>10622325</v>
      </c>
      <c r="N46" s="33">
        <v>27339</v>
      </c>
      <c r="O46" s="33">
        <f>SUM(M46:N46)</f>
        <v>10649664</v>
      </c>
    </row>
    <row r="47" spans="5:15">
      <c r="H47" s="12"/>
      <c r="I47" s="12"/>
      <c r="J47" s="12"/>
      <c r="K47" s="12"/>
      <c r="L47" s="12"/>
      <c r="M47" s="12"/>
      <c r="N47" s="12"/>
      <c r="O47" s="12"/>
    </row>
    <row r="48" spans="5:15">
      <c r="E48" s="34" t="s">
        <v>248</v>
      </c>
      <c r="F48" s="34"/>
      <c r="G48" s="34"/>
      <c r="H48" s="35"/>
      <c r="I48" s="35"/>
      <c r="J48" s="35"/>
      <c r="K48" s="35"/>
      <c r="L48" s="35"/>
      <c r="M48" s="83">
        <f>SUM(M44,M46)</f>
        <v>11133963</v>
      </c>
      <c r="N48" s="83">
        <f>N46+N44</f>
        <v>32314</v>
      </c>
      <c r="O48" s="83">
        <f>O46+O44</f>
        <v>11166277</v>
      </c>
    </row>
    <row r="55" spans="11:15">
      <c r="K55" s="9"/>
      <c r="L55" s="9"/>
      <c r="M55" s="9"/>
      <c r="N55" s="9"/>
      <c r="O55" s="9"/>
    </row>
  </sheetData>
  <mergeCells count="4">
    <mergeCell ref="J1:M1"/>
    <mergeCell ref="J2:M2"/>
    <mergeCell ref="M5:O5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4"/>
  <sheetViews>
    <sheetView workbookViewId="0">
      <selection activeCell="M21" sqref="M21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5" max="5" width="25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520" t="s">
        <v>249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.75">
      <c r="E4" s="2"/>
      <c r="M4" s="432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324" t="s">
        <v>250</v>
      </c>
    </row>
    <row r="7" spans="1:13">
      <c r="B7" s="10" t="s">
        <v>14</v>
      </c>
      <c r="I7" s="9"/>
      <c r="J7" s="9"/>
      <c r="K7" s="9"/>
      <c r="L7" s="9"/>
      <c r="M7" s="9"/>
    </row>
    <row r="8" spans="1:13">
      <c r="C8" t="s">
        <v>15</v>
      </c>
      <c r="H8" s="12"/>
      <c r="I8" s="11">
        <v>-950109.55</v>
      </c>
      <c r="J8" s="12">
        <v>9207.11</v>
      </c>
      <c r="K8" s="12">
        <v>6729.26</v>
      </c>
      <c r="L8" s="12"/>
      <c r="M8" s="12">
        <f t="shared" ref="M8:M13" si="0">SUM(I8:L8)</f>
        <v>-934173.18</v>
      </c>
    </row>
    <row r="9" spans="1:13">
      <c r="C9" t="s">
        <v>20</v>
      </c>
      <c r="H9" s="12"/>
      <c r="I9" s="16">
        <v>-4586.9399999999996</v>
      </c>
      <c r="J9" s="12"/>
      <c r="K9" s="12"/>
      <c r="L9" s="12"/>
      <c r="M9" s="12">
        <f t="shared" si="0"/>
        <v>-4586.9399999999996</v>
      </c>
    </row>
    <row r="10" spans="1:13">
      <c r="C10" t="s">
        <v>44</v>
      </c>
      <c r="H10" s="12"/>
      <c r="I10" s="92">
        <v>-9587.67</v>
      </c>
      <c r="J10" s="12"/>
      <c r="K10" s="12"/>
      <c r="L10" s="12"/>
      <c r="M10" s="12">
        <f t="shared" si="0"/>
        <v>-9587.67</v>
      </c>
    </row>
    <row r="11" spans="1:13">
      <c r="C11" t="s">
        <v>19</v>
      </c>
      <c r="H11" s="12"/>
      <c r="I11" s="15">
        <v>-329817.02</v>
      </c>
      <c r="J11" s="12"/>
      <c r="K11" s="12">
        <v>132152</v>
      </c>
      <c r="L11" s="12"/>
      <c r="M11" s="12">
        <f t="shared" si="0"/>
        <v>-197665.02000000002</v>
      </c>
    </row>
    <row r="12" spans="1:13">
      <c r="C12" t="s">
        <v>16</v>
      </c>
      <c r="H12" s="12"/>
      <c r="I12" s="13">
        <v>-1169097.24</v>
      </c>
      <c r="J12" s="12">
        <v>146700.56</v>
      </c>
      <c r="K12" s="12">
        <v>137752.09</v>
      </c>
      <c r="L12" s="12">
        <v>259734.7</v>
      </c>
      <c r="M12" s="12">
        <f t="shared" si="0"/>
        <v>-624909.8899999999</v>
      </c>
    </row>
    <row r="13" spans="1:13">
      <c r="C13" t="s">
        <v>17</v>
      </c>
      <c r="H13" s="12"/>
      <c r="I13" s="378">
        <v>-2638111.11</v>
      </c>
      <c r="J13" s="18"/>
      <c r="K13" s="18"/>
      <c r="L13" s="18">
        <v>2136459.2400000002</v>
      </c>
      <c r="M13" s="18">
        <f t="shared" si="0"/>
        <v>-501651.86999999965</v>
      </c>
    </row>
    <row r="14" spans="1:13">
      <c r="H14" s="12"/>
      <c r="I14" s="12"/>
      <c r="J14" s="12"/>
      <c r="K14" s="12"/>
      <c r="L14" s="12"/>
      <c r="M14" s="12"/>
    </row>
    <row r="15" spans="1:13">
      <c r="E15" s="19" t="s">
        <v>251</v>
      </c>
      <c r="F15" s="19"/>
      <c r="G15" s="19"/>
      <c r="H15" s="20"/>
      <c r="I15" s="20">
        <f>SUM(I8:I13)</f>
        <v>-5101309.5299999993</v>
      </c>
      <c r="J15" s="20">
        <f>SUM(J8:J13)</f>
        <v>155907.66999999998</v>
      </c>
      <c r="K15" s="20">
        <f>SUM(K8:K13)</f>
        <v>276633.34999999998</v>
      </c>
      <c r="L15" s="20">
        <f>SUM(L8:L13)</f>
        <v>2396193.9400000004</v>
      </c>
      <c r="M15" s="82">
        <f>SUM(M8:M13)</f>
        <v>-2272574.5699999994</v>
      </c>
    </row>
    <row r="16" spans="1:13">
      <c r="H16" s="12"/>
      <c r="I16" s="12"/>
      <c r="J16" s="12"/>
      <c r="K16" s="12"/>
      <c r="L16" s="12"/>
      <c r="M16" s="12"/>
    </row>
    <row r="17" spans="1:13">
      <c r="A17" s="8"/>
      <c r="B17" s="8"/>
      <c r="C17" s="8"/>
      <c r="D17" s="8"/>
      <c r="E17" s="8"/>
      <c r="G17" s="8" t="s">
        <v>252</v>
      </c>
      <c r="H17" s="26"/>
      <c r="I17" s="26"/>
      <c r="J17" s="26"/>
      <c r="K17" s="26"/>
      <c r="L17" s="26"/>
      <c r="M17" s="12"/>
    </row>
    <row r="18" spans="1:13">
      <c r="A18" s="8"/>
      <c r="B18" s="8"/>
      <c r="C18" s="8"/>
      <c r="D18" s="8"/>
      <c r="E18" s="8"/>
      <c r="G18" s="8"/>
      <c r="H18" s="80" t="s">
        <v>253</v>
      </c>
      <c r="I18" s="26"/>
      <c r="J18" s="26"/>
      <c r="K18" s="26"/>
      <c r="L18" s="26"/>
      <c r="M18" s="93">
        <v>406135.5</v>
      </c>
    </row>
    <row r="19" spans="1:13">
      <c r="A19" s="8"/>
      <c r="B19" s="8"/>
      <c r="C19" s="8"/>
      <c r="D19" s="8"/>
      <c r="E19" s="8"/>
      <c r="G19" s="8"/>
      <c r="H19" s="80" t="s">
        <v>26</v>
      </c>
      <c r="I19" s="26"/>
      <c r="J19" s="26"/>
      <c r="K19" s="26"/>
      <c r="L19" s="26"/>
      <c r="M19" s="12"/>
    </row>
    <row r="20" spans="1:13">
      <c r="H20" s="12"/>
      <c r="I20" s="12" t="s">
        <v>46</v>
      </c>
      <c r="J20" s="12"/>
      <c r="K20" s="12"/>
      <c r="L20" s="12"/>
      <c r="M20" s="28">
        <v>836005.3</v>
      </c>
    </row>
    <row r="21" spans="1:13">
      <c r="H21" s="12"/>
      <c r="I21" s="12" t="s">
        <v>29</v>
      </c>
      <c r="J21" s="12"/>
      <c r="K21" s="12"/>
      <c r="L21" s="12"/>
      <c r="M21" s="15">
        <v>420876.36</v>
      </c>
    </row>
    <row r="22" spans="1:13">
      <c r="H22" s="12"/>
      <c r="I22" s="12" t="s">
        <v>28</v>
      </c>
      <c r="J22" s="12"/>
      <c r="K22" s="12"/>
      <c r="L22" s="12"/>
      <c r="M22" s="14">
        <v>4076159.5</v>
      </c>
    </row>
    <row r="23" spans="1:13">
      <c r="H23" s="12" t="s">
        <v>254</v>
      </c>
      <c r="I23" s="12"/>
      <c r="J23" s="12"/>
      <c r="K23" s="12"/>
      <c r="L23" s="12"/>
      <c r="M23" s="29">
        <v>10173.51</v>
      </c>
    </row>
    <row r="24" spans="1:13">
      <c r="H24" s="12" t="s">
        <v>255</v>
      </c>
      <c r="I24" s="12"/>
      <c r="J24" s="12"/>
      <c r="K24" s="12"/>
      <c r="L24" s="12"/>
      <c r="M24" s="29">
        <v>85614.52</v>
      </c>
    </row>
    <row r="25" spans="1:13">
      <c r="H25" s="12" t="s">
        <v>106</v>
      </c>
      <c r="I25" s="12"/>
      <c r="J25" s="12"/>
      <c r="K25" s="12"/>
      <c r="L25" s="12"/>
      <c r="M25" s="29">
        <v>300353.89</v>
      </c>
    </row>
    <row r="26" spans="1:13">
      <c r="H26" s="12" t="s">
        <v>256</v>
      </c>
      <c r="I26" s="12"/>
      <c r="J26" s="12"/>
      <c r="K26" s="12"/>
      <c r="L26" s="12"/>
      <c r="M26" s="412">
        <v>85501.98</v>
      </c>
    </row>
    <row r="27" spans="1:13">
      <c r="H27" s="12" t="s">
        <v>257</v>
      </c>
      <c r="I27" s="12"/>
      <c r="J27" s="12"/>
      <c r="K27" s="12"/>
      <c r="L27" s="12"/>
      <c r="M27" s="412">
        <v>99708.18</v>
      </c>
    </row>
    <row r="28" spans="1:13">
      <c r="H28" s="12" t="s">
        <v>258</v>
      </c>
      <c r="I28" s="12"/>
      <c r="J28" s="12"/>
      <c r="K28" s="12"/>
      <c r="L28" s="12"/>
      <c r="M28" s="29">
        <v>1095.07</v>
      </c>
    </row>
    <row r="29" spans="1:13">
      <c r="H29" s="12" t="s">
        <v>169</v>
      </c>
      <c r="I29" s="12"/>
      <c r="J29" s="12"/>
      <c r="K29" s="12"/>
      <c r="L29" s="12"/>
      <c r="M29" s="29">
        <v>-7665.45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243</v>
      </c>
      <c r="I31" s="20"/>
      <c r="J31" s="20"/>
      <c r="K31" s="20"/>
      <c r="L31" s="20"/>
      <c r="M31" s="20">
        <f>SUM(M18:M29)</f>
        <v>6313958.3599999994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53</v>
      </c>
      <c r="I33" s="20"/>
      <c r="J33" s="20"/>
      <c r="K33" s="20"/>
      <c r="L33" s="20"/>
      <c r="M33" s="20">
        <f>SUM(M15,M31)</f>
        <v>4041383.79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54</v>
      </c>
      <c r="F35" s="31"/>
      <c r="G35" s="31"/>
      <c r="H35" s="32"/>
      <c r="I35" s="32"/>
      <c r="J35" s="32"/>
      <c r="K35" s="32"/>
      <c r="L35" s="32"/>
      <c r="M35" s="33">
        <v>14654713.640000001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55</v>
      </c>
      <c r="F37" s="34"/>
      <c r="G37" s="34"/>
      <c r="H37" s="35"/>
      <c r="I37" s="35"/>
      <c r="J37" s="35"/>
      <c r="K37" s="35"/>
      <c r="L37" s="35"/>
      <c r="M37" s="83">
        <f>SUM(M33,M35)</f>
        <v>18696097.43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1"/>
  <sheetViews>
    <sheetView topLeftCell="A3" workbookViewId="0">
      <selection activeCell="I20" sqref="I20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520" t="s">
        <v>259</v>
      </c>
      <c r="K1" s="520"/>
      <c r="L1" s="520"/>
      <c r="M1" s="520"/>
      <c r="N1" s="419"/>
      <c r="O1" s="419"/>
    </row>
    <row r="2" spans="1:15" ht="21.75" customHeight="1">
      <c r="J2" s="521" t="s">
        <v>1</v>
      </c>
      <c r="K2" s="521"/>
      <c r="L2" s="521"/>
      <c r="M2" s="521"/>
      <c r="N2" s="420"/>
      <c r="O2" s="420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3.75" customHeight="1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522" t="s">
        <v>2</v>
      </c>
      <c r="N4" s="522"/>
      <c r="O4" s="522"/>
    </row>
    <row r="5" spans="1:15" ht="44.25" customHeight="1">
      <c r="A5" s="5"/>
      <c r="I5" s="6" t="s">
        <v>7</v>
      </c>
      <c r="J5" s="6" t="s">
        <v>79</v>
      </c>
      <c r="K5" s="6" t="s">
        <v>9</v>
      </c>
      <c r="L5" s="6" t="s">
        <v>10</v>
      </c>
      <c r="M5" s="6" t="s">
        <v>58</v>
      </c>
      <c r="N5" s="6" t="s">
        <v>147</v>
      </c>
      <c r="O5" s="6" t="s">
        <v>59</v>
      </c>
    </row>
    <row r="6" spans="1:15" ht="30.75" customHeight="1">
      <c r="A6" s="8" t="s">
        <v>13</v>
      </c>
      <c r="I6" s="9"/>
      <c r="J6" s="9"/>
      <c r="K6" s="9"/>
      <c r="L6" s="9"/>
    </row>
    <row r="7" spans="1:15">
      <c r="B7" s="10" t="s">
        <v>14</v>
      </c>
      <c r="I7" s="9"/>
      <c r="J7" s="9"/>
      <c r="K7" s="9"/>
      <c r="L7" s="9"/>
      <c r="M7" s="9"/>
      <c r="N7" s="9"/>
      <c r="O7" s="9"/>
    </row>
    <row r="8" spans="1:15">
      <c r="C8" t="s">
        <v>15</v>
      </c>
      <c r="H8" s="12"/>
      <c r="I8" s="11">
        <v>-2303564</v>
      </c>
      <c r="J8" s="12">
        <v>650407</v>
      </c>
      <c r="K8" s="12"/>
      <c r="L8" s="12"/>
      <c r="M8" s="12">
        <f t="shared" ref="M8:M14" si="0">SUM(I8:L8)</f>
        <v>-1653157</v>
      </c>
      <c r="N8" s="12"/>
      <c r="O8" s="12">
        <f t="shared" ref="O8:O14" si="1">SUM(M8:N8)</f>
        <v>-1653157</v>
      </c>
    </row>
    <row r="9" spans="1:15">
      <c r="C9" t="s">
        <v>16</v>
      </c>
      <c r="H9" s="12"/>
      <c r="I9" s="13">
        <v>-844114</v>
      </c>
      <c r="J9" s="12"/>
      <c r="K9" s="12">
        <v>93919</v>
      </c>
      <c r="L9" s="12"/>
      <c r="M9" s="12">
        <f t="shared" si="0"/>
        <v>-750195</v>
      </c>
      <c r="N9" s="12"/>
      <c r="O9" s="12">
        <f t="shared" si="1"/>
        <v>-750195</v>
      </c>
    </row>
    <row r="10" spans="1:15">
      <c r="C10" t="s">
        <v>17</v>
      </c>
      <c r="H10" s="12"/>
      <c r="I10" s="14">
        <v>-7176279</v>
      </c>
      <c r="J10" s="12">
        <v>125770</v>
      </c>
      <c r="K10" s="12">
        <v>462208</v>
      </c>
      <c r="L10" s="12">
        <v>533621</v>
      </c>
      <c r="M10" s="12">
        <f t="shared" si="0"/>
        <v>-6054680</v>
      </c>
      <c r="N10" s="12"/>
      <c r="O10" s="12">
        <f t="shared" si="1"/>
        <v>-6054680</v>
      </c>
    </row>
    <row r="11" spans="1:15">
      <c r="C11" t="s">
        <v>19</v>
      </c>
      <c r="H11" s="12"/>
      <c r="I11" s="15">
        <v>-483095</v>
      </c>
      <c r="J11" s="12"/>
      <c r="K11" s="12"/>
      <c r="L11" s="12"/>
      <c r="M11" s="12">
        <f t="shared" si="0"/>
        <v>-483095</v>
      </c>
      <c r="N11" s="12"/>
      <c r="O11" s="12">
        <f t="shared" si="1"/>
        <v>-483095</v>
      </c>
    </row>
    <row r="12" spans="1:15">
      <c r="C12" t="s">
        <v>20</v>
      </c>
      <c r="H12" s="12"/>
      <c r="I12" s="16">
        <v>-1293548</v>
      </c>
      <c r="J12" s="12">
        <v>237288</v>
      </c>
      <c r="K12" s="12">
        <v>26748</v>
      </c>
      <c r="L12" s="12"/>
      <c r="M12" s="12">
        <f t="shared" si="0"/>
        <v>-1029512</v>
      </c>
      <c r="N12" s="12"/>
      <c r="O12" s="12">
        <f t="shared" si="1"/>
        <v>-1029512</v>
      </c>
    </row>
    <row r="13" spans="1:15">
      <c r="C13" t="s">
        <v>44</v>
      </c>
      <c r="H13" s="12"/>
      <c r="I13" s="92">
        <v>-213035</v>
      </c>
      <c r="J13" s="12"/>
      <c r="K13" s="12"/>
      <c r="L13" s="12"/>
      <c r="M13" s="12">
        <f t="shared" si="0"/>
        <v>-213035</v>
      </c>
      <c r="N13" s="12"/>
      <c r="O13" s="12">
        <f t="shared" si="1"/>
        <v>-213035</v>
      </c>
    </row>
    <row r="14" spans="1:15">
      <c r="C14" t="s">
        <v>21</v>
      </c>
      <c r="H14" s="12"/>
      <c r="I14" s="89">
        <v>-1087451</v>
      </c>
      <c r="J14" s="12"/>
      <c r="K14" s="12"/>
      <c r="L14" s="12"/>
      <c r="M14" s="12">
        <f t="shared" si="0"/>
        <v>-1087451</v>
      </c>
      <c r="N14" s="12"/>
      <c r="O14" s="12">
        <f t="shared" si="1"/>
        <v>-1087451</v>
      </c>
    </row>
    <row r="15" spans="1:15">
      <c r="H15" s="12"/>
      <c r="I15" s="12"/>
      <c r="J15" s="12"/>
      <c r="K15" s="12"/>
      <c r="L15" s="12"/>
      <c r="M15" s="12"/>
      <c r="N15" s="12"/>
      <c r="O15" s="12"/>
    </row>
    <row r="16" spans="1:15">
      <c r="E16" s="19" t="s">
        <v>22</v>
      </c>
      <c r="F16" s="19"/>
      <c r="G16" s="19"/>
      <c r="H16" s="20"/>
      <c r="I16" s="20">
        <f>SUM(I8:I14)</f>
        <v>-13401086</v>
      </c>
      <c r="J16" s="20">
        <f>SUM(J8:J14)</f>
        <v>1013465</v>
      </c>
      <c r="K16" s="20">
        <f>SUM(K8:K14)</f>
        <v>582875</v>
      </c>
      <c r="L16" s="20">
        <f>SUM(L8:L14)</f>
        <v>533621</v>
      </c>
      <c r="M16" s="82">
        <f>SUM(M8:M14)</f>
        <v>-11271125</v>
      </c>
      <c r="N16" s="82"/>
      <c r="O16" s="82">
        <f>SUM(O8:O14)</f>
        <v>-11271125</v>
      </c>
    </row>
    <row r="17" spans="1:15">
      <c r="E17" s="8"/>
      <c r="F17" s="8"/>
      <c r="G17" s="8"/>
      <c r="H17" s="26"/>
      <c r="I17" s="26"/>
      <c r="J17" s="26"/>
      <c r="K17" s="26"/>
      <c r="L17" s="26"/>
      <c r="M17" s="26"/>
      <c r="N17" s="26"/>
      <c r="O17" s="26"/>
    </row>
    <row r="18" spans="1:15">
      <c r="B18" s="10" t="s">
        <v>116</v>
      </c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5">
      <c r="B19" s="10"/>
      <c r="C19" t="s">
        <v>260</v>
      </c>
      <c r="E19" s="8"/>
      <c r="F19" s="8"/>
      <c r="G19" s="8"/>
      <c r="H19" s="26"/>
      <c r="I19" s="464">
        <v>-57232</v>
      </c>
      <c r="J19" s="80">
        <v>38890</v>
      </c>
      <c r="K19" s="80"/>
      <c r="L19" s="80"/>
      <c r="M19" s="80"/>
      <c r="N19" s="80">
        <f>SUM(I19:L19)</f>
        <v>-18342</v>
      </c>
      <c r="O19" s="80">
        <f>N19</f>
        <v>-18342</v>
      </c>
    </row>
    <row r="20" spans="1:15">
      <c r="B20" s="10"/>
      <c r="C20" t="s">
        <v>261</v>
      </c>
      <c r="E20" s="8"/>
      <c r="F20" s="8"/>
      <c r="G20" s="8"/>
      <c r="H20" s="26"/>
      <c r="I20" s="468">
        <v>-554475</v>
      </c>
      <c r="J20" s="80"/>
      <c r="K20" s="80">
        <v>525342</v>
      </c>
      <c r="L20" s="80"/>
      <c r="M20" s="80"/>
      <c r="N20" s="80">
        <f>SUM(I20:L20)</f>
        <v>-29133</v>
      </c>
      <c r="O20" s="80">
        <f>N20</f>
        <v>-29133</v>
      </c>
    </row>
    <row r="21" spans="1:15">
      <c r="B21" s="10"/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5">
      <c r="E22" s="19" t="s">
        <v>117</v>
      </c>
      <c r="F22" s="19"/>
      <c r="G22" s="19"/>
      <c r="H22" s="20"/>
      <c r="I22" s="20">
        <f t="shared" ref="I22:O22" si="2">SUM(I19:I20)</f>
        <v>-611707</v>
      </c>
      <c r="J22" s="20">
        <f t="shared" si="2"/>
        <v>38890</v>
      </c>
      <c r="K22" s="20">
        <f t="shared" si="2"/>
        <v>525342</v>
      </c>
      <c r="L22" s="20">
        <f t="shared" si="2"/>
        <v>0</v>
      </c>
      <c r="M22" s="82">
        <f t="shared" si="2"/>
        <v>0</v>
      </c>
      <c r="N22" s="82">
        <f t="shared" si="2"/>
        <v>-47475</v>
      </c>
      <c r="O22" s="82">
        <f t="shared" si="2"/>
        <v>-47475</v>
      </c>
    </row>
    <row r="23" spans="1:15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5">
      <c r="E24" s="19" t="s">
        <v>67</v>
      </c>
      <c r="F24" s="19"/>
      <c r="G24" s="19"/>
      <c r="H24" s="20"/>
      <c r="I24" s="20">
        <f t="shared" ref="I24:O24" si="3">I22+I16</f>
        <v>-14012793</v>
      </c>
      <c r="J24" s="20">
        <f t="shared" si="3"/>
        <v>1052355</v>
      </c>
      <c r="K24" s="20">
        <f t="shared" si="3"/>
        <v>1108217</v>
      </c>
      <c r="L24" s="20">
        <f t="shared" si="3"/>
        <v>533621</v>
      </c>
      <c r="M24" s="82">
        <f t="shared" si="3"/>
        <v>-11271125</v>
      </c>
      <c r="N24" s="82">
        <f t="shared" si="3"/>
        <v>-47475</v>
      </c>
      <c r="O24" s="82">
        <f t="shared" si="3"/>
        <v>-11318600</v>
      </c>
    </row>
    <row r="25" spans="1:15">
      <c r="H25" s="12"/>
      <c r="I25" s="12"/>
      <c r="J25" s="12"/>
      <c r="K25" s="12"/>
      <c r="L25" s="12"/>
      <c r="M25" s="12"/>
      <c r="N25" s="12"/>
      <c r="O25" s="12"/>
    </row>
    <row r="26" spans="1:15">
      <c r="A26" s="8"/>
      <c r="B26" s="8"/>
      <c r="C26" s="8"/>
      <c r="D26" s="8"/>
      <c r="E26" s="8"/>
      <c r="G26" s="8" t="s">
        <v>25</v>
      </c>
      <c r="H26" s="26"/>
      <c r="I26" s="26"/>
      <c r="J26" s="26"/>
      <c r="K26" s="26"/>
      <c r="L26" s="26"/>
      <c r="M26" s="12"/>
      <c r="N26" s="12"/>
      <c r="O26" s="12"/>
    </row>
    <row r="27" spans="1:15">
      <c r="A27" s="8"/>
      <c r="B27" s="8"/>
      <c r="C27" s="8"/>
      <c r="D27" s="8"/>
      <c r="E27" s="8"/>
      <c r="G27" s="8"/>
      <c r="H27" s="80" t="s">
        <v>26</v>
      </c>
      <c r="I27" s="26"/>
      <c r="J27" s="26"/>
      <c r="K27" s="26"/>
      <c r="L27" s="26"/>
      <c r="M27" s="12"/>
      <c r="N27" s="12"/>
      <c r="O27" s="12"/>
    </row>
    <row r="28" spans="1:15">
      <c r="H28" s="12"/>
      <c r="I28" s="12" t="s">
        <v>80</v>
      </c>
      <c r="J28" s="12"/>
      <c r="K28" s="12"/>
      <c r="L28" s="12"/>
      <c r="M28" s="28">
        <v>5857491</v>
      </c>
      <c r="N28" s="12"/>
      <c r="O28" s="12">
        <f>SUM(M28:N28)</f>
        <v>5857491</v>
      </c>
    </row>
    <row r="29" spans="1:15">
      <c r="H29" s="12"/>
      <c r="I29" s="12" t="s">
        <v>81</v>
      </c>
      <c r="J29" s="12"/>
      <c r="K29" s="12"/>
      <c r="L29" s="12"/>
      <c r="M29" s="14">
        <v>3282902</v>
      </c>
      <c r="N29" s="12"/>
      <c r="O29" s="12">
        <f>SUM(M29:N29)</f>
        <v>3282902</v>
      </c>
    </row>
    <row r="30" spans="1:15">
      <c r="H30" s="12" t="s">
        <v>82</v>
      </c>
      <c r="I30" s="12"/>
      <c r="J30" s="12"/>
      <c r="K30" s="12"/>
      <c r="L30" s="12"/>
      <c r="M30" s="12"/>
      <c r="N30" s="12"/>
      <c r="O30" s="12"/>
    </row>
    <row r="31" spans="1:15">
      <c r="H31" s="12"/>
      <c r="I31" s="12" t="s">
        <v>262</v>
      </c>
      <c r="J31" s="12"/>
      <c r="K31" s="12"/>
      <c r="L31" s="12"/>
      <c r="M31" s="11">
        <v>5024</v>
      </c>
      <c r="N31" s="12"/>
      <c r="O31" s="12">
        <f t="shared" ref="O31:O36" si="4">SUM(M31:N31)</f>
        <v>5024</v>
      </c>
    </row>
    <row r="32" spans="1:15">
      <c r="H32" s="12"/>
      <c r="I32" s="12" t="s">
        <v>48</v>
      </c>
      <c r="J32" s="12"/>
      <c r="K32" s="12"/>
      <c r="L32" s="12"/>
      <c r="M32" s="93">
        <v>233286</v>
      </c>
      <c r="N32" s="12"/>
      <c r="O32" s="12">
        <f t="shared" si="4"/>
        <v>233286</v>
      </c>
    </row>
    <row r="33" spans="5:15">
      <c r="H33" s="12"/>
      <c r="I33" s="12" t="s">
        <v>83</v>
      </c>
      <c r="J33" s="12"/>
      <c r="K33" s="12"/>
      <c r="L33" s="12"/>
      <c r="M33" s="11">
        <v>1180378</v>
      </c>
      <c r="N33" s="12"/>
      <c r="O33" s="12">
        <f t="shared" si="4"/>
        <v>1180378</v>
      </c>
    </row>
    <row r="34" spans="5:15">
      <c r="H34" s="12"/>
      <c r="I34" s="12" t="s">
        <v>263</v>
      </c>
      <c r="J34" s="12"/>
      <c r="K34" s="12"/>
      <c r="L34" s="12"/>
      <c r="M34" s="11">
        <v>201048</v>
      </c>
      <c r="N34" s="12"/>
      <c r="O34" s="12">
        <f t="shared" si="4"/>
        <v>201048</v>
      </c>
    </row>
    <row r="35" spans="5:15">
      <c r="H35" s="12" t="s">
        <v>86</v>
      </c>
      <c r="I35" s="12"/>
      <c r="J35" s="12"/>
      <c r="K35" s="12"/>
      <c r="L35" s="12"/>
      <c r="M35" s="29">
        <v>85138</v>
      </c>
      <c r="N35" s="12">
        <v>161</v>
      </c>
      <c r="O35" s="12">
        <f t="shared" si="4"/>
        <v>85299</v>
      </c>
    </row>
    <row r="36" spans="5:15">
      <c r="H36" s="12" t="s">
        <v>36</v>
      </c>
      <c r="I36" s="12"/>
      <c r="J36" s="12"/>
      <c r="K36" s="12"/>
      <c r="L36" s="12"/>
      <c r="M36" s="29">
        <v>589263</v>
      </c>
      <c r="N36" s="12"/>
      <c r="O36" s="12">
        <f t="shared" si="4"/>
        <v>589263</v>
      </c>
    </row>
    <row r="37" spans="5:15">
      <c r="H37" s="12"/>
      <c r="I37" s="12"/>
      <c r="J37" s="12"/>
      <c r="K37" s="12"/>
      <c r="L37" s="12"/>
      <c r="M37" s="12"/>
      <c r="N37" s="12"/>
      <c r="O37" s="12"/>
    </row>
    <row r="38" spans="5:15">
      <c r="H38" s="20" t="s">
        <v>38</v>
      </c>
      <c r="I38" s="20"/>
      <c r="J38" s="20"/>
      <c r="K38" s="20"/>
      <c r="L38" s="20"/>
      <c r="M38" s="20">
        <f>SUM(M28:M36)</f>
        <v>11434530</v>
      </c>
      <c r="N38" s="20">
        <f>SUM(N28:N36)</f>
        <v>161</v>
      </c>
      <c r="O38" s="20">
        <f>SUM(O28:O36)</f>
        <v>11434691</v>
      </c>
    </row>
    <row r="39" spans="5:15">
      <c r="H39" s="12"/>
      <c r="I39" s="12"/>
      <c r="J39" s="12"/>
      <c r="K39" s="12"/>
      <c r="L39" s="12"/>
      <c r="M39" s="12"/>
      <c r="N39" s="12"/>
      <c r="O39" s="12"/>
    </row>
    <row r="40" spans="5:15">
      <c r="H40" s="20" t="s">
        <v>53</v>
      </c>
      <c r="I40" s="20"/>
      <c r="J40" s="20"/>
      <c r="K40" s="20"/>
      <c r="L40" s="20"/>
      <c r="M40" s="20">
        <f>M38+M24</f>
        <v>163405</v>
      </c>
      <c r="N40" s="20">
        <f>N38+N24</f>
        <v>-47314</v>
      </c>
      <c r="O40" s="20">
        <f>O38+O24</f>
        <v>116091</v>
      </c>
    </row>
    <row r="41" spans="5:15">
      <c r="H41" s="26"/>
      <c r="I41" s="26"/>
      <c r="J41" s="26"/>
      <c r="K41" s="26"/>
      <c r="L41" s="26"/>
      <c r="M41" s="26"/>
      <c r="O41" s="26"/>
    </row>
    <row r="42" spans="5:15">
      <c r="E42" s="31" t="s">
        <v>264</v>
      </c>
      <c r="F42" s="31"/>
      <c r="G42" s="31"/>
      <c r="H42" s="32"/>
      <c r="I42" s="32"/>
      <c r="J42" s="32"/>
      <c r="K42" s="32"/>
      <c r="L42" s="32"/>
      <c r="M42" s="33">
        <v>35853785</v>
      </c>
      <c r="N42" s="33">
        <v>350804</v>
      </c>
      <c r="O42" s="33">
        <f>SUM(M42:N42)</f>
        <v>36204589</v>
      </c>
    </row>
    <row r="43" spans="5:15">
      <c r="H43" s="12"/>
      <c r="I43" s="12"/>
      <c r="J43" s="12"/>
      <c r="K43" s="12"/>
      <c r="L43" s="12"/>
      <c r="M43" s="12"/>
      <c r="N43" s="12"/>
      <c r="O43" s="12"/>
    </row>
    <row r="44" spans="5:15">
      <c r="E44" s="34" t="s">
        <v>265</v>
      </c>
      <c r="F44" s="34"/>
      <c r="G44" s="34"/>
      <c r="H44" s="35"/>
      <c r="I44" s="35"/>
      <c r="J44" s="35"/>
      <c r="K44" s="35"/>
      <c r="L44" s="35"/>
      <c r="M44" s="83">
        <f>SUM(M40,M42)</f>
        <v>36017190</v>
      </c>
      <c r="N44" s="83">
        <f>N42+N40</f>
        <v>303490</v>
      </c>
      <c r="O44" s="83">
        <f>O42+O40</f>
        <v>36320680</v>
      </c>
    </row>
    <row r="51" spans="11:15">
      <c r="K51" s="9"/>
      <c r="L51" s="9"/>
      <c r="M51" s="9"/>
      <c r="N51" s="9"/>
      <c r="O51" s="9"/>
    </row>
  </sheetData>
  <mergeCells count="4">
    <mergeCell ref="J1:M1"/>
    <mergeCell ref="J2:M2"/>
    <mergeCell ref="M4:O4"/>
    <mergeCell ref="J4:L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3"/>
  <sheetViews>
    <sheetView workbookViewId="0">
      <selection activeCell="F24" sqref="F24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520" t="s">
        <v>266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.75">
      <c r="E4" s="2"/>
      <c r="M4" s="432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/>
    </row>
    <row r="6" spans="1:13" ht="42.75" customHeight="1">
      <c r="A6" s="5" t="s">
        <v>163</v>
      </c>
      <c r="I6" s="6" t="s">
        <v>7</v>
      </c>
      <c r="J6" s="6" t="s">
        <v>8</v>
      </c>
      <c r="K6" s="6" t="s">
        <v>9</v>
      </c>
      <c r="L6" s="6" t="s">
        <v>10</v>
      </c>
      <c r="M6" s="324" t="s">
        <v>225</v>
      </c>
    </row>
    <row r="7" spans="1:13">
      <c r="B7" s="10" t="s">
        <v>14</v>
      </c>
      <c r="I7" s="9"/>
      <c r="J7" s="9"/>
      <c r="K7" s="9"/>
      <c r="L7" s="9"/>
      <c r="M7" s="9"/>
    </row>
    <row r="8" spans="1:13">
      <c r="C8" t="s">
        <v>15</v>
      </c>
      <c r="H8" s="12"/>
      <c r="I8" s="11">
        <v>-781880</v>
      </c>
      <c r="J8" s="12">
        <v>109310</v>
      </c>
      <c r="K8" s="12">
        <v>176110</v>
      </c>
      <c r="L8" s="12"/>
      <c r="M8" s="12">
        <f t="shared" ref="M8:M13" si="0">SUM(I8:L8)</f>
        <v>-496460</v>
      </c>
    </row>
    <row r="9" spans="1:13">
      <c r="C9" t="s">
        <v>16</v>
      </c>
      <c r="H9" s="12"/>
      <c r="I9" s="13">
        <v>-453160</v>
      </c>
      <c r="J9" s="12">
        <v>34418</v>
      </c>
      <c r="K9" s="12"/>
      <c r="L9" s="12"/>
      <c r="M9" s="12">
        <f t="shared" si="0"/>
        <v>-418742</v>
      </c>
    </row>
    <row r="10" spans="1:13">
      <c r="C10" t="s">
        <v>17</v>
      </c>
      <c r="H10" s="12"/>
      <c r="I10" s="14">
        <v>-6091341</v>
      </c>
      <c r="J10" s="12">
        <v>6506</v>
      </c>
      <c r="K10" s="12">
        <v>518477</v>
      </c>
      <c r="L10" s="12">
        <v>1607679</v>
      </c>
      <c r="M10" s="12">
        <f t="shared" si="0"/>
        <v>-3958679</v>
      </c>
    </row>
    <row r="11" spans="1:13">
      <c r="C11" t="s">
        <v>19</v>
      </c>
      <c r="H11" s="12"/>
      <c r="I11" s="15">
        <v>-601056</v>
      </c>
      <c r="J11" s="12"/>
      <c r="K11" s="12">
        <v>52016</v>
      </c>
      <c r="L11" s="12"/>
      <c r="M11" s="12">
        <f t="shared" si="0"/>
        <v>-549040</v>
      </c>
    </row>
    <row r="12" spans="1:13">
      <c r="C12" t="s">
        <v>20</v>
      </c>
      <c r="H12" s="12"/>
      <c r="I12" s="16">
        <v>-132615</v>
      </c>
      <c r="J12" s="12"/>
      <c r="K12" s="12"/>
      <c r="L12" s="12"/>
      <c r="M12" s="12">
        <f t="shared" si="0"/>
        <v>-132615</v>
      </c>
    </row>
    <row r="13" spans="1:13">
      <c r="C13" t="s">
        <v>18</v>
      </c>
      <c r="H13" s="12"/>
      <c r="I13" s="413">
        <v>-4065049</v>
      </c>
      <c r="J13" s="18">
        <v>29773</v>
      </c>
      <c r="K13" s="18">
        <v>3831571</v>
      </c>
      <c r="L13" s="18">
        <v>66198</v>
      </c>
      <c r="M13" s="18">
        <f t="shared" si="0"/>
        <v>-137507</v>
      </c>
    </row>
    <row r="14" spans="1:13">
      <c r="H14" s="12"/>
      <c r="I14" s="12"/>
      <c r="J14" s="12"/>
      <c r="K14" s="12"/>
      <c r="L14" s="12"/>
      <c r="M14" s="12"/>
    </row>
    <row r="15" spans="1:13">
      <c r="E15" s="19" t="s">
        <v>22</v>
      </c>
      <c r="F15" s="19"/>
      <c r="G15" s="19"/>
      <c r="H15" s="20"/>
      <c r="I15" s="20">
        <f>SUM(I8:I13)</f>
        <v>-12125101</v>
      </c>
      <c r="J15" s="20">
        <f>SUM(J8:J13)</f>
        <v>180007</v>
      </c>
      <c r="K15" s="20">
        <f>SUM(K8:K13)</f>
        <v>4578174</v>
      </c>
      <c r="L15" s="20">
        <f>SUM(L8:L13)</f>
        <v>1673877</v>
      </c>
      <c r="M15" s="82">
        <f>SUM(M8:M13)</f>
        <v>-5693043</v>
      </c>
    </row>
    <row r="16" spans="1:13">
      <c r="H16" s="12"/>
      <c r="I16" s="12"/>
      <c r="J16" s="12"/>
      <c r="K16" s="12"/>
      <c r="L16" s="12"/>
      <c r="M16" s="12"/>
    </row>
    <row r="17" spans="1:13">
      <c r="A17" s="8"/>
      <c r="B17" s="8"/>
      <c r="C17" s="8"/>
      <c r="D17" s="8"/>
      <c r="E17" s="8"/>
      <c r="G17" s="8" t="s">
        <v>25</v>
      </c>
      <c r="H17" s="26"/>
      <c r="I17" s="26"/>
      <c r="J17" s="26"/>
      <c r="K17" s="26"/>
      <c r="L17" s="26"/>
      <c r="M17" s="12"/>
    </row>
    <row r="18" spans="1:13">
      <c r="A18" s="8"/>
      <c r="B18" s="8"/>
      <c r="C18" s="8"/>
      <c r="D18" s="8"/>
      <c r="E18" s="8"/>
      <c r="G18" s="8"/>
      <c r="H18" s="80" t="s">
        <v>26</v>
      </c>
      <c r="I18" s="26"/>
      <c r="J18" s="26"/>
      <c r="K18" s="26"/>
      <c r="L18" s="26"/>
      <c r="M18" s="12"/>
    </row>
    <row r="19" spans="1:13">
      <c r="H19" s="12"/>
      <c r="I19" s="12" t="s">
        <v>46</v>
      </c>
      <c r="J19" s="12"/>
      <c r="K19" s="12"/>
      <c r="L19" s="12"/>
      <c r="M19" s="28">
        <v>3303526</v>
      </c>
    </row>
    <row r="20" spans="1:13">
      <c r="H20" s="12"/>
      <c r="I20" s="12" t="s">
        <v>96</v>
      </c>
      <c r="J20" s="12"/>
      <c r="K20" s="12"/>
      <c r="L20" s="12"/>
      <c r="M20" s="14">
        <v>3817919</v>
      </c>
    </row>
    <row r="21" spans="1:13">
      <c r="H21" s="12"/>
      <c r="I21" s="12" t="s">
        <v>48</v>
      </c>
      <c r="J21" s="12"/>
      <c r="K21" s="12"/>
      <c r="L21" s="12"/>
      <c r="M21" s="93">
        <v>176711</v>
      </c>
    </row>
    <row r="22" spans="1:13">
      <c r="H22" s="12"/>
      <c r="I22" s="12" t="s">
        <v>142</v>
      </c>
      <c r="J22" s="12"/>
      <c r="K22" s="12"/>
      <c r="L22" s="12"/>
      <c r="M22" s="15">
        <v>85569</v>
      </c>
    </row>
    <row r="23" spans="1:13">
      <c r="H23" s="12"/>
      <c r="I23" s="12" t="s">
        <v>105</v>
      </c>
      <c r="J23" s="12"/>
      <c r="K23" s="12"/>
      <c r="L23" s="12"/>
      <c r="M23" s="15">
        <v>10965</v>
      </c>
    </row>
    <row r="24" spans="1:13">
      <c r="H24" s="12" t="s">
        <v>33</v>
      </c>
      <c r="I24" s="12"/>
      <c r="J24" s="12"/>
      <c r="K24" s="12"/>
      <c r="L24" s="12"/>
      <c r="M24" s="11">
        <v>36450</v>
      </c>
    </row>
    <row r="25" spans="1:13">
      <c r="H25" s="12" t="s">
        <v>106</v>
      </c>
      <c r="I25" s="12"/>
      <c r="J25" s="12"/>
      <c r="K25" s="12"/>
      <c r="L25" s="12"/>
      <c r="M25" s="29">
        <v>158503</v>
      </c>
    </row>
    <row r="26" spans="1:13">
      <c r="H26" s="12" t="s">
        <v>107</v>
      </c>
      <c r="I26" s="12"/>
      <c r="J26" s="12"/>
      <c r="K26" s="12"/>
      <c r="L26" s="12"/>
      <c r="M26" s="29">
        <v>86215</v>
      </c>
    </row>
    <row r="27" spans="1:13">
      <c r="H27" s="12" t="s">
        <v>267</v>
      </c>
      <c r="I27" s="12"/>
      <c r="J27" s="12"/>
      <c r="K27" s="12"/>
      <c r="L27" s="12"/>
      <c r="M27" s="29">
        <v>70000</v>
      </c>
    </row>
    <row r="28" spans="1:13">
      <c r="H28" s="12" t="s">
        <v>268</v>
      </c>
      <c r="I28" s="12"/>
      <c r="J28" s="12"/>
      <c r="K28" s="12"/>
      <c r="L28" s="12"/>
      <c r="M28" s="29">
        <v>-38951</v>
      </c>
    </row>
    <row r="29" spans="1:13">
      <c r="H29" s="12"/>
      <c r="I29" s="12"/>
      <c r="J29" s="12"/>
      <c r="K29" s="12"/>
      <c r="L29" s="12"/>
      <c r="M29" s="12"/>
    </row>
    <row r="30" spans="1:13">
      <c r="H30" s="20" t="s">
        <v>38</v>
      </c>
      <c r="I30" s="20"/>
      <c r="J30" s="20"/>
      <c r="K30" s="20"/>
      <c r="L30" s="20"/>
      <c r="M30" s="20">
        <f>SUM(M19:M28)</f>
        <v>7706907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53</v>
      </c>
      <c r="I32" s="20"/>
      <c r="J32" s="20"/>
      <c r="K32" s="20"/>
      <c r="L32" s="20"/>
      <c r="M32" s="20">
        <f>SUM(M15,M30)</f>
        <v>2013864</v>
      </c>
    </row>
    <row r="33" spans="5:13">
      <c r="H33" s="26"/>
      <c r="I33" s="26"/>
      <c r="J33" s="26"/>
      <c r="K33" s="26"/>
      <c r="L33" s="26"/>
      <c r="M33" s="26"/>
    </row>
    <row r="34" spans="5:13">
      <c r="E34" s="31" t="s">
        <v>54</v>
      </c>
      <c r="F34" s="31"/>
      <c r="G34" s="31"/>
      <c r="H34" s="32"/>
      <c r="I34" s="32"/>
      <c r="J34" s="32"/>
      <c r="K34" s="32"/>
      <c r="L34" s="32"/>
      <c r="M34" s="33">
        <v>26782200</v>
      </c>
    </row>
    <row r="35" spans="5:13">
      <c r="H35" s="12"/>
      <c r="I35" s="12"/>
      <c r="J35" s="12"/>
      <c r="K35" s="12"/>
      <c r="L35" s="12"/>
      <c r="M35" s="12"/>
    </row>
    <row r="36" spans="5:13">
      <c r="E36" s="34" t="s">
        <v>55</v>
      </c>
      <c r="F36" s="34"/>
      <c r="G36" s="34"/>
      <c r="H36" s="35"/>
      <c r="I36" s="35"/>
      <c r="J36" s="35"/>
      <c r="K36" s="35"/>
      <c r="L36" s="35"/>
      <c r="M36" s="83">
        <f>SUM(M32,M34)</f>
        <v>28796064</v>
      </c>
    </row>
    <row r="43" spans="5:13">
      <c r="K43" s="9"/>
      <c r="L43" s="9"/>
      <c r="M43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9"/>
  <sheetViews>
    <sheetView topLeftCell="A3" workbookViewId="0">
      <selection activeCell="I27" sqref="I27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8.42578125" customWidth="1"/>
    <col min="10" max="10" width="18.85546875" bestFit="1" customWidth="1"/>
    <col min="11" max="11" width="19.28515625" customWidth="1"/>
    <col min="12" max="12" width="25.28515625" customWidth="1"/>
    <col min="13" max="14" width="19.28515625" customWidth="1"/>
    <col min="15" max="15" width="18.42578125" customWidth="1"/>
    <col min="16" max="16" width="18" customWidth="1"/>
  </cols>
  <sheetData>
    <row r="1" spans="1:16" ht="30" customHeight="1">
      <c r="J1" s="520" t="s">
        <v>269</v>
      </c>
      <c r="K1" s="520"/>
      <c r="L1" s="520"/>
      <c r="M1" s="419"/>
      <c r="N1" s="419"/>
      <c r="O1" s="419"/>
      <c r="P1" s="419"/>
    </row>
    <row r="2" spans="1:16" ht="21.75" customHeight="1">
      <c r="J2" s="521" t="s">
        <v>1</v>
      </c>
      <c r="K2" s="521"/>
      <c r="L2" s="521"/>
      <c r="M2" s="420"/>
      <c r="N2" s="420"/>
      <c r="O2" s="420"/>
      <c r="P2" s="420"/>
    </row>
    <row r="3" spans="1:16" ht="21.75" customHeight="1">
      <c r="J3" s="420"/>
      <c r="K3" s="420"/>
      <c r="L3" s="420"/>
      <c r="M3" s="420"/>
      <c r="N3" s="420"/>
      <c r="O3" s="420"/>
      <c r="P3" s="420"/>
    </row>
    <row r="4" spans="1:16" ht="15" customHeight="1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432"/>
      <c r="N4" s="432"/>
      <c r="O4" s="531"/>
      <c r="P4" s="531"/>
    </row>
    <row r="5" spans="1:16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270</v>
      </c>
      <c r="N5" s="6" t="s">
        <v>58</v>
      </c>
      <c r="O5" s="6" t="s">
        <v>147</v>
      </c>
      <c r="P5" s="6" t="s">
        <v>59</v>
      </c>
    </row>
    <row r="6" spans="1:16" ht="30.75" customHeight="1">
      <c r="A6" s="8" t="s">
        <v>13</v>
      </c>
      <c r="I6" s="9"/>
      <c r="J6" s="9"/>
      <c r="K6" s="9"/>
      <c r="L6" s="9"/>
      <c r="M6" s="9"/>
      <c r="N6" s="9"/>
    </row>
    <row r="7" spans="1:16">
      <c r="B7" s="10" t="s">
        <v>14</v>
      </c>
      <c r="I7" s="9"/>
      <c r="J7" s="9"/>
      <c r="K7" s="9"/>
      <c r="L7" s="9"/>
      <c r="M7" s="9"/>
      <c r="N7" s="9"/>
      <c r="O7" s="9"/>
      <c r="P7" s="9"/>
    </row>
    <row r="8" spans="1:16">
      <c r="B8" s="10"/>
      <c r="C8" t="s">
        <v>60</v>
      </c>
      <c r="I8" s="9"/>
      <c r="J8" s="9"/>
      <c r="K8" s="9"/>
      <c r="L8" s="9"/>
      <c r="M8" s="9"/>
      <c r="N8" s="9"/>
      <c r="O8" s="9"/>
      <c r="P8" s="9"/>
    </row>
    <row r="9" spans="1:16">
      <c r="D9" t="s">
        <v>61</v>
      </c>
      <c r="H9" s="12"/>
      <c r="I9" s="88">
        <v>-213011</v>
      </c>
      <c r="J9" s="12"/>
      <c r="K9" s="12"/>
      <c r="L9" s="12"/>
      <c r="M9" s="12">
        <f>SUM(I9:L9)</f>
        <v>-213011</v>
      </c>
      <c r="N9" s="12"/>
      <c r="O9" s="12"/>
      <c r="P9" s="12">
        <f>SUM(O9:O9)</f>
        <v>0</v>
      </c>
    </row>
    <row r="10" spans="1:16">
      <c r="D10" t="s">
        <v>62</v>
      </c>
      <c r="H10" s="12"/>
      <c r="I10" s="89">
        <v>-606967</v>
      </c>
      <c r="J10" s="12">
        <v>191523</v>
      </c>
      <c r="K10" s="12">
        <v>168396</v>
      </c>
      <c r="L10" s="12"/>
      <c r="M10" s="12">
        <f t="shared" ref="M10:M22" si="0">SUM(I10:L10)</f>
        <v>-247048</v>
      </c>
      <c r="N10" s="12"/>
      <c r="O10" s="12"/>
      <c r="P10" s="12">
        <f>SUM(O10:O10)</f>
        <v>0</v>
      </c>
    </row>
    <row r="11" spans="1:16">
      <c r="D11" t="s">
        <v>64</v>
      </c>
      <c r="H11" s="12"/>
      <c r="I11" s="96">
        <v>-235770</v>
      </c>
      <c r="J11" s="12"/>
      <c r="K11" s="12"/>
      <c r="L11" s="12"/>
      <c r="M11" s="12">
        <f t="shared" si="0"/>
        <v>-235770</v>
      </c>
      <c r="N11" s="12"/>
      <c r="O11" s="12"/>
      <c r="P11" s="12">
        <f>SUM(O11:O11)</f>
        <v>0</v>
      </c>
    </row>
    <row r="12" spans="1:16">
      <c r="D12" t="s">
        <v>65</v>
      </c>
      <c r="H12" s="12"/>
      <c r="I12" s="95">
        <v>-279567</v>
      </c>
      <c r="J12" s="12"/>
      <c r="K12" s="12"/>
      <c r="L12" s="12">
        <v>22510</v>
      </c>
      <c r="M12" s="12">
        <f t="shared" si="0"/>
        <v>-257057</v>
      </c>
      <c r="N12" s="12"/>
      <c r="O12" s="12"/>
      <c r="P12" s="12">
        <f>SUM(O12:O12)</f>
        <v>0</v>
      </c>
    </row>
    <row r="13" spans="1:16">
      <c r="C13" t="s">
        <v>16</v>
      </c>
      <c r="H13" s="12"/>
      <c r="I13" s="13">
        <v>-328726</v>
      </c>
      <c r="J13" s="12"/>
      <c r="K13" s="12">
        <v>36921</v>
      </c>
      <c r="L13" s="12"/>
      <c r="M13" s="12">
        <f t="shared" si="0"/>
        <v>-291805</v>
      </c>
      <c r="N13" s="12"/>
      <c r="O13" s="12"/>
      <c r="P13" s="12">
        <f>SUM(O13:O13)</f>
        <v>0</v>
      </c>
    </row>
    <row r="14" spans="1:16">
      <c r="C14" t="s">
        <v>17</v>
      </c>
      <c r="H14" s="12"/>
      <c r="I14" s="12"/>
      <c r="J14" s="12"/>
      <c r="K14" s="12"/>
      <c r="L14" s="12"/>
      <c r="M14" s="12">
        <f t="shared" si="0"/>
        <v>0</v>
      </c>
      <c r="N14" s="12"/>
      <c r="O14" s="12"/>
      <c r="P14" s="12"/>
    </row>
    <row r="15" spans="1:16">
      <c r="D15" t="s">
        <v>271</v>
      </c>
      <c r="H15" s="12"/>
      <c r="I15" s="14">
        <v>-1524011</v>
      </c>
      <c r="J15" s="12">
        <v>5549</v>
      </c>
      <c r="K15" s="12">
        <v>734652</v>
      </c>
      <c r="L15" s="12"/>
      <c r="M15" s="12">
        <f t="shared" si="0"/>
        <v>-783810</v>
      </c>
      <c r="N15" s="12"/>
      <c r="O15" s="12"/>
      <c r="P15" s="12">
        <f>SUM(O15:O15)</f>
        <v>0</v>
      </c>
    </row>
    <row r="16" spans="1:16">
      <c r="D16" t="s">
        <v>272</v>
      </c>
      <c r="H16" s="12"/>
      <c r="I16" s="14">
        <v>-1080776</v>
      </c>
      <c r="J16" s="12">
        <v>81692</v>
      </c>
      <c r="K16" s="12">
        <v>17830</v>
      </c>
      <c r="L16" s="12"/>
      <c r="M16" s="12">
        <f t="shared" si="0"/>
        <v>-981254</v>
      </c>
      <c r="N16" s="12"/>
      <c r="O16" s="12"/>
      <c r="P16" s="12">
        <f>SUM(O16:O16)</f>
        <v>0</v>
      </c>
    </row>
    <row r="17" spans="2:16">
      <c r="D17" t="s">
        <v>273</v>
      </c>
      <c r="H17" s="12"/>
      <c r="I17" s="12"/>
      <c r="J17" s="12"/>
      <c r="K17" s="12"/>
      <c r="L17" s="12"/>
      <c r="M17" s="12">
        <f t="shared" si="0"/>
        <v>0</v>
      </c>
      <c r="N17" s="12"/>
      <c r="O17" s="12"/>
      <c r="P17" s="12"/>
    </row>
    <row r="18" spans="2:16">
      <c r="D18" t="s">
        <v>274</v>
      </c>
      <c r="H18" s="12"/>
      <c r="I18" s="14">
        <v>-238689</v>
      </c>
      <c r="J18" s="12"/>
      <c r="K18" s="12">
        <v>174816</v>
      </c>
      <c r="L18" s="12"/>
      <c r="M18" s="12">
        <f t="shared" si="0"/>
        <v>-63873</v>
      </c>
      <c r="N18" s="12"/>
      <c r="O18" s="12"/>
      <c r="P18" s="12">
        <f>SUM(O18:O18)</f>
        <v>0</v>
      </c>
    </row>
    <row r="19" spans="2:16">
      <c r="D19" t="s">
        <v>275</v>
      </c>
      <c r="H19" s="12"/>
      <c r="I19" s="14">
        <v>-48193</v>
      </c>
      <c r="J19" s="12"/>
      <c r="K19" s="12">
        <v>48193</v>
      </c>
      <c r="L19" s="12"/>
      <c r="M19" s="12">
        <f t="shared" si="0"/>
        <v>0</v>
      </c>
      <c r="N19" s="12"/>
      <c r="O19" s="12"/>
      <c r="P19" s="12">
        <f>SUM(O19:O19)</f>
        <v>0</v>
      </c>
    </row>
    <row r="20" spans="2:16">
      <c r="C20" t="s">
        <v>44</v>
      </c>
      <c r="H20" s="12"/>
      <c r="I20" s="92">
        <v>-34600</v>
      </c>
      <c r="J20" s="12"/>
      <c r="K20" s="12">
        <v>28200</v>
      </c>
      <c r="L20" s="12"/>
      <c r="M20" s="12">
        <f t="shared" si="0"/>
        <v>-6400</v>
      </c>
      <c r="N20" s="12"/>
      <c r="O20" s="12"/>
      <c r="P20" s="12">
        <f>SUM(O20:O20)</f>
        <v>0</v>
      </c>
    </row>
    <row r="21" spans="2:16">
      <c r="C21" t="s">
        <v>19</v>
      </c>
      <c r="H21" s="12"/>
      <c r="I21" s="15">
        <v>-102862</v>
      </c>
      <c r="J21" s="12"/>
      <c r="K21" s="12"/>
      <c r="L21" s="12"/>
      <c r="M21" s="12">
        <f t="shared" si="0"/>
        <v>-102862</v>
      </c>
      <c r="N21" s="12"/>
      <c r="O21" s="12"/>
      <c r="P21" s="12">
        <f>SUM(O21:O21)</f>
        <v>0</v>
      </c>
    </row>
    <row r="22" spans="2:16">
      <c r="C22" t="s">
        <v>20</v>
      </c>
      <c r="H22" s="12"/>
      <c r="I22" s="16">
        <v>-11066</v>
      </c>
      <c r="J22" s="12">
        <v>14695</v>
      </c>
      <c r="K22" s="12"/>
      <c r="L22" s="12"/>
      <c r="M22" s="12">
        <f t="shared" si="0"/>
        <v>3629</v>
      </c>
      <c r="N22" s="12"/>
      <c r="O22" s="12"/>
      <c r="P22" s="12">
        <f>SUM(O22:O22)</f>
        <v>0</v>
      </c>
    </row>
    <row r="23" spans="2:16">
      <c r="H23" s="12"/>
      <c r="I23" s="12"/>
      <c r="J23" s="12"/>
      <c r="K23" s="12"/>
      <c r="L23" s="12"/>
      <c r="M23" s="12"/>
      <c r="N23" s="12"/>
      <c r="O23" s="12"/>
      <c r="P23" s="12"/>
    </row>
    <row r="24" spans="2:16">
      <c r="E24" s="19" t="s">
        <v>22</v>
      </c>
      <c r="F24" s="19"/>
      <c r="G24" s="19"/>
      <c r="H24" s="20"/>
      <c r="I24" s="20">
        <f>SUM(I9:I22)</f>
        <v>-4704238</v>
      </c>
      <c r="J24" s="20">
        <f>SUM(J9:J22)</f>
        <v>293459</v>
      </c>
      <c r="K24" s="20">
        <f>SUM(K9:K22)</f>
        <v>1209008</v>
      </c>
      <c r="L24" s="20">
        <f>SUM(L9:L22)</f>
        <v>22510</v>
      </c>
      <c r="M24" s="20">
        <f>SUM(M9:M22)</f>
        <v>-3179261</v>
      </c>
      <c r="N24" s="20">
        <f t="shared" ref="N24:P24" si="1">SUM(N9:N22)</f>
        <v>0</v>
      </c>
      <c r="O24" s="20">
        <f t="shared" si="1"/>
        <v>0</v>
      </c>
      <c r="P24" s="20">
        <f t="shared" si="1"/>
        <v>0</v>
      </c>
    </row>
    <row r="25" spans="2:16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  <c r="P25" s="26"/>
    </row>
    <row r="26" spans="2:16">
      <c r="B26" s="10" t="s">
        <v>116</v>
      </c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  <c r="P26" s="26"/>
    </row>
    <row r="27" spans="2:16">
      <c r="B27" s="10"/>
      <c r="C27" t="s">
        <v>276</v>
      </c>
      <c r="E27" s="8"/>
      <c r="F27" s="8"/>
      <c r="G27" s="8"/>
      <c r="H27" s="26"/>
      <c r="I27" s="464">
        <v>598048</v>
      </c>
      <c r="J27" s="80">
        <v>660955</v>
      </c>
      <c r="K27" s="80"/>
      <c r="L27" s="80"/>
      <c r="M27" s="80">
        <v>62907</v>
      </c>
      <c r="N27" s="80"/>
      <c r="O27" s="80"/>
      <c r="P27" s="80">
        <f>SUM(O27:O27)</f>
        <v>0</v>
      </c>
    </row>
    <row r="28" spans="2:16">
      <c r="B28" s="10"/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  <c r="P28" s="26"/>
    </row>
    <row r="29" spans="2:16">
      <c r="E29" s="19" t="s">
        <v>117</v>
      </c>
      <c r="F29" s="19"/>
      <c r="G29" s="19"/>
      <c r="H29" s="20"/>
      <c r="I29" s="20">
        <f t="shared" ref="I29:P29" si="2">SUM(I27:I27)</f>
        <v>598048</v>
      </c>
      <c r="J29" s="20">
        <f t="shared" si="2"/>
        <v>660955</v>
      </c>
      <c r="K29" s="20">
        <f t="shared" si="2"/>
        <v>0</v>
      </c>
      <c r="L29" s="20">
        <f t="shared" si="2"/>
        <v>0</v>
      </c>
      <c r="M29" s="20">
        <f t="shared" si="2"/>
        <v>62907</v>
      </c>
      <c r="N29" s="20">
        <f>SUM(N27:N27)</f>
        <v>0</v>
      </c>
      <c r="O29" s="82">
        <f t="shared" si="2"/>
        <v>0</v>
      </c>
      <c r="P29" s="82">
        <f t="shared" si="2"/>
        <v>0</v>
      </c>
    </row>
    <row r="30" spans="2:16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  <c r="P30" s="26"/>
    </row>
    <row r="31" spans="2:16">
      <c r="E31" s="19" t="s">
        <v>277</v>
      </c>
      <c r="F31" s="19"/>
      <c r="G31" s="19"/>
      <c r="H31" s="20"/>
      <c r="I31" s="20">
        <f t="shared" ref="I31:P31" si="3">I29+I24</f>
        <v>-4106190</v>
      </c>
      <c r="J31" s="20">
        <f t="shared" si="3"/>
        <v>954414</v>
      </c>
      <c r="K31" s="20">
        <f t="shared" si="3"/>
        <v>1209008</v>
      </c>
      <c r="L31" s="20">
        <f t="shared" si="3"/>
        <v>22510</v>
      </c>
      <c r="M31" s="20">
        <f>SUM(M24+M29)</f>
        <v>-3116354</v>
      </c>
      <c r="N31" s="82">
        <f t="shared" si="3"/>
        <v>0</v>
      </c>
      <c r="O31" s="82">
        <f t="shared" si="3"/>
        <v>0</v>
      </c>
      <c r="P31" s="82">
        <f t="shared" si="3"/>
        <v>0</v>
      </c>
    </row>
    <row r="32" spans="2:16">
      <c r="E32" s="8"/>
      <c r="F32" s="8"/>
      <c r="G32" s="8"/>
      <c r="H32" s="26"/>
      <c r="I32" s="26"/>
      <c r="J32" s="26"/>
      <c r="K32" s="26"/>
      <c r="L32" s="26"/>
      <c r="M32" s="26"/>
      <c r="N32" s="26"/>
      <c r="O32" s="26"/>
      <c r="P32" s="26"/>
    </row>
    <row r="33" spans="1:16">
      <c r="E33" s="8"/>
      <c r="F33" s="8"/>
      <c r="G33" s="8" t="s">
        <v>278</v>
      </c>
      <c r="H33" s="26"/>
      <c r="I33" s="26"/>
      <c r="J33" s="26"/>
      <c r="K33" s="26"/>
      <c r="L33" s="26"/>
      <c r="M33" s="26"/>
      <c r="N33" s="248">
        <v>-3179261</v>
      </c>
      <c r="O33" s="248">
        <v>62907</v>
      </c>
      <c r="P33" s="18">
        <f t="shared" ref="P33:P38" si="4">SUM(N33:O33)</f>
        <v>-3116354</v>
      </c>
    </row>
    <row r="34" spans="1:16"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8"/>
      <c r="B35" s="8"/>
      <c r="C35" s="8"/>
      <c r="D35" s="8"/>
      <c r="E35" s="8"/>
      <c r="G35" s="8" t="s">
        <v>25</v>
      </c>
      <c r="H35" s="26"/>
      <c r="I35" s="26"/>
      <c r="J35" s="26"/>
      <c r="K35" s="26"/>
      <c r="L35" s="26"/>
      <c r="M35" s="26"/>
      <c r="N35" s="26"/>
      <c r="O35" s="12"/>
      <c r="P35" s="12"/>
    </row>
    <row r="36" spans="1:16">
      <c r="A36" s="8"/>
      <c r="B36" s="8"/>
      <c r="C36" s="8"/>
      <c r="D36" s="8"/>
      <c r="E36" s="8"/>
      <c r="G36" s="8"/>
      <c r="H36" s="80" t="s">
        <v>26</v>
      </c>
      <c r="I36" s="26"/>
      <c r="J36" s="26"/>
      <c r="K36" s="26"/>
      <c r="L36" s="26"/>
      <c r="M36" s="26"/>
      <c r="N36" s="26"/>
      <c r="O36" s="12"/>
      <c r="P36" s="12"/>
    </row>
    <row r="37" spans="1:16">
      <c r="H37" s="12"/>
      <c r="I37" s="12" t="s">
        <v>46</v>
      </c>
      <c r="J37" s="12"/>
      <c r="K37" s="12"/>
      <c r="L37" s="12"/>
      <c r="M37" s="12"/>
      <c r="N37" s="28">
        <v>889307</v>
      </c>
      <c r="O37" s="12"/>
      <c r="P37" s="12">
        <f t="shared" si="4"/>
        <v>889307</v>
      </c>
    </row>
    <row r="38" spans="1:16">
      <c r="H38" s="12"/>
      <c r="I38" s="12" t="s">
        <v>28</v>
      </c>
      <c r="J38" s="12"/>
      <c r="K38" s="12"/>
      <c r="L38" s="12"/>
      <c r="M38" s="12"/>
      <c r="N38" s="14">
        <v>1159486</v>
      </c>
      <c r="O38" s="12"/>
      <c r="P38" s="12">
        <f t="shared" si="4"/>
        <v>1159486</v>
      </c>
    </row>
    <row r="39" spans="1:16">
      <c r="H39" s="12"/>
      <c r="I39" s="12" t="s">
        <v>29</v>
      </c>
      <c r="J39" s="12"/>
      <c r="K39" s="12"/>
      <c r="L39" s="12"/>
      <c r="M39" s="12"/>
      <c r="N39" s="15">
        <v>538280</v>
      </c>
      <c r="O39" s="12"/>
      <c r="P39" s="12">
        <f t="shared" ref="P39:P42" si="5">SUM(N39:O39)</f>
        <v>538280</v>
      </c>
    </row>
    <row r="40" spans="1:16">
      <c r="H40" s="12"/>
      <c r="I40" s="12" t="s">
        <v>32</v>
      </c>
      <c r="J40" s="12"/>
      <c r="K40" s="12"/>
      <c r="L40" s="12"/>
      <c r="M40" s="12"/>
      <c r="N40" s="15">
        <v>159990</v>
      </c>
      <c r="O40" s="12"/>
      <c r="P40" s="12">
        <f t="shared" si="5"/>
        <v>159990</v>
      </c>
    </row>
    <row r="41" spans="1:16">
      <c r="H41" s="12" t="s">
        <v>279</v>
      </c>
      <c r="I41" s="12"/>
      <c r="J41" s="12"/>
      <c r="K41" s="12"/>
      <c r="L41" s="12"/>
      <c r="M41" s="12"/>
      <c r="N41" s="15">
        <v>79114</v>
      </c>
      <c r="O41" s="12"/>
      <c r="P41" s="12">
        <f t="shared" si="5"/>
        <v>79114</v>
      </c>
    </row>
    <row r="42" spans="1:16">
      <c r="H42" s="12" t="s">
        <v>32</v>
      </c>
      <c r="I42" s="12"/>
      <c r="J42" s="12"/>
      <c r="K42" s="12"/>
      <c r="L42" s="12"/>
      <c r="M42" s="12"/>
      <c r="N42" s="15">
        <v>124581</v>
      </c>
      <c r="O42" s="12">
        <v>3884</v>
      </c>
      <c r="P42" s="12">
        <f t="shared" si="5"/>
        <v>128465</v>
      </c>
    </row>
    <row r="43" spans="1:16"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H44" s="20" t="s">
        <v>38</v>
      </c>
      <c r="I44" s="20"/>
      <c r="J44" s="20"/>
      <c r="K44" s="20"/>
      <c r="L44" s="20"/>
      <c r="M44" s="20"/>
      <c r="N44" s="20">
        <f>SUM(N37:N42)</f>
        <v>2950758</v>
      </c>
      <c r="O44" s="20">
        <f>SUM(O37:O42)</f>
        <v>3884</v>
      </c>
      <c r="P44" s="20">
        <f>SUM(P37:P42)</f>
        <v>2954642</v>
      </c>
    </row>
    <row r="45" spans="1:16"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H46" s="20" t="s">
        <v>39</v>
      </c>
      <c r="I46" s="20"/>
      <c r="J46" s="20"/>
      <c r="K46" s="20"/>
      <c r="L46" s="20"/>
      <c r="M46" s="20"/>
      <c r="N46" s="20">
        <f>SUM(N44+N33)</f>
        <v>-228503</v>
      </c>
      <c r="O46" s="20">
        <f t="shared" ref="O46:P46" si="6">SUM(O44+O33)</f>
        <v>66791</v>
      </c>
      <c r="P46" s="20">
        <f t="shared" si="6"/>
        <v>-161712</v>
      </c>
    </row>
    <row r="47" spans="1:16">
      <c r="H47" s="26"/>
      <c r="I47" s="26"/>
      <c r="J47" s="26"/>
      <c r="K47" s="26"/>
      <c r="L47" s="26"/>
      <c r="M47" s="26"/>
      <c r="N47" s="26"/>
      <c r="O47" s="26"/>
      <c r="P47" s="26"/>
    </row>
    <row r="48" spans="1:16">
      <c r="H48" s="26"/>
      <c r="I48" s="26"/>
      <c r="J48" s="26"/>
      <c r="K48" s="26"/>
      <c r="L48" s="26"/>
      <c r="M48" s="26"/>
      <c r="N48" s="26"/>
      <c r="O48" s="26"/>
      <c r="P48" s="26"/>
    </row>
    <row r="49" spans="5:17">
      <c r="E49" s="31" t="s">
        <v>54</v>
      </c>
      <c r="F49" s="31"/>
      <c r="G49" s="31"/>
      <c r="H49" s="32"/>
      <c r="I49" s="32"/>
      <c r="J49" s="32"/>
      <c r="K49" s="32"/>
      <c r="L49" s="32"/>
      <c r="M49" s="32"/>
      <c r="N49" s="32">
        <v>8394999</v>
      </c>
      <c r="O49" s="33">
        <v>708050</v>
      </c>
      <c r="P49" s="33">
        <f>SUM(N49:O49)</f>
        <v>9103049</v>
      </c>
    </row>
    <row r="50" spans="5:17">
      <c r="E50" s="8" t="s">
        <v>280</v>
      </c>
      <c r="F50" s="8"/>
      <c r="G50" s="8"/>
      <c r="H50" s="26"/>
      <c r="I50" s="26"/>
      <c r="J50" s="26"/>
      <c r="K50" s="26"/>
      <c r="L50" s="26"/>
      <c r="M50" s="26"/>
      <c r="N50" s="26">
        <v>12625</v>
      </c>
      <c r="O50" s="210"/>
      <c r="P50" s="210">
        <f t="shared" ref="P50:P51" si="7">SUM(N50:O50)</f>
        <v>12625</v>
      </c>
    </row>
    <row r="51" spans="5:17">
      <c r="E51" s="10" t="s">
        <v>281</v>
      </c>
      <c r="H51" s="12"/>
      <c r="I51" s="12"/>
      <c r="J51" s="12"/>
      <c r="K51" s="12"/>
      <c r="L51" s="12"/>
      <c r="M51" s="12"/>
      <c r="N51" s="418">
        <v>8407624</v>
      </c>
      <c r="O51" s="418">
        <v>708050</v>
      </c>
      <c r="P51" s="418">
        <f t="shared" si="7"/>
        <v>9115674</v>
      </c>
    </row>
    <row r="52" spans="5:17">
      <c r="E52" s="34" t="s">
        <v>55</v>
      </c>
      <c r="F52" s="34"/>
      <c r="G52" s="34"/>
      <c r="H52" s="35"/>
      <c r="I52" s="35"/>
      <c r="J52" s="35"/>
      <c r="K52" s="35"/>
      <c r="L52" s="35"/>
      <c r="M52" s="35"/>
      <c r="N52" s="83">
        <f>N49+N46+N50</f>
        <v>8179121</v>
      </c>
      <c r="O52" s="83">
        <f t="shared" ref="O52:P52" si="8">O49+O46+O50</f>
        <v>774841</v>
      </c>
      <c r="P52" s="83">
        <f t="shared" si="8"/>
        <v>8953962</v>
      </c>
      <c r="Q52" s="26"/>
    </row>
    <row r="59" spans="5:17">
      <c r="K59" s="9"/>
      <c r="L59" s="9"/>
      <c r="M59" s="9"/>
      <c r="N59" s="9"/>
      <c r="O59" s="9"/>
      <c r="P59" s="9"/>
    </row>
  </sheetData>
  <mergeCells count="4">
    <mergeCell ref="J1:L1"/>
    <mergeCell ref="J2:L2"/>
    <mergeCell ref="J4:L4"/>
    <mergeCell ref="O4:P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9"/>
  <sheetViews>
    <sheetView workbookViewId="0">
      <selection activeCell="U24" sqref="U24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4.42578125" customWidth="1"/>
  </cols>
  <sheetData>
    <row r="1" spans="1:14" ht="30" customHeight="1">
      <c r="J1" s="520" t="s">
        <v>282</v>
      </c>
      <c r="K1" s="520"/>
      <c r="L1" s="520"/>
      <c r="M1" s="520"/>
    </row>
    <row r="2" spans="1:14" ht="21.75" customHeight="1">
      <c r="J2" s="521" t="s">
        <v>1</v>
      </c>
      <c r="K2" s="521"/>
      <c r="L2" s="521"/>
      <c r="M2" s="521"/>
    </row>
    <row r="3" spans="1:14" ht="18.75" customHeight="1">
      <c r="E3" s="3"/>
      <c r="F3" s="3"/>
      <c r="G3" s="3"/>
      <c r="H3" s="3"/>
      <c r="I3" s="3"/>
      <c r="J3" s="3"/>
      <c r="K3" s="3"/>
      <c r="L3" s="3"/>
    </row>
    <row r="4" spans="1:14" ht="30.75" customHeight="1">
      <c r="E4" s="2"/>
    </row>
    <row r="5" spans="1:14" ht="32.2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2" t="s">
        <v>2</v>
      </c>
      <c r="N5" s="522"/>
    </row>
    <row r="6" spans="1:14" ht="44.25" customHeight="1">
      <c r="A6" s="5" t="s">
        <v>6</v>
      </c>
      <c r="I6" s="6" t="s">
        <v>7</v>
      </c>
      <c r="J6" s="6" t="s">
        <v>79</v>
      </c>
      <c r="K6" s="6" t="s">
        <v>9</v>
      </c>
      <c r="L6" s="6" t="s">
        <v>10</v>
      </c>
      <c r="M6" s="431" t="s">
        <v>5</v>
      </c>
      <c r="N6" s="81" t="s">
        <v>12</v>
      </c>
    </row>
    <row r="7" spans="1:14" ht="30.75" customHeight="1">
      <c r="A7" s="8" t="s">
        <v>13</v>
      </c>
      <c r="I7" s="9"/>
      <c r="J7" s="9"/>
      <c r="K7" s="9"/>
      <c r="L7" s="9"/>
    </row>
    <row r="8" spans="1:14">
      <c r="B8" s="10" t="s">
        <v>14</v>
      </c>
      <c r="I8" s="9"/>
      <c r="J8" s="9"/>
      <c r="K8" s="9"/>
      <c r="L8" s="9"/>
      <c r="M8" s="9"/>
    </row>
    <row r="9" spans="1:14">
      <c r="C9" t="s">
        <v>15</v>
      </c>
      <c r="H9" s="12"/>
      <c r="I9" s="11">
        <v>-5786600</v>
      </c>
      <c r="J9" s="12">
        <v>897956</v>
      </c>
      <c r="K9" s="12">
        <v>98114</v>
      </c>
      <c r="L9" s="12"/>
      <c r="M9" s="12">
        <f t="shared" ref="M9:M17" si="0">SUM(I9:L9)</f>
        <v>-4790530</v>
      </c>
    </row>
    <row r="10" spans="1:14">
      <c r="C10" t="s">
        <v>16</v>
      </c>
      <c r="H10" s="12"/>
      <c r="I10" s="13">
        <v>-4622943</v>
      </c>
      <c r="J10" s="12">
        <v>549799</v>
      </c>
      <c r="K10" s="12">
        <v>180534</v>
      </c>
      <c r="L10" s="12">
        <v>42717</v>
      </c>
      <c r="M10" s="12">
        <f t="shared" si="0"/>
        <v>-3849893</v>
      </c>
    </row>
    <row r="11" spans="1:14">
      <c r="C11" t="s">
        <v>17</v>
      </c>
      <c r="H11" s="12"/>
      <c r="I11" s="14">
        <v>-12090667</v>
      </c>
      <c r="J11" s="12">
        <v>6876</v>
      </c>
      <c r="K11" s="12">
        <v>1621734</v>
      </c>
      <c r="L11" s="12">
        <v>4599488</v>
      </c>
      <c r="M11" s="12">
        <f t="shared" si="0"/>
        <v>-5862569</v>
      </c>
    </row>
    <row r="12" spans="1:14">
      <c r="C12" t="s">
        <v>19</v>
      </c>
      <c r="H12" s="12"/>
      <c r="I12" s="15">
        <v>-6611112</v>
      </c>
      <c r="J12" s="12">
        <v>137935</v>
      </c>
      <c r="K12" s="12">
        <v>6264139</v>
      </c>
      <c r="L12" s="12"/>
      <c r="M12" s="12">
        <f>SUM(I12:L12)</f>
        <v>-209038</v>
      </c>
    </row>
    <row r="13" spans="1:14">
      <c r="C13" t="s">
        <v>20</v>
      </c>
      <c r="H13" s="12"/>
      <c r="I13" s="16">
        <v>-2835116</v>
      </c>
      <c r="J13" s="12"/>
      <c r="K13" s="12">
        <v>21875</v>
      </c>
      <c r="L13" s="12"/>
      <c r="M13" s="12">
        <f t="shared" si="0"/>
        <v>-2813241</v>
      </c>
    </row>
    <row r="14" spans="1:14">
      <c r="C14" t="s">
        <v>283</v>
      </c>
      <c r="H14" s="12"/>
      <c r="I14" s="94">
        <v>-852741</v>
      </c>
      <c r="J14" s="12"/>
      <c r="K14" s="12">
        <v>692019</v>
      </c>
      <c r="L14" s="12"/>
      <c r="M14" s="12">
        <f t="shared" si="0"/>
        <v>-160722</v>
      </c>
    </row>
    <row r="15" spans="1:14">
      <c r="C15" t="s">
        <v>18</v>
      </c>
      <c r="H15" s="12"/>
      <c r="I15" s="92">
        <v>-425794</v>
      </c>
      <c r="J15" s="12"/>
      <c r="K15" s="12">
        <v>43819</v>
      </c>
      <c r="L15" s="12"/>
      <c r="M15" s="12">
        <f>SUM(I15:L15)</f>
        <v>-381975</v>
      </c>
    </row>
    <row r="16" spans="1:14">
      <c r="C16" t="s">
        <v>284</v>
      </c>
      <c r="H16" s="12"/>
      <c r="I16" s="94">
        <v>-3343755</v>
      </c>
      <c r="J16" s="12"/>
      <c r="K16" s="12"/>
      <c r="L16" s="12"/>
      <c r="M16" s="12">
        <f>SUM(I16:L16)</f>
        <v>-3343755</v>
      </c>
    </row>
    <row r="17" spans="1:14">
      <c r="C17" t="s">
        <v>21</v>
      </c>
      <c r="H17" s="12"/>
      <c r="I17" s="89">
        <v>-359539</v>
      </c>
      <c r="J17" s="12"/>
      <c r="K17" s="12"/>
      <c r="L17" s="12"/>
      <c r="M17" s="12">
        <f t="shared" si="0"/>
        <v>-359539</v>
      </c>
    </row>
    <row r="18" spans="1:14">
      <c r="H18" s="12"/>
      <c r="I18" s="12"/>
      <c r="J18" s="12"/>
      <c r="K18" s="12"/>
      <c r="L18" s="12"/>
      <c r="M18" s="12"/>
    </row>
    <row r="19" spans="1:14">
      <c r="E19" s="19" t="s">
        <v>285</v>
      </c>
      <c r="F19" s="19"/>
      <c r="G19" s="19"/>
      <c r="H19" s="20"/>
      <c r="I19" s="20">
        <f t="shared" ref="I19:N19" si="1">SUM(I9:I17)</f>
        <v>-36928267</v>
      </c>
      <c r="J19" s="20">
        <f t="shared" si="1"/>
        <v>1592566</v>
      </c>
      <c r="K19" s="20">
        <f t="shared" si="1"/>
        <v>8922234</v>
      </c>
      <c r="L19" s="20">
        <f t="shared" si="1"/>
        <v>4642205</v>
      </c>
      <c r="M19" s="82">
        <f t="shared" si="1"/>
        <v>-21771262</v>
      </c>
      <c r="N19" s="84">
        <f t="shared" si="1"/>
        <v>0</v>
      </c>
    </row>
    <row r="20" spans="1:14">
      <c r="E20" s="8"/>
      <c r="F20" s="8"/>
      <c r="G20" s="8"/>
      <c r="H20" s="26"/>
      <c r="I20" s="26"/>
      <c r="J20" s="26"/>
      <c r="K20" s="26"/>
      <c r="L20" s="26"/>
      <c r="M20" s="26"/>
    </row>
    <row r="21" spans="1:14">
      <c r="E21" s="84" t="s">
        <v>286</v>
      </c>
      <c r="F21" s="427"/>
      <c r="G21" s="427"/>
      <c r="H21" s="82"/>
      <c r="I21" s="82">
        <v>-80150485</v>
      </c>
      <c r="J21" s="20">
        <v>67700153</v>
      </c>
      <c r="K21" s="20">
        <v>4625753</v>
      </c>
      <c r="L21" s="20">
        <v>2339692</v>
      </c>
      <c r="M21" s="82">
        <v>0</v>
      </c>
      <c r="N21" s="85">
        <v>-5484887</v>
      </c>
    </row>
    <row r="22" spans="1:14">
      <c r="H22" s="12"/>
      <c r="I22" s="12"/>
      <c r="J22" s="12"/>
      <c r="K22" s="12"/>
      <c r="L22" s="12"/>
      <c r="M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12"/>
    </row>
    <row r="24" spans="1:14">
      <c r="A24" s="8"/>
      <c r="B24" s="8"/>
      <c r="C24" s="8"/>
      <c r="D24" s="8"/>
      <c r="E24" s="8"/>
      <c r="G24" s="8"/>
      <c r="H24" s="80" t="s">
        <v>26</v>
      </c>
      <c r="I24" s="26"/>
      <c r="J24" s="26"/>
      <c r="K24" s="26"/>
      <c r="L24" s="26"/>
      <c r="M24" s="12"/>
    </row>
    <row r="25" spans="1:14">
      <c r="H25" s="12"/>
      <c r="I25" s="12" t="s">
        <v>186</v>
      </c>
      <c r="J25" s="12"/>
      <c r="K25" s="12"/>
      <c r="L25" s="12"/>
      <c r="M25" s="28">
        <v>10403521</v>
      </c>
      <c r="N25" s="12">
        <v>2856136</v>
      </c>
    </row>
    <row r="26" spans="1:14">
      <c r="H26" s="12"/>
      <c r="I26" s="12" t="s">
        <v>187</v>
      </c>
      <c r="J26" s="12"/>
      <c r="K26" s="12"/>
      <c r="L26" s="12"/>
      <c r="M26" s="14">
        <v>7111581</v>
      </c>
      <c r="N26" s="12">
        <v>4696057</v>
      </c>
    </row>
    <row r="27" spans="1:14">
      <c r="H27" s="12"/>
      <c r="I27" s="12" t="s">
        <v>287</v>
      </c>
      <c r="J27" s="12"/>
      <c r="K27" s="12"/>
      <c r="L27" s="12"/>
      <c r="M27" s="14">
        <v>274084</v>
      </c>
      <c r="N27" s="12">
        <v>274352</v>
      </c>
    </row>
    <row r="28" spans="1:14">
      <c r="H28" s="12"/>
      <c r="I28" s="12" t="s">
        <v>95</v>
      </c>
      <c r="J28" s="12"/>
      <c r="K28" s="12"/>
      <c r="L28" s="12"/>
      <c r="M28" s="15">
        <v>1136974</v>
      </c>
      <c r="N28" s="12"/>
    </row>
    <row r="29" spans="1:14">
      <c r="H29" s="12"/>
      <c r="I29" s="12" t="s">
        <v>142</v>
      </c>
      <c r="J29" s="12"/>
      <c r="K29" s="12"/>
      <c r="L29" s="12"/>
      <c r="M29" s="12"/>
      <c r="N29" s="12">
        <v>139315</v>
      </c>
    </row>
    <row r="30" spans="1:14">
      <c r="H30" s="12"/>
      <c r="I30" s="12" t="s">
        <v>288</v>
      </c>
      <c r="J30" s="12"/>
      <c r="K30" s="12"/>
      <c r="L30" s="12"/>
      <c r="M30" s="15">
        <v>934101</v>
      </c>
    </row>
    <row r="31" spans="1:14">
      <c r="H31" s="12" t="s">
        <v>82</v>
      </c>
      <c r="I31" s="12"/>
      <c r="J31" s="12"/>
      <c r="K31" s="12"/>
      <c r="L31" s="12"/>
      <c r="M31" s="12"/>
    </row>
    <row r="32" spans="1:14">
      <c r="H32" s="12"/>
      <c r="I32" s="12" t="s">
        <v>48</v>
      </c>
      <c r="J32" s="12"/>
      <c r="K32" s="12"/>
      <c r="L32" s="12"/>
      <c r="M32" s="93">
        <v>443269</v>
      </c>
      <c r="N32">
        <v>437727</v>
      </c>
    </row>
    <row r="33" spans="5:14">
      <c r="H33" s="12" t="s">
        <v>86</v>
      </c>
      <c r="I33" s="12"/>
      <c r="J33" s="12"/>
      <c r="K33" s="12"/>
      <c r="L33" s="12"/>
      <c r="M33" s="29">
        <v>320883</v>
      </c>
      <c r="N33" s="9">
        <v>328937</v>
      </c>
    </row>
    <row r="34" spans="5:14">
      <c r="H34" s="12" t="s">
        <v>36</v>
      </c>
      <c r="I34" s="12"/>
      <c r="J34" s="12"/>
      <c r="K34" s="12"/>
      <c r="L34" s="12"/>
      <c r="M34" s="29">
        <v>223601</v>
      </c>
      <c r="N34" s="9">
        <v>510960</v>
      </c>
    </row>
    <row r="35" spans="5:14">
      <c r="H35" s="12"/>
      <c r="I35" s="12"/>
      <c r="J35" s="12"/>
      <c r="K35" s="12"/>
      <c r="L35" s="12"/>
      <c r="M35" s="12"/>
    </row>
    <row r="36" spans="5:14">
      <c r="H36" s="20" t="s">
        <v>38</v>
      </c>
      <c r="I36" s="20"/>
      <c r="J36" s="20"/>
      <c r="K36" s="20"/>
      <c r="L36" s="20"/>
      <c r="M36" s="20">
        <f>SUM(M25:M34)</f>
        <v>20848014</v>
      </c>
      <c r="N36" s="85">
        <f>SUM(N25:N34)</f>
        <v>9243484</v>
      </c>
    </row>
    <row r="37" spans="5:14">
      <c r="H37" s="12"/>
      <c r="I37" s="12"/>
      <c r="J37" s="12"/>
      <c r="K37" s="12"/>
      <c r="L37" s="12"/>
      <c r="M37" s="12"/>
    </row>
    <row r="38" spans="5:14">
      <c r="H38" s="20" t="s">
        <v>53</v>
      </c>
      <c r="I38" s="20"/>
      <c r="J38" s="20"/>
      <c r="K38" s="20"/>
      <c r="L38" s="20"/>
      <c r="M38" s="20">
        <f>M36+M19</f>
        <v>-923248</v>
      </c>
      <c r="N38" s="85">
        <f>N36+N21</f>
        <v>3758597</v>
      </c>
    </row>
    <row r="39" spans="5:14">
      <c r="H39" s="26"/>
      <c r="I39" s="26"/>
      <c r="J39" s="26"/>
      <c r="K39" s="26"/>
      <c r="L39" s="26"/>
      <c r="M39" s="26"/>
    </row>
    <row r="40" spans="5:14">
      <c r="E40" s="31" t="s">
        <v>289</v>
      </c>
      <c r="F40" s="31"/>
      <c r="G40" s="31"/>
      <c r="H40" s="32"/>
      <c r="I40" s="32"/>
      <c r="J40" s="32"/>
      <c r="K40" s="32"/>
      <c r="L40" s="32"/>
      <c r="M40" s="33">
        <v>133531832</v>
      </c>
      <c r="N40" s="86">
        <v>82809047</v>
      </c>
    </row>
    <row r="41" spans="5:14">
      <c r="H41" s="12"/>
      <c r="I41" s="12"/>
      <c r="J41" s="12"/>
      <c r="K41" s="12"/>
      <c r="L41" s="12"/>
      <c r="M41" s="12"/>
    </row>
    <row r="42" spans="5:14">
      <c r="E42" s="34" t="s">
        <v>55</v>
      </c>
      <c r="F42" s="34"/>
      <c r="G42" s="34"/>
      <c r="H42" s="35"/>
      <c r="I42" s="35"/>
      <c r="J42" s="35"/>
      <c r="K42" s="35"/>
      <c r="L42" s="35"/>
      <c r="M42" s="83">
        <f>SUM(M38,M40)</f>
        <v>132608584</v>
      </c>
      <c r="N42" s="87">
        <f>N40+N38</f>
        <v>86567644</v>
      </c>
    </row>
    <row r="49" spans="11:13">
      <c r="K49" s="9"/>
      <c r="L49" s="9"/>
      <c r="M49" s="9"/>
    </row>
  </sheetData>
  <mergeCells count="4">
    <mergeCell ref="J1:M1"/>
    <mergeCell ref="J2:M2"/>
    <mergeCell ref="M5:N5"/>
    <mergeCell ref="J5:L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61"/>
  <sheetViews>
    <sheetView workbookViewId="0">
      <selection activeCell="I20" sqref="I20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  <col min="17" max="17" width="17.28515625" customWidth="1"/>
  </cols>
  <sheetData>
    <row r="1" spans="1:17" ht="30" customHeight="1">
      <c r="J1" s="520" t="s">
        <v>290</v>
      </c>
      <c r="K1" s="520"/>
      <c r="L1" s="520"/>
      <c r="M1" s="520"/>
      <c r="N1" s="419"/>
      <c r="O1" s="419"/>
    </row>
    <row r="2" spans="1:17" ht="21.75" customHeight="1">
      <c r="J2" s="521" t="s">
        <v>1</v>
      </c>
      <c r="K2" s="521"/>
      <c r="L2" s="521"/>
      <c r="M2" s="521"/>
      <c r="N2" s="420"/>
      <c r="O2" s="420"/>
    </row>
    <row r="3" spans="1:17" ht="18.75" customHeight="1">
      <c r="E3" s="3"/>
      <c r="F3" s="3"/>
      <c r="G3" s="3"/>
      <c r="H3" s="3"/>
      <c r="I3" s="3"/>
      <c r="J3" s="3"/>
      <c r="K3" s="3"/>
      <c r="L3" s="3"/>
    </row>
    <row r="4" spans="1:17" ht="30.75" customHeight="1">
      <c r="E4" s="2"/>
      <c r="M4" s="522" t="s">
        <v>291</v>
      </c>
      <c r="N4" s="522"/>
      <c r="O4" s="522"/>
      <c r="P4" s="522"/>
      <c r="Q4" s="522"/>
    </row>
    <row r="5" spans="1:17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5" t="s">
        <v>5</v>
      </c>
      <c r="N5" s="525"/>
      <c r="O5" s="525"/>
      <c r="P5" s="532" t="s">
        <v>292</v>
      </c>
      <c r="Q5" s="532"/>
    </row>
    <row r="6" spans="1:17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58</v>
      </c>
      <c r="Q6" s="414" t="s">
        <v>147</v>
      </c>
    </row>
    <row r="7" spans="1:17" ht="30.75" customHeight="1">
      <c r="A7" s="8" t="s">
        <v>13</v>
      </c>
      <c r="I7" s="9"/>
      <c r="J7" s="9"/>
      <c r="K7" s="9"/>
      <c r="L7" s="9"/>
    </row>
    <row r="8" spans="1:17">
      <c r="B8" s="10" t="s">
        <v>14</v>
      </c>
      <c r="I8" s="9"/>
      <c r="J8" s="9"/>
      <c r="K8" s="9"/>
      <c r="L8" s="9"/>
      <c r="M8" s="9"/>
      <c r="N8" s="9"/>
      <c r="O8" s="9"/>
    </row>
    <row r="9" spans="1:17">
      <c r="C9" t="s">
        <v>15</v>
      </c>
      <c r="H9" s="12"/>
      <c r="I9" s="11">
        <v>-21155383</v>
      </c>
      <c r="J9" s="12">
        <v>527692</v>
      </c>
      <c r="K9" s="12">
        <v>164589</v>
      </c>
      <c r="L9" s="12">
        <v>14400</v>
      </c>
      <c r="M9" s="12">
        <f t="shared" ref="M9:M15" si="0">SUM(I9:L9)</f>
        <v>-20448702</v>
      </c>
      <c r="N9" s="12"/>
      <c r="O9" s="12">
        <f t="shared" ref="O9:O15" si="1">SUM(M9:N9)</f>
        <v>-20448702</v>
      </c>
    </row>
    <row r="10" spans="1:17">
      <c r="C10" t="s">
        <v>16</v>
      </c>
      <c r="H10" s="12"/>
      <c r="I10" s="13">
        <v>-4093206</v>
      </c>
      <c r="J10" s="12">
        <v>697956</v>
      </c>
      <c r="K10" s="12">
        <v>330982</v>
      </c>
      <c r="L10" s="12"/>
      <c r="M10" s="12">
        <f t="shared" si="0"/>
        <v>-3064268</v>
      </c>
      <c r="N10" s="12"/>
      <c r="O10" s="12">
        <f t="shared" si="1"/>
        <v>-3064268</v>
      </c>
    </row>
    <row r="11" spans="1:17">
      <c r="C11" t="s">
        <v>17</v>
      </c>
      <c r="H11" s="12"/>
      <c r="I11" s="14">
        <v>-12246757</v>
      </c>
      <c r="J11" s="12">
        <v>1610</v>
      </c>
      <c r="K11" s="12">
        <v>744394</v>
      </c>
      <c r="L11" s="12">
        <v>29720407</v>
      </c>
      <c r="M11" s="12">
        <f t="shared" si="0"/>
        <v>18219654</v>
      </c>
      <c r="N11" s="12"/>
      <c r="O11" s="12">
        <f t="shared" si="1"/>
        <v>18219654</v>
      </c>
    </row>
    <row r="12" spans="1:17">
      <c r="C12" t="s">
        <v>293</v>
      </c>
      <c r="H12" s="12"/>
      <c r="I12" s="15">
        <v>-2311952</v>
      </c>
      <c r="J12" s="12">
        <v>100334</v>
      </c>
      <c r="K12" s="12">
        <v>436201</v>
      </c>
      <c r="L12" s="12"/>
      <c r="M12" s="12">
        <f>SUM(I12:L12)</f>
        <v>-1775417</v>
      </c>
      <c r="N12" s="12"/>
      <c r="O12" s="12">
        <f>SUM(M12:N12)</f>
        <v>-1775417</v>
      </c>
    </row>
    <row r="13" spans="1:17">
      <c r="C13" t="s">
        <v>44</v>
      </c>
      <c r="H13" s="12"/>
      <c r="I13" s="92">
        <v>-267660</v>
      </c>
      <c r="J13" s="12"/>
      <c r="K13" s="12"/>
      <c r="L13" s="12"/>
      <c r="M13" s="12">
        <f t="shared" si="0"/>
        <v>-267660</v>
      </c>
      <c r="N13" s="12"/>
      <c r="O13" s="12">
        <f t="shared" si="1"/>
        <v>-267660</v>
      </c>
    </row>
    <row r="14" spans="1:17">
      <c r="C14" t="s">
        <v>20</v>
      </c>
      <c r="H14" s="12"/>
      <c r="I14" s="16">
        <v>-824014</v>
      </c>
      <c r="J14" s="12">
        <v>12728</v>
      </c>
      <c r="K14" s="12">
        <v>126614</v>
      </c>
      <c r="L14" s="12"/>
      <c r="M14" s="12">
        <f t="shared" si="0"/>
        <v>-684672</v>
      </c>
      <c r="N14" s="12"/>
      <c r="O14" s="12">
        <f t="shared" si="1"/>
        <v>-684672</v>
      </c>
    </row>
    <row r="15" spans="1:17">
      <c r="C15" t="s">
        <v>21</v>
      </c>
      <c r="H15" s="12"/>
      <c r="I15" s="89">
        <v>-691880</v>
      </c>
      <c r="J15" s="12"/>
      <c r="K15" s="12"/>
      <c r="L15" s="12"/>
      <c r="M15" s="12">
        <f t="shared" si="0"/>
        <v>-691880</v>
      </c>
      <c r="N15" s="12"/>
      <c r="O15" s="12">
        <f t="shared" si="1"/>
        <v>-691880</v>
      </c>
    </row>
    <row r="16" spans="1:17">
      <c r="H16" s="12"/>
      <c r="I16" s="12"/>
      <c r="J16" s="12"/>
      <c r="K16" s="12"/>
      <c r="L16" s="12"/>
      <c r="M16" s="12"/>
      <c r="N16" s="12"/>
      <c r="O16" s="12"/>
    </row>
    <row r="17" spans="1:17">
      <c r="E17" s="19" t="s">
        <v>22</v>
      </c>
      <c r="F17" s="19"/>
      <c r="G17" s="19"/>
      <c r="H17" s="20"/>
      <c r="I17" s="20">
        <f>SUM(I9:I15)</f>
        <v>-41590852</v>
      </c>
      <c r="J17" s="20">
        <f>SUM(J9:J15)</f>
        <v>1340320</v>
      </c>
      <c r="K17" s="20">
        <f>SUM(K9:K15)</f>
        <v>1802780</v>
      </c>
      <c r="L17" s="20">
        <f>SUM(L9:L15)</f>
        <v>29734807</v>
      </c>
      <c r="M17" s="82">
        <f>SUM(M9:M15)</f>
        <v>-8712945</v>
      </c>
      <c r="N17" s="82"/>
      <c r="O17" s="82">
        <f>SUM(O9:O15)</f>
        <v>-8712945</v>
      </c>
      <c r="P17" s="84">
        <f>SUM(P9:P15)</f>
        <v>0</v>
      </c>
      <c r="Q17" s="84">
        <f>SUM(Q9:Q15)</f>
        <v>0</v>
      </c>
    </row>
    <row r="18" spans="1:17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7">
      <c r="B19" s="10" t="s">
        <v>116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7">
      <c r="B20" s="10"/>
      <c r="C20" t="s">
        <v>294</v>
      </c>
      <c r="E20" s="8"/>
      <c r="F20" s="8"/>
      <c r="G20" s="8"/>
      <c r="H20" s="26"/>
      <c r="I20" s="464">
        <v>-4928587</v>
      </c>
      <c r="J20" s="80">
        <v>5557513</v>
      </c>
      <c r="K20" s="80"/>
      <c r="L20" s="80"/>
      <c r="M20" s="80"/>
      <c r="N20" s="80">
        <f>SUM(I20:L20)</f>
        <v>628926</v>
      </c>
      <c r="O20" s="80">
        <f>N20</f>
        <v>628926</v>
      </c>
    </row>
    <row r="21" spans="1:17">
      <c r="B21" s="10"/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7">
      <c r="E22" s="19" t="s">
        <v>117</v>
      </c>
      <c r="F22" s="19"/>
      <c r="G22" s="19"/>
      <c r="H22" s="20"/>
      <c r="I22" s="20">
        <f t="shared" ref="I22:Q22" si="2">SUM(I20:I20)</f>
        <v>-4928587</v>
      </c>
      <c r="J22" s="20">
        <f t="shared" si="2"/>
        <v>5557513</v>
      </c>
      <c r="K22" s="20">
        <f t="shared" si="2"/>
        <v>0</v>
      </c>
      <c r="L22" s="20">
        <f t="shared" si="2"/>
        <v>0</v>
      </c>
      <c r="M22" s="82">
        <f t="shared" si="2"/>
        <v>0</v>
      </c>
      <c r="N22" s="82">
        <f t="shared" si="2"/>
        <v>628926</v>
      </c>
      <c r="O22" s="82">
        <f t="shared" si="2"/>
        <v>628926</v>
      </c>
      <c r="P22" s="82">
        <f t="shared" si="2"/>
        <v>0</v>
      </c>
      <c r="Q22" s="82">
        <f t="shared" si="2"/>
        <v>0</v>
      </c>
    </row>
    <row r="23" spans="1:17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7">
      <c r="E24" s="19" t="s">
        <v>67</v>
      </c>
      <c r="F24" s="19"/>
      <c r="G24" s="19"/>
      <c r="H24" s="20"/>
      <c r="I24" s="20">
        <f>I22+I17</f>
        <v>-46519439</v>
      </c>
      <c r="J24" s="20">
        <f>J22+J17</f>
        <v>6897833</v>
      </c>
      <c r="K24" s="20">
        <f>K22+K17</f>
        <v>1802780</v>
      </c>
      <c r="L24" s="20">
        <f>L17+L22</f>
        <v>29734807</v>
      </c>
      <c r="M24" s="82">
        <f>M17</f>
        <v>-8712945</v>
      </c>
      <c r="N24" s="82">
        <f>N22</f>
        <v>628926</v>
      </c>
      <c r="O24" s="82">
        <f>O22+O17</f>
        <v>-8084019</v>
      </c>
      <c r="P24" s="82">
        <f t="shared" ref="P24:Q24" si="3">P22+P17</f>
        <v>0</v>
      </c>
      <c r="Q24" s="82">
        <f t="shared" si="3"/>
        <v>0</v>
      </c>
    </row>
    <row r="25" spans="1:17">
      <c r="H25" s="12"/>
      <c r="I25" s="12"/>
      <c r="J25" s="12"/>
      <c r="K25" s="12"/>
      <c r="L25" s="12"/>
      <c r="M25" s="12"/>
      <c r="N25" s="12"/>
      <c r="O25" s="12"/>
    </row>
    <row r="26" spans="1:17">
      <c r="A26" s="10" t="s">
        <v>23</v>
      </c>
      <c r="H26" s="12"/>
      <c r="I26" s="12"/>
      <c r="J26" s="12"/>
      <c r="K26" s="12"/>
      <c r="L26" s="12"/>
      <c r="M26" s="12"/>
      <c r="N26" s="12"/>
      <c r="O26" s="12"/>
    </row>
    <row r="27" spans="1:17">
      <c r="B27" t="s">
        <v>111</v>
      </c>
      <c r="H27" s="12"/>
      <c r="I27" s="12">
        <v>-3371456</v>
      </c>
      <c r="J27" s="12">
        <v>120670</v>
      </c>
      <c r="K27" s="12">
        <v>100170</v>
      </c>
      <c r="L27" s="12"/>
      <c r="M27" s="12"/>
      <c r="N27" s="12"/>
      <c r="O27" s="12"/>
      <c r="P27" s="12">
        <f>SUM(I27:L27)</f>
        <v>-3150616</v>
      </c>
    </row>
    <row r="28" spans="1:17">
      <c r="B28" t="s">
        <v>295</v>
      </c>
      <c r="H28" s="12"/>
      <c r="I28" s="12">
        <v>-1724145</v>
      </c>
      <c r="J28" s="12">
        <v>1447161</v>
      </c>
      <c r="K28" s="12">
        <v>19712</v>
      </c>
      <c r="L28" s="12"/>
      <c r="M28" s="12"/>
      <c r="N28" s="12"/>
      <c r="O28" s="12"/>
      <c r="Q28" s="12">
        <f>SUM(I28:L28)</f>
        <v>-257272</v>
      </c>
    </row>
    <row r="29" spans="1:17">
      <c r="H29" s="12"/>
      <c r="I29" s="12"/>
      <c r="J29" s="12"/>
      <c r="K29" s="12"/>
      <c r="L29" s="12"/>
      <c r="M29" s="12"/>
      <c r="N29" s="12"/>
      <c r="O29" s="12"/>
    </row>
    <row r="30" spans="1:17">
      <c r="E30" s="19" t="s">
        <v>70</v>
      </c>
      <c r="F30" s="19"/>
      <c r="G30" s="19"/>
      <c r="H30" s="20"/>
      <c r="I30" s="20">
        <f t="shared" ref="I30:Q30" si="4">SUM(I27:I28)</f>
        <v>-5095601</v>
      </c>
      <c r="J30" s="20">
        <f t="shared" si="4"/>
        <v>1567831</v>
      </c>
      <c r="K30" s="20">
        <f t="shared" si="4"/>
        <v>119882</v>
      </c>
      <c r="L30" s="20">
        <f t="shared" si="4"/>
        <v>0</v>
      </c>
      <c r="M30" s="82">
        <f t="shared" si="4"/>
        <v>0</v>
      </c>
      <c r="N30" s="82">
        <f t="shared" si="4"/>
        <v>0</v>
      </c>
      <c r="O30" s="82">
        <f t="shared" si="4"/>
        <v>0</v>
      </c>
      <c r="P30" s="85">
        <f t="shared" si="4"/>
        <v>-3150616</v>
      </c>
      <c r="Q30" s="84">
        <f t="shared" si="4"/>
        <v>-257272</v>
      </c>
    </row>
    <row r="31" spans="1:17">
      <c r="H31" s="12"/>
      <c r="I31" s="12"/>
      <c r="J31" s="12"/>
      <c r="K31" s="12"/>
      <c r="L31" s="12"/>
      <c r="M31" s="12"/>
      <c r="N31" s="12"/>
      <c r="O31" s="12"/>
    </row>
    <row r="32" spans="1:17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  <c r="O32" s="12"/>
    </row>
    <row r="33" spans="1:17">
      <c r="A33" s="8"/>
      <c r="B33" s="8"/>
      <c r="C33" s="8"/>
      <c r="D33" s="8"/>
      <c r="E33" s="8"/>
      <c r="G33" s="8"/>
      <c r="H33" s="80" t="s">
        <v>186</v>
      </c>
      <c r="I33" s="26"/>
      <c r="J33" s="26"/>
      <c r="K33" s="26"/>
      <c r="L33" s="26"/>
      <c r="M33" s="28">
        <v>5872715</v>
      </c>
      <c r="N33" s="12"/>
      <c r="O33" s="12">
        <f t="shared" ref="O33:O41" si="5">SUM(M33:N33)</f>
        <v>5872715</v>
      </c>
      <c r="P33">
        <v>3842978</v>
      </c>
    </row>
    <row r="34" spans="1:17">
      <c r="H34" s="12" t="s">
        <v>96</v>
      </c>
      <c r="I34" s="12"/>
      <c r="J34" s="12"/>
      <c r="K34" s="12"/>
      <c r="L34" s="12"/>
      <c r="M34" s="14">
        <v>19346721</v>
      </c>
      <c r="N34" s="12"/>
      <c r="O34" s="12">
        <f t="shared" si="5"/>
        <v>19346721</v>
      </c>
      <c r="P34" s="12"/>
      <c r="Q34" s="9"/>
    </row>
    <row r="35" spans="1:17">
      <c r="H35" s="12" t="s">
        <v>121</v>
      </c>
      <c r="I35" s="12"/>
      <c r="J35" s="12"/>
      <c r="K35" s="12"/>
      <c r="L35" s="12"/>
      <c r="M35" s="14">
        <v>112796</v>
      </c>
      <c r="N35" s="12"/>
      <c r="O35" s="12">
        <f t="shared" si="5"/>
        <v>112796</v>
      </c>
      <c r="P35" s="12"/>
      <c r="Q35" s="12"/>
    </row>
    <row r="36" spans="1:17">
      <c r="H36" s="12" t="s">
        <v>296</v>
      </c>
      <c r="I36" s="12"/>
      <c r="J36" s="12"/>
      <c r="K36" s="12"/>
      <c r="L36" s="12"/>
      <c r="M36" s="15">
        <v>16419</v>
      </c>
      <c r="N36" s="12"/>
      <c r="O36" s="12">
        <f t="shared" si="5"/>
        <v>16419</v>
      </c>
      <c r="P36" s="12"/>
    </row>
    <row r="37" spans="1:17">
      <c r="H37" s="12" t="s">
        <v>297</v>
      </c>
      <c r="I37" s="12"/>
      <c r="J37" s="12"/>
      <c r="K37" s="12"/>
      <c r="L37" s="12"/>
      <c r="M37" s="14">
        <v>125556</v>
      </c>
      <c r="N37" s="12"/>
      <c r="O37" s="12">
        <f t="shared" si="5"/>
        <v>125556</v>
      </c>
      <c r="P37" s="12"/>
    </row>
    <row r="38" spans="1:17">
      <c r="H38" s="12" t="s">
        <v>298</v>
      </c>
      <c r="I38" s="12"/>
      <c r="J38" s="12"/>
      <c r="K38" s="12"/>
      <c r="L38" s="12"/>
      <c r="M38" s="11">
        <v>1089548</v>
      </c>
      <c r="N38" s="12"/>
      <c r="O38" s="12">
        <f t="shared" si="5"/>
        <v>1089548</v>
      </c>
      <c r="P38" s="12"/>
      <c r="Q38" s="12"/>
    </row>
    <row r="39" spans="1:17">
      <c r="H39" s="12" t="s">
        <v>107</v>
      </c>
      <c r="I39" s="12"/>
      <c r="J39" s="12"/>
      <c r="K39" s="12"/>
      <c r="L39" s="12"/>
      <c r="M39" s="29">
        <v>28950</v>
      </c>
      <c r="N39" s="12">
        <v>3338</v>
      </c>
      <c r="O39" s="12">
        <f t="shared" si="5"/>
        <v>32288</v>
      </c>
      <c r="P39" s="12">
        <v>2839</v>
      </c>
      <c r="Q39" s="12">
        <v>1599</v>
      </c>
    </row>
    <row r="40" spans="1:17">
      <c r="H40" s="12" t="s">
        <v>299</v>
      </c>
      <c r="I40" s="12"/>
      <c r="J40" s="12"/>
      <c r="K40" s="12"/>
      <c r="L40" s="12"/>
      <c r="M40" s="29">
        <v>5249364</v>
      </c>
      <c r="N40" s="12">
        <v>309960</v>
      </c>
      <c r="O40" s="12">
        <f t="shared" si="5"/>
        <v>5559324</v>
      </c>
      <c r="P40">
        <v>19590</v>
      </c>
      <c r="Q40" s="12">
        <v>55755</v>
      </c>
    </row>
    <row r="41" spans="1:17">
      <c r="H41" s="12" t="s">
        <v>159</v>
      </c>
      <c r="I41" s="12"/>
      <c r="J41" s="12"/>
      <c r="K41" s="12"/>
      <c r="L41" s="12"/>
      <c r="M41" s="417">
        <v>81135</v>
      </c>
      <c r="N41" s="12"/>
      <c r="O41" s="12">
        <f t="shared" si="5"/>
        <v>81135</v>
      </c>
      <c r="P41" s="9"/>
      <c r="Q41" s="12"/>
    </row>
    <row r="42" spans="1:17">
      <c r="H42" s="12" t="s">
        <v>300</v>
      </c>
      <c r="I42" s="12"/>
      <c r="J42" s="12"/>
      <c r="K42" s="12"/>
      <c r="L42" s="12"/>
      <c r="M42" s="12"/>
      <c r="N42" s="12"/>
      <c r="O42" s="12"/>
      <c r="P42" s="9"/>
    </row>
    <row r="43" spans="1:17">
      <c r="H43" s="12"/>
      <c r="I43" s="12"/>
      <c r="J43" s="12"/>
      <c r="K43" s="12"/>
      <c r="L43" s="12"/>
      <c r="M43" s="12"/>
      <c r="N43" s="12"/>
      <c r="O43" s="12"/>
    </row>
    <row r="44" spans="1:17">
      <c r="H44" s="20" t="s">
        <v>195</v>
      </c>
      <c r="I44" s="20"/>
      <c r="J44" s="20"/>
      <c r="K44" s="20"/>
      <c r="L44" s="20"/>
      <c r="M44" s="20">
        <f>SUM(M33:M42)</f>
        <v>31923204</v>
      </c>
      <c r="N44" s="20">
        <f>SUM(N33:N42)</f>
        <v>313298</v>
      </c>
      <c r="O44" s="20">
        <f>SUM(O33:O42)</f>
        <v>32236502</v>
      </c>
      <c r="P44" s="20">
        <f>SUM(P33:P41)</f>
        <v>3865407</v>
      </c>
      <c r="Q44" s="90">
        <f>SUM(Q34:Q42)</f>
        <v>57354</v>
      </c>
    </row>
    <row r="45" spans="1:17">
      <c r="H45" s="12"/>
      <c r="I45" s="12"/>
      <c r="J45" s="12"/>
      <c r="K45" s="12"/>
      <c r="L45" s="12"/>
      <c r="M45" s="12"/>
      <c r="N45" s="12"/>
      <c r="O45" s="12"/>
    </row>
    <row r="46" spans="1:17">
      <c r="H46" s="20" t="s">
        <v>53</v>
      </c>
      <c r="I46" s="20"/>
      <c r="J46" s="20"/>
      <c r="K46" s="20"/>
      <c r="L46" s="20"/>
      <c r="M46" s="20">
        <f>M44+M24</f>
        <v>23210259</v>
      </c>
      <c r="N46" s="20">
        <f t="shared" ref="N46" si="6">N44+N24</f>
        <v>942224</v>
      </c>
      <c r="O46" s="20">
        <f>O44+O24</f>
        <v>24152483</v>
      </c>
      <c r="P46" s="85">
        <f>SUM(P24+P30+P44)</f>
        <v>714791</v>
      </c>
      <c r="Q46" s="90">
        <f>Q44+Q30</f>
        <v>-199918</v>
      </c>
    </row>
    <row r="47" spans="1:17">
      <c r="H47" s="26"/>
      <c r="I47" s="26"/>
      <c r="J47" s="26"/>
      <c r="K47" s="26"/>
      <c r="L47" s="26"/>
      <c r="M47" s="26"/>
      <c r="N47" s="26"/>
      <c r="O47" s="26"/>
    </row>
    <row r="48" spans="1:17">
      <c r="E48" s="31" t="s">
        <v>54</v>
      </c>
      <c r="F48" s="31"/>
      <c r="G48" s="31"/>
      <c r="H48" s="32"/>
      <c r="I48" s="32"/>
      <c r="J48" s="32"/>
      <c r="K48" s="32"/>
      <c r="L48" s="32"/>
      <c r="M48" s="33">
        <v>104967613</v>
      </c>
      <c r="N48" s="33">
        <v>13330851</v>
      </c>
      <c r="O48" s="33">
        <v>118298464</v>
      </c>
      <c r="P48" s="86">
        <v>6255569</v>
      </c>
      <c r="Q48" s="86">
        <v>4789660</v>
      </c>
    </row>
    <row r="49" spans="5:17">
      <c r="E49" s="8"/>
      <c r="F49" s="8"/>
      <c r="G49" s="8"/>
      <c r="H49" s="26"/>
      <c r="I49" s="26"/>
      <c r="J49" s="26"/>
      <c r="K49" s="26"/>
      <c r="L49" s="26"/>
      <c r="M49" s="210"/>
      <c r="N49" s="210"/>
      <c r="O49" s="210"/>
      <c r="P49" s="326"/>
      <c r="Q49" s="326"/>
    </row>
    <row r="50" spans="5:17">
      <c r="E50" s="427" t="s">
        <v>301</v>
      </c>
      <c r="F50" s="427"/>
      <c r="G50" s="427"/>
      <c r="H50" s="82"/>
      <c r="I50" s="82"/>
      <c r="J50" s="82"/>
      <c r="K50" s="82"/>
      <c r="L50" s="82"/>
      <c r="M50" s="85"/>
      <c r="N50" s="85"/>
      <c r="O50" s="85"/>
      <c r="P50" s="90"/>
      <c r="Q50" s="90">
        <v>-225339</v>
      </c>
    </row>
    <row r="51" spans="5:17">
      <c r="E51" s="8"/>
      <c r="F51" s="8"/>
      <c r="G51" s="8"/>
      <c r="H51" s="26"/>
      <c r="I51" s="26"/>
      <c r="J51" s="26"/>
      <c r="K51" s="26"/>
      <c r="L51" s="26"/>
      <c r="M51" s="210"/>
      <c r="N51" s="210"/>
      <c r="O51" s="210"/>
      <c r="P51" s="326"/>
      <c r="Q51" s="326"/>
    </row>
    <row r="52" spans="5:17">
      <c r="E52" s="428" t="s">
        <v>302</v>
      </c>
      <c r="F52" s="428"/>
      <c r="G52" s="428"/>
      <c r="H52" s="429"/>
      <c r="I52" s="429"/>
      <c r="J52" s="429"/>
      <c r="K52" s="429"/>
      <c r="L52" s="429"/>
      <c r="M52" s="430">
        <f>M48+M50</f>
        <v>104967613</v>
      </c>
      <c r="N52" s="430">
        <f t="shared" ref="N52:Q52" si="7">N48+N50</f>
        <v>13330851</v>
      </c>
      <c r="O52" s="430">
        <f t="shared" si="7"/>
        <v>118298464</v>
      </c>
      <c r="P52" s="430">
        <f t="shared" si="7"/>
        <v>6255569</v>
      </c>
      <c r="Q52" s="430">
        <f t="shared" si="7"/>
        <v>4564321</v>
      </c>
    </row>
    <row r="53" spans="5:17">
      <c r="H53" s="12"/>
      <c r="I53" s="12"/>
      <c r="J53" s="12"/>
      <c r="K53" s="12"/>
      <c r="L53" s="12"/>
      <c r="M53" s="12"/>
      <c r="N53" s="12"/>
      <c r="O53" s="12"/>
    </row>
    <row r="54" spans="5:17">
      <c r="E54" s="34" t="s">
        <v>55</v>
      </c>
      <c r="F54" s="34"/>
      <c r="G54" s="34"/>
      <c r="H54" s="35"/>
      <c r="I54" s="35"/>
      <c r="J54" s="35"/>
      <c r="K54" s="35"/>
      <c r="L54" s="35"/>
      <c r="M54" s="83">
        <f t="shared" ref="M54:P54" si="8">SUM(M46+M48+M50)</f>
        <v>128177872</v>
      </c>
      <c r="N54" s="83">
        <f t="shared" si="8"/>
        <v>14273075</v>
      </c>
      <c r="O54" s="83">
        <f t="shared" si="8"/>
        <v>142450947</v>
      </c>
      <c r="P54" s="83">
        <f t="shared" si="8"/>
        <v>6970360</v>
      </c>
      <c r="Q54" s="83">
        <f>SUM(Q46+Q48+Q50)</f>
        <v>4364403</v>
      </c>
    </row>
    <row r="61" spans="5:17">
      <c r="K61" s="9"/>
      <c r="L61" s="9"/>
      <c r="M61" s="9"/>
      <c r="N61" s="9"/>
      <c r="O61" s="9"/>
    </row>
  </sheetData>
  <mergeCells count="6">
    <mergeCell ref="J1:M1"/>
    <mergeCell ref="J2:M2"/>
    <mergeCell ref="M4:Q4"/>
    <mergeCell ref="J5:L5"/>
    <mergeCell ref="M5:O5"/>
    <mergeCell ref="P5:Q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6"/>
  <sheetViews>
    <sheetView topLeftCell="A5" workbookViewId="0">
      <selection activeCell="M9" sqref="M9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3" customWidth="1"/>
  </cols>
  <sheetData>
    <row r="1" spans="1:13" ht="30" customHeight="1">
      <c r="J1" s="520" t="s">
        <v>303</v>
      </c>
      <c r="K1" s="520"/>
      <c r="L1" s="520"/>
      <c r="M1" s="520"/>
    </row>
    <row r="2" spans="1:13" ht="21.75" customHeight="1">
      <c r="J2" s="521" t="s">
        <v>1</v>
      </c>
      <c r="K2" s="521"/>
      <c r="L2" s="521"/>
      <c r="M2" s="521"/>
    </row>
    <row r="3" spans="1:13" ht="18.75" customHeight="1">
      <c r="E3" s="3"/>
      <c r="F3" s="3"/>
      <c r="G3" s="3"/>
      <c r="H3" s="3"/>
      <c r="I3" s="3"/>
      <c r="J3" s="3"/>
      <c r="K3" s="3"/>
      <c r="L3" s="3"/>
    </row>
    <row r="4" spans="1:13" ht="15.75" customHeight="1">
      <c r="E4" s="2"/>
      <c r="M4" s="431" t="s">
        <v>5</v>
      </c>
    </row>
    <row r="5" spans="1:13" ht="17.2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4" t="s">
        <v>58</v>
      </c>
    </row>
    <row r="6" spans="1:13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304</v>
      </c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B9" s="10"/>
      <c r="C9" t="s">
        <v>60</v>
      </c>
      <c r="I9" s="9"/>
      <c r="J9" s="9"/>
      <c r="K9" s="9"/>
      <c r="L9" s="9"/>
      <c r="M9" s="9"/>
    </row>
    <row r="10" spans="1:13">
      <c r="D10" t="s">
        <v>61</v>
      </c>
      <c r="H10" s="12"/>
      <c r="I10" s="88">
        <v>-120698</v>
      </c>
      <c r="J10" s="12"/>
      <c r="K10" s="12"/>
      <c r="L10" s="12"/>
      <c r="M10" s="12">
        <f>SUM(I10:L10)</f>
        <v>-120698</v>
      </c>
    </row>
    <row r="11" spans="1:13">
      <c r="D11" t="s">
        <v>62</v>
      </c>
      <c r="H11" s="12"/>
      <c r="I11" s="89">
        <v>-266805</v>
      </c>
      <c r="J11" s="12">
        <v>31746</v>
      </c>
      <c r="K11" s="12"/>
      <c r="L11" s="12"/>
      <c r="M11" s="12">
        <f>SUM(I11:L11)</f>
        <v>-235059</v>
      </c>
    </row>
    <row r="12" spans="1:13">
      <c r="D12" t="s">
        <v>63</v>
      </c>
      <c r="H12" s="12"/>
      <c r="I12" s="91">
        <v>-24856</v>
      </c>
      <c r="J12" s="12"/>
      <c r="K12" s="12"/>
      <c r="L12" s="12"/>
      <c r="M12" s="12">
        <f>SUM(I12:L12)</f>
        <v>-24856</v>
      </c>
    </row>
    <row r="13" spans="1:13">
      <c r="D13" t="s">
        <v>64</v>
      </c>
      <c r="H13" s="12"/>
      <c r="I13" s="96">
        <v>-266474</v>
      </c>
      <c r="J13" s="12"/>
      <c r="K13" s="12"/>
      <c r="L13" s="12"/>
      <c r="M13" s="12">
        <f>SUM(I13:L13)</f>
        <v>-266474</v>
      </c>
    </row>
    <row r="14" spans="1:13">
      <c r="D14" t="s">
        <v>65</v>
      </c>
      <c r="H14" s="12"/>
      <c r="I14" s="95">
        <v>-530878</v>
      </c>
      <c r="J14" s="12">
        <v>14205</v>
      </c>
      <c r="K14" s="12">
        <v>82205</v>
      </c>
      <c r="L14" s="12"/>
      <c r="M14" s="12">
        <f>SUM(I14:L14)</f>
        <v>-434468</v>
      </c>
    </row>
    <row r="15" spans="1:13">
      <c r="C15" t="s">
        <v>16</v>
      </c>
      <c r="H15" s="12"/>
      <c r="I15" s="13">
        <v>-700715</v>
      </c>
      <c r="J15" s="12"/>
      <c r="K15" s="12">
        <v>90688</v>
      </c>
      <c r="L15" s="12"/>
      <c r="M15" s="12">
        <f t="shared" ref="M15:M18" si="0">SUM(I15:L15)</f>
        <v>-610027</v>
      </c>
    </row>
    <row r="16" spans="1:13">
      <c r="C16" t="s">
        <v>17</v>
      </c>
      <c r="H16" s="12"/>
      <c r="I16" s="14">
        <v>-4985065</v>
      </c>
      <c r="J16" s="12">
        <v>143664</v>
      </c>
      <c r="K16" s="12">
        <v>331971</v>
      </c>
      <c r="L16" s="12"/>
      <c r="M16" s="12">
        <f t="shared" si="0"/>
        <v>-4509430</v>
      </c>
    </row>
    <row r="17" spans="1:13">
      <c r="C17" t="s">
        <v>19</v>
      </c>
      <c r="H17" s="12"/>
      <c r="I17" s="15">
        <v>-255022</v>
      </c>
      <c r="J17" s="12"/>
      <c r="K17" s="12"/>
      <c r="L17" s="12"/>
      <c r="M17" s="12">
        <f>SUM(I17:L17)</f>
        <v>-255022</v>
      </c>
    </row>
    <row r="18" spans="1:13">
      <c r="C18" t="s">
        <v>20</v>
      </c>
      <c r="H18" s="12"/>
      <c r="I18" s="16">
        <v>-1312896</v>
      </c>
      <c r="J18" s="12">
        <v>25708</v>
      </c>
      <c r="K18" s="12">
        <v>21875</v>
      </c>
      <c r="L18" s="12"/>
      <c r="M18" s="12">
        <f t="shared" si="0"/>
        <v>-1265313</v>
      </c>
    </row>
    <row r="19" spans="1:13">
      <c r="H19" s="12"/>
      <c r="I19" s="12"/>
      <c r="J19" s="12"/>
      <c r="K19" s="12"/>
      <c r="L19" s="12"/>
      <c r="M19" s="12"/>
    </row>
    <row r="20" spans="1:13">
      <c r="E20" s="19" t="s">
        <v>22</v>
      </c>
      <c r="F20" s="19"/>
      <c r="G20" s="19"/>
      <c r="H20" s="20"/>
      <c r="I20" s="20">
        <f>SUM(I10:I18)</f>
        <v>-8463409</v>
      </c>
      <c r="J20" s="20">
        <f>SUM(J10:J18)</f>
        <v>215323</v>
      </c>
      <c r="K20" s="20">
        <f>SUM(K10:K18)</f>
        <v>526739</v>
      </c>
      <c r="L20" s="20">
        <f>SUM(L10:L18)</f>
        <v>0</v>
      </c>
      <c r="M20" s="82">
        <f>SUM(M10:M18)</f>
        <v>-7721347</v>
      </c>
    </row>
    <row r="21" spans="1:13">
      <c r="E21" s="8"/>
      <c r="F21" s="8"/>
      <c r="G21" s="8"/>
      <c r="H21" s="26"/>
      <c r="I21" s="26"/>
      <c r="J21" s="26"/>
      <c r="K21" s="26"/>
      <c r="L21" s="26"/>
      <c r="M21" s="26"/>
    </row>
    <row r="22" spans="1:13">
      <c r="A22" s="8"/>
      <c r="B22" s="8"/>
      <c r="C22" s="8"/>
      <c r="D22" s="8"/>
      <c r="E22" s="8"/>
      <c r="G22" s="8" t="s">
        <v>25</v>
      </c>
      <c r="H22" s="26"/>
      <c r="I22" s="26"/>
      <c r="J22" s="26"/>
      <c r="K22" s="26"/>
      <c r="L22" s="26"/>
      <c r="M22" s="12"/>
    </row>
    <row r="23" spans="1:13">
      <c r="A23" s="8"/>
      <c r="B23" s="8"/>
      <c r="C23" s="8"/>
      <c r="D23" s="8"/>
      <c r="E23" s="8"/>
      <c r="G23" s="8"/>
      <c r="H23" s="80" t="s">
        <v>26</v>
      </c>
      <c r="I23" s="26"/>
      <c r="J23" s="26"/>
      <c r="K23" s="26"/>
      <c r="L23" s="26"/>
      <c r="M23" s="12"/>
    </row>
    <row r="24" spans="1:13">
      <c r="H24" s="12"/>
      <c r="I24" s="12" t="s">
        <v>80</v>
      </c>
      <c r="J24" s="12"/>
      <c r="K24" s="12"/>
      <c r="L24" s="12"/>
      <c r="M24" s="28">
        <v>4409812</v>
      </c>
    </row>
    <row r="25" spans="1:13">
      <c r="H25" s="12"/>
      <c r="I25" s="12" t="s">
        <v>246</v>
      </c>
      <c r="J25" s="12"/>
      <c r="K25" s="12"/>
      <c r="L25" s="12"/>
      <c r="M25" s="14">
        <v>2222337</v>
      </c>
    </row>
    <row r="26" spans="1:13">
      <c r="H26" s="12"/>
      <c r="I26" s="12" t="s">
        <v>48</v>
      </c>
      <c r="J26" s="12"/>
      <c r="K26" s="12"/>
      <c r="L26" s="12"/>
      <c r="M26" s="93">
        <v>80284</v>
      </c>
    </row>
    <row r="27" spans="1:13">
      <c r="H27" s="12"/>
      <c r="I27" s="12" t="s">
        <v>305</v>
      </c>
      <c r="J27" s="12"/>
      <c r="K27" s="12"/>
      <c r="L27" s="12"/>
      <c r="M27" s="15">
        <v>807972</v>
      </c>
    </row>
    <row r="28" spans="1:13">
      <c r="H28" s="12"/>
      <c r="I28" s="12" t="s">
        <v>306</v>
      </c>
      <c r="J28" s="12"/>
      <c r="K28" s="12"/>
      <c r="L28" s="12"/>
      <c r="M28" s="15">
        <v>150370</v>
      </c>
    </row>
    <row r="29" spans="1:13">
      <c r="H29" s="12" t="s">
        <v>106</v>
      </c>
      <c r="I29" s="12"/>
      <c r="J29" s="12"/>
      <c r="K29" s="12"/>
      <c r="L29" s="12"/>
      <c r="M29" s="29">
        <v>49490</v>
      </c>
    </row>
    <row r="30" spans="1:13">
      <c r="H30" s="12" t="s">
        <v>86</v>
      </c>
      <c r="I30" s="12"/>
      <c r="J30" s="12"/>
      <c r="K30" s="12"/>
      <c r="L30" s="12"/>
      <c r="M30" s="29">
        <v>84964</v>
      </c>
    </row>
    <row r="31" spans="1:13">
      <c r="H31" s="12" t="s">
        <v>36</v>
      </c>
      <c r="I31" s="12"/>
      <c r="J31" s="12"/>
      <c r="K31" s="12"/>
      <c r="L31" s="12"/>
      <c r="M31" s="29">
        <v>140413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38</v>
      </c>
      <c r="I33" s="20"/>
      <c r="J33" s="20"/>
      <c r="K33" s="20"/>
      <c r="L33" s="20"/>
      <c r="M33" s="20">
        <f>SUM(M24:M31)</f>
        <v>7945642</v>
      </c>
    </row>
    <row r="34" spans="5:13">
      <c r="H34" s="12"/>
      <c r="I34" s="12"/>
      <c r="J34" s="12"/>
      <c r="K34" s="12"/>
      <c r="L34" s="12"/>
      <c r="M34" s="12"/>
    </row>
    <row r="35" spans="5:13">
      <c r="H35" s="20" t="s">
        <v>53</v>
      </c>
      <c r="I35" s="20"/>
      <c r="J35" s="20"/>
      <c r="K35" s="20"/>
      <c r="L35" s="20"/>
      <c r="M35" s="20">
        <f>M33+M20</f>
        <v>224295</v>
      </c>
    </row>
    <row r="36" spans="5:13">
      <c r="H36" s="26"/>
      <c r="I36" s="26"/>
      <c r="J36" s="26"/>
      <c r="K36" s="26"/>
      <c r="L36" s="26"/>
      <c r="M36" s="26"/>
    </row>
    <row r="37" spans="5:13">
      <c r="E37" s="31" t="s">
        <v>54</v>
      </c>
      <c r="F37" s="31"/>
      <c r="G37" s="31"/>
      <c r="H37" s="32"/>
      <c r="I37" s="32"/>
      <c r="J37" s="32"/>
      <c r="K37" s="32"/>
      <c r="L37" s="32"/>
      <c r="M37" s="33">
        <v>29639318</v>
      </c>
    </row>
    <row r="38" spans="5:13">
      <c r="H38" s="12"/>
      <c r="I38" s="12"/>
      <c r="J38" s="12"/>
      <c r="K38" s="12"/>
      <c r="L38" s="12"/>
      <c r="M38" s="12"/>
    </row>
    <row r="39" spans="5:13">
      <c r="E39" s="34" t="s">
        <v>55</v>
      </c>
      <c r="F39" s="34"/>
      <c r="G39" s="34"/>
      <c r="H39" s="35"/>
      <c r="I39" s="35"/>
      <c r="J39" s="35"/>
      <c r="K39" s="35"/>
      <c r="L39" s="35"/>
      <c r="M39" s="83">
        <f>SUM(M35,M37)</f>
        <v>29863613</v>
      </c>
    </row>
    <row r="46" spans="5:13">
      <c r="K46" s="9"/>
      <c r="L46" s="9"/>
      <c r="M46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4"/>
  <sheetViews>
    <sheetView zoomScale="90" zoomScaleNormal="90" zoomScalePageLayoutView="90" workbookViewId="0">
      <selection activeCell="I9" sqref="I9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140625" customWidth="1"/>
  </cols>
  <sheetData>
    <row r="1" spans="1:13" ht="31.5" customHeight="1">
      <c r="J1" s="520" t="s">
        <v>307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60.75">
      <c r="E4" s="2"/>
      <c r="M4" s="431" t="s">
        <v>57</v>
      </c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 t="s">
        <v>126</v>
      </c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58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-4071308</v>
      </c>
      <c r="J9" s="12">
        <v>1588055</v>
      </c>
      <c r="K9" s="12">
        <v>7793</v>
      </c>
      <c r="L9" s="12"/>
      <c r="M9" s="12">
        <f t="shared" ref="M9:M14" si="0">SUM(I9:L9)</f>
        <v>-2475460</v>
      </c>
    </row>
    <row r="10" spans="1:13">
      <c r="C10" t="s">
        <v>16</v>
      </c>
      <c r="H10" s="12"/>
      <c r="I10" s="13">
        <v>-1895472</v>
      </c>
      <c r="J10" s="12">
        <v>420073</v>
      </c>
      <c r="K10" s="12">
        <v>285939</v>
      </c>
      <c r="L10" s="12">
        <v>3008</v>
      </c>
      <c r="M10" s="12">
        <f t="shared" si="0"/>
        <v>-1186452</v>
      </c>
    </row>
    <row r="11" spans="1:13">
      <c r="C11" t="s">
        <v>17</v>
      </c>
      <c r="H11" s="12"/>
      <c r="I11" s="14">
        <v>-3604454</v>
      </c>
      <c r="J11" s="12"/>
      <c r="K11" s="12">
        <v>490344</v>
      </c>
      <c r="L11" s="12">
        <v>683369</v>
      </c>
      <c r="M11" s="12">
        <f t="shared" si="0"/>
        <v>-2430741</v>
      </c>
    </row>
    <row r="12" spans="1:13">
      <c r="C12" t="s">
        <v>20</v>
      </c>
      <c r="H12" s="12"/>
      <c r="I12" s="16">
        <v>-92870</v>
      </c>
      <c r="J12" s="12">
        <v>18398</v>
      </c>
      <c r="K12" s="12"/>
      <c r="L12" s="12"/>
      <c r="M12" s="12">
        <f t="shared" si="0"/>
        <v>-74472</v>
      </c>
    </row>
    <row r="13" spans="1:13">
      <c r="C13" t="s">
        <v>19</v>
      </c>
      <c r="H13" s="12"/>
      <c r="I13" s="15">
        <v>-1103142</v>
      </c>
      <c r="J13" s="12">
        <v>22815</v>
      </c>
      <c r="K13" s="12">
        <v>888573</v>
      </c>
      <c r="L13" s="12"/>
      <c r="M13" s="12">
        <f t="shared" si="0"/>
        <v>-191754</v>
      </c>
    </row>
    <row r="14" spans="1:13">
      <c r="C14" t="s">
        <v>44</v>
      </c>
      <c r="H14" s="12"/>
      <c r="I14" s="92">
        <v>-6928</v>
      </c>
      <c r="J14" s="12"/>
      <c r="K14" s="12"/>
      <c r="L14" s="12"/>
      <c r="M14" s="12">
        <f t="shared" si="0"/>
        <v>-6928</v>
      </c>
    </row>
    <row r="15" spans="1:13">
      <c r="C15" t="s">
        <v>21</v>
      </c>
      <c r="H15" s="12"/>
      <c r="I15" s="17">
        <v>-689117</v>
      </c>
      <c r="J15" s="18"/>
      <c r="K15" s="18"/>
      <c r="L15" s="18"/>
      <c r="M15" s="18">
        <f>SUM(I15:L15)</f>
        <v>-689117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-11463291</v>
      </c>
      <c r="J17" s="20">
        <f>SUM(J9:J14)</f>
        <v>2049341</v>
      </c>
      <c r="K17" s="20">
        <f>SUM(K9:K14)</f>
        <v>1672649</v>
      </c>
      <c r="L17" s="20">
        <f>SUM(L9:L14)</f>
        <v>686377</v>
      </c>
      <c r="M17" s="82">
        <f>SUM(M9:M15)</f>
        <v>-7054924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H20" s="12" t="s">
        <v>186</v>
      </c>
      <c r="I20" s="12"/>
      <c r="J20" s="12"/>
      <c r="K20" s="12"/>
      <c r="L20" s="12"/>
      <c r="M20" s="28">
        <v>4470525</v>
      </c>
    </row>
    <row r="21" spans="1:13">
      <c r="H21" s="12" t="s">
        <v>308</v>
      </c>
      <c r="I21" s="12"/>
      <c r="J21" s="12"/>
      <c r="K21" s="12"/>
      <c r="L21" s="12"/>
      <c r="M21" s="14">
        <v>3752169</v>
      </c>
    </row>
    <row r="22" spans="1:13">
      <c r="H22" s="12" t="s">
        <v>95</v>
      </c>
      <c r="I22" s="12"/>
      <c r="J22" s="12"/>
      <c r="K22" s="12"/>
      <c r="L22" s="12"/>
      <c r="M22" s="15">
        <v>1004328</v>
      </c>
    </row>
    <row r="23" spans="1:13">
      <c r="H23" s="12" t="s">
        <v>48</v>
      </c>
      <c r="I23" s="12"/>
      <c r="J23" s="12"/>
      <c r="K23" s="12"/>
      <c r="L23" s="12"/>
      <c r="M23" s="93">
        <v>133824</v>
      </c>
    </row>
    <row r="24" spans="1:13">
      <c r="H24" s="12" t="s">
        <v>309</v>
      </c>
      <c r="I24" s="12"/>
      <c r="J24" s="12"/>
      <c r="K24" s="12"/>
      <c r="L24" s="12"/>
      <c r="M24" s="29">
        <v>440556</v>
      </c>
    </row>
    <row r="25" spans="1:13">
      <c r="H25" s="12" t="s">
        <v>33</v>
      </c>
      <c r="I25" s="12"/>
      <c r="J25" s="12"/>
      <c r="K25" s="12"/>
      <c r="L25" s="12"/>
      <c r="M25" s="11">
        <v>354948</v>
      </c>
    </row>
    <row r="26" spans="1:13">
      <c r="H26" s="12" t="s">
        <v>50</v>
      </c>
      <c r="I26" s="12"/>
      <c r="J26" s="12"/>
      <c r="K26" s="12"/>
      <c r="L26" s="12"/>
      <c r="M26" s="29">
        <v>24040</v>
      </c>
    </row>
    <row r="27" spans="1:13">
      <c r="H27" s="12" t="s">
        <v>206</v>
      </c>
      <c r="I27" s="12"/>
      <c r="J27" s="12"/>
      <c r="K27" s="12"/>
      <c r="L27" s="12"/>
      <c r="M27" s="29">
        <v>126286</v>
      </c>
    </row>
    <row r="28" spans="1:13">
      <c r="H28" s="12" t="s">
        <v>51</v>
      </c>
      <c r="I28" s="12"/>
      <c r="J28" s="12"/>
      <c r="K28" s="12"/>
      <c r="L28" s="12"/>
      <c r="M28" s="12"/>
    </row>
    <row r="29" spans="1:13">
      <c r="H29" s="12"/>
      <c r="I29" s="12" t="s">
        <v>159</v>
      </c>
      <c r="J29" s="12"/>
      <c r="K29" s="12"/>
      <c r="L29" s="12"/>
      <c r="M29" s="29">
        <v>1052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98</v>
      </c>
      <c r="I31" s="20"/>
      <c r="J31" s="20"/>
      <c r="K31" s="20"/>
      <c r="L31" s="20"/>
      <c r="M31" s="20">
        <f>SUM(M20:M29)</f>
        <v>10307728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53</v>
      </c>
      <c r="I33" s="20"/>
      <c r="J33" s="20"/>
      <c r="K33" s="20"/>
      <c r="L33" s="20"/>
      <c r="M33" s="20">
        <f>SUM(M17,M31)</f>
        <v>3252804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54</v>
      </c>
      <c r="F35" s="31"/>
      <c r="G35" s="31"/>
      <c r="H35" s="32"/>
      <c r="I35" s="32"/>
      <c r="J35" s="32"/>
      <c r="K35" s="32"/>
      <c r="L35" s="32"/>
      <c r="M35" s="33">
        <v>36282847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55</v>
      </c>
      <c r="F37" s="34"/>
      <c r="G37" s="34"/>
      <c r="H37" s="35"/>
      <c r="I37" s="35"/>
      <c r="J37" s="35"/>
      <c r="K37" s="35"/>
      <c r="L37" s="35"/>
      <c r="M37" s="83">
        <f>SUM(M33,M35)</f>
        <v>39535651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67"/>
  <sheetViews>
    <sheetView topLeftCell="A6" workbookViewId="0">
      <selection activeCell="L36" sqref="L36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520" t="s">
        <v>310</v>
      </c>
      <c r="K1" s="520"/>
      <c r="L1" s="520"/>
      <c r="M1" s="520"/>
      <c r="N1" s="419"/>
      <c r="O1" s="419"/>
    </row>
    <row r="2" spans="1:16" ht="21.75" customHeight="1">
      <c r="J2" s="521" t="s">
        <v>1</v>
      </c>
      <c r="K2" s="521"/>
      <c r="L2" s="521"/>
      <c r="M2" s="521"/>
      <c r="N2" s="420"/>
      <c r="O2" s="420"/>
    </row>
    <row r="3" spans="1:16" ht="21.75" customHeight="1">
      <c r="J3" s="420"/>
      <c r="K3" s="252" t="s">
        <v>311</v>
      </c>
      <c r="L3" s="420"/>
      <c r="M3" s="420"/>
      <c r="N3" s="420"/>
      <c r="O3" s="420"/>
    </row>
    <row r="4" spans="1:16" ht="30.75" customHeight="1">
      <c r="E4" s="2"/>
      <c r="M4" s="522" t="s">
        <v>2</v>
      </c>
      <c r="N4" s="522"/>
      <c r="O4" s="522"/>
      <c r="P4" s="522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6" t="s">
        <v>5</v>
      </c>
      <c r="N5" s="526"/>
      <c r="O5" s="526"/>
      <c r="P5" s="360"/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-70717</v>
      </c>
      <c r="J9" s="12">
        <v>15168</v>
      </c>
      <c r="K9" s="12">
        <v>689</v>
      </c>
      <c r="L9" s="12">
        <v>216</v>
      </c>
      <c r="M9" s="12">
        <f t="shared" ref="M9:M17" si="0">SUM(I9:L9)</f>
        <v>-54644</v>
      </c>
      <c r="N9" s="12"/>
      <c r="O9" s="12">
        <f t="shared" ref="O9:O17" si="1">SUM(M9:N9)</f>
        <v>-54644</v>
      </c>
    </row>
    <row r="10" spans="1:16">
      <c r="C10" t="s">
        <v>16</v>
      </c>
      <c r="H10" s="12"/>
      <c r="I10" s="13">
        <v>-100987</v>
      </c>
      <c r="J10" s="12">
        <v>16261</v>
      </c>
      <c r="K10" s="12">
        <v>9876</v>
      </c>
      <c r="L10" s="12">
        <v>332</v>
      </c>
      <c r="M10" s="12">
        <f t="shared" si="0"/>
        <v>-74518</v>
      </c>
      <c r="N10" s="12"/>
      <c r="O10" s="12">
        <f t="shared" si="1"/>
        <v>-74518</v>
      </c>
    </row>
    <row r="11" spans="1:16">
      <c r="C11" t="s">
        <v>17</v>
      </c>
      <c r="H11" s="12"/>
      <c r="I11" s="14">
        <v>-133188</v>
      </c>
      <c r="J11" s="12">
        <v>20297</v>
      </c>
      <c r="K11" s="12">
        <v>1332</v>
      </c>
      <c r="L11" s="12">
        <v>46526</v>
      </c>
      <c r="M11" s="12">
        <f t="shared" si="0"/>
        <v>-65033</v>
      </c>
      <c r="N11" s="12"/>
      <c r="O11" s="12">
        <f t="shared" si="1"/>
        <v>-65033</v>
      </c>
    </row>
    <row r="12" spans="1:16">
      <c r="C12" t="s">
        <v>312</v>
      </c>
      <c r="H12" s="12"/>
      <c r="I12" s="14">
        <v>-17961</v>
      </c>
      <c r="J12" s="12">
        <v>3589</v>
      </c>
      <c r="K12" s="12">
        <v>499</v>
      </c>
      <c r="L12" s="12">
        <v>2675</v>
      </c>
      <c r="M12" s="12">
        <f>SUM(I12:L12)</f>
        <v>-11198</v>
      </c>
      <c r="N12" s="12"/>
      <c r="O12" s="12">
        <f>SUM(M12:N12)</f>
        <v>-11198</v>
      </c>
    </row>
    <row r="13" spans="1:16">
      <c r="C13" t="s">
        <v>19</v>
      </c>
      <c r="H13" s="12"/>
      <c r="I13" s="15">
        <v>-47945</v>
      </c>
      <c r="J13" s="12">
        <v>4266</v>
      </c>
      <c r="K13" s="12">
        <v>29205</v>
      </c>
      <c r="L13" s="12">
        <v>3201</v>
      </c>
      <c r="M13" s="12">
        <f>SUM(I13:L13)</f>
        <v>-11273</v>
      </c>
      <c r="N13" s="12"/>
      <c r="O13" s="12">
        <f t="shared" si="1"/>
        <v>-11273</v>
      </c>
    </row>
    <row r="14" spans="1:16">
      <c r="C14" t="s">
        <v>20</v>
      </c>
      <c r="H14" s="12"/>
      <c r="I14" s="16">
        <v>-48043</v>
      </c>
      <c r="J14" s="12">
        <v>9033</v>
      </c>
      <c r="K14" s="12">
        <v>2089</v>
      </c>
      <c r="L14" s="12">
        <v>5404</v>
      </c>
      <c r="M14" s="12">
        <f t="shared" si="0"/>
        <v>-31517</v>
      </c>
      <c r="N14" s="12"/>
      <c r="O14" s="12">
        <f t="shared" si="1"/>
        <v>-31517</v>
      </c>
    </row>
    <row r="15" spans="1:16">
      <c r="C15" t="s">
        <v>44</v>
      </c>
      <c r="H15" s="12"/>
      <c r="I15" s="12"/>
      <c r="J15" s="12"/>
      <c r="K15" s="12">
        <v>60</v>
      </c>
      <c r="L15" s="12"/>
      <c r="M15" s="12">
        <f t="shared" si="0"/>
        <v>60</v>
      </c>
      <c r="N15" s="12"/>
      <c r="O15" s="12">
        <f t="shared" si="1"/>
        <v>60</v>
      </c>
    </row>
    <row r="16" spans="1:16">
      <c r="C16" t="s">
        <v>283</v>
      </c>
      <c r="H16" s="12"/>
      <c r="I16" s="94">
        <v>-9380</v>
      </c>
      <c r="J16" s="12"/>
      <c r="K16" s="12">
        <v>4401</v>
      </c>
      <c r="L16" s="12"/>
      <c r="M16" s="12">
        <f>SUM(I16:L16)</f>
        <v>-4979</v>
      </c>
      <c r="N16" s="12"/>
      <c r="O16" s="12">
        <f t="shared" si="1"/>
        <v>-4979</v>
      </c>
    </row>
    <row r="17" spans="1:16">
      <c r="C17" t="s">
        <v>21</v>
      </c>
      <c r="H17" s="12"/>
      <c r="I17" s="89">
        <v>-19721</v>
      </c>
      <c r="J17" s="12"/>
      <c r="K17" s="12"/>
      <c r="L17" s="12"/>
      <c r="M17" s="12">
        <f t="shared" si="0"/>
        <v>-19721</v>
      </c>
      <c r="N17" s="12"/>
      <c r="O17" s="12">
        <f t="shared" si="1"/>
        <v>-19721</v>
      </c>
    </row>
    <row r="18" spans="1:16">
      <c r="H18" s="12"/>
      <c r="I18" s="12"/>
      <c r="J18" s="12"/>
      <c r="K18" s="12"/>
      <c r="L18" s="12"/>
      <c r="M18" s="12"/>
      <c r="N18" s="12"/>
      <c r="O18" s="12"/>
    </row>
    <row r="19" spans="1:16">
      <c r="E19" s="19" t="s">
        <v>22</v>
      </c>
      <c r="F19" s="19"/>
      <c r="G19" s="19"/>
      <c r="H19" s="20"/>
      <c r="I19" s="20">
        <f>SUM(I9:I17)</f>
        <v>-447942</v>
      </c>
      <c r="J19" s="20">
        <f>SUM(J9:J17)</f>
        <v>68614</v>
      </c>
      <c r="K19" s="20">
        <f>SUM(K9:K17)</f>
        <v>48151</v>
      </c>
      <c r="L19" s="20">
        <f>SUM(L9:L17)</f>
        <v>58354</v>
      </c>
      <c r="M19" s="82">
        <f>SUM(M9:M17)</f>
        <v>-272823</v>
      </c>
      <c r="N19" s="82"/>
      <c r="O19" s="82">
        <f>SUM(O9:O17)</f>
        <v>-272823</v>
      </c>
      <c r="P19" s="84">
        <f>SUM(P9:P17)</f>
        <v>0</v>
      </c>
    </row>
    <row r="20" spans="1:16"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B21" s="10" t="s">
        <v>116</v>
      </c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6">
      <c r="C22" t="s">
        <v>313</v>
      </c>
      <c r="E22" s="8"/>
      <c r="F22" s="8"/>
      <c r="G22" s="8"/>
      <c r="H22" s="26"/>
      <c r="I22" s="464">
        <v>-38689</v>
      </c>
      <c r="J22" s="80">
        <v>32984</v>
      </c>
      <c r="K22" s="80"/>
      <c r="L22" s="80">
        <v>421</v>
      </c>
      <c r="M22" s="80"/>
      <c r="N22" s="80">
        <f>SUM(I22:L22)</f>
        <v>-5284</v>
      </c>
      <c r="O22" s="80">
        <f>SUM(M22:N22)</f>
        <v>-5284</v>
      </c>
    </row>
    <row r="23" spans="1:16">
      <c r="C23" t="s">
        <v>314</v>
      </c>
      <c r="E23" s="8"/>
      <c r="F23" s="8"/>
      <c r="G23" s="8"/>
      <c r="H23" s="26"/>
      <c r="I23" s="464">
        <v>-44544</v>
      </c>
      <c r="J23" s="80">
        <v>24005</v>
      </c>
      <c r="K23" s="80"/>
      <c r="L23" s="80">
        <v>418</v>
      </c>
      <c r="M23" s="80"/>
      <c r="N23" s="80">
        <v>-20121</v>
      </c>
      <c r="O23" s="80">
        <f>SUM(M23:N23)</f>
        <v>-20121</v>
      </c>
    </row>
    <row r="24" spans="1:16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6">
      <c r="E25" s="19" t="s">
        <v>232</v>
      </c>
      <c r="F25" s="19"/>
      <c r="G25" s="19"/>
      <c r="H25" s="20"/>
      <c r="I25" s="20">
        <f t="shared" ref="I25:O25" si="2">SUM(I22:I23)</f>
        <v>-83233</v>
      </c>
      <c r="J25" s="20">
        <f t="shared" si="2"/>
        <v>56989</v>
      </c>
      <c r="K25" s="20">
        <f t="shared" si="2"/>
        <v>0</v>
      </c>
      <c r="L25" s="20">
        <f t="shared" si="2"/>
        <v>839</v>
      </c>
      <c r="M25" s="82">
        <f t="shared" si="2"/>
        <v>0</v>
      </c>
      <c r="N25" s="82">
        <f t="shared" si="2"/>
        <v>-25405</v>
      </c>
      <c r="O25" s="82">
        <f t="shared" si="2"/>
        <v>-25405</v>
      </c>
      <c r="P25" s="84">
        <f>SUM(P15:P23)</f>
        <v>0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E27" s="19" t="s">
        <v>67</v>
      </c>
      <c r="F27" s="19"/>
      <c r="G27" s="19"/>
      <c r="H27" s="20"/>
      <c r="I27" s="20">
        <f>I25+I19</f>
        <v>-531175</v>
      </c>
      <c r="J27" s="20">
        <f>J25+J19</f>
        <v>125603</v>
      </c>
      <c r="K27" s="20">
        <f>SUM(K19+K25)</f>
        <v>48151</v>
      </c>
      <c r="L27" s="20">
        <f>SUM(L19+L25)</f>
        <v>59193</v>
      </c>
      <c r="M27" s="82">
        <f>M25+M19</f>
        <v>-272823</v>
      </c>
      <c r="N27" s="82">
        <f>N25+N19</f>
        <v>-25405</v>
      </c>
      <c r="O27" s="82">
        <f>O25+O19</f>
        <v>-298228</v>
      </c>
      <c r="P27" s="84">
        <f>SUM(P18:P25)</f>
        <v>0</v>
      </c>
    </row>
    <row r="28" spans="1:16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6">
      <c r="A29" s="10" t="s">
        <v>23</v>
      </c>
      <c r="H29" s="12"/>
      <c r="I29" s="12"/>
      <c r="J29" s="12"/>
      <c r="K29" s="12"/>
      <c r="L29" s="12"/>
      <c r="M29" s="12"/>
      <c r="N29" s="12"/>
      <c r="O29" s="12"/>
    </row>
    <row r="30" spans="1:16">
      <c r="B30" t="s">
        <v>315</v>
      </c>
      <c r="H30" s="12"/>
      <c r="I30" s="12">
        <v>-2872</v>
      </c>
      <c r="J30" s="12">
        <v>505</v>
      </c>
      <c r="K30" s="12">
        <v>2734</v>
      </c>
      <c r="L30" s="12">
        <v>2483</v>
      </c>
      <c r="M30" s="12"/>
      <c r="N30" s="12"/>
      <c r="O30" s="12"/>
      <c r="P30" s="12">
        <f>SUM(I30:M30)</f>
        <v>2850</v>
      </c>
    </row>
    <row r="31" spans="1:16">
      <c r="B31" t="s">
        <v>316</v>
      </c>
      <c r="H31" s="12"/>
      <c r="I31" s="12">
        <v>-639</v>
      </c>
      <c r="J31" s="12">
        <v>419</v>
      </c>
      <c r="K31" s="12"/>
      <c r="L31" s="12"/>
      <c r="M31" s="12"/>
      <c r="N31" s="12"/>
      <c r="O31" s="12"/>
      <c r="P31" s="12">
        <f>SUM(I31:L31)</f>
        <v>-220</v>
      </c>
    </row>
    <row r="32" spans="1:16">
      <c r="B32" t="s">
        <v>317</v>
      </c>
      <c r="H32" s="12"/>
      <c r="I32" s="12">
        <v>-255</v>
      </c>
      <c r="J32" s="12"/>
      <c r="K32" s="12"/>
      <c r="L32" s="12"/>
      <c r="M32" s="12"/>
      <c r="N32" s="12"/>
      <c r="O32" s="12"/>
      <c r="P32" s="12">
        <f>SUM(I32:L32)</f>
        <v>-255</v>
      </c>
    </row>
    <row r="33" spans="1:16">
      <c r="B33" t="s">
        <v>318</v>
      </c>
      <c r="H33" s="12"/>
      <c r="I33" s="12">
        <v>-3463</v>
      </c>
      <c r="J33" s="12"/>
      <c r="K33" s="12"/>
      <c r="L33" s="12"/>
      <c r="M33" s="12"/>
      <c r="N33" s="12"/>
      <c r="O33" s="12"/>
      <c r="P33" s="12">
        <f>SUM(I33:L33)</f>
        <v>-3463</v>
      </c>
    </row>
    <row r="34" spans="1:16">
      <c r="B34" t="s">
        <v>319</v>
      </c>
      <c r="H34" s="12"/>
      <c r="I34" s="12">
        <v>-258862</v>
      </c>
      <c r="J34" s="12">
        <v>221970</v>
      </c>
      <c r="K34" s="12"/>
      <c r="L34" s="12"/>
      <c r="M34" s="12"/>
      <c r="N34" s="12"/>
      <c r="O34" s="12"/>
      <c r="P34" s="12">
        <f>SUM(I34:L34)</f>
        <v>-36892</v>
      </c>
    </row>
    <row r="35" spans="1:16">
      <c r="B35" t="s">
        <v>320</v>
      </c>
      <c r="H35" s="12"/>
      <c r="I35" s="12">
        <v>-371516</v>
      </c>
      <c r="J35" s="12">
        <v>329862</v>
      </c>
      <c r="K35" s="12"/>
      <c r="L35" s="12"/>
      <c r="M35" s="12"/>
      <c r="N35" s="12"/>
      <c r="O35" s="12"/>
      <c r="P35" s="12">
        <f>SUM(I35:L35)</f>
        <v>-41654</v>
      </c>
    </row>
    <row r="36" spans="1:16">
      <c r="H36" s="12"/>
      <c r="I36" s="12"/>
      <c r="J36" s="12"/>
      <c r="K36" s="12"/>
      <c r="L36" s="12"/>
      <c r="M36" s="12"/>
      <c r="N36" s="12"/>
      <c r="O36" s="12"/>
    </row>
    <row r="37" spans="1:16">
      <c r="E37" s="8" t="s">
        <v>70</v>
      </c>
      <c r="F37" s="8"/>
      <c r="G37" s="8"/>
      <c r="H37" s="26"/>
      <c r="I37" s="26">
        <f>SUM(I30:I35)</f>
        <v>-637607</v>
      </c>
      <c r="J37" s="26">
        <f t="shared" ref="J37:P37" si="3">SUM(J30:J35)</f>
        <v>552756</v>
      </c>
      <c r="K37" s="26">
        <f t="shared" si="3"/>
        <v>2734</v>
      </c>
      <c r="L37" s="26">
        <f t="shared" si="3"/>
        <v>2483</v>
      </c>
      <c r="M37" s="26">
        <f t="shared" si="3"/>
        <v>0</v>
      </c>
      <c r="N37" s="26">
        <f t="shared" si="3"/>
        <v>0</v>
      </c>
      <c r="O37" s="26">
        <f t="shared" si="3"/>
        <v>0</v>
      </c>
      <c r="P37" s="210">
        <f t="shared" si="3"/>
        <v>-79634</v>
      </c>
    </row>
    <row r="38" spans="1:16">
      <c r="H38" s="12"/>
      <c r="I38" s="12"/>
      <c r="J38" s="12"/>
      <c r="K38" s="12"/>
      <c r="L38" s="12"/>
      <c r="M38" s="12"/>
      <c r="N38" s="12"/>
      <c r="O38" s="12"/>
    </row>
    <row r="39" spans="1:16">
      <c r="A39" s="8"/>
      <c r="B39" s="8"/>
      <c r="C39" s="8"/>
      <c r="D39" s="8"/>
      <c r="E39" s="8"/>
      <c r="G39" s="8" t="s">
        <v>25</v>
      </c>
      <c r="H39" s="26"/>
      <c r="I39" s="26"/>
      <c r="J39" s="26"/>
      <c r="K39" s="26"/>
      <c r="L39" s="26"/>
      <c r="M39" s="12"/>
      <c r="N39" s="12"/>
      <c r="O39" s="12"/>
    </row>
    <row r="40" spans="1:16">
      <c r="A40" s="8"/>
      <c r="B40" s="8"/>
      <c r="C40" s="8"/>
      <c r="D40" s="8"/>
      <c r="E40" s="8"/>
      <c r="G40" s="8"/>
      <c r="H40" s="80" t="s">
        <v>26</v>
      </c>
      <c r="I40" s="26"/>
      <c r="J40" s="26"/>
      <c r="K40" s="26"/>
      <c r="L40" s="26"/>
      <c r="M40" s="12"/>
      <c r="N40" s="12"/>
      <c r="O40" s="12"/>
    </row>
    <row r="41" spans="1:16">
      <c r="H41" s="12"/>
      <c r="I41" s="12" t="s">
        <v>46</v>
      </c>
      <c r="J41" s="12"/>
      <c r="K41" s="12"/>
      <c r="L41" s="12"/>
      <c r="M41" s="28">
        <v>191583</v>
      </c>
      <c r="N41" s="12">
        <v>19831</v>
      </c>
      <c r="O41" s="12">
        <v>211414</v>
      </c>
      <c r="P41" s="12"/>
    </row>
    <row r="42" spans="1:16">
      <c r="H42" s="12"/>
      <c r="I42" s="12" t="s">
        <v>321</v>
      </c>
      <c r="J42" s="12"/>
      <c r="K42" s="12"/>
      <c r="L42" s="12"/>
      <c r="M42" s="15">
        <v>424</v>
      </c>
      <c r="N42" s="12"/>
      <c r="O42" s="12">
        <f t="shared" ref="O42:O52" si="4">SUM(M42:N42)</f>
        <v>424</v>
      </c>
      <c r="P42" s="12"/>
    </row>
    <row r="43" spans="1:16">
      <c r="H43" s="12"/>
      <c r="I43" s="12" t="s">
        <v>322</v>
      </c>
      <c r="J43" s="12"/>
      <c r="K43" s="12"/>
      <c r="L43" s="12"/>
      <c r="M43" s="15">
        <v>199</v>
      </c>
      <c r="N43" s="12"/>
      <c r="O43" s="12">
        <f t="shared" si="4"/>
        <v>199</v>
      </c>
      <c r="P43" s="12"/>
    </row>
    <row r="44" spans="1:16">
      <c r="H44" s="12"/>
      <c r="I44" s="12" t="s">
        <v>254</v>
      </c>
      <c r="J44" s="12"/>
      <c r="K44" s="12"/>
      <c r="L44" s="12"/>
      <c r="M44" s="14">
        <v>5515</v>
      </c>
      <c r="N44" s="12"/>
      <c r="O44" s="12">
        <f t="shared" si="4"/>
        <v>5515</v>
      </c>
      <c r="P44" s="12"/>
    </row>
    <row r="45" spans="1:16">
      <c r="H45" s="12"/>
      <c r="I45" s="12" t="s">
        <v>28</v>
      </c>
      <c r="J45" s="12"/>
      <c r="K45" s="12"/>
      <c r="L45" s="12"/>
      <c r="M45" s="14">
        <v>148018</v>
      </c>
      <c r="N45" s="12"/>
      <c r="O45" s="12">
        <f t="shared" si="4"/>
        <v>148018</v>
      </c>
      <c r="P45" s="12"/>
    </row>
    <row r="46" spans="1:16">
      <c r="H46" s="12"/>
      <c r="I46" s="12" t="s">
        <v>323</v>
      </c>
      <c r="J46" s="12"/>
      <c r="K46" s="12"/>
      <c r="L46" s="12"/>
      <c r="M46" s="14">
        <v>3651</v>
      </c>
      <c r="N46" s="12"/>
      <c r="O46" s="12">
        <f t="shared" si="4"/>
        <v>3651</v>
      </c>
    </row>
    <row r="47" spans="1:16">
      <c r="H47" s="12"/>
      <c r="I47" s="12" t="s">
        <v>324</v>
      </c>
      <c r="J47" s="12"/>
      <c r="K47" s="12"/>
      <c r="L47" s="12"/>
      <c r="M47" s="12"/>
      <c r="N47" s="12"/>
      <c r="O47" s="12">
        <f t="shared" si="4"/>
        <v>0</v>
      </c>
    </row>
    <row r="48" spans="1:16">
      <c r="H48" s="12"/>
      <c r="I48" s="12" t="s">
        <v>29</v>
      </c>
      <c r="J48" s="12"/>
      <c r="K48" s="12"/>
      <c r="L48" s="12"/>
      <c r="M48" s="15">
        <v>986</v>
      </c>
      <c r="N48" s="12"/>
      <c r="O48" s="12">
        <f t="shared" si="4"/>
        <v>986</v>
      </c>
    </row>
    <row r="49" spans="5:16">
      <c r="H49" s="12" t="s">
        <v>107</v>
      </c>
      <c r="I49" s="12"/>
      <c r="J49" s="12"/>
      <c r="K49" s="12"/>
      <c r="L49" s="12"/>
      <c r="M49" s="29">
        <v>4784</v>
      </c>
      <c r="N49" s="12">
        <v>347</v>
      </c>
      <c r="O49" s="12">
        <f t="shared" si="4"/>
        <v>5131</v>
      </c>
      <c r="P49" s="9">
        <v>11567</v>
      </c>
    </row>
    <row r="50" spans="5:16">
      <c r="H50" s="12" t="s">
        <v>36</v>
      </c>
      <c r="I50" s="12"/>
      <c r="J50" s="12"/>
      <c r="K50" s="12"/>
      <c r="L50" s="12"/>
      <c r="M50" s="29">
        <v>29676</v>
      </c>
      <c r="N50" s="12">
        <v>1195</v>
      </c>
      <c r="O50" s="12">
        <f>SUM(M50:N50)</f>
        <v>30871</v>
      </c>
      <c r="P50" s="9">
        <v>42729</v>
      </c>
    </row>
    <row r="51" spans="5:16">
      <c r="H51" s="12" t="s">
        <v>325</v>
      </c>
      <c r="I51" s="12"/>
      <c r="J51" s="12"/>
      <c r="K51" s="12"/>
      <c r="L51" s="12"/>
      <c r="M51" s="12"/>
      <c r="N51" s="12">
        <v>1175</v>
      </c>
      <c r="O51" s="12">
        <f>SUM(M51:N51)</f>
        <v>1175</v>
      </c>
      <c r="P51" s="9"/>
    </row>
    <row r="52" spans="5:16">
      <c r="H52" s="12" t="s">
        <v>37</v>
      </c>
      <c r="I52" s="12"/>
      <c r="J52" s="12"/>
      <c r="K52" s="12"/>
      <c r="L52" s="12"/>
      <c r="M52" s="88">
        <v>-1541</v>
      </c>
      <c r="N52" s="12">
        <v>1541</v>
      </c>
      <c r="O52" s="12">
        <f t="shared" si="4"/>
        <v>0</v>
      </c>
      <c r="P52" s="9"/>
    </row>
    <row r="53" spans="5:16">
      <c r="H53" s="12"/>
      <c r="I53" s="12"/>
      <c r="J53" s="12"/>
      <c r="K53" s="12"/>
      <c r="L53" s="12"/>
      <c r="M53" s="12"/>
      <c r="N53" s="12"/>
      <c r="O53" s="12"/>
    </row>
    <row r="54" spans="5:16">
      <c r="H54" s="20" t="s">
        <v>243</v>
      </c>
      <c r="I54" s="20"/>
      <c r="J54" s="20"/>
      <c r="K54" s="20"/>
      <c r="L54" s="20"/>
      <c r="M54" s="20">
        <f>SUM(M41:M52)</f>
        <v>383295</v>
      </c>
      <c r="N54" s="20">
        <f>SUM(N41:N52)</f>
        <v>24089</v>
      </c>
      <c r="O54" s="20">
        <f>SUM(O41:O52)</f>
        <v>407384</v>
      </c>
      <c r="P54" s="84">
        <f>SUM(P41:P50)</f>
        <v>54296</v>
      </c>
    </row>
    <row r="55" spans="5:16">
      <c r="H55" s="12"/>
      <c r="I55" s="12"/>
      <c r="J55" s="12"/>
      <c r="K55" s="12"/>
      <c r="L55" s="12"/>
      <c r="M55" s="12"/>
      <c r="N55" s="12"/>
      <c r="O55" s="12"/>
    </row>
    <row r="56" spans="5:16">
      <c r="H56" s="20" t="s">
        <v>53</v>
      </c>
      <c r="I56" s="20"/>
      <c r="J56" s="20"/>
      <c r="K56" s="20"/>
      <c r="L56" s="20"/>
      <c r="M56" s="20">
        <f>M54+M27</f>
        <v>110472</v>
      </c>
      <c r="N56" s="20">
        <f t="shared" ref="N56:O56" si="5">N54+N27</f>
        <v>-1316</v>
      </c>
      <c r="O56" s="20">
        <f t="shared" si="5"/>
        <v>109156</v>
      </c>
      <c r="P56" s="85">
        <f>P54+P37</f>
        <v>-25338</v>
      </c>
    </row>
    <row r="57" spans="5:16">
      <c r="H57" s="26"/>
      <c r="I57" s="26"/>
      <c r="J57" s="26"/>
      <c r="K57" s="26"/>
      <c r="L57" s="26"/>
      <c r="M57" s="26"/>
      <c r="N57" s="26"/>
      <c r="O57" s="26"/>
    </row>
    <row r="58" spans="5:16">
      <c r="E58" s="31" t="s">
        <v>54</v>
      </c>
      <c r="F58" s="31"/>
      <c r="G58" s="31"/>
      <c r="H58" s="32"/>
      <c r="I58" s="32"/>
      <c r="J58" s="32"/>
      <c r="K58" s="32"/>
      <c r="L58" s="32"/>
      <c r="M58" s="33">
        <v>1274410</v>
      </c>
      <c r="N58" s="33">
        <v>628208</v>
      </c>
      <c r="O58" s="33">
        <v>1902618</v>
      </c>
      <c r="P58" s="86">
        <v>477399</v>
      </c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E60" s="34" t="s">
        <v>55</v>
      </c>
      <c r="F60" s="34"/>
      <c r="G60" s="34"/>
      <c r="H60" s="35"/>
      <c r="I60" s="35"/>
      <c r="J60" s="35"/>
      <c r="K60" s="35"/>
      <c r="L60" s="35"/>
      <c r="M60" s="83">
        <f>SUM(M56,M58)</f>
        <v>1384882</v>
      </c>
      <c r="N60" s="83">
        <f>N58+N56</f>
        <v>626892</v>
      </c>
      <c r="O60" s="83">
        <f>O58+O56</f>
        <v>2011774</v>
      </c>
      <c r="P60" s="87">
        <f>P58+P56</f>
        <v>452061</v>
      </c>
    </row>
    <row r="67" spans="11:15">
      <c r="K67" s="9"/>
      <c r="L67" s="9"/>
      <c r="M67" s="9"/>
      <c r="N67" s="9"/>
      <c r="O67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73"/>
  <sheetViews>
    <sheetView workbookViewId="0">
      <selection activeCell="I25" sqref="I25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5" max="5" width="15.28515625" customWidth="1"/>
    <col min="6" max="6" width="13.28515625" customWidth="1"/>
    <col min="7" max="7" width="5.7109375" customWidth="1"/>
    <col min="8" max="8" width="3" customWidth="1"/>
    <col min="9" max="9" width="20.7109375" customWidth="1"/>
    <col min="10" max="10" width="21.28515625" customWidth="1"/>
    <col min="11" max="12" width="19.28515625" customWidth="1"/>
    <col min="13" max="13" width="21.7109375" customWidth="1"/>
    <col min="14" max="14" width="20.42578125" customWidth="1"/>
    <col min="15" max="15" width="20.140625" customWidth="1"/>
    <col min="16" max="16" width="22.42578125" customWidth="1"/>
  </cols>
  <sheetData>
    <row r="1" spans="1:16" ht="30" customHeight="1">
      <c r="J1" s="520" t="s">
        <v>326</v>
      </c>
      <c r="K1" s="520"/>
      <c r="L1" s="520"/>
      <c r="M1" s="520"/>
      <c r="N1" s="419"/>
      <c r="O1" s="419"/>
    </row>
    <row r="2" spans="1:16" ht="21.75" customHeight="1">
      <c r="J2" s="521" t="s">
        <v>1</v>
      </c>
      <c r="K2" s="521"/>
      <c r="L2" s="521"/>
      <c r="M2" s="521"/>
      <c r="N2" s="420"/>
      <c r="O2" s="420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522" t="s">
        <v>291</v>
      </c>
      <c r="N4" s="522"/>
      <c r="O4" s="522"/>
      <c r="P4" s="522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6" t="s">
        <v>5</v>
      </c>
      <c r="N5" s="526"/>
      <c r="O5" s="526"/>
      <c r="P5" s="360"/>
    </row>
    <row r="6" spans="1:16" ht="44.25" customHeight="1">
      <c r="A6" s="5" t="s">
        <v>6</v>
      </c>
      <c r="I6" s="6" t="s">
        <v>7</v>
      </c>
      <c r="J6" s="6" t="s">
        <v>210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-38819176</v>
      </c>
      <c r="J9" s="12">
        <v>13019077</v>
      </c>
      <c r="K9" s="12">
        <v>2052510</v>
      </c>
      <c r="L9" s="12">
        <v>268110</v>
      </c>
      <c r="M9" s="12">
        <f t="shared" ref="M9:M19" si="0">SUM(I9:L9)</f>
        <v>-23479479</v>
      </c>
      <c r="N9" s="12"/>
      <c r="O9" s="12">
        <f t="shared" ref="O9:O19" si="1">SUM(M9:N9)</f>
        <v>-23479479</v>
      </c>
    </row>
    <row r="10" spans="1:16">
      <c r="C10" t="s">
        <v>16</v>
      </c>
      <c r="H10" s="12"/>
      <c r="I10" s="13">
        <v>-67334315</v>
      </c>
      <c r="J10" s="12">
        <v>3196455</v>
      </c>
      <c r="K10" s="12">
        <v>4721433</v>
      </c>
      <c r="L10" s="12">
        <v>9974</v>
      </c>
      <c r="M10" s="12">
        <f t="shared" si="0"/>
        <v>-59406453</v>
      </c>
      <c r="N10" s="12"/>
      <c r="O10" s="12">
        <f t="shared" si="1"/>
        <v>-59406453</v>
      </c>
    </row>
    <row r="11" spans="1:16">
      <c r="C11" t="s">
        <v>327</v>
      </c>
      <c r="H11" s="12"/>
      <c r="I11" s="14">
        <v>-13107523</v>
      </c>
      <c r="J11" s="12">
        <v>3393790</v>
      </c>
      <c r="K11" s="12">
        <v>3063266</v>
      </c>
      <c r="L11" s="12">
        <v>1403057</v>
      </c>
      <c r="M11" s="12">
        <f t="shared" si="0"/>
        <v>-5247410</v>
      </c>
      <c r="N11" s="12"/>
      <c r="O11" s="12">
        <f t="shared" si="1"/>
        <v>-5247410</v>
      </c>
    </row>
    <row r="12" spans="1:16">
      <c r="C12" t="s">
        <v>328</v>
      </c>
      <c r="H12" s="12"/>
      <c r="I12" s="14">
        <v>-21108110</v>
      </c>
      <c r="J12" s="12"/>
      <c r="K12" s="12">
        <v>1811127</v>
      </c>
      <c r="L12" s="12">
        <v>38533</v>
      </c>
      <c r="M12" s="12">
        <f>SUM(I12:L12)</f>
        <v>-19258450</v>
      </c>
      <c r="N12" s="12"/>
      <c r="O12" s="12">
        <f>SUM(M12:N12)</f>
        <v>-19258450</v>
      </c>
    </row>
    <row r="13" spans="1:16">
      <c r="C13" t="s">
        <v>283</v>
      </c>
      <c r="H13" s="12"/>
      <c r="I13" s="94">
        <v>-1736762</v>
      </c>
      <c r="J13" s="12"/>
      <c r="K13" s="12">
        <v>1355630</v>
      </c>
      <c r="L13" s="12">
        <v>975805</v>
      </c>
      <c r="M13" s="12">
        <f>SUM(I13:L13)</f>
        <v>594673</v>
      </c>
      <c r="N13" s="12"/>
      <c r="O13" s="12">
        <f>SUM(M13:N13)</f>
        <v>594673</v>
      </c>
    </row>
    <row r="14" spans="1:16">
      <c r="C14" t="s">
        <v>20</v>
      </c>
      <c r="H14" s="12"/>
      <c r="I14" s="16">
        <v>-23687100</v>
      </c>
      <c r="J14" s="12">
        <v>6028123</v>
      </c>
      <c r="K14" s="12"/>
      <c r="L14" s="12">
        <v>156577</v>
      </c>
      <c r="M14" s="12">
        <f>SUM(I14:L14)</f>
        <v>-17502400</v>
      </c>
      <c r="N14" s="12"/>
      <c r="O14" s="12">
        <f>SUM(M14:N14)</f>
        <v>-17502400</v>
      </c>
    </row>
    <row r="15" spans="1:16">
      <c r="C15" t="s">
        <v>19</v>
      </c>
      <c r="H15" s="12"/>
      <c r="I15" s="15">
        <v>-1008645</v>
      </c>
      <c r="J15" s="12"/>
      <c r="K15" s="12"/>
      <c r="L15" s="12"/>
      <c r="M15" s="12">
        <f>SUM(I15:L15)</f>
        <v>-1008645</v>
      </c>
      <c r="N15" s="12"/>
      <c r="O15" s="12">
        <f t="shared" si="1"/>
        <v>-1008645</v>
      </c>
    </row>
    <row r="16" spans="1:16">
      <c r="C16" t="s">
        <v>329</v>
      </c>
      <c r="H16" s="12"/>
      <c r="I16" s="92">
        <v>-329304</v>
      </c>
      <c r="J16" s="12"/>
      <c r="K16" s="12">
        <v>287734</v>
      </c>
      <c r="L16" s="12"/>
      <c r="M16" s="12">
        <f t="shared" si="0"/>
        <v>-41570</v>
      </c>
      <c r="N16" s="12"/>
      <c r="O16" s="12">
        <f t="shared" si="1"/>
        <v>-41570</v>
      </c>
    </row>
    <row r="17" spans="2:16">
      <c r="C17" t="s">
        <v>18</v>
      </c>
      <c r="H17" s="12"/>
      <c r="I17" s="92">
        <v>-1681934</v>
      </c>
      <c r="J17" s="12"/>
      <c r="K17" s="12">
        <v>1234552</v>
      </c>
      <c r="L17" s="12"/>
      <c r="M17" s="12">
        <f t="shared" si="0"/>
        <v>-447382</v>
      </c>
      <c r="N17" s="12"/>
      <c r="O17" s="12">
        <f t="shared" si="1"/>
        <v>-447382</v>
      </c>
    </row>
    <row r="18" spans="2:16">
      <c r="C18" t="s">
        <v>284</v>
      </c>
      <c r="H18" s="12"/>
      <c r="I18" s="94">
        <v>-17268060</v>
      </c>
      <c r="J18" s="12"/>
      <c r="K18" s="12"/>
      <c r="L18" s="12"/>
      <c r="M18" s="12">
        <f>SUM(I18:L18)</f>
        <v>-17268060</v>
      </c>
      <c r="N18" s="12"/>
      <c r="O18" s="12">
        <f t="shared" si="1"/>
        <v>-17268060</v>
      </c>
    </row>
    <row r="19" spans="2:16">
      <c r="C19" t="s">
        <v>21</v>
      </c>
      <c r="H19" s="12"/>
      <c r="I19" s="89">
        <v>-18701255</v>
      </c>
      <c r="J19" s="12"/>
      <c r="K19" s="12">
        <v>1193163</v>
      </c>
      <c r="L19" s="12"/>
      <c r="M19" s="12">
        <f t="shared" si="0"/>
        <v>-17508092</v>
      </c>
      <c r="N19" s="12"/>
      <c r="O19" s="12">
        <f t="shared" si="1"/>
        <v>-17508092</v>
      </c>
    </row>
    <row r="20" spans="2:16">
      <c r="H20" s="12"/>
      <c r="I20" s="12"/>
      <c r="J20" s="12"/>
      <c r="K20" s="12"/>
      <c r="L20" s="12"/>
      <c r="M20" s="12"/>
      <c r="N20" s="12"/>
      <c r="O20" s="12"/>
    </row>
    <row r="21" spans="2:16">
      <c r="E21" s="19" t="s">
        <v>22</v>
      </c>
      <c r="F21" s="19"/>
      <c r="G21" s="19"/>
      <c r="H21" s="20"/>
      <c r="I21" s="20">
        <f>SUM(I9:I19)</f>
        <v>-204782184</v>
      </c>
      <c r="J21" s="20">
        <f>SUM(J9:J19)</f>
        <v>25637445</v>
      </c>
      <c r="K21" s="20">
        <f>SUM(K9:K19)</f>
        <v>15719415</v>
      </c>
      <c r="L21" s="20">
        <f>SUM(L9:L19)</f>
        <v>2852056</v>
      </c>
      <c r="M21" s="82">
        <f>SUM(M9:M19)</f>
        <v>-160573268</v>
      </c>
      <c r="N21" s="82"/>
      <c r="O21" s="82">
        <f>SUM(O9:O19)</f>
        <v>-160573268</v>
      </c>
      <c r="P21" s="84">
        <f>SUM(P9:P19)</f>
        <v>0</v>
      </c>
    </row>
    <row r="22" spans="2:16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2:16">
      <c r="B23" s="10" t="s">
        <v>116</v>
      </c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2:16">
      <c r="C24" t="s">
        <v>330</v>
      </c>
      <c r="E24" s="8"/>
      <c r="F24" s="8"/>
      <c r="G24" s="8"/>
      <c r="H24" s="26"/>
      <c r="I24" s="464">
        <v>-165530389</v>
      </c>
      <c r="J24" s="80">
        <v>201250850</v>
      </c>
      <c r="K24" s="80"/>
      <c r="L24" s="80">
        <v>656112</v>
      </c>
      <c r="M24" s="80"/>
      <c r="N24" s="80">
        <f t="shared" ref="N24:N31" si="2">SUM(I24:L24)</f>
        <v>36376573</v>
      </c>
      <c r="O24" s="80">
        <f t="shared" ref="O24:O31" si="3">SUM(M24:N24)</f>
        <v>36376573</v>
      </c>
    </row>
    <row r="25" spans="2:16">
      <c r="C25" t="s">
        <v>331</v>
      </c>
      <c r="E25" s="8"/>
      <c r="F25" s="8"/>
      <c r="G25" s="8"/>
      <c r="H25" s="26"/>
      <c r="I25" s="464">
        <v>-17612665</v>
      </c>
      <c r="J25" s="80">
        <v>17850270</v>
      </c>
      <c r="K25" s="80"/>
      <c r="L25" s="80"/>
      <c r="M25" s="80"/>
      <c r="N25" s="80">
        <f t="shared" si="2"/>
        <v>237605</v>
      </c>
      <c r="O25" s="80">
        <f t="shared" si="3"/>
        <v>237605</v>
      </c>
    </row>
    <row r="26" spans="2:16">
      <c r="C26" t="s">
        <v>150</v>
      </c>
      <c r="E26" s="8"/>
      <c r="F26" s="8"/>
      <c r="G26" s="8"/>
      <c r="H26" s="26"/>
      <c r="I26" s="464">
        <v>-23127551</v>
      </c>
      <c r="J26" s="80">
        <v>28579958</v>
      </c>
      <c r="K26" s="80"/>
      <c r="L26" s="80"/>
      <c r="M26" s="80"/>
      <c r="N26" s="80">
        <f t="shared" si="2"/>
        <v>5452407</v>
      </c>
      <c r="O26" s="80">
        <f t="shared" si="3"/>
        <v>5452407</v>
      </c>
    </row>
    <row r="27" spans="2:16">
      <c r="C27" t="s">
        <v>332</v>
      </c>
      <c r="E27" s="8"/>
      <c r="F27" s="8"/>
      <c r="G27" s="8"/>
      <c r="H27" s="26"/>
      <c r="I27" s="468">
        <v>-35766464</v>
      </c>
      <c r="J27" s="80">
        <v>32150333</v>
      </c>
      <c r="K27" s="80"/>
      <c r="L27" s="80"/>
      <c r="M27" s="80"/>
      <c r="N27" s="80">
        <f t="shared" si="2"/>
        <v>-3616131</v>
      </c>
      <c r="O27" s="80">
        <f t="shared" si="3"/>
        <v>-3616131</v>
      </c>
    </row>
    <row r="28" spans="2:16">
      <c r="C28" t="s">
        <v>333</v>
      </c>
      <c r="E28" s="8"/>
      <c r="F28" s="8"/>
      <c r="G28" s="8"/>
      <c r="H28" s="26"/>
      <c r="I28" s="468">
        <v>-57398097</v>
      </c>
      <c r="J28" s="80">
        <v>58881514</v>
      </c>
      <c r="K28" s="80"/>
      <c r="L28" s="80"/>
      <c r="M28" s="80"/>
      <c r="N28" s="80">
        <f t="shared" si="2"/>
        <v>1483417</v>
      </c>
      <c r="O28" s="80">
        <f t="shared" si="3"/>
        <v>1483417</v>
      </c>
    </row>
    <row r="29" spans="2:16">
      <c r="C29" t="s">
        <v>334</v>
      </c>
      <c r="E29" s="8"/>
      <c r="F29" s="8"/>
      <c r="G29" s="8"/>
      <c r="H29" s="26"/>
      <c r="I29" s="465">
        <v>-13493413</v>
      </c>
      <c r="J29" s="80">
        <v>14328535</v>
      </c>
      <c r="K29" s="80"/>
      <c r="L29" s="80">
        <v>35370</v>
      </c>
      <c r="M29" s="80"/>
      <c r="N29" s="80">
        <f t="shared" si="2"/>
        <v>870492</v>
      </c>
      <c r="O29" s="80">
        <f t="shared" si="3"/>
        <v>870492</v>
      </c>
    </row>
    <row r="30" spans="2:16">
      <c r="C30" t="s">
        <v>335</v>
      </c>
      <c r="E30" s="8"/>
      <c r="F30" s="8"/>
      <c r="G30" s="8"/>
      <c r="H30" s="26"/>
      <c r="I30" s="468">
        <v>-1308140</v>
      </c>
      <c r="J30" s="80">
        <v>395927</v>
      </c>
      <c r="K30" s="80"/>
      <c r="L30" s="80">
        <v>9776</v>
      </c>
      <c r="M30" s="80"/>
      <c r="N30" s="80">
        <f t="shared" si="2"/>
        <v>-902437</v>
      </c>
      <c r="O30" s="80">
        <f t="shared" si="3"/>
        <v>-902437</v>
      </c>
    </row>
    <row r="31" spans="2:16">
      <c r="C31" t="s">
        <v>336</v>
      </c>
      <c r="E31" s="8"/>
      <c r="F31" s="8"/>
      <c r="G31" s="8"/>
      <c r="H31" s="26"/>
      <c r="I31" s="468">
        <v>-187621</v>
      </c>
      <c r="J31" s="80">
        <v>290042</v>
      </c>
      <c r="K31" s="80"/>
      <c r="L31" s="80"/>
      <c r="M31" s="80"/>
      <c r="N31" s="80">
        <f t="shared" si="2"/>
        <v>102421</v>
      </c>
      <c r="O31" s="80">
        <f t="shared" si="3"/>
        <v>102421</v>
      </c>
    </row>
    <row r="32" spans="2:16">
      <c r="E32" s="8"/>
      <c r="F32" s="8"/>
      <c r="G32" s="8"/>
      <c r="H32" s="26"/>
      <c r="I32" s="26"/>
      <c r="J32" s="26"/>
      <c r="K32" s="26"/>
      <c r="L32" s="26"/>
      <c r="M32" s="26"/>
      <c r="N32" s="26"/>
      <c r="O32" s="26"/>
    </row>
    <row r="33" spans="1:18">
      <c r="E33" s="19" t="s">
        <v>232</v>
      </c>
      <c r="F33" s="19"/>
      <c r="G33" s="19"/>
      <c r="H33" s="20"/>
      <c r="I33" s="20">
        <f t="shared" ref="I33:O33" si="4">SUM(I24:I31)</f>
        <v>-314424340</v>
      </c>
      <c r="J33" s="20">
        <f t="shared" si="4"/>
        <v>353727429</v>
      </c>
      <c r="K33" s="20">
        <f t="shared" si="4"/>
        <v>0</v>
      </c>
      <c r="L33" s="20">
        <f t="shared" si="4"/>
        <v>701258</v>
      </c>
      <c r="M33" s="82">
        <f t="shared" si="4"/>
        <v>0</v>
      </c>
      <c r="N33" s="82">
        <f t="shared" si="4"/>
        <v>40004347</v>
      </c>
      <c r="O33" s="82">
        <f t="shared" si="4"/>
        <v>40004347</v>
      </c>
      <c r="P33" s="84">
        <f>SUM(P17:P31)</f>
        <v>0</v>
      </c>
    </row>
    <row r="34" spans="1:18">
      <c r="E34" s="8"/>
      <c r="F34" s="8"/>
      <c r="G34" s="8"/>
      <c r="H34" s="26"/>
      <c r="I34" s="26"/>
      <c r="J34" s="26"/>
      <c r="K34" s="26"/>
      <c r="L34" s="26"/>
      <c r="M34" s="26"/>
      <c r="N34" s="26"/>
      <c r="O34" s="26"/>
    </row>
    <row r="35" spans="1:18">
      <c r="E35" s="19" t="s">
        <v>67</v>
      </c>
      <c r="F35" s="19"/>
      <c r="G35" s="19"/>
      <c r="H35" s="20"/>
      <c r="I35" s="20">
        <f>I33+I21</f>
        <v>-519206524</v>
      </c>
      <c r="J35" s="20">
        <f>J33+J21</f>
        <v>379364874</v>
      </c>
      <c r="K35" s="20">
        <f>SUM(K21+K33)</f>
        <v>15719415</v>
      </c>
      <c r="L35" s="20">
        <f>SUM(L21+L33)</f>
        <v>3553314</v>
      </c>
      <c r="M35" s="82">
        <f>M33+M21</f>
        <v>-160573268</v>
      </c>
      <c r="N35" s="82">
        <f>N33+N21</f>
        <v>40004347</v>
      </c>
      <c r="O35" s="82">
        <f>O33+O21</f>
        <v>-120568921</v>
      </c>
      <c r="P35" s="84">
        <f>SUM(P20:P33)</f>
        <v>0</v>
      </c>
    </row>
    <row r="36" spans="1:18">
      <c r="E36" s="8"/>
      <c r="F36" s="8"/>
      <c r="G36" s="8"/>
      <c r="H36" s="26"/>
      <c r="I36" s="26"/>
      <c r="J36" s="26"/>
      <c r="K36" s="26"/>
      <c r="L36" s="26"/>
      <c r="M36" s="26"/>
      <c r="N36" s="26"/>
      <c r="O36" s="26"/>
    </row>
    <row r="37" spans="1:18">
      <c r="D37" t="s">
        <v>286</v>
      </c>
      <c r="E37" s="8"/>
      <c r="F37" s="8"/>
      <c r="G37" s="8"/>
      <c r="H37" s="26"/>
      <c r="I37" s="26"/>
      <c r="J37" s="26"/>
      <c r="K37" s="26"/>
      <c r="L37" s="26"/>
      <c r="M37" s="26"/>
      <c r="N37" s="26"/>
      <c r="O37" s="26"/>
      <c r="P37" s="210"/>
    </row>
    <row r="38" spans="1:18">
      <c r="E38" t="s">
        <v>337</v>
      </c>
      <c r="H38" s="12"/>
      <c r="I38" s="12">
        <v>-11192470</v>
      </c>
      <c r="J38" s="12">
        <v>8560986</v>
      </c>
      <c r="K38" s="12">
        <v>500000</v>
      </c>
      <c r="L38" s="12">
        <v>100000</v>
      </c>
      <c r="M38" s="12"/>
      <c r="N38" s="12"/>
      <c r="O38" s="12"/>
      <c r="P38" s="12">
        <f>SUM(I38:L38)</f>
        <v>-2031484</v>
      </c>
    </row>
    <row r="39" spans="1:18">
      <c r="E39" t="s">
        <v>338</v>
      </c>
      <c r="H39" s="12"/>
      <c r="I39" s="12">
        <v>-12326440</v>
      </c>
      <c r="J39" s="12">
        <v>8810894</v>
      </c>
      <c r="K39" s="12">
        <v>102510</v>
      </c>
      <c r="L39" s="12">
        <v>10401085</v>
      </c>
      <c r="M39" s="12"/>
      <c r="N39" s="12"/>
      <c r="O39" s="12"/>
      <c r="P39" s="12">
        <f t="shared" ref="P39:P41" si="5">SUM(I39:L39)</f>
        <v>6988049</v>
      </c>
    </row>
    <row r="40" spans="1:18">
      <c r="E40" t="s">
        <v>339</v>
      </c>
      <c r="H40" s="12"/>
      <c r="I40" s="12">
        <v>-2314105</v>
      </c>
      <c r="J40" s="12">
        <v>160218</v>
      </c>
      <c r="K40" s="12"/>
      <c r="L40" s="12"/>
      <c r="M40" s="12"/>
      <c r="N40" s="12"/>
      <c r="O40" s="12"/>
      <c r="P40" s="12">
        <f t="shared" si="5"/>
        <v>-2153887</v>
      </c>
    </row>
    <row r="41" spans="1:18">
      <c r="E41" t="s">
        <v>340</v>
      </c>
      <c r="H41" s="12"/>
      <c r="I41" s="12">
        <v>-19492804</v>
      </c>
      <c r="J41" s="12">
        <v>13459454</v>
      </c>
      <c r="K41" s="12">
        <v>3798703</v>
      </c>
      <c r="L41" s="12">
        <v>158617</v>
      </c>
      <c r="M41" s="12"/>
      <c r="N41" s="12"/>
      <c r="O41" s="12"/>
      <c r="P41" s="12">
        <f t="shared" si="5"/>
        <v>-2076030</v>
      </c>
    </row>
    <row r="42" spans="1:18">
      <c r="H42" s="12"/>
      <c r="I42" s="26">
        <f>SUM(I38:I41)</f>
        <v>-45325819</v>
      </c>
      <c r="J42" s="26">
        <f t="shared" ref="J42:P42" si="6">SUM(J38:J41)</f>
        <v>30991552</v>
      </c>
      <c r="K42" s="26">
        <f t="shared" si="6"/>
        <v>4401213</v>
      </c>
      <c r="L42" s="26">
        <f t="shared" si="6"/>
        <v>10659702</v>
      </c>
      <c r="M42" s="26">
        <f t="shared" si="6"/>
        <v>0</v>
      </c>
      <c r="N42" s="26">
        <f t="shared" si="6"/>
        <v>0</v>
      </c>
      <c r="O42" s="26">
        <f t="shared" si="6"/>
        <v>0</v>
      </c>
      <c r="P42" s="26">
        <f t="shared" si="6"/>
        <v>726648</v>
      </c>
      <c r="Q42" s="26"/>
      <c r="R42" s="210"/>
    </row>
    <row r="43" spans="1:18">
      <c r="H43" s="12"/>
      <c r="I43" s="12"/>
      <c r="J43" s="12"/>
      <c r="K43" s="12"/>
      <c r="L43" s="12"/>
      <c r="M43" s="12"/>
      <c r="N43" s="12"/>
      <c r="O43" s="12"/>
    </row>
    <row r="44" spans="1:18">
      <c r="H44" s="12"/>
      <c r="I44" s="12"/>
      <c r="J44" s="12"/>
      <c r="K44" s="12"/>
      <c r="L44" s="12"/>
      <c r="M44" s="12"/>
      <c r="N44" s="12"/>
      <c r="O44" s="12"/>
    </row>
    <row r="45" spans="1:18">
      <c r="A45" s="8"/>
      <c r="B45" s="8"/>
      <c r="C45" s="8"/>
      <c r="D45" s="8"/>
      <c r="E45" s="8"/>
      <c r="G45" s="8" t="s">
        <v>25</v>
      </c>
      <c r="H45" s="26"/>
      <c r="I45" s="26"/>
      <c r="J45" s="26"/>
      <c r="K45" s="26"/>
      <c r="L45" s="26"/>
      <c r="M45" s="12"/>
      <c r="N45" s="12"/>
      <c r="O45" s="12"/>
    </row>
    <row r="46" spans="1:18">
      <c r="A46" s="8"/>
      <c r="B46" s="8"/>
      <c r="C46" s="8"/>
      <c r="D46" s="8"/>
      <c r="E46" s="8"/>
      <c r="G46" s="8"/>
      <c r="H46" s="80" t="s">
        <v>26</v>
      </c>
      <c r="I46" s="26"/>
      <c r="J46" s="26"/>
      <c r="K46" s="26"/>
      <c r="L46" s="26"/>
      <c r="M46" s="12"/>
      <c r="N46" s="12"/>
      <c r="O46" s="12"/>
    </row>
    <row r="47" spans="1:18">
      <c r="H47" s="12"/>
      <c r="I47" s="12" t="s">
        <v>27</v>
      </c>
      <c r="J47" s="12"/>
      <c r="K47" s="12"/>
      <c r="L47" s="12"/>
      <c r="M47" s="28">
        <v>70488175</v>
      </c>
      <c r="N47" s="12"/>
      <c r="O47" s="12">
        <f t="shared" ref="O47:O58" si="7">SUM(M47:N47)</f>
        <v>70488175</v>
      </c>
      <c r="P47" s="12">
        <v>4908494</v>
      </c>
    </row>
    <row r="48" spans="1:18">
      <c r="H48" s="12"/>
      <c r="I48" s="12" t="s">
        <v>28</v>
      </c>
      <c r="J48" s="12"/>
      <c r="K48" s="12"/>
      <c r="L48" s="12"/>
      <c r="M48" s="14">
        <v>90230904</v>
      </c>
      <c r="N48" s="12"/>
      <c r="O48" s="12">
        <f t="shared" si="7"/>
        <v>90230904</v>
      </c>
      <c r="P48" s="12"/>
    </row>
    <row r="49" spans="5:16">
      <c r="H49" s="12"/>
      <c r="I49" s="12" t="s">
        <v>288</v>
      </c>
      <c r="J49" s="12"/>
      <c r="K49" s="12"/>
      <c r="L49" s="12"/>
      <c r="M49" s="15">
        <v>2976869</v>
      </c>
      <c r="N49" s="12"/>
      <c r="O49" s="12">
        <f t="shared" si="7"/>
        <v>2976869</v>
      </c>
      <c r="P49" s="12"/>
    </row>
    <row r="50" spans="5:16">
      <c r="H50" s="12"/>
      <c r="I50" s="12" t="s">
        <v>239</v>
      </c>
      <c r="J50" s="12"/>
      <c r="K50" s="12"/>
      <c r="L50" s="12"/>
      <c r="M50" s="15">
        <v>898582</v>
      </c>
      <c r="N50" s="12"/>
      <c r="O50" s="12">
        <f t="shared" si="7"/>
        <v>898582</v>
      </c>
      <c r="P50" s="12"/>
    </row>
    <row r="51" spans="5:16">
      <c r="H51" s="12"/>
      <c r="I51" s="12" t="s">
        <v>254</v>
      </c>
      <c r="J51" s="12"/>
      <c r="K51" s="12"/>
      <c r="L51" s="12"/>
      <c r="M51" s="14">
        <v>2910746</v>
      </c>
      <c r="N51" s="12"/>
      <c r="O51" s="12">
        <f t="shared" si="7"/>
        <v>2910746</v>
      </c>
      <c r="P51" s="12"/>
    </row>
    <row r="52" spans="5:16">
      <c r="H52" s="12"/>
      <c r="I52" s="12" t="s">
        <v>241</v>
      </c>
      <c r="J52" s="12"/>
      <c r="K52" s="12"/>
      <c r="L52" s="12"/>
      <c r="M52" s="15">
        <v>103409</v>
      </c>
      <c r="N52" s="12"/>
      <c r="O52" s="12">
        <f t="shared" si="7"/>
        <v>103409</v>
      </c>
    </row>
    <row r="53" spans="5:16">
      <c r="H53" s="12"/>
      <c r="I53" s="12" t="s">
        <v>32</v>
      </c>
      <c r="J53" s="12"/>
      <c r="K53" s="12"/>
      <c r="L53" s="12"/>
      <c r="M53" s="15">
        <v>75925</v>
      </c>
      <c r="N53" s="12"/>
      <c r="O53" s="12">
        <f t="shared" si="7"/>
        <v>75925</v>
      </c>
      <c r="P53">
        <v>2627779</v>
      </c>
    </row>
    <row r="54" spans="5:16">
      <c r="H54" s="12" t="s">
        <v>33</v>
      </c>
      <c r="I54" s="12"/>
      <c r="J54" s="12"/>
      <c r="K54" s="12"/>
      <c r="L54" s="12"/>
      <c r="M54" s="11">
        <v>2051924</v>
      </c>
      <c r="N54" s="12"/>
      <c r="O54" s="12">
        <f t="shared" si="7"/>
        <v>2051924</v>
      </c>
      <c r="P54">
        <v>47660</v>
      </c>
    </row>
    <row r="55" spans="5:16">
      <c r="H55" s="12" t="s">
        <v>50</v>
      </c>
      <c r="I55" s="12"/>
      <c r="J55" s="12"/>
      <c r="K55" s="12"/>
      <c r="L55" s="12"/>
      <c r="M55" s="29">
        <v>656131</v>
      </c>
      <c r="N55" s="12">
        <v>1416223</v>
      </c>
      <c r="O55" s="12">
        <f t="shared" si="7"/>
        <v>2072354</v>
      </c>
      <c r="P55" s="9">
        <v>514109</v>
      </c>
    </row>
    <row r="56" spans="5:16">
      <c r="H56" s="12" t="s">
        <v>188</v>
      </c>
      <c r="I56" s="12"/>
      <c r="J56" s="12"/>
      <c r="K56" s="12"/>
      <c r="L56" s="12"/>
      <c r="M56" s="29">
        <v>-705012</v>
      </c>
      <c r="N56" s="12">
        <v>-465839</v>
      </c>
      <c r="O56" s="12">
        <f>SUM(M56:N56)</f>
        <v>-1170851</v>
      </c>
      <c r="P56" s="9">
        <v>7604</v>
      </c>
    </row>
    <row r="57" spans="5:16">
      <c r="H57" s="12" t="s">
        <v>36</v>
      </c>
      <c r="I57" s="12"/>
      <c r="J57" s="12"/>
      <c r="K57" s="12"/>
      <c r="L57" s="12"/>
      <c r="M57" s="29">
        <v>2050007</v>
      </c>
      <c r="N57" s="12">
        <v>2565611</v>
      </c>
      <c r="O57" s="12">
        <f>SUM(M57:N57)</f>
        <v>4615618</v>
      </c>
      <c r="P57" s="9">
        <v>1060656</v>
      </c>
    </row>
    <row r="58" spans="5:16">
      <c r="H58" s="12" t="s">
        <v>37</v>
      </c>
      <c r="I58" s="12"/>
      <c r="J58" s="12"/>
      <c r="K58" s="12"/>
      <c r="L58" s="12"/>
      <c r="M58" s="88">
        <v>20960736</v>
      </c>
      <c r="N58" s="12">
        <v>-20960736</v>
      </c>
      <c r="O58" s="12">
        <f t="shared" si="7"/>
        <v>0</v>
      </c>
      <c r="P58" s="9"/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H60" s="20" t="s">
        <v>243</v>
      </c>
      <c r="I60" s="20"/>
      <c r="J60" s="20"/>
      <c r="K60" s="20"/>
      <c r="L60" s="20"/>
      <c r="M60" s="20">
        <f>SUM(M47:M58)</f>
        <v>192698396</v>
      </c>
      <c r="N60" s="20">
        <f>SUM(N47:N58)</f>
        <v>-17444741</v>
      </c>
      <c r="O60" s="20">
        <f>SUM(O47:O58)</f>
        <v>175253655</v>
      </c>
      <c r="P60" s="85">
        <f>SUM(P47:P57)</f>
        <v>9166302</v>
      </c>
    </row>
    <row r="61" spans="5:16">
      <c r="H61" s="12"/>
      <c r="I61" s="12"/>
      <c r="J61" s="12"/>
      <c r="K61" s="12"/>
      <c r="L61" s="12"/>
      <c r="M61" s="12"/>
      <c r="N61" s="12"/>
      <c r="O61" s="12"/>
    </row>
    <row r="62" spans="5:16">
      <c r="H62" s="20" t="s">
        <v>53</v>
      </c>
      <c r="I62" s="20"/>
      <c r="J62" s="20"/>
      <c r="K62" s="20"/>
      <c r="L62" s="20"/>
      <c r="M62" s="20">
        <f t="shared" ref="M62:O62" si="8">M60+M35+M42</f>
        <v>32125128</v>
      </c>
      <c r="N62" s="20">
        <f t="shared" si="8"/>
        <v>22559606</v>
      </c>
      <c r="O62" s="20">
        <f t="shared" si="8"/>
        <v>54684734</v>
      </c>
      <c r="P62" s="20">
        <f>P60+P35+P42</f>
        <v>9892950</v>
      </c>
    </row>
    <row r="63" spans="5:16">
      <c r="H63" s="26"/>
      <c r="I63" s="26"/>
      <c r="J63" s="26"/>
      <c r="K63" s="26"/>
      <c r="L63" s="26"/>
      <c r="M63" s="26"/>
      <c r="N63" s="26"/>
      <c r="O63" s="26"/>
    </row>
    <row r="64" spans="5:16">
      <c r="E64" s="31" t="s">
        <v>54</v>
      </c>
      <c r="F64" s="31"/>
      <c r="G64" s="31"/>
      <c r="H64" s="32"/>
      <c r="I64" s="32"/>
      <c r="J64" s="32"/>
      <c r="K64" s="32"/>
      <c r="L64" s="32"/>
      <c r="M64" s="33">
        <v>442405638</v>
      </c>
      <c r="N64" s="33">
        <v>500421844</v>
      </c>
      <c r="O64" s="33">
        <v>942827482</v>
      </c>
      <c r="P64" s="86">
        <v>190899921</v>
      </c>
    </row>
    <row r="65" spans="5:16">
      <c r="H65" s="12"/>
      <c r="I65" s="12"/>
      <c r="J65" s="12"/>
      <c r="K65" s="12"/>
      <c r="L65" s="12"/>
      <c r="M65" s="12"/>
      <c r="N65" s="12"/>
      <c r="O65" s="12"/>
    </row>
    <row r="66" spans="5:16">
      <c r="E66" s="34" t="s">
        <v>55</v>
      </c>
      <c r="F66" s="34"/>
      <c r="G66" s="34"/>
      <c r="H66" s="35"/>
      <c r="I66" s="35"/>
      <c r="J66" s="35"/>
      <c r="K66" s="35"/>
      <c r="L66" s="35"/>
      <c r="M66" s="83">
        <f>SUM(M62,M64)</f>
        <v>474530766</v>
      </c>
      <c r="N66" s="83">
        <f>N64+N62</f>
        <v>522981450</v>
      </c>
      <c r="O66" s="83">
        <f>O64+O62</f>
        <v>997512216</v>
      </c>
      <c r="P66" s="83">
        <f>P64+P62</f>
        <v>200792871</v>
      </c>
    </row>
    <row r="73" spans="5:16">
      <c r="K73" s="9"/>
      <c r="L73" s="9"/>
      <c r="M73" s="9"/>
      <c r="N73" s="9"/>
      <c r="O73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8"/>
  <sheetViews>
    <sheetView topLeftCell="A5" workbookViewId="0">
      <selection activeCell="I19" sqref="I19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21.28515625" customWidth="1"/>
    <col min="10" max="10" width="20.7109375" customWidth="1"/>
    <col min="11" max="12" width="19.28515625" customWidth="1"/>
    <col min="13" max="13" width="19.7109375" customWidth="1"/>
    <col min="14" max="14" width="18.42578125" customWidth="1"/>
    <col min="15" max="15" width="20.28515625" customWidth="1"/>
    <col min="16" max="16" width="19.85546875" customWidth="1"/>
  </cols>
  <sheetData>
    <row r="1" spans="1:16" ht="30" customHeight="1">
      <c r="J1" s="520" t="s">
        <v>341</v>
      </c>
      <c r="K1" s="520"/>
      <c r="L1" s="520"/>
      <c r="M1" s="520"/>
      <c r="N1" s="419"/>
      <c r="O1" s="419"/>
    </row>
    <row r="2" spans="1:16" ht="21.75" customHeight="1">
      <c r="J2" s="521" t="s">
        <v>1</v>
      </c>
      <c r="K2" s="521"/>
      <c r="L2" s="521"/>
      <c r="M2" s="521"/>
      <c r="N2" s="420"/>
      <c r="O2" s="420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8"/>
      <c r="N4" s="8"/>
      <c r="O4" s="8"/>
      <c r="P4" s="8"/>
    </row>
    <row r="5" spans="1:16" ht="32.25" customHeight="1">
      <c r="A5" t="s">
        <v>3</v>
      </c>
      <c r="C5" s="4"/>
      <c r="D5" s="4"/>
      <c r="E5" s="4"/>
      <c r="F5" s="4"/>
      <c r="G5" s="4"/>
      <c r="H5" s="4"/>
      <c r="I5" s="4"/>
      <c r="J5" s="526" t="s">
        <v>5</v>
      </c>
      <c r="K5" s="526"/>
      <c r="L5" s="526"/>
      <c r="M5" s="526"/>
      <c r="N5" s="526"/>
      <c r="O5" s="526"/>
      <c r="P5" s="81" t="s">
        <v>12</v>
      </c>
    </row>
    <row r="6" spans="1:16" ht="58.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342</v>
      </c>
      <c r="N6" s="6" t="s">
        <v>147</v>
      </c>
      <c r="O6" s="6" t="s">
        <v>59</v>
      </c>
      <c r="P6" s="81" t="s">
        <v>59</v>
      </c>
    </row>
    <row r="7" spans="1:16" ht="30.75" customHeight="1">
      <c r="A7" s="8"/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-10853554</v>
      </c>
      <c r="J9" s="12">
        <v>3939011</v>
      </c>
      <c r="K9" s="12">
        <v>1790887</v>
      </c>
      <c r="L9" s="12">
        <v>5692636</v>
      </c>
      <c r="M9" s="12">
        <f t="shared" ref="M9:M14" si="0">SUM(I9:L9)</f>
        <v>568980</v>
      </c>
      <c r="N9" s="12"/>
      <c r="O9" s="12">
        <f t="shared" ref="O9:O14" si="1">SUM(M9:N9)</f>
        <v>568980</v>
      </c>
    </row>
    <row r="10" spans="1:16">
      <c r="C10" t="s">
        <v>16</v>
      </c>
      <c r="H10" s="12"/>
      <c r="I10" s="13">
        <v>-1239313</v>
      </c>
      <c r="J10" s="12">
        <v>13326</v>
      </c>
      <c r="K10" s="12">
        <v>54171</v>
      </c>
      <c r="L10" s="12"/>
      <c r="M10" s="12">
        <f t="shared" si="0"/>
        <v>-1171816</v>
      </c>
      <c r="N10" s="12"/>
      <c r="O10" s="12">
        <f t="shared" si="1"/>
        <v>-1171816</v>
      </c>
    </row>
    <row r="11" spans="1:16">
      <c r="C11" t="s">
        <v>17</v>
      </c>
      <c r="H11" s="12"/>
      <c r="I11" s="14">
        <v>-29576012</v>
      </c>
      <c r="J11" s="12">
        <v>44100</v>
      </c>
      <c r="K11" s="12">
        <v>2441392</v>
      </c>
      <c r="L11" s="12">
        <v>5469414</v>
      </c>
      <c r="M11" s="12">
        <f t="shared" si="0"/>
        <v>-21621106</v>
      </c>
      <c r="N11" s="12"/>
      <c r="O11" s="12">
        <f t="shared" si="1"/>
        <v>-21621106</v>
      </c>
    </row>
    <row r="12" spans="1:16">
      <c r="C12" t="s">
        <v>343</v>
      </c>
      <c r="H12" s="12"/>
      <c r="I12" s="15">
        <v>-9085460</v>
      </c>
      <c r="J12" s="12">
        <v>52114</v>
      </c>
      <c r="K12" s="12">
        <v>4423306</v>
      </c>
      <c r="L12" s="12"/>
      <c r="M12" s="12">
        <f>SUM(I12:L12)</f>
        <v>-4610040</v>
      </c>
      <c r="N12" s="12"/>
      <c r="O12" s="12">
        <f t="shared" si="1"/>
        <v>-4610040</v>
      </c>
    </row>
    <row r="13" spans="1:16">
      <c r="C13" t="s">
        <v>20</v>
      </c>
      <c r="H13" s="12"/>
      <c r="I13" s="16">
        <v>-6889308</v>
      </c>
      <c r="J13" s="12">
        <v>149046</v>
      </c>
      <c r="K13" s="12">
        <v>904619</v>
      </c>
      <c r="L13" s="12"/>
      <c r="M13" s="12">
        <f t="shared" si="0"/>
        <v>-5835643</v>
      </c>
      <c r="N13" s="12"/>
      <c r="O13" s="12">
        <f t="shared" si="1"/>
        <v>-5835643</v>
      </c>
    </row>
    <row r="14" spans="1:16">
      <c r="C14" t="s">
        <v>344</v>
      </c>
      <c r="H14" s="12"/>
      <c r="I14" s="89">
        <v>-1758898</v>
      </c>
      <c r="J14" s="12"/>
      <c r="K14" s="12"/>
      <c r="L14" s="12"/>
      <c r="M14" s="12">
        <f t="shared" si="0"/>
        <v>-1758898</v>
      </c>
      <c r="N14" s="12"/>
      <c r="O14" s="12">
        <f t="shared" si="1"/>
        <v>-1758898</v>
      </c>
    </row>
    <row r="15" spans="1:16">
      <c r="H15" s="12"/>
      <c r="I15" s="12"/>
      <c r="J15" s="12"/>
      <c r="K15" s="12"/>
      <c r="L15" s="12"/>
      <c r="M15" s="12"/>
      <c r="N15" s="12"/>
      <c r="O15" s="12"/>
    </row>
    <row r="16" spans="1:16">
      <c r="E16" s="19" t="s">
        <v>22</v>
      </c>
      <c r="F16" s="19"/>
      <c r="G16" s="19"/>
      <c r="H16" s="20"/>
      <c r="I16" s="20">
        <f>SUM(I9:I14)</f>
        <v>-59402545</v>
      </c>
      <c r="J16" s="20">
        <f>SUM(J9:J14)</f>
        <v>4197597</v>
      </c>
      <c r="K16" s="20">
        <f>SUM(K9:K14)</f>
        <v>9614375</v>
      </c>
      <c r="L16" s="20">
        <f>SUM(L9:L14)</f>
        <v>11162050</v>
      </c>
      <c r="M16" s="82">
        <f>SUM(M9:M14)</f>
        <v>-34428523</v>
      </c>
      <c r="N16" s="82"/>
      <c r="O16" s="82">
        <f>SUM(O9:O14)</f>
        <v>-34428523</v>
      </c>
      <c r="P16" s="84">
        <f>SUM(P9:P14)</f>
        <v>0</v>
      </c>
    </row>
    <row r="17" spans="1:16">
      <c r="E17" s="8"/>
      <c r="F17" s="8"/>
      <c r="G17" s="8"/>
      <c r="H17" s="26"/>
      <c r="I17" s="26"/>
      <c r="J17" s="26"/>
      <c r="K17" s="26"/>
      <c r="L17" s="26"/>
      <c r="M17" s="26"/>
      <c r="N17" s="26"/>
      <c r="O17" s="26"/>
    </row>
    <row r="18" spans="1:16">
      <c r="B18" s="10" t="s">
        <v>116</v>
      </c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6">
      <c r="C19" t="s">
        <v>150</v>
      </c>
      <c r="E19" s="8"/>
      <c r="F19" s="8"/>
      <c r="G19" s="8"/>
      <c r="H19" s="26"/>
      <c r="I19" s="469">
        <v>-536012</v>
      </c>
      <c r="J19" s="248">
        <v>213085</v>
      </c>
      <c r="K19" s="248"/>
      <c r="L19" s="248"/>
      <c r="M19" s="248"/>
      <c r="N19" s="248">
        <v>-322927</v>
      </c>
      <c r="O19" s="248">
        <f>SUM(M19:N19)</f>
        <v>-322927</v>
      </c>
    </row>
    <row r="20" spans="1:16"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E21" s="19" t="s">
        <v>67</v>
      </c>
      <c r="F21" s="19"/>
      <c r="G21" s="19"/>
      <c r="H21" s="20"/>
      <c r="I21" s="20">
        <f>SUM(I16+I19)</f>
        <v>-59938557</v>
      </c>
      <c r="J21" s="20">
        <f t="shared" ref="J21:L21" si="2">J19+J16</f>
        <v>4410682</v>
      </c>
      <c r="K21" s="20">
        <f t="shared" si="2"/>
        <v>9614375</v>
      </c>
      <c r="L21" s="20">
        <f t="shared" si="2"/>
        <v>11162050</v>
      </c>
      <c r="M21" s="82">
        <f>M19+M16</f>
        <v>-34428523</v>
      </c>
      <c r="N21" s="82">
        <f>N19+N16</f>
        <v>-322927</v>
      </c>
      <c r="O21" s="82">
        <f>SUM(O16+O19)</f>
        <v>-34751450</v>
      </c>
      <c r="P21" s="84">
        <f>SUM(P15:P19)</f>
        <v>0</v>
      </c>
    </row>
    <row r="22" spans="1:16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E23" s="19" t="s">
        <v>286</v>
      </c>
      <c r="F23" s="19"/>
      <c r="G23" s="19"/>
      <c r="H23" s="20"/>
      <c r="I23" s="20">
        <v>-210642245</v>
      </c>
      <c r="J23" s="20">
        <v>205696771</v>
      </c>
      <c r="K23" s="20">
        <v>324381</v>
      </c>
      <c r="L23" s="20">
        <v>2390055</v>
      </c>
      <c r="M23" s="82">
        <v>0</v>
      </c>
      <c r="N23" s="82">
        <v>0</v>
      </c>
      <c r="O23" s="82">
        <v>0</v>
      </c>
      <c r="P23" s="85">
        <f>SUM(I23:L23)</f>
        <v>-2231038</v>
      </c>
    </row>
    <row r="24" spans="1:16">
      <c r="H24" s="12"/>
      <c r="I24" s="12"/>
      <c r="J24" s="12"/>
      <c r="K24" s="12"/>
      <c r="L24" s="12"/>
      <c r="M24" s="12"/>
      <c r="N24" s="12"/>
      <c r="O24" s="12"/>
    </row>
    <row r="25" spans="1:16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  <c r="N25" s="12"/>
      <c r="O25" s="12"/>
    </row>
    <row r="26" spans="1:16">
      <c r="A26" s="8"/>
      <c r="B26" s="8"/>
      <c r="C26" s="8"/>
      <c r="D26" s="8"/>
      <c r="E26" s="8"/>
      <c r="G26" s="8"/>
      <c r="H26" s="80" t="s">
        <v>26</v>
      </c>
      <c r="I26" s="26"/>
      <c r="J26" s="26"/>
      <c r="K26" s="26"/>
      <c r="L26" s="26"/>
      <c r="M26" s="12"/>
      <c r="N26" s="12"/>
      <c r="O26" s="12"/>
    </row>
    <row r="27" spans="1:16">
      <c r="H27" s="12"/>
      <c r="I27" s="12" t="s">
        <v>46</v>
      </c>
      <c r="J27" s="12"/>
      <c r="K27" s="12"/>
      <c r="L27" s="12"/>
      <c r="M27" s="28">
        <v>25399615</v>
      </c>
      <c r="N27" s="12"/>
      <c r="O27" s="12">
        <f t="shared" ref="O27:O33" si="3">SUM(M27:N27)</f>
        <v>25399615</v>
      </c>
      <c r="P27" s="12">
        <v>16805929</v>
      </c>
    </row>
    <row r="28" spans="1:16">
      <c r="H28" s="12"/>
      <c r="I28" s="12" t="s">
        <v>28</v>
      </c>
      <c r="J28" s="12"/>
      <c r="K28" s="12"/>
      <c r="L28" s="12"/>
      <c r="M28" s="14">
        <v>16623122</v>
      </c>
      <c r="N28" s="12"/>
      <c r="O28" s="12">
        <f t="shared" si="3"/>
        <v>16623122</v>
      </c>
      <c r="P28" s="12">
        <v>830421</v>
      </c>
    </row>
    <row r="29" spans="1:16">
      <c r="H29" s="12"/>
      <c r="I29" s="12" t="s">
        <v>32</v>
      </c>
      <c r="J29" s="12"/>
      <c r="K29" s="12"/>
      <c r="L29" s="12"/>
      <c r="M29" s="15">
        <v>3022642</v>
      </c>
      <c r="N29" s="12"/>
      <c r="O29" s="12">
        <f t="shared" si="3"/>
        <v>3022642</v>
      </c>
    </row>
    <row r="30" spans="1:16">
      <c r="H30" s="12" t="s">
        <v>345</v>
      </c>
      <c r="I30" s="12"/>
      <c r="J30" s="12"/>
      <c r="K30" s="12"/>
      <c r="L30" s="12"/>
      <c r="M30" s="29">
        <v>5742812</v>
      </c>
      <c r="N30" s="12"/>
      <c r="O30" s="12">
        <f t="shared" si="3"/>
        <v>5742812</v>
      </c>
    </row>
    <row r="31" spans="1:16">
      <c r="H31" s="12" t="s">
        <v>86</v>
      </c>
      <c r="I31" s="12"/>
      <c r="J31" s="12"/>
      <c r="K31" s="12"/>
      <c r="L31" s="12"/>
      <c r="M31" s="29">
        <v>8902</v>
      </c>
      <c r="N31" s="12"/>
      <c r="O31" s="12">
        <f t="shared" si="3"/>
        <v>8902</v>
      </c>
      <c r="P31">
        <v>354394</v>
      </c>
    </row>
    <row r="32" spans="1:16">
      <c r="H32" s="12" t="s">
        <v>346</v>
      </c>
      <c r="I32" s="12"/>
      <c r="J32" s="12"/>
      <c r="K32" s="12"/>
      <c r="L32" s="12"/>
      <c r="M32" s="11">
        <v>478115</v>
      </c>
      <c r="N32" s="12"/>
      <c r="O32" s="12">
        <f t="shared" si="3"/>
        <v>478115</v>
      </c>
      <c r="P32">
        <v>8723313</v>
      </c>
    </row>
    <row r="33" spans="5:16">
      <c r="H33" s="12" t="s">
        <v>32</v>
      </c>
      <c r="I33" s="12"/>
      <c r="J33" s="12"/>
      <c r="K33" s="12"/>
      <c r="L33" s="12"/>
      <c r="M33" s="29">
        <v>647330</v>
      </c>
      <c r="N33" s="12"/>
      <c r="O33" s="12">
        <f t="shared" si="3"/>
        <v>647330</v>
      </c>
      <c r="P33" s="9">
        <v>1940195</v>
      </c>
    </row>
    <row r="34" spans="5:16">
      <c r="H34" s="12"/>
      <c r="I34" s="12"/>
      <c r="J34" s="12"/>
      <c r="K34" s="12"/>
      <c r="L34" s="12"/>
      <c r="M34" s="12"/>
      <c r="N34" s="12"/>
      <c r="O34" s="12"/>
    </row>
    <row r="35" spans="5:16">
      <c r="H35" s="20" t="s">
        <v>38</v>
      </c>
      <c r="I35" s="20"/>
      <c r="J35" s="20"/>
      <c r="K35" s="20"/>
      <c r="L35" s="20"/>
      <c r="M35" s="20">
        <f>SUM(M27:M33)</f>
        <v>51922538</v>
      </c>
      <c r="N35" s="20">
        <f>SUM(N27:N33)</f>
        <v>0</v>
      </c>
      <c r="O35" s="20">
        <f>SUM(O27:O33)</f>
        <v>51922538</v>
      </c>
      <c r="P35" s="84">
        <f>SUM(P27:P33)</f>
        <v>28654252</v>
      </c>
    </row>
    <row r="36" spans="5:16">
      <c r="H36" s="12"/>
      <c r="I36" s="12"/>
      <c r="J36" s="12"/>
      <c r="K36" s="12"/>
      <c r="L36" s="12"/>
      <c r="M36" s="12"/>
      <c r="N36" s="12"/>
      <c r="O36" s="12"/>
    </row>
    <row r="37" spans="5:16">
      <c r="H37" s="20" t="s">
        <v>39</v>
      </c>
      <c r="I37" s="20"/>
      <c r="J37" s="20"/>
      <c r="K37" s="20"/>
      <c r="L37" s="20"/>
      <c r="M37" s="20">
        <f>M35+M16</f>
        <v>17494015</v>
      </c>
      <c r="N37" s="20">
        <f>N35+N19</f>
        <v>-322927</v>
      </c>
      <c r="O37" s="20">
        <f>O35+O21</f>
        <v>17171088</v>
      </c>
      <c r="P37" s="85">
        <f>P35+P23</f>
        <v>26423214</v>
      </c>
    </row>
    <row r="38" spans="5:16">
      <c r="H38" s="26"/>
      <c r="I38" s="26"/>
      <c r="J38" s="26"/>
      <c r="K38" s="26"/>
      <c r="L38" s="26"/>
      <c r="M38" s="26"/>
      <c r="N38" s="26"/>
      <c r="O38" s="26"/>
    </row>
    <row r="39" spans="5:16">
      <c r="E39" s="31" t="s">
        <v>54</v>
      </c>
      <c r="F39" s="31"/>
      <c r="G39" s="31"/>
      <c r="H39" s="32"/>
      <c r="I39" s="32"/>
      <c r="J39" s="32"/>
      <c r="K39" s="32"/>
      <c r="L39" s="32"/>
      <c r="M39" s="33">
        <v>104641474</v>
      </c>
      <c r="N39" s="33">
        <v>2864360</v>
      </c>
      <c r="O39" s="33">
        <f>SUM(M39:N39)</f>
        <v>107505834</v>
      </c>
      <c r="P39" s="86">
        <v>454634255</v>
      </c>
    </row>
    <row r="40" spans="5:16">
      <c r="E40" s="8"/>
      <c r="F40" s="8"/>
      <c r="G40" s="8"/>
      <c r="H40" s="26"/>
      <c r="I40" s="26"/>
      <c r="J40" s="26"/>
      <c r="K40" s="26"/>
      <c r="L40" s="26"/>
      <c r="M40" s="210"/>
      <c r="N40" s="210"/>
      <c r="O40" s="210"/>
      <c r="P40" s="326"/>
    </row>
    <row r="41" spans="5:16">
      <c r="E41" s="34" t="s">
        <v>55</v>
      </c>
      <c r="F41" s="34"/>
      <c r="G41" s="34"/>
      <c r="H41" s="35"/>
      <c r="I41" s="35"/>
      <c r="J41" s="35"/>
      <c r="K41" s="35"/>
      <c r="L41" s="35"/>
      <c r="M41" s="83">
        <f>M39+M37</f>
        <v>122135489</v>
      </c>
      <c r="N41" s="83">
        <f t="shared" ref="N41:P41" si="4">N39+N37</f>
        <v>2541433</v>
      </c>
      <c r="O41" s="83">
        <f t="shared" si="4"/>
        <v>124676922</v>
      </c>
      <c r="P41" s="83">
        <f t="shared" si="4"/>
        <v>481057469</v>
      </c>
    </row>
    <row r="48" spans="5:16">
      <c r="K48" s="9"/>
      <c r="L48" s="9"/>
      <c r="M48" s="9"/>
      <c r="N48" s="9"/>
      <c r="O48" s="9"/>
    </row>
  </sheetData>
  <mergeCells count="3">
    <mergeCell ref="J5:O5"/>
    <mergeCell ref="J1:M1"/>
    <mergeCell ref="J2:M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2"/>
  <sheetViews>
    <sheetView workbookViewId="0">
      <selection activeCell="M35" sqref="M35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520" t="s">
        <v>347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.75">
      <c r="E4" s="2"/>
      <c r="M4" s="432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/>
    </row>
    <row r="6" spans="1:13" ht="42.75" customHeight="1">
      <c r="A6" s="5" t="s">
        <v>163</v>
      </c>
      <c r="I6" s="6" t="s">
        <v>7</v>
      </c>
      <c r="J6" s="6" t="s">
        <v>8</v>
      </c>
      <c r="K6" s="6" t="s">
        <v>9</v>
      </c>
      <c r="L6" s="6" t="s">
        <v>10</v>
      </c>
      <c r="M6" s="324" t="s">
        <v>348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-1752222</v>
      </c>
      <c r="J9" s="12">
        <v>163215</v>
      </c>
      <c r="K9" s="12">
        <v>84504</v>
      </c>
      <c r="L9" s="12"/>
      <c r="M9" s="12">
        <f t="shared" ref="M9:M14" si="0">SUM(I9:L9)</f>
        <v>-1504503</v>
      </c>
    </row>
    <row r="10" spans="1:13">
      <c r="C10" t="s">
        <v>16</v>
      </c>
      <c r="H10" s="12"/>
      <c r="I10" s="13">
        <v>-551593</v>
      </c>
      <c r="J10" s="12">
        <v>2081</v>
      </c>
      <c r="K10" s="12"/>
      <c r="L10" s="12"/>
      <c r="M10" s="12">
        <f t="shared" si="0"/>
        <v>-549512</v>
      </c>
    </row>
    <row r="11" spans="1:13">
      <c r="C11" t="s">
        <v>17</v>
      </c>
      <c r="H11" s="12"/>
      <c r="I11" s="14">
        <v>-2720925</v>
      </c>
      <c r="J11" s="12"/>
      <c r="K11" s="12">
        <v>423139</v>
      </c>
      <c r="L11" s="12">
        <v>504395</v>
      </c>
      <c r="M11" s="12">
        <f t="shared" si="0"/>
        <v>-1793391</v>
      </c>
    </row>
    <row r="12" spans="1:13">
      <c r="C12" t="s">
        <v>19</v>
      </c>
      <c r="H12" s="12"/>
      <c r="I12" s="15">
        <v>-94559</v>
      </c>
      <c r="J12" s="12"/>
      <c r="K12" s="12"/>
      <c r="L12" s="12"/>
      <c r="M12" s="12">
        <f t="shared" si="0"/>
        <v>-94559</v>
      </c>
    </row>
    <row r="13" spans="1:13">
      <c r="C13" t="s">
        <v>20</v>
      </c>
      <c r="H13" s="12"/>
      <c r="I13" s="16">
        <v>-519659</v>
      </c>
      <c r="J13" s="12">
        <v>10803</v>
      </c>
      <c r="K13" s="12">
        <v>21875</v>
      </c>
      <c r="L13" s="12"/>
      <c r="M13" s="12">
        <f t="shared" si="0"/>
        <v>-486981</v>
      </c>
    </row>
    <row r="14" spans="1:13">
      <c r="C14" t="s">
        <v>18</v>
      </c>
      <c r="H14" s="12"/>
      <c r="I14" s="92">
        <v>-1397335</v>
      </c>
      <c r="J14" s="12"/>
      <c r="K14" s="12">
        <v>861654</v>
      </c>
      <c r="L14" s="12">
        <v>990764</v>
      </c>
      <c r="M14" s="12">
        <f t="shared" si="0"/>
        <v>455083</v>
      </c>
    </row>
    <row r="15" spans="1:13">
      <c r="C15" t="s">
        <v>349</v>
      </c>
      <c r="H15" s="12"/>
      <c r="I15" s="415">
        <v>-62144</v>
      </c>
      <c r="J15" s="18"/>
      <c r="K15" s="18"/>
      <c r="L15" s="18"/>
      <c r="M15" s="18">
        <f>SUM(I15:L15)</f>
        <v>-62144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-7098437</v>
      </c>
      <c r="J17" s="20">
        <f>SUM(J9:J14)</f>
        <v>176099</v>
      </c>
      <c r="K17" s="20">
        <f>SUM(K9:K14)</f>
        <v>1391172</v>
      </c>
      <c r="L17" s="20">
        <f>SUM(L9:L14)</f>
        <v>1495159</v>
      </c>
      <c r="M17" s="82">
        <f>SUM(M9:M15)</f>
        <v>-4036007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A20" s="8"/>
      <c r="B20" s="8"/>
      <c r="C20" s="8"/>
      <c r="D20" s="8"/>
      <c r="E20" s="8"/>
      <c r="G20" s="8"/>
      <c r="H20" s="80" t="s">
        <v>26</v>
      </c>
      <c r="I20" s="26"/>
      <c r="J20" s="26"/>
      <c r="K20" s="26"/>
      <c r="L20" s="26"/>
      <c r="M20" s="12"/>
    </row>
    <row r="21" spans="1:13">
      <c r="H21" s="12"/>
      <c r="I21" s="12" t="s">
        <v>94</v>
      </c>
      <c r="J21" s="12"/>
      <c r="K21" s="12"/>
      <c r="L21" s="12"/>
      <c r="M21" s="28">
        <v>3445076</v>
      </c>
    </row>
    <row r="22" spans="1:13">
      <c r="H22" s="12"/>
      <c r="I22" s="12" t="s">
        <v>48</v>
      </c>
      <c r="J22" s="12"/>
      <c r="K22" s="12"/>
      <c r="L22" s="12"/>
      <c r="M22" s="93">
        <v>58879</v>
      </c>
    </row>
    <row r="23" spans="1:13">
      <c r="H23" s="12"/>
      <c r="I23" s="12" t="s">
        <v>105</v>
      </c>
      <c r="J23" s="12"/>
      <c r="K23" s="12"/>
      <c r="L23" s="12"/>
      <c r="M23" s="15">
        <v>6105</v>
      </c>
    </row>
    <row r="24" spans="1:13">
      <c r="H24" s="12" t="s">
        <v>33</v>
      </c>
      <c r="I24" s="12"/>
      <c r="J24" s="12"/>
      <c r="K24" s="12"/>
      <c r="L24" s="12"/>
      <c r="M24" s="11">
        <v>1354229</v>
      </c>
    </row>
    <row r="25" spans="1:13">
      <c r="H25" s="12" t="s">
        <v>106</v>
      </c>
      <c r="I25" s="12"/>
      <c r="J25" s="12"/>
      <c r="K25" s="12"/>
      <c r="L25" s="12"/>
      <c r="M25" s="29">
        <v>76857</v>
      </c>
    </row>
    <row r="26" spans="1:13">
      <c r="H26" s="12" t="s">
        <v>107</v>
      </c>
      <c r="I26" s="12"/>
      <c r="J26" s="12"/>
      <c r="K26" s="12"/>
      <c r="L26" s="12"/>
      <c r="M26" s="29">
        <v>61734</v>
      </c>
    </row>
    <row r="27" spans="1:13">
      <c r="H27" s="12" t="s">
        <v>32</v>
      </c>
      <c r="I27" s="12"/>
      <c r="J27" s="12"/>
      <c r="K27" s="12"/>
      <c r="L27" s="12"/>
      <c r="M27" s="29">
        <v>135</v>
      </c>
    </row>
    <row r="28" spans="1:13">
      <c r="H28" s="12"/>
      <c r="I28" s="12"/>
      <c r="J28" s="12"/>
      <c r="K28" s="12"/>
      <c r="L28" s="12"/>
      <c r="M28" s="12"/>
    </row>
    <row r="29" spans="1:13">
      <c r="H29" s="20" t="s">
        <v>38</v>
      </c>
      <c r="I29" s="20"/>
      <c r="J29" s="20"/>
      <c r="K29" s="20"/>
      <c r="L29" s="20"/>
      <c r="M29" s="20">
        <f>SUM(M21:M27)</f>
        <v>5003015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53</v>
      </c>
      <c r="I31" s="20"/>
      <c r="J31" s="20"/>
      <c r="K31" s="20"/>
      <c r="L31" s="20"/>
      <c r="M31" s="20">
        <f>SUM(M17,M29)</f>
        <v>967008</v>
      </c>
    </row>
    <row r="32" spans="1:13">
      <c r="H32" s="26"/>
      <c r="I32" s="26"/>
      <c r="J32" s="26"/>
      <c r="K32" s="26"/>
      <c r="L32" s="26"/>
      <c r="M32" s="26"/>
    </row>
    <row r="33" spans="5:13">
      <c r="E33" s="31" t="s">
        <v>54</v>
      </c>
      <c r="F33" s="31"/>
      <c r="G33" s="31"/>
      <c r="H33" s="32"/>
      <c r="I33" s="32"/>
      <c r="J33" s="32"/>
      <c r="K33" s="32"/>
      <c r="L33" s="32"/>
      <c r="M33" s="33">
        <v>10927506</v>
      </c>
    </row>
    <row r="34" spans="5:13">
      <c r="H34" s="12"/>
      <c r="I34" s="12"/>
      <c r="J34" s="12"/>
      <c r="K34" s="12"/>
      <c r="L34" s="12"/>
      <c r="M34" s="12"/>
    </row>
    <row r="35" spans="5:13">
      <c r="E35" s="34" t="s">
        <v>55</v>
      </c>
      <c r="F35" s="34"/>
      <c r="G35" s="34"/>
      <c r="H35" s="35"/>
      <c r="I35" s="35"/>
      <c r="J35" s="35"/>
      <c r="K35" s="35"/>
      <c r="L35" s="35"/>
      <c r="M35" s="83">
        <f>SUM(M31,M33)</f>
        <v>11894514</v>
      </c>
    </row>
    <row r="42" spans="5:13">
      <c r="K42" s="9"/>
      <c r="L42" s="9"/>
      <c r="M42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5"/>
  <sheetViews>
    <sheetView workbookViewId="0">
      <selection activeCell="M38" sqref="M38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520" t="s">
        <v>350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.75">
      <c r="E4" s="2"/>
      <c r="M4" s="432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/>
    </row>
    <row r="6" spans="1:13" ht="42.75" customHeight="1">
      <c r="A6" s="5" t="s">
        <v>351</v>
      </c>
      <c r="I6" s="6" t="s">
        <v>7</v>
      </c>
      <c r="J6" s="6" t="s">
        <v>8</v>
      </c>
      <c r="K6" s="6" t="s">
        <v>9</v>
      </c>
      <c r="L6" s="6" t="s">
        <v>10</v>
      </c>
      <c r="M6" s="324" t="s">
        <v>348</v>
      </c>
    </row>
    <row r="7" spans="1:13">
      <c r="B7" s="10" t="s">
        <v>14</v>
      </c>
      <c r="I7" s="9"/>
      <c r="J7" s="9"/>
      <c r="K7" s="9"/>
      <c r="L7" s="9"/>
      <c r="M7" s="9"/>
    </row>
    <row r="8" spans="1:13">
      <c r="C8" t="s">
        <v>15</v>
      </c>
      <c r="H8" s="12"/>
      <c r="I8" s="11">
        <v>-3283516</v>
      </c>
      <c r="J8" s="12">
        <v>18768</v>
      </c>
      <c r="K8" s="12"/>
      <c r="L8" s="12"/>
      <c r="M8" s="12">
        <f t="shared" ref="M8:M13" si="0">SUM(I8:L8)</f>
        <v>-3264748</v>
      </c>
    </row>
    <row r="9" spans="1:13">
      <c r="C9" t="s">
        <v>16</v>
      </c>
      <c r="H9" s="12"/>
      <c r="I9" s="13">
        <v>-325673</v>
      </c>
      <c r="J9" s="12">
        <v>284167</v>
      </c>
      <c r="K9" s="12">
        <v>37236</v>
      </c>
      <c r="L9" s="12">
        <v>89594</v>
      </c>
      <c r="M9" s="12">
        <f t="shared" si="0"/>
        <v>85324</v>
      </c>
    </row>
    <row r="10" spans="1:13">
      <c r="C10" t="s">
        <v>17</v>
      </c>
      <c r="H10" s="12"/>
      <c r="I10" s="14">
        <v>-8054433</v>
      </c>
      <c r="J10" s="12">
        <v>404071</v>
      </c>
      <c r="K10" s="12">
        <v>518922</v>
      </c>
      <c r="L10" s="12">
        <v>231878</v>
      </c>
      <c r="M10" s="12">
        <f t="shared" si="0"/>
        <v>-6899562</v>
      </c>
    </row>
    <row r="11" spans="1:13">
      <c r="C11" t="s">
        <v>19</v>
      </c>
      <c r="H11" s="12"/>
      <c r="I11" s="15">
        <v>-563356</v>
      </c>
      <c r="J11" s="12"/>
      <c r="K11" s="12">
        <v>492854</v>
      </c>
      <c r="L11" s="12"/>
      <c r="M11" s="12">
        <f t="shared" si="0"/>
        <v>-70502</v>
      </c>
    </row>
    <row r="12" spans="1:13">
      <c r="C12" t="s">
        <v>352</v>
      </c>
      <c r="H12" s="12"/>
      <c r="I12" s="16">
        <v>-2884898</v>
      </c>
      <c r="J12" s="12">
        <v>422227</v>
      </c>
      <c r="K12" s="12"/>
      <c r="L12" s="12"/>
      <c r="M12" s="12">
        <f t="shared" si="0"/>
        <v>-2462671</v>
      </c>
    </row>
    <row r="13" spans="1:13">
      <c r="C13" t="s">
        <v>44</v>
      </c>
      <c r="H13" s="12"/>
      <c r="I13" s="92">
        <v>-24798</v>
      </c>
      <c r="J13" s="12"/>
      <c r="K13" s="12"/>
      <c r="L13" s="12"/>
      <c r="M13" s="12">
        <f t="shared" si="0"/>
        <v>-24798</v>
      </c>
    </row>
    <row r="14" spans="1:13">
      <c r="C14" t="s">
        <v>21</v>
      </c>
      <c r="H14" s="12"/>
      <c r="I14" s="17">
        <v>-127851</v>
      </c>
      <c r="J14" s="18"/>
      <c r="K14" s="18"/>
      <c r="L14" s="18"/>
      <c r="M14" s="18">
        <f>SUM(I14:L14)</f>
        <v>-127851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SUM(I8:I14)</f>
        <v>-15264525</v>
      </c>
      <c r="J16" s="20">
        <f>SUM(J8:J13)</f>
        <v>1129233</v>
      </c>
      <c r="K16" s="20">
        <f>SUM(K8:K13)</f>
        <v>1049012</v>
      </c>
      <c r="L16" s="20">
        <f>SUM(L8:L13)</f>
        <v>321472</v>
      </c>
      <c r="M16" s="82">
        <f>SUM(M8:M14)</f>
        <v>-12764808</v>
      </c>
    </row>
    <row r="17" spans="1:13">
      <c r="H17" s="12"/>
      <c r="I17" s="12"/>
      <c r="J17" s="12"/>
      <c r="K17" s="12"/>
      <c r="L17" s="12"/>
      <c r="M17" s="12"/>
    </row>
    <row r="18" spans="1:13">
      <c r="A18" s="8"/>
      <c r="B18" s="8"/>
      <c r="C18" s="8"/>
      <c r="D18" s="8"/>
      <c r="E18" s="8"/>
      <c r="G18" s="8" t="s">
        <v>25</v>
      </c>
      <c r="H18" s="26"/>
      <c r="I18" s="26"/>
      <c r="J18" s="26"/>
      <c r="K18" s="26"/>
      <c r="L18" s="26"/>
      <c r="M18" s="12"/>
    </row>
    <row r="19" spans="1:13">
      <c r="A19" s="8"/>
      <c r="B19" s="8"/>
      <c r="C19" s="8"/>
      <c r="D19" s="8"/>
      <c r="E19" s="8"/>
      <c r="G19" s="27" t="s">
        <v>26</v>
      </c>
      <c r="H19" s="26"/>
      <c r="I19" s="26"/>
      <c r="J19" s="26"/>
      <c r="K19" s="26"/>
      <c r="L19" s="26"/>
      <c r="M19" s="12"/>
    </row>
    <row r="20" spans="1:13">
      <c r="H20" s="12" t="s">
        <v>186</v>
      </c>
      <c r="I20" s="12"/>
      <c r="J20" s="12"/>
      <c r="K20" s="12"/>
      <c r="L20" s="12"/>
      <c r="M20" s="28">
        <v>7067277</v>
      </c>
    </row>
    <row r="21" spans="1:13">
      <c r="H21" s="12" t="s">
        <v>96</v>
      </c>
      <c r="I21" s="12"/>
      <c r="J21" s="12"/>
      <c r="K21" s="12"/>
      <c r="L21" s="12"/>
      <c r="M21" s="14">
        <v>4507092</v>
      </c>
    </row>
    <row r="22" spans="1:13">
      <c r="H22" s="12" t="s">
        <v>73</v>
      </c>
      <c r="I22" s="12"/>
      <c r="J22" s="12"/>
      <c r="K22" s="12"/>
      <c r="L22" s="12"/>
      <c r="M22" s="15">
        <v>277798</v>
      </c>
    </row>
    <row r="23" spans="1:13">
      <c r="H23" s="12" t="s">
        <v>95</v>
      </c>
      <c r="I23" s="12"/>
      <c r="J23" s="12"/>
      <c r="K23" s="12"/>
      <c r="L23" s="12"/>
      <c r="M23" s="15">
        <v>1175000</v>
      </c>
    </row>
    <row r="24" spans="1:13">
      <c r="G24" t="s">
        <v>253</v>
      </c>
      <c r="H24" s="12"/>
      <c r="I24" s="12"/>
      <c r="J24" s="12"/>
      <c r="K24" s="12"/>
      <c r="L24" s="12"/>
      <c r="M24" s="93">
        <v>494886</v>
      </c>
    </row>
    <row r="25" spans="1:13">
      <c r="G25" t="s">
        <v>142</v>
      </c>
      <c r="H25" s="12"/>
      <c r="I25" s="12"/>
      <c r="J25" s="12"/>
      <c r="K25" s="12"/>
      <c r="L25" s="12"/>
      <c r="M25" s="29">
        <v>185230</v>
      </c>
    </row>
    <row r="26" spans="1:13">
      <c r="G26" t="s">
        <v>169</v>
      </c>
      <c r="H26" s="12"/>
      <c r="I26" s="12"/>
      <c r="J26" s="12"/>
      <c r="K26" s="12"/>
      <c r="L26" s="12"/>
      <c r="M26" s="29">
        <v>18223</v>
      </c>
    </row>
    <row r="27" spans="1:13">
      <c r="G27" t="s">
        <v>353</v>
      </c>
      <c r="H27" s="12"/>
      <c r="I27" s="12"/>
      <c r="J27" s="12"/>
      <c r="K27" s="12"/>
      <c r="L27" s="12"/>
      <c r="M27" s="29">
        <v>205034</v>
      </c>
    </row>
    <row r="28" spans="1:13">
      <c r="G28" t="s">
        <v>354</v>
      </c>
      <c r="H28" s="12"/>
      <c r="I28" s="12"/>
      <c r="J28" s="12"/>
      <c r="K28" s="12"/>
      <c r="L28" s="12"/>
      <c r="M28" s="29">
        <v>181000</v>
      </c>
    </row>
    <row r="29" spans="1:13">
      <c r="G29" t="s">
        <v>355</v>
      </c>
      <c r="H29" s="12"/>
      <c r="I29" s="12"/>
      <c r="J29" s="12"/>
      <c r="K29" s="12"/>
      <c r="L29" s="12"/>
      <c r="M29" s="88">
        <v>-472051</v>
      </c>
    </row>
    <row r="30" spans="1:13">
      <c r="G30" t="s">
        <v>258</v>
      </c>
      <c r="H30" s="12"/>
      <c r="I30" s="12"/>
      <c r="J30" s="12"/>
      <c r="K30" s="12"/>
      <c r="L30" s="12"/>
      <c r="M30" s="29">
        <v>124906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38</v>
      </c>
      <c r="I32" s="20"/>
      <c r="J32" s="20"/>
      <c r="K32" s="20"/>
      <c r="L32" s="20"/>
      <c r="M32" s="20">
        <f>SUM(M20:M30)</f>
        <v>13764395</v>
      </c>
    </row>
    <row r="33" spans="5:13">
      <c r="H33" s="12"/>
      <c r="I33" s="12"/>
      <c r="J33" s="12"/>
      <c r="K33" s="12"/>
      <c r="L33" s="12"/>
      <c r="M33" s="12"/>
    </row>
    <row r="34" spans="5:13">
      <c r="H34" s="20" t="s">
        <v>53</v>
      </c>
      <c r="I34" s="20"/>
      <c r="J34" s="20"/>
      <c r="K34" s="20"/>
      <c r="L34" s="20"/>
      <c r="M34" s="20">
        <f>SUM(M16,M32)</f>
        <v>999587</v>
      </c>
    </row>
    <row r="35" spans="5:13">
      <c r="H35" s="26"/>
      <c r="I35" s="26"/>
      <c r="J35" s="26"/>
      <c r="K35" s="26"/>
      <c r="L35" s="26"/>
      <c r="M35" s="26"/>
    </row>
    <row r="36" spans="5:13">
      <c r="E36" s="31" t="s">
        <v>356</v>
      </c>
      <c r="F36" s="31"/>
      <c r="G36" s="31"/>
      <c r="H36" s="32"/>
      <c r="I36" s="32"/>
      <c r="J36" s="32"/>
      <c r="K36" s="32"/>
      <c r="L36" s="32"/>
      <c r="M36" s="33">
        <v>55163137</v>
      </c>
    </row>
    <row r="37" spans="5:13">
      <c r="H37" s="12"/>
      <c r="I37" s="12"/>
      <c r="J37" s="12"/>
      <c r="K37" s="12"/>
      <c r="L37" s="12"/>
      <c r="M37" s="12"/>
    </row>
    <row r="38" spans="5:13">
      <c r="E38" s="34" t="s">
        <v>41</v>
      </c>
      <c r="F38" s="34"/>
      <c r="G38" s="34"/>
      <c r="H38" s="35"/>
      <c r="I38" s="35"/>
      <c r="J38" s="35"/>
      <c r="K38" s="35"/>
      <c r="L38" s="35"/>
      <c r="M38" s="83">
        <f>SUM(M34,M36)</f>
        <v>56162724</v>
      </c>
    </row>
    <row r="45" spans="5:13">
      <c r="K45" s="9"/>
      <c r="L45" s="9"/>
      <c r="M45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42"/>
  <sheetViews>
    <sheetView topLeftCell="I1" workbookViewId="0">
      <selection activeCell="I19" sqref="I19"/>
    </sheetView>
  </sheetViews>
  <sheetFormatPr defaultColWidth="8.85546875" defaultRowHeight="15"/>
  <cols>
    <col min="9" max="9" width="15.140625" customWidth="1"/>
    <col min="10" max="10" width="29.7109375" customWidth="1"/>
    <col min="11" max="11" width="13" customWidth="1"/>
    <col min="12" max="12" width="11.42578125" customWidth="1"/>
    <col min="13" max="13" width="13.140625" customWidth="1"/>
    <col min="14" max="14" width="14" customWidth="1"/>
    <col min="15" max="15" width="13.42578125" customWidth="1"/>
  </cols>
  <sheetData>
    <row r="1" spans="1:15" ht="23.25">
      <c r="J1" s="533" t="s">
        <v>357</v>
      </c>
      <c r="K1" s="533"/>
      <c r="L1" s="533"/>
      <c r="M1" s="533"/>
      <c r="N1" s="419"/>
      <c r="O1" s="419"/>
    </row>
    <row r="2" spans="1:15" ht="18.75">
      <c r="J2" s="521" t="s">
        <v>1</v>
      </c>
      <c r="K2" s="521"/>
      <c r="L2" s="521"/>
      <c r="M2" s="521"/>
      <c r="N2" s="420"/>
      <c r="O2" s="420"/>
    </row>
    <row r="3" spans="1:15" ht="15.75">
      <c r="E3" s="3"/>
      <c r="F3" s="3"/>
      <c r="G3" s="3"/>
      <c r="H3" s="3"/>
      <c r="I3" s="3"/>
      <c r="J3" s="3"/>
      <c r="K3" s="3"/>
      <c r="L3" s="3"/>
    </row>
    <row r="4" spans="1:15" ht="18.75" customHeight="1">
      <c r="E4" s="2"/>
      <c r="M4" s="522" t="s">
        <v>57</v>
      </c>
      <c r="N4" s="522"/>
      <c r="O4" s="522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5" t="s">
        <v>5</v>
      </c>
      <c r="N5" s="525"/>
      <c r="O5" s="525"/>
    </row>
    <row r="6" spans="1:15" ht="45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</row>
    <row r="7" spans="1:15">
      <c r="B7" s="10" t="s">
        <v>14</v>
      </c>
      <c r="I7" s="147"/>
      <c r="J7" s="9"/>
      <c r="K7" s="9"/>
      <c r="L7" s="9"/>
      <c r="M7" s="9"/>
      <c r="N7" s="9"/>
      <c r="O7" s="9"/>
    </row>
    <row r="8" spans="1:15">
      <c r="B8" s="10"/>
      <c r="C8" t="s">
        <v>60</v>
      </c>
      <c r="I8" s="345">
        <v>-6117497</v>
      </c>
      <c r="J8" s="9">
        <v>1737007</v>
      </c>
      <c r="K8" s="9">
        <v>320864</v>
      </c>
      <c r="L8" s="9">
        <v>1378927</v>
      </c>
      <c r="M8" s="9">
        <v>-2680699</v>
      </c>
      <c r="N8" s="9"/>
      <c r="O8" s="9">
        <f>M8</f>
        <v>-2680699</v>
      </c>
    </row>
    <row r="9" spans="1:15">
      <c r="C9" t="s">
        <v>16</v>
      </c>
      <c r="H9" s="12"/>
      <c r="I9" s="346">
        <v>-5072256</v>
      </c>
      <c r="J9" s="12">
        <v>1219589</v>
      </c>
      <c r="K9" s="12">
        <v>487053</v>
      </c>
      <c r="L9" s="12">
        <v>69786</v>
      </c>
      <c r="M9" s="12">
        <v>-3295828</v>
      </c>
      <c r="N9" s="12" t="s">
        <v>115</v>
      </c>
      <c r="O9" s="9">
        <f t="shared" ref="O9:O14" si="0">M9</f>
        <v>-3295828</v>
      </c>
    </row>
    <row r="10" spans="1:15">
      <c r="C10" t="s">
        <v>17</v>
      </c>
      <c r="H10" s="12"/>
      <c r="I10" s="347">
        <v>-16464589</v>
      </c>
      <c r="J10" s="12">
        <v>23175</v>
      </c>
      <c r="K10" s="12">
        <v>1606928</v>
      </c>
      <c r="L10" s="12">
        <v>1676743</v>
      </c>
      <c r="M10" s="12">
        <v>-13157743</v>
      </c>
      <c r="N10" s="12" t="s">
        <v>115</v>
      </c>
      <c r="O10" s="9">
        <f t="shared" si="0"/>
        <v>-13157743</v>
      </c>
    </row>
    <row r="11" spans="1:15">
      <c r="C11" t="s">
        <v>19</v>
      </c>
      <c r="H11" s="12"/>
      <c r="I11" s="348">
        <v>-1643186</v>
      </c>
      <c r="J11" s="12">
        <v>35200</v>
      </c>
      <c r="K11" s="12">
        <v>318289</v>
      </c>
      <c r="L11" s="12" t="s">
        <v>115</v>
      </c>
      <c r="M11" s="12">
        <v>-1289697</v>
      </c>
      <c r="N11" s="12" t="s">
        <v>115</v>
      </c>
      <c r="O11" s="9">
        <f t="shared" si="0"/>
        <v>-1289697</v>
      </c>
    </row>
    <row r="12" spans="1:15">
      <c r="C12" t="s">
        <v>20</v>
      </c>
      <c r="H12" s="12"/>
      <c r="I12" s="349">
        <v>-648023</v>
      </c>
      <c r="J12" s="12" t="s">
        <v>115</v>
      </c>
      <c r="K12" s="12" t="s">
        <v>115</v>
      </c>
      <c r="L12" s="12" t="s">
        <v>115</v>
      </c>
      <c r="M12" s="12">
        <f>SUM(I12:L12)</f>
        <v>-648023</v>
      </c>
      <c r="N12" s="12" t="s">
        <v>115</v>
      </c>
      <c r="O12" s="9">
        <f t="shared" si="0"/>
        <v>-648023</v>
      </c>
    </row>
    <row r="13" spans="1:15">
      <c r="C13" t="s">
        <v>148</v>
      </c>
      <c r="H13" s="12"/>
      <c r="I13" s="350">
        <v>-27000</v>
      </c>
      <c r="J13" s="12" t="s">
        <v>115</v>
      </c>
      <c r="K13" s="12" t="s">
        <v>115</v>
      </c>
      <c r="L13" s="12" t="s">
        <v>115</v>
      </c>
      <c r="M13" s="12">
        <v>-27000</v>
      </c>
      <c r="N13" s="12" t="s">
        <v>115</v>
      </c>
      <c r="O13" s="9">
        <f t="shared" si="0"/>
        <v>-27000</v>
      </c>
    </row>
    <row r="14" spans="1:15">
      <c r="C14" t="s">
        <v>358</v>
      </c>
      <c r="H14" s="12"/>
      <c r="I14" s="351">
        <v>-4658876</v>
      </c>
      <c r="J14" s="12" t="s">
        <v>115</v>
      </c>
      <c r="K14" s="12">
        <v>1316052</v>
      </c>
      <c r="L14" s="12" t="s">
        <v>115</v>
      </c>
      <c r="M14" s="12">
        <v>-3342824</v>
      </c>
      <c r="N14" s="12" t="s">
        <v>115</v>
      </c>
      <c r="O14" s="9">
        <f t="shared" si="0"/>
        <v>-3342824</v>
      </c>
    </row>
    <row r="15" spans="1:15">
      <c r="H15" s="12"/>
      <c r="I15" s="208"/>
      <c r="J15" s="208"/>
      <c r="K15" s="208"/>
      <c r="L15" s="208"/>
      <c r="M15" s="208"/>
      <c r="N15" s="208"/>
      <c r="O15" s="208"/>
    </row>
    <row r="16" spans="1:15">
      <c r="E16" s="19" t="s">
        <v>22</v>
      </c>
      <c r="F16" s="19"/>
      <c r="G16" s="19"/>
      <c r="H16" s="20"/>
      <c r="I16" s="20">
        <f t="shared" ref="I16:O16" si="1">SUM(I8:I14)</f>
        <v>-34631427</v>
      </c>
      <c r="J16" s="20">
        <f t="shared" si="1"/>
        <v>3014971</v>
      </c>
      <c r="K16" s="20">
        <f t="shared" si="1"/>
        <v>4049186</v>
      </c>
      <c r="L16" s="20">
        <f t="shared" si="1"/>
        <v>3125456</v>
      </c>
      <c r="M16" s="82">
        <f t="shared" si="1"/>
        <v>-24441814</v>
      </c>
      <c r="N16" s="82">
        <f t="shared" si="1"/>
        <v>0</v>
      </c>
      <c r="O16" s="82">
        <f t="shared" si="1"/>
        <v>-24441814</v>
      </c>
    </row>
    <row r="17" spans="1:15">
      <c r="E17" s="8"/>
      <c r="F17" s="8"/>
      <c r="G17" s="8"/>
      <c r="H17" s="26"/>
      <c r="I17" s="26"/>
      <c r="J17" s="26"/>
      <c r="K17" s="26"/>
      <c r="L17" s="26"/>
      <c r="M17" s="26"/>
      <c r="N17" s="26"/>
      <c r="O17" s="26"/>
    </row>
    <row r="18" spans="1:15">
      <c r="B18" s="10" t="s">
        <v>116</v>
      </c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5">
      <c r="B19" s="10"/>
      <c r="C19" t="s">
        <v>359</v>
      </c>
      <c r="E19" s="8"/>
      <c r="F19" s="8"/>
      <c r="G19" s="8"/>
      <c r="H19" s="26"/>
      <c r="I19" s="464">
        <v>-883938</v>
      </c>
      <c r="J19" s="80">
        <v>168749</v>
      </c>
      <c r="K19" s="80" t="s">
        <v>115</v>
      </c>
      <c r="L19" s="80">
        <v>100000</v>
      </c>
      <c r="M19" s="80" t="s">
        <v>115</v>
      </c>
      <c r="N19" s="80">
        <v>-615189</v>
      </c>
      <c r="O19" s="80">
        <f>SUM(M19:N19)</f>
        <v>-615189</v>
      </c>
    </row>
    <row r="20" spans="1:15">
      <c r="B20" s="10"/>
      <c r="E20" s="8"/>
      <c r="F20" s="8"/>
      <c r="G20" s="8"/>
      <c r="H20" s="26"/>
      <c r="I20" s="209"/>
      <c r="J20" s="209"/>
      <c r="K20" s="209"/>
      <c r="L20" s="209"/>
      <c r="M20" s="209"/>
      <c r="N20" s="209"/>
      <c r="O20" s="209"/>
    </row>
    <row r="21" spans="1:15">
      <c r="E21" s="19" t="s">
        <v>117</v>
      </c>
      <c r="F21" s="19"/>
      <c r="G21" s="19"/>
      <c r="H21" s="20"/>
      <c r="I21" s="20">
        <f t="shared" ref="I21:O21" si="2">SUM(I19:I19)</f>
        <v>-883938</v>
      </c>
      <c r="J21" s="20">
        <f t="shared" si="2"/>
        <v>168749</v>
      </c>
      <c r="K21" s="20">
        <f t="shared" si="2"/>
        <v>0</v>
      </c>
      <c r="L21" s="20">
        <f t="shared" si="2"/>
        <v>100000</v>
      </c>
      <c r="M21" s="82">
        <f t="shared" si="2"/>
        <v>0</v>
      </c>
      <c r="N21" s="82">
        <f t="shared" si="2"/>
        <v>-615189</v>
      </c>
      <c r="O21" s="82">
        <f t="shared" si="2"/>
        <v>-615189</v>
      </c>
    </row>
    <row r="22" spans="1:15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5">
      <c r="E23" s="19" t="s">
        <v>118</v>
      </c>
      <c r="F23" s="19"/>
      <c r="G23" s="19"/>
      <c r="H23" s="20"/>
      <c r="I23" s="20">
        <f t="shared" ref="I23:O23" si="3">I21+I16</f>
        <v>-35515365</v>
      </c>
      <c r="J23" s="20">
        <f t="shared" si="3"/>
        <v>3183720</v>
      </c>
      <c r="K23" s="20">
        <f t="shared" si="3"/>
        <v>4049186</v>
      </c>
      <c r="L23" s="20">
        <f t="shared" si="3"/>
        <v>3225456</v>
      </c>
      <c r="M23" s="82">
        <f t="shared" si="3"/>
        <v>-24441814</v>
      </c>
      <c r="N23" s="82">
        <f t="shared" si="3"/>
        <v>-615189</v>
      </c>
      <c r="O23" s="82">
        <f t="shared" si="3"/>
        <v>-25057003</v>
      </c>
    </row>
    <row r="24" spans="1:15">
      <c r="H24" s="12"/>
      <c r="I24" s="12"/>
      <c r="J24" s="12"/>
      <c r="K24" s="12"/>
      <c r="L24" s="12"/>
      <c r="M24" s="12"/>
      <c r="N24" s="12"/>
      <c r="O24" s="12"/>
    </row>
    <row r="25" spans="1:15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  <c r="N25" s="12"/>
      <c r="O25" s="12"/>
    </row>
    <row r="26" spans="1:15">
      <c r="A26" s="8"/>
      <c r="B26" s="8"/>
      <c r="C26" s="8"/>
      <c r="D26" s="8"/>
      <c r="E26" s="8"/>
      <c r="G26" s="8"/>
      <c r="H26" s="26" t="s">
        <v>26</v>
      </c>
      <c r="I26" s="26"/>
      <c r="J26" s="26"/>
      <c r="K26" s="26"/>
      <c r="L26" s="26"/>
      <c r="M26" s="12"/>
      <c r="N26" s="12"/>
      <c r="O26" s="12"/>
    </row>
    <row r="27" spans="1:15">
      <c r="H27" s="12"/>
      <c r="I27" s="12" t="s">
        <v>360</v>
      </c>
      <c r="J27" s="12"/>
      <c r="K27" s="12"/>
      <c r="L27" s="12"/>
      <c r="M27" s="28">
        <v>6399517</v>
      </c>
      <c r="N27" s="12" t="s">
        <v>115</v>
      </c>
      <c r="O27" s="12">
        <f t="shared" ref="O27:O33" si="4">SUM(M27:N27)</f>
        <v>6399517</v>
      </c>
    </row>
    <row r="28" spans="1:15">
      <c r="H28" s="12"/>
      <c r="I28" s="12" t="s">
        <v>96</v>
      </c>
      <c r="J28" s="12"/>
      <c r="K28" s="12"/>
      <c r="L28" s="12"/>
      <c r="M28" s="14">
        <v>15374488</v>
      </c>
      <c r="N28" s="12" t="s">
        <v>115</v>
      </c>
      <c r="O28" s="12">
        <f t="shared" si="4"/>
        <v>15374488</v>
      </c>
    </row>
    <row r="29" spans="1:15">
      <c r="H29" s="12"/>
      <c r="I29" s="12" t="s">
        <v>121</v>
      </c>
      <c r="J29" s="12"/>
      <c r="K29" s="12"/>
      <c r="L29" s="12"/>
      <c r="M29" s="14">
        <v>1429770</v>
      </c>
      <c r="N29" s="12"/>
      <c r="O29" s="12">
        <f t="shared" si="4"/>
        <v>1429770</v>
      </c>
    </row>
    <row r="30" spans="1:15">
      <c r="H30" s="12"/>
      <c r="I30" s="12" t="s">
        <v>238</v>
      </c>
      <c r="J30" s="12"/>
      <c r="K30" s="12"/>
      <c r="L30" s="12"/>
      <c r="M30" s="15">
        <v>944370</v>
      </c>
      <c r="N30" s="12"/>
      <c r="O30" s="12">
        <f t="shared" si="4"/>
        <v>944370</v>
      </c>
    </row>
    <row r="31" spans="1:15">
      <c r="H31" s="12" t="s">
        <v>361</v>
      </c>
      <c r="I31" s="12"/>
      <c r="J31" s="12"/>
      <c r="K31" s="12"/>
      <c r="L31" s="12"/>
      <c r="M31" s="29">
        <v>1753773</v>
      </c>
      <c r="N31" s="12"/>
      <c r="O31" s="12">
        <f t="shared" si="4"/>
        <v>1753773</v>
      </c>
    </row>
    <row r="32" spans="1:15">
      <c r="H32" s="12" t="s">
        <v>36</v>
      </c>
      <c r="I32" s="12"/>
      <c r="J32" s="12"/>
      <c r="K32" s="12"/>
      <c r="L32" s="12"/>
      <c r="M32" s="29">
        <v>2080149</v>
      </c>
      <c r="N32" s="12"/>
      <c r="O32" s="12">
        <f t="shared" si="4"/>
        <v>2080149</v>
      </c>
    </row>
    <row r="33" spans="5:15">
      <c r="H33" s="12" t="s">
        <v>362</v>
      </c>
      <c r="I33" s="12"/>
      <c r="J33" s="12"/>
      <c r="K33" s="12"/>
      <c r="L33" s="12"/>
      <c r="M33" s="29">
        <v>54818</v>
      </c>
      <c r="N33" s="12">
        <v>328</v>
      </c>
      <c r="O33" s="12">
        <f t="shared" si="4"/>
        <v>55146</v>
      </c>
    </row>
    <row r="34" spans="5:15">
      <c r="H34" s="12" t="s">
        <v>37</v>
      </c>
      <c r="I34" s="12"/>
      <c r="J34" s="12"/>
      <c r="K34" s="12"/>
      <c r="L34" s="12"/>
      <c r="M34" s="215">
        <v>-450000</v>
      </c>
      <c r="N34" s="12">
        <v>450000</v>
      </c>
      <c r="O34" s="12" t="s">
        <v>115</v>
      </c>
    </row>
    <row r="35" spans="5:15">
      <c r="H35" s="210"/>
      <c r="I35" s="12"/>
      <c r="J35" s="12"/>
      <c r="K35" s="12"/>
      <c r="L35" s="12"/>
      <c r="M35" s="208"/>
      <c r="N35" s="208"/>
      <c r="O35" s="208"/>
    </row>
    <row r="36" spans="5:15">
      <c r="H36" s="20" t="s">
        <v>363</v>
      </c>
      <c r="I36" s="20"/>
      <c r="J36" s="20"/>
      <c r="K36" s="20"/>
      <c r="L36" s="20"/>
      <c r="M36" s="20">
        <f>SUM(M27:M34)</f>
        <v>27586885</v>
      </c>
      <c r="N36" s="20">
        <f t="shared" ref="N36:O36" si="5">SUM(N27:N34)</f>
        <v>450328</v>
      </c>
      <c r="O36" s="20">
        <f t="shared" si="5"/>
        <v>28037213</v>
      </c>
    </row>
    <row r="37" spans="5:15">
      <c r="H37" s="12"/>
      <c r="I37" s="12"/>
      <c r="J37" s="12"/>
      <c r="K37" s="12"/>
      <c r="L37" s="12"/>
      <c r="M37" s="12"/>
      <c r="N37" s="12"/>
      <c r="O37" s="12"/>
    </row>
    <row r="38" spans="5:15">
      <c r="H38" s="20" t="s">
        <v>364</v>
      </c>
      <c r="I38" s="20"/>
      <c r="J38" s="20"/>
      <c r="K38" s="20"/>
      <c r="L38" s="20"/>
      <c r="M38" s="20">
        <v>3145071</v>
      </c>
      <c r="N38" s="20">
        <v>-164861</v>
      </c>
      <c r="O38" s="20">
        <v>2980210</v>
      </c>
    </row>
    <row r="39" spans="5:15">
      <c r="H39" s="26"/>
      <c r="I39" s="26"/>
      <c r="J39" s="26"/>
      <c r="K39" s="26"/>
      <c r="L39" s="26"/>
      <c r="M39" s="26"/>
      <c r="N39" s="26"/>
      <c r="O39" s="26"/>
    </row>
    <row r="40" spans="5:15">
      <c r="E40" s="31" t="s">
        <v>54</v>
      </c>
      <c r="F40" s="31"/>
      <c r="G40" s="31"/>
      <c r="H40" s="32"/>
      <c r="I40" s="32"/>
      <c r="J40" s="32"/>
      <c r="K40" s="32"/>
      <c r="L40" s="32"/>
      <c r="M40" s="33">
        <v>88188517</v>
      </c>
      <c r="N40" s="33">
        <v>5875211</v>
      </c>
      <c r="O40" s="33">
        <v>94063728</v>
      </c>
    </row>
    <row r="41" spans="5:15">
      <c r="H41" s="12"/>
      <c r="I41" s="12"/>
      <c r="J41" s="12"/>
      <c r="K41" s="12"/>
      <c r="L41" s="12"/>
      <c r="M41" s="12"/>
      <c r="N41" s="12"/>
      <c r="O41" s="12"/>
    </row>
    <row r="42" spans="5:15">
      <c r="E42" s="34" t="s">
        <v>55</v>
      </c>
      <c r="F42" s="34"/>
      <c r="G42" s="34"/>
      <c r="H42" s="35"/>
      <c r="I42" s="35"/>
      <c r="J42" s="35"/>
      <c r="K42" s="35"/>
      <c r="L42" s="35"/>
      <c r="M42" s="83">
        <f>SUM(M38,M40)</f>
        <v>91333588</v>
      </c>
      <c r="N42" s="83">
        <f>N40+N38</f>
        <v>5710350</v>
      </c>
      <c r="O42" s="83">
        <f>O40+O38</f>
        <v>97043938</v>
      </c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43"/>
  <sheetViews>
    <sheetView workbookViewId="0">
      <selection activeCell="J24" sqref="J24"/>
    </sheetView>
  </sheetViews>
  <sheetFormatPr defaultColWidth="8.85546875" defaultRowHeight="15"/>
  <cols>
    <col min="1" max="1" width="5.7109375" customWidth="1"/>
    <col min="2" max="2" width="6.7109375" customWidth="1"/>
    <col min="3" max="3" width="5.7109375" customWidth="1"/>
    <col min="4" max="4" width="11.28515625" customWidth="1"/>
    <col min="9" max="9" width="14.42578125" customWidth="1"/>
    <col min="10" max="10" width="12.7109375" customWidth="1"/>
    <col min="11" max="12" width="13.140625" customWidth="1"/>
    <col min="13" max="13" width="25" customWidth="1"/>
  </cols>
  <sheetData>
    <row r="1" spans="1:13" ht="23.25">
      <c r="J1" s="520" t="s">
        <v>365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  <c r="M3" s="441" t="s">
        <v>110</v>
      </c>
    </row>
    <row r="4" spans="1:13" ht="16.5" customHeight="1">
      <c r="E4" s="2"/>
      <c r="M4" s="431" t="s">
        <v>111</v>
      </c>
    </row>
    <row r="5" spans="1:13" ht="25.5" customHeight="1">
      <c r="A5" t="s">
        <v>3</v>
      </c>
      <c r="C5" s="4"/>
      <c r="D5" s="4"/>
      <c r="E5" s="4"/>
      <c r="F5" s="4"/>
      <c r="G5" s="4"/>
      <c r="H5" s="4"/>
      <c r="I5" s="211"/>
      <c r="J5" s="527" t="s">
        <v>4</v>
      </c>
      <c r="K5" s="527"/>
      <c r="L5" s="527"/>
      <c r="M5" s="436" t="s">
        <v>366</v>
      </c>
    </row>
    <row r="6" spans="1:13" ht="60">
      <c r="A6" s="5" t="s">
        <v>6</v>
      </c>
      <c r="I6" s="212" t="s">
        <v>7</v>
      </c>
      <c r="J6" s="212" t="s">
        <v>8</v>
      </c>
      <c r="K6" s="212" t="s">
        <v>9</v>
      </c>
      <c r="L6" s="212" t="s">
        <v>10</v>
      </c>
      <c r="M6" s="212" t="s">
        <v>367</v>
      </c>
    </row>
    <row r="7" spans="1:13">
      <c r="A7" s="8" t="s">
        <v>114</v>
      </c>
      <c r="I7" s="159"/>
      <c r="J7" s="159"/>
      <c r="K7" s="159"/>
      <c r="L7" s="159"/>
      <c r="M7" s="159"/>
    </row>
    <row r="8" spans="1:13">
      <c r="C8" t="s">
        <v>15</v>
      </c>
      <c r="H8" s="12"/>
      <c r="I8" s="127"/>
      <c r="J8" s="159"/>
      <c r="K8" s="159"/>
      <c r="L8" s="159"/>
      <c r="M8" s="159"/>
    </row>
    <row r="9" spans="1:13">
      <c r="D9" t="s">
        <v>61</v>
      </c>
      <c r="H9" s="12"/>
      <c r="I9" s="352">
        <v>-130553</v>
      </c>
      <c r="J9" s="159"/>
      <c r="K9" s="159" t="s">
        <v>115</v>
      </c>
      <c r="L9" s="159"/>
      <c r="M9" s="159">
        <f>SUM(I9+J9)</f>
        <v>-130553</v>
      </c>
    </row>
    <row r="10" spans="1:13">
      <c r="D10" t="s">
        <v>62</v>
      </c>
      <c r="H10" s="12"/>
      <c r="I10" s="353">
        <v>-885420</v>
      </c>
      <c r="J10" s="159">
        <v>333349</v>
      </c>
      <c r="K10" s="159" t="s">
        <v>115</v>
      </c>
      <c r="L10" s="159"/>
      <c r="M10" s="159">
        <f>SUM(I10:L10)</f>
        <v>-552071</v>
      </c>
    </row>
    <row r="11" spans="1:13">
      <c r="D11" t="s">
        <v>63</v>
      </c>
      <c r="H11" s="12"/>
      <c r="I11" s="354">
        <v>-36954</v>
      </c>
      <c r="J11" s="159" t="s">
        <v>115</v>
      </c>
      <c r="K11" s="159" t="s">
        <v>115</v>
      </c>
      <c r="L11" s="159" t="s">
        <v>115</v>
      </c>
      <c r="M11" s="159">
        <f>SUM(I11:L11)</f>
        <v>-36954</v>
      </c>
    </row>
    <row r="12" spans="1:13">
      <c r="D12" t="s">
        <v>64</v>
      </c>
      <c r="H12" s="12"/>
      <c r="I12" s="355">
        <v>-424204</v>
      </c>
      <c r="J12" s="159" t="s">
        <v>115</v>
      </c>
      <c r="K12" s="159">
        <v>7262</v>
      </c>
      <c r="L12" s="159" t="s">
        <v>115</v>
      </c>
      <c r="M12" s="159">
        <f>SUM(I12:L12)</f>
        <v>-416942</v>
      </c>
    </row>
    <row r="13" spans="1:13">
      <c r="D13" t="s">
        <v>368</v>
      </c>
      <c r="H13" s="12"/>
      <c r="I13" s="356">
        <v>-46408</v>
      </c>
      <c r="J13" s="159">
        <v>1565</v>
      </c>
      <c r="K13" s="159" t="s">
        <v>115</v>
      </c>
      <c r="L13" s="159" t="s">
        <v>115</v>
      </c>
      <c r="M13" s="159">
        <f>SUM(I13:L13)</f>
        <v>-44843</v>
      </c>
    </row>
    <row r="14" spans="1:13">
      <c r="C14" t="s">
        <v>16</v>
      </c>
      <c r="H14" s="12"/>
      <c r="I14" s="339">
        <v>-1173857</v>
      </c>
      <c r="J14" s="159">
        <v>41546</v>
      </c>
      <c r="K14" s="159">
        <v>19973</v>
      </c>
      <c r="L14" s="159">
        <v>41133</v>
      </c>
      <c r="M14" s="159">
        <f t="shared" ref="M14:M19" si="0">SUM(I14:L14)</f>
        <v>-1071205</v>
      </c>
    </row>
    <row r="15" spans="1:13">
      <c r="C15" t="s">
        <v>17</v>
      </c>
      <c r="H15" s="12"/>
      <c r="I15" s="340">
        <v>-3435814</v>
      </c>
      <c r="J15" s="159">
        <v>623808</v>
      </c>
      <c r="K15" s="159">
        <v>282155</v>
      </c>
      <c r="L15" s="159">
        <v>97500</v>
      </c>
      <c r="M15" s="159">
        <f t="shared" si="0"/>
        <v>-2432351</v>
      </c>
    </row>
    <row r="16" spans="1:13">
      <c r="C16" t="s">
        <v>19</v>
      </c>
      <c r="H16" s="12"/>
      <c r="I16" s="341">
        <v>-332568</v>
      </c>
      <c r="J16" s="159" t="s">
        <v>115</v>
      </c>
      <c r="K16" s="159">
        <v>36235</v>
      </c>
      <c r="L16" s="159">
        <v>188007</v>
      </c>
      <c r="M16" s="159">
        <f t="shared" si="0"/>
        <v>-108326</v>
      </c>
    </row>
    <row r="17" spans="1:13">
      <c r="C17" t="s">
        <v>20</v>
      </c>
      <c r="H17" s="12"/>
      <c r="I17" s="342">
        <v>-514423</v>
      </c>
      <c r="J17" s="159">
        <v>473</v>
      </c>
      <c r="K17" s="159">
        <v>32682</v>
      </c>
      <c r="L17" s="159" t="s">
        <v>115</v>
      </c>
      <c r="M17" s="159">
        <f t="shared" si="0"/>
        <v>-481268</v>
      </c>
    </row>
    <row r="18" spans="1:13">
      <c r="C18" t="s">
        <v>18</v>
      </c>
      <c r="H18" s="12"/>
      <c r="I18" s="357">
        <v>-53345</v>
      </c>
      <c r="J18" s="159" t="s">
        <v>115</v>
      </c>
      <c r="K18" s="159" t="s">
        <v>115</v>
      </c>
      <c r="L18" s="159" t="s">
        <v>115</v>
      </c>
      <c r="M18" s="159">
        <f t="shared" si="0"/>
        <v>-53345</v>
      </c>
    </row>
    <row r="19" spans="1:13">
      <c r="C19" t="s">
        <v>164</v>
      </c>
      <c r="H19" s="12"/>
      <c r="I19" s="340">
        <v>-52623</v>
      </c>
      <c r="J19" s="159" t="s">
        <v>115</v>
      </c>
      <c r="K19" s="159">
        <v>16340</v>
      </c>
      <c r="L19" s="159" t="s">
        <v>115</v>
      </c>
      <c r="M19" s="159">
        <f t="shared" si="0"/>
        <v>-36283</v>
      </c>
    </row>
    <row r="20" spans="1:13">
      <c r="C20" t="s">
        <v>36</v>
      </c>
      <c r="H20" s="12"/>
      <c r="I20" s="358">
        <v>-2692</v>
      </c>
      <c r="J20" s="159" t="s">
        <v>115</v>
      </c>
      <c r="K20" s="159" t="s">
        <v>115</v>
      </c>
      <c r="L20" s="159" t="s">
        <v>115</v>
      </c>
      <c r="M20" s="159">
        <f>SUM(I20:L20)</f>
        <v>-2692</v>
      </c>
    </row>
    <row r="21" spans="1:13">
      <c r="C21" t="s">
        <v>21</v>
      </c>
      <c r="H21" s="12"/>
      <c r="I21" s="344">
        <v>-2759</v>
      </c>
      <c r="J21" s="159" t="s">
        <v>115</v>
      </c>
      <c r="K21" s="159" t="s">
        <v>115</v>
      </c>
      <c r="L21" s="159" t="s">
        <v>115</v>
      </c>
      <c r="M21" s="159">
        <f>SUM(I21:L21)</f>
        <v>-2759</v>
      </c>
    </row>
    <row r="22" spans="1:13">
      <c r="H22" s="12"/>
      <c r="I22" s="159"/>
      <c r="J22" s="159"/>
      <c r="K22" s="159"/>
      <c r="L22" s="159"/>
      <c r="M22" s="159"/>
    </row>
    <row r="23" spans="1:13">
      <c r="E23" s="19" t="s">
        <v>22</v>
      </c>
      <c r="F23" s="19"/>
      <c r="G23" s="19"/>
      <c r="H23" s="20"/>
      <c r="I23" s="168">
        <f>SUM(I9:I21)</f>
        <v>-7091620</v>
      </c>
      <c r="J23" s="168">
        <f>SUM(J8:J19)</f>
        <v>1000741</v>
      </c>
      <c r="K23" s="168">
        <f>SUM(K8:K19)</f>
        <v>394647</v>
      </c>
      <c r="L23" s="168">
        <f>SUM(L8:L19)</f>
        <v>326640</v>
      </c>
      <c r="M23" s="169">
        <f>SUM(M9:M21)</f>
        <v>-5369592</v>
      </c>
    </row>
    <row r="24" spans="1:13">
      <c r="H24" s="12"/>
      <c r="I24" s="159"/>
      <c r="J24" s="159"/>
      <c r="K24" s="159"/>
      <c r="L24" s="159"/>
      <c r="M24" s="159"/>
    </row>
    <row r="25" spans="1:13">
      <c r="A25" s="8"/>
      <c r="B25" s="8"/>
      <c r="C25" s="8"/>
      <c r="D25" s="8"/>
      <c r="E25" s="8"/>
      <c r="G25" s="8" t="s">
        <v>25</v>
      </c>
      <c r="H25" s="26"/>
      <c r="I25" s="172"/>
      <c r="J25" s="172"/>
      <c r="K25" s="172"/>
      <c r="L25" s="172"/>
      <c r="M25" s="159"/>
    </row>
    <row r="26" spans="1:13">
      <c r="A26" s="8"/>
      <c r="B26" s="8"/>
      <c r="C26" s="8"/>
      <c r="D26" s="8"/>
      <c r="E26" s="8"/>
      <c r="G26" s="8"/>
      <c r="H26" s="80" t="s">
        <v>26</v>
      </c>
      <c r="I26" s="172"/>
      <c r="J26" s="172"/>
      <c r="K26" s="172"/>
      <c r="L26" s="172"/>
      <c r="M26" s="159"/>
    </row>
    <row r="27" spans="1:13">
      <c r="H27" s="12"/>
      <c r="I27" s="159" t="s">
        <v>369</v>
      </c>
      <c r="J27" s="159"/>
      <c r="K27" s="159"/>
      <c r="L27" s="159"/>
      <c r="M27" s="173">
        <v>5252773</v>
      </c>
    </row>
    <row r="28" spans="1:13">
      <c r="H28" s="12"/>
      <c r="I28" s="159" t="s">
        <v>370</v>
      </c>
      <c r="J28" s="159"/>
      <c r="K28" s="159"/>
      <c r="L28" s="159"/>
      <c r="M28" s="164">
        <v>131639</v>
      </c>
    </row>
    <row r="29" spans="1:13">
      <c r="H29" s="12"/>
      <c r="I29" s="159" t="s">
        <v>48</v>
      </c>
      <c r="J29" s="159"/>
      <c r="K29" s="159"/>
      <c r="L29" s="159"/>
      <c r="M29" s="213">
        <v>95978</v>
      </c>
    </row>
    <row r="30" spans="1:13">
      <c r="H30" s="12"/>
      <c r="I30" s="159" t="s">
        <v>305</v>
      </c>
      <c r="J30" s="159"/>
      <c r="K30" s="159"/>
      <c r="L30" s="159"/>
      <c r="M30" s="164">
        <v>40448</v>
      </c>
    </row>
    <row r="31" spans="1:13">
      <c r="H31" s="12"/>
      <c r="I31" s="159" t="s">
        <v>220</v>
      </c>
      <c r="J31" s="159"/>
      <c r="K31" s="159"/>
      <c r="L31" s="159"/>
      <c r="M31" s="162">
        <v>287064</v>
      </c>
    </row>
    <row r="32" spans="1:13">
      <c r="H32" s="12"/>
      <c r="I32" s="159" t="s">
        <v>106</v>
      </c>
      <c r="J32" s="159"/>
      <c r="K32" s="159"/>
      <c r="L32" s="159"/>
      <c r="M32" s="214">
        <v>200795</v>
      </c>
    </row>
    <row r="33" spans="5:13">
      <c r="H33" s="12"/>
      <c r="I33" s="159" t="s">
        <v>371</v>
      </c>
      <c r="J33" s="159"/>
      <c r="K33" s="159"/>
      <c r="L33" s="159"/>
      <c r="M33" s="214">
        <v>38954</v>
      </c>
    </row>
    <row r="34" spans="5:13">
      <c r="H34" s="12"/>
      <c r="I34" s="159" t="s">
        <v>36</v>
      </c>
      <c r="J34" s="159"/>
      <c r="K34" s="159"/>
      <c r="L34" s="159"/>
      <c r="M34" s="214">
        <v>247053</v>
      </c>
    </row>
    <row r="35" spans="5:13">
      <c r="H35" s="12"/>
      <c r="I35" s="159"/>
      <c r="J35" s="159"/>
      <c r="K35" s="159"/>
      <c r="L35" s="159"/>
      <c r="M35" s="159"/>
    </row>
    <row r="36" spans="5:13">
      <c r="H36" s="20" t="s">
        <v>38</v>
      </c>
      <c r="I36" s="168"/>
      <c r="J36" s="168"/>
      <c r="K36" s="168"/>
      <c r="L36" s="168"/>
      <c r="M36" s="168">
        <f>SUM(M27:M34)</f>
        <v>6294704</v>
      </c>
    </row>
    <row r="37" spans="5:13">
      <c r="H37" s="12"/>
      <c r="I37" s="159"/>
      <c r="J37" s="159"/>
      <c r="K37" s="159"/>
      <c r="L37" s="159"/>
      <c r="M37" s="159"/>
    </row>
    <row r="38" spans="5:13">
      <c r="H38" s="20" t="s">
        <v>39</v>
      </c>
      <c r="I38" s="168"/>
      <c r="J38" s="168"/>
      <c r="K38" s="168"/>
      <c r="L38" s="168"/>
      <c r="M38" s="168">
        <f>SUM(M23,M36)</f>
        <v>925112</v>
      </c>
    </row>
    <row r="39" spans="5:13">
      <c r="H39" s="26"/>
      <c r="I39" s="26"/>
      <c r="J39" s="26"/>
      <c r="K39" s="26"/>
      <c r="L39" s="26"/>
      <c r="M39" s="26"/>
    </row>
    <row r="40" spans="5:13">
      <c r="H40" s="26"/>
      <c r="I40" s="26"/>
      <c r="J40" s="26"/>
      <c r="K40" s="26"/>
      <c r="L40" s="26"/>
      <c r="M40" s="26"/>
    </row>
    <row r="41" spans="5:13">
      <c r="E41" s="31" t="s">
        <v>123</v>
      </c>
      <c r="F41" s="31"/>
      <c r="G41" s="31"/>
      <c r="H41" s="32"/>
      <c r="I41" s="32"/>
      <c r="J41" s="32"/>
      <c r="K41" s="32"/>
      <c r="L41" s="32"/>
      <c r="M41" s="33">
        <v>20476016</v>
      </c>
    </row>
    <row r="42" spans="5:13">
      <c r="H42" s="12"/>
      <c r="I42" s="12"/>
      <c r="J42" s="12"/>
      <c r="K42" s="12"/>
      <c r="L42" s="12"/>
      <c r="M42" s="12"/>
    </row>
    <row r="43" spans="5:13">
      <c r="E43" s="34" t="s">
        <v>124</v>
      </c>
      <c r="F43" s="34"/>
      <c r="G43" s="34"/>
      <c r="H43" s="35"/>
      <c r="I43" s="35"/>
      <c r="J43" s="35"/>
      <c r="K43" s="35"/>
      <c r="L43" s="35"/>
      <c r="M43" s="83">
        <v>21401128</v>
      </c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7"/>
  <sheetViews>
    <sheetView workbookViewId="0">
      <selection activeCell="G15" sqref="G15"/>
    </sheetView>
  </sheetViews>
  <sheetFormatPr defaultColWidth="8.85546875" defaultRowHeight="15"/>
  <cols>
    <col min="1" max="1" width="4.7109375" customWidth="1"/>
    <col min="2" max="2" width="5.28515625" customWidth="1"/>
    <col min="3" max="3" width="14" customWidth="1"/>
    <col min="4" max="4" width="11.7109375" customWidth="1"/>
    <col min="5" max="5" width="10.140625" customWidth="1"/>
    <col min="6" max="6" width="5.85546875" customWidth="1"/>
    <col min="7" max="7" width="15.85546875" customWidth="1"/>
    <col min="8" max="8" width="12.42578125" customWidth="1"/>
    <col min="9" max="9" width="24" customWidth="1"/>
    <col min="10" max="10" width="13.85546875" customWidth="1"/>
    <col min="11" max="11" width="14.42578125" customWidth="1"/>
  </cols>
  <sheetData>
    <row r="1" spans="1:11" ht="23.25" customHeight="1">
      <c r="A1" s="216"/>
      <c r="F1" s="533" t="s">
        <v>372</v>
      </c>
      <c r="G1" s="533"/>
      <c r="H1" s="533"/>
      <c r="I1" s="533"/>
    </row>
    <row r="2" spans="1:11" ht="18.75" customHeight="1">
      <c r="A2" s="216"/>
      <c r="F2" s="534" t="s">
        <v>1</v>
      </c>
      <c r="G2" s="534"/>
      <c r="H2" s="534"/>
      <c r="I2" s="534"/>
    </row>
    <row r="3" spans="1:11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6"/>
    </row>
    <row r="4" spans="1:11" ht="18.75">
      <c r="A4" s="216"/>
      <c r="B4" s="216"/>
      <c r="C4" s="216"/>
      <c r="D4" s="218"/>
      <c r="E4" s="216"/>
      <c r="F4" s="216"/>
      <c r="G4" s="216"/>
      <c r="H4" s="216"/>
      <c r="I4" s="216"/>
      <c r="J4" s="216"/>
      <c r="K4" s="442"/>
    </row>
    <row r="5" spans="1:11" ht="15" customHeight="1">
      <c r="A5" s="216"/>
      <c r="B5" s="211"/>
      <c r="C5" s="211"/>
      <c r="D5" s="211"/>
      <c r="E5" s="211"/>
      <c r="F5" s="211"/>
      <c r="G5" s="211"/>
      <c r="H5" s="527" t="s">
        <v>4</v>
      </c>
      <c r="I5" s="527"/>
      <c r="J5" s="527"/>
      <c r="K5" s="436"/>
    </row>
    <row r="6" spans="1:11" ht="44.25" customHeight="1">
      <c r="A6" s="255" t="s">
        <v>6</v>
      </c>
      <c r="B6" s="219"/>
      <c r="C6" s="219"/>
      <c r="D6" s="219"/>
      <c r="E6" s="219"/>
      <c r="F6" s="219"/>
      <c r="G6" s="220" t="s">
        <v>7</v>
      </c>
      <c r="H6" s="220" t="s">
        <v>8</v>
      </c>
      <c r="I6" s="220" t="s">
        <v>9</v>
      </c>
      <c r="J6" s="220" t="s">
        <v>10</v>
      </c>
      <c r="K6" s="221" t="s">
        <v>57</v>
      </c>
    </row>
    <row r="7" spans="1:11" ht="17.25" customHeight="1">
      <c r="A7" s="259" t="s">
        <v>373</v>
      </c>
      <c r="B7" s="258"/>
      <c r="C7" s="258"/>
      <c r="D7" s="258"/>
      <c r="E7" s="258"/>
      <c r="F7" s="258"/>
      <c r="G7" s="260"/>
      <c r="H7" s="260"/>
      <c r="I7" s="260"/>
      <c r="J7" s="260"/>
      <c r="K7" s="261"/>
    </row>
    <row r="8" spans="1:11">
      <c r="A8" s="258"/>
      <c r="B8" s="258" t="s">
        <v>15</v>
      </c>
      <c r="C8" s="258"/>
      <c r="D8" s="258"/>
      <c r="E8" s="258"/>
      <c r="F8" s="262"/>
      <c r="G8" s="262"/>
      <c r="H8" s="262"/>
      <c r="I8" s="262"/>
      <c r="J8" s="262"/>
      <c r="K8" s="262"/>
    </row>
    <row r="9" spans="1:11">
      <c r="A9" s="258"/>
      <c r="B9" s="258"/>
      <c r="C9" s="258" t="s">
        <v>61</v>
      </c>
      <c r="D9" s="258"/>
      <c r="E9" s="258"/>
      <c r="F9" s="258"/>
      <c r="G9" s="263">
        <v>-80788</v>
      </c>
      <c r="H9" s="262"/>
      <c r="I9" s="262"/>
      <c r="J9" s="262"/>
      <c r="K9" s="262">
        <f t="shared" ref="K9:K18" si="0">SUM(G9:J9)</f>
        <v>-80788</v>
      </c>
    </row>
    <row r="10" spans="1:11">
      <c r="A10" s="258"/>
      <c r="B10" s="258"/>
      <c r="C10" s="258" t="s">
        <v>62</v>
      </c>
      <c r="D10" s="258"/>
      <c r="E10" s="258"/>
      <c r="F10" s="258"/>
      <c r="G10" s="264">
        <v>-762402</v>
      </c>
      <c r="H10" s="262">
        <v>173972</v>
      </c>
      <c r="I10" s="262">
        <v>192098</v>
      </c>
      <c r="J10" s="262"/>
      <c r="K10" s="262">
        <f t="shared" si="0"/>
        <v>-396332</v>
      </c>
    </row>
    <row r="11" spans="1:11">
      <c r="A11" s="258"/>
      <c r="B11" s="258"/>
      <c r="C11" s="258" t="s">
        <v>63</v>
      </c>
      <c r="D11" s="258"/>
      <c r="E11" s="258"/>
      <c r="F11" s="258"/>
      <c r="G11" s="265">
        <v>-51542</v>
      </c>
      <c r="H11" s="262"/>
      <c r="I11" s="262"/>
      <c r="J11" s="262"/>
      <c r="K11" s="262">
        <f t="shared" si="0"/>
        <v>-51542</v>
      </c>
    </row>
    <row r="12" spans="1:11" ht="18.75" customHeight="1">
      <c r="A12" s="258"/>
      <c r="B12" s="258"/>
      <c r="C12" s="258" t="s">
        <v>64</v>
      </c>
      <c r="D12" s="258"/>
      <c r="E12" s="258"/>
      <c r="F12" s="258"/>
      <c r="G12" s="266">
        <v>-129825</v>
      </c>
      <c r="H12" s="262">
        <v>241885</v>
      </c>
      <c r="I12" s="262"/>
      <c r="J12" s="262"/>
      <c r="K12" s="262">
        <f t="shared" si="0"/>
        <v>112060</v>
      </c>
    </row>
    <row r="13" spans="1:11">
      <c r="A13" s="258"/>
      <c r="B13" s="258"/>
      <c r="C13" s="258" t="s">
        <v>32</v>
      </c>
      <c r="D13" s="258"/>
      <c r="E13" s="258"/>
      <c r="F13" s="258"/>
      <c r="G13" s="267">
        <v>-60557</v>
      </c>
      <c r="H13" s="262"/>
      <c r="I13" s="262"/>
      <c r="J13" s="262"/>
      <c r="K13" s="262">
        <f t="shared" si="0"/>
        <v>-60557</v>
      </c>
    </row>
    <row r="14" spans="1:11">
      <c r="A14" s="258"/>
      <c r="B14" s="258" t="s">
        <v>16</v>
      </c>
      <c r="C14" s="258"/>
      <c r="D14" s="258"/>
      <c r="E14" s="258"/>
      <c r="F14" s="262"/>
      <c r="G14" s="268">
        <v>-646127</v>
      </c>
      <c r="H14" s="262"/>
      <c r="I14" s="262"/>
      <c r="J14" s="262"/>
      <c r="K14" s="262">
        <f t="shared" si="0"/>
        <v>-646127</v>
      </c>
    </row>
    <row r="15" spans="1:11">
      <c r="A15" s="258"/>
      <c r="B15" s="258" t="s">
        <v>17</v>
      </c>
      <c r="C15" s="258"/>
      <c r="D15" s="258"/>
      <c r="E15" s="258"/>
      <c r="F15" s="262"/>
      <c r="G15" s="269">
        <v>-3053752</v>
      </c>
      <c r="H15" s="262">
        <v>109794</v>
      </c>
      <c r="I15" s="262">
        <v>60000</v>
      </c>
      <c r="J15" s="262">
        <v>95043</v>
      </c>
      <c r="K15" s="262">
        <f t="shared" si="0"/>
        <v>-2788915</v>
      </c>
    </row>
    <row r="16" spans="1:11">
      <c r="A16" s="258"/>
      <c r="B16" s="258" t="s">
        <v>374</v>
      </c>
      <c r="C16" s="258"/>
      <c r="D16" s="258"/>
      <c r="E16" s="258"/>
      <c r="F16" s="262"/>
      <c r="G16" s="270">
        <v>-331031</v>
      </c>
      <c r="H16" s="262">
        <v>9100</v>
      </c>
      <c r="I16" s="262"/>
      <c r="J16" s="262"/>
      <c r="K16" s="262">
        <f t="shared" si="0"/>
        <v>-321931</v>
      </c>
    </row>
    <row r="17" spans="1:11">
      <c r="A17" s="258"/>
      <c r="B17" s="258" t="s">
        <v>19</v>
      </c>
      <c r="C17" s="258"/>
      <c r="D17" s="258"/>
      <c r="E17" s="258"/>
      <c r="F17" s="262"/>
      <c r="G17" s="271">
        <v>-338186</v>
      </c>
      <c r="H17" s="262"/>
      <c r="I17" s="262"/>
      <c r="J17" s="262"/>
      <c r="K17" s="262">
        <f t="shared" si="0"/>
        <v>-338186</v>
      </c>
    </row>
    <row r="18" spans="1:11">
      <c r="A18" s="258"/>
      <c r="B18" s="258" t="s">
        <v>18</v>
      </c>
      <c r="C18" s="258"/>
      <c r="D18" s="258"/>
      <c r="E18" s="258"/>
      <c r="F18" s="262"/>
      <c r="G18" s="272">
        <v>-1155027</v>
      </c>
      <c r="H18" s="262"/>
      <c r="I18" s="262"/>
      <c r="J18" s="262"/>
      <c r="K18" s="262">
        <f t="shared" si="0"/>
        <v>-1155027</v>
      </c>
    </row>
    <row r="19" spans="1:11">
      <c r="A19" s="258"/>
      <c r="B19" s="258"/>
      <c r="C19" s="258"/>
      <c r="D19" s="258"/>
      <c r="E19" s="258"/>
      <c r="F19" s="262"/>
      <c r="G19" s="262"/>
      <c r="H19" s="262"/>
      <c r="I19" s="262"/>
      <c r="J19" s="262"/>
      <c r="K19" s="262"/>
    </row>
    <row r="20" spans="1:11" ht="17.25" customHeight="1">
      <c r="A20" s="258"/>
      <c r="B20" s="258"/>
      <c r="C20" s="258"/>
      <c r="D20" s="256" t="s">
        <v>22</v>
      </c>
      <c r="E20" s="273"/>
      <c r="F20" s="274"/>
      <c r="G20" s="274">
        <f>SUM(G9:G18)</f>
        <v>-6609237</v>
      </c>
      <c r="H20" s="275">
        <f>SUM(H9:H18)</f>
        <v>534751</v>
      </c>
      <c r="I20" s="274">
        <f>SUM(I9:I18)</f>
        <v>252098</v>
      </c>
      <c r="J20" s="274">
        <f>SUM(J8:J18)</f>
        <v>95043</v>
      </c>
      <c r="K20" s="275">
        <f>SUM(K8:K18)</f>
        <v>-5727345</v>
      </c>
    </row>
    <row r="21" spans="1:11">
      <c r="A21" s="258"/>
      <c r="B21" s="258"/>
      <c r="C21" s="258"/>
      <c r="D21" s="258"/>
      <c r="E21" s="258"/>
      <c r="F21" s="262"/>
      <c r="G21" s="262"/>
      <c r="H21" s="262"/>
      <c r="I21" s="262"/>
      <c r="J21" s="262"/>
      <c r="K21" s="262"/>
    </row>
    <row r="22" spans="1:11">
      <c r="A22" s="276"/>
      <c r="B22" s="276"/>
      <c r="C22" s="276"/>
      <c r="D22" s="276"/>
      <c r="E22" s="276" t="s">
        <v>25</v>
      </c>
      <c r="F22" s="277"/>
      <c r="G22" s="277"/>
      <c r="H22" s="277"/>
      <c r="I22" s="277"/>
      <c r="J22" s="277"/>
      <c r="K22" s="262"/>
    </row>
    <row r="23" spans="1:11">
      <c r="A23" s="258"/>
      <c r="B23" s="258"/>
      <c r="C23" s="258"/>
      <c r="D23" s="258"/>
      <c r="E23" s="258"/>
      <c r="F23" s="262" t="s">
        <v>375</v>
      </c>
      <c r="G23" s="262"/>
      <c r="H23" s="262"/>
      <c r="I23" s="262"/>
      <c r="J23" s="262"/>
      <c r="K23" s="278">
        <v>3928605</v>
      </c>
    </row>
    <row r="24" spans="1:11" ht="15" customHeight="1">
      <c r="A24" s="258"/>
      <c r="B24" s="258"/>
      <c r="C24" s="258"/>
      <c r="D24" s="258"/>
      <c r="E24" s="258"/>
      <c r="F24" s="262" t="s">
        <v>349</v>
      </c>
      <c r="G24" s="262"/>
      <c r="H24" s="262"/>
      <c r="I24" s="262"/>
      <c r="J24" s="262"/>
      <c r="K24" s="279">
        <v>1793050</v>
      </c>
    </row>
    <row r="25" spans="1:11" ht="15" customHeight="1">
      <c r="A25" s="258"/>
      <c r="B25" s="258"/>
      <c r="C25" s="258"/>
      <c r="D25" s="258"/>
      <c r="E25" s="258"/>
      <c r="F25" s="262" t="s">
        <v>376</v>
      </c>
      <c r="G25" s="262"/>
      <c r="H25" s="262"/>
      <c r="I25" s="262"/>
      <c r="J25" s="262"/>
      <c r="K25" s="377">
        <v>47801</v>
      </c>
    </row>
    <row r="26" spans="1:11" ht="14.25" customHeight="1">
      <c r="A26" s="258"/>
      <c r="B26" s="258"/>
      <c r="C26" s="258"/>
      <c r="D26" s="258"/>
      <c r="E26" s="258"/>
      <c r="F26" s="262" t="s">
        <v>377</v>
      </c>
      <c r="G26" s="262"/>
      <c r="H26" s="262"/>
      <c r="I26" s="262"/>
      <c r="J26" s="262"/>
      <c r="K26" s="262"/>
    </row>
    <row r="27" spans="1:11">
      <c r="A27" s="258"/>
      <c r="B27" s="258"/>
      <c r="C27" s="258"/>
      <c r="D27" s="258"/>
      <c r="E27" s="258"/>
      <c r="F27" s="262"/>
      <c r="G27" s="262" t="s">
        <v>188</v>
      </c>
      <c r="H27" s="262"/>
      <c r="I27" s="262"/>
      <c r="J27" s="262"/>
      <c r="K27" s="280">
        <v>39339</v>
      </c>
    </row>
    <row r="28" spans="1:11">
      <c r="A28" s="258"/>
      <c r="B28" s="258"/>
      <c r="C28" s="258"/>
      <c r="D28" s="258"/>
      <c r="E28" s="258"/>
      <c r="F28" s="262"/>
      <c r="G28" s="262"/>
      <c r="H28" s="262"/>
      <c r="I28" s="262"/>
      <c r="J28" s="262"/>
      <c r="K28" s="262"/>
    </row>
    <row r="29" spans="1:11" ht="12.75" customHeight="1">
      <c r="A29" s="258"/>
      <c r="B29" s="258"/>
      <c r="C29" s="258"/>
      <c r="D29" s="258"/>
      <c r="E29" s="258"/>
      <c r="F29" s="274" t="s">
        <v>378</v>
      </c>
      <c r="G29" s="274"/>
      <c r="H29" s="274"/>
      <c r="I29" s="274"/>
      <c r="J29" s="274"/>
      <c r="K29" s="274">
        <f>SUM(K23:K27)</f>
        <v>5808795</v>
      </c>
    </row>
    <row r="30" spans="1:11" ht="13.5" customHeight="1">
      <c r="A30" s="258"/>
      <c r="B30" s="258"/>
      <c r="C30" s="258"/>
      <c r="D30" s="258"/>
      <c r="E30" s="258"/>
      <c r="F30" s="262"/>
      <c r="G30" s="262"/>
      <c r="H30" s="262"/>
      <c r="I30" s="262"/>
      <c r="J30" s="262"/>
      <c r="K30" s="262"/>
    </row>
    <row r="31" spans="1:11" ht="14.25" customHeight="1">
      <c r="A31" s="258"/>
      <c r="B31" s="258"/>
      <c r="C31" s="258"/>
      <c r="D31" s="258"/>
      <c r="E31" s="258"/>
      <c r="F31" s="274" t="s">
        <v>379</v>
      </c>
      <c r="G31" s="274"/>
      <c r="H31" s="274"/>
      <c r="I31" s="274"/>
      <c r="J31" s="274"/>
      <c r="K31" s="274">
        <f>K20+K29</f>
        <v>81450</v>
      </c>
    </row>
    <row r="32" spans="1:11">
      <c r="A32" s="258"/>
      <c r="B32" s="258"/>
      <c r="C32" s="258"/>
      <c r="D32" s="258"/>
      <c r="E32" s="258"/>
      <c r="F32" s="277"/>
      <c r="G32" s="277"/>
      <c r="H32" s="277"/>
      <c r="I32" s="277"/>
      <c r="J32" s="277"/>
      <c r="K32" s="277"/>
    </row>
    <row r="33" spans="1:11" ht="17.25" customHeight="1">
      <c r="A33" s="258"/>
      <c r="B33" s="258"/>
      <c r="C33" s="258"/>
      <c r="D33" s="281" t="s">
        <v>380</v>
      </c>
      <c r="E33" s="281"/>
      <c r="F33" s="282"/>
      <c r="G33" s="282"/>
      <c r="H33" s="282"/>
      <c r="I33" s="282"/>
      <c r="J33" s="282"/>
      <c r="K33" s="283">
        <v>15871012</v>
      </c>
    </row>
    <row r="34" spans="1:11">
      <c r="A34" s="284"/>
      <c r="B34" s="284"/>
      <c r="C34" s="284"/>
      <c r="D34" s="284"/>
      <c r="E34" s="284"/>
      <c r="F34" s="254"/>
      <c r="G34" s="254"/>
      <c r="H34" s="254"/>
      <c r="I34" s="254"/>
      <c r="J34" s="254"/>
      <c r="K34" s="254"/>
    </row>
    <row r="35" spans="1:11" ht="14.25" customHeight="1">
      <c r="A35" s="284"/>
      <c r="B35" s="284"/>
      <c r="C35" s="284"/>
      <c r="D35" s="284"/>
      <c r="E35" s="284"/>
      <c r="F35" s="285" t="s">
        <v>144</v>
      </c>
      <c r="G35" s="285"/>
      <c r="H35" s="285"/>
      <c r="I35" s="285"/>
      <c r="J35" s="285"/>
      <c r="K35" s="285">
        <v>13314</v>
      </c>
    </row>
    <row r="36" spans="1:11">
      <c r="A36" s="284"/>
      <c r="B36" s="284"/>
      <c r="C36" s="284"/>
      <c r="D36" s="284"/>
      <c r="E36" s="284"/>
      <c r="F36" s="254"/>
      <c r="G36" s="254"/>
      <c r="H36" s="254"/>
      <c r="I36" s="254"/>
      <c r="J36" s="254"/>
      <c r="K36" s="254"/>
    </row>
    <row r="37" spans="1:11" ht="15" customHeight="1">
      <c r="A37" s="284"/>
      <c r="B37" s="284"/>
      <c r="C37" s="284"/>
      <c r="D37" s="286" t="s">
        <v>381</v>
      </c>
      <c r="E37" s="286"/>
      <c r="F37" s="287"/>
      <c r="G37" s="287"/>
      <c r="H37" s="287"/>
      <c r="I37" s="287"/>
      <c r="J37" s="288"/>
      <c r="K37" s="288">
        <f>SUM(K31:K35)</f>
        <v>15965776</v>
      </c>
    </row>
  </sheetData>
  <mergeCells count="3">
    <mergeCell ref="H5:J5"/>
    <mergeCell ref="F1:I1"/>
    <mergeCell ref="F2:I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1"/>
  <sheetViews>
    <sheetView topLeftCell="A12" zoomScale="70" zoomScaleNormal="70" workbookViewId="0">
      <selection activeCell="J29" sqref="J29"/>
    </sheetView>
  </sheetViews>
  <sheetFormatPr defaultColWidth="8.85546875" defaultRowHeight="15"/>
  <cols>
    <col min="1" max="1" width="7.42578125" customWidth="1"/>
    <col min="2" max="2" width="8.85546875" customWidth="1"/>
    <col min="3" max="3" width="11.28515625" customWidth="1"/>
    <col min="5" max="5" width="9.7109375" customWidth="1"/>
    <col min="6" max="6" width="10.140625" customWidth="1"/>
    <col min="7" max="7" width="8.140625" customWidth="1"/>
    <col min="8" max="8" width="19.85546875" customWidth="1"/>
    <col min="9" max="9" width="16.42578125" customWidth="1"/>
    <col min="10" max="10" width="18.140625" customWidth="1"/>
    <col min="11" max="11" width="14.140625" customWidth="1"/>
    <col min="12" max="12" width="30.42578125" customWidth="1"/>
    <col min="13" max="13" width="21.5703125" customWidth="1"/>
  </cols>
  <sheetData>
    <row r="1" spans="1:13" ht="23.25" customHeight="1">
      <c r="I1" s="520" t="s">
        <v>382</v>
      </c>
      <c r="J1" s="520"/>
      <c r="K1" s="520"/>
      <c r="L1" s="520"/>
      <c r="M1" s="419"/>
    </row>
    <row r="2" spans="1:13" ht="18.75" customHeight="1">
      <c r="I2" s="521" t="s">
        <v>1</v>
      </c>
      <c r="J2" s="521"/>
      <c r="K2" s="521"/>
      <c r="L2" s="521"/>
      <c r="M2" s="420"/>
    </row>
    <row r="3" spans="1:13" ht="15.75">
      <c r="E3" s="3"/>
      <c r="F3" s="3"/>
      <c r="G3" s="3"/>
      <c r="H3" s="3"/>
      <c r="I3" s="3"/>
      <c r="J3" s="3"/>
      <c r="K3" s="3"/>
    </row>
    <row r="4" spans="1:13" ht="29.25" customHeight="1">
      <c r="E4" s="2"/>
    </row>
    <row r="5" spans="1:13" ht="37.5" customHeight="1">
      <c r="A5" t="s">
        <v>3</v>
      </c>
      <c r="C5" s="4"/>
      <c r="D5" s="4"/>
      <c r="E5" s="4"/>
      <c r="F5" s="4"/>
      <c r="G5" s="4"/>
      <c r="H5" s="4"/>
      <c r="I5" s="522" t="s">
        <v>4</v>
      </c>
      <c r="J5" s="522"/>
      <c r="K5" s="522"/>
      <c r="L5" s="522" t="s">
        <v>208</v>
      </c>
      <c r="M5" s="522"/>
    </row>
    <row r="6" spans="1:13" ht="49.5" customHeight="1">
      <c r="A6" s="5" t="s">
        <v>209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58</v>
      </c>
      <c r="M6" s="6" t="s">
        <v>59</v>
      </c>
    </row>
    <row r="7" spans="1:13" ht="15.75" customHeight="1">
      <c r="B7" s="10" t="s">
        <v>14</v>
      </c>
      <c r="H7" s="9"/>
      <c r="I7" s="9"/>
      <c r="J7" s="9"/>
      <c r="K7" s="9"/>
      <c r="L7" s="9"/>
      <c r="M7" s="9"/>
    </row>
    <row r="8" spans="1:13" ht="15.75" customHeight="1">
      <c r="B8" s="10"/>
      <c r="C8" t="s">
        <v>60</v>
      </c>
      <c r="H8" s="176">
        <v>-1644326</v>
      </c>
      <c r="I8" s="9">
        <v>4</v>
      </c>
      <c r="J8" s="9">
        <v>479189</v>
      </c>
      <c r="K8" s="9" t="s">
        <v>115</v>
      </c>
      <c r="L8" s="9">
        <f>SUM(H8:K8)</f>
        <v>-1165133</v>
      </c>
      <c r="M8" s="9">
        <f>L8</f>
        <v>-1165133</v>
      </c>
    </row>
    <row r="9" spans="1:13">
      <c r="C9" t="s">
        <v>16</v>
      </c>
      <c r="G9" s="12"/>
      <c r="H9" s="13">
        <v>-2155560</v>
      </c>
      <c r="I9" s="12">
        <v>104295</v>
      </c>
      <c r="J9" s="12">
        <v>425337</v>
      </c>
      <c r="K9" s="12" t="s">
        <v>115</v>
      </c>
      <c r="L9" s="9">
        <f t="shared" ref="L9:L13" si="0">SUM(H9:K9)</f>
        <v>-1625928</v>
      </c>
      <c r="M9" s="9">
        <f>L9</f>
        <v>-1625928</v>
      </c>
    </row>
    <row r="10" spans="1:13" ht="17.25" customHeight="1">
      <c r="C10" t="s">
        <v>17</v>
      </c>
      <c r="G10" s="12"/>
      <c r="H10" s="269">
        <v>-4689987</v>
      </c>
      <c r="I10" s="12">
        <v>39938</v>
      </c>
      <c r="J10" s="12">
        <v>867840</v>
      </c>
      <c r="K10" s="12">
        <v>168425</v>
      </c>
      <c r="L10" s="9">
        <f t="shared" si="0"/>
        <v>-3613784</v>
      </c>
      <c r="M10" s="9">
        <f>L10</f>
        <v>-3613784</v>
      </c>
    </row>
    <row r="11" spans="1:13">
      <c r="C11" t="s">
        <v>19</v>
      </c>
      <c r="G11" s="12"/>
      <c r="H11" s="15">
        <v>-4867676</v>
      </c>
      <c r="I11" s="12" t="s">
        <v>115</v>
      </c>
      <c r="J11" s="12">
        <v>2813454</v>
      </c>
      <c r="K11" s="12" t="s">
        <v>115</v>
      </c>
      <c r="L11" s="9">
        <f t="shared" si="0"/>
        <v>-2054222</v>
      </c>
      <c r="M11" s="9">
        <f>L11</f>
        <v>-2054222</v>
      </c>
    </row>
    <row r="12" spans="1:13" ht="15" customHeight="1">
      <c r="C12" t="s">
        <v>383</v>
      </c>
      <c r="G12" s="12"/>
      <c r="H12" s="519">
        <v>-1902369</v>
      </c>
      <c r="I12" s="12">
        <v>22695</v>
      </c>
      <c r="J12" s="12">
        <v>25845</v>
      </c>
      <c r="K12" s="12" t="s">
        <v>115</v>
      </c>
      <c r="L12" s="9">
        <f t="shared" si="0"/>
        <v>-1853829</v>
      </c>
      <c r="M12" s="9">
        <f>L12</f>
        <v>-1853829</v>
      </c>
    </row>
    <row r="13" spans="1:13" ht="16.5" customHeight="1">
      <c r="C13" t="s">
        <v>148</v>
      </c>
      <c r="G13" s="12"/>
      <c r="H13" s="92">
        <v>-16405</v>
      </c>
      <c r="I13" s="12"/>
      <c r="J13" s="12">
        <v>8437</v>
      </c>
      <c r="K13" s="12"/>
      <c r="L13" s="9">
        <f t="shared" si="0"/>
        <v>-7968</v>
      </c>
      <c r="M13" s="9">
        <f>L13</f>
        <v>-7968</v>
      </c>
    </row>
    <row r="14" spans="1:13" ht="14.25" customHeight="1">
      <c r="G14" s="12"/>
      <c r="H14" s="12"/>
      <c r="I14" s="12"/>
      <c r="J14" s="12"/>
      <c r="K14" s="12"/>
      <c r="L14" s="12"/>
      <c r="M14" s="9"/>
    </row>
    <row r="15" spans="1:13">
      <c r="E15" s="19" t="s">
        <v>11</v>
      </c>
      <c r="F15" s="19"/>
      <c r="G15" s="20"/>
      <c r="H15" s="227">
        <f>SUM(H8:H13)</f>
        <v>-15276323</v>
      </c>
      <c r="I15" s="227">
        <f t="shared" ref="I15:L15" si="1">SUM(I8:I13)</f>
        <v>166932</v>
      </c>
      <c r="J15" s="227">
        <f t="shared" si="1"/>
        <v>4620102</v>
      </c>
      <c r="K15" s="227">
        <f t="shared" si="1"/>
        <v>168425</v>
      </c>
      <c r="L15" s="227">
        <f t="shared" si="1"/>
        <v>-10320864</v>
      </c>
      <c r="M15" s="227">
        <f>SUM(M8:M13)</f>
        <v>-10320864</v>
      </c>
    </row>
    <row r="16" spans="1:13">
      <c r="G16" s="12"/>
      <c r="H16" s="12"/>
      <c r="I16" s="12"/>
      <c r="J16" s="12"/>
      <c r="K16" s="12"/>
      <c r="L16" s="12"/>
      <c r="M16" s="12"/>
    </row>
    <row r="17" spans="1:13" ht="15.75" customHeight="1">
      <c r="A17" s="8"/>
      <c r="B17" s="8"/>
      <c r="C17" s="8"/>
      <c r="D17" s="8"/>
      <c r="E17" s="8"/>
      <c r="F17" s="8" t="s">
        <v>25</v>
      </c>
      <c r="G17" s="26"/>
      <c r="H17" s="26"/>
      <c r="I17" s="26"/>
      <c r="J17" s="26"/>
      <c r="K17" s="26"/>
      <c r="L17" s="12"/>
      <c r="M17" s="12"/>
    </row>
    <row r="18" spans="1:13">
      <c r="A18" s="8"/>
      <c r="B18" s="8"/>
      <c r="C18" s="8"/>
      <c r="D18" s="8"/>
      <c r="E18" s="8"/>
      <c r="F18" s="8"/>
      <c r="G18" s="80" t="s">
        <v>26</v>
      </c>
      <c r="H18" s="26"/>
      <c r="I18" s="26"/>
      <c r="J18" s="26"/>
      <c r="K18" s="26"/>
      <c r="L18" s="12"/>
      <c r="M18" s="12"/>
    </row>
    <row r="19" spans="1:13">
      <c r="G19" s="12"/>
      <c r="H19" s="12" t="s">
        <v>384</v>
      </c>
      <c r="I19" s="12"/>
      <c r="J19" s="12"/>
      <c r="K19" s="12"/>
      <c r="L19" s="28">
        <v>6071458</v>
      </c>
      <c r="M19" s="12">
        <f>SUM(L19:L19)</f>
        <v>6071458</v>
      </c>
    </row>
    <row r="20" spans="1:13">
      <c r="G20" s="12"/>
      <c r="H20" s="12" t="s">
        <v>385</v>
      </c>
      <c r="I20" s="12"/>
      <c r="J20" s="12"/>
      <c r="K20" s="12"/>
      <c r="L20" s="14">
        <v>2268292</v>
      </c>
      <c r="M20" s="12">
        <f>SUM(L20:L20)</f>
        <v>2268292</v>
      </c>
    </row>
    <row r="21" spans="1:13">
      <c r="G21" s="12" t="s">
        <v>386</v>
      </c>
      <c r="H21" s="12"/>
      <c r="I21" s="12"/>
      <c r="J21" s="12"/>
      <c r="K21" s="12"/>
      <c r="L21" s="29">
        <v>396358</v>
      </c>
      <c r="M21" s="12">
        <f>SUM(L21:L21)</f>
        <v>396358</v>
      </c>
    </row>
    <row r="22" spans="1:13">
      <c r="G22" s="12" t="s">
        <v>205</v>
      </c>
      <c r="H22" s="12"/>
      <c r="I22" s="12"/>
      <c r="J22" s="12"/>
      <c r="K22" s="12"/>
      <c r="L22" s="29">
        <v>13789</v>
      </c>
      <c r="M22" s="12">
        <f>SUM(L22:L22)</f>
        <v>13789</v>
      </c>
    </row>
    <row r="23" spans="1:13">
      <c r="G23" s="12" t="s">
        <v>36</v>
      </c>
      <c r="H23" s="12"/>
      <c r="I23" s="12"/>
      <c r="J23" s="12"/>
      <c r="K23" s="12"/>
      <c r="L23" s="29">
        <v>1387422</v>
      </c>
      <c r="M23" s="12">
        <f>SUM(L23:L23)</f>
        <v>1387422</v>
      </c>
    </row>
    <row r="24" spans="1:13">
      <c r="G24" s="12"/>
      <c r="H24" s="12"/>
      <c r="I24" s="12"/>
      <c r="J24" s="12"/>
      <c r="K24" s="12"/>
      <c r="L24" s="208"/>
      <c r="M24" s="208"/>
    </row>
    <row r="25" spans="1:13">
      <c r="G25" s="20" t="s">
        <v>223</v>
      </c>
      <c r="H25" s="20"/>
      <c r="I25" s="20"/>
      <c r="J25" s="20"/>
      <c r="K25" s="20"/>
      <c r="L25" s="20">
        <f>SUM(L19:L23)</f>
        <v>10137319</v>
      </c>
      <c r="M25" s="20">
        <f>SUM(M19:M23)</f>
        <v>10137319</v>
      </c>
    </row>
    <row r="26" spans="1:13">
      <c r="G26" s="12"/>
      <c r="H26" s="12"/>
      <c r="I26" s="12"/>
      <c r="J26" s="12"/>
      <c r="K26" s="12"/>
      <c r="L26" s="12"/>
      <c r="M26" s="12"/>
    </row>
    <row r="27" spans="1:13">
      <c r="G27" s="20" t="s">
        <v>53</v>
      </c>
      <c r="H27" s="20"/>
      <c r="I27" s="20"/>
      <c r="J27" s="20"/>
      <c r="K27" s="20"/>
      <c r="L27" s="20">
        <f>L25+L15</f>
        <v>-183545</v>
      </c>
      <c r="M27" s="20">
        <f>M25+M15</f>
        <v>-183545</v>
      </c>
    </row>
    <row r="28" spans="1:13">
      <c r="G28" s="26"/>
      <c r="H28" s="26"/>
      <c r="I28" s="26"/>
      <c r="J28" s="26"/>
      <c r="K28" s="26"/>
      <c r="L28" s="26"/>
      <c r="M28" s="26"/>
    </row>
    <row r="29" spans="1:13">
      <c r="E29" s="31" t="s">
        <v>387</v>
      </c>
      <c r="F29" s="31"/>
      <c r="G29" s="32"/>
      <c r="H29" s="32"/>
      <c r="I29" s="32"/>
      <c r="J29" s="32"/>
      <c r="K29" s="32"/>
      <c r="L29" s="33">
        <v>57279035</v>
      </c>
      <c r="M29" s="33">
        <f>SUM(L29:L29)</f>
        <v>57279035</v>
      </c>
    </row>
    <row r="30" spans="1:13">
      <c r="G30" s="12"/>
      <c r="H30" s="12"/>
      <c r="I30" s="12"/>
      <c r="J30" s="12"/>
      <c r="K30" s="12"/>
      <c r="L30" s="12"/>
      <c r="M30" s="12"/>
    </row>
    <row r="31" spans="1:13">
      <c r="E31" s="34" t="s">
        <v>388</v>
      </c>
      <c r="F31" s="34"/>
      <c r="G31" s="35"/>
      <c r="H31" s="35"/>
      <c r="I31" s="35"/>
      <c r="J31" s="35"/>
      <c r="K31" s="35"/>
      <c r="L31" s="83">
        <f>SUM(L27,L29)</f>
        <v>57095490</v>
      </c>
      <c r="M31" s="83">
        <f>M29+M27</f>
        <v>57095490</v>
      </c>
    </row>
  </sheetData>
  <mergeCells count="4">
    <mergeCell ref="I1:L1"/>
    <mergeCell ref="I2:L2"/>
    <mergeCell ref="I5:K5"/>
    <mergeCell ref="L5:M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0"/>
  <sheetViews>
    <sheetView workbookViewId="0">
      <selection activeCell="G20" sqref="G20"/>
    </sheetView>
  </sheetViews>
  <sheetFormatPr defaultColWidth="8.85546875" defaultRowHeight="15"/>
  <cols>
    <col min="1" max="1" width="7.42578125" customWidth="1"/>
    <col min="2" max="2" width="8.85546875" customWidth="1"/>
    <col min="3" max="3" width="11.28515625" customWidth="1"/>
    <col min="5" max="5" width="5.140625" customWidth="1"/>
    <col min="6" max="6" width="6" customWidth="1"/>
    <col min="7" max="7" width="8.140625" customWidth="1"/>
    <col min="8" max="8" width="14.85546875" customWidth="1"/>
    <col min="9" max="9" width="16.42578125" customWidth="1"/>
    <col min="10" max="10" width="13.42578125" customWidth="1"/>
    <col min="11" max="11" width="14.140625" customWidth="1"/>
    <col min="12" max="12" width="30.42578125" customWidth="1"/>
    <col min="13" max="13" width="13.42578125" customWidth="1"/>
    <col min="14" max="14" width="15.42578125" customWidth="1"/>
  </cols>
  <sheetData>
    <row r="1" spans="1:14" ht="23.25" customHeight="1">
      <c r="I1" s="520" t="s">
        <v>382</v>
      </c>
      <c r="J1" s="520"/>
      <c r="K1" s="520"/>
      <c r="L1" s="520"/>
      <c r="M1" s="419"/>
      <c r="N1" s="419"/>
    </row>
    <row r="2" spans="1:14" ht="18.75" customHeight="1">
      <c r="I2" s="521" t="s">
        <v>389</v>
      </c>
      <c r="J2" s="521"/>
      <c r="K2" s="521"/>
      <c r="L2" s="521"/>
      <c r="M2" s="420"/>
      <c r="N2" s="420"/>
    </row>
    <row r="3" spans="1:14" ht="15.75">
      <c r="E3" s="3"/>
      <c r="F3" s="3"/>
      <c r="G3" s="3"/>
      <c r="H3" s="3"/>
      <c r="I3" s="3"/>
      <c r="J3" s="3"/>
      <c r="K3" s="3"/>
    </row>
    <row r="4" spans="1:14" ht="29.25" customHeight="1">
      <c r="E4" s="2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522" t="s">
        <v>4</v>
      </c>
      <c r="J5" s="522"/>
      <c r="K5" s="522"/>
      <c r="L5" s="522" t="s">
        <v>208</v>
      </c>
      <c r="M5" s="522"/>
      <c r="N5" s="522"/>
    </row>
    <row r="6" spans="1:14" ht="49.5" customHeight="1">
      <c r="A6" s="5" t="s">
        <v>209</v>
      </c>
      <c r="H6" s="6" t="s">
        <v>7</v>
      </c>
      <c r="I6" s="6" t="s">
        <v>210</v>
      </c>
      <c r="J6" s="6" t="s">
        <v>9</v>
      </c>
      <c r="K6" s="6" t="s">
        <v>10</v>
      </c>
      <c r="L6" s="6" t="s">
        <v>58</v>
      </c>
      <c r="M6" s="6" t="s">
        <v>147</v>
      </c>
      <c r="N6" s="6" t="s">
        <v>59</v>
      </c>
    </row>
    <row r="7" spans="1:14" ht="15.75" customHeight="1">
      <c r="B7" s="10" t="s">
        <v>14</v>
      </c>
      <c r="H7" s="9"/>
      <c r="I7" s="9"/>
      <c r="J7" s="9"/>
      <c r="K7" s="9"/>
      <c r="L7" s="9"/>
      <c r="M7" s="9"/>
      <c r="N7" s="9"/>
    </row>
    <row r="8" spans="1:14" ht="15.75" customHeight="1">
      <c r="B8" s="10"/>
      <c r="C8" t="s">
        <v>60</v>
      </c>
      <c r="H8" s="176">
        <v>-4471910</v>
      </c>
      <c r="I8" s="9">
        <v>85</v>
      </c>
      <c r="J8" s="9">
        <v>391756</v>
      </c>
      <c r="K8" s="9" t="s">
        <v>115</v>
      </c>
      <c r="L8" s="9">
        <v>-4080069</v>
      </c>
      <c r="M8" s="9" t="s">
        <v>115</v>
      </c>
      <c r="N8" s="9">
        <f>L8</f>
        <v>-4080069</v>
      </c>
    </row>
    <row r="9" spans="1:14">
      <c r="C9" t="s">
        <v>16</v>
      </c>
      <c r="G9" s="12"/>
      <c r="H9" s="13">
        <v>-8764537</v>
      </c>
      <c r="I9" s="12">
        <v>200788</v>
      </c>
      <c r="J9" s="12">
        <v>715741</v>
      </c>
      <c r="K9" s="12" t="s">
        <v>115</v>
      </c>
      <c r="L9" s="12">
        <v>-7848008</v>
      </c>
      <c r="M9" s="12" t="s">
        <v>115</v>
      </c>
      <c r="N9" s="9">
        <f t="shared" ref="N9:N15" si="0">L9</f>
        <v>-7848008</v>
      </c>
    </row>
    <row r="10" spans="1:14" ht="17.25" customHeight="1">
      <c r="C10" t="s">
        <v>390</v>
      </c>
      <c r="G10" s="12"/>
      <c r="H10" s="94">
        <v>-4017771</v>
      </c>
      <c r="I10" s="12">
        <v>2003567</v>
      </c>
      <c r="J10" s="12" t="s">
        <v>115</v>
      </c>
      <c r="K10" s="12">
        <v>42348</v>
      </c>
      <c r="L10" s="12">
        <v>-1971856</v>
      </c>
      <c r="M10" s="12" t="s">
        <v>115</v>
      </c>
      <c r="N10" s="9">
        <f t="shared" si="0"/>
        <v>-1971856</v>
      </c>
    </row>
    <row r="11" spans="1:14">
      <c r="C11" t="s">
        <v>391</v>
      </c>
      <c r="G11" s="12"/>
      <c r="H11" s="14">
        <v>-6200834</v>
      </c>
      <c r="I11" s="12">
        <v>573515</v>
      </c>
      <c r="J11" s="12" t="s">
        <v>115</v>
      </c>
      <c r="K11" s="12">
        <v>93174</v>
      </c>
      <c r="L11" s="12">
        <v>-5534145</v>
      </c>
      <c r="M11" s="12" t="s">
        <v>115</v>
      </c>
      <c r="N11" s="9">
        <f t="shared" si="0"/>
        <v>-5534145</v>
      </c>
    </row>
    <row r="12" spans="1:14" ht="16.5" customHeight="1">
      <c r="C12" t="s">
        <v>148</v>
      </c>
      <c r="G12" s="12"/>
      <c r="H12" s="92">
        <v>-2133419</v>
      </c>
      <c r="I12" s="12">
        <v>631070</v>
      </c>
      <c r="J12" s="12">
        <v>109611</v>
      </c>
      <c r="K12" s="12">
        <v>1544263</v>
      </c>
      <c r="L12" s="12">
        <v>151525</v>
      </c>
      <c r="M12" s="12" t="s">
        <v>115</v>
      </c>
      <c r="N12" s="9">
        <f t="shared" si="0"/>
        <v>151525</v>
      </c>
    </row>
    <row r="13" spans="1:14">
      <c r="C13" t="s">
        <v>19</v>
      </c>
      <c r="G13" s="12"/>
      <c r="H13" s="15">
        <v>-210170</v>
      </c>
      <c r="I13" s="12" t="s">
        <v>115</v>
      </c>
      <c r="J13" s="12" t="s">
        <v>115</v>
      </c>
      <c r="K13" s="12" t="s">
        <v>115</v>
      </c>
      <c r="L13" s="12">
        <v>-210170</v>
      </c>
      <c r="M13" s="12" t="s">
        <v>115</v>
      </c>
      <c r="N13" s="9">
        <f t="shared" si="0"/>
        <v>-210170</v>
      </c>
    </row>
    <row r="14" spans="1:14" ht="15" customHeight="1">
      <c r="C14" t="s">
        <v>383</v>
      </c>
      <c r="G14" s="12"/>
      <c r="H14" s="226">
        <v>-1026623</v>
      </c>
      <c r="I14" s="12">
        <v>48094</v>
      </c>
      <c r="J14" s="12">
        <v>228852</v>
      </c>
      <c r="K14" s="12" t="s">
        <v>115</v>
      </c>
      <c r="L14" s="12">
        <v>-749677</v>
      </c>
      <c r="M14" s="12" t="s">
        <v>115</v>
      </c>
      <c r="N14" s="9">
        <f t="shared" si="0"/>
        <v>-749677</v>
      </c>
    </row>
    <row r="15" spans="1:14" ht="14.25" customHeight="1">
      <c r="C15" t="s">
        <v>21</v>
      </c>
      <c r="G15" s="12"/>
      <c r="H15" s="89">
        <v>-191048</v>
      </c>
      <c r="I15" s="12" t="s">
        <v>115</v>
      </c>
      <c r="J15" s="12" t="s">
        <v>115</v>
      </c>
      <c r="K15" s="12" t="s">
        <v>115</v>
      </c>
      <c r="L15" s="12">
        <v>-191048</v>
      </c>
      <c r="M15" s="12" t="s">
        <v>115</v>
      </c>
      <c r="N15" s="9">
        <f t="shared" si="0"/>
        <v>-191048</v>
      </c>
    </row>
    <row r="16" spans="1:14" ht="14.25" customHeight="1">
      <c r="G16" s="12"/>
      <c r="H16" s="12"/>
      <c r="I16" s="12"/>
      <c r="J16" s="12"/>
      <c r="K16" s="12"/>
      <c r="L16" s="12"/>
      <c r="M16" s="12"/>
      <c r="N16" s="9">
        <f t="shared" ref="N16" si="1">L16</f>
        <v>0</v>
      </c>
    </row>
    <row r="17" spans="1:14">
      <c r="E17" s="19" t="s">
        <v>22</v>
      </c>
      <c r="F17" s="19"/>
      <c r="G17" s="20"/>
      <c r="H17" s="227">
        <f>SUM(H8:H15)</f>
        <v>-27016312</v>
      </c>
      <c r="I17" s="227">
        <f t="shared" ref="I17:N17" si="2">SUM(I8:I15)</f>
        <v>3457119</v>
      </c>
      <c r="J17" s="227">
        <f t="shared" si="2"/>
        <v>1445960</v>
      </c>
      <c r="K17" s="227">
        <f t="shared" si="2"/>
        <v>1679785</v>
      </c>
      <c r="L17" s="227">
        <f t="shared" si="2"/>
        <v>-20433448</v>
      </c>
      <c r="M17" s="227">
        <f t="shared" si="2"/>
        <v>0</v>
      </c>
      <c r="N17" s="227">
        <f t="shared" si="2"/>
        <v>-20433448</v>
      </c>
    </row>
    <row r="18" spans="1:14">
      <c r="B18" s="10" t="s">
        <v>116</v>
      </c>
      <c r="E18" s="8"/>
      <c r="F18" s="8"/>
      <c r="G18" s="26"/>
      <c r="H18" s="26"/>
      <c r="I18" s="26"/>
      <c r="J18" s="26"/>
      <c r="K18" s="26"/>
      <c r="L18" s="26"/>
      <c r="M18" s="26"/>
      <c r="N18" s="26"/>
    </row>
    <row r="19" spans="1:14" ht="15" customHeight="1">
      <c r="B19" s="10"/>
      <c r="C19" t="s">
        <v>392</v>
      </c>
      <c r="E19" s="8"/>
      <c r="F19" s="8"/>
      <c r="G19" s="26"/>
      <c r="H19" s="464">
        <v>-1259857</v>
      </c>
      <c r="I19" s="80">
        <v>1062376</v>
      </c>
      <c r="J19" s="80" t="s">
        <v>115</v>
      </c>
      <c r="K19" s="80" t="s">
        <v>115</v>
      </c>
      <c r="L19" s="80" t="s">
        <v>115</v>
      </c>
      <c r="M19" s="80">
        <v>-197481</v>
      </c>
      <c r="N19" s="80">
        <f>SUM(L19:M19)</f>
        <v>-197481</v>
      </c>
    </row>
    <row r="20" spans="1:14" ht="15" customHeight="1">
      <c r="B20" s="10"/>
      <c r="C20" t="s">
        <v>330</v>
      </c>
      <c r="E20" s="8"/>
      <c r="F20" s="8"/>
      <c r="G20" s="26"/>
      <c r="H20" s="464">
        <v>-23153861</v>
      </c>
      <c r="I20" s="80">
        <v>28060846</v>
      </c>
      <c r="J20" s="80" t="s">
        <v>115</v>
      </c>
      <c r="K20" s="80" t="s">
        <v>115</v>
      </c>
      <c r="L20" s="80" t="s">
        <v>115</v>
      </c>
      <c r="M20" s="80">
        <v>4906986</v>
      </c>
      <c r="N20" s="80">
        <f t="shared" ref="N20:N24" si="3">SUM(L20:M20)</f>
        <v>4906986</v>
      </c>
    </row>
    <row r="21" spans="1:14" ht="15" customHeight="1">
      <c r="B21" s="10"/>
      <c r="C21" t="s">
        <v>331</v>
      </c>
      <c r="E21" s="8"/>
      <c r="F21" s="8"/>
      <c r="G21" s="26"/>
      <c r="H21" s="464">
        <v>-3289191</v>
      </c>
      <c r="I21" s="80">
        <v>3375649</v>
      </c>
      <c r="J21" s="80" t="s">
        <v>115</v>
      </c>
      <c r="K21" s="80">
        <v>5725705</v>
      </c>
      <c r="L21" s="80" t="s">
        <v>115</v>
      </c>
      <c r="M21" s="80">
        <v>5812163</v>
      </c>
      <c r="N21" s="80">
        <f t="shared" si="3"/>
        <v>5812163</v>
      </c>
    </row>
    <row r="22" spans="1:14" ht="15" customHeight="1">
      <c r="B22" s="10"/>
      <c r="C22" t="s">
        <v>150</v>
      </c>
      <c r="E22" s="8"/>
      <c r="F22" s="8"/>
      <c r="G22" s="26"/>
      <c r="H22" s="464">
        <v>-2169957</v>
      </c>
      <c r="I22" s="80">
        <v>1441891</v>
      </c>
      <c r="J22" s="80" t="s">
        <v>115</v>
      </c>
      <c r="K22" s="80" t="s">
        <v>115</v>
      </c>
      <c r="L22" s="80" t="s">
        <v>115</v>
      </c>
      <c r="M22" s="80">
        <v>-728067</v>
      </c>
      <c r="N22" s="80">
        <f t="shared" si="3"/>
        <v>-728067</v>
      </c>
    </row>
    <row r="23" spans="1:14" ht="15" customHeight="1">
      <c r="B23" s="10"/>
      <c r="C23" t="s">
        <v>393</v>
      </c>
      <c r="E23" s="8"/>
      <c r="F23" s="8"/>
      <c r="G23" s="26"/>
      <c r="H23" s="468">
        <v>-274670</v>
      </c>
      <c r="I23" s="80" t="s">
        <v>115</v>
      </c>
      <c r="J23" s="80" t="s">
        <v>115</v>
      </c>
      <c r="K23" s="80" t="s">
        <v>115</v>
      </c>
      <c r="L23" s="80" t="s">
        <v>115</v>
      </c>
      <c r="M23" s="80">
        <v>-274670</v>
      </c>
      <c r="N23" s="80">
        <f t="shared" si="3"/>
        <v>-274670</v>
      </c>
    </row>
    <row r="24" spans="1:14" ht="15" customHeight="1">
      <c r="B24" s="10"/>
      <c r="C24" t="s">
        <v>394</v>
      </c>
      <c r="E24" s="8"/>
      <c r="F24" s="8"/>
      <c r="G24" s="26"/>
      <c r="H24" s="471">
        <v>-94504</v>
      </c>
      <c r="I24" s="80" t="s">
        <v>115</v>
      </c>
      <c r="J24" s="80" t="s">
        <v>115</v>
      </c>
      <c r="K24" s="80" t="s">
        <v>115</v>
      </c>
      <c r="L24" s="80" t="s">
        <v>115</v>
      </c>
      <c r="M24" s="80">
        <v>-94504</v>
      </c>
      <c r="N24" s="80">
        <f t="shared" si="3"/>
        <v>-94504</v>
      </c>
    </row>
    <row r="25" spans="1:14">
      <c r="B25" s="10"/>
      <c r="E25" s="8"/>
      <c r="F25" s="8"/>
      <c r="G25" s="26"/>
      <c r="H25" s="209"/>
      <c r="I25" s="209"/>
      <c r="J25" s="209"/>
      <c r="K25" s="209"/>
      <c r="L25" s="209"/>
      <c r="M25" s="209"/>
      <c r="N25" s="209"/>
    </row>
    <row r="26" spans="1:14" ht="15.75" customHeight="1">
      <c r="E26" s="19" t="s">
        <v>117</v>
      </c>
      <c r="F26" s="19"/>
      <c r="G26" s="20"/>
      <c r="H26" s="20">
        <f>SUM(H19:H24)</f>
        <v>-30242040</v>
      </c>
      <c r="I26" s="20">
        <f t="shared" ref="I26:N26" si="4">SUM(I19:I24)</f>
        <v>33940762</v>
      </c>
      <c r="J26" s="20">
        <f t="shared" si="4"/>
        <v>0</v>
      </c>
      <c r="K26" s="20">
        <f t="shared" si="4"/>
        <v>5725705</v>
      </c>
      <c r="L26" s="20">
        <f t="shared" si="4"/>
        <v>0</v>
      </c>
      <c r="M26" s="20">
        <f t="shared" si="4"/>
        <v>9424427</v>
      </c>
      <c r="N26" s="20">
        <f t="shared" si="4"/>
        <v>9424427</v>
      </c>
    </row>
    <row r="27" spans="1:14">
      <c r="E27" s="8"/>
      <c r="F27" s="8"/>
      <c r="G27" s="26"/>
      <c r="H27" s="26"/>
      <c r="I27" s="26"/>
      <c r="J27" s="26"/>
      <c r="K27" s="26"/>
      <c r="L27" s="26"/>
      <c r="M27" s="26"/>
      <c r="N27" s="26"/>
    </row>
    <row r="28" spans="1:14" ht="21" customHeight="1">
      <c r="E28" s="19" t="s">
        <v>277</v>
      </c>
      <c r="F28" s="19"/>
      <c r="G28" s="20"/>
      <c r="H28" s="20">
        <f t="shared" ref="H28:N28" si="5">H26+H17</f>
        <v>-57258352</v>
      </c>
      <c r="I28" s="20">
        <f t="shared" si="5"/>
        <v>37397881</v>
      </c>
      <c r="J28" s="20">
        <f t="shared" si="5"/>
        <v>1445960</v>
      </c>
      <c r="K28" s="20">
        <f t="shared" si="5"/>
        <v>7405490</v>
      </c>
      <c r="L28" s="82">
        <f t="shared" si="5"/>
        <v>-20433448</v>
      </c>
      <c r="M28" s="82">
        <f t="shared" si="5"/>
        <v>9424427</v>
      </c>
      <c r="N28" s="82">
        <f t="shared" si="5"/>
        <v>-11009021</v>
      </c>
    </row>
    <row r="29" spans="1:14">
      <c r="G29" s="12"/>
      <c r="H29" s="12"/>
      <c r="I29" s="12"/>
      <c r="J29" s="12"/>
      <c r="K29" s="12"/>
      <c r="L29" s="12"/>
      <c r="M29" s="12"/>
      <c r="N29" s="12"/>
    </row>
    <row r="30" spans="1:14" ht="15.75" customHeight="1">
      <c r="A30" s="8"/>
      <c r="B30" s="8"/>
      <c r="C30" s="8"/>
      <c r="D30" s="8"/>
      <c r="E30" s="8"/>
      <c r="F30" s="8" t="s">
        <v>25</v>
      </c>
      <c r="G30" s="26"/>
      <c r="H30" s="26"/>
      <c r="I30" s="26"/>
      <c r="J30" s="26"/>
      <c r="K30" s="26"/>
      <c r="L30" s="12"/>
      <c r="M30" s="12"/>
      <c r="N30" s="12"/>
    </row>
    <row r="31" spans="1:14">
      <c r="A31" s="8"/>
      <c r="B31" s="8"/>
      <c r="C31" s="8"/>
      <c r="D31" s="8"/>
      <c r="E31" s="8"/>
      <c r="F31" s="8"/>
      <c r="G31" s="80" t="s">
        <v>26</v>
      </c>
      <c r="H31" s="26"/>
      <c r="I31" s="26"/>
      <c r="J31" s="26"/>
      <c r="K31" s="26"/>
      <c r="L31" s="12"/>
      <c r="M31" s="12"/>
      <c r="N31" s="12"/>
    </row>
    <row r="32" spans="1:14">
      <c r="G32" s="12"/>
      <c r="H32" s="12" t="s">
        <v>384</v>
      </c>
      <c r="I32" s="12"/>
      <c r="J32" s="12"/>
      <c r="K32" s="12"/>
      <c r="L32" s="28">
        <v>2041199</v>
      </c>
      <c r="M32" s="12" t="s">
        <v>115</v>
      </c>
      <c r="N32" s="12">
        <f t="shared" ref="N32:N42" si="6">SUM(L32:M32)</f>
        <v>2041199</v>
      </c>
    </row>
    <row r="33" spans="5:14">
      <c r="G33" s="12"/>
      <c r="H33" s="12" t="s">
        <v>385</v>
      </c>
      <c r="I33" s="12"/>
      <c r="J33" s="12"/>
      <c r="K33" s="12"/>
      <c r="L33" s="14">
        <v>9522790</v>
      </c>
      <c r="M33" s="12" t="s">
        <v>115</v>
      </c>
      <c r="N33" s="12">
        <f t="shared" si="6"/>
        <v>9522790</v>
      </c>
    </row>
    <row r="34" spans="5:14">
      <c r="G34" s="12"/>
      <c r="H34" s="12" t="s">
        <v>157</v>
      </c>
      <c r="I34" s="12"/>
      <c r="J34" s="12"/>
      <c r="K34" s="12"/>
      <c r="L34" s="15">
        <v>415036</v>
      </c>
      <c r="M34" s="12" t="s">
        <v>115</v>
      </c>
      <c r="N34" s="12">
        <f t="shared" si="6"/>
        <v>415036</v>
      </c>
    </row>
    <row r="35" spans="5:14">
      <c r="G35" s="12"/>
      <c r="H35" s="12" t="s">
        <v>395</v>
      </c>
      <c r="I35" s="12"/>
      <c r="J35" s="12"/>
      <c r="K35" s="12"/>
      <c r="L35" s="14">
        <v>9522790</v>
      </c>
      <c r="M35" s="12" t="s">
        <v>115</v>
      </c>
      <c r="N35" s="12">
        <f t="shared" si="6"/>
        <v>9522790</v>
      </c>
    </row>
    <row r="36" spans="5:14">
      <c r="G36" s="12" t="s">
        <v>386</v>
      </c>
      <c r="H36" s="12"/>
      <c r="I36" s="12"/>
      <c r="J36" s="12"/>
      <c r="K36" s="12"/>
      <c r="L36" s="29">
        <v>804217</v>
      </c>
      <c r="M36" s="12" t="s">
        <v>115</v>
      </c>
      <c r="N36" s="12">
        <f t="shared" si="6"/>
        <v>804217</v>
      </c>
    </row>
    <row r="37" spans="5:14">
      <c r="G37" s="12" t="s">
        <v>396</v>
      </c>
      <c r="H37" s="12"/>
      <c r="I37" s="12"/>
      <c r="J37" s="12"/>
      <c r="K37" s="12"/>
      <c r="L37" s="29">
        <v>299140</v>
      </c>
      <c r="M37" s="12">
        <v>81563</v>
      </c>
      <c r="N37" s="12">
        <f t="shared" si="6"/>
        <v>380703</v>
      </c>
    </row>
    <row r="38" spans="5:14">
      <c r="G38" s="12" t="s">
        <v>397</v>
      </c>
      <c r="H38" s="12"/>
      <c r="I38" s="12"/>
      <c r="J38" s="12"/>
      <c r="K38" s="12"/>
      <c r="L38" s="29">
        <v>83</v>
      </c>
      <c r="M38" s="12">
        <v>12025</v>
      </c>
      <c r="N38" s="12">
        <f t="shared" si="6"/>
        <v>12108</v>
      </c>
    </row>
    <row r="39" spans="5:14">
      <c r="G39" s="12" t="s">
        <v>398</v>
      </c>
      <c r="H39" s="12"/>
      <c r="I39" s="12"/>
      <c r="J39" s="12"/>
      <c r="K39" s="12"/>
      <c r="L39" s="29">
        <v>115548</v>
      </c>
      <c r="M39" s="12">
        <v>123761</v>
      </c>
      <c r="N39" s="12">
        <f t="shared" si="6"/>
        <v>239309</v>
      </c>
    </row>
    <row r="40" spans="5:14">
      <c r="G40" s="12" t="s">
        <v>399</v>
      </c>
      <c r="H40" s="12"/>
      <c r="I40" s="12"/>
      <c r="J40" s="12"/>
      <c r="K40" s="12"/>
      <c r="L40" s="29">
        <v>58550</v>
      </c>
      <c r="M40" s="12">
        <v>31243</v>
      </c>
      <c r="N40" s="12">
        <f t="shared" si="6"/>
        <v>89793</v>
      </c>
    </row>
    <row r="41" spans="5:14">
      <c r="G41" s="12" t="s">
        <v>36</v>
      </c>
      <c r="H41" s="12"/>
      <c r="I41" s="12"/>
      <c r="J41" s="12"/>
      <c r="K41" s="12"/>
      <c r="L41" s="29">
        <v>332922</v>
      </c>
      <c r="M41" s="12">
        <v>-7553</v>
      </c>
      <c r="N41" s="12">
        <f t="shared" si="6"/>
        <v>325369</v>
      </c>
    </row>
    <row r="42" spans="5:14">
      <c r="G42" s="12" t="s">
        <v>37</v>
      </c>
      <c r="H42" s="12"/>
      <c r="I42" s="12"/>
      <c r="J42" s="12"/>
      <c r="K42" s="12"/>
      <c r="L42" s="88">
        <v>-1191000</v>
      </c>
      <c r="M42" s="12">
        <v>-5836435</v>
      </c>
      <c r="N42" s="12">
        <f t="shared" si="6"/>
        <v>-7027435</v>
      </c>
    </row>
    <row r="43" spans="5:14">
      <c r="G43" s="12"/>
      <c r="H43" s="12"/>
      <c r="I43" s="12"/>
      <c r="J43" s="12"/>
      <c r="K43" s="12"/>
      <c r="L43" s="208"/>
      <c r="M43" s="208"/>
      <c r="N43" s="208"/>
    </row>
    <row r="44" spans="5:14">
      <c r="G44" s="20" t="s">
        <v>223</v>
      </c>
      <c r="H44" s="20"/>
      <c r="I44" s="20"/>
      <c r="J44" s="20"/>
      <c r="K44" s="20"/>
      <c r="L44" s="20">
        <f>SUM(L32:L42)</f>
        <v>21921275</v>
      </c>
      <c r="M44" s="20">
        <f t="shared" ref="M44:N44" si="7">SUM(M32:M42)</f>
        <v>-5595396</v>
      </c>
      <c r="N44" s="20">
        <f t="shared" si="7"/>
        <v>16325879</v>
      </c>
    </row>
    <row r="45" spans="5:14">
      <c r="G45" s="12"/>
      <c r="H45" s="12"/>
      <c r="I45" s="12"/>
      <c r="J45" s="12"/>
      <c r="K45" s="12"/>
      <c r="L45" s="12"/>
      <c r="M45" s="12"/>
      <c r="N45" s="12"/>
    </row>
    <row r="46" spans="5:14">
      <c r="G46" s="20" t="s">
        <v>53</v>
      </c>
      <c r="H46" s="20"/>
      <c r="I46" s="20"/>
      <c r="J46" s="20"/>
      <c r="K46" s="20"/>
      <c r="L46" s="20">
        <f>L44+L28</f>
        <v>1487827</v>
      </c>
      <c r="M46" s="20">
        <f t="shared" ref="M46:N46" si="8">M44+M28</f>
        <v>3829031</v>
      </c>
      <c r="N46" s="20">
        <f t="shared" si="8"/>
        <v>5316858</v>
      </c>
    </row>
    <row r="47" spans="5:14">
      <c r="G47" s="26"/>
      <c r="H47" s="26"/>
      <c r="I47" s="26"/>
      <c r="J47" s="26"/>
      <c r="K47" s="26"/>
      <c r="L47" s="26"/>
      <c r="M47" s="26"/>
      <c r="N47" s="26"/>
    </row>
    <row r="48" spans="5:14">
      <c r="E48" s="31" t="s">
        <v>387</v>
      </c>
      <c r="F48" s="31"/>
      <c r="G48" s="32"/>
      <c r="H48" s="32"/>
      <c r="I48" s="32"/>
      <c r="J48" s="32"/>
      <c r="K48" s="32"/>
      <c r="L48" s="33">
        <v>57279035</v>
      </c>
      <c r="M48" s="33">
        <v>66382314</v>
      </c>
      <c r="N48" s="33">
        <f>SUM(L48:M48)</f>
        <v>123661349</v>
      </c>
    </row>
    <row r="49" spans="5:14">
      <c r="G49" s="12"/>
      <c r="H49" s="12"/>
      <c r="I49" s="12"/>
      <c r="J49" s="12"/>
      <c r="K49" s="12"/>
      <c r="L49" s="12"/>
      <c r="M49" s="12"/>
      <c r="N49" s="12"/>
    </row>
    <row r="50" spans="5:14">
      <c r="E50" s="34" t="s">
        <v>388</v>
      </c>
      <c r="F50" s="34"/>
      <c r="G50" s="35"/>
      <c r="H50" s="35"/>
      <c r="I50" s="35"/>
      <c r="J50" s="35"/>
      <c r="K50" s="35"/>
      <c r="L50" s="83">
        <f>SUM(L46,L48)</f>
        <v>58766862</v>
      </c>
      <c r="M50" s="83">
        <f>M48+M46</f>
        <v>70211345</v>
      </c>
      <c r="N50" s="83">
        <f>N48+N46</f>
        <v>128978207</v>
      </c>
    </row>
  </sheetData>
  <mergeCells count="4">
    <mergeCell ref="I1:L1"/>
    <mergeCell ref="I2:L2"/>
    <mergeCell ref="I5:K5"/>
    <mergeCell ref="L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55"/>
  <sheetViews>
    <sheetView zoomScale="90" zoomScaleNormal="90" zoomScalePageLayoutView="90" workbookViewId="0">
      <selection activeCell="I26" sqref="I26"/>
    </sheetView>
  </sheetViews>
  <sheetFormatPr defaultColWidth="8.85546875" defaultRowHeight="15"/>
  <cols>
    <col min="1" max="1" width="3.42578125" customWidth="1"/>
    <col min="2" max="2" width="4.7109375" customWidth="1"/>
    <col min="3" max="3" width="3.42578125" customWidth="1"/>
    <col min="5" max="5" width="28.140625" customWidth="1"/>
    <col min="7" max="7" width="6.140625" customWidth="1"/>
    <col min="8" max="8" width="5.140625" customWidth="1"/>
    <col min="9" max="9" width="14.28515625" customWidth="1"/>
    <col min="10" max="10" width="21" customWidth="1"/>
    <col min="11" max="11" width="33" customWidth="1"/>
    <col min="12" max="12" width="30" customWidth="1"/>
    <col min="13" max="13" width="26" customWidth="1"/>
    <col min="14" max="14" width="23.140625" customWidth="1"/>
    <col min="15" max="15" width="15.85546875" customWidth="1"/>
  </cols>
  <sheetData>
    <row r="1" spans="1:15" ht="21">
      <c r="J1" s="424" t="s">
        <v>400</v>
      </c>
      <c r="K1" s="425"/>
    </row>
    <row r="2" spans="1:15">
      <c r="K2" t="s">
        <v>1</v>
      </c>
    </row>
    <row r="3" spans="1:15" ht="21.75" customHeight="1">
      <c r="M3" s="536" t="s">
        <v>57</v>
      </c>
      <c r="N3" s="536"/>
      <c r="O3" s="536"/>
    </row>
    <row r="4" spans="1:15" ht="13.5" customHeight="1">
      <c r="A4" t="s">
        <v>3</v>
      </c>
      <c r="I4" s="229"/>
      <c r="J4" s="537" t="s">
        <v>4</v>
      </c>
      <c r="K4" s="537"/>
      <c r="L4" s="537"/>
      <c r="M4" s="535" t="s">
        <v>5</v>
      </c>
      <c r="N4" s="535"/>
      <c r="O4" s="535"/>
    </row>
    <row r="5" spans="1:15" ht="17.25" customHeight="1">
      <c r="A5" s="10" t="s">
        <v>6</v>
      </c>
      <c r="I5" s="325" t="s">
        <v>7</v>
      </c>
      <c r="J5" s="325" t="s">
        <v>8</v>
      </c>
      <c r="K5" s="325" t="s">
        <v>9</v>
      </c>
      <c r="L5" s="325" t="s">
        <v>10</v>
      </c>
      <c r="M5" s="325" t="s">
        <v>58</v>
      </c>
      <c r="N5" s="325" t="s">
        <v>147</v>
      </c>
      <c r="O5" s="325" t="s">
        <v>59</v>
      </c>
    </row>
    <row r="6" spans="1:15">
      <c r="A6" s="10" t="s">
        <v>13</v>
      </c>
    </row>
    <row r="7" spans="1:15">
      <c r="B7" t="s">
        <v>14</v>
      </c>
    </row>
    <row r="8" spans="1:15">
      <c r="C8" t="s">
        <v>60</v>
      </c>
    </row>
    <row r="9" spans="1:15">
      <c r="D9" t="s">
        <v>61</v>
      </c>
      <c r="I9" s="215">
        <v>-199237</v>
      </c>
      <c r="J9" t="s">
        <v>115</v>
      </c>
      <c r="K9" t="s">
        <v>115</v>
      </c>
      <c r="L9" t="s">
        <v>115</v>
      </c>
      <c r="M9" s="12">
        <v>-199237</v>
      </c>
      <c r="N9" t="s">
        <v>115</v>
      </c>
      <c r="O9" s="12">
        <f>SUM(M9)</f>
        <v>-199237</v>
      </c>
    </row>
    <row r="10" spans="1:15">
      <c r="D10" t="s">
        <v>62</v>
      </c>
      <c r="I10" s="234">
        <v>-8168602</v>
      </c>
      <c r="J10" s="12">
        <v>2777409</v>
      </c>
      <c r="K10" s="12">
        <v>2307626</v>
      </c>
      <c r="L10" t="s">
        <v>115</v>
      </c>
      <c r="M10" s="12">
        <v>-3083567</v>
      </c>
      <c r="N10" t="s">
        <v>115</v>
      </c>
      <c r="O10" s="12">
        <f t="shared" ref="O10:O21" si="0">SUM(M10)</f>
        <v>-3083567</v>
      </c>
    </row>
    <row r="11" spans="1:15">
      <c r="D11" t="s">
        <v>63</v>
      </c>
      <c r="I11" s="235">
        <v>-256922</v>
      </c>
      <c r="J11" t="s">
        <v>115</v>
      </c>
      <c r="K11" t="s">
        <v>115</v>
      </c>
      <c r="L11" t="s">
        <v>115</v>
      </c>
      <c r="M11" s="12">
        <v>-256922</v>
      </c>
      <c r="O11" s="12">
        <f t="shared" si="0"/>
        <v>-256922</v>
      </c>
    </row>
    <row r="12" spans="1:15">
      <c r="D12" t="s">
        <v>211</v>
      </c>
      <c r="I12" s="236">
        <v>-2252610</v>
      </c>
      <c r="J12" s="12">
        <v>1659042</v>
      </c>
      <c r="K12" t="s">
        <v>115</v>
      </c>
      <c r="L12" t="s">
        <v>115</v>
      </c>
      <c r="M12" s="12">
        <v>-593568</v>
      </c>
      <c r="N12" t="s">
        <v>115</v>
      </c>
      <c r="O12" s="12">
        <f t="shared" si="0"/>
        <v>-593568</v>
      </c>
    </row>
    <row r="13" spans="1:15">
      <c r="D13" t="s">
        <v>65</v>
      </c>
      <c r="I13" s="237">
        <v>-7343494</v>
      </c>
      <c r="J13" t="s">
        <v>115</v>
      </c>
      <c r="K13" t="s">
        <v>115</v>
      </c>
      <c r="L13">
        <v>3846916</v>
      </c>
      <c r="M13" s="12">
        <v>-3496578</v>
      </c>
      <c r="N13" t="s">
        <v>115</v>
      </c>
      <c r="O13" s="12">
        <f t="shared" si="0"/>
        <v>-3496578</v>
      </c>
    </row>
    <row r="14" spans="1:15">
      <c r="I14" s="243"/>
      <c r="M14" s="12"/>
      <c r="O14" s="12"/>
    </row>
    <row r="15" spans="1:15">
      <c r="E15" s="230" t="s">
        <v>401</v>
      </c>
      <c r="F15" s="231"/>
      <c r="G15" s="231"/>
      <c r="H15" s="231"/>
      <c r="I15" s="232">
        <f>SUM(I9:I13)</f>
        <v>-18220865</v>
      </c>
      <c r="J15" s="232">
        <f t="shared" ref="J15:O15" si="1">SUM(J9:J13)</f>
        <v>4436451</v>
      </c>
      <c r="K15" s="232">
        <f t="shared" si="1"/>
        <v>2307626</v>
      </c>
      <c r="L15" s="232">
        <f t="shared" si="1"/>
        <v>3846916</v>
      </c>
      <c r="M15" s="232">
        <f t="shared" si="1"/>
        <v>-7629872</v>
      </c>
      <c r="N15" s="232">
        <f t="shared" si="1"/>
        <v>0</v>
      </c>
      <c r="O15" s="232">
        <f t="shared" si="1"/>
        <v>-7629872</v>
      </c>
    </row>
    <row r="16" spans="1:15">
      <c r="E16" s="10"/>
      <c r="I16" s="12"/>
      <c r="J16" s="12"/>
      <c r="K16" s="12"/>
      <c r="L16" s="12"/>
      <c r="M16" s="12"/>
      <c r="O16" s="12"/>
    </row>
    <row r="17" spans="2:15">
      <c r="C17" t="s">
        <v>16</v>
      </c>
      <c r="I17" s="238">
        <v>-33619824</v>
      </c>
      <c r="J17" s="12">
        <v>4400899</v>
      </c>
      <c r="K17" s="12">
        <v>989132</v>
      </c>
      <c r="L17" s="12">
        <v>39139</v>
      </c>
      <c r="M17" s="12">
        <v>-28190654</v>
      </c>
      <c r="N17" t="s">
        <v>115</v>
      </c>
      <c r="O17" s="12">
        <f t="shared" si="0"/>
        <v>-28190654</v>
      </c>
    </row>
    <row r="18" spans="2:15">
      <c r="C18" t="s">
        <v>17</v>
      </c>
      <c r="I18" s="239">
        <v>-9146458</v>
      </c>
      <c r="J18" s="12">
        <v>153646</v>
      </c>
      <c r="K18" s="12">
        <v>158604</v>
      </c>
      <c r="L18" s="12">
        <v>4581314</v>
      </c>
      <c r="M18" s="12">
        <v>-4252894</v>
      </c>
      <c r="N18" t="s">
        <v>115</v>
      </c>
      <c r="O18" s="12">
        <f t="shared" si="0"/>
        <v>-4252894</v>
      </c>
    </row>
    <row r="19" spans="2:15">
      <c r="C19" t="s">
        <v>19</v>
      </c>
      <c r="I19" s="240">
        <v>-4752257</v>
      </c>
      <c r="J19" s="12">
        <v>189225</v>
      </c>
      <c r="K19" s="12">
        <v>5078</v>
      </c>
      <c r="L19" s="12" t="s">
        <v>115</v>
      </c>
      <c r="M19" s="12">
        <v>-4557954</v>
      </c>
      <c r="N19" t="s">
        <v>115</v>
      </c>
      <c r="O19" s="12">
        <f t="shared" si="0"/>
        <v>-4557954</v>
      </c>
    </row>
    <row r="20" spans="2:15">
      <c r="C20" t="s">
        <v>20</v>
      </c>
      <c r="I20" s="226">
        <v>-7266290</v>
      </c>
      <c r="J20" s="12">
        <v>231197</v>
      </c>
      <c r="K20" s="12">
        <v>29065</v>
      </c>
      <c r="L20" t="s">
        <v>115</v>
      </c>
      <c r="M20" s="12">
        <v>-7006028</v>
      </c>
      <c r="N20" t="s">
        <v>115</v>
      </c>
      <c r="O20" s="12">
        <f t="shared" si="0"/>
        <v>-7006028</v>
      </c>
    </row>
    <row r="21" spans="2:15">
      <c r="C21" t="s">
        <v>402</v>
      </c>
      <c r="I21" s="92">
        <v>-4697501</v>
      </c>
      <c r="J21" s="12">
        <v>374610</v>
      </c>
      <c r="K21" s="12">
        <v>4177475</v>
      </c>
      <c r="L21" s="12" t="s">
        <v>115</v>
      </c>
      <c r="M21" s="12">
        <v>-145416</v>
      </c>
      <c r="N21" t="s">
        <v>115</v>
      </c>
      <c r="O21" s="12">
        <f t="shared" si="0"/>
        <v>-145416</v>
      </c>
    </row>
    <row r="23" spans="2:15">
      <c r="E23" s="230" t="s">
        <v>22</v>
      </c>
      <c r="F23" s="231"/>
      <c r="G23" s="231"/>
      <c r="H23" s="231"/>
      <c r="I23" s="232">
        <f>I17+I18+I20+I19+I21+I15</f>
        <v>-77703195</v>
      </c>
      <c r="J23" s="232">
        <f t="shared" ref="J23:O23" si="2">J17+J18+J20+J19+J21+J15</f>
        <v>9786028</v>
      </c>
      <c r="K23" s="232">
        <f t="shared" si="2"/>
        <v>7666980</v>
      </c>
      <c r="L23" s="232">
        <f>SUM(L17+L18+L13)</f>
        <v>8467369</v>
      </c>
      <c r="M23" s="232">
        <f t="shared" si="2"/>
        <v>-51782818</v>
      </c>
      <c r="N23" s="232">
        <f>SUM(N15)</f>
        <v>0</v>
      </c>
      <c r="O23" s="232">
        <f t="shared" si="2"/>
        <v>-51782818</v>
      </c>
    </row>
    <row r="25" spans="2:15">
      <c r="B25" s="10" t="s">
        <v>116</v>
      </c>
    </row>
    <row r="26" spans="2:15">
      <c r="C26" t="s">
        <v>150</v>
      </c>
      <c r="I26" s="470">
        <v>-423201</v>
      </c>
      <c r="J26" s="12">
        <v>299547</v>
      </c>
      <c r="L26">
        <v>166727</v>
      </c>
      <c r="N26" s="12">
        <v>43073</v>
      </c>
      <c r="O26" s="12">
        <f>SUM(M26:N26)</f>
        <v>43073</v>
      </c>
    </row>
    <row r="28" spans="2:15">
      <c r="E28" s="230" t="s">
        <v>117</v>
      </c>
      <c r="F28" s="231"/>
      <c r="G28" s="231"/>
      <c r="H28" s="231"/>
      <c r="I28" s="232">
        <f>SUM(I26)</f>
        <v>-423201</v>
      </c>
      <c r="J28" s="232">
        <f>SUM(J26)</f>
        <v>299547</v>
      </c>
      <c r="K28" s="231">
        <v>0</v>
      </c>
      <c r="L28" s="231">
        <f>SUM(L26)</f>
        <v>166727</v>
      </c>
      <c r="M28" s="231">
        <f t="shared" ref="M28:O28" si="3">SUM(M26)</f>
        <v>0</v>
      </c>
      <c r="N28" s="231">
        <f t="shared" si="3"/>
        <v>43073</v>
      </c>
      <c r="O28" s="231">
        <f t="shared" si="3"/>
        <v>43073</v>
      </c>
    </row>
    <row r="30" spans="2:15">
      <c r="E30" s="230" t="s">
        <v>67</v>
      </c>
      <c r="F30" s="231"/>
      <c r="G30" s="231"/>
      <c r="H30" s="231"/>
      <c r="I30" s="232">
        <f>SUM(I23+I28)</f>
        <v>-78126396</v>
      </c>
      <c r="J30" s="232">
        <f t="shared" ref="J30:N30" si="4">SUM(J23+J28)</f>
        <v>10085575</v>
      </c>
      <c r="K30" s="232">
        <f t="shared" si="4"/>
        <v>7666980</v>
      </c>
      <c r="L30" s="232">
        <f t="shared" si="4"/>
        <v>8634096</v>
      </c>
      <c r="M30" s="232">
        <f t="shared" si="4"/>
        <v>-51782818</v>
      </c>
      <c r="N30" s="232">
        <f t="shared" si="4"/>
        <v>43073</v>
      </c>
      <c r="O30" s="232">
        <f>SUM(O23+O28)</f>
        <v>-51739745</v>
      </c>
    </row>
    <row r="32" spans="2:15">
      <c r="G32" t="s">
        <v>25</v>
      </c>
    </row>
    <row r="33" spans="7:15">
      <c r="G33" t="s">
        <v>375</v>
      </c>
    </row>
    <row r="34" spans="7:15">
      <c r="H34" t="s">
        <v>403</v>
      </c>
    </row>
    <row r="35" spans="7:15">
      <c r="I35" t="s">
        <v>166</v>
      </c>
      <c r="M35" s="241">
        <v>3104457</v>
      </c>
      <c r="O35" s="12">
        <f>SUM(M35:N35)</f>
        <v>3104457</v>
      </c>
    </row>
    <row r="36" spans="7:15">
      <c r="I36" t="s">
        <v>404</v>
      </c>
      <c r="M36" s="241">
        <v>31043296</v>
      </c>
      <c r="O36" s="12">
        <f t="shared" ref="O36:O47" si="5">SUM(M36:N36)</f>
        <v>31043296</v>
      </c>
    </row>
    <row r="37" spans="7:15">
      <c r="H37" t="s">
        <v>405</v>
      </c>
      <c r="O37" s="12"/>
    </row>
    <row r="38" spans="7:15">
      <c r="I38" t="s">
        <v>404</v>
      </c>
      <c r="M38" s="239">
        <v>14255181</v>
      </c>
      <c r="O38" s="12">
        <f t="shared" si="5"/>
        <v>14255181</v>
      </c>
    </row>
    <row r="39" spans="7:15">
      <c r="H39" t="s">
        <v>73</v>
      </c>
      <c r="M39" s="240">
        <v>3412682</v>
      </c>
      <c r="O39" s="12">
        <f t="shared" si="5"/>
        <v>3412682</v>
      </c>
    </row>
    <row r="40" spans="7:15">
      <c r="H40" t="s">
        <v>33</v>
      </c>
      <c r="M40" s="242">
        <v>921047</v>
      </c>
      <c r="O40" s="12">
        <f t="shared" si="5"/>
        <v>921047</v>
      </c>
    </row>
    <row r="41" spans="7:15">
      <c r="H41" t="s">
        <v>106</v>
      </c>
      <c r="M41" s="214">
        <v>1188520</v>
      </c>
      <c r="O41" s="12">
        <f t="shared" si="5"/>
        <v>1188520</v>
      </c>
    </row>
    <row r="42" spans="7:15">
      <c r="H42" t="s">
        <v>406</v>
      </c>
      <c r="M42" s="214">
        <v>116898</v>
      </c>
      <c r="O42" s="12">
        <f t="shared" si="5"/>
        <v>116898</v>
      </c>
    </row>
    <row r="43" spans="7:15">
      <c r="H43" t="s">
        <v>407</v>
      </c>
      <c r="M43" s="214">
        <v>1472023</v>
      </c>
      <c r="O43" s="12">
        <f t="shared" si="5"/>
        <v>1472023</v>
      </c>
    </row>
    <row r="44" spans="7:15">
      <c r="H44" t="s">
        <v>86</v>
      </c>
      <c r="M44" s="214">
        <v>73009</v>
      </c>
      <c r="N44">
        <v>34</v>
      </c>
      <c r="O44" s="12">
        <f t="shared" si="5"/>
        <v>73043</v>
      </c>
    </row>
    <row r="45" spans="7:15">
      <c r="H45" t="s">
        <v>353</v>
      </c>
      <c r="M45" s="214">
        <v>136996</v>
      </c>
      <c r="O45" s="12">
        <f t="shared" si="5"/>
        <v>136996</v>
      </c>
    </row>
    <row r="46" spans="7:15">
      <c r="H46" t="s">
        <v>408</v>
      </c>
      <c r="M46" s="214">
        <v>177221</v>
      </c>
      <c r="O46" s="12">
        <f t="shared" si="5"/>
        <v>177221</v>
      </c>
    </row>
    <row r="47" spans="7:15">
      <c r="H47" t="s">
        <v>36</v>
      </c>
      <c r="M47" s="214">
        <v>1594278</v>
      </c>
      <c r="O47" s="12">
        <f t="shared" si="5"/>
        <v>1594278</v>
      </c>
    </row>
    <row r="48" spans="7:15">
      <c r="M48" s="243"/>
    </row>
    <row r="49" spans="5:15">
      <c r="H49" s="231" t="s">
        <v>38</v>
      </c>
      <c r="I49" s="231"/>
      <c r="J49" s="231"/>
      <c r="K49" s="231"/>
      <c r="L49" s="231"/>
      <c r="M49" s="232">
        <f>SUM(M35:M47)</f>
        <v>57495608</v>
      </c>
      <c r="N49" s="232">
        <f t="shared" ref="N49:O49" si="6">SUM(N35:N47)</f>
        <v>34</v>
      </c>
      <c r="O49" s="232">
        <f t="shared" si="6"/>
        <v>57495642</v>
      </c>
    </row>
    <row r="51" spans="5:15">
      <c r="H51" s="231" t="s">
        <v>53</v>
      </c>
      <c r="I51" s="231"/>
      <c r="J51" s="231"/>
      <c r="K51" s="231"/>
      <c r="L51" s="231"/>
      <c r="M51" s="232">
        <v>5712790</v>
      </c>
      <c r="N51" s="232">
        <v>43107</v>
      </c>
      <c r="O51" s="232">
        <v>5755897</v>
      </c>
    </row>
    <row r="53" spans="5:15" ht="18" customHeight="1">
      <c r="E53" s="222" t="s">
        <v>380</v>
      </c>
      <c r="F53" s="222"/>
      <c r="G53" s="223"/>
      <c r="H53" s="223"/>
      <c r="I53" s="223"/>
      <c r="J53" s="223"/>
      <c r="K53" s="223"/>
      <c r="L53" s="224"/>
      <c r="M53" s="223">
        <v>262035781</v>
      </c>
      <c r="N53" s="223">
        <v>2193807</v>
      </c>
      <c r="O53" s="223">
        <v>264229588</v>
      </c>
    </row>
    <row r="54" spans="5:15">
      <c r="M54" s="10"/>
      <c r="N54" s="10"/>
      <c r="O54" s="10"/>
    </row>
    <row r="55" spans="5:15">
      <c r="E55" s="233" t="s">
        <v>55</v>
      </c>
      <c r="F55" s="225"/>
      <c r="G55" s="225"/>
      <c r="H55" s="225"/>
      <c r="I55" s="225"/>
      <c r="J55" s="225"/>
      <c r="K55" s="225"/>
      <c r="L55" s="225"/>
      <c r="M55" s="376">
        <v>267748571</v>
      </c>
      <c r="N55" s="376">
        <v>2236914</v>
      </c>
      <c r="O55" s="376">
        <v>269985485</v>
      </c>
    </row>
  </sheetData>
  <mergeCells count="3">
    <mergeCell ref="M4:O4"/>
    <mergeCell ref="M3:O3"/>
    <mergeCell ref="J4:L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9"/>
  <sheetViews>
    <sheetView workbookViewId="0">
      <selection activeCell="I23" sqref="I23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  <col min="17" max="17" width="15.7109375" customWidth="1"/>
    <col min="18" max="18" width="15" customWidth="1"/>
  </cols>
  <sheetData>
    <row r="1" spans="1:18" ht="30" customHeight="1">
      <c r="J1" s="520" t="s">
        <v>409</v>
      </c>
      <c r="K1" s="520"/>
      <c r="L1" s="520"/>
      <c r="M1" s="520"/>
      <c r="N1" s="419"/>
      <c r="O1" s="419"/>
    </row>
    <row r="2" spans="1:18" ht="21.75" customHeight="1">
      <c r="J2" s="521" t="s">
        <v>1</v>
      </c>
      <c r="K2" s="521"/>
      <c r="L2" s="521"/>
      <c r="M2" s="521"/>
      <c r="N2" s="420"/>
      <c r="O2" s="420"/>
    </row>
    <row r="3" spans="1:18" ht="30.75" customHeight="1">
      <c r="E3" s="2"/>
      <c r="M3" s="522" t="s">
        <v>2</v>
      </c>
      <c r="N3" s="522"/>
      <c r="O3" s="522"/>
      <c r="P3" s="522"/>
    </row>
    <row r="4" spans="1:18" ht="15" customHeight="1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526" t="s">
        <v>5</v>
      </c>
      <c r="N4" s="526"/>
      <c r="O4" s="526"/>
      <c r="P4" s="538" t="s">
        <v>12</v>
      </c>
      <c r="Q4" s="538"/>
    </row>
    <row r="5" spans="1:18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58</v>
      </c>
      <c r="N5" s="6" t="s">
        <v>147</v>
      </c>
      <c r="O5" s="6" t="s">
        <v>59</v>
      </c>
      <c r="P5" s="81" t="s">
        <v>58</v>
      </c>
      <c r="Q5" s="81" t="s">
        <v>147</v>
      </c>
      <c r="R5" s="6" t="s">
        <v>59</v>
      </c>
    </row>
    <row r="6" spans="1:18" ht="30.75" customHeight="1">
      <c r="A6" s="8" t="s">
        <v>13</v>
      </c>
      <c r="I6" s="9"/>
      <c r="J6" s="9"/>
      <c r="K6" s="9"/>
      <c r="L6" s="9"/>
    </row>
    <row r="7" spans="1:18">
      <c r="B7" s="10" t="s">
        <v>14</v>
      </c>
      <c r="I7" s="9"/>
      <c r="J7" s="9"/>
      <c r="K7" s="9"/>
      <c r="L7" s="9"/>
      <c r="M7" s="9"/>
      <c r="N7" s="9"/>
      <c r="O7" s="9"/>
    </row>
    <row r="8" spans="1:18">
      <c r="C8" t="s">
        <v>15</v>
      </c>
      <c r="H8" s="12"/>
      <c r="I8" s="11">
        <v>-2813139</v>
      </c>
      <c r="J8" s="12">
        <v>676103</v>
      </c>
      <c r="K8" s="12">
        <v>1423232</v>
      </c>
      <c r="L8" s="12"/>
      <c r="M8" s="12">
        <f t="shared" ref="M8:M15" si="0">SUM(I8:L8)</f>
        <v>-713804</v>
      </c>
      <c r="N8" s="12"/>
      <c r="O8" s="12">
        <f t="shared" ref="O8:O15" si="1">SUM(M8:N8)</f>
        <v>-713804</v>
      </c>
      <c r="R8" s="12">
        <f>SUM(P8:Q8)</f>
        <v>0</v>
      </c>
    </row>
    <row r="9" spans="1:18">
      <c r="C9" t="s">
        <v>16</v>
      </c>
      <c r="H9" s="12"/>
      <c r="I9" s="13">
        <v>-1016639</v>
      </c>
      <c r="J9" s="12">
        <v>137983</v>
      </c>
      <c r="K9" s="12">
        <v>96064</v>
      </c>
      <c r="L9" s="12">
        <v>1656315</v>
      </c>
      <c r="M9" s="12">
        <f t="shared" si="0"/>
        <v>873723</v>
      </c>
      <c r="N9" s="12"/>
      <c r="O9" s="12">
        <f t="shared" si="1"/>
        <v>873723</v>
      </c>
      <c r="R9" s="12">
        <f t="shared" ref="R9:R44" si="2">SUM(P9:Q9)</f>
        <v>0</v>
      </c>
    </row>
    <row r="10" spans="1:18">
      <c r="C10" t="s">
        <v>410</v>
      </c>
      <c r="H10" s="12"/>
      <c r="I10" s="14">
        <v>-2760203</v>
      </c>
      <c r="J10" s="12">
        <v>2122</v>
      </c>
      <c r="K10" s="12">
        <v>109949</v>
      </c>
      <c r="L10" s="12"/>
      <c r="M10" s="12">
        <v>-2648132</v>
      </c>
      <c r="N10" s="12"/>
      <c r="O10" s="12">
        <f t="shared" si="1"/>
        <v>-2648132</v>
      </c>
      <c r="R10" s="12">
        <f t="shared" si="2"/>
        <v>0</v>
      </c>
    </row>
    <row r="11" spans="1:18">
      <c r="C11" t="s">
        <v>19</v>
      </c>
      <c r="H11" s="12"/>
      <c r="I11" s="15">
        <v>-1819614</v>
      </c>
      <c r="J11" s="12"/>
      <c r="K11" s="12">
        <v>192429</v>
      </c>
      <c r="L11" s="12"/>
      <c r="M11" s="12">
        <f>SUM(I11:L11)</f>
        <v>-1627185</v>
      </c>
      <c r="N11" s="12"/>
      <c r="O11" s="12">
        <f t="shared" si="1"/>
        <v>-1627185</v>
      </c>
      <c r="R11" s="12">
        <f t="shared" si="2"/>
        <v>0</v>
      </c>
    </row>
    <row r="12" spans="1:18">
      <c r="C12" t="s">
        <v>20</v>
      </c>
      <c r="H12" s="12"/>
      <c r="I12" s="16">
        <v>-1220452</v>
      </c>
      <c r="J12" s="12">
        <v>79357</v>
      </c>
      <c r="K12" s="12">
        <v>146883</v>
      </c>
      <c r="L12" s="12"/>
      <c r="M12" s="12">
        <f t="shared" si="0"/>
        <v>-994212</v>
      </c>
      <c r="N12" s="12"/>
      <c r="O12" s="12">
        <f t="shared" si="1"/>
        <v>-994212</v>
      </c>
      <c r="R12" s="12">
        <f t="shared" si="2"/>
        <v>0</v>
      </c>
    </row>
    <row r="13" spans="1:18">
      <c r="C13" t="s">
        <v>411</v>
      </c>
      <c r="H13" s="12"/>
      <c r="I13" s="94">
        <v>-1112793</v>
      </c>
      <c r="J13" s="12">
        <v>276845</v>
      </c>
      <c r="K13" s="12">
        <v>264927</v>
      </c>
      <c r="L13" s="12">
        <v>444159</v>
      </c>
      <c r="M13" s="12">
        <f t="shared" si="0"/>
        <v>-126862</v>
      </c>
      <c r="N13" s="12"/>
      <c r="O13" s="12">
        <f t="shared" si="1"/>
        <v>-126862</v>
      </c>
      <c r="R13" s="12">
        <f t="shared" si="2"/>
        <v>0</v>
      </c>
    </row>
    <row r="14" spans="1:18">
      <c r="C14" t="s">
        <v>44</v>
      </c>
      <c r="H14" s="12"/>
      <c r="I14" s="92">
        <v>-90609</v>
      </c>
      <c r="J14" s="12"/>
      <c r="K14" s="12"/>
      <c r="L14" s="12"/>
      <c r="M14" s="12">
        <f>SUM(I14:L14)</f>
        <v>-90609</v>
      </c>
      <c r="N14" s="12"/>
      <c r="O14" s="12">
        <f t="shared" si="1"/>
        <v>-90609</v>
      </c>
      <c r="R14" s="12">
        <f t="shared" si="2"/>
        <v>0</v>
      </c>
    </row>
    <row r="15" spans="1:18">
      <c r="C15" t="s">
        <v>21</v>
      </c>
      <c r="H15" s="12"/>
      <c r="I15" s="89">
        <v>-245307</v>
      </c>
      <c r="J15" s="12"/>
      <c r="K15" s="12"/>
      <c r="L15" s="12"/>
      <c r="M15" s="12">
        <f t="shared" si="0"/>
        <v>-245307</v>
      </c>
      <c r="N15" s="12"/>
      <c r="O15" s="12">
        <f t="shared" si="1"/>
        <v>-245307</v>
      </c>
      <c r="R15" s="12">
        <f t="shared" si="2"/>
        <v>0</v>
      </c>
    </row>
    <row r="16" spans="1:18">
      <c r="H16" s="12"/>
      <c r="I16" s="12"/>
      <c r="J16" s="12"/>
      <c r="K16" s="12"/>
      <c r="L16" s="12"/>
      <c r="M16" s="12"/>
      <c r="N16" s="12"/>
      <c r="O16" s="12"/>
      <c r="R16" s="12">
        <f t="shared" si="2"/>
        <v>0</v>
      </c>
    </row>
    <row r="17" spans="1:18">
      <c r="E17" s="19" t="s">
        <v>22</v>
      </c>
      <c r="F17" s="19"/>
      <c r="G17" s="19"/>
      <c r="H17" s="20"/>
      <c r="I17" s="20">
        <f>SUM(I8:I15)</f>
        <v>-11078756</v>
      </c>
      <c r="J17" s="20">
        <f>SUM(J8:J15)</f>
        <v>1172410</v>
      </c>
      <c r="K17" s="20">
        <f>SUM(K8:K15)</f>
        <v>2233484</v>
      </c>
      <c r="L17" s="20">
        <f>SUM(L8:L15)</f>
        <v>2100474</v>
      </c>
      <c r="M17" s="82">
        <f>SUM(M8:M15)</f>
        <v>-5572388</v>
      </c>
      <c r="N17" s="82"/>
      <c r="O17" s="82">
        <f>SUM(O8:O15)</f>
        <v>-5572388</v>
      </c>
      <c r="P17" s="84">
        <f>SUM(P8:P15)</f>
        <v>0</v>
      </c>
      <c r="Q17" s="84">
        <f>SUM(Q8:Q15)</f>
        <v>0</v>
      </c>
      <c r="R17" s="84">
        <f>SUM(R8:R15)</f>
        <v>0</v>
      </c>
    </row>
    <row r="18" spans="1:18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  <c r="R18" s="12"/>
    </row>
    <row r="19" spans="1:18">
      <c r="B19" s="10" t="s">
        <v>116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  <c r="R19" s="12">
        <f t="shared" si="2"/>
        <v>0</v>
      </c>
    </row>
    <row r="20" spans="1:18">
      <c r="C20" t="s">
        <v>412</v>
      </c>
      <c r="E20" s="8"/>
      <c r="F20" s="8"/>
      <c r="G20" s="8"/>
      <c r="H20" s="26"/>
      <c r="I20" s="464">
        <v>-1771986</v>
      </c>
      <c r="J20" s="80">
        <v>2004518</v>
      </c>
      <c r="K20" s="80"/>
      <c r="L20" s="80"/>
      <c r="M20" s="80"/>
      <c r="N20" s="80">
        <f>SUM(I20:L20)</f>
        <v>232532</v>
      </c>
      <c r="O20" s="80">
        <f>SUM(M20:N20)</f>
        <v>232532</v>
      </c>
      <c r="R20" s="12">
        <f t="shared" si="2"/>
        <v>0</v>
      </c>
    </row>
    <row r="21" spans="1:18">
      <c r="C21" t="s">
        <v>331</v>
      </c>
      <c r="E21" s="8"/>
      <c r="F21" s="8"/>
      <c r="G21" s="8"/>
      <c r="H21" s="26"/>
      <c r="I21" s="464">
        <v>-77861</v>
      </c>
      <c r="J21" s="80">
        <v>83171</v>
      </c>
      <c r="K21" s="80"/>
      <c r="L21" s="80"/>
      <c r="M21" s="80"/>
      <c r="N21" s="80">
        <f t="shared" ref="N21" si="3">SUM(I21:L21)</f>
        <v>5310</v>
      </c>
      <c r="O21" s="80">
        <f t="shared" ref="O21:O22" si="4">SUM(M21:N21)</f>
        <v>5310</v>
      </c>
      <c r="R21" s="12">
        <f t="shared" si="2"/>
        <v>0</v>
      </c>
    </row>
    <row r="22" spans="1:18">
      <c r="C22" t="s">
        <v>413</v>
      </c>
      <c r="E22" s="8"/>
      <c r="F22" s="8"/>
      <c r="G22" s="8"/>
      <c r="H22" s="26"/>
      <c r="I22" s="465">
        <v>-1849034</v>
      </c>
      <c r="J22" s="80">
        <v>1558712</v>
      </c>
      <c r="K22" s="80"/>
      <c r="L22" s="80"/>
      <c r="M22" s="80"/>
      <c r="N22" s="80">
        <f>SUM(I22:L22)</f>
        <v>-290322</v>
      </c>
      <c r="O22" s="80">
        <f t="shared" si="4"/>
        <v>-290322</v>
      </c>
      <c r="R22" s="12">
        <f t="shared" si="2"/>
        <v>0</v>
      </c>
    </row>
    <row r="23" spans="1:18">
      <c r="C23" t="s">
        <v>414</v>
      </c>
      <c r="E23" s="8"/>
      <c r="F23" s="8"/>
      <c r="G23" s="8"/>
      <c r="H23" s="26"/>
      <c r="I23" s="466">
        <v>-205663</v>
      </c>
      <c r="J23" s="80">
        <v>15487</v>
      </c>
      <c r="K23" s="80">
        <v>20250</v>
      </c>
      <c r="L23" s="80"/>
      <c r="M23" s="80"/>
      <c r="N23" s="80">
        <f>SUM(I23:L23)</f>
        <v>-169926</v>
      </c>
      <c r="O23" s="80">
        <f>SUM(M23:N23)</f>
        <v>-169926</v>
      </c>
      <c r="R23" s="12">
        <f t="shared" si="2"/>
        <v>0</v>
      </c>
    </row>
    <row r="24" spans="1:18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  <c r="R24" s="12">
        <f t="shared" si="2"/>
        <v>0</v>
      </c>
    </row>
    <row r="25" spans="1:18">
      <c r="E25" s="19" t="s">
        <v>232</v>
      </c>
      <c r="F25" s="19"/>
      <c r="G25" s="19"/>
      <c r="H25" s="20"/>
      <c r="I25" s="20">
        <f t="shared" ref="I25:O25" si="5">SUM(I20:I23)</f>
        <v>-3904544</v>
      </c>
      <c r="J25" s="20">
        <f t="shared" si="5"/>
        <v>3661888</v>
      </c>
      <c r="K25" s="20">
        <f t="shared" si="5"/>
        <v>20250</v>
      </c>
      <c r="L25" s="20">
        <f t="shared" si="5"/>
        <v>0</v>
      </c>
      <c r="M25" s="82">
        <f t="shared" si="5"/>
        <v>0</v>
      </c>
      <c r="N25" s="82">
        <f t="shared" si="5"/>
        <v>-222406</v>
      </c>
      <c r="O25" s="82">
        <f t="shared" si="5"/>
        <v>-222406</v>
      </c>
      <c r="P25" s="84">
        <f>SUM(P13:P23)</f>
        <v>0</v>
      </c>
      <c r="Q25" s="84">
        <f>SUM(Q13:Q23)</f>
        <v>0</v>
      </c>
      <c r="R25" s="84">
        <f>SUM(R13:R23)</f>
        <v>0</v>
      </c>
    </row>
    <row r="26" spans="1:18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  <c r="R26" s="12"/>
    </row>
    <row r="27" spans="1:18">
      <c r="E27" s="19" t="s">
        <v>67</v>
      </c>
      <c r="F27" s="19"/>
      <c r="G27" s="19"/>
      <c r="H27" s="20"/>
      <c r="I27" s="20">
        <f>I25+I17</f>
        <v>-14983300</v>
      </c>
      <c r="J27" s="20">
        <f>J25+J17</f>
        <v>4834298</v>
      </c>
      <c r="K27" s="20">
        <f>SUM(K17+K25)</f>
        <v>2253734</v>
      </c>
      <c r="L27" s="20">
        <f>SUM(L17+L25)</f>
        <v>2100474</v>
      </c>
      <c r="M27" s="82">
        <f>M25+M17</f>
        <v>-5572388</v>
      </c>
      <c r="N27" s="82">
        <f>N25+N17</f>
        <v>-222406</v>
      </c>
      <c r="O27" s="82">
        <f>O25+O17</f>
        <v>-5794794</v>
      </c>
      <c r="P27" s="84">
        <f>SUM(P16:P25)</f>
        <v>0</v>
      </c>
      <c r="Q27" s="84">
        <f>SUM(Q16:Q25)</f>
        <v>0</v>
      </c>
      <c r="R27" s="84">
        <f>SUM(R16:R25)</f>
        <v>0</v>
      </c>
    </row>
    <row r="28" spans="1:18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  <c r="R28" s="12"/>
    </row>
    <row r="29" spans="1:18">
      <c r="A29" s="10" t="s">
        <v>23</v>
      </c>
      <c r="H29" s="12"/>
      <c r="I29" s="12"/>
      <c r="J29" s="12"/>
      <c r="K29" s="12"/>
      <c r="L29" s="12"/>
      <c r="M29" s="12"/>
      <c r="N29" s="12"/>
      <c r="O29" s="12"/>
      <c r="R29" s="12"/>
    </row>
    <row r="30" spans="1:18">
      <c r="B30" t="s">
        <v>111</v>
      </c>
      <c r="H30" s="12"/>
      <c r="I30" s="12">
        <v>-13750874</v>
      </c>
      <c r="J30" s="12">
        <v>2959667</v>
      </c>
      <c r="K30" s="12">
        <v>335156</v>
      </c>
      <c r="L30" s="12">
        <v>286640</v>
      </c>
      <c r="M30" s="12"/>
      <c r="N30" s="12"/>
      <c r="O30" s="12"/>
      <c r="P30" s="12">
        <f>SUM(I30:L30)</f>
        <v>-10169411</v>
      </c>
      <c r="R30" s="12">
        <f t="shared" si="2"/>
        <v>-10169411</v>
      </c>
    </row>
    <row r="31" spans="1:18">
      <c r="B31" t="s">
        <v>295</v>
      </c>
      <c r="H31" s="12"/>
      <c r="I31" s="12">
        <v>-24273503</v>
      </c>
      <c r="J31" s="12">
        <v>18875884</v>
      </c>
      <c r="K31" s="12">
        <v>3217824</v>
      </c>
      <c r="L31" s="12">
        <v>899274</v>
      </c>
      <c r="M31" s="12"/>
      <c r="N31" s="12"/>
      <c r="O31" s="12"/>
      <c r="Q31" s="12">
        <f>SUM(I31:L31)</f>
        <v>-1280521</v>
      </c>
      <c r="R31" s="12">
        <f t="shared" si="2"/>
        <v>-1280521</v>
      </c>
    </row>
    <row r="32" spans="1:18">
      <c r="H32" s="12"/>
      <c r="I32" s="12"/>
      <c r="J32" s="12"/>
      <c r="K32" s="12"/>
      <c r="L32" s="12"/>
      <c r="M32" s="12"/>
      <c r="N32" s="12"/>
      <c r="O32" s="12"/>
      <c r="R32" s="12"/>
    </row>
    <row r="33" spans="1:18">
      <c r="E33" s="19" t="s">
        <v>70</v>
      </c>
      <c r="F33" s="19"/>
      <c r="G33" s="19"/>
      <c r="H33" s="20"/>
      <c r="I33" s="20">
        <f t="shared" ref="I33:R33" si="6">SUM(I30:I31)</f>
        <v>-38024377</v>
      </c>
      <c r="J33" s="20">
        <f t="shared" si="6"/>
        <v>21835551</v>
      </c>
      <c r="K33" s="20">
        <f t="shared" si="6"/>
        <v>3552980</v>
      </c>
      <c r="L33" s="20">
        <f t="shared" si="6"/>
        <v>1185914</v>
      </c>
      <c r="M33" s="82">
        <f t="shared" si="6"/>
        <v>0</v>
      </c>
      <c r="N33" s="82">
        <f t="shared" si="6"/>
        <v>0</v>
      </c>
      <c r="O33" s="82">
        <f t="shared" si="6"/>
        <v>0</v>
      </c>
      <c r="P33" s="85">
        <f t="shared" si="6"/>
        <v>-10169411</v>
      </c>
      <c r="Q33" s="85">
        <f t="shared" si="6"/>
        <v>-1280521</v>
      </c>
      <c r="R33" s="85">
        <f t="shared" si="6"/>
        <v>-11449932</v>
      </c>
    </row>
    <row r="34" spans="1:18">
      <c r="H34" s="12"/>
      <c r="I34" s="12"/>
      <c r="J34" s="12"/>
      <c r="K34" s="12"/>
      <c r="L34" s="12"/>
      <c r="M34" s="12"/>
      <c r="N34" s="12"/>
      <c r="O34" s="12"/>
      <c r="R34" s="12"/>
    </row>
    <row r="35" spans="1:18">
      <c r="A35" s="8"/>
      <c r="B35" s="8"/>
      <c r="C35" s="8"/>
      <c r="D35" s="8"/>
      <c r="E35" s="8"/>
      <c r="G35" s="8" t="s">
        <v>25</v>
      </c>
      <c r="H35" s="26"/>
      <c r="I35" s="26"/>
      <c r="J35" s="26"/>
      <c r="K35" s="26"/>
      <c r="L35" s="26"/>
      <c r="M35" s="12"/>
      <c r="N35" s="12"/>
      <c r="O35" s="12"/>
      <c r="R35" s="12"/>
    </row>
    <row r="36" spans="1:18">
      <c r="A36" s="8"/>
      <c r="B36" s="8"/>
      <c r="C36" s="8"/>
      <c r="D36" s="8"/>
      <c r="E36" s="8"/>
      <c r="G36" s="8"/>
      <c r="H36" s="80" t="s">
        <v>26</v>
      </c>
      <c r="I36" s="26"/>
      <c r="J36" s="26"/>
      <c r="K36" s="26"/>
      <c r="L36" s="26"/>
      <c r="M36" s="12"/>
      <c r="N36" s="12"/>
      <c r="O36" s="12"/>
      <c r="R36" s="12"/>
    </row>
    <row r="37" spans="1:18">
      <c r="H37" s="12"/>
      <c r="I37" s="12" t="s">
        <v>27</v>
      </c>
      <c r="J37" s="12"/>
      <c r="K37" s="12"/>
      <c r="L37" s="12"/>
      <c r="M37" s="28">
        <v>2910585</v>
      </c>
      <c r="N37" s="12"/>
      <c r="O37" s="12">
        <f t="shared" ref="O37:O44" si="7">SUM(M37:N37)</f>
        <v>2910585</v>
      </c>
      <c r="P37" s="12">
        <v>9408057</v>
      </c>
      <c r="Q37">
        <v>218446</v>
      </c>
      <c r="R37" s="12">
        <f t="shared" si="2"/>
        <v>9626503</v>
      </c>
    </row>
    <row r="38" spans="1:18">
      <c r="H38" s="12"/>
      <c r="I38" s="12" t="s">
        <v>28</v>
      </c>
      <c r="J38" s="12"/>
      <c r="K38" s="12"/>
      <c r="L38" s="12"/>
      <c r="M38" s="14">
        <v>3273771</v>
      </c>
      <c r="N38" s="12">
        <v>689215</v>
      </c>
      <c r="O38" s="12">
        <f t="shared" si="7"/>
        <v>3962986</v>
      </c>
      <c r="P38" s="12">
        <v>848418</v>
      </c>
      <c r="Q38" s="12">
        <v>1888155</v>
      </c>
      <c r="R38" s="12">
        <f t="shared" si="2"/>
        <v>2736573</v>
      </c>
    </row>
    <row r="39" spans="1:18">
      <c r="H39" s="12"/>
      <c r="I39" s="12" t="s">
        <v>157</v>
      </c>
      <c r="J39" s="12"/>
      <c r="K39" s="12"/>
      <c r="L39" s="12"/>
      <c r="M39" s="14">
        <v>25521</v>
      </c>
      <c r="N39" s="12"/>
      <c r="O39" s="12">
        <f t="shared" si="7"/>
        <v>25521</v>
      </c>
      <c r="P39" s="12"/>
      <c r="R39" s="12">
        <f t="shared" si="2"/>
        <v>0</v>
      </c>
    </row>
    <row r="40" spans="1:18">
      <c r="H40" s="12"/>
      <c r="I40" s="12" t="s">
        <v>32</v>
      </c>
      <c r="J40" s="12"/>
      <c r="K40" s="12"/>
      <c r="L40" s="12"/>
      <c r="M40" s="15">
        <v>21388</v>
      </c>
      <c r="N40" s="12"/>
      <c r="O40" s="12">
        <f t="shared" si="7"/>
        <v>21388</v>
      </c>
      <c r="P40" s="12">
        <v>151841</v>
      </c>
      <c r="Q40">
        <v>7417</v>
      </c>
      <c r="R40" s="12">
        <f t="shared" si="2"/>
        <v>159258</v>
      </c>
    </row>
    <row r="41" spans="1:18">
      <c r="H41" s="12" t="s">
        <v>33</v>
      </c>
      <c r="I41" s="12"/>
      <c r="J41" s="12"/>
      <c r="K41" s="12"/>
      <c r="L41" s="12"/>
      <c r="M41" s="11">
        <v>83421</v>
      </c>
      <c r="N41" s="12"/>
      <c r="O41" s="12">
        <f t="shared" si="7"/>
        <v>83421</v>
      </c>
      <c r="P41" s="12">
        <v>644596</v>
      </c>
      <c r="Q41">
        <v>747149</v>
      </c>
      <c r="R41" s="12">
        <f t="shared" si="2"/>
        <v>1391745</v>
      </c>
    </row>
    <row r="42" spans="1:18">
      <c r="H42" s="12" t="s">
        <v>50</v>
      </c>
      <c r="I42" s="12"/>
      <c r="J42" s="12"/>
      <c r="K42" s="12"/>
      <c r="L42" s="12"/>
      <c r="M42" s="29">
        <v>6862</v>
      </c>
      <c r="N42" s="12">
        <v>168</v>
      </c>
      <c r="O42" s="12">
        <f>SUM(M42:N42)</f>
        <v>7030</v>
      </c>
      <c r="P42" s="12">
        <v>45366</v>
      </c>
      <c r="Q42" s="12">
        <v>-457333</v>
      </c>
      <c r="R42" s="12">
        <f t="shared" si="2"/>
        <v>-411967</v>
      </c>
    </row>
    <row r="43" spans="1:18">
      <c r="H43" s="12" t="s">
        <v>415</v>
      </c>
      <c r="I43" s="12"/>
      <c r="J43" s="12"/>
      <c r="K43" s="12"/>
      <c r="L43" s="12"/>
      <c r="M43" s="29">
        <v>1453</v>
      </c>
      <c r="N43" s="12"/>
      <c r="O43" s="12">
        <f t="shared" si="7"/>
        <v>1453</v>
      </c>
      <c r="P43" s="12">
        <v>8833</v>
      </c>
      <c r="Q43">
        <v>25860</v>
      </c>
      <c r="R43" s="12">
        <f t="shared" si="2"/>
        <v>34693</v>
      </c>
    </row>
    <row r="44" spans="1:18">
      <c r="H44" s="12" t="s">
        <v>242</v>
      </c>
      <c r="I44" s="12"/>
      <c r="J44" s="12"/>
      <c r="K44" s="12"/>
      <c r="L44" s="12"/>
      <c r="M44" s="88">
        <v>537500</v>
      </c>
      <c r="N44" s="12">
        <v>-537500</v>
      </c>
      <c r="O44" s="12">
        <f t="shared" si="7"/>
        <v>0</v>
      </c>
      <c r="P44" s="9"/>
      <c r="R44" s="12">
        <f t="shared" si="2"/>
        <v>0</v>
      </c>
    </row>
    <row r="45" spans="1:18">
      <c r="H45" s="12"/>
      <c r="I45" s="12"/>
      <c r="J45" s="12"/>
      <c r="K45" s="12"/>
      <c r="L45" s="12"/>
      <c r="M45" s="12"/>
      <c r="N45" s="12"/>
      <c r="O45" s="12"/>
      <c r="R45" s="12"/>
    </row>
    <row r="46" spans="1:18">
      <c r="H46" s="20" t="s">
        <v>195</v>
      </c>
      <c r="I46" s="20"/>
      <c r="J46" s="20"/>
      <c r="K46" s="20"/>
      <c r="L46" s="20"/>
      <c r="M46" s="20">
        <f t="shared" ref="M46:R46" si="8">SUM(M37:M44)</f>
        <v>6860501</v>
      </c>
      <c r="N46" s="20">
        <f t="shared" si="8"/>
        <v>151883</v>
      </c>
      <c r="O46" s="20">
        <f t="shared" si="8"/>
        <v>7012384</v>
      </c>
      <c r="P46" s="85">
        <f t="shared" si="8"/>
        <v>11107111</v>
      </c>
      <c r="Q46" s="84">
        <f t="shared" si="8"/>
        <v>2429694</v>
      </c>
      <c r="R46" s="84">
        <f t="shared" si="8"/>
        <v>13536805</v>
      </c>
    </row>
    <row r="47" spans="1:18">
      <c r="H47" s="12"/>
      <c r="I47" s="12"/>
      <c r="J47" s="12"/>
      <c r="K47" s="12"/>
      <c r="L47" s="12"/>
      <c r="M47" s="12"/>
      <c r="N47" s="12"/>
      <c r="O47" s="12"/>
      <c r="R47" s="12"/>
    </row>
    <row r="48" spans="1:18">
      <c r="H48" s="20" t="s">
        <v>39</v>
      </c>
      <c r="I48" s="20"/>
      <c r="J48" s="20"/>
      <c r="K48" s="20"/>
      <c r="L48" s="20"/>
      <c r="M48" s="20">
        <f>M46+M17</f>
        <v>1288113</v>
      </c>
      <c r="N48" s="20">
        <f>N46+N27</f>
        <v>-70523</v>
      </c>
      <c r="O48" s="20">
        <f t="shared" ref="O48" si="9">O46+O27</f>
        <v>1217590</v>
      </c>
      <c r="P48" s="20">
        <f>P46+P33</f>
        <v>937700</v>
      </c>
      <c r="Q48" s="20">
        <f>Q46+Q33</f>
        <v>1149173</v>
      </c>
      <c r="R48" s="20">
        <f>R46+R33</f>
        <v>2086873</v>
      </c>
    </row>
    <row r="49" spans="5:18">
      <c r="H49" s="26"/>
      <c r="I49" s="26"/>
      <c r="J49" s="26"/>
      <c r="K49" s="26"/>
      <c r="L49" s="26"/>
      <c r="M49" s="26"/>
      <c r="N49" s="26"/>
      <c r="O49" s="26"/>
      <c r="R49" s="12"/>
    </row>
    <row r="50" spans="5:18">
      <c r="E50" s="31" t="s">
        <v>289</v>
      </c>
      <c r="F50" s="31"/>
      <c r="G50" s="31"/>
      <c r="H50" s="32"/>
      <c r="I50" s="32"/>
      <c r="J50" s="32"/>
      <c r="K50" s="32"/>
      <c r="L50" s="32"/>
      <c r="M50" s="33">
        <v>13500998</v>
      </c>
      <c r="N50" s="33">
        <v>2020631</v>
      </c>
      <c r="O50" s="33">
        <v>15521629</v>
      </c>
      <c r="P50" s="86">
        <v>27058178</v>
      </c>
      <c r="Q50" s="86">
        <v>42135396</v>
      </c>
      <c r="R50" s="86">
        <v>69193574</v>
      </c>
    </row>
    <row r="51" spans="5:18">
      <c r="H51" s="12"/>
      <c r="I51" s="12"/>
      <c r="J51" s="12"/>
      <c r="K51" s="12"/>
      <c r="L51" s="12"/>
      <c r="M51" s="12"/>
      <c r="N51" s="12"/>
      <c r="O51" s="12"/>
      <c r="R51" s="12"/>
    </row>
    <row r="52" spans="5:18">
      <c r="E52" s="34" t="s">
        <v>55</v>
      </c>
      <c r="F52" s="34"/>
      <c r="G52" s="34"/>
      <c r="H52" s="35"/>
      <c r="I52" s="35"/>
      <c r="J52" s="35"/>
      <c r="K52" s="35"/>
      <c r="L52" s="35"/>
      <c r="M52" s="83">
        <f>SUM(M48,M50)</f>
        <v>14789111</v>
      </c>
      <c r="N52" s="83">
        <f>N50+N48</f>
        <v>1950108</v>
      </c>
      <c r="O52" s="83">
        <f>O50+O48</f>
        <v>16739219</v>
      </c>
      <c r="P52" s="87">
        <f>P50+P48</f>
        <v>27995878</v>
      </c>
      <c r="Q52" s="87">
        <f>Q50+Q48</f>
        <v>43284569</v>
      </c>
      <c r="R52" s="87">
        <f>R50+R48</f>
        <v>71280447</v>
      </c>
    </row>
    <row r="59" spans="5:18">
      <c r="K59" s="9"/>
      <c r="L59" s="9"/>
      <c r="M59" s="9"/>
      <c r="N59" s="9"/>
      <c r="O59" s="9"/>
    </row>
  </sheetData>
  <mergeCells count="6">
    <mergeCell ref="J1:M1"/>
    <mergeCell ref="J2:M2"/>
    <mergeCell ref="M3:P3"/>
    <mergeCell ref="J4:L4"/>
    <mergeCell ref="M4:O4"/>
    <mergeCell ref="P4:Q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40"/>
  <sheetViews>
    <sheetView zoomScale="80" zoomScaleNormal="80" zoomScalePageLayoutView="80" workbookViewId="0">
      <selection activeCell="F12" sqref="F12"/>
    </sheetView>
  </sheetViews>
  <sheetFormatPr defaultColWidth="8.85546875" defaultRowHeight="15"/>
  <cols>
    <col min="1" max="1" width="5.85546875" customWidth="1"/>
    <col min="2" max="2" width="3.7109375" customWidth="1"/>
    <col min="3" max="3" width="7.7109375" customWidth="1"/>
    <col min="4" max="4" width="23.7109375" customWidth="1"/>
    <col min="6" max="6" width="9.42578125" customWidth="1"/>
    <col min="7" max="7" width="7.85546875" customWidth="1"/>
    <col min="8" max="8" width="19.28515625" customWidth="1"/>
    <col min="9" max="9" width="17.28515625" customWidth="1"/>
    <col min="10" max="10" width="20.85546875" customWidth="1"/>
    <col min="11" max="11" width="19.85546875" customWidth="1"/>
    <col min="12" max="12" width="18.85546875" customWidth="1"/>
    <col min="13" max="13" width="26.42578125" customWidth="1"/>
  </cols>
  <sheetData>
    <row r="1" spans="1:13" ht="23.25">
      <c r="A1" s="216"/>
      <c r="B1" s="216"/>
      <c r="C1" s="216"/>
      <c r="D1" s="216"/>
      <c r="E1" s="216"/>
      <c r="F1" s="216"/>
      <c r="G1" s="216"/>
      <c r="H1" s="216"/>
      <c r="I1" s="533" t="s">
        <v>416</v>
      </c>
      <c r="J1" s="533"/>
      <c r="K1" s="533"/>
      <c r="L1" s="533"/>
      <c r="M1" s="533"/>
    </row>
    <row r="2" spans="1:13" ht="18.75">
      <c r="A2" s="216"/>
      <c r="B2" s="216"/>
      <c r="C2" s="216"/>
      <c r="D2" s="216"/>
      <c r="E2" s="216"/>
      <c r="F2" s="216"/>
      <c r="G2" s="216"/>
      <c r="H2" s="216"/>
      <c r="I2" s="534" t="s">
        <v>1</v>
      </c>
      <c r="J2" s="534"/>
      <c r="K2" s="534"/>
      <c r="L2" s="534"/>
      <c r="M2" s="534"/>
    </row>
    <row r="3" spans="1:13" ht="42" customHeight="1">
      <c r="A3" s="216" t="s">
        <v>3</v>
      </c>
      <c r="B3" s="211"/>
      <c r="C3" s="211"/>
      <c r="D3" s="211"/>
      <c r="E3" s="211"/>
      <c r="F3" s="211"/>
      <c r="G3" s="211"/>
      <c r="H3" s="211"/>
      <c r="I3" s="527" t="s">
        <v>4</v>
      </c>
      <c r="J3" s="527"/>
      <c r="K3" s="527"/>
      <c r="L3" s="527" t="s">
        <v>57</v>
      </c>
      <c r="M3" s="527"/>
    </row>
    <row r="4" spans="1:13" ht="42" customHeight="1">
      <c r="A4" s="289" t="s">
        <v>6</v>
      </c>
      <c r="B4" s="284"/>
      <c r="C4" s="284"/>
      <c r="D4" s="284"/>
      <c r="E4" s="284"/>
      <c r="F4" s="284"/>
      <c r="G4" s="284"/>
      <c r="H4" s="212" t="s">
        <v>7</v>
      </c>
      <c r="I4" s="212" t="s">
        <v>8</v>
      </c>
      <c r="J4" s="212" t="s">
        <v>9</v>
      </c>
      <c r="K4" s="212" t="s">
        <v>10</v>
      </c>
      <c r="L4" s="245">
        <v>2014</v>
      </c>
      <c r="M4" s="245">
        <v>2013</v>
      </c>
    </row>
    <row r="5" spans="1:13" ht="24" customHeight="1">
      <c r="A5" s="291" t="s">
        <v>417</v>
      </c>
      <c r="B5" s="284"/>
      <c r="C5" s="284"/>
      <c r="D5" s="284"/>
      <c r="E5" s="284"/>
      <c r="F5" s="284"/>
      <c r="G5" s="284"/>
      <c r="H5" s="292"/>
      <c r="I5" s="292"/>
      <c r="J5" s="292"/>
      <c r="K5" s="292"/>
      <c r="L5" s="292"/>
      <c r="M5" s="292"/>
    </row>
    <row r="6" spans="1:13" ht="21.75" customHeight="1">
      <c r="A6" s="284"/>
      <c r="B6" s="284" t="s">
        <v>15</v>
      </c>
      <c r="C6" s="284"/>
      <c r="D6" s="284"/>
      <c r="E6" s="284"/>
      <c r="F6" s="284"/>
      <c r="G6" s="254"/>
      <c r="H6" s="254"/>
      <c r="I6" s="254"/>
      <c r="J6" s="254"/>
      <c r="K6" s="254"/>
      <c r="L6" s="254"/>
      <c r="M6" s="254"/>
    </row>
    <row r="7" spans="1:13" ht="20.25" customHeight="1">
      <c r="A7" s="284"/>
      <c r="B7" s="284"/>
      <c r="C7" s="284" t="s">
        <v>61</v>
      </c>
      <c r="D7" s="284"/>
      <c r="E7" s="284"/>
      <c r="F7" s="284"/>
      <c r="G7" s="284"/>
      <c r="H7" s="293">
        <v>-436191</v>
      </c>
      <c r="I7" s="254"/>
      <c r="J7" s="254"/>
      <c r="K7" s="254"/>
      <c r="L7" s="254">
        <f>SUM(H7:K7)</f>
        <v>-436191</v>
      </c>
      <c r="M7" s="254">
        <v>-435329</v>
      </c>
    </row>
    <row r="8" spans="1:13">
      <c r="A8" s="284"/>
      <c r="B8" s="284"/>
      <c r="C8" s="284" t="s">
        <v>62</v>
      </c>
      <c r="D8" s="284"/>
      <c r="E8" s="284"/>
      <c r="F8" s="284"/>
      <c r="G8" s="284"/>
      <c r="H8" s="294">
        <v>-4733288</v>
      </c>
      <c r="I8" s="254">
        <v>728190</v>
      </c>
      <c r="J8" s="254">
        <v>150230</v>
      </c>
      <c r="K8" s="254"/>
      <c r="L8" s="254">
        <f>SUM(H8:K8)</f>
        <v>-3854868</v>
      </c>
      <c r="M8" s="254">
        <v>-2039060</v>
      </c>
    </row>
    <row r="9" spans="1:13">
      <c r="A9" s="284"/>
      <c r="B9" s="284"/>
      <c r="C9" s="284" t="s">
        <v>63</v>
      </c>
      <c r="D9" s="284"/>
      <c r="E9" s="284"/>
      <c r="F9" s="284"/>
      <c r="G9" s="284"/>
      <c r="H9" s="295">
        <v>-280446</v>
      </c>
      <c r="I9" s="254"/>
      <c r="J9" s="254"/>
      <c r="K9" s="254"/>
      <c r="L9" s="254">
        <f t="shared" ref="L9:L17" si="0">SUM(H9:K9)</f>
        <v>-280446</v>
      </c>
      <c r="M9" s="254">
        <v>-330382</v>
      </c>
    </row>
    <row r="10" spans="1:13" ht="17.25" customHeight="1">
      <c r="A10" s="284"/>
      <c r="B10" s="284"/>
      <c r="C10" s="284" t="s">
        <v>64</v>
      </c>
      <c r="D10" s="284"/>
      <c r="E10" s="284"/>
      <c r="F10" s="284"/>
      <c r="G10" s="284"/>
      <c r="H10" s="296">
        <v>-4882839</v>
      </c>
      <c r="I10" s="254"/>
      <c r="J10" s="254"/>
      <c r="K10" s="254"/>
      <c r="L10" s="254">
        <f t="shared" si="0"/>
        <v>-4882839</v>
      </c>
      <c r="M10" s="254">
        <v>-3334985</v>
      </c>
    </row>
    <row r="11" spans="1:13">
      <c r="A11" s="284"/>
      <c r="B11" s="284"/>
      <c r="C11" s="284" t="s">
        <v>32</v>
      </c>
      <c r="D11" s="284"/>
      <c r="E11" s="284"/>
      <c r="F11" s="284"/>
      <c r="G11" s="284"/>
      <c r="H11" s="297">
        <v>-2316930</v>
      </c>
      <c r="I11" s="254">
        <v>672200</v>
      </c>
      <c r="J11" s="254"/>
      <c r="K11" s="254"/>
      <c r="L11" s="254">
        <f t="shared" si="0"/>
        <v>-1644730</v>
      </c>
      <c r="M11" s="254">
        <v>-2053564</v>
      </c>
    </row>
    <row r="12" spans="1:13" ht="17.25" customHeight="1">
      <c r="A12" s="284"/>
      <c r="B12" s="284" t="s">
        <v>16</v>
      </c>
      <c r="C12" s="284"/>
      <c r="D12" s="284"/>
      <c r="E12" s="284"/>
      <c r="F12" s="284"/>
      <c r="G12" s="254"/>
      <c r="H12" s="298">
        <v>-9485514</v>
      </c>
      <c r="I12" s="254">
        <v>2058577</v>
      </c>
      <c r="J12" s="254"/>
      <c r="K12" s="254"/>
      <c r="L12" s="254">
        <f t="shared" si="0"/>
        <v>-7426937</v>
      </c>
      <c r="M12" s="254">
        <v>-9758227</v>
      </c>
    </row>
    <row r="13" spans="1:13" ht="20.25" customHeight="1">
      <c r="A13" s="284"/>
      <c r="B13" s="284" t="s">
        <v>17</v>
      </c>
      <c r="C13" s="284"/>
      <c r="D13" s="284"/>
      <c r="E13" s="284"/>
      <c r="F13" s="284"/>
      <c r="G13" s="254"/>
      <c r="H13" s="299">
        <v>-12998476</v>
      </c>
      <c r="I13" s="254"/>
      <c r="J13" s="254">
        <v>4075535</v>
      </c>
      <c r="K13" s="254">
        <v>1009261</v>
      </c>
      <c r="L13" s="254">
        <f t="shared" si="0"/>
        <v>-7913680</v>
      </c>
      <c r="M13" s="254">
        <v>-9924580</v>
      </c>
    </row>
    <row r="14" spans="1:13" ht="17.25" customHeight="1">
      <c r="A14" s="284"/>
      <c r="B14" s="284" t="s">
        <v>19</v>
      </c>
      <c r="C14" s="284"/>
      <c r="D14" s="284"/>
      <c r="E14" s="284"/>
      <c r="F14" s="284"/>
      <c r="G14" s="254"/>
      <c r="H14" s="300">
        <v>-1516640</v>
      </c>
      <c r="I14" s="254"/>
      <c r="J14" s="254">
        <v>733769</v>
      </c>
      <c r="K14" s="254"/>
      <c r="L14" s="254">
        <f t="shared" si="0"/>
        <v>-782871</v>
      </c>
      <c r="M14" s="254">
        <v>-562162</v>
      </c>
    </row>
    <row r="15" spans="1:13" ht="17.25" customHeight="1">
      <c r="A15" s="284"/>
      <c r="B15" s="284" t="s">
        <v>20</v>
      </c>
      <c r="C15" s="284"/>
      <c r="D15" s="284"/>
      <c r="E15" s="284"/>
      <c r="F15" s="284"/>
      <c r="G15" s="254"/>
      <c r="H15" s="301">
        <v>-339518</v>
      </c>
      <c r="I15" s="254">
        <v>132205</v>
      </c>
      <c r="J15" s="254"/>
      <c r="K15" s="254"/>
      <c r="L15" s="254">
        <f t="shared" si="0"/>
        <v>-207313</v>
      </c>
      <c r="M15" s="254">
        <v>-1626425</v>
      </c>
    </row>
    <row r="16" spans="1:13" ht="23.25" customHeight="1">
      <c r="A16" s="284"/>
      <c r="B16" s="284" t="s">
        <v>18</v>
      </c>
      <c r="C16" s="284"/>
      <c r="D16" s="284"/>
      <c r="E16" s="284"/>
      <c r="F16" s="284"/>
      <c r="G16" s="254"/>
      <c r="H16" s="302">
        <v>-7773687</v>
      </c>
      <c r="I16" s="254"/>
      <c r="J16" s="254"/>
      <c r="K16" s="254">
        <v>5671184</v>
      </c>
      <c r="L16" s="254">
        <f t="shared" si="0"/>
        <v>-2102503</v>
      </c>
      <c r="M16" s="254">
        <v>-1706922</v>
      </c>
    </row>
    <row r="17" spans="1:13" ht="16.5" customHeight="1">
      <c r="A17" s="284"/>
      <c r="B17" s="284" t="s">
        <v>100</v>
      </c>
      <c r="C17" s="284"/>
      <c r="D17" s="284"/>
      <c r="E17" s="284"/>
      <c r="F17" s="284"/>
      <c r="G17" s="254"/>
      <c r="H17" s="294">
        <v>-882463</v>
      </c>
      <c r="I17" s="254"/>
      <c r="J17" s="254"/>
      <c r="K17" s="254"/>
      <c r="L17" s="254">
        <f t="shared" si="0"/>
        <v>-882463</v>
      </c>
      <c r="M17" s="254">
        <v>-1097914</v>
      </c>
    </row>
    <row r="18" spans="1:13">
      <c r="A18" s="284"/>
      <c r="B18" s="284"/>
      <c r="C18" s="284"/>
      <c r="D18" s="284"/>
      <c r="E18" s="284"/>
      <c r="F18" s="284"/>
      <c r="G18" s="254"/>
      <c r="H18" s="254"/>
      <c r="I18" s="254"/>
      <c r="J18" s="254"/>
      <c r="K18" s="254"/>
      <c r="L18" s="254"/>
      <c r="M18" s="254"/>
    </row>
    <row r="19" spans="1:13" ht="15" customHeight="1">
      <c r="A19" s="284"/>
      <c r="B19" s="284"/>
      <c r="C19" s="284"/>
      <c r="D19" s="256" t="s">
        <v>22</v>
      </c>
      <c r="E19" s="256"/>
      <c r="F19" s="256"/>
      <c r="G19" s="303"/>
      <c r="H19" s="303">
        <f>SUM(H7:H17)</f>
        <v>-45645992</v>
      </c>
      <c r="I19" s="303">
        <f t="shared" ref="I19:L19" si="1">SUM(I7:I17)</f>
        <v>3591172</v>
      </c>
      <c r="J19" s="303">
        <f>SUM(J7:J17)</f>
        <v>4959534</v>
      </c>
      <c r="K19" s="303">
        <f t="shared" si="1"/>
        <v>6680445</v>
      </c>
      <c r="L19" s="303">
        <f t="shared" si="1"/>
        <v>-30414841</v>
      </c>
      <c r="M19" s="303">
        <f>SUM(M7:M17)</f>
        <v>-32869550</v>
      </c>
    </row>
    <row r="20" spans="1:13">
      <c r="A20" s="284"/>
      <c r="B20" s="284"/>
      <c r="C20" s="284"/>
      <c r="D20" s="284"/>
      <c r="E20" s="284"/>
      <c r="F20" s="284"/>
      <c r="G20" s="254"/>
      <c r="H20" s="254"/>
      <c r="I20" s="254"/>
      <c r="J20" s="254"/>
      <c r="K20" s="254"/>
      <c r="L20" s="254"/>
      <c r="M20" s="254"/>
    </row>
    <row r="21" spans="1:13" ht="15" customHeight="1">
      <c r="A21" s="291"/>
      <c r="B21" s="291"/>
      <c r="C21" s="291"/>
      <c r="D21" s="291"/>
      <c r="E21" s="284"/>
      <c r="F21" s="291" t="s">
        <v>25</v>
      </c>
      <c r="G21" s="304"/>
      <c r="H21" s="304"/>
      <c r="I21" s="304"/>
      <c r="J21" s="304"/>
      <c r="K21" s="304"/>
      <c r="L21" s="304"/>
      <c r="M21" s="304"/>
    </row>
    <row r="22" spans="1:13">
      <c r="A22" s="291"/>
      <c r="B22" s="291"/>
      <c r="C22" s="291"/>
      <c r="D22" s="291"/>
      <c r="E22" s="284"/>
      <c r="F22" s="305"/>
      <c r="G22" s="306" t="s">
        <v>26</v>
      </c>
      <c r="H22" s="304"/>
      <c r="I22" s="304"/>
      <c r="J22" s="304"/>
      <c r="K22" s="304"/>
      <c r="L22" s="304"/>
      <c r="M22" s="304"/>
    </row>
    <row r="23" spans="1:13" ht="18.75" customHeight="1">
      <c r="A23" s="284"/>
      <c r="B23" s="284"/>
      <c r="C23" s="284"/>
      <c r="D23" s="284"/>
      <c r="E23" s="284"/>
      <c r="F23" s="284"/>
      <c r="G23" s="254"/>
      <c r="H23" s="254" t="s">
        <v>136</v>
      </c>
      <c r="I23" s="254"/>
      <c r="J23" s="254"/>
      <c r="K23" s="254"/>
      <c r="L23" s="257">
        <v>20981914</v>
      </c>
      <c r="M23" s="254">
        <v>20306057</v>
      </c>
    </row>
    <row r="24" spans="1:13" ht="13.5" customHeight="1">
      <c r="A24" s="284"/>
      <c r="B24" s="284"/>
      <c r="C24" s="284"/>
      <c r="D24" s="284"/>
      <c r="E24" s="284"/>
      <c r="F24" s="284"/>
      <c r="G24" s="254"/>
      <c r="H24" s="254" t="s">
        <v>81</v>
      </c>
      <c r="I24" s="254"/>
      <c r="J24" s="254"/>
      <c r="K24" s="254"/>
      <c r="L24" s="299">
        <v>2241933</v>
      </c>
      <c r="M24" s="254">
        <v>2149681</v>
      </c>
    </row>
    <row r="25" spans="1:13" ht="18.75" customHeight="1">
      <c r="A25" s="284"/>
      <c r="B25" s="284"/>
      <c r="C25" s="284"/>
      <c r="D25" s="284"/>
      <c r="E25" s="284"/>
      <c r="F25" s="284"/>
      <c r="G25" s="254"/>
      <c r="H25" s="254" t="s">
        <v>418</v>
      </c>
      <c r="I25" s="254"/>
      <c r="J25" s="254"/>
      <c r="K25" s="254"/>
      <c r="L25" s="299">
        <v>2735358</v>
      </c>
      <c r="M25" s="254">
        <v>2523515</v>
      </c>
    </row>
    <row r="26" spans="1:13" ht="18.75" customHeight="1">
      <c r="A26" s="284"/>
      <c r="B26" s="284"/>
      <c r="C26" s="284"/>
      <c r="D26" s="284"/>
      <c r="E26" s="284"/>
      <c r="F26" s="284"/>
      <c r="G26" s="254"/>
      <c r="H26" s="254" t="s">
        <v>419</v>
      </c>
      <c r="I26" s="254"/>
      <c r="J26" s="254"/>
      <c r="K26" s="254"/>
      <c r="L26" s="300">
        <v>594810</v>
      </c>
      <c r="M26" s="254">
        <v>584773</v>
      </c>
    </row>
    <row r="27" spans="1:13" ht="20.25" customHeight="1">
      <c r="A27" s="284"/>
      <c r="B27" s="284"/>
      <c r="C27" s="284"/>
      <c r="D27" s="284"/>
      <c r="E27" s="284"/>
      <c r="F27" s="284"/>
      <c r="G27" s="254" t="s">
        <v>106</v>
      </c>
      <c r="H27" s="254"/>
      <c r="I27" s="254"/>
      <c r="J27" s="254"/>
      <c r="K27" s="254"/>
      <c r="L27" s="307">
        <v>1156994</v>
      </c>
      <c r="M27" s="254">
        <v>602475</v>
      </c>
    </row>
    <row r="28" spans="1:13" ht="17.25" customHeight="1">
      <c r="A28" s="284"/>
      <c r="B28" s="284"/>
      <c r="C28" s="284"/>
      <c r="D28" s="284"/>
      <c r="E28" s="284"/>
      <c r="F28" s="284"/>
      <c r="G28" s="254" t="s">
        <v>420</v>
      </c>
      <c r="H28" s="254"/>
      <c r="I28" s="254"/>
      <c r="J28" s="254"/>
      <c r="K28" s="254"/>
      <c r="L28" s="308">
        <v>173076</v>
      </c>
      <c r="M28" s="254">
        <v>994749</v>
      </c>
    </row>
    <row r="29" spans="1:13" ht="18.75" customHeight="1">
      <c r="A29" s="284"/>
      <c r="B29" s="284"/>
      <c r="C29" s="284"/>
      <c r="D29" s="284"/>
      <c r="E29" s="284"/>
      <c r="F29" s="284"/>
      <c r="G29" s="254" t="s">
        <v>421</v>
      </c>
      <c r="H29" s="254"/>
      <c r="I29" s="254"/>
      <c r="J29" s="254"/>
      <c r="K29" s="254"/>
      <c r="L29" s="309">
        <v>665032</v>
      </c>
      <c r="M29" s="254">
        <v>872711</v>
      </c>
    </row>
    <row r="30" spans="1:13" ht="18.75" customHeight="1">
      <c r="A30" s="284"/>
      <c r="B30" s="284"/>
      <c r="C30" s="284"/>
      <c r="D30" s="284"/>
      <c r="E30" s="284"/>
      <c r="F30" s="284"/>
      <c r="G30" s="254" t="s">
        <v>422</v>
      </c>
      <c r="H30" s="254"/>
      <c r="I30" s="254"/>
      <c r="J30" s="254"/>
      <c r="K30" s="254"/>
      <c r="L30" s="309">
        <v>258045</v>
      </c>
      <c r="M30" s="254"/>
    </row>
    <row r="31" spans="1:13" ht="18.75" customHeight="1">
      <c r="A31" s="284"/>
      <c r="B31" s="284"/>
      <c r="C31" s="284"/>
      <c r="D31" s="284"/>
      <c r="E31" s="284"/>
      <c r="F31" s="284"/>
      <c r="G31" s="254" t="s">
        <v>86</v>
      </c>
      <c r="H31" s="254"/>
      <c r="I31" s="254"/>
      <c r="J31" s="254"/>
      <c r="K31" s="254"/>
      <c r="L31" s="307">
        <v>125652</v>
      </c>
      <c r="M31" s="254">
        <v>197709</v>
      </c>
    </row>
    <row r="32" spans="1:13" ht="16.5" customHeight="1">
      <c r="A32" s="284"/>
      <c r="B32" s="284"/>
      <c r="C32" s="284"/>
      <c r="D32" s="284"/>
      <c r="E32" s="284"/>
      <c r="F32" s="284"/>
      <c r="G32" s="254" t="s">
        <v>36</v>
      </c>
      <c r="H32" s="254"/>
      <c r="I32" s="254"/>
      <c r="J32" s="254"/>
      <c r="K32" s="254"/>
      <c r="L32" s="307">
        <v>2655733</v>
      </c>
      <c r="M32" s="254">
        <v>415614</v>
      </c>
    </row>
    <row r="33" spans="1:13">
      <c r="A33" s="284"/>
      <c r="B33" s="284"/>
      <c r="C33" s="284"/>
      <c r="D33" s="284"/>
      <c r="E33" s="284"/>
      <c r="F33" s="284"/>
      <c r="G33" s="254"/>
      <c r="H33" s="254"/>
      <c r="I33" s="254"/>
      <c r="J33" s="254"/>
      <c r="K33" s="254"/>
      <c r="L33" s="254"/>
      <c r="M33" s="254"/>
    </row>
    <row r="34" spans="1:13" ht="21" customHeight="1">
      <c r="A34" s="284"/>
      <c r="B34" s="284"/>
      <c r="C34" s="284"/>
      <c r="D34" s="284"/>
      <c r="E34" s="284"/>
      <c r="F34" s="284"/>
      <c r="G34" s="303" t="s">
        <v>423</v>
      </c>
      <c r="H34" s="303"/>
      <c r="I34" s="303"/>
      <c r="J34" s="303"/>
      <c r="K34" s="303"/>
      <c r="L34" s="303">
        <f>SUM(L23:L32)</f>
        <v>31588547</v>
      </c>
      <c r="M34" s="303">
        <f>SUM(M23:M32)</f>
        <v>28647284</v>
      </c>
    </row>
    <row r="35" spans="1:13">
      <c r="A35" s="284"/>
      <c r="B35" s="284"/>
      <c r="C35" s="284"/>
      <c r="D35" s="284"/>
      <c r="E35" s="284"/>
      <c r="F35" s="284"/>
      <c r="G35" s="254"/>
      <c r="H35" s="254"/>
      <c r="I35" s="254"/>
      <c r="J35" s="254"/>
      <c r="K35" s="254"/>
      <c r="L35" s="254"/>
      <c r="M35" s="254"/>
    </row>
    <row r="36" spans="1:13" ht="16.5" customHeight="1">
      <c r="A36" s="284"/>
      <c r="B36" s="284"/>
      <c r="C36" s="284"/>
      <c r="D36" s="284"/>
      <c r="E36" s="284"/>
      <c r="F36" s="284"/>
      <c r="G36" s="303" t="s">
        <v>424</v>
      </c>
      <c r="H36" s="303"/>
      <c r="I36" s="303"/>
      <c r="J36" s="303"/>
      <c r="K36" s="303"/>
      <c r="L36" s="303">
        <f>L34+L19</f>
        <v>1173706</v>
      </c>
      <c r="M36" s="303">
        <f>M34+M19</f>
        <v>-4222266</v>
      </c>
    </row>
    <row r="37" spans="1:13" ht="16.5" customHeight="1">
      <c r="A37" s="284"/>
      <c r="B37" s="284"/>
      <c r="C37" s="284"/>
      <c r="D37" s="284"/>
      <c r="E37" s="284"/>
      <c r="F37" s="284"/>
      <c r="G37" s="304"/>
      <c r="H37" s="304"/>
      <c r="I37" s="304"/>
      <c r="J37" s="304"/>
      <c r="K37" s="304"/>
      <c r="L37" s="304"/>
      <c r="M37" s="304"/>
    </row>
    <row r="38" spans="1:13" ht="17.25" customHeight="1">
      <c r="A38" s="284"/>
      <c r="B38" s="284"/>
      <c r="C38" s="284"/>
      <c r="D38" s="310" t="s">
        <v>380</v>
      </c>
      <c r="E38" s="310"/>
      <c r="F38" s="310"/>
      <c r="G38" s="311"/>
      <c r="H38" s="311"/>
      <c r="I38" s="311"/>
      <c r="J38" s="311"/>
      <c r="K38" s="311"/>
      <c r="L38" s="311">
        <v>69234646</v>
      </c>
      <c r="M38" s="311">
        <v>73456911</v>
      </c>
    </row>
    <row r="39" spans="1:13">
      <c r="A39" s="284"/>
      <c r="B39" s="284"/>
      <c r="C39" s="284"/>
      <c r="D39" s="284"/>
      <c r="E39" s="284"/>
      <c r="F39" s="284"/>
      <c r="G39" s="254"/>
      <c r="H39" s="254"/>
      <c r="I39" s="254"/>
      <c r="J39" s="254"/>
      <c r="K39" s="254"/>
      <c r="L39" s="254"/>
      <c r="M39" s="254"/>
    </row>
    <row r="40" spans="1:13" ht="18.75" customHeight="1">
      <c r="A40" s="284"/>
      <c r="B40" s="284"/>
      <c r="C40" s="284"/>
      <c r="D40" s="286" t="s">
        <v>425</v>
      </c>
      <c r="E40" s="286"/>
      <c r="F40" s="286"/>
      <c r="G40" s="287"/>
      <c r="H40" s="287"/>
      <c r="I40" s="287"/>
      <c r="J40" s="287"/>
      <c r="K40" s="288"/>
      <c r="L40" s="288">
        <f t="shared" ref="L40:M40" si="2">L38+L36</f>
        <v>70408352</v>
      </c>
      <c r="M40" s="288">
        <f t="shared" si="2"/>
        <v>69234645</v>
      </c>
    </row>
  </sheetData>
  <mergeCells count="4">
    <mergeCell ref="I1:M1"/>
    <mergeCell ref="I2:M2"/>
    <mergeCell ref="I3:K3"/>
    <mergeCell ref="L3:M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43"/>
  <sheetViews>
    <sheetView workbookViewId="0">
      <selection activeCell="H18" sqref="H18"/>
    </sheetView>
  </sheetViews>
  <sheetFormatPr defaultColWidth="8.85546875" defaultRowHeight="15"/>
  <cols>
    <col min="1" max="1" width="4.42578125" customWidth="1"/>
    <col min="2" max="2" width="5.140625" customWidth="1"/>
    <col min="3" max="3" width="6.85546875" customWidth="1"/>
    <col min="4" max="4" width="10.28515625" customWidth="1"/>
    <col min="6" max="7" width="5.42578125" customWidth="1"/>
    <col min="8" max="8" width="15" customWidth="1"/>
    <col min="9" max="9" width="12.85546875" customWidth="1"/>
    <col min="10" max="10" width="13.28515625" customWidth="1"/>
    <col min="11" max="11" width="15.85546875" customWidth="1"/>
    <col min="12" max="12" width="11.85546875" bestFit="1" customWidth="1"/>
    <col min="13" max="13" width="12" bestFit="1" customWidth="1"/>
  </cols>
  <sheetData>
    <row r="1" spans="1:13" ht="23.25">
      <c r="A1" s="216"/>
      <c r="B1" s="216"/>
      <c r="C1" s="216"/>
      <c r="D1" s="216"/>
      <c r="E1" s="216"/>
      <c r="F1" s="216"/>
      <c r="G1" s="216"/>
      <c r="H1" s="216"/>
      <c r="I1" s="533" t="s">
        <v>426</v>
      </c>
      <c r="J1" s="533"/>
      <c r="K1" s="533"/>
      <c r="L1" s="438"/>
      <c r="M1" s="438"/>
    </row>
    <row r="2" spans="1:13" ht="18.75">
      <c r="A2" s="216"/>
      <c r="B2" s="216"/>
      <c r="C2" s="216"/>
      <c r="D2" s="216"/>
      <c r="E2" s="216"/>
      <c r="F2" s="216"/>
      <c r="G2" s="216"/>
      <c r="H2" s="216"/>
      <c r="I2" s="534" t="s">
        <v>1</v>
      </c>
      <c r="J2" s="534"/>
      <c r="K2" s="534"/>
      <c r="L2" s="439"/>
      <c r="M2" s="439"/>
    </row>
    <row r="3" spans="1:13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6"/>
      <c r="L3" s="216"/>
      <c r="M3" s="216"/>
    </row>
    <row r="4" spans="1:13" ht="18.75">
      <c r="A4" s="216"/>
      <c r="B4" s="216"/>
      <c r="C4" s="216"/>
      <c r="D4" s="218"/>
      <c r="E4" s="216"/>
      <c r="F4" s="216"/>
      <c r="G4" s="216"/>
      <c r="H4" s="216"/>
      <c r="I4" s="216"/>
      <c r="J4" s="216"/>
      <c r="K4" s="539"/>
      <c r="L4" s="539"/>
      <c r="M4" s="539"/>
    </row>
    <row r="5" spans="1:13">
      <c r="A5" s="216" t="s">
        <v>3</v>
      </c>
      <c r="B5" s="216"/>
      <c r="C5" s="211"/>
      <c r="D5" s="211"/>
      <c r="E5" s="211"/>
      <c r="F5" s="211"/>
      <c r="G5" s="211"/>
      <c r="H5" s="211"/>
      <c r="I5" s="527" t="s">
        <v>4</v>
      </c>
      <c r="J5" s="527"/>
      <c r="K5" s="527" t="s">
        <v>427</v>
      </c>
      <c r="L5" s="527"/>
      <c r="M5" s="527"/>
    </row>
    <row r="6" spans="1:13" ht="52.5" customHeight="1">
      <c r="A6" s="289"/>
      <c r="B6" s="284"/>
      <c r="C6" s="284"/>
      <c r="D6" s="284"/>
      <c r="E6" s="284"/>
      <c r="F6" s="284"/>
      <c r="G6" s="284"/>
      <c r="H6" s="212" t="s">
        <v>7</v>
      </c>
      <c r="I6" s="212" t="s">
        <v>8</v>
      </c>
      <c r="J6" s="212" t="s">
        <v>9</v>
      </c>
      <c r="K6" s="212" t="s">
        <v>58</v>
      </c>
      <c r="L6" s="212" t="s">
        <v>147</v>
      </c>
      <c r="M6" s="212" t="s">
        <v>59</v>
      </c>
    </row>
    <row r="7" spans="1:13">
      <c r="A7" s="291" t="s">
        <v>13</v>
      </c>
      <c r="B7" s="284"/>
      <c r="C7" s="284"/>
      <c r="D7" s="284"/>
      <c r="E7" s="284"/>
      <c r="F7" s="284"/>
      <c r="G7" s="284"/>
      <c r="H7" s="292"/>
      <c r="I7" s="292"/>
      <c r="J7" s="292"/>
      <c r="K7" s="284"/>
      <c r="L7" s="284"/>
      <c r="M7" s="284"/>
    </row>
    <row r="8" spans="1:13">
      <c r="A8" s="284"/>
      <c r="B8" s="313" t="s">
        <v>14</v>
      </c>
      <c r="C8" s="284"/>
      <c r="D8" s="284"/>
      <c r="E8" s="284"/>
      <c r="F8" s="284"/>
      <c r="G8" s="284"/>
      <c r="H8" s="292"/>
      <c r="I8" s="292"/>
      <c r="J8" s="292"/>
      <c r="K8" s="292"/>
      <c r="L8" s="292"/>
      <c r="M8" s="292"/>
    </row>
    <row r="9" spans="1:13">
      <c r="A9" s="284"/>
      <c r="B9" s="284"/>
      <c r="C9" s="284" t="s">
        <v>15</v>
      </c>
      <c r="D9" s="284"/>
      <c r="E9" s="284"/>
      <c r="F9" s="284"/>
      <c r="G9" s="254"/>
      <c r="H9" s="314">
        <v>-1586757</v>
      </c>
      <c r="I9" s="254">
        <v>161497</v>
      </c>
      <c r="J9" s="254">
        <v>193365</v>
      </c>
      <c r="K9" s="254">
        <v>-1231895</v>
      </c>
      <c r="L9" s="254"/>
      <c r="M9" s="254">
        <f t="shared" ref="M9:M13" si="0">SUM(K9:L9)</f>
        <v>-1231895</v>
      </c>
    </row>
    <row r="10" spans="1:13">
      <c r="A10" s="284"/>
      <c r="B10" s="284"/>
      <c r="C10" s="284" t="s">
        <v>16</v>
      </c>
      <c r="D10" s="284"/>
      <c r="E10" s="284"/>
      <c r="F10" s="284"/>
      <c r="G10" s="254"/>
      <c r="H10" s="298">
        <v>-1556720</v>
      </c>
      <c r="I10" s="254">
        <v>325471</v>
      </c>
      <c r="J10" s="254">
        <v>99519</v>
      </c>
      <c r="K10" s="254">
        <v>-1131730</v>
      </c>
      <c r="L10" s="254"/>
      <c r="M10" s="254">
        <f t="shared" si="0"/>
        <v>-1131730</v>
      </c>
    </row>
    <row r="11" spans="1:13">
      <c r="A11" s="284"/>
      <c r="B11" s="284"/>
      <c r="C11" s="284" t="s">
        <v>17</v>
      </c>
      <c r="D11" s="284"/>
      <c r="E11" s="284"/>
      <c r="F11" s="284"/>
      <c r="G11" s="254"/>
      <c r="H11" s="299">
        <v>-3232725</v>
      </c>
      <c r="I11" s="254">
        <v>96411</v>
      </c>
      <c r="J11" s="254">
        <v>1006528</v>
      </c>
      <c r="K11" s="254">
        <v>-2129786</v>
      </c>
      <c r="L11" s="254"/>
      <c r="M11" s="254">
        <f t="shared" si="0"/>
        <v>-2129786</v>
      </c>
    </row>
    <row r="12" spans="1:13" ht="13.5" customHeight="1">
      <c r="A12" s="284"/>
      <c r="B12" s="284"/>
      <c r="C12" s="284" t="s">
        <v>19</v>
      </c>
      <c r="D12" s="284"/>
      <c r="E12" s="284"/>
      <c r="F12" s="284"/>
      <c r="G12" s="254"/>
      <c r="H12" s="300">
        <v>-572268</v>
      </c>
      <c r="I12" s="254"/>
      <c r="J12" s="254">
        <v>133509</v>
      </c>
      <c r="K12" s="254">
        <v>-438759</v>
      </c>
      <c r="L12" s="254"/>
      <c r="M12" s="254">
        <f t="shared" si="0"/>
        <v>-438759</v>
      </c>
    </row>
    <row r="13" spans="1:13" ht="15" customHeight="1">
      <c r="A13" s="284"/>
      <c r="B13" s="284"/>
      <c r="C13" s="284" t="s">
        <v>383</v>
      </c>
      <c r="D13" s="284"/>
      <c r="E13" s="284"/>
      <c r="F13" s="284"/>
      <c r="G13" s="254"/>
      <c r="H13" s="301">
        <v>-351702</v>
      </c>
      <c r="I13" s="254">
        <v>1379</v>
      </c>
      <c r="J13" s="254">
        <v>21875</v>
      </c>
      <c r="K13" s="254">
        <v>-328448</v>
      </c>
      <c r="L13" s="254"/>
      <c r="M13" s="254">
        <f t="shared" si="0"/>
        <v>-328448</v>
      </c>
    </row>
    <row r="14" spans="1:13">
      <c r="A14" s="284"/>
      <c r="B14" s="284"/>
      <c r="C14" s="284"/>
      <c r="D14" s="284"/>
      <c r="E14" s="284"/>
      <c r="F14" s="284"/>
      <c r="G14" s="254"/>
      <c r="H14" s="254"/>
      <c r="I14" s="254"/>
      <c r="J14" s="254"/>
      <c r="K14" s="254"/>
      <c r="L14" s="254"/>
      <c r="M14" s="254"/>
    </row>
    <row r="15" spans="1:13">
      <c r="A15" s="284"/>
      <c r="B15" s="284"/>
      <c r="C15" s="284"/>
      <c r="D15" s="256" t="s">
        <v>22</v>
      </c>
      <c r="E15" s="256"/>
      <c r="F15" s="256"/>
      <c r="G15" s="303"/>
      <c r="H15" s="303">
        <f>SUM(H9:H13)</f>
        <v>-7300172</v>
      </c>
      <c r="I15" s="303">
        <f>SUM(I9:I13)</f>
        <v>584758</v>
      </c>
      <c r="J15" s="303">
        <f>SUM(J9:J13)</f>
        <v>1454796</v>
      </c>
      <c r="K15" s="315">
        <f>SUM(K9:K13)</f>
        <v>-5260618</v>
      </c>
      <c r="L15" s="315"/>
      <c r="M15" s="315">
        <f>SUM(M9:M13)</f>
        <v>-5260618</v>
      </c>
    </row>
    <row r="16" spans="1:13">
      <c r="A16" s="284"/>
      <c r="B16" s="284"/>
      <c r="C16" s="284"/>
      <c r="D16" s="291"/>
      <c r="E16" s="291"/>
      <c r="F16" s="291"/>
      <c r="G16" s="304"/>
      <c r="H16" s="304"/>
      <c r="I16" s="304"/>
      <c r="J16" s="304"/>
      <c r="K16" s="304"/>
      <c r="L16" s="304"/>
      <c r="M16" s="304"/>
    </row>
    <row r="17" spans="1:13">
      <c r="A17" s="284"/>
      <c r="B17" s="313" t="s">
        <v>116</v>
      </c>
      <c r="C17" s="284"/>
      <c r="D17" s="291"/>
      <c r="E17" s="291"/>
      <c r="F17" s="291"/>
      <c r="G17" s="304"/>
      <c r="H17" s="304"/>
      <c r="I17" s="304"/>
      <c r="J17" s="304"/>
      <c r="K17" s="304"/>
      <c r="L17" s="304"/>
      <c r="M17" s="304"/>
    </row>
    <row r="18" spans="1:13">
      <c r="A18" s="284"/>
      <c r="B18" s="284"/>
      <c r="C18" s="284" t="s">
        <v>150</v>
      </c>
      <c r="D18" s="291"/>
      <c r="E18" s="291"/>
      <c r="F18" s="291"/>
      <c r="G18" s="304"/>
      <c r="H18" s="472">
        <v>-159840</v>
      </c>
      <c r="I18" s="306">
        <v>28571</v>
      </c>
      <c r="J18" s="306"/>
      <c r="K18" s="306"/>
      <c r="L18" s="306">
        <v>-131269</v>
      </c>
      <c r="M18" s="306">
        <f t="shared" ref="M18" si="1">SUM(K18:L18)</f>
        <v>-131269</v>
      </c>
    </row>
    <row r="19" spans="1:13">
      <c r="A19" s="284"/>
      <c r="B19" s="284"/>
      <c r="C19" s="284"/>
      <c r="D19" s="291"/>
      <c r="E19" s="291"/>
      <c r="F19" s="291"/>
      <c r="G19" s="304"/>
      <c r="H19" s="304"/>
      <c r="I19" s="304"/>
      <c r="J19" s="304"/>
      <c r="K19" s="304"/>
      <c r="L19" s="304"/>
      <c r="M19" s="304"/>
    </row>
    <row r="20" spans="1:13">
      <c r="A20" s="284"/>
      <c r="B20" s="284"/>
      <c r="C20" s="284"/>
      <c r="D20" s="256" t="s">
        <v>232</v>
      </c>
      <c r="E20" s="256"/>
      <c r="F20" s="256"/>
      <c r="G20" s="303"/>
      <c r="H20" s="303">
        <f>H18</f>
        <v>-159840</v>
      </c>
      <c r="I20" s="303">
        <f t="shared" ref="I20:M20" si="2">SUM(I18:I18)</f>
        <v>28571</v>
      </c>
      <c r="J20" s="303">
        <f t="shared" si="2"/>
        <v>0</v>
      </c>
      <c r="K20" s="315">
        <f t="shared" si="2"/>
        <v>0</v>
      </c>
      <c r="L20" s="315">
        <f t="shared" si="2"/>
        <v>-131269</v>
      </c>
      <c r="M20" s="315">
        <f t="shared" si="2"/>
        <v>-131269</v>
      </c>
    </row>
    <row r="21" spans="1:13">
      <c r="A21" s="284"/>
      <c r="B21" s="284"/>
      <c r="C21" s="284"/>
      <c r="D21" s="291"/>
      <c r="E21" s="291"/>
      <c r="F21" s="291"/>
      <c r="G21" s="304"/>
      <c r="H21" s="304"/>
      <c r="I21" s="304"/>
      <c r="J21" s="304"/>
      <c r="K21" s="304"/>
      <c r="L21" s="304"/>
      <c r="M21" s="304"/>
    </row>
    <row r="22" spans="1:13">
      <c r="A22" s="284"/>
      <c r="B22" s="284"/>
      <c r="C22" s="284"/>
      <c r="D22" s="256" t="s">
        <v>67</v>
      </c>
      <c r="E22" s="256"/>
      <c r="F22" s="256"/>
      <c r="G22" s="303"/>
      <c r="H22" s="303">
        <f>SUM(H15+H20)</f>
        <v>-7460012</v>
      </c>
      <c r="I22" s="303">
        <f t="shared" ref="I22:M22" si="3">SUM(I15+I20)</f>
        <v>613329</v>
      </c>
      <c r="J22" s="303">
        <f t="shared" si="3"/>
        <v>1454796</v>
      </c>
      <c r="K22" s="303">
        <f t="shared" si="3"/>
        <v>-5260618</v>
      </c>
      <c r="L22" s="303">
        <f t="shared" si="3"/>
        <v>-131269</v>
      </c>
      <c r="M22" s="303">
        <f t="shared" si="3"/>
        <v>-5391887</v>
      </c>
    </row>
    <row r="23" spans="1:13">
      <c r="A23" s="284"/>
      <c r="B23" s="284"/>
      <c r="C23" s="284"/>
      <c r="D23" s="291"/>
      <c r="E23" s="291"/>
      <c r="F23" s="291"/>
      <c r="G23" s="304"/>
      <c r="H23" s="304"/>
      <c r="I23" s="304"/>
      <c r="J23" s="304"/>
      <c r="K23" s="304"/>
      <c r="L23" s="304"/>
      <c r="M23" s="304"/>
    </row>
    <row r="24" spans="1:13">
      <c r="A24" s="291"/>
      <c r="B24" s="291"/>
      <c r="C24" s="291"/>
      <c r="D24" s="291"/>
      <c r="E24" s="284"/>
      <c r="F24" s="291" t="s">
        <v>25</v>
      </c>
      <c r="G24" s="304"/>
      <c r="H24" s="304"/>
      <c r="I24" s="304"/>
      <c r="J24" s="304"/>
      <c r="K24" s="254"/>
      <c r="L24" s="254"/>
      <c r="M24" s="254"/>
    </row>
    <row r="25" spans="1:13">
      <c r="A25" s="291"/>
      <c r="B25" s="291"/>
      <c r="C25" s="291"/>
      <c r="D25" s="291"/>
      <c r="E25" s="284"/>
      <c r="F25" s="291"/>
      <c r="G25" s="306" t="s">
        <v>26</v>
      </c>
      <c r="H25" s="304"/>
      <c r="I25" s="304"/>
      <c r="J25" s="304"/>
      <c r="K25" s="254"/>
      <c r="L25" s="254"/>
      <c r="M25" s="254"/>
    </row>
    <row r="26" spans="1:13">
      <c r="A26" s="284"/>
      <c r="B26" s="284"/>
      <c r="C26" s="284"/>
      <c r="D26" s="284"/>
      <c r="E26" s="284"/>
      <c r="F26" s="284"/>
      <c r="G26" s="254"/>
      <c r="H26" s="254" t="s">
        <v>46</v>
      </c>
      <c r="I26" s="254"/>
      <c r="J26" s="254"/>
      <c r="K26" s="257">
        <v>3477010</v>
      </c>
      <c r="L26" s="254"/>
      <c r="M26" s="254">
        <f t="shared" ref="M26:M35" si="4">SUM(K26:L26)</f>
        <v>3477010</v>
      </c>
    </row>
    <row r="27" spans="1:13">
      <c r="A27" s="284"/>
      <c r="B27" s="284"/>
      <c r="C27" s="284"/>
      <c r="D27" s="284"/>
      <c r="E27" s="284"/>
      <c r="F27" s="284"/>
      <c r="G27" s="254"/>
      <c r="H27" s="254" t="s">
        <v>187</v>
      </c>
      <c r="I27" s="254"/>
      <c r="J27" s="254"/>
      <c r="K27" s="299">
        <v>2539681</v>
      </c>
      <c r="L27" s="254"/>
      <c r="M27" s="254">
        <f t="shared" si="4"/>
        <v>2539681</v>
      </c>
    </row>
    <row r="28" spans="1:13">
      <c r="A28" s="284"/>
      <c r="B28" s="284"/>
      <c r="C28" s="284"/>
      <c r="D28" s="284"/>
      <c r="E28" s="284"/>
      <c r="F28" s="284"/>
      <c r="G28" s="254"/>
      <c r="H28" s="254" t="s">
        <v>95</v>
      </c>
      <c r="I28" s="254"/>
      <c r="J28" s="254"/>
      <c r="K28" s="300">
        <v>1093840</v>
      </c>
      <c r="L28" s="254"/>
      <c r="M28" s="254">
        <f t="shared" si="4"/>
        <v>1093840</v>
      </c>
    </row>
    <row r="29" spans="1:13">
      <c r="A29" s="284"/>
      <c r="B29" s="284"/>
      <c r="C29" s="284"/>
      <c r="D29" s="284"/>
      <c r="E29" s="284"/>
      <c r="F29" s="284"/>
      <c r="G29" s="254"/>
      <c r="H29" s="254" t="s">
        <v>32</v>
      </c>
      <c r="I29" s="254"/>
      <c r="J29" s="254"/>
      <c r="K29" s="300">
        <v>526606</v>
      </c>
      <c r="L29" s="254"/>
      <c r="M29" s="254">
        <f t="shared" si="4"/>
        <v>526606</v>
      </c>
    </row>
    <row r="30" spans="1:13">
      <c r="A30" s="284"/>
      <c r="B30" s="284"/>
      <c r="C30" s="284"/>
      <c r="D30" s="284"/>
      <c r="E30" s="284"/>
      <c r="F30" s="284"/>
      <c r="G30" s="254" t="s">
        <v>428</v>
      </c>
      <c r="H30" s="254"/>
      <c r="I30" s="254"/>
      <c r="J30" s="254"/>
      <c r="K30" s="307">
        <v>68548</v>
      </c>
      <c r="L30" s="254"/>
      <c r="M30" s="254">
        <f t="shared" si="4"/>
        <v>68548</v>
      </c>
    </row>
    <row r="31" spans="1:13">
      <c r="A31" s="284"/>
      <c r="B31" s="284"/>
      <c r="C31" s="284"/>
      <c r="D31" s="284"/>
      <c r="E31" s="284"/>
      <c r="F31" s="284"/>
      <c r="G31" s="254" t="s">
        <v>429</v>
      </c>
      <c r="H31" s="254"/>
      <c r="I31" s="254"/>
      <c r="J31" s="254"/>
      <c r="K31" s="307">
        <v>2704</v>
      </c>
      <c r="L31" s="254"/>
      <c r="M31" s="254">
        <f t="shared" si="4"/>
        <v>2704</v>
      </c>
    </row>
    <row r="32" spans="1:13">
      <c r="A32" s="284"/>
      <c r="B32" s="284"/>
      <c r="C32" s="284"/>
      <c r="D32" s="284"/>
      <c r="E32" s="284"/>
      <c r="F32" s="284"/>
      <c r="G32" s="254" t="s">
        <v>48</v>
      </c>
      <c r="H32" s="254"/>
      <c r="I32" s="254"/>
      <c r="J32" s="254"/>
      <c r="K32" s="316">
        <v>54937</v>
      </c>
      <c r="L32" s="254"/>
      <c r="M32" s="254">
        <f t="shared" si="4"/>
        <v>54937</v>
      </c>
    </row>
    <row r="33" spans="1:13">
      <c r="A33" s="284"/>
      <c r="B33" s="284"/>
      <c r="C33" s="284"/>
      <c r="D33" s="284"/>
      <c r="E33" s="284"/>
      <c r="F33" s="284"/>
      <c r="G33" s="254" t="s">
        <v>430</v>
      </c>
      <c r="H33" s="254"/>
      <c r="I33" s="254"/>
      <c r="J33" s="254"/>
      <c r="K33" s="307">
        <v>435499</v>
      </c>
      <c r="L33" s="254"/>
      <c r="M33" s="254">
        <f>SUM(K33:L33)</f>
        <v>435499</v>
      </c>
    </row>
    <row r="34" spans="1:13">
      <c r="A34" s="284"/>
      <c r="B34" s="284"/>
      <c r="C34" s="284"/>
      <c r="D34" s="284"/>
      <c r="E34" s="284"/>
      <c r="F34" s="284"/>
      <c r="G34" s="254" t="s">
        <v>36</v>
      </c>
      <c r="H34" s="254"/>
      <c r="I34" s="254"/>
      <c r="J34" s="254"/>
      <c r="K34" s="307">
        <v>137111</v>
      </c>
      <c r="L34" s="254"/>
      <c r="M34" s="254">
        <f>SUM(K34:L34)</f>
        <v>137111</v>
      </c>
    </row>
    <row r="35" spans="1:13">
      <c r="A35" s="284"/>
      <c r="B35" s="284"/>
      <c r="C35" s="284"/>
      <c r="D35" s="284"/>
      <c r="E35" s="284"/>
      <c r="F35" s="284"/>
      <c r="G35" s="254" t="s">
        <v>242</v>
      </c>
      <c r="H35" s="254"/>
      <c r="I35" s="254"/>
      <c r="J35" s="254"/>
      <c r="K35" s="293">
        <v>-115000</v>
      </c>
      <c r="L35" s="254">
        <v>115000</v>
      </c>
      <c r="M35" s="254">
        <f t="shared" si="4"/>
        <v>0</v>
      </c>
    </row>
    <row r="36" spans="1:13">
      <c r="A36" s="284"/>
      <c r="B36" s="284"/>
      <c r="C36" s="284"/>
      <c r="D36" s="284"/>
      <c r="E36" s="284"/>
      <c r="F36" s="284"/>
      <c r="G36" s="254"/>
      <c r="H36" s="254"/>
      <c r="I36" s="254"/>
      <c r="J36" s="254"/>
      <c r="K36" s="254"/>
      <c r="L36" s="254"/>
      <c r="M36" s="254"/>
    </row>
    <row r="37" spans="1:13">
      <c r="A37" s="284"/>
      <c r="B37" s="284"/>
      <c r="C37" s="284"/>
      <c r="D37" s="284"/>
      <c r="E37" s="284"/>
      <c r="F37" s="284"/>
      <c r="G37" s="303" t="s">
        <v>195</v>
      </c>
      <c r="H37" s="303"/>
      <c r="I37" s="303"/>
      <c r="J37" s="303"/>
      <c r="K37" s="303">
        <f>SUM(K26:K35)</f>
        <v>8220936</v>
      </c>
      <c r="L37" s="303">
        <f>SUM(L26:L35)</f>
        <v>115000</v>
      </c>
      <c r="M37" s="303">
        <f>SUM(M26:M35)</f>
        <v>8335936</v>
      </c>
    </row>
    <row r="38" spans="1:13">
      <c r="A38" s="284"/>
      <c r="B38" s="284"/>
      <c r="C38" s="284"/>
      <c r="D38" s="284"/>
      <c r="E38" s="284"/>
      <c r="F38" s="284"/>
      <c r="G38" s="254"/>
      <c r="H38" s="254"/>
      <c r="I38" s="254"/>
      <c r="J38" s="254"/>
      <c r="K38" s="254"/>
      <c r="L38" s="254"/>
      <c r="M38" s="254"/>
    </row>
    <row r="39" spans="1:13">
      <c r="A39" s="284"/>
      <c r="B39" s="284"/>
      <c r="C39" s="284"/>
      <c r="D39" s="284"/>
      <c r="E39" s="284"/>
      <c r="F39" s="284"/>
      <c r="G39" s="303" t="s">
        <v>53</v>
      </c>
      <c r="H39" s="303"/>
      <c r="I39" s="303"/>
      <c r="J39" s="303"/>
      <c r="K39" s="303">
        <f>K37+K15</f>
        <v>2960318</v>
      </c>
      <c r="L39" s="303">
        <f>L37+L20</f>
        <v>-16269</v>
      </c>
      <c r="M39" s="303">
        <f>M37+M22</f>
        <v>2944049</v>
      </c>
    </row>
    <row r="40" spans="1:13">
      <c r="A40" s="284"/>
      <c r="B40" s="284"/>
      <c r="C40" s="284"/>
      <c r="D40" s="284"/>
      <c r="E40" s="284"/>
      <c r="F40" s="284"/>
      <c r="G40" s="304"/>
      <c r="H40" s="304"/>
      <c r="I40" s="304"/>
      <c r="J40" s="304"/>
      <c r="K40" s="304"/>
      <c r="L40" s="304"/>
      <c r="M40" s="304"/>
    </row>
    <row r="41" spans="1:13">
      <c r="A41" s="284"/>
      <c r="B41" s="284"/>
      <c r="C41" s="284"/>
      <c r="D41" s="310" t="s">
        <v>431</v>
      </c>
      <c r="E41" s="310"/>
      <c r="F41" s="310"/>
      <c r="G41" s="311"/>
      <c r="H41" s="311"/>
      <c r="I41" s="311"/>
      <c r="J41" s="311"/>
      <c r="K41" s="317">
        <v>47422041</v>
      </c>
      <c r="L41" s="317">
        <v>380619</v>
      </c>
      <c r="M41" s="317">
        <v>47802660</v>
      </c>
    </row>
    <row r="42" spans="1:13">
      <c r="A42" s="284"/>
      <c r="B42" s="284"/>
      <c r="C42" s="284"/>
      <c r="D42" s="284"/>
      <c r="E42" s="284"/>
      <c r="F42" s="284"/>
      <c r="G42" s="254"/>
      <c r="H42" s="254"/>
      <c r="I42" s="254"/>
      <c r="J42" s="254"/>
      <c r="K42" s="254"/>
      <c r="L42" s="254"/>
      <c r="M42" s="254"/>
    </row>
    <row r="43" spans="1:13">
      <c r="A43" s="284"/>
      <c r="B43" s="284"/>
      <c r="C43" s="284"/>
      <c r="D43" s="286" t="s">
        <v>248</v>
      </c>
      <c r="E43" s="286"/>
      <c r="F43" s="286"/>
      <c r="G43" s="287"/>
      <c r="H43" s="287"/>
      <c r="I43" s="287"/>
      <c r="J43" s="287"/>
      <c r="K43" s="288">
        <f>SUM(K39,K41)</f>
        <v>50382359</v>
      </c>
      <c r="L43" s="288">
        <f>L41+L39</f>
        <v>364350</v>
      </c>
      <c r="M43" s="288">
        <f>M41+M39</f>
        <v>50746709</v>
      </c>
    </row>
  </sheetData>
  <mergeCells count="5">
    <mergeCell ref="I1:K1"/>
    <mergeCell ref="I2:K2"/>
    <mergeCell ref="K4:M4"/>
    <mergeCell ref="I5:J5"/>
    <mergeCell ref="K5:M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32"/>
  <sheetViews>
    <sheetView workbookViewId="0">
      <selection activeCell="B24" sqref="B24"/>
    </sheetView>
  </sheetViews>
  <sheetFormatPr defaultColWidth="8.85546875" defaultRowHeight="15"/>
  <cols>
    <col min="1" max="1" width="3.85546875" customWidth="1"/>
    <col min="2" max="2" width="4" customWidth="1"/>
    <col min="3" max="3" width="7.28515625" customWidth="1"/>
    <col min="4" max="4" width="7.7109375" customWidth="1"/>
    <col min="5" max="5" width="7" customWidth="1"/>
    <col min="6" max="6" width="11" customWidth="1"/>
    <col min="7" max="7" width="15.140625" customWidth="1"/>
    <col min="8" max="8" width="18.85546875" customWidth="1"/>
    <col min="9" max="9" width="18.42578125" customWidth="1"/>
    <col min="10" max="10" width="19.140625" customWidth="1"/>
    <col min="11" max="11" width="20.42578125" customWidth="1"/>
  </cols>
  <sheetData>
    <row r="1" spans="1:11" ht="23.25">
      <c r="A1" s="216"/>
      <c r="B1" s="216"/>
      <c r="C1" s="216"/>
      <c r="D1" s="216"/>
      <c r="E1" s="216"/>
      <c r="F1" s="216"/>
      <c r="G1" s="216"/>
      <c r="H1" s="533" t="s">
        <v>432</v>
      </c>
      <c r="I1" s="533"/>
      <c r="J1" s="533"/>
      <c r="K1" s="533"/>
    </row>
    <row r="2" spans="1:11" ht="18.75">
      <c r="A2" s="216"/>
      <c r="B2" s="216"/>
      <c r="C2" s="216"/>
      <c r="D2" s="216"/>
      <c r="E2" s="216"/>
      <c r="F2" s="216"/>
      <c r="G2" s="216"/>
      <c r="H2" s="534" t="s">
        <v>1</v>
      </c>
      <c r="I2" s="534"/>
      <c r="J2" s="534"/>
      <c r="K2" s="534"/>
    </row>
    <row r="3" spans="1:11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7"/>
    </row>
    <row r="4" spans="1:11" ht="18.75">
      <c r="A4" s="216"/>
      <c r="B4" s="216"/>
      <c r="C4" s="216"/>
      <c r="D4" s="218"/>
      <c r="E4" s="216"/>
      <c r="F4" s="216"/>
      <c r="G4" s="216"/>
      <c r="H4" s="216"/>
      <c r="I4" s="216"/>
      <c r="J4" s="216"/>
      <c r="K4" s="216"/>
    </row>
    <row r="5" spans="1:11">
      <c r="A5" s="216" t="s">
        <v>3</v>
      </c>
      <c r="B5" s="211"/>
      <c r="C5" s="211"/>
      <c r="D5" s="211"/>
      <c r="E5" s="211"/>
      <c r="F5" s="211"/>
      <c r="G5" s="211"/>
      <c r="H5" s="527" t="s">
        <v>4</v>
      </c>
      <c r="I5" s="527"/>
      <c r="J5" s="527"/>
    </row>
    <row r="6" spans="1:11" ht="30" customHeight="1">
      <c r="A6" s="540" t="s">
        <v>6</v>
      </c>
      <c r="B6" s="540"/>
      <c r="C6" s="540"/>
      <c r="D6" s="540"/>
      <c r="E6" s="216"/>
      <c r="F6" s="216"/>
      <c r="G6" s="6" t="s">
        <v>7</v>
      </c>
      <c r="H6" s="6" t="s">
        <v>8</v>
      </c>
      <c r="I6" s="212" t="s">
        <v>9</v>
      </c>
      <c r="J6" s="212" t="s">
        <v>10</v>
      </c>
      <c r="K6" s="436" t="s">
        <v>225</v>
      </c>
    </row>
    <row r="7" spans="1:11">
      <c r="A7" s="284"/>
      <c r="B7" s="284" t="s">
        <v>15</v>
      </c>
      <c r="C7" s="284"/>
      <c r="D7" s="284"/>
      <c r="E7" s="284"/>
      <c r="F7" s="254"/>
      <c r="G7" s="254"/>
      <c r="H7" s="254"/>
      <c r="I7" s="254"/>
      <c r="J7" s="254"/>
      <c r="K7" s="254"/>
    </row>
    <row r="8" spans="1:11">
      <c r="A8" s="284"/>
      <c r="B8" s="284"/>
      <c r="C8" s="284" t="s">
        <v>61</v>
      </c>
      <c r="D8" s="284"/>
      <c r="E8" s="284"/>
      <c r="F8" s="284"/>
      <c r="G8" s="293">
        <v>-267292</v>
      </c>
      <c r="H8" s="254"/>
      <c r="I8" s="254"/>
      <c r="J8" s="254"/>
      <c r="K8" s="254">
        <f t="shared" ref="K8:K17" si="0">SUM(G8:J8)</f>
        <v>-267292</v>
      </c>
    </row>
    <row r="9" spans="1:11">
      <c r="A9" s="284"/>
      <c r="B9" s="284"/>
      <c r="C9" s="284" t="s">
        <v>62</v>
      </c>
      <c r="D9" s="284"/>
      <c r="E9" s="284"/>
      <c r="F9" s="284"/>
      <c r="G9" s="294">
        <v>-110034</v>
      </c>
      <c r="H9" s="254">
        <v>29230</v>
      </c>
      <c r="I9" s="254">
        <v>15869</v>
      </c>
      <c r="J9" s="254"/>
      <c r="K9" s="254">
        <f t="shared" si="0"/>
        <v>-64935</v>
      </c>
    </row>
    <row r="10" spans="1:11">
      <c r="A10" s="284"/>
      <c r="B10" s="284"/>
      <c r="C10" s="284" t="s">
        <v>63</v>
      </c>
      <c r="D10" s="284"/>
      <c r="E10" s="284"/>
      <c r="F10" s="284"/>
      <c r="G10" s="295">
        <v>-73570</v>
      </c>
      <c r="H10" s="254"/>
      <c r="I10" s="254"/>
      <c r="J10" s="254"/>
      <c r="K10" s="254">
        <f t="shared" si="0"/>
        <v>-73570</v>
      </c>
    </row>
    <row r="11" spans="1:11">
      <c r="A11" s="284"/>
      <c r="B11" s="284"/>
      <c r="C11" s="284" t="s">
        <v>64</v>
      </c>
      <c r="D11" s="284"/>
      <c r="E11" s="284"/>
      <c r="F11" s="284"/>
      <c r="G11" s="296">
        <v>-336031</v>
      </c>
      <c r="H11" s="254">
        <v>152914</v>
      </c>
      <c r="I11" s="254"/>
      <c r="J11" s="254"/>
      <c r="K11" s="254">
        <f t="shared" si="0"/>
        <v>-183117</v>
      </c>
    </row>
    <row r="12" spans="1:11">
      <c r="A12" s="284"/>
      <c r="B12" s="284"/>
      <c r="C12" s="284" t="s">
        <v>32</v>
      </c>
      <c r="D12" s="284"/>
      <c r="E12" s="284"/>
      <c r="F12" s="284"/>
      <c r="G12" s="297">
        <v>-444427</v>
      </c>
      <c r="H12" s="254">
        <v>15242</v>
      </c>
      <c r="I12" s="254"/>
      <c r="J12" s="254"/>
      <c r="K12" s="254">
        <f t="shared" si="0"/>
        <v>-429185</v>
      </c>
    </row>
    <row r="13" spans="1:11">
      <c r="A13" s="284"/>
      <c r="B13" s="284" t="s">
        <v>16</v>
      </c>
      <c r="C13" s="284"/>
      <c r="D13" s="284"/>
      <c r="E13" s="284"/>
      <c r="F13" s="254"/>
      <c r="G13" s="298">
        <v>-325322</v>
      </c>
      <c r="H13" s="254">
        <v>18339</v>
      </c>
      <c r="I13" s="254">
        <v>226049</v>
      </c>
      <c r="J13" s="254"/>
      <c r="K13" s="254">
        <f t="shared" si="0"/>
        <v>-80934</v>
      </c>
    </row>
    <row r="14" spans="1:11">
      <c r="A14" s="284"/>
      <c r="B14" s="284" t="s">
        <v>17</v>
      </c>
      <c r="C14" s="284"/>
      <c r="D14" s="284"/>
      <c r="E14" s="284"/>
      <c r="F14" s="254"/>
      <c r="G14" s="299">
        <v>-5911385</v>
      </c>
      <c r="H14" s="254">
        <v>19018</v>
      </c>
      <c r="I14" s="254">
        <v>1598024</v>
      </c>
      <c r="J14" s="254"/>
      <c r="K14" s="254">
        <f t="shared" si="0"/>
        <v>-4294343</v>
      </c>
    </row>
    <row r="15" spans="1:11">
      <c r="A15" s="284"/>
      <c r="B15" s="284" t="s">
        <v>19</v>
      </c>
      <c r="C15" s="284"/>
      <c r="D15" s="284"/>
      <c r="E15" s="284"/>
      <c r="F15" s="254"/>
      <c r="G15" s="300">
        <v>-289712</v>
      </c>
      <c r="H15" s="254"/>
      <c r="I15" s="254"/>
      <c r="J15" s="254"/>
      <c r="K15" s="254">
        <f t="shared" si="0"/>
        <v>-289712</v>
      </c>
    </row>
    <row r="16" spans="1:11">
      <c r="A16" s="284"/>
      <c r="B16" s="284" t="s">
        <v>20</v>
      </c>
      <c r="C16" s="284"/>
      <c r="D16" s="284"/>
      <c r="E16" s="284"/>
      <c r="F16" s="254"/>
      <c r="G16" s="301">
        <v>-818110</v>
      </c>
      <c r="H16" s="254">
        <v>16624</v>
      </c>
      <c r="I16" s="254"/>
      <c r="J16" s="254"/>
      <c r="K16" s="254">
        <f t="shared" si="0"/>
        <v>-801486</v>
      </c>
    </row>
    <row r="17" spans="1:11" ht="16.5" customHeight="1">
      <c r="A17" s="284"/>
      <c r="B17" s="284" t="s">
        <v>18</v>
      </c>
      <c r="C17" s="284"/>
      <c r="D17" s="284"/>
      <c r="E17" s="284"/>
      <c r="F17" s="254"/>
      <c r="G17" s="302">
        <v>-217738</v>
      </c>
      <c r="H17" s="254"/>
      <c r="I17" s="254"/>
      <c r="J17" s="254"/>
      <c r="K17" s="254">
        <f t="shared" si="0"/>
        <v>-217738</v>
      </c>
    </row>
    <row r="18" spans="1:11">
      <c r="A18" s="284"/>
      <c r="B18" s="284"/>
      <c r="C18" s="284"/>
      <c r="D18" s="284"/>
      <c r="E18" s="284"/>
      <c r="F18" s="254"/>
      <c r="G18" s="254"/>
      <c r="H18" s="254"/>
      <c r="I18" s="254"/>
      <c r="J18" s="254"/>
      <c r="K18" s="254"/>
    </row>
    <row r="19" spans="1:11">
      <c r="A19" s="284"/>
      <c r="B19" s="284"/>
      <c r="C19" s="284"/>
      <c r="D19" s="256" t="s">
        <v>22</v>
      </c>
      <c r="E19" s="256"/>
      <c r="F19" s="303"/>
      <c r="G19" s="303">
        <f>SUM(G8:G17)</f>
        <v>-8793621</v>
      </c>
      <c r="H19" s="303">
        <f>SUM(H8:H17)</f>
        <v>251367</v>
      </c>
      <c r="I19" s="303">
        <f>SUM(I8:I17)</f>
        <v>1839942</v>
      </c>
      <c r="J19" s="303">
        <f>SUM(J8:J17)</f>
        <v>0</v>
      </c>
      <c r="K19" s="303">
        <f>SUM(K8:K17)</f>
        <v>-6702312</v>
      </c>
    </row>
    <row r="20" spans="1:11">
      <c r="A20" s="284"/>
      <c r="B20" s="284"/>
      <c r="C20" s="284"/>
      <c r="D20" s="284"/>
      <c r="E20" s="284"/>
      <c r="F20" s="254"/>
      <c r="G20" s="254"/>
      <c r="H20" s="254"/>
      <c r="I20" s="254"/>
      <c r="J20" s="254"/>
      <c r="K20" s="254"/>
    </row>
    <row r="21" spans="1:11">
      <c r="A21" s="291"/>
      <c r="B21" s="291"/>
      <c r="C21" s="291"/>
      <c r="D21" s="291"/>
      <c r="E21" s="291" t="s">
        <v>25</v>
      </c>
      <c r="F21" s="304"/>
      <c r="G21" s="304"/>
      <c r="H21" s="304"/>
      <c r="I21" s="304"/>
      <c r="J21" s="304"/>
      <c r="K21" s="304"/>
    </row>
    <row r="22" spans="1:11">
      <c r="A22" s="284"/>
      <c r="B22" s="284"/>
      <c r="C22" s="284"/>
      <c r="D22" s="284"/>
      <c r="E22" s="284"/>
      <c r="F22" s="254" t="s">
        <v>375</v>
      </c>
      <c r="G22" s="254"/>
      <c r="H22" s="254"/>
      <c r="I22" s="254"/>
      <c r="J22" s="254"/>
      <c r="K22" s="257">
        <v>6762999</v>
      </c>
    </row>
    <row r="23" spans="1:11">
      <c r="A23" s="284"/>
      <c r="B23" s="284"/>
      <c r="C23" s="284"/>
      <c r="D23" s="284"/>
      <c r="E23" s="284"/>
      <c r="F23" s="254" t="s">
        <v>349</v>
      </c>
      <c r="G23" s="254"/>
      <c r="H23" s="254"/>
      <c r="I23" s="254"/>
      <c r="J23" s="254"/>
      <c r="K23" s="316">
        <v>261639</v>
      </c>
    </row>
    <row r="24" spans="1:11">
      <c r="A24" s="284"/>
      <c r="B24" s="284"/>
      <c r="C24" s="284"/>
      <c r="D24" s="284"/>
      <c r="E24" s="284"/>
      <c r="F24" s="254" t="s">
        <v>376</v>
      </c>
      <c r="G24" s="254"/>
      <c r="H24" s="254"/>
      <c r="I24" s="254"/>
      <c r="J24" s="254"/>
      <c r="K24" s="314">
        <v>52130</v>
      </c>
    </row>
    <row r="25" spans="1:11">
      <c r="A25" s="284"/>
      <c r="B25" s="284"/>
      <c r="C25" s="284"/>
      <c r="D25" s="284"/>
      <c r="E25" s="284"/>
      <c r="F25" s="254"/>
      <c r="G25" s="254"/>
      <c r="H25" s="254"/>
      <c r="I25" s="254"/>
      <c r="J25" s="254"/>
      <c r="K25" s="254"/>
    </row>
    <row r="26" spans="1:11">
      <c r="A26" s="284"/>
      <c r="B26" s="284"/>
      <c r="C26" s="284"/>
      <c r="D26" s="284"/>
      <c r="E26" s="284"/>
      <c r="F26" s="303" t="s">
        <v>38</v>
      </c>
      <c r="G26" s="303"/>
      <c r="H26" s="303"/>
      <c r="I26" s="303"/>
      <c r="J26" s="303"/>
      <c r="K26" s="303">
        <f>SUM(K22:K24)</f>
        <v>7076768</v>
      </c>
    </row>
    <row r="27" spans="1:11">
      <c r="A27" s="284"/>
      <c r="B27" s="284"/>
      <c r="C27" s="284"/>
      <c r="D27" s="284"/>
      <c r="E27" s="284"/>
      <c r="F27" s="254"/>
      <c r="G27" s="254"/>
      <c r="H27" s="254"/>
      <c r="I27" s="254"/>
      <c r="J27" s="254"/>
      <c r="K27" s="254"/>
    </row>
    <row r="28" spans="1:11">
      <c r="A28" s="284"/>
      <c r="B28" s="284"/>
      <c r="C28" s="284"/>
      <c r="D28" s="284"/>
      <c r="E28" s="284"/>
      <c r="F28" s="303" t="s">
        <v>424</v>
      </c>
      <c r="G28" s="303"/>
      <c r="H28" s="303"/>
      <c r="I28" s="303"/>
      <c r="J28" s="303"/>
      <c r="K28" s="303">
        <f>K26+K19</f>
        <v>374456</v>
      </c>
    </row>
    <row r="29" spans="1:11">
      <c r="A29" s="284"/>
      <c r="B29" s="284"/>
      <c r="C29" s="284"/>
      <c r="D29" s="284"/>
      <c r="E29" s="284"/>
      <c r="F29" s="304"/>
      <c r="G29" s="304"/>
      <c r="H29" s="304"/>
      <c r="I29" s="304"/>
      <c r="J29" s="304"/>
      <c r="K29" s="304"/>
    </row>
    <row r="30" spans="1:11">
      <c r="A30" s="284"/>
      <c r="B30" s="284"/>
      <c r="C30" s="284"/>
      <c r="D30" s="310" t="s">
        <v>433</v>
      </c>
      <c r="E30" s="310"/>
      <c r="F30" s="311"/>
      <c r="G30" s="311"/>
      <c r="H30" s="311"/>
      <c r="I30" s="311"/>
      <c r="J30" s="311"/>
      <c r="K30" s="311">
        <v>10123791</v>
      </c>
    </row>
    <row r="31" spans="1:11">
      <c r="A31" s="284"/>
      <c r="B31" s="284"/>
      <c r="C31" s="284"/>
      <c r="D31" s="284"/>
      <c r="E31" s="284"/>
      <c r="F31" s="254"/>
      <c r="G31" s="254"/>
      <c r="H31" s="254"/>
      <c r="I31" s="254"/>
      <c r="J31" s="254"/>
      <c r="K31" s="254"/>
    </row>
    <row r="32" spans="1:11">
      <c r="A32" s="284"/>
      <c r="B32" s="284"/>
      <c r="C32" s="284"/>
      <c r="D32" s="286" t="s">
        <v>381</v>
      </c>
      <c r="E32" s="286"/>
      <c r="F32" s="287"/>
      <c r="G32" s="287"/>
      <c r="H32" s="287"/>
      <c r="I32" s="287"/>
      <c r="J32" s="288"/>
      <c r="K32" s="288">
        <f>K30+K28</f>
        <v>10498247</v>
      </c>
    </row>
  </sheetData>
  <mergeCells count="4">
    <mergeCell ref="H1:K1"/>
    <mergeCell ref="H2:K2"/>
    <mergeCell ref="H5:J5"/>
    <mergeCell ref="A6:D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34"/>
  <sheetViews>
    <sheetView zoomScale="90" zoomScaleNormal="90" zoomScalePageLayoutView="90" workbookViewId="0">
      <selection activeCell="H14" sqref="H14"/>
    </sheetView>
  </sheetViews>
  <sheetFormatPr defaultColWidth="8.85546875" defaultRowHeight="15"/>
  <cols>
    <col min="1" max="1" width="4.42578125" customWidth="1"/>
    <col min="2" max="2" width="4.85546875" customWidth="1"/>
    <col min="3" max="3" width="12" customWidth="1"/>
    <col min="4" max="4" width="11.140625" customWidth="1"/>
    <col min="5" max="5" width="10.140625" customWidth="1"/>
    <col min="6" max="6" width="10.42578125" customWidth="1"/>
    <col min="7" max="7" width="18.7109375" customWidth="1"/>
    <col min="8" max="8" width="12.42578125" customWidth="1"/>
    <col min="9" max="9" width="25.85546875" customWidth="1"/>
    <col min="10" max="10" width="19.140625" customWidth="1"/>
    <col min="11" max="11" width="19.28515625" customWidth="1"/>
    <col min="12" max="12" width="18.85546875" customWidth="1"/>
  </cols>
  <sheetData>
    <row r="1" spans="1:12" ht="23.25">
      <c r="A1" s="216"/>
      <c r="B1" s="216"/>
      <c r="C1" s="216"/>
      <c r="D1" s="216"/>
      <c r="E1" s="216"/>
      <c r="F1" s="216"/>
      <c r="G1" s="216"/>
      <c r="H1" s="533" t="s">
        <v>434</v>
      </c>
      <c r="I1" s="533"/>
      <c r="J1" s="533"/>
      <c r="K1" s="533"/>
      <c r="L1" s="533"/>
    </row>
    <row r="2" spans="1:12" ht="18.75">
      <c r="A2" s="216"/>
      <c r="B2" s="216"/>
      <c r="C2" s="216"/>
      <c r="D2" s="216"/>
      <c r="E2" s="216"/>
      <c r="F2" s="216"/>
      <c r="G2" s="216"/>
      <c r="H2" s="534" t="s">
        <v>1</v>
      </c>
      <c r="I2" s="534"/>
      <c r="J2" s="534"/>
      <c r="K2" s="534"/>
      <c r="L2" s="534"/>
    </row>
    <row r="3" spans="1:12" ht="28.5" customHeight="1">
      <c r="A3" s="216" t="s">
        <v>3</v>
      </c>
      <c r="B3" s="211"/>
      <c r="C3" s="211"/>
      <c r="D3" s="211"/>
      <c r="E3" s="211"/>
      <c r="F3" s="211"/>
      <c r="G3" s="211"/>
      <c r="H3" s="527" t="s">
        <v>4</v>
      </c>
      <c r="I3" s="527"/>
      <c r="J3" s="527"/>
      <c r="K3" s="527" t="s">
        <v>57</v>
      </c>
      <c r="L3" s="527"/>
    </row>
    <row r="4" spans="1:12" ht="54.75" customHeight="1">
      <c r="A4" s="541" t="s">
        <v>6</v>
      </c>
      <c r="B4" s="541"/>
      <c r="C4" s="541"/>
      <c r="D4" s="541"/>
      <c r="E4" s="216"/>
      <c r="F4" s="216"/>
      <c r="G4" s="212" t="s">
        <v>7</v>
      </c>
      <c r="H4" s="212" t="s">
        <v>8</v>
      </c>
      <c r="I4" s="212" t="s">
        <v>9</v>
      </c>
      <c r="J4" s="212" t="s">
        <v>10</v>
      </c>
      <c r="K4" s="245">
        <v>2014</v>
      </c>
      <c r="L4" s="245">
        <v>2013</v>
      </c>
    </row>
    <row r="5" spans="1:12">
      <c r="A5" s="291" t="s">
        <v>417</v>
      </c>
      <c r="B5" s="284"/>
      <c r="C5" s="284"/>
      <c r="D5" s="284"/>
      <c r="E5" s="284"/>
      <c r="F5" s="284"/>
      <c r="G5" s="292"/>
      <c r="H5" s="292"/>
      <c r="I5" s="292"/>
      <c r="J5" s="292"/>
      <c r="K5" s="292"/>
      <c r="L5" s="292"/>
    </row>
    <row r="6" spans="1:12">
      <c r="A6" s="284"/>
      <c r="B6" s="284" t="s">
        <v>15</v>
      </c>
      <c r="C6" s="284"/>
      <c r="D6" s="284"/>
      <c r="E6" s="284"/>
      <c r="F6" s="254"/>
      <c r="G6" s="254"/>
      <c r="H6" s="254"/>
      <c r="I6" s="254"/>
      <c r="J6" s="254"/>
      <c r="K6" s="254"/>
      <c r="L6" s="254"/>
    </row>
    <row r="7" spans="1:12">
      <c r="A7" s="284"/>
      <c r="B7" s="284"/>
      <c r="C7" s="284" t="s">
        <v>61</v>
      </c>
      <c r="D7" s="284"/>
      <c r="E7" s="284"/>
      <c r="F7" s="284"/>
      <c r="G7" s="293">
        <v>-156568</v>
      </c>
      <c r="H7" s="254"/>
      <c r="I7" s="254"/>
      <c r="J7" s="254"/>
      <c r="K7" s="254">
        <f t="shared" ref="K7:K16" si="0">SUM(G7:J7)</f>
        <v>-156568</v>
      </c>
      <c r="L7" s="254">
        <v>-127028</v>
      </c>
    </row>
    <row r="8" spans="1:12">
      <c r="A8" s="284"/>
      <c r="B8" s="284"/>
      <c r="C8" s="284" t="s">
        <v>62</v>
      </c>
      <c r="D8" s="284"/>
      <c r="E8" s="284"/>
      <c r="F8" s="284"/>
      <c r="G8" s="294">
        <v>-484801</v>
      </c>
      <c r="H8" s="254">
        <v>275518</v>
      </c>
      <c r="I8" s="254"/>
      <c r="J8" s="254"/>
      <c r="K8" s="254">
        <f t="shared" si="0"/>
        <v>-209283</v>
      </c>
      <c r="L8" s="254">
        <v>-324711</v>
      </c>
    </row>
    <row r="9" spans="1:12">
      <c r="A9" s="284"/>
      <c r="B9" s="284"/>
      <c r="C9" s="284" t="s">
        <v>63</v>
      </c>
      <c r="D9" s="284"/>
      <c r="E9" s="284"/>
      <c r="F9" s="284"/>
      <c r="G9" s="295">
        <v>-23649</v>
      </c>
      <c r="H9" s="254"/>
      <c r="I9" s="254"/>
      <c r="J9" s="254"/>
      <c r="K9" s="254">
        <f t="shared" si="0"/>
        <v>-23649</v>
      </c>
      <c r="L9" s="254">
        <v>-68164</v>
      </c>
    </row>
    <row r="10" spans="1:12" ht="15" customHeight="1">
      <c r="A10" s="284"/>
      <c r="B10" s="284"/>
      <c r="C10" s="284" t="s">
        <v>64</v>
      </c>
      <c r="D10" s="284"/>
      <c r="E10" s="284"/>
      <c r="F10" s="284"/>
      <c r="G10" s="296">
        <v>-397032</v>
      </c>
      <c r="H10" s="254"/>
      <c r="I10" s="254"/>
      <c r="J10" s="254"/>
      <c r="K10" s="254">
        <f t="shared" si="0"/>
        <v>-397032</v>
      </c>
      <c r="L10" s="254">
        <v>-382749</v>
      </c>
    </row>
    <row r="11" spans="1:12">
      <c r="A11" s="284"/>
      <c r="B11" s="284"/>
      <c r="C11" s="284" t="s">
        <v>32</v>
      </c>
      <c r="D11" s="284"/>
      <c r="E11" s="284"/>
      <c r="F11" s="284"/>
      <c r="G11" s="297">
        <v>-718404</v>
      </c>
      <c r="H11" s="254"/>
      <c r="I11" s="254"/>
      <c r="J11" s="254"/>
      <c r="K11" s="254">
        <f t="shared" si="0"/>
        <v>-718404</v>
      </c>
      <c r="L11" s="254">
        <v>-662550</v>
      </c>
    </row>
    <row r="12" spans="1:12">
      <c r="A12" s="284"/>
      <c r="B12" s="284" t="s">
        <v>16</v>
      </c>
      <c r="C12" s="284"/>
      <c r="D12" s="284"/>
      <c r="E12" s="284"/>
      <c r="F12" s="254"/>
      <c r="G12" s="298">
        <v>-477323</v>
      </c>
      <c r="H12" s="254"/>
      <c r="I12" s="254">
        <v>57170</v>
      </c>
      <c r="J12" s="254"/>
      <c r="K12" s="254">
        <f>SUM(G12:J12)</f>
        <v>-420153</v>
      </c>
      <c r="L12" s="254">
        <v>-143796</v>
      </c>
    </row>
    <row r="13" spans="1:12">
      <c r="A13" s="284"/>
      <c r="B13" s="284" t="s">
        <v>17</v>
      </c>
      <c r="C13" s="284"/>
      <c r="D13" s="284"/>
      <c r="E13" s="284"/>
      <c r="F13" s="254"/>
      <c r="G13" s="299">
        <v>-6068819</v>
      </c>
      <c r="H13" s="254">
        <v>158574</v>
      </c>
      <c r="I13" s="254">
        <v>346508</v>
      </c>
      <c r="J13" s="254">
        <v>1045841</v>
      </c>
      <c r="K13" s="254">
        <f t="shared" ref="K13:K15" si="1">SUM(G13:J13)</f>
        <v>-4517896</v>
      </c>
      <c r="L13" s="254">
        <v>-7901402</v>
      </c>
    </row>
    <row r="14" spans="1:12">
      <c r="A14" s="284"/>
      <c r="B14" s="284" t="s">
        <v>19</v>
      </c>
      <c r="C14" s="284"/>
      <c r="D14" s="284"/>
      <c r="E14" s="284"/>
      <c r="F14" s="254"/>
      <c r="G14" s="300">
        <v>-193377</v>
      </c>
      <c r="H14" s="254"/>
      <c r="I14" s="254"/>
      <c r="J14" s="254"/>
      <c r="K14" s="254">
        <f t="shared" si="1"/>
        <v>-193377</v>
      </c>
      <c r="L14" s="254">
        <v>-155557</v>
      </c>
    </row>
    <row r="15" spans="1:12">
      <c r="A15" s="284"/>
      <c r="B15" s="284" t="s">
        <v>18</v>
      </c>
      <c r="C15" s="284"/>
      <c r="D15" s="284"/>
      <c r="E15" s="284"/>
      <c r="F15" s="254"/>
      <c r="G15" s="302">
        <v>-25441</v>
      </c>
      <c r="H15" s="254"/>
      <c r="I15" s="254"/>
      <c r="J15" s="254"/>
      <c r="K15" s="254">
        <f t="shared" si="1"/>
        <v>-25441</v>
      </c>
      <c r="L15" s="254">
        <v>-30591</v>
      </c>
    </row>
    <row r="16" spans="1:12">
      <c r="A16" s="284"/>
      <c r="B16" s="284" t="s">
        <v>100</v>
      </c>
      <c r="C16" s="284"/>
      <c r="D16" s="284"/>
      <c r="E16" s="284"/>
      <c r="F16" s="254"/>
      <c r="G16" s="294">
        <v>-6775</v>
      </c>
      <c r="H16" s="254"/>
      <c r="I16" s="254"/>
      <c r="J16" s="254"/>
      <c r="K16" s="254">
        <f t="shared" si="0"/>
        <v>-6775</v>
      </c>
      <c r="L16" s="254">
        <v>-12512</v>
      </c>
    </row>
    <row r="17" spans="1:12">
      <c r="A17" s="284"/>
      <c r="B17" s="284"/>
      <c r="C17" s="284"/>
      <c r="D17" s="284"/>
      <c r="E17" s="284"/>
      <c r="F17" s="254"/>
      <c r="G17" s="254"/>
      <c r="H17" s="254"/>
      <c r="I17" s="254"/>
      <c r="J17" s="254"/>
      <c r="K17" s="254"/>
      <c r="L17" s="254"/>
    </row>
    <row r="18" spans="1:12">
      <c r="A18" s="284"/>
      <c r="B18" s="284"/>
      <c r="C18" s="284"/>
      <c r="D18" s="256" t="s">
        <v>22</v>
      </c>
      <c r="E18" s="256"/>
      <c r="F18" s="303"/>
      <c r="G18" s="303">
        <f t="shared" ref="G18:L18" si="2">SUM(G7:G16)</f>
        <v>-8552189</v>
      </c>
      <c r="H18" s="303">
        <f t="shared" si="2"/>
        <v>434092</v>
      </c>
      <c r="I18" s="303">
        <f t="shared" si="2"/>
        <v>403678</v>
      </c>
      <c r="J18" s="303">
        <f t="shared" si="2"/>
        <v>1045841</v>
      </c>
      <c r="K18" s="303">
        <f t="shared" si="2"/>
        <v>-6668578</v>
      </c>
      <c r="L18" s="303">
        <f t="shared" si="2"/>
        <v>-9809060</v>
      </c>
    </row>
    <row r="19" spans="1:12">
      <c r="A19" s="284"/>
      <c r="B19" s="284"/>
      <c r="C19" s="284"/>
      <c r="D19" s="284"/>
      <c r="E19" s="284"/>
      <c r="F19" s="254"/>
      <c r="G19" s="254"/>
      <c r="H19" s="254"/>
      <c r="I19" s="254"/>
      <c r="J19" s="254"/>
      <c r="K19" s="254"/>
      <c r="L19" s="254"/>
    </row>
    <row r="20" spans="1:12">
      <c r="A20" s="291"/>
      <c r="B20" s="291"/>
      <c r="C20" s="291"/>
      <c r="D20" s="291"/>
      <c r="E20" s="291" t="s">
        <v>25</v>
      </c>
      <c r="F20" s="304"/>
      <c r="G20" s="304"/>
      <c r="H20" s="304"/>
      <c r="I20" s="304"/>
      <c r="J20" s="304"/>
      <c r="K20" s="304"/>
      <c r="L20" s="304"/>
    </row>
    <row r="21" spans="1:12">
      <c r="A21" s="291"/>
      <c r="B21" s="291"/>
      <c r="C21" s="291"/>
      <c r="D21" s="291"/>
      <c r="E21" s="305"/>
      <c r="F21" s="306" t="s">
        <v>26</v>
      </c>
      <c r="G21" s="304"/>
      <c r="H21" s="304"/>
      <c r="I21" s="304"/>
      <c r="J21" s="304"/>
      <c r="K21" s="304"/>
      <c r="L21" s="304"/>
    </row>
    <row r="22" spans="1:12" ht="16.5" customHeight="1">
      <c r="A22" s="284"/>
      <c r="B22" s="284"/>
      <c r="C22" s="284"/>
      <c r="D22" s="284"/>
      <c r="E22" s="284"/>
      <c r="F22" s="254"/>
      <c r="G22" s="254" t="s">
        <v>80</v>
      </c>
      <c r="H22" s="254"/>
      <c r="I22" s="254"/>
      <c r="J22" s="254"/>
      <c r="K22" s="257">
        <v>3293654</v>
      </c>
      <c r="L22" s="254">
        <v>3214227</v>
      </c>
    </row>
    <row r="23" spans="1:12" ht="16.5" customHeight="1">
      <c r="A23" s="284"/>
      <c r="B23" s="284"/>
      <c r="C23" s="284"/>
      <c r="D23" s="284"/>
      <c r="E23" s="284"/>
      <c r="F23" s="254"/>
      <c r="G23" s="254" t="s">
        <v>81</v>
      </c>
      <c r="H23" s="254"/>
      <c r="I23" s="254"/>
      <c r="J23" s="254"/>
      <c r="K23" s="299">
        <v>3397394</v>
      </c>
      <c r="L23" s="254">
        <v>3587239</v>
      </c>
    </row>
    <row r="24" spans="1:12">
      <c r="A24" s="284"/>
      <c r="B24" s="284"/>
      <c r="C24" s="284"/>
      <c r="D24" s="284"/>
      <c r="E24" s="284"/>
      <c r="F24" s="254" t="s">
        <v>435</v>
      </c>
      <c r="G24" s="254"/>
      <c r="H24" s="254"/>
      <c r="I24" s="254"/>
      <c r="J24" s="254"/>
      <c r="K24" s="309">
        <v>1601887</v>
      </c>
      <c r="L24" s="254">
        <v>1525642</v>
      </c>
    </row>
    <row r="25" spans="1:12">
      <c r="A25" s="284"/>
      <c r="B25" s="284"/>
      <c r="C25" s="284"/>
      <c r="D25" s="284"/>
      <c r="E25" s="284"/>
      <c r="F25" s="254" t="s">
        <v>86</v>
      </c>
      <c r="G25" s="254"/>
      <c r="H25" s="254"/>
      <c r="I25" s="254"/>
      <c r="J25" s="254"/>
      <c r="K25" s="307">
        <v>119321</v>
      </c>
      <c r="L25" s="254">
        <v>185917</v>
      </c>
    </row>
    <row r="26" spans="1:12">
      <c r="A26" s="284"/>
      <c r="B26" s="284"/>
      <c r="C26" s="284"/>
      <c r="D26" s="284"/>
      <c r="E26" s="284"/>
      <c r="F26" s="254" t="s">
        <v>36</v>
      </c>
      <c r="G26" s="254"/>
      <c r="H26" s="254"/>
      <c r="I26" s="254"/>
      <c r="J26" s="254"/>
      <c r="K26" s="307">
        <v>201183</v>
      </c>
      <c r="L26" s="254">
        <v>157299</v>
      </c>
    </row>
    <row r="27" spans="1:12">
      <c r="A27" s="284"/>
      <c r="B27" s="284"/>
      <c r="C27" s="284"/>
      <c r="D27" s="284"/>
      <c r="E27" s="284"/>
      <c r="F27" s="254"/>
      <c r="G27" s="254"/>
      <c r="H27" s="254"/>
      <c r="I27" s="254"/>
      <c r="J27" s="254"/>
      <c r="K27" s="254"/>
      <c r="L27" s="254"/>
    </row>
    <row r="28" spans="1:12">
      <c r="A28" s="284"/>
      <c r="B28" s="284"/>
      <c r="C28" s="284"/>
      <c r="D28" s="284"/>
      <c r="E28" s="284"/>
      <c r="F28" s="303" t="s">
        <v>436</v>
      </c>
      <c r="G28" s="303"/>
      <c r="H28" s="303"/>
      <c r="I28" s="303"/>
      <c r="J28" s="303"/>
      <c r="K28" s="303">
        <f>SUM(K22:K26)</f>
        <v>8613439</v>
      </c>
      <c r="L28" s="303">
        <f>SUM(L22:L26)</f>
        <v>8670324</v>
      </c>
    </row>
    <row r="29" spans="1:12">
      <c r="A29" s="284"/>
      <c r="B29" s="284"/>
      <c r="C29" s="284"/>
      <c r="D29" s="284"/>
      <c r="E29" s="284"/>
      <c r="F29" s="254"/>
      <c r="G29" s="254"/>
      <c r="H29" s="254"/>
      <c r="I29" s="254"/>
      <c r="J29" s="254"/>
      <c r="K29" s="254"/>
      <c r="L29" s="254"/>
    </row>
    <row r="30" spans="1:12">
      <c r="A30" s="284"/>
      <c r="B30" s="284"/>
      <c r="C30" s="284"/>
      <c r="D30" s="284"/>
      <c r="E30" s="284"/>
      <c r="F30" s="303" t="s">
        <v>379</v>
      </c>
      <c r="G30" s="303"/>
      <c r="H30" s="303"/>
      <c r="I30" s="303"/>
      <c r="J30" s="303"/>
      <c r="K30" s="303">
        <f>K28+K18</f>
        <v>1944861</v>
      </c>
      <c r="L30" s="303">
        <f>L28+L18</f>
        <v>-1138736</v>
      </c>
    </row>
    <row r="31" spans="1:12">
      <c r="A31" s="284"/>
      <c r="B31" s="284"/>
      <c r="C31" s="284"/>
      <c r="D31" s="284"/>
      <c r="E31" s="284"/>
      <c r="F31" s="304"/>
      <c r="G31" s="304"/>
      <c r="H31" s="304"/>
      <c r="I31" s="304"/>
      <c r="J31" s="304"/>
      <c r="K31" s="304"/>
      <c r="L31" s="304"/>
    </row>
    <row r="32" spans="1:12">
      <c r="A32" s="284"/>
      <c r="B32" s="284"/>
      <c r="C32" s="284"/>
      <c r="D32" s="310" t="s">
        <v>380</v>
      </c>
      <c r="E32" s="310"/>
      <c r="F32" s="311"/>
      <c r="G32" s="311"/>
      <c r="H32" s="311"/>
      <c r="I32" s="311"/>
      <c r="J32" s="311"/>
      <c r="K32" s="311">
        <v>23395424</v>
      </c>
      <c r="L32" s="311">
        <v>24534161</v>
      </c>
    </row>
    <row r="33" spans="1:12">
      <c r="A33" s="284"/>
      <c r="B33" s="284"/>
      <c r="C33" s="284"/>
      <c r="D33" s="284"/>
      <c r="E33" s="284"/>
      <c r="F33" s="254"/>
      <c r="G33" s="254"/>
      <c r="H33" s="254"/>
      <c r="I33" s="254"/>
      <c r="J33" s="254"/>
      <c r="K33" s="254"/>
      <c r="L33" s="254"/>
    </row>
    <row r="34" spans="1:12">
      <c r="A34" s="284"/>
      <c r="B34" s="284"/>
      <c r="C34" s="284"/>
      <c r="D34" s="286" t="s">
        <v>425</v>
      </c>
      <c r="E34" s="286"/>
      <c r="F34" s="287"/>
      <c r="G34" s="287"/>
      <c r="H34" s="287"/>
      <c r="I34" s="287"/>
      <c r="J34" s="288"/>
      <c r="K34" s="288">
        <f>SUM(K30+K32)</f>
        <v>25340285</v>
      </c>
      <c r="L34" s="288">
        <f t="shared" ref="L34" si="3">L32+L30</f>
        <v>23395425</v>
      </c>
    </row>
  </sheetData>
  <mergeCells count="5">
    <mergeCell ref="H1:L1"/>
    <mergeCell ref="H2:L2"/>
    <mergeCell ref="H3:J3"/>
    <mergeCell ref="K3:L3"/>
    <mergeCell ref="A4:D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54"/>
  <sheetViews>
    <sheetView workbookViewId="0">
      <selection activeCell="G23" sqref="G23"/>
    </sheetView>
  </sheetViews>
  <sheetFormatPr defaultColWidth="8.85546875" defaultRowHeight="15"/>
  <cols>
    <col min="1" max="1" width="5.7109375" customWidth="1"/>
    <col min="2" max="2" width="5.140625" customWidth="1"/>
    <col min="3" max="3" width="6.85546875" customWidth="1"/>
    <col min="4" max="4" width="9.42578125" customWidth="1"/>
    <col min="5" max="5" width="10.140625" customWidth="1"/>
    <col min="6" max="6" width="8.7109375" customWidth="1"/>
    <col min="7" max="7" width="21.28515625" customWidth="1"/>
    <col min="8" max="8" width="18.140625" customWidth="1"/>
    <col min="9" max="10" width="19.42578125" customWidth="1"/>
    <col min="11" max="11" width="21.85546875" customWidth="1"/>
    <col min="12" max="12" width="20" customWidth="1"/>
    <col min="13" max="13" width="21.28515625" customWidth="1"/>
    <col min="14" max="14" width="21" customWidth="1"/>
  </cols>
  <sheetData>
    <row r="1" spans="1:14" ht="23.25">
      <c r="A1" s="216"/>
      <c r="B1" s="216"/>
      <c r="C1" s="216"/>
      <c r="D1" s="216"/>
      <c r="E1" s="216"/>
      <c r="F1" s="216"/>
      <c r="G1" s="216"/>
      <c r="H1" s="533" t="s">
        <v>437</v>
      </c>
      <c r="I1" s="533"/>
      <c r="J1" s="533"/>
      <c r="K1" s="533"/>
      <c r="L1" s="438"/>
      <c r="M1" s="438"/>
      <c r="N1" s="216"/>
    </row>
    <row r="2" spans="1:14" ht="18.75">
      <c r="A2" s="216"/>
      <c r="B2" s="216"/>
      <c r="C2" s="216"/>
      <c r="D2" s="216"/>
      <c r="E2" s="216"/>
      <c r="F2" s="216"/>
      <c r="G2" s="216"/>
      <c r="H2" s="534" t="s">
        <v>1</v>
      </c>
      <c r="I2" s="534"/>
      <c r="J2" s="534"/>
      <c r="K2" s="534"/>
      <c r="L2" s="439"/>
      <c r="M2" s="439"/>
      <c r="N2" s="216"/>
    </row>
    <row r="3" spans="1:14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6"/>
      <c r="L3" s="216"/>
      <c r="M3" s="216"/>
      <c r="N3" s="216"/>
    </row>
    <row r="4" spans="1:14" ht="18.75">
      <c r="A4" s="216"/>
      <c r="B4" s="216"/>
      <c r="C4" s="216"/>
      <c r="D4" s="218"/>
      <c r="E4" s="216"/>
      <c r="F4" s="216"/>
      <c r="G4" s="216"/>
      <c r="H4" s="216"/>
      <c r="I4" s="216"/>
      <c r="J4" s="216"/>
      <c r="K4" s="527" t="s">
        <v>291</v>
      </c>
      <c r="L4" s="527"/>
      <c r="M4" s="527"/>
      <c r="N4" s="527"/>
    </row>
    <row r="5" spans="1:14" ht="12.75" customHeight="1">
      <c r="A5" s="216" t="s">
        <v>3</v>
      </c>
      <c r="B5" s="216"/>
      <c r="C5" s="211"/>
      <c r="D5" s="211"/>
      <c r="E5" s="211"/>
      <c r="F5" s="211"/>
      <c r="G5" s="211"/>
      <c r="H5" s="527" t="s">
        <v>4</v>
      </c>
      <c r="I5" s="527"/>
      <c r="J5" s="527"/>
      <c r="K5" s="527" t="s">
        <v>5</v>
      </c>
      <c r="L5" s="527"/>
      <c r="M5" s="527"/>
      <c r="N5" s="246"/>
    </row>
    <row r="6" spans="1:14" ht="30">
      <c r="A6" s="289" t="s">
        <v>6</v>
      </c>
      <c r="B6" s="216"/>
      <c r="C6" s="216"/>
      <c r="D6" s="216"/>
      <c r="E6" s="216"/>
      <c r="F6" s="216"/>
      <c r="G6" s="212" t="s">
        <v>7</v>
      </c>
      <c r="H6" s="212" t="s">
        <v>8</v>
      </c>
      <c r="I6" s="212" t="s">
        <v>9</v>
      </c>
      <c r="J6" s="212" t="s">
        <v>10</v>
      </c>
      <c r="K6" s="212" t="s">
        <v>58</v>
      </c>
      <c r="L6" s="212" t="s">
        <v>147</v>
      </c>
      <c r="M6" s="212" t="s">
        <v>59</v>
      </c>
      <c r="N6" s="247" t="s">
        <v>12</v>
      </c>
    </row>
    <row r="7" spans="1:14" ht="16.5" customHeight="1">
      <c r="A7" s="291" t="s">
        <v>13</v>
      </c>
      <c r="B7" s="284"/>
      <c r="C7" s="284"/>
      <c r="D7" s="284"/>
      <c r="E7" s="284"/>
      <c r="F7" s="284"/>
      <c r="G7" s="292"/>
      <c r="H7" s="292"/>
      <c r="I7" s="292"/>
      <c r="J7" s="292"/>
      <c r="K7" s="284"/>
      <c r="L7" s="284"/>
      <c r="M7" s="284"/>
      <c r="N7" s="284"/>
    </row>
    <row r="8" spans="1:14" ht="16.5" customHeight="1">
      <c r="A8" s="284"/>
      <c r="B8" s="313" t="s">
        <v>14</v>
      </c>
      <c r="C8" s="284"/>
      <c r="D8" s="284"/>
      <c r="E8" s="284"/>
      <c r="F8" s="284"/>
      <c r="G8" s="292"/>
      <c r="H8" s="292"/>
      <c r="I8" s="292"/>
      <c r="J8" s="292"/>
      <c r="K8" s="292"/>
      <c r="L8" s="292"/>
      <c r="M8" s="292"/>
      <c r="N8" s="284"/>
    </row>
    <row r="9" spans="1:14">
      <c r="A9" s="284"/>
      <c r="B9" s="284"/>
      <c r="C9" s="284" t="s">
        <v>15</v>
      </c>
      <c r="D9" s="284"/>
      <c r="E9" s="284"/>
      <c r="F9" s="254"/>
      <c r="G9" s="314">
        <v>-18278012</v>
      </c>
      <c r="H9" s="254">
        <v>3529181</v>
      </c>
      <c r="I9" s="254">
        <v>5194070</v>
      </c>
      <c r="J9" s="254">
        <v>5192955</v>
      </c>
      <c r="K9" s="254">
        <v>-4361806</v>
      </c>
      <c r="L9" s="254"/>
      <c r="M9" s="254">
        <f t="shared" ref="M9:M15" si="0">SUM(K9:L9)</f>
        <v>-4361806</v>
      </c>
      <c r="N9" s="284"/>
    </row>
    <row r="10" spans="1:14">
      <c r="A10" s="284"/>
      <c r="B10" s="284"/>
      <c r="C10" s="284" t="s">
        <v>16</v>
      </c>
      <c r="D10" s="284"/>
      <c r="E10" s="284"/>
      <c r="F10" s="254"/>
      <c r="G10" s="298">
        <v>-8821956</v>
      </c>
      <c r="H10" s="254"/>
      <c r="I10" s="254">
        <v>208520</v>
      </c>
      <c r="J10" s="254"/>
      <c r="K10" s="254">
        <v>-8613436</v>
      </c>
      <c r="L10" s="254"/>
      <c r="M10" s="254">
        <f t="shared" si="0"/>
        <v>-8613436</v>
      </c>
      <c r="N10" s="284"/>
    </row>
    <row r="11" spans="1:14">
      <c r="A11" s="284"/>
      <c r="B11" s="284"/>
      <c r="C11" s="284" t="s">
        <v>17</v>
      </c>
      <c r="D11" s="284"/>
      <c r="E11" s="284"/>
      <c r="F11" s="254"/>
      <c r="G11" s="299">
        <v>-25818325</v>
      </c>
      <c r="H11" s="254">
        <v>102722</v>
      </c>
      <c r="I11" s="254">
        <v>850993</v>
      </c>
      <c r="J11" s="254">
        <v>1873662</v>
      </c>
      <c r="K11" s="254">
        <v>-22990948</v>
      </c>
      <c r="L11" s="254"/>
      <c r="M11" s="254">
        <f t="shared" si="0"/>
        <v>-22990948</v>
      </c>
      <c r="N11" s="284"/>
    </row>
    <row r="12" spans="1:14" ht="17.25" customHeight="1">
      <c r="A12" s="284"/>
      <c r="B12" s="284"/>
      <c r="C12" s="284" t="s">
        <v>19</v>
      </c>
      <c r="D12" s="284"/>
      <c r="E12" s="284"/>
      <c r="F12" s="254"/>
      <c r="G12" s="300">
        <v>-5791088</v>
      </c>
      <c r="H12" s="254"/>
      <c r="I12" s="254">
        <v>93481</v>
      </c>
      <c r="J12" s="254"/>
      <c r="K12" s="254">
        <v>-5697607</v>
      </c>
      <c r="L12" s="254"/>
      <c r="M12" s="254">
        <f t="shared" si="0"/>
        <v>-5697607</v>
      </c>
      <c r="N12" s="284"/>
    </row>
    <row r="13" spans="1:14" ht="16.5" customHeight="1">
      <c r="A13" s="284"/>
      <c r="B13" s="284"/>
      <c r="C13" s="284" t="s">
        <v>20</v>
      </c>
      <c r="D13" s="284"/>
      <c r="E13" s="284"/>
      <c r="F13" s="254"/>
      <c r="G13" s="301">
        <v>-4509617</v>
      </c>
      <c r="H13" s="254">
        <v>248514</v>
      </c>
      <c r="I13" s="254"/>
      <c r="J13" s="254"/>
      <c r="K13" s="254">
        <v>-4261103</v>
      </c>
      <c r="L13" s="254"/>
      <c r="M13" s="254">
        <f t="shared" si="0"/>
        <v>-4261103</v>
      </c>
      <c r="N13" s="284"/>
    </row>
    <row r="14" spans="1:14">
      <c r="A14" s="284"/>
      <c r="B14" s="284"/>
      <c r="C14" s="284" t="s">
        <v>18</v>
      </c>
      <c r="D14" s="284"/>
      <c r="E14" s="284"/>
      <c r="F14" s="254"/>
      <c r="G14" s="302">
        <v>-1763281</v>
      </c>
      <c r="H14" s="254"/>
      <c r="I14" s="254">
        <v>944998</v>
      </c>
      <c r="J14" s="254"/>
      <c r="K14" s="254">
        <v>-818283</v>
      </c>
      <c r="L14" s="254"/>
      <c r="M14" s="254">
        <f t="shared" si="0"/>
        <v>-818283</v>
      </c>
      <c r="N14" s="284"/>
    </row>
    <row r="15" spans="1:14">
      <c r="A15" s="284"/>
      <c r="B15" s="284"/>
      <c r="C15" s="284" t="s">
        <v>438</v>
      </c>
      <c r="D15" s="284"/>
      <c r="E15" s="284"/>
      <c r="F15" s="254"/>
      <c r="G15" s="294">
        <v>-450422</v>
      </c>
      <c r="H15" s="254"/>
      <c r="I15" s="254"/>
      <c r="J15" s="254"/>
      <c r="K15" s="254">
        <f t="shared" ref="K15:K16" si="1">SUM(G15:J15)</f>
        <v>-450422</v>
      </c>
      <c r="L15" s="254"/>
      <c r="M15" s="254">
        <f t="shared" si="0"/>
        <v>-450422</v>
      </c>
      <c r="N15" s="284"/>
    </row>
    <row r="16" spans="1:14">
      <c r="A16" s="284"/>
      <c r="B16" s="284"/>
      <c r="C16" s="284" t="s">
        <v>439</v>
      </c>
      <c r="D16" s="284"/>
      <c r="E16" s="284"/>
      <c r="F16" s="254"/>
      <c r="G16" s="254"/>
      <c r="H16" s="254"/>
      <c r="I16" s="254"/>
      <c r="J16" s="254">
        <v>36607</v>
      </c>
      <c r="K16" s="254">
        <f t="shared" si="1"/>
        <v>36607</v>
      </c>
      <c r="L16" s="254"/>
      <c r="M16" s="254">
        <f>SUM(K16:L16)</f>
        <v>36607</v>
      </c>
      <c r="N16" s="284"/>
    </row>
    <row r="17" spans="1:14">
      <c r="A17" s="284"/>
      <c r="B17" s="284"/>
      <c r="C17" s="284"/>
      <c r="D17" s="284"/>
      <c r="E17" s="284"/>
      <c r="F17" s="254"/>
      <c r="G17" s="254"/>
      <c r="H17" s="254"/>
      <c r="I17" s="254"/>
      <c r="J17" s="254"/>
      <c r="K17" s="254"/>
      <c r="L17" s="254"/>
      <c r="M17" s="254"/>
      <c r="N17" s="284"/>
    </row>
    <row r="18" spans="1:14" ht="16.5" customHeight="1">
      <c r="A18" s="284"/>
      <c r="B18" s="284"/>
      <c r="C18" s="284"/>
      <c r="D18" s="256" t="s">
        <v>22</v>
      </c>
      <c r="E18" s="256"/>
      <c r="F18" s="303"/>
      <c r="G18" s="303">
        <f t="shared" ref="G18:I18" si="2">SUM(G9:G16)</f>
        <v>-65432701</v>
      </c>
      <c r="H18" s="303">
        <f t="shared" si="2"/>
        <v>3880417</v>
      </c>
      <c r="I18" s="303">
        <f t="shared" si="2"/>
        <v>7292062</v>
      </c>
      <c r="J18" s="303">
        <f>SUM(J9:J16)</f>
        <v>7103224</v>
      </c>
      <c r="K18" s="315">
        <f>SUM(K9:K16)</f>
        <v>-47156998</v>
      </c>
      <c r="L18" s="315"/>
      <c r="M18" s="315">
        <f>SUM(M9:M16)</f>
        <v>-47156998</v>
      </c>
      <c r="N18" s="318">
        <f>SUM(N9:N15)</f>
        <v>0</v>
      </c>
    </row>
    <row r="19" spans="1:14">
      <c r="A19" s="284"/>
      <c r="B19" s="284"/>
      <c r="C19" s="284"/>
      <c r="D19" s="291"/>
      <c r="E19" s="291"/>
      <c r="F19" s="304"/>
      <c r="G19" s="304"/>
      <c r="H19" s="304"/>
      <c r="I19" s="304"/>
      <c r="J19" s="304"/>
      <c r="K19" s="304"/>
      <c r="L19" s="304"/>
      <c r="M19" s="304"/>
      <c r="N19" s="284"/>
    </row>
    <row r="20" spans="1:14">
      <c r="A20" s="284"/>
      <c r="B20" s="313" t="s">
        <v>116</v>
      </c>
      <c r="C20" s="284"/>
      <c r="D20" s="291"/>
      <c r="E20" s="291"/>
      <c r="F20" s="304"/>
      <c r="G20" s="304"/>
      <c r="H20" s="304"/>
      <c r="I20" s="304"/>
      <c r="J20" s="304"/>
      <c r="K20" s="304"/>
      <c r="L20" s="304"/>
      <c r="M20" s="304"/>
      <c r="N20" s="284"/>
    </row>
    <row r="21" spans="1:14">
      <c r="A21" s="284"/>
      <c r="B21" s="284"/>
      <c r="C21" s="284" t="s">
        <v>440</v>
      </c>
      <c r="D21" s="291"/>
      <c r="E21" s="291"/>
      <c r="F21" s="304"/>
      <c r="G21" s="472">
        <v>-12003522</v>
      </c>
      <c r="H21" s="306">
        <v>11174372</v>
      </c>
      <c r="I21" s="306">
        <v>79394</v>
      </c>
      <c r="J21" s="306"/>
      <c r="K21" s="306"/>
      <c r="L21" s="306">
        <v>-749756</v>
      </c>
      <c r="M21" s="306">
        <f t="shared" ref="M21:M22" si="3">SUM(K21:L21)</f>
        <v>-749756</v>
      </c>
      <c r="N21" s="284"/>
    </row>
    <row r="22" spans="1:14">
      <c r="A22" s="284"/>
      <c r="B22" s="284"/>
      <c r="C22" s="284" t="s">
        <v>441</v>
      </c>
      <c r="D22" s="291"/>
      <c r="E22" s="291"/>
      <c r="F22" s="304"/>
      <c r="G22" s="472">
        <v>-11543076</v>
      </c>
      <c r="H22" s="306">
        <v>8815790</v>
      </c>
      <c r="I22" s="306"/>
      <c r="J22" s="306">
        <v>1248414</v>
      </c>
      <c r="K22" s="306"/>
      <c r="L22" s="306">
        <v>-1478872</v>
      </c>
      <c r="M22" s="306">
        <f t="shared" si="3"/>
        <v>-1478872</v>
      </c>
      <c r="N22" s="284"/>
    </row>
    <row r="23" spans="1:14">
      <c r="A23" s="284"/>
      <c r="B23" s="284"/>
      <c r="C23" s="284" t="s">
        <v>229</v>
      </c>
      <c r="D23" s="291"/>
      <c r="E23" s="291"/>
      <c r="F23" s="304"/>
      <c r="G23" s="473">
        <v>-3713140</v>
      </c>
      <c r="H23" s="306">
        <v>3583537</v>
      </c>
      <c r="I23" s="306"/>
      <c r="J23" s="306"/>
      <c r="K23" s="306"/>
      <c r="L23" s="306">
        <v>-129603</v>
      </c>
      <c r="M23" s="306">
        <f>SUM(K23:L23)</f>
        <v>-129603</v>
      </c>
      <c r="N23" s="284"/>
    </row>
    <row r="24" spans="1:14">
      <c r="A24" s="284"/>
      <c r="B24" s="284"/>
      <c r="C24" s="284"/>
      <c r="D24" s="291"/>
      <c r="E24" s="291"/>
      <c r="F24" s="304"/>
      <c r="G24" s="304"/>
      <c r="H24" s="304"/>
      <c r="I24" s="304"/>
      <c r="J24" s="304"/>
      <c r="K24" s="304"/>
      <c r="L24" s="304"/>
      <c r="M24" s="304"/>
      <c r="N24" s="284"/>
    </row>
    <row r="25" spans="1:14" ht="16.5" customHeight="1">
      <c r="A25" s="284"/>
      <c r="B25" s="284"/>
      <c r="C25" s="284"/>
      <c r="D25" s="256" t="s">
        <v>232</v>
      </c>
      <c r="E25" s="256"/>
      <c r="F25" s="303"/>
      <c r="G25" s="303">
        <f t="shared" ref="G25:M25" si="4">SUM(G21:G23)</f>
        <v>-27259738</v>
      </c>
      <c r="H25" s="303">
        <f t="shared" si="4"/>
        <v>23573699</v>
      </c>
      <c r="I25" s="303">
        <f t="shared" si="4"/>
        <v>79394</v>
      </c>
      <c r="J25" s="303">
        <f t="shared" si="4"/>
        <v>1248414</v>
      </c>
      <c r="K25" s="315">
        <f t="shared" si="4"/>
        <v>0</v>
      </c>
      <c r="L25" s="315">
        <f t="shared" si="4"/>
        <v>-2358231</v>
      </c>
      <c r="M25" s="315">
        <f t="shared" si="4"/>
        <v>-2358231</v>
      </c>
      <c r="N25" s="318">
        <f>SUM(N14:N23)</f>
        <v>0</v>
      </c>
    </row>
    <row r="26" spans="1:14">
      <c r="A26" s="284"/>
      <c r="B26" s="284"/>
      <c r="C26" s="284"/>
      <c r="D26" s="291"/>
      <c r="E26" s="291"/>
      <c r="F26" s="304"/>
      <c r="G26" s="304"/>
      <c r="H26" s="304"/>
      <c r="I26" s="304"/>
      <c r="J26" s="304"/>
      <c r="K26" s="304"/>
      <c r="L26" s="304"/>
      <c r="M26" s="304"/>
      <c r="N26" s="284"/>
    </row>
    <row r="27" spans="1:14" ht="13.5" customHeight="1">
      <c r="A27" s="284"/>
      <c r="B27" s="284"/>
      <c r="C27" s="284"/>
      <c r="D27" s="256" t="s">
        <v>67</v>
      </c>
      <c r="E27" s="256"/>
      <c r="F27" s="303"/>
      <c r="G27" s="303">
        <f>G25+G18</f>
        <v>-92692439</v>
      </c>
      <c r="H27" s="303">
        <f>H25+H18</f>
        <v>27454116</v>
      </c>
      <c r="I27" s="303">
        <f>SUM(I18+I25)</f>
        <v>7371456</v>
      </c>
      <c r="J27" s="303">
        <f>SUM(J18+J25)</f>
        <v>8351638</v>
      </c>
      <c r="K27" s="315">
        <f>K25+K18</f>
        <v>-47156998</v>
      </c>
      <c r="L27" s="315">
        <f>L25+L18</f>
        <v>-2358231</v>
      </c>
      <c r="M27" s="315">
        <f>M25+M18</f>
        <v>-49515229</v>
      </c>
      <c r="N27" s="318">
        <f>SUM(N17:N25)</f>
        <v>0</v>
      </c>
    </row>
    <row r="28" spans="1:14">
      <c r="A28" s="284"/>
      <c r="B28" s="284"/>
      <c r="C28" s="284"/>
      <c r="D28" s="291"/>
      <c r="E28" s="291"/>
      <c r="F28" s="304"/>
      <c r="G28" s="304"/>
      <c r="H28" s="304"/>
      <c r="I28" s="304"/>
      <c r="J28" s="304"/>
      <c r="K28" s="304"/>
      <c r="L28" s="304"/>
      <c r="M28" s="304"/>
      <c r="N28" s="284"/>
    </row>
    <row r="29" spans="1:14" ht="16.5" customHeight="1">
      <c r="A29" s="313" t="s">
        <v>23</v>
      </c>
      <c r="B29" s="284"/>
      <c r="C29" s="284"/>
      <c r="D29" s="284"/>
      <c r="E29" s="284"/>
      <c r="F29" s="254"/>
      <c r="G29" s="254"/>
      <c r="H29" s="254"/>
      <c r="I29" s="254"/>
      <c r="J29" s="254"/>
      <c r="K29" s="254"/>
      <c r="L29" s="254"/>
      <c r="M29" s="254"/>
      <c r="N29" s="284"/>
    </row>
    <row r="30" spans="1:14" ht="18.75" customHeight="1">
      <c r="A30" s="284"/>
      <c r="B30" s="284" t="s">
        <v>442</v>
      </c>
      <c r="C30" s="284"/>
      <c r="D30" s="284"/>
      <c r="E30" s="284"/>
      <c r="F30" s="254"/>
      <c r="G30" s="254">
        <v>-1653659</v>
      </c>
      <c r="H30" s="254">
        <v>658326</v>
      </c>
      <c r="I30" s="254">
        <v>1150057</v>
      </c>
      <c r="J30" s="254"/>
      <c r="K30" s="254"/>
      <c r="L30" s="254"/>
      <c r="M30" s="254"/>
      <c r="N30" s="254">
        <f>SUM(G30:J30)</f>
        <v>154724</v>
      </c>
    </row>
    <row r="31" spans="1:14" ht="18.75" customHeight="1">
      <c r="A31" s="284"/>
      <c r="B31" s="284" t="s">
        <v>443</v>
      </c>
      <c r="C31" s="284"/>
      <c r="D31" s="284"/>
      <c r="E31" s="284"/>
      <c r="F31" s="254"/>
      <c r="G31" s="254">
        <v>-4757360</v>
      </c>
      <c r="H31" s="254">
        <v>46825</v>
      </c>
      <c r="I31" s="254">
        <v>88331</v>
      </c>
      <c r="J31" s="254"/>
      <c r="K31" s="254"/>
      <c r="L31" s="254"/>
      <c r="M31" s="254"/>
      <c r="N31" s="254">
        <f t="shared" ref="N31:N32" si="5">SUM(G31:J31)</f>
        <v>-4622204</v>
      </c>
    </row>
    <row r="32" spans="1:14" ht="17.25" customHeight="1">
      <c r="A32" s="284"/>
      <c r="B32" s="284" t="s">
        <v>444</v>
      </c>
      <c r="C32" s="284"/>
      <c r="D32" s="284"/>
      <c r="E32" s="284"/>
      <c r="F32" s="254"/>
      <c r="G32" s="254">
        <v>-40286465</v>
      </c>
      <c r="H32" s="254">
        <v>22423686</v>
      </c>
      <c r="I32" s="254">
        <v>6912350</v>
      </c>
      <c r="J32" s="254">
        <v>714000</v>
      </c>
      <c r="K32" s="254"/>
      <c r="L32" s="254"/>
      <c r="M32" s="254"/>
      <c r="N32" s="254">
        <f t="shared" si="5"/>
        <v>-10236429</v>
      </c>
    </row>
    <row r="33" spans="1:14">
      <c r="A33" s="284"/>
      <c r="B33" s="284"/>
      <c r="C33" s="284"/>
      <c r="D33" s="284"/>
      <c r="E33" s="284"/>
      <c r="F33" s="254"/>
      <c r="G33" s="254"/>
      <c r="H33" s="254"/>
      <c r="I33" s="254"/>
      <c r="J33" s="254"/>
      <c r="K33" s="254"/>
      <c r="L33" s="254"/>
      <c r="M33" s="254"/>
      <c r="N33" s="284"/>
    </row>
    <row r="34" spans="1:14" ht="18.75" customHeight="1">
      <c r="A34" s="284"/>
      <c r="B34" s="284"/>
      <c r="C34" s="284"/>
      <c r="D34" s="256" t="s">
        <v>70</v>
      </c>
      <c r="E34" s="256"/>
      <c r="F34" s="303"/>
      <c r="G34" s="303">
        <f t="shared" ref="G34:N34" si="6">SUM(G30:G32)</f>
        <v>-46697484</v>
      </c>
      <c r="H34" s="303">
        <f t="shared" si="6"/>
        <v>23128837</v>
      </c>
      <c r="I34" s="303">
        <f t="shared" si="6"/>
        <v>8150738</v>
      </c>
      <c r="J34" s="303">
        <f t="shared" si="6"/>
        <v>714000</v>
      </c>
      <c r="K34" s="315">
        <f t="shared" si="6"/>
        <v>0</v>
      </c>
      <c r="L34" s="315">
        <f t="shared" si="6"/>
        <v>0</v>
      </c>
      <c r="M34" s="315">
        <f t="shared" si="6"/>
        <v>0</v>
      </c>
      <c r="N34" s="285">
        <f t="shared" si="6"/>
        <v>-14703909</v>
      </c>
    </row>
    <row r="35" spans="1:14">
      <c r="A35" s="284"/>
      <c r="B35" s="284"/>
      <c r="C35" s="284"/>
      <c r="D35" s="284"/>
      <c r="E35" s="284"/>
      <c r="F35" s="254"/>
      <c r="G35" s="254"/>
      <c r="H35" s="254"/>
      <c r="I35" s="254"/>
      <c r="J35" s="254"/>
      <c r="K35" s="254"/>
      <c r="L35" s="254"/>
      <c r="M35" s="254"/>
      <c r="N35" s="284"/>
    </row>
    <row r="36" spans="1:14" ht="18.75" customHeight="1">
      <c r="A36" s="291"/>
      <c r="B36" s="291"/>
      <c r="C36" s="291"/>
      <c r="D36" s="291"/>
      <c r="E36" s="291" t="s">
        <v>25</v>
      </c>
      <c r="F36" s="304"/>
      <c r="G36" s="304"/>
      <c r="H36" s="304"/>
      <c r="I36" s="304"/>
      <c r="J36" s="304"/>
      <c r="K36" s="254"/>
      <c r="L36" s="254"/>
      <c r="M36" s="254"/>
      <c r="N36" s="284"/>
    </row>
    <row r="37" spans="1:14">
      <c r="A37" s="291"/>
      <c r="B37" s="291"/>
      <c r="C37" s="291"/>
      <c r="D37" s="291"/>
      <c r="E37" s="291"/>
      <c r="F37" s="306" t="s">
        <v>26</v>
      </c>
      <c r="G37" s="304"/>
      <c r="H37" s="304"/>
      <c r="I37" s="304"/>
      <c r="J37" s="304"/>
      <c r="K37" s="254"/>
      <c r="L37" s="254"/>
      <c r="M37" s="254"/>
      <c r="N37" s="284"/>
    </row>
    <row r="38" spans="1:14">
      <c r="A38" s="284"/>
      <c r="B38" s="284"/>
      <c r="C38" s="284"/>
      <c r="D38" s="284"/>
      <c r="E38" s="284"/>
      <c r="F38" s="254"/>
      <c r="G38" s="254" t="s">
        <v>94</v>
      </c>
      <c r="H38" s="254"/>
      <c r="I38" s="254"/>
      <c r="J38" s="254"/>
      <c r="K38" s="257">
        <v>25644015</v>
      </c>
      <c r="L38" s="254">
        <v>15</v>
      </c>
      <c r="M38" s="254">
        <f>SUM(K38:L38)</f>
        <v>25644030</v>
      </c>
      <c r="N38" s="254">
        <v>9023371</v>
      </c>
    </row>
    <row r="39" spans="1:14" ht="17.25" customHeight="1">
      <c r="A39" s="284"/>
      <c r="B39" s="284"/>
      <c r="C39" s="284"/>
      <c r="D39" s="284"/>
      <c r="E39" s="284"/>
      <c r="F39" s="254"/>
      <c r="G39" s="254" t="s">
        <v>96</v>
      </c>
      <c r="H39" s="254"/>
      <c r="I39" s="254"/>
      <c r="J39" s="254"/>
      <c r="K39" s="299">
        <v>29753818</v>
      </c>
      <c r="L39" s="254"/>
      <c r="M39" s="254">
        <f t="shared" ref="M39:M46" si="7">SUM(K39:L39)</f>
        <v>29753818</v>
      </c>
      <c r="N39" s="254"/>
    </row>
    <row r="40" spans="1:14">
      <c r="A40" s="284"/>
      <c r="B40" s="284"/>
      <c r="C40" s="284"/>
      <c r="D40" s="284"/>
      <c r="E40" s="284"/>
      <c r="F40" s="254"/>
      <c r="G40" s="254" t="s">
        <v>445</v>
      </c>
      <c r="H40" s="254"/>
      <c r="I40" s="254"/>
      <c r="J40" s="254"/>
      <c r="K40" s="254"/>
      <c r="L40" s="254"/>
      <c r="M40" s="254">
        <f t="shared" si="7"/>
        <v>0</v>
      </c>
      <c r="N40" s="254">
        <v>2907938</v>
      </c>
    </row>
    <row r="41" spans="1:14">
      <c r="A41" s="284"/>
      <c r="B41" s="284"/>
      <c r="C41" s="284"/>
      <c r="D41" s="284"/>
      <c r="E41" s="284"/>
      <c r="F41" s="254"/>
      <c r="G41" s="254" t="s">
        <v>446</v>
      </c>
      <c r="H41" s="254"/>
      <c r="I41" s="254"/>
      <c r="J41" s="254"/>
      <c r="K41" s="300">
        <v>46431</v>
      </c>
      <c r="L41" s="254"/>
      <c r="M41" s="254">
        <f t="shared" si="7"/>
        <v>46431</v>
      </c>
      <c r="N41" s="254"/>
    </row>
    <row r="42" spans="1:14">
      <c r="A42" s="284"/>
      <c r="B42" s="284"/>
      <c r="C42" s="284"/>
      <c r="D42" s="284"/>
      <c r="E42" s="284"/>
      <c r="F42" s="254"/>
      <c r="G42" s="254" t="s">
        <v>447</v>
      </c>
      <c r="H42" s="254"/>
      <c r="I42" s="254"/>
      <c r="J42" s="254"/>
      <c r="K42" s="300">
        <v>974547</v>
      </c>
      <c r="L42" s="254"/>
      <c r="M42" s="254">
        <f t="shared" si="7"/>
        <v>974547</v>
      </c>
      <c r="N42" s="254"/>
    </row>
    <row r="43" spans="1:14">
      <c r="A43" s="284"/>
      <c r="B43" s="284"/>
      <c r="C43" s="284"/>
      <c r="D43" s="284"/>
      <c r="E43" s="284"/>
      <c r="F43" s="254"/>
      <c r="G43" s="254" t="s">
        <v>448</v>
      </c>
      <c r="H43" s="254"/>
      <c r="I43" s="254"/>
      <c r="J43" s="254"/>
      <c r="K43" s="300">
        <v>823155</v>
      </c>
      <c r="L43" s="254"/>
      <c r="M43" s="254">
        <f t="shared" si="7"/>
        <v>823155</v>
      </c>
      <c r="N43" s="254"/>
    </row>
    <row r="44" spans="1:14">
      <c r="A44" s="284"/>
      <c r="B44" s="284"/>
      <c r="C44" s="284"/>
      <c r="D44" s="284"/>
      <c r="E44" s="284"/>
      <c r="F44" s="254" t="s">
        <v>50</v>
      </c>
      <c r="G44" s="254"/>
      <c r="H44" s="254"/>
      <c r="I44" s="254"/>
      <c r="J44" s="254"/>
      <c r="K44" s="307">
        <v>268392</v>
      </c>
      <c r="L44" s="254">
        <v>32798</v>
      </c>
      <c r="M44" s="254">
        <f>SUM(K44:L44)</f>
        <v>301190</v>
      </c>
      <c r="N44" s="254">
        <v>102078</v>
      </c>
    </row>
    <row r="45" spans="1:14">
      <c r="A45" s="284"/>
      <c r="B45" s="284"/>
      <c r="C45" s="284"/>
      <c r="D45" s="284"/>
      <c r="E45" s="284"/>
      <c r="F45" s="254" t="s">
        <v>36</v>
      </c>
      <c r="G45" s="254"/>
      <c r="H45" s="254"/>
      <c r="I45" s="254"/>
      <c r="J45" s="254"/>
      <c r="K45" s="307">
        <v>1200372</v>
      </c>
      <c r="L45" s="254">
        <v>-3906</v>
      </c>
      <c r="M45" s="254">
        <v>1196466</v>
      </c>
      <c r="N45" s="254">
        <v>8929</v>
      </c>
    </row>
    <row r="46" spans="1:14">
      <c r="A46" s="284"/>
      <c r="B46" s="284"/>
      <c r="C46" s="284"/>
      <c r="D46" s="284"/>
      <c r="E46" s="284"/>
      <c r="F46" s="254" t="s">
        <v>242</v>
      </c>
      <c r="G46" s="254"/>
      <c r="H46" s="254"/>
      <c r="I46" s="254"/>
      <c r="J46" s="254"/>
      <c r="K46" s="293">
        <v>-326134</v>
      </c>
      <c r="L46" s="254">
        <v>326134</v>
      </c>
      <c r="M46" s="254">
        <f t="shared" si="7"/>
        <v>0</v>
      </c>
      <c r="N46" s="292"/>
    </row>
    <row r="47" spans="1:14">
      <c r="A47" s="284"/>
      <c r="B47" s="284"/>
      <c r="C47" s="284"/>
      <c r="D47" s="284"/>
      <c r="E47" s="284"/>
      <c r="F47" s="254"/>
      <c r="G47" s="254"/>
      <c r="H47" s="254"/>
      <c r="I47" s="254"/>
      <c r="J47" s="254"/>
      <c r="K47" s="254"/>
      <c r="L47" s="254"/>
      <c r="M47" s="254"/>
      <c r="N47" s="284"/>
    </row>
    <row r="48" spans="1:14">
      <c r="A48" s="284"/>
      <c r="B48" s="284"/>
      <c r="C48" s="284"/>
      <c r="D48" s="284"/>
      <c r="E48" s="284"/>
      <c r="F48" s="303" t="s">
        <v>243</v>
      </c>
      <c r="G48" s="303"/>
      <c r="H48" s="303"/>
      <c r="I48" s="303"/>
      <c r="J48" s="303"/>
      <c r="K48" s="303">
        <f>SUM(K38:K46)</f>
        <v>58384596</v>
      </c>
      <c r="L48" s="303">
        <f>SUM(L38:L46)</f>
        <v>355041</v>
      </c>
      <c r="M48" s="303">
        <f>SUM(M38:M46)</f>
        <v>58739637</v>
      </c>
      <c r="N48" s="285">
        <f>SUM(N38:N46)</f>
        <v>12042316</v>
      </c>
    </row>
    <row r="49" spans="1:14">
      <c r="A49" s="284"/>
      <c r="B49" s="284"/>
      <c r="C49" s="284"/>
      <c r="D49" s="284"/>
      <c r="E49" s="284"/>
      <c r="F49" s="254"/>
      <c r="G49" s="254"/>
      <c r="H49" s="254"/>
      <c r="I49" s="254"/>
      <c r="J49" s="254"/>
      <c r="K49" s="254"/>
      <c r="L49" s="254"/>
      <c r="M49" s="254"/>
      <c r="N49" s="284"/>
    </row>
    <row r="50" spans="1:14" ht="16.5" customHeight="1">
      <c r="A50" s="284"/>
      <c r="B50" s="284"/>
      <c r="C50" s="284"/>
      <c r="D50" s="284"/>
      <c r="E50" s="284"/>
      <c r="F50" s="303" t="s">
        <v>53</v>
      </c>
      <c r="G50" s="303"/>
      <c r="H50" s="303"/>
      <c r="I50" s="303"/>
      <c r="J50" s="303"/>
      <c r="K50" s="303">
        <f>K48+K18</f>
        <v>11227598</v>
      </c>
      <c r="L50" s="303">
        <f>L48+L27</f>
        <v>-2003190</v>
      </c>
      <c r="M50" s="303">
        <f>M48+M27</f>
        <v>9224408</v>
      </c>
      <c r="N50" s="303">
        <f>N48+N34</f>
        <v>-2661593</v>
      </c>
    </row>
    <row r="51" spans="1:14">
      <c r="A51" s="284"/>
      <c r="B51" s="284"/>
      <c r="C51" s="284"/>
      <c r="D51" s="284"/>
      <c r="E51" s="284"/>
      <c r="F51" s="304"/>
      <c r="G51" s="304"/>
      <c r="H51" s="304"/>
      <c r="I51" s="304"/>
      <c r="J51" s="304"/>
      <c r="K51" s="304"/>
      <c r="L51" s="304"/>
      <c r="M51" s="304"/>
      <c r="N51" s="284"/>
    </row>
    <row r="52" spans="1:14" ht="17.25" customHeight="1">
      <c r="A52" s="284"/>
      <c r="B52" s="284"/>
      <c r="C52" s="284"/>
      <c r="D52" s="310" t="s">
        <v>449</v>
      </c>
      <c r="E52" s="310"/>
      <c r="F52" s="311"/>
      <c r="G52" s="311"/>
      <c r="H52" s="311"/>
      <c r="I52" s="311"/>
      <c r="J52" s="311"/>
      <c r="K52" s="317">
        <v>251430030</v>
      </c>
      <c r="L52" s="317">
        <v>113608816</v>
      </c>
      <c r="M52" s="317">
        <f>SUM(K52:L52)</f>
        <v>365038846</v>
      </c>
      <c r="N52" s="319">
        <v>-2346383</v>
      </c>
    </row>
    <row r="53" spans="1:14">
      <c r="A53" s="284"/>
      <c r="B53" s="284"/>
      <c r="C53" s="284"/>
      <c r="D53" s="284"/>
      <c r="E53" s="284"/>
      <c r="F53" s="254"/>
      <c r="G53" s="254"/>
      <c r="H53" s="254"/>
      <c r="I53" s="254"/>
      <c r="J53" s="254"/>
      <c r="K53" s="254"/>
      <c r="L53" s="254"/>
      <c r="M53" s="254"/>
      <c r="N53" s="284"/>
    </row>
    <row r="54" spans="1:14" ht="18.75" customHeight="1">
      <c r="A54" s="284"/>
      <c r="B54" s="284"/>
      <c r="C54" s="284"/>
      <c r="D54" s="286" t="s">
        <v>41</v>
      </c>
      <c r="E54" s="286"/>
      <c r="F54" s="287"/>
      <c r="G54" s="287"/>
      <c r="H54" s="287"/>
      <c r="I54" s="287"/>
      <c r="J54" s="287"/>
      <c r="K54" s="288">
        <f>SUM(K50,K52)</f>
        <v>262657628</v>
      </c>
      <c r="L54" s="288">
        <f>L52+L50</f>
        <v>111605626</v>
      </c>
      <c r="M54" s="288">
        <f>M52+M50</f>
        <v>374263254</v>
      </c>
      <c r="N54" s="320">
        <f>N52+N50</f>
        <v>-5007976</v>
      </c>
    </row>
  </sheetData>
  <mergeCells count="5">
    <mergeCell ref="H1:K1"/>
    <mergeCell ref="H2:K2"/>
    <mergeCell ref="K4:N4"/>
    <mergeCell ref="H5:J5"/>
    <mergeCell ref="K5:M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59"/>
  <sheetViews>
    <sheetView zoomScale="90" zoomScaleNormal="90" zoomScalePageLayoutView="90" workbookViewId="0">
      <selection activeCell="H21" sqref="H21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0.85546875" customWidth="1"/>
    <col min="14" max="14" width="17.7109375" customWidth="1"/>
    <col min="15" max="15" width="15" customWidth="1"/>
    <col min="16" max="16" width="14.42578125" customWidth="1"/>
    <col min="17" max="17" width="15.42578125" customWidth="1"/>
  </cols>
  <sheetData>
    <row r="1" spans="1:18" ht="30" customHeight="1">
      <c r="J1" s="520" t="s">
        <v>450</v>
      </c>
      <c r="K1" s="520"/>
      <c r="L1" s="520"/>
      <c r="M1" s="520"/>
    </row>
    <row r="2" spans="1:18" ht="21.75" customHeight="1">
      <c r="J2" s="521" t="s">
        <v>1</v>
      </c>
      <c r="K2" s="521"/>
      <c r="L2" s="521"/>
      <c r="M2" s="521"/>
    </row>
    <row r="3" spans="1:18" ht="18.75" customHeight="1">
      <c r="E3" s="3"/>
      <c r="F3" s="3"/>
      <c r="G3" s="3"/>
      <c r="H3" s="3"/>
      <c r="I3" s="3"/>
      <c r="J3" s="3"/>
      <c r="K3" s="3"/>
      <c r="L3" s="3"/>
    </row>
    <row r="4" spans="1:18" ht="18.75">
      <c r="E4" s="2"/>
      <c r="M4" s="522" t="s">
        <v>2</v>
      </c>
      <c r="N4" s="522"/>
      <c r="O4" s="522"/>
      <c r="P4" s="522"/>
      <c r="Q4" s="522"/>
      <c r="R4" s="522"/>
    </row>
    <row r="5" spans="1:18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/>
      <c r="N5" s="532" t="s">
        <v>451</v>
      </c>
      <c r="O5" s="532"/>
      <c r="P5" s="532"/>
      <c r="Q5" s="532"/>
    </row>
    <row r="6" spans="1:18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452</v>
      </c>
      <c r="N6" s="81" t="s">
        <v>453</v>
      </c>
      <c r="O6" s="81" t="s">
        <v>454</v>
      </c>
      <c r="P6" s="81" t="s">
        <v>455</v>
      </c>
      <c r="Q6" s="81" t="s">
        <v>244</v>
      </c>
    </row>
    <row r="7" spans="1:18" ht="22.5" customHeight="1">
      <c r="A7" s="8" t="s">
        <v>13</v>
      </c>
      <c r="I7" s="9"/>
      <c r="J7" s="9"/>
      <c r="K7" s="9"/>
      <c r="L7" s="9"/>
    </row>
    <row r="8" spans="1:18">
      <c r="B8" s="10" t="s">
        <v>14</v>
      </c>
      <c r="I8" s="9"/>
      <c r="J8" s="9"/>
      <c r="K8" s="9"/>
      <c r="L8" s="9"/>
      <c r="M8" s="9"/>
    </row>
    <row r="9" spans="1:18">
      <c r="C9" t="s">
        <v>15</v>
      </c>
      <c r="H9" s="12"/>
      <c r="I9" s="11">
        <v>-1832157</v>
      </c>
      <c r="J9" s="12">
        <v>254480</v>
      </c>
      <c r="K9" s="12">
        <v>14000</v>
      </c>
      <c r="L9" s="12">
        <v>54122</v>
      </c>
      <c r="M9" s="12">
        <f t="shared" ref="M9:M15" si="0">SUM(I9:L9)</f>
        <v>-1509555</v>
      </c>
      <c r="Q9" s="12">
        <f>SUM(N9:P9)</f>
        <v>0</v>
      </c>
    </row>
    <row r="10" spans="1:18">
      <c r="C10" t="s">
        <v>16</v>
      </c>
      <c r="H10" s="12"/>
      <c r="I10" s="13">
        <v>-1065049</v>
      </c>
      <c r="J10" s="12">
        <v>113225</v>
      </c>
      <c r="K10" s="12">
        <v>5449</v>
      </c>
      <c r="L10" s="12">
        <v>190171</v>
      </c>
      <c r="M10" s="12">
        <f t="shared" si="0"/>
        <v>-756204</v>
      </c>
      <c r="Q10" s="12">
        <f t="shared" ref="Q10:Q15" si="1">SUM(N10:P10)</f>
        <v>0</v>
      </c>
    </row>
    <row r="11" spans="1:18">
      <c r="C11" t="s">
        <v>17</v>
      </c>
      <c r="H11" s="12"/>
      <c r="I11" s="14">
        <v>-2729174</v>
      </c>
      <c r="J11" s="12">
        <v>8975</v>
      </c>
      <c r="K11" s="12">
        <v>177542</v>
      </c>
      <c r="L11" s="12">
        <v>1317622</v>
      </c>
      <c r="M11" s="12">
        <f t="shared" si="0"/>
        <v>-1225035</v>
      </c>
      <c r="Q11" s="12">
        <f t="shared" si="1"/>
        <v>0</v>
      </c>
    </row>
    <row r="12" spans="1:18">
      <c r="C12" t="s">
        <v>19</v>
      </c>
      <c r="H12" s="12"/>
      <c r="I12" s="15">
        <v>-274763</v>
      </c>
      <c r="J12" s="12">
        <v>4943</v>
      </c>
      <c r="K12" s="12">
        <v>135055</v>
      </c>
      <c r="L12" s="12">
        <v>202475</v>
      </c>
      <c r="M12" s="12">
        <f>SUM(I12:L12)</f>
        <v>67710</v>
      </c>
      <c r="Q12" s="12">
        <f t="shared" si="1"/>
        <v>0</v>
      </c>
    </row>
    <row r="13" spans="1:18">
      <c r="C13" t="s">
        <v>456</v>
      </c>
      <c r="H13" s="12"/>
      <c r="I13" s="16">
        <v>-32456</v>
      </c>
      <c r="J13" s="12"/>
      <c r="K13" s="12"/>
      <c r="L13" s="12">
        <v>287463</v>
      </c>
      <c r="M13" s="12">
        <f t="shared" ref="M13:M14" si="2">SUM(I13:L13)</f>
        <v>255007</v>
      </c>
      <c r="Q13" s="12">
        <f t="shared" si="1"/>
        <v>0</v>
      </c>
    </row>
    <row r="14" spans="1:18">
      <c r="C14" t="s">
        <v>44</v>
      </c>
      <c r="H14" s="12"/>
      <c r="I14" s="92">
        <v>-81918</v>
      </c>
      <c r="J14" s="12"/>
      <c r="K14" s="12"/>
      <c r="L14" s="12"/>
      <c r="M14" s="12">
        <f t="shared" si="2"/>
        <v>-81918</v>
      </c>
      <c r="Q14" s="12">
        <f t="shared" si="1"/>
        <v>0</v>
      </c>
    </row>
    <row r="15" spans="1:18">
      <c r="C15" t="s">
        <v>457</v>
      </c>
      <c r="H15" s="12"/>
      <c r="I15" s="89">
        <v>-72581</v>
      </c>
      <c r="J15" s="12"/>
      <c r="K15" s="12"/>
      <c r="L15" s="12"/>
      <c r="M15" s="12">
        <f t="shared" si="0"/>
        <v>-72581</v>
      </c>
      <c r="Q15" s="12">
        <f t="shared" si="1"/>
        <v>0</v>
      </c>
    </row>
    <row r="16" spans="1:18">
      <c r="H16" s="12"/>
      <c r="I16" s="12"/>
      <c r="J16" s="12"/>
      <c r="K16" s="12"/>
      <c r="L16" s="12"/>
      <c r="M16" s="12"/>
    </row>
    <row r="17" spans="1:17">
      <c r="E17" s="19" t="s">
        <v>22</v>
      </c>
      <c r="F17" s="19"/>
      <c r="G17" s="19"/>
      <c r="H17" s="20"/>
      <c r="I17" s="20">
        <f t="shared" ref="I17:Q17" si="3">SUM(I9:I15)</f>
        <v>-6088098</v>
      </c>
      <c r="J17" s="20">
        <f>SUM(J9:J15)</f>
        <v>381623</v>
      </c>
      <c r="K17" s="20">
        <f t="shared" si="3"/>
        <v>332046</v>
      </c>
      <c r="L17" s="20">
        <f t="shared" si="3"/>
        <v>2051853</v>
      </c>
      <c r="M17" s="82">
        <f t="shared" si="3"/>
        <v>-3322576</v>
      </c>
      <c r="N17" s="84">
        <f t="shared" si="3"/>
        <v>0</v>
      </c>
      <c r="O17" s="84"/>
      <c r="P17" s="84"/>
      <c r="Q17" s="84">
        <f t="shared" si="3"/>
        <v>0</v>
      </c>
    </row>
    <row r="18" spans="1:17">
      <c r="E18" s="8"/>
      <c r="F18" s="8"/>
      <c r="G18" s="8"/>
      <c r="H18" s="26"/>
      <c r="I18" s="26"/>
      <c r="J18" s="26"/>
      <c r="K18" s="26"/>
      <c r="L18" s="26"/>
      <c r="M18" s="26"/>
    </row>
    <row r="19" spans="1:17">
      <c r="A19" s="10" t="s">
        <v>451</v>
      </c>
      <c r="H19" s="12"/>
      <c r="I19" s="12"/>
      <c r="J19" s="12"/>
      <c r="K19" s="12"/>
      <c r="L19" s="12"/>
      <c r="M19" s="12"/>
    </row>
    <row r="20" spans="1:17">
      <c r="B20" t="s">
        <v>458</v>
      </c>
      <c r="H20" s="12"/>
      <c r="I20" s="94">
        <v>-13776565</v>
      </c>
      <c r="J20" s="12">
        <v>14898874</v>
      </c>
      <c r="K20" s="12"/>
      <c r="L20" s="12"/>
      <c r="M20" s="12"/>
      <c r="N20" s="12">
        <f>SUM(I20:L20)</f>
        <v>1122309</v>
      </c>
      <c r="O20" s="12"/>
      <c r="P20" s="12"/>
      <c r="Q20" s="12">
        <f>N20</f>
        <v>1122309</v>
      </c>
    </row>
    <row r="21" spans="1:17">
      <c r="B21" t="s">
        <v>459</v>
      </c>
      <c r="H21" s="12"/>
      <c r="I21" s="470">
        <v>-845853</v>
      </c>
      <c r="J21" s="12">
        <v>973260</v>
      </c>
      <c r="K21" s="12"/>
      <c r="L21" s="12"/>
      <c r="M21" s="12"/>
      <c r="N21" s="12"/>
      <c r="O21" s="12">
        <v>127407</v>
      </c>
      <c r="P21" s="12"/>
      <c r="Q21" s="12">
        <f>O21</f>
        <v>127407</v>
      </c>
    </row>
    <row r="22" spans="1:17">
      <c r="B22" t="s">
        <v>156</v>
      </c>
      <c r="H22" s="12"/>
      <c r="I22" s="94">
        <v>-360080</v>
      </c>
      <c r="J22" s="12">
        <v>30000</v>
      </c>
      <c r="K22" s="12"/>
      <c r="L22" s="12">
        <v>1000</v>
      </c>
      <c r="M22" s="12"/>
      <c r="O22" s="12"/>
      <c r="P22" s="12">
        <v>-329080</v>
      </c>
      <c r="Q22" s="12">
        <f>P22</f>
        <v>-329080</v>
      </c>
    </row>
    <row r="23" spans="1:17">
      <c r="H23" s="12"/>
      <c r="I23" s="12"/>
      <c r="J23" s="12"/>
      <c r="K23" s="12"/>
      <c r="L23" s="12"/>
      <c r="M23" s="12"/>
    </row>
    <row r="24" spans="1:17">
      <c r="E24" s="19" t="s">
        <v>70</v>
      </c>
      <c r="F24" s="19"/>
      <c r="G24" s="19"/>
      <c r="H24" s="20"/>
      <c r="I24" s="20">
        <f t="shared" ref="I24:P24" si="4">SUM(I20:I22)</f>
        <v>-14982498</v>
      </c>
      <c r="J24" s="20">
        <f t="shared" si="4"/>
        <v>15902134</v>
      </c>
      <c r="K24" s="20">
        <f t="shared" si="4"/>
        <v>0</v>
      </c>
      <c r="L24" s="20">
        <f t="shared" si="4"/>
        <v>1000</v>
      </c>
      <c r="M24" s="82">
        <f t="shared" si="4"/>
        <v>0</v>
      </c>
      <c r="N24" s="85">
        <f t="shared" si="4"/>
        <v>1122309</v>
      </c>
      <c r="O24" s="85">
        <f t="shared" si="4"/>
        <v>127407</v>
      </c>
      <c r="P24" s="85">
        <f t="shared" si="4"/>
        <v>-329080</v>
      </c>
      <c r="Q24" s="85">
        <f>SUM(Q20:Q22)</f>
        <v>920636</v>
      </c>
    </row>
    <row r="25" spans="1:17">
      <c r="H25" s="12"/>
      <c r="I25" s="12"/>
      <c r="J25" s="12"/>
      <c r="K25" s="12"/>
      <c r="L25" s="12"/>
      <c r="M25" s="12"/>
    </row>
    <row r="26" spans="1:17">
      <c r="A26" s="8"/>
      <c r="B26" s="8"/>
      <c r="C26" s="8"/>
      <c r="D26" s="8"/>
      <c r="E26" s="8"/>
      <c r="G26" s="8" t="s">
        <v>25</v>
      </c>
      <c r="H26" s="26"/>
      <c r="I26" s="26"/>
      <c r="J26" s="26"/>
      <c r="K26" s="26"/>
      <c r="L26" s="26"/>
      <c r="M26" s="12"/>
    </row>
    <row r="27" spans="1:17">
      <c r="A27" s="8"/>
      <c r="B27" s="8"/>
      <c r="C27" s="8"/>
      <c r="D27" s="8"/>
      <c r="E27" s="8"/>
      <c r="G27" s="8"/>
      <c r="H27" s="80" t="s">
        <v>26</v>
      </c>
      <c r="I27" s="26"/>
      <c r="J27" s="26"/>
      <c r="K27" s="26"/>
      <c r="L27" s="26"/>
      <c r="M27" s="12"/>
    </row>
    <row r="28" spans="1:17">
      <c r="H28" s="12"/>
      <c r="I28" s="12" t="s">
        <v>186</v>
      </c>
      <c r="J28" s="12"/>
      <c r="K28" s="12"/>
      <c r="L28" s="12"/>
      <c r="M28" s="28">
        <v>1908025</v>
      </c>
      <c r="N28" s="12"/>
      <c r="O28" s="12"/>
      <c r="P28" s="12">
        <v>368324</v>
      </c>
      <c r="Q28" s="12">
        <f>SUM(N28:P28)</f>
        <v>368324</v>
      </c>
    </row>
    <row r="29" spans="1:17">
      <c r="H29" s="12"/>
      <c r="I29" s="12" t="s">
        <v>96</v>
      </c>
      <c r="J29" s="12"/>
      <c r="K29" s="12"/>
      <c r="L29" s="12"/>
      <c r="M29" s="14">
        <v>2150736</v>
      </c>
      <c r="N29" s="12"/>
      <c r="O29" s="12"/>
      <c r="P29" s="12">
        <v>1333</v>
      </c>
      <c r="Q29" s="12">
        <f t="shared" ref="Q29:Q39" si="5">SUM(N29:P29)</f>
        <v>1333</v>
      </c>
    </row>
    <row r="30" spans="1:17">
      <c r="H30" s="12"/>
      <c r="I30" s="12" t="s">
        <v>73</v>
      </c>
      <c r="J30" s="12"/>
      <c r="K30" s="12"/>
      <c r="L30" s="12"/>
      <c r="M30" s="15">
        <v>8553</v>
      </c>
      <c r="N30" s="12"/>
      <c r="O30" s="12"/>
      <c r="P30" s="12"/>
      <c r="Q30" s="12">
        <f t="shared" si="5"/>
        <v>0</v>
      </c>
    </row>
    <row r="31" spans="1:17">
      <c r="H31" s="12" t="s">
        <v>460</v>
      </c>
      <c r="I31" s="12"/>
      <c r="J31" s="12"/>
      <c r="K31" s="12"/>
      <c r="L31" s="12"/>
      <c r="M31" s="15">
        <v>29134</v>
      </c>
      <c r="N31" s="12"/>
      <c r="O31" s="12"/>
      <c r="P31" s="12">
        <v>6619</v>
      </c>
      <c r="Q31" s="12">
        <f t="shared" si="5"/>
        <v>6619</v>
      </c>
    </row>
    <row r="32" spans="1:17">
      <c r="H32" s="12" t="s">
        <v>179</v>
      </c>
      <c r="I32" s="12"/>
      <c r="J32" s="12"/>
      <c r="K32" s="12"/>
      <c r="L32" s="12"/>
      <c r="M32" s="12"/>
      <c r="N32" s="12"/>
      <c r="O32" s="12"/>
      <c r="P32" s="12"/>
      <c r="Q32" s="12">
        <f t="shared" si="5"/>
        <v>0</v>
      </c>
    </row>
    <row r="33" spans="8:17">
      <c r="H33" s="12"/>
      <c r="I33" s="12" t="s">
        <v>139</v>
      </c>
      <c r="J33" s="12"/>
      <c r="K33" s="12"/>
      <c r="L33" s="12"/>
      <c r="M33" s="14">
        <v>902764</v>
      </c>
      <c r="N33" s="12"/>
      <c r="O33" s="12"/>
      <c r="P33" s="12"/>
      <c r="Q33" s="12">
        <f t="shared" si="5"/>
        <v>0</v>
      </c>
    </row>
    <row r="34" spans="8:17">
      <c r="H34" s="12"/>
      <c r="I34" s="12" t="s">
        <v>461</v>
      </c>
      <c r="J34" s="12"/>
      <c r="K34" s="12"/>
      <c r="L34" s="12"/>
      <c r="M34" s="15">
        <v>638004</v>
      </c>
      <c r="N34" s="12"/>
      <c r="O34" s="12"/>
      <c r="P34" s="12"/>
      <c r="Q34" s="12">
        <f t="shared" si="5"/>
        <v>0</v>
      </c>
    </row>
    <row r="35" spans="8:17">
      <c r="H35" s="12"/>
      <c r="I35" s="12" t="s">
        <v>48</v>
      </c>
      <c r="J35" s="12"/>
      <c r="K35" s="12"/>
      <c r="L35" s="12"/>
      <c r="M35" s="93">
        <v>81370</v>
      </c>
      <c r="N35" s="12"/>
      <c r="O35" s="12"/>
      <c r="P35" s="12"/>
      <c r="Q35" s="12">
        <f t="shared" si="5"/>
        <v>0</v>
      </c>
    </row>
    <row r="36" spans="8:17">
      <c r="H36" s="12" t="s">
        <v>50</v>
      </c>
      <c r="I36" s="12"/>
      <c r="J36" s="12"/>
      <c r="K36" s="12"/>
      <c r="L36" s="12"/>
      <c r="M36" s="29">
        <v>25453</v>
      </c>
      <c r="N36" s="12">
        <v>1990</v>
      </c>
      <c r="O36" s="12">
        <v>3340</v>
      </c>
      <c r="P36" s="12">
        <v>771</v>
      </c>
      <c r="Q36" s="12">
        <f t="shared" si="5"/>
        <v>6101</v>
      </c>
    </row>
    <row r="37" spans="8:17">
      <c r="H37" s="12" t="s">
        <v>462</v>
      </c>
      <c r="I37" s="12"/>
      <c r="J37" s="12"/>
      <c r="K37" s="12"/>
      <c r="L37" s="12"/>
      <c r="M37" s="12"/>
      <c r="O37">
        <v>7248</v>
      </c>
      <c r="Q37" s="12">
        <f t="shared" si="5"/>
        <v>7248</v>
      </c>
    </row>
    <row r="38" spans="8:17">
      <c r="H38" s="12" t="s">
        <v>36</v>
      </c>
      <c r="I38" s="12"/>
      <c r="J38" s="12"/>
      <c r="K38" s="12"/>
      <c r="L38" s="12"/>
      <c r="M38" s="29">
        <v>44305</v>
      </c>
      <c r="O38">
        <v>8240</v>
      </c>
      <c r="P38">
        <v>7899</v>
      </c>
      <c r="Q38" s="12">
        <f t="shared" si="5"/>
        <v>16139</v>
      </c>
    </row>
    <row r="39" spans="8:17">
      <c r="H39" s="12" t="s">
        <v>463</v>
      </c>
      <c r="I39" s="12"/>
      <c r="J39" s="12"/>
      <c r="K39" s="12"/>
      <c r="L39" s="12"/>
      <c r="M39" s="29">
        <v>-203357</v>
      </c>
      <c r="P39">
        <v>2142</v>
      </c>
      <c r="Q39" s="12">
        <f t="shared" si="5"/>
        <v>2142</v>
      </c>
    </row>
    <row r="40" spans="8:17">
      <c r="H40" s="12" t="s">
        <v>464</v>
      </c>
      <c r="I40" s="12"/>
      <c r="J40" s="12"/>
      <c r="K40" s="12"/>
      <c r="L40" s="12"/>
      <c r="M40" s="29">
        <v>36354</v>
      </c>
      <c r="Q40" s="12">
        <f>SUM(N40:P40)</f>
        <v>0</v>
      </c>
    </row>
    <row r="41" spans="8:17">
      <c r="H41" s="12"/>
      <c r="I41" s="12"/>
      <c r="J41" s="12"/>
      <c r="K41" s="12"/>
      <c r="L41" s="12"/>
      <c r="M41" s="12"/>
    </row>
    <row r="42" spans="8:17">
      <c r="H42" s="20" t="s">
        <v>195</v>
      </c>
      <c r="I42" s="20"/>
      <c r="J42" s="20"/>
      <c r="K42" s="20"/>
      <c r="L42" s="20"/>
      <c r="M42" s="20">
        <f>SUM(M28:M40)</f>
        <v>5621341</v>
      </c>
      <c r="N42" s="20">
        <f>SUM(N28:N40)</f>
        <v>1990</v>
      </c>
      <c r="O42" s="20">
        <f>SUM(O28:O40)</f>
        <v>18828</v>
      </c>
      <c r="P42" s="20">
        <f>SUM(P28:P40)</f>
        <v>387088</v>
      </c>
      <c r="Q42" s="85">
        <f>SUM(Q28:Q40)</f>
        <v>407906</v>
      </c>
    </row>
    <row r="43" spans="8:17">
      <c r="H43" s="12"/>
      <c r="I43" s="12"/>
      <c r="J43" s="12"/>
      <c r="K43" s="12"/>
      <c r="L43" s="12"/>
      <c r="M43" s="12"/>
    </row>
    <row r="44" spans="8:17">
      <c r="H44" s="20" t="s">
        <v>39</v>
      </c>
      <c r="I44" s="20"/>
      <c r="J44" s="20"/>
      <c r="K44" s="20"/>
      <c r="L44" s="20"/>
      <c r="M44" s="20">
        <f>M42+M17</f>
        <v>2298765</v>
      </c>
      <c r="N44" s="85">
        <f>N42+N24</f>
        <v>1124299</v>
      </c>
      <c r="O44" s="85">
        <f t="shared" ref="O44:P44" si="6">O42+O24</f>
        <v>146235</v>
      </c>
      <c r="P44" s="85">
        <f t="shared" si="6"/>
        <v>58008</v>
      </c>
      <c r="Q44" s="85">
        <f>Q42+Q24+Q17</f>
        <v>1328542</v>
      </c>
    </row>
    <row r="45" spans="8:17">
      <c r="H45" s="26"/>
      <c r="I45" s="26"/>
      <c r="J45" s="26"/>
      <c r="K45" s="26"/>
      <c r="L45" s="26"/>
      <c r="M45" s="26"/>
      <c r="N45" s="10"/>
      <c r="O45" s="10"/>
      <c r="P45" s="10"/>
      <c r="Q45" s="10"/>
    </row>
    <row r="46" spans="8:17">
      <c r="H46" s="82" t="s">
        <v>465</v>
      </c>
      <c r="I46" s="82"/>
      <c r="J46" s="82"/>
      <c r="K46" s="82"/>
      <c r="L46" s="82"/>
      <c r="M46" s="82">
        <v>19396743</v>
      </c>
      <c r="N46" s="84">
        <v>5270324</v>
      </c>
      <c r="O46" s="84">
        <v>3939541</v>
      </c>
      <c r="P46" s="84">
        <v>1171923</v>
      </c>
      <c r="Q46" s="85">
        <v>10381788</v>
      </c>
    </row>
    <row r="47" spans="8:17">
      <c r="H47" s="26"/>
      <c r="I47" s="26"/>
      <c r="J47" s="26"/>
      <c r="K47" s="26"/>
      <c r="L47" s="26"/>
      <c r="M47" s="26"/>
    </row>
    <row r="48" spans="8:17">
      <c r="H48" s="82" t="s">
        <v>466</v>
      </c>
      <c r="I48" s="82"/>
      <c r="J48" s="82"/>
      <c r="K48" s="82"/>
      <c r="L48" s="82"/>
      <c r="M48" s="82">
        <v>-123837</v>
      </c>
      <c r="N48" s="84"/>
      <c r="O48" s="84"/>
      <c r="P48" s="84"/>
      <c r="Q48" s="84"/>
    </row>
    <row r="49" spans="5:17">
      <c r="H49" s="26"/>
      <c r="I49" s="26"/>
      <c r="J49" s="26"/>
      <c r="K49" s="26"/>
      <c r="L49" s="26"/>
      <c r="M49" s="26"/>
    </row>
    <row r="50" spans="5:17">
      <c r="E50" s="31" t="s">
        <v>467</v>
      </c>
      <c r="F50" s="31"/>
      <c r="G50" s="31"/>
      <c r="H50" s="32"/>
      <c r="I50" s="32"/>
      <c r="J50" s="32"/>
      <c r="K50" s="32"/>
      <c r="L50" s="32"/>
      <c r="M50" s="33">
        <f>M46+M48</f>
        <v>19272906</v>
      </c>
      <c r="N50" s="33">
        <f>N46+N48</f>
        <v>5270324</v>
      </c>
      <c r="O50" s="33">
        <f>O46+O48</f>
        <v>3939541</v>
      </c>
      <c r="P50" s="33">
        <f>P46+P48</f>
        <v>1171923</v>
      </c>
      <c r="Q50" s="33">
        <f>Q46+Q48</f>
        <v>10381788</v>
      </c>
    </row>
    <row r="51" spans="5:17">
      <c r="H51" s="12"/>
      <c r="I51" s="12"/>
      <c r="J51" s="12"/>
      <c r="K51" s="12"/>
      <c r="L51" s="12"/>
      <c r="M51" s="12"/>
    </row>
    <row r="52" spans="5:17">
      <c r="E52" s="34" t="s">
        <v>55</v>
      </c>
      <c r="F52" s="34"/>
      <c r="G52" s="34"/>
      <c r="H52" s="35"/>
      <c r="I52" s="35"/>
      <c r="J52" s="35"/>
      <c r="K52" s="35"/>
      <c r="L52" s="35"/>
      <c r="M52" s="83">
        <f>M50+M44</f>
        <v>21571671</v>
      </c>
      <c r="N52" s="83">
        <f>N50+N44</f>
        <v>6394623</v>
      </c>
      <c r="O52" s="83">
        <f>O50+O44</f>
        <v>4085776</v>
      </c>
      <c r="P52" s="83">
        <f>P50+P44</f>
        <v>1229931</v>
      </c>
      <c r="Q52" s="83">
        <f>Q50+Q44</f>
        <v>11710330</v>
      </c>
    </row>
    <row r="59" spans="5:17">
      <c r="K59" s="9"/>
      <c r="L59" s="9"/>
      <c r="M59" s="9"/>
    </row>
  </sheetData>
  <mergeCells count="5">
    <mergeCell ref="J1:M1"/>
    <mergeCell ref="J2:M2"/>
    <mergeCell ref="M4:R4"/>
    <mergeCell ref="J5:L5"/>
    <mergeCell ref="N5:Q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64"/>
  <sheetViews>
    <sheetView topLeftCell="A2" workbookViewId="0">
      <selection activeCell="A2" sqref="A1:XFD1048576"/>
    </sheetView>
  </sheetViews>
  <sheetFormatPr defaultColWidth="8.85546875" defaultRowHeight="15"/>
  <cols>
    <col min="1" max="1" width="7.42578125" customWidth="1"/>
    <col min="2" max="2" width="5.85546875" customWidth="1"/>
    <col min="3" max="3" width="9.7109375" customWidth="1"/>
    <col min="4" max="4" width="10.28515625" customWidth="1"/>
    <col min="5" max="5" width="9.28515625" customWidth="1"/>
    <col min="6" max="6" width="4.85546875" customWidth="1"/>
    <col min="7" max="7" width="14.42578125" customWidth="1"/>
    <col min="8" max="8" width="19.28515625" customWidth="1"/>
    <col min="9" max="9" width="18.7109375" customWidth="1"/>
    <col min="10" max="10" width="16" customWidth="1"/>
    <col min="11" max="11" width="13.85546875" customWidth="1"/>
    <col min="12" max="12" width="16.42578125" customWidth="1"/>
    <col min="13" max="13" width="13.140625" customWidth="1"/>
    <col min="14" max="14" width="14.7109375" customWidth="1"/>
  </cols>
  <sheetData>
    <row r="1" spans="1:14" ht="23.25">
      <c r="A1" s="216"/>
      <c r="B1" s="216"/>
      <c r="C1" s="216"/>
      <c r="D1" s="216"/>
      <c r="E1" s="216"/>
      <c r="F1" s="216"/>
      <c r="G1" s="216"/>
      <c r="H1" s="533" t="s">
        <v>468</v>
      </c>
      <c r="I1" s="533"/>
      <c r="J1" s="533"/>
      <c r="K1" s="533"/>
      <c r="L1" s="438"/>
      <c r="M1" s="438"/>
      <c r="N1" s="216"/>
    </row>
    <row r="2" spans="1:14" ht="18.75">
      <c r="A2" s="216"/>
      <c r="B2" s="216"/>
      <c r="C2" s="216"/>
      <c r="D2" s="216"/>
      <c r="E2" s="216"/>
      <c r="F2" s="216"/>
      <c r="G2" s="216"/>
      <c r="H2" s="534" t="s">
        <v>1</v>
      </c>
      <c r="I2" s="534"/>
      <c r="J2" s="534"/>
      <c r="K2" s="534"/>
      <c r="L2" s="439"/>
      <c r="M2" s="439"/>
      <c r="N2" s="216"/>
    </row>
    <row r="3" spans="1:14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6"/>
      <c r="L3" s="216"/>
      <c r="M3" s="216"/>
      <c r="N3" s="216"/>
    </row>
    <row r="4" spans="1:14" ht="18.75">
      <c r="A4" s="216"/>
      <c r="B4" s="216"/>
      <c r="C4" s="216"/>
      <c r="D4" s="218"/>
      <c r="E4" s="216"/>
      <c r="F4" s="216"/>
      <c r="G4" s="284"/>
      <c r="H4" s="284"/>
      <c r="I4" s="284"/>
      <c r="J4" s="284"/>
      <c r="K4" s="542" t="s">
        <v>2</v>
      </c>
      <c r="L4" s="542"/>
      <c r="M4" s="542"/>
      <c r="N4" s="284"/>
    </row>
    <row r="5" spans="1:14" ht="39.75" customHeight="1">
      <c r="A5" s="216" t="s">
        <v>3</v>
      </c>
      <c r="B5" s="216"/>
      <c r="C5" s="211"/>
      <c r="D5" s="211"/>
      <c r="E5" s="211"/>
      <c r="F5" s="211"/>
      <c r="G5" s="312"/>
      <c r="H5" s="542" t="s">
        <v>4</v>
      </c>
      <c r="I5" s="542"/>
      <c r="J5" s="542"/>
      <c r="K5" s="542" t="s">
        <v>5</v>
      </c>
      <c r="L5" s="542"/>
      <c r="M5" s="542"/>
      <c r="N5" s="440" t="s">
        <v>469</v>
      </c>
    </row>
    <row r="6" spans="1:14" ht="45">
      <c r="A6" s="289" t="s">
        <v>6</v>
      </c>
      <c r="B6" s="284"/>
      <c r="C6" s="284"/>
      <c r="D6" s="284"/>
      <c r="E6" s="284"/>
      <c r="F6" s="284"/>
      <c r="G6" s="290" t="s">
        <v>7</v>
      </c>
      <c r="H6" s="290" t="s">
        <v>8</v>
      </c>
      <c r="I6" s="212" t="s">
        <v>9</v>
      </c>
      <c r="J6" s="212" t="s">
        <v>10</v>
      </c>
      <c r="K6" s="212" t="s">
        <v>58</v>
      </c>
      <c r="L6" s="212" t="s">
        <v>147</v>
      </c>
      <c r="M6" s="290" t="s">
        <v>59</v>
      </c>
      <c r="N6" s="247" t="s">
        <v>147</v>
      </c>
    </row>
    <row r="7" spans="1:14" ht="13.5" customHeight="1">
      <c r="A7" s="291" t="s">
        <v>13</v>
      </c>
      <c r="B7" s="284"/>
      <c r="C7" s="284"/>
      <c r="D7" s="284"/>
      <c r="E7" s="284"/>
      <c r="F7" s="284"/>
      <c r="G7" s="292"/>
      <c r="H7" s="292"/>
      <c r="I7" s="292"/>
      <c r="J7" s="292"/>
      <c r="K7" s="284"/>
      <c r="L7" s="284"/>
      <c r="M7" s="284"/>
      <c r="N7" s="284"/>
    </row>
    <row r="8" spans="1:14" ht="15" customHeight="1">
      <c r="A8" s="284"/>
      <c r="B8" s="313" t="s">
        <v>14</v>
      </c>
      <c r="C8" s="284"/>
      <c r="D8" s="284"/>
      <c r="E8" s="284"/>
      <c r="F8" s="284"/>
      <c r="G8" s="292"/>
      <c r="H8" s="292"/>
      <c r="I8" s="292"/>
      <c r="J8" s="292"/>
      <c r="K8" s="292"/>
      <c r="L8" s="292"/>
      <c r="M8" s="292"/>
      <c r="N8" s="284"/>
    </row>
    <row r="9" spans="1:14" ht="15" customHeight="1">
      <c r="A9" s="284"/>
      <c r="B9" s="284"/>
      <c r="C9" s="284" t="s">
        <v>15</v>
      </c>
      <c r="D9" s="284"/>
      <c r="E9" s="284"/>
      <c r="F9" s="254"/>
      <c r="G9" s="314">
        <v>-9668333</v>
      </c>
      <c r="H9" s="254">
        <v>497</v>
      </c>
      <c r="I9" s="254">
        <v>539799</v>
      </c>
      <c r="J9" s="254">
        <v>7054640</v>
      </c>
      <c r="K9" s="254">
        <v>-2073397</v>
      </c>
      <c r="L9" s="254"/>
      <c r="M9" s="254">
        <f t="shared" ref="M9:M18" si="0">SUM(K9:L9)</f>
        <v>-2073397</v>
      </c>
      <c r="N9" s="284"/>
    </row>
    <row r="10" spans="1:14" ht="15" customHeight="1">
      <c r="A10" s="284"/>
      <c r="B10" s="284"/>
      <c r="C10" s="284" t="s">
        <v>16</v>
      </c>
      <c r="D10" s="284"/>
      <c r="E10" s="284"/>
      <c r="F10" s="254"/>
      <c r="G10" s="298">
        <v>-4037958</v>
      </c>
      <c r="H10" s="254">
        <v>242902</v>
      </c>
      <c r="I10" s="254">
        <v>-6929</v>
      </c>
      <c r="J10" s="254">
        <v>16666</v>
      </c>
      <c r="K10" s="254">
        <f t="shared" ref="K10:K18" si="1">SUM(G10:J10)</f>
        <v>-3785319</v>
      </c>
      <c r="L10" s="254"/>
      <c r="M10" s="254">
        <f t="shared" si="0"/>
        <v>-3785319</v>
      </c>
      <c r="N10" s="284"/>
    </row>
    <row r="11" spans="1:14" ht="13.5" customHeight="1">
      <c r="A11" s="284"/>
      <c r="B11" s="284"/>
      <c r="C11" s="284" t="s">
        <v>470</v>
      </c>
      <c r="D11" s="284"/>
      <c r="E11" s="284"/>
      <c r="F11" s="254"/>
      <c r="G11" s="299">
        <v>-4602549</v>
      </c>
      <c r="H11" s="254"/>
      <c r="I11" s="254">
        <v>729720</v>
      </c>
      <c r="J11" s="254">
        <v>640082</v>
      </c>
      <c r="K11" s="254">
        <v>-3232747</v>
      </c>
      <c r="L11" s="254"/>
      <c r="M11" s="254">
        <f t="shared" si="0"/>
        <v>-3232747</v>
      </c>
      <c r="N11" s="284"/>
    </row>
    <row r="12" spans="1:14" ht="14.25" customHeight="1">
      <c r="A12" s="284"/>
      <c r="B12" s="284"/>
      <c r="C12" s="284" t="s">
        <v>92</v>
      </c>
      <c r="D12" s="284"/>
      <c r="E12" s="284"/>
      <c r="F12" s="254"/>
      <c r="G12" s="308">
        <v>-1885173</v>
      </c>
      <c r="H12" s="254">
        <v>598021</v>
      </c>
      <c r="I12" s="254">
        <v>61609</v>
      </c>
      <c r="J12" s="254"/>
      <c r="K12" s="254">
        <f t="shared" si="1"/>
        <v>-1225543</v>
      </c>
      <c r="L12" s="254"/>
      <c r="M12" s="254">
        <f t="shared" si="0"/>
        <v>-1225543</v>
      </c>
      <c r="N12" s="284"/>
    </row>
    <row r="13" spans="1:14" ht="14.25" customHeight="1">
      <c r="A13" s="284"/>
      <c r="B13" s="284"/>
      <c r="C13" s="284" t="s">
        <v>471</v>
      </c>
      <c r="D13" s="284"/>
      <c r="E13" s="284"/>
      <c r="F13" s="254"/>
      <c r="G13" s="299">
        <v>-1520</v>
      </c>
      <c r="H13" s="254"/>
      <c r="I13" s="254"/>
      <c r="J13" s="254"/>
      <c r="K13" s="254">
        <f t="shared" si="1"/>
        <v>-1520</v>
      </c>
      <c r="L13" s="254"/>
      <c r="M13" s="254">
        <f t="shared" si="0"/>
        <v>-1520</v>
      </c>
      <c r="N13" s="284"/>
    </row>
    <row r="14" spans="1:14" ht="14.25" customHeight="1">
      <c r="A14" s="284"/>
      <c r="B14" s="284"/>
      <c r="C14" s="284" t="s">
        <v>472</v>
      </c>
      <c r="D14" s="284"/>
      <c r="E14" s="284"/>
      <c r="F14" s="254"/>
      <c r="G14" s="299">
        <v>-1050665</v>
      </c>
      <c r="H14" s="254">
        <v>78245</v>
      </c>
      <c r="I14" s="254">
        <v>542833</v>
      </c>
      <c r="J14" s="254"/>
      <c r="K14" s="254">
        <v>-429587</v>
      </c>
      <c r="L14" s="254"/>
      <c r="M14" s="254">
        <f t="shared" si="0"/>
        <v>-429587</v>
      </c>
      <c r="N14" s="284"/>
    </row>
    <row r="15" spans="1:14" ht="14.25" customHeight="1">
      <c r="A15" s="284"/>
      <c r="B15" s="284"/>
      <c r="C15" s="284" t="s">
        <v>19</v>
      </c>
      <c r="D15" s="284"/>
      <c r="E15" s="284"/>
      <c r="F15" s="254"/>
      <c r="G15" s="300">
        <v>-4418589</v>
      </c>
      <c r="H15" s="254"/>
      <c r="I15" s="254">
        <v>923370</v>
      </c>
      <c r="J15" s="254"/>
      <c r="K15" s="254">
        <v>-3495219</v>
      </c>
      <c r="L15" s="254"/>
      <c r="M15" s="254">
        <f t="shared" si="0"/>
        <v>-3495219</v>
      </c>
      <c r="N15" s="284"/>
    </row>
    <row r="16" spans="1:14" ht="15" customHeight="1">
      <c r="A16" s="284"/>
      <c r="B16" s="284"/>
      <c r="C16" s="284" t="s">
        <v>20</v>
      </c>
      <c r="D16" s="284"/>
      <c r="E16" s="284"/>
      <c r="F16" s="254"/>
      <c r="G16" s="301">
        <v>-2828449</v>
      </c>
      <c r="H16" s="254">
        <v>38514</v>
      </c>
      <c r="I16" s="254">
        <v>469593</v>
      </c>
      <c r="J16" s="254"/>
      <c r="K16" s="254">
        <v>-2320342</v>
      </c>
      <c r="L16" s="254"/>
      <c r="M16" s="254">
        <f t="shared" si="0"/>
        <v>-2320342</v>
      </c>
      <c r="N16" s="284"/>
    </row>
    <row r="17" spans="1:14" ht="13.5" customHeight="1">
      <c r="A17" s="284"/>
      <c r="B17" s="284"/>
      <c r="C17" s="284" t="s">
        <v>18</v>
      </c>
      <c r="D17" s="284"/>
      <c r="E17" s="284"/>
      <c r="F17" s="254"/>
      <c r="G17" s="302">
        <v>-2300637</v>
      </c>
      <c r="H17" s="254"/>
      <c r="I17" s="254">
        <v>1517741</v>
      </c>
      <c r="J17" s="254"/>
      <c r="K17" s="254">
        <v>-782896</v>
      </c>
      <c r="L17" s="254"/>
      <c r="M17" s="254">
        <f t="shared" si="0"/>
        <v>-782896</v>
      </c>
      <c r="N17" s="284"/>
    </row>
    <row r="18" spans="1:14" ht="12" customHeight="1">
      <c r="A18" s="284"/>
      <c r="B18" s="284"/>
      <c r="C18" s="284" t="s">
        <v>21</v>
      </c>
      <c r="D18" s="284"/>
      <c r="E18" s="284"/>
      <c r="F18" s="254"/>
      <c r="G18" s="294">
        <v>-271857</v>
      </c>
      <c r="H18" s="254"/>
      <c r="I18" s="254"/>
      <c r="J18" s="254"/>
      <c r="K18" s="254">
        <f t="shared" si="1"/>
        <v>-271857</v>
      </c>
      <c r="L18" s="254"/>
      <c r="M18" s="254">
        <f t="shared" si="0"/>
        <v>-271857</v>
      </c>
      <c r="N18" s="284"/>
    </row>
    <row r="19" spans="1:14">
      <c r="A19" s="284"/>
      <c r="B19" s="284"/>
      <c r="C19" s="284"/>
      <c r="D19" s="284"/>
      <c r="E19" s="284"/>
      <c r="F19" s="254"/>
      <c r="G19" s="254"/>
      <c r="H19" s="254"/>
      <c r="I19" s="254"/>
      <c r="J19" s="254"/>
      <c r="K19" s="254"/>
      <c r="L19" s="254"/>
      <c r="M19" s="254"/>
      <c r="N19" s="284"/>
    </row>
    <row r="20" spans="1:14" ht="15.75" customHeight="1">
      <c r="A20" s="284"/>
      <c r="B20" s="284"/>
      <c r="C20" s="284"/>
      <c r="D20" s="256" t="s">
        <v>22</v>
      </c>
      <c r="E20" s="256"/>
      <c r="F20" s="303"/>
      <c r="G20" s="303">
        <f>SUM(G9:G18)</f>
        <v>-31065730</v>
      </c>
      <c r="H20" s="303">
        <f>SUM(H9:H18)</f>
        <v>958179</v>
      </c>
      <c r="I20" s="303">
        <f>SUM(I9:I18)</f>
        <v>4777736</v>
      </c>
      <c r="J20" s="303">
        <f>SUM(J9:J18)</f>
        <v>7711388</v>
      </c>
      <c r="K20" s="315">
        <f>SUM(K9:K18)</f>
        <v>-17618427</v>
      </c>
      <c r="L20" s="315"/>
      <c r="M20" s="315">
        <f>SUM(M9:M18)</f>
        <v>-17618427</v>
      </c>
      <c r="N20" s="318">
        <f>SUM(N9:N18)</f>
        <v>0</v>
      </c>
    </row>
    <row r="21" spans="1:14">
      <c r="A21" s="284"/>
      <c r="B21" s="284"/>
      <c r="C21" s="284"/>
      <c r="D21" s="291"/>
      <c r="E21" s="291"/>
      <c r="F21" s="304"/>
      <c r="G21" s="304"/>
      <c r="H21" s="304"/>
      <c r="I21" s="304"/>
      <c r="J21" s="304"/>
      <c r="K21" s="304"/>
      <c r="L21" s="304"/>
      <c r="M21" s="304"/>
      <c r="N21" s="284"/>
    </row>
    <row r="22" spans="1:14" ht="14.25" customHeight="1">
      <c r="A22" s="284"/>
      <c r="B22" s="313" t="s">
        <v>116</v>
      </c>
      <c r="C22" s="284"/>
      <c r="D22" s="291"/>
      <c r="E22" s="291"/>
      <c r="F22" s="304"/>
      <c r="G22" s="304"/>
      <c r="H22" s="304"/>
      <c r="I22" s="304"/>
      <c r="J22" s="304"/>
      <c r="K22" s="304"/>
      <c r="L22" s="304"/>
      <c r="M22" s="304"/>
      <c r="N22" s="284"/>
    </row>
    <row r="23" spans="1:14" ht="13.5" customHeight="1">
      <c r="A23" s="284"/>
      <c r="B23" s="284"/>
      <c r="C23" s="284" t="s">
        <v>473</v>
      </c>
      <c r="D23" s="291"/>
      <c r="E23" s="291"/>
      <c r="F23" s="304"/>
      <c r="G23" s="472">
        <v>-4949997</v>
      </c>
      <c r="H23" s="306">
        <v>5450860</v>
      </c>
      <c r="I23" s="306">
        <v>-2635</v>
      </c>
      <c r="J23" s="306">
        <v>24287</v>
      </c>
      <c r="K23" s="306"/>
      <c r="L23" s="306">
        <v>522515</v>
      </c>
      <c r="M23" s="306">
        <f t="shared" ref="M23" si="2">SUM(K23:L23)</f>
        <v>522515</v>
      </c>
      <c r="N23" s="284"/>
    </row>
    <row r="24" spans="1:14" ht="15" customHeight="1">
      <c r="A24" s="284"/>
      <c r="B24" s="284"/>
      <c r="C24" s="284" t="s">
        <v>474</v>
      </c>
      <c r="D24" s="291"/>
      <c r="E24" s="291"/>
      <c r="F24" s="304"/>
      <c r="G24" s="474">
        <v>-443689</v>
      </c>
      <c r="H24" s="306">
        <v>47676</v>
      </c>
      <c r="I24" s="306">
        <v>-600</v>
      </c>
      <c r="J24" s="306"/>
      <c r="K24" s="306"/>
      <c r="L24" s="306">
        <f>SUM(G24:J24)</f>
        <v>-396613</v>
      </c>
      <c r="M24" s="306">
        <f>SUM(K24:L24)</f>
        <v>-396613</v>
      </c>
      <c r="N24" s="284"/>
    </row>
    <row r="25" spans="1:14">
      <c r="A25" s="284"/>
      <c r="B25" s="284"/>
      <c r="C25" s="284"/>
      <c r="D25" s="291"/>
      <c r="E25" s="291"/>
      <c r="F25" s="304"/>
      <c r="G25" s="304"/>
      <c r="H25" s="304"/>
      <c r="I25" s="304"/>
      <c r="J25" s="304"/>
      <c r="K25" s="304"/>
      <c r="L25" s="304"/>
      <c r="M25" s="304"/>
      <c r="N25" s="284"/>
    </row>
    <row r="26" spans="1:14" ht="15" customHeight="1">
      <c r="A26" s="284"/>
      <c r="B26" s="284"/>
      <c r="C26" s="284"/>
      <c r="D26" s="256" t="s">
        <v>232</v>
      </c>
      <c r="E26" s="256"/>
      <c r="F26" s="303"/>
      <c r="G26" s="303">
        <f t="shared" ref="G26:M26" si="3">SUM(G23:G24)</f>
        <v>-5393686</v>
      </c>
      <c r="H26" s="303">
        <f t="shared" si="3"/>
        <v>5498536</v>
      </c>
      <c r="I26" s="303">
        <f t="shared" si="3"/>
        <v>-3235</v>
      </c>
      <c r="J26" s="303">
        <f t="shared" si="3"/>
        <v>24287</v>
      </c>
      <c r="K26" s="315">
        <f t="shared" si="3"/>
        <v>0</v>
      </c>
      <c r="L26" s="315">
        <f t="shared" si="3"/>
        <v>125902</v>
      </c>
      <c r="M26" s="315">
        <f t="shared" si="3"/>
        <v>125902</v>
      </c>
      <c r="N26" s="318">
        <f>SUM(N17:N24)</f>
        <v>0</v>
      </c>
    </row>
    <row r="27" spans="1:14">
      <c r="A27" s="284"/>
      <c r="B27" s="284"/>
      <c r="C27" s="284"/>
      <c r="D27" s="291"/>
      <c r="E27" s="291"/>
      <c r="F27" s="304"/>
      <c r="G27" s="304"/>
      <c r="H27" s="304"/>
      <c r="I27" s="304"/>
      <c r="J27" s="304"/>
      <c r="K27" s="304"/>
      <c r="L27" s="304"/>
      <c r="M27" s="304"/>
      <c r="N27" s="284"/>
    </row>
    <row r="28" spans="1:14" ht="13.5" customHeight="1">
      <c r="A28" s="284"/>
      <c r="B28" s="284"/>
      <c r="C28" s="284"/>
      <c r="D28" s="256" t="s">
        <v>67</v>
      </c>
      <c r="E28" s="256"/>
      <c r="F28" s="303"/>
      <c r="G28" s="303">
        <f>G26+G20</f>
        <v>-36459416</v>
      </c>
      <c r="H28" s="303">
        <f>H26+H20</f>
        <v>6456715</v>
      </c>
      <c r="I28" s="303">
        <f>SUM(I20+I26)</f>
        <v>4774501</v>
      </c>
      <c r="J28" s="303">
        <f>SUM(J20+J26)</f>
        <v>7735675</v>
      </c>
      <c r="K28" s="315">
        <f>K26+K20</f>
        <v>-17618427</v>
      </c>
      <c r="L28" s="315">
        <f>L26+L20</f>
        <v>125902</v>
      </c>
      <c r="M28" s="315">
        <f>M26+M20</f>
        <v>-17492525</v>
      </c>
      <c r="N28" s="318">
        <f>SUM(N19:N26)</f>
        <v>0</v>
      </c>
    </row>
    <row r="29" spans="1:14">
      <c r="A29" s="284"/>
      <c r="B29" s="284"/>
      <c r="C29" s="284"/>
      <c r="D29" s="291"/>
      <c r="E29" s="291"/>
      <c r="F29" s="304"/>
      <c r="G29" s="304"/>
      <c r="H29" s="304"/>
      <c r="I29" s="304"/>
      <c r="J29" s="304"/>
      <c r="K29" s="304"/>
      <c r="L29" s="304"/>
      <c r="M29" s="304"/>
      <c r="N29" s="284"/>
    </row>
    <row r="30" spans="1:14" ht="15.75" customHeight="1">
      <c r="A30" s="313" t="s">
        <v>23</v>
      </c>
      <c r="B30" s="284"/>
      <c r="C30" s="284"/>
      <c r="D30" s="284"/>
      <c r="E30" s="284"/>
      <c r="F30" s="254"/>
      <c r="G30" s="254"/>
      <c r="H30" s="254"/>
      <c r="I30" s="254"/>
      <c r="J30" s="254"/>
      <c r="K30" s="254"/>
      <c r="L30" s="254"/>
      <c r="M30" s="254"/>
      <c r="N30" s="284"/>
    </row>
    <row r="31" spans="1:14" ht="13.5" customHeight="1">
      <c r="A31" s="284"/>
      <c r="B31" s="284" t="s">
        <v>475</v>
      </c>
      <c r="C31" s="284"/>
      <c r="D31" s="284"/>
      <c r="E31" s="284"/>
      <c r="F31" s="254"/>
      <c r="G31" s="254">
        <v>-23781570</v>
      </c>
      <c r="H31" s="254">
        <v>21228237</v>
      </c>
      <c r="I31" s="254">
        <v>117520</v>
      </c>
      <c r="J31" s="254"/>
      <c r="K31" s="254"/>
      <c r="L31" s="254"/>
      <c r="M31" s="254"/>
      <c r="N31" s="254">
        <f>SUM(G31:J31)</f>
        <v>-2435813</v>
      </c>
    </row>
    <row r="32" spans="1:14">
      <c r="A32" s="284"/>
      <c r="B32" s="284"/>
      <c r="C32" s="284"/>
      <c r="D32" s="284"/>
      <c r="E32" s="284"/>
      <c r="F32" s="254"/>
      <c r="G32" s="254"/>
      <c r="H32" s="254"/>
      <c r="I32" s="254"/>
      <c r="J32" s="254"/>
      <c r="K32" s="254"/>
      <c r="L32" s="254"/>
      <c r="M32" s="254"/>
      <c r="N32" s="284"/>
    </row>
    <row r="33" spans="1:14" ht="13.5" customHeight="1">
      <c r="A33" s="284"/>
      <c r="B33" s="284"/>
      <c r="C33" s="284"/>
      <c r="D33" s="256" t="s">
        <v>70</v>
      </c>
      <c r="E33" s="256"/>
      <c r="F33" s="303"/>
      <c r="G33" s="303">
        <f t="shared" ref="G33:N33" si="4">SUM(G31:G31)</f>
        <v>-23781570</v>
      </c>
      <c r="H33" s="303">
        <f t="shared" si="4"/>
        <v>21228237</v>
      </c>
      <c r="I33" s="303">
        <f t="shared" si="4"/>
        <v>117520</v>
      </c>
      <c r="J33" s="303">
        <f t="shared" si="4"/>
        <v>0</v>
      </c>
      <c r="K33" s="315">
        <f t="shared" si="4"/>
        <v>0</v>
      </c>
      <c r="L33" s="315">
        <f t="shared" si="4"/>
        <v>0</v>
      </c>
      <c r="M33" s="315">
        <f t="shared" si="4"/>
        <v>0</v>
      </c>
      <c r="N33" s="285">
        <f t="shared" si="4"/>
        <v>-2435813</v>
      </c>
    </row>
    <row r="34" spans="1:14">
      <c r="A34" s="284"/>
      <c r="B34" s="284"/>
      <c r="C34" s="284"/>
      <c r="D34" s="284"/>
      <c r="E34" s="284"/>
      <c r="F34" s="254"/>
      <c r="G34" s="254"/>
      <c r="H34" s="254"/>
      <c r="I34" s="254"/>
      <c r="J34" s="254"/>
      <c r="K34" s="254"/>
      <c r="L34" s="254"/>
      <c r="M34" s="254"/>
      <c r="N34" s="284"/>
    </row>
    <row r="35" spans="1:14" ht="15" customHeight="1">
      <c r="A35" s="291"/>
      <c r="B35" s="291"/>
      <c r="C35" s="291"/>
      <c r="D35" s="291"/>
      <c r="E35" s="291" t="s">
        <v>25</v>
      </c>
      <c r="F35" s="304"/>
      <c r="G35" s="304"/>
      <c r="H35" s="304"/>
      <c r="I35" s="304"/>
      <c r="J35" s="304"/>
      <c r="K35" s="254"/>
      <c r="L35" s="254"/>
      <c r="M35" s="254"/>
      <c r="N35" s="284"/>
    </row>
    <row r="36" spans="1:14">
      <c r="A36" s="291"/>
      <c r="B36" s="291"/>
      <c r="C36" s="291"/>
      <c r="D36" s="291"/>
      <c r="E36" s="291"/>
      <c r="F36" s="306" t="s">
        <v>26</v>
      </c>
      <c r="G36" s="304"/>
      <c r="H36" s="304"/>
      <c r="I36" s="304"/>
      <c r="J36" s="304"/>
      <c r="K36" s="254"/>
      <c r="L36" s="254"/>
      <c r="M36" s="254"/>
      <c r="N36" s="284"/>
    </row>
    <row r="37" spans="1:14" ht="13.5" customHeight="1">
      <c r="A37" s="284"/>
      <c r="B37" s="284"/>
      <c r="C37" s="284"/>
      <c r="D37" s="284"/>
      <c r="E37" s="284"/>
      <c r="F37" s="254"/>
      <c r="G37" s="254" t="s">
        <v>186</v>
      </c>
      <c r="H37" s="254"/>
      <c r="I37" s="254"/>
      <c r="J37" s="254"/>
      <c r="K37" s="257">
        <v>16937947</v>
      </c>
      <c r="L37" s="254">
        <v>328319</v>
      </c>
      <c r="M37" s="254">
        <f t="shared" ref="M37:M48" si="5">SUM(K37:L37)</f>
        <v>17266266</v>
      </c>
      <c r="N37" s="284">
        <v>2507191</v>
      </c>
    </row>
    <row r="38" spans="1:14" ht="14.25" customHeight="1">
      <c r="A38" s="284"/>
      <c r="B38" s="284"/>
      <c r="C38" s="284"/>
      <c r="D38" s="284"/>
      <c r="E38" s="284"/>
      <c r="F38" s="254"/>
      <c r="G38" s="254" t="s">
        <v>476</v>
      </c>
      <c r="H38" s="254"/>
      <c r="I38" s="254"/>
      <c r="J38" s="254"/>
      <c r="K38" s="300">
        <v>356945</v>
      </c>
      <c r="L38" s="254"/>
      <c r="M38" s="254">
        <f t="shared" si="5"/>
        <v>356945</v>
      </c>
      <c r="N38" s="284"/>
    </row>
    <row r="39" spans="1:14" ht="12.75" customHeight="1">
      <c r="A39" s="284"/>
      <c r="B39" s="284"/>
      <c r="C39" s="284"/>
      <c r="D39" s="284"/>
      <c r="E39" s="284"/>
      <c r="F39" s="254"/>
      <c r="G39" s="254" t="s">
        <v>187</v>
      </c>
      <c r="H39" s="254"/>
      <c r="I39" s="254"/>
      <c r="J39" s="254"/>
      <c r="K39" s="299">
        <v>6563038</v>
      </c>
      <c r="L39" s="254"/>
      <c r="M39" s="254">
        <f t="shared" si="5"/>
        <v>6563038</v>
      </c>
      <c r="N39" s="284"/>
    </row>
    <row r="40" spans="1:14" ht="16.5" customHeight="1">
      <c r="A40" s="284"/>
      <c r="B40" s="284"/>
      <c r="C40" s="284"/>
      <c r="D40" s="284"/>
      <c r="E40" s="284"/>
      <c r="F40" s="254"/>
      <c r="G40" s="254" t="s">
        <v>477</v>
      </c>
      <c r="H40" s="254"/>
      <c r="I40" s="254"/>
      <c r="J40" s="254"/>
      <c r="K40" s="300">
        <v>19291</v>
      </c>
      <c r="L40" s="254"/>
      <c r="M40" s="254">
        <f t="shared" si="5"/>
        <v>19291</v>
      </c>
      <c r="N40" s="284"/>
    </row>
    <row r="41" spans="1:14" ht="14.25" customHeight="1">
      <c r="A41" s="284"/>
      <c r="B41" s="284"/>
      <c r="C41" s="284"/>
      <c r="D41" s="284"/>
      <c r="E41" s="284"/>
      <c r="F41" s="254"/>
      <c r="G41" s="254" t="s">
        <v>254</v>
      </c>
      <c r="H41" s="254"/>
      <c r="I41" s="254"/>
      <c r="J41" s="254"/>
      <c r="K41" s="299">
        <v>112635</v>
      </c>
      <c r="L41" s="254"/>
      <c r="M41" s="254">
        <f t="shared" si="5"/>
        <v>112635</v>
      </c>
      <c r="N41" s="284"/>
    </row>
    <row r="42" spans="1:14">
      <c r="A42" s="284"/>
      <c r="B42" s="284"/>
      <c r="C42" s="284"/>
      <c r="D42" s="284"/>
      <c r="E42" s="284"/>
      <c r="F42" s="254"/>
      <c r="G42" s="254" t="s">
        <v>32</v>
      </c>
      <c r="H42" s="254"/>
      <c r="I42" s="254"/>
      <c r="J42" s="254"/>
      <c r="K42" s="300">
        <v>226886</v>
      </c>
      <c r="L42" s="254"/>
      <c r="M42" s="254">
        <f t="shared" si="5"/>
        <v>226886</v>
      </c>
      <c r="N42" s="284"/>
    </row>
    <row r="43" spans="1:14" ht="13.5" customHeight="1">
      <c r="A43" s="284"/>
      <c r="B43" s="284"/>
      <c r="C43" s="284"/>
      <c r="D43" s="284"/>
      <c r="E43" s="284"/>
      <c r="F43" s="254" t="s">
        <v>478</v>
      </c>
      <c r="G43" s="254"/>
      <c r="H43" s="254"/>
      <c r="I43" s="254"/>
      <c r="J43" s="254"/>
      <c r="K43" s="307">
        <v>185502</v>
      </c>
      <c r="L43" s="254">
        <v>650</v>
      </c>
      <c r="M43" s="254">
        <f t="shared" si="5"/>
        <v>186152</v>
      </c>
      <c r="N43" s="284"/>
    </row>
    <row r="44" spans="1:14" ht="13.5" customHeight="1">
      <c r="A44" s="284"/>
      <c r="B44" s="284"/>
      <c r="C44" s="284"/>
      <c r="D44" s="284"/>
      <c r="E44" s="284"/>
      <c r="F44" s="254" t="s">
        <v>298</v>
      </c>
      <c r="G44" s="254"/>
      <c r="H44" s="254"/>
      <c r="I44" s="254"/>
      <c r="J44" s="254"/>
      <c r="K44" s="314">
        <v>537865</v>
      </c>
      <c r="L44" s="254"/>
      <c r="M44" s="254">
        <f>SUM(K44:L44)</f>
        <v>537865</v>
      </c>
      <c r="N44" s="284"/>
    </row>
    <row r="45" spans="1:14" ht="12" customHeight="1">
      <c r="A45" s="284"/>
      <c r="B45" s="284"/>
      <c r="C45" s="284"/>
      <c r="D45" s="284"/>
      <c r="E45" s="284"/>
      <c r="F45" s="254" t="s">
        <v>479</v>
      </c>
      <c r="G45" s="254"/>
      <c r="H45" s="254"/>
      <c r="I45" s="254"/>
      <c r="J45" s="254"/>
      <c r="K45" s="307">
        <v>68238</v>
      </c>
      <c r="L45" s="254">
        <v>5394</v>
      </c>
      <c r="M45" s="254">
        <f t="shared" si="5"/>
        <v>73632</v>
      </c>
      <c r="N45" s="254">
        <v>1302</v>
      </c>
    </row>
    <row r="46" spans="1:14">
      <c r="A46" s="284"/>
      <c r="B46" s="284"/>
      <c r="C46" s="284"/>
      <c r="D46" s="284"/>
      <c r="E46" s="284"/>
      <c r="F46" s="254" t="s">
        <v>32</v>
      </c>
      <c r="G46" s="254"/>
      <c r="H46" s="254"/>
      <c r="I46" s="254"/>
      <c r="J46" s="254"/>
      <c r="K46" s="307">
        <v>2248504</v>
      </c>
      <c r="L46" s="254"/>
      <c r="M46" s="254">
        <f t="shared" si="5"/>
        <v>2248504</v>
      </c>
      <c r="N46" s="284">
        <v>1065116</v>
      </c>
    </row>
    <row r="47" spans="1:14" ht="12" customHeight="1">
      <c r="A47" s="284"/>
      <c r="B47" s="284"/>
      <c r="C47" s="284"/>
      <c r="D47" s="284"/>
      <c r="E47" s="284"/>
      <c r="F47" s="254" t="s">
        <v>480</v>
      </c>
      <c r="G47" s="254"/>
      <c r="H47" s="254"/>
      <c r="I47" s="254"/>
      <c r="J47" s="254"/>
      <c r="K47" s="307">
        <v>-4494</v>
      </c>
      <c r="L47" s="254"/>
      <c r="M47" s="254">
        <f t="shared" si="5"/>
        <v>-4494</v>
      </c>
      <c r="N47" s="284">
        <v>-11321</v>
      </c>
    </row>
    <row r="48" spans="1:14">
      <c r="A48" s="284"/>
      <c r="B48" s="284"/>
      <c r="C48" s="284"/>
      <c r="D48" s="284"/>
      <c r="E48" s="284"/>
      <c r="F48" s="254" t="s">
        <v>37</v>
      </c>
      <c r="G48" s="254"/>
      <c r="H48" s="254"/>
      <c r="I48" s="254"/>
      <c r="J48" s="254"/>
      <c r="K48" s="293">
        <v>1443</v>
      </c>
      <c r="L48" s="254">
        <v>70856</v>
      </c>
      <c r="M48" s="254">
        <f t="shared" si="5"/>
        <v>72299</v>
      </c>
      <c r="N48" s="284"/>
    </row>
    <row r="49" spans="1:14">
      <c r="A49" s="284"/>
      <c r="B49" s="284"/>
      <c r="C49" s="284"/>
      <c r="D49" s="284"/>
      <c r="E49" s="284"/>
      <c r="F49" s="254"/>
      <c r="G49" s="254"/>
      <c r="H49" s="254"/>
      <c r="I49" s="254"/>
      <c r="J49" s="254"/>
      <c r="K49" s="254"/>
      <c r="L49" s="254"/>
      <c r="M49" s="254"/>
      <c r="N49" s="284"/>
    </row>
    <row r="50" spans="1:14" ht="15" customHeight="1">
      <c r="A50" s="284"/>
      <c r="B50" s="284"/>
      <c r="C50" s="284"/>
      <c r="D50" s="284"/>
      <c r="E50" s="284"/>
      <c r="F50" s="303" t="s">
        <v>243</v>
      </c>
      <c r="G50" s="303"/>
      <c r="H50" s="303"/>
      <c r="I50" s="303"/>
      <c r="J50" s="303"/>
      <c r="K50" s="303">
        <f>SUM(K37:K48)</f>
        <v>27253800</v>
      </c>
      <c r="L50" s="303">
        <f>SUM(L37:L48)</f>
        <v>405219</v>
      </c>
      <c r="M50" s="303">
        <f>SUM(M37:M48)</f>
        <v>27659019</v>
      </c>
      <c r="N50" s="285">
        <f>SUM(N37:N48)</f>
        <v>3562288</v>
      </c>
    </row>
    <row r="51" spans="1:14">
      <c r="A51" s="284"/>
      <c r="B51" s="284"/>
      <c r="C51" s="284"/>
      <c r="D51" s="284"/>
      <c r="E51" s="284"/>
      <c r="F51" s="254"/>
      <c r="G51" s="254"/>
      <c r="H51" s="254"/>
      <c r="I51" s="254"/>
      <c r="J51" s="254"/>
      <c r="K51" s="254"/>
      <c r="L51" s="254"/>
      <c r="M51" s="254"/>
      <c r="N51" s="284"/>
    </row>
    <row r="52" spans="1:14" ht="12.75" customHeight="1">
      <c r="A52" s="284"/>
      <c r="B52" s="284"/>
      <c r="C52" s="284"/>
      <c r="D52" s="284"/>
      <c r="E52" s="284"/>
      <c r="F52" s="303" t="s">
        <v>481</v>
      </c>
      <c r="G52" s="303"/>
      <c r="H52" s="303"/>
      <c r="I52" s="303"/>
      <c r="J52" s="303"/>
      <c r="K52" s="303">
        <f>K50+K20</f>
        <v>9635373</v>
      </c>
      <c r="L52" s="303">
        <f>L50+L28</f>
        <v>531121</v>
      </c>
      <c r="M52" s="303">
        <f>M50+M28</f>
        <v>10166494</v>
      </c>
      <c r="N52" s="303">
        <f>N50+N33</f>
        <v>1126475</v>
      </c>
    </row>
    <row r="53" spans="1:14">
      <c r="A53" s="284"/>
      <c r="B53" s="284"/>
      <c r="C53" s="284"/>
      <c r="D53" s="284"/>
      <c r="E53" s="284"/>
      <c r="F53" s="304"/>
      <c r="G53" s="304"/>
      <c r="H53" s="304"/>
      <c r="I53" s="304"/>
      <c r="J53" s="304"/>
      <c r="K53" s="304"/>
      <c r="L53" s="304"/>
      <c r="M53" s="304"/>
      <c r="N53" s="284"/>
    </row>
    <row r="54" spans="1:14" ht="14.25" customHeight="1">
      <c r="A54" s="284"/>
      <c r="B54" s="284"/>
      <c r="C54" s="284"/>
      <c r="D54" s="284"/>
      <c r="E54" s="284"/>
      <c r="F54" s="315" t="s">
        <v>482</v>
      </c>
      <c r="G54" s="315"/>
      <c r="H54" s="315"/>
      <c r="I54" s="315"/>
      <c r="J54" s="315"/>
      <c r="K54" s="315"/>
      <c r="L54" s="315">
        <v>-686937</v>
      </c>
      <c r="M54" s="315">
        <f>SUM(K54:L54)</f>
        <v>-686937</v>
      </c>
      <c r="N54" s="318"/>
    </row>
    <row r="55" spans="1:14">
      <c r="A55" s="284"/>
      <c r="B55" s="284"/>
      <c r="C55" s="284"/>
      <c r="D55" s="284"/>
      <c r="E55" s="284"/>
      <c r="F55" s="304"/>
      <c r="G55" s="304"/>
      <c r="H55" s="304"/>
      <c r="I55" s="304"/>
      <c r="J55" s="304"/>
      <c r="K55" s="304"/>
      <c r="L55" s="304"/>
      <c r="M55" s="304"/>
      <c r="N55" s="284"/>
    </row>
    <row r="56" spans="1:14" ht="12.75" customHeight="1">
      <c r="A56" s="284"/>
      <c r="B56" s="284"/>
      <c r="C56" s="284"/>
      <c r="D56" s="284"/>
      <c r="E56" s="284"/>
      <c r="F56" s="315" t="s">
        <v>483</v>
      </c>
      <c r="G56" s="315"/>
      <c r="H56" s="315"/>
      <c r="I56" s="315"/>
      <c r="J56" s="315"/>
      <c r="K56" s="315">
        <f>K52+K54</f>
        <v>9635373</v>
      </c>
      <c r="L56" s="315">
        <f t="shared" ref="L56:N56" si="6">L52+L54</f>
        <v>-155816</v>
      </c>
      <c r="M56" s="315">
        <f t="shared" si="6"/>
        <v>9479557</v>
      </c>
      <c r="N56" s="315">
        <f t="shared" si="6"/>
        <v>1126475</v>
      </c>
    </row>
    <row r="57" spans="1:14">
      <c r="A57" s="284"/>
      <c r="B57" s="284"/>
      <c r="C57" s="284"/>
      <c r="D57" s="284"/>
      <c r="E57" s="284"/>
      <c r="F57" s="304"/>
      <c r="G57" s="304"/>
      <c r="H57" s="304"/>
      <c r="I57" s="304"/>
      <c r="J57" s="304"/>
      <c r="K57" s="304"/>
      <c r="L57" s="304"/>
      <c r="M57" s="304"/>
      <c r="N57" s="284"/>
    </row>
    <row r="58" spans="1:14" ht="13.5" customHeight="1">
      <c r="A58" s="284"/>
      <c r="B58" s="284"/>
      <c r="C58" s="284"/>
      <c r="D58" s="284"/>
      <c r="E58" s="284"/>
      <c r="F58" s="315" t="s">
        <v>484</v>
      </c>
      <c r="G58" s="315"/>
      <c r="H58" s="315"/>
      <c r="I58" s="315"/>
      <c r="J58" s="315"/>
      <c r="K58" s="315">
        <v>95700414</v>
      </c>
      <c r="L58" s="315">
        <v>22399554</v>
      </c>
      <c r="M58" s="315">
        <f>SUM(K58:L58)</f>
        <v>118099968</v>
      </c>
      <c r="N58" s="318">
        <v>25231253</v>
      </c>
    </row>
    <row r="59" spans="1:14">
      <c r="A59" s="284"/>
      <c r="B59" s="284"/>
      <c r="C59" s="284"/>
      <c r="D59" s="284"/>
      <c r="E59" s="284"/>
      <c r="F59" s="304"/>
      <c r="G59" s="304"/>
      <c r="H59" s="304"/>
      <c r="I59" s="304"/>
      <c r="J59" s="304"/>
      <c r="K59" s="304"/>
      <c r="L59" s="304"/>
      <c r="M59" s="304"/>
      <c r="N59" s="284"/>
    </row>
    <row r="60" spans="1:14" ht="12" customHeight="1">
      <c r="A60" s="284"/>
      <c r="B60" s="284"/>
      <c r="C60" s="284"/>
      <c r="D60" s="284"/>
      <c r="E60" s="284"/>
      <c r="F60" s="315" t="s">
        <v>485</v>
      </c>
      <c r="G60" s="315"/>
      <c r="H60" s="315"/>
      <c r="I60" s="315"/>
      <c r="J60" s="315"/>
      <c r="K60" s="315"/>
      <c r="L60" s="315"/>
      <c r="M60" s="315"/>
      <c r="N60" s="318">
        <v>-422408</v>
      </c>
    </row>
    <row r="61" spans="1:14">
      <c r="A61" s="284"/>
      <c r="B61" s="284"/>
      <c r="C61" s="284"/>
      <c r="D61" s="284"/>
      <c r="E61" s="284"/>
      <c r="F61" s="304"/>
      <c r="G61" s="304"/>
      <c r="H61" s="304"/>
      <c r="I61" s="304"/>
      <c r="J61" s="304"/>
      <c r="K61" s="304"/>
      <c r="L61" s="304"/>
      <c r="M61" s="304"/>
      <c r="N61" s="284"/>
    </row>
    <row r="62" spans="1:14" ht="13.5" customHeight="1">
      <c r="A62" s="284"/>
      <c r="B62" s="284"/>
      <c r="C62" s="284"/>
      <c r="D62" s="310" t="s">
        <v>486</v>
      </c>
      <c r="E62" s="310"/>
      <c r="F62" s="311"/>
      <c r="G62" s="311"/>
      <c r="H62" s="311"/>
      <c r="I62" s="311"/>
      <c r="J62" s="311"/>
      <c r="K62" s="317">
        <v>95700414</v>
      </c>
      <c r="L62" s="317">
        <v>22399554</v>
      </c>
      <c r="M62" s="317">
        <f>SUM(K62:L62)</f>
        <v>118099968</v>
      </c>
      <c r="N62" s="319">
        <v>24808845</v>
      </c>
    </row>
    <row r="63" spans="1:14">
      <c r="A63" s="284"/>
      <c r="B63" s="284"/>
      <c r="C63" s="284"/>
      <c r="D63" s="284"/>
      <c r="E63" s="284"/>
      <c r="F63" s="254"/>
      <c r="G63" s="254"/>
      <c r="H63" s="254"/>
      <c r="I63" s="254"/>
      <c r="J63" s="254"/>
      <c r="K63" s="254"/>
      <c r="L63" s="254"/>
      <c r="M63" s="254"/>
      <c r="N63" s="284"/>
    </row>
    <row r="64" spans="1:14" ht="16.5" customHeight="1">
      <c r="A64" s="284"/>
      <c r="B64" s="284"/>
      <c r="C64" s="284"/>
      <c r="D64" s="286" t="s">
        <v>55</v>
      </c>
      <c r="E64" s="286"/>
      <c r="F64" s="287"/>
      <c r="G64" s="287"/>
      <c r="H64" s="287"/>
      <c r="I64" s="287"/>
      <c r="J64" s="287"/>
      <c r="K64" s="288">
        <f>K62+K56</f>
        <v>105335787</v>
      </c>
      <c r="L64" s="288">
        <f>L62+L56</f>
        <v>22243738</v>
      </c>
      <c r="M64" s="288">
        <f>M62+M56</f>
        <v>127579525</v>
      </c>
      <c r="N64" s="288">
        <f>N62+N56</f>
        <v>25935320</v>
      </c>
    </row>
  </sheetData>
  <mergeCells count="5">
    <mergeCell ref="H1:K1"/>
    <mergeCell ref="H2:K2"/>
    <mergeCell ref="K4:M4"/>
    <mergeCell ref="H5:J5"/>
    <mergeCell ref="K5:M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54"/>
  <sheetViews>
    <sheetView workbookViewId="0">
      <selection activeCell="L53" sqref="L53"/>
    </sheetView>
  </sheetViews>
  <sheetFormatPr defaultColWidth="8.85546875" defaultRowHeight="15"/>
  <cols>
    <col min="1" max="1" width="7.42578125" customWidth="1"/>
    <col min="2" max="2" width="5.85546875" customWidth="1"/>
    <col min="3" max="3" width="9.7109375" customWidth="1"/>
    <col min="4" max="4" width="10.28515625" customWidth="1"/>
    <col min="5" max="5" width="9.28515625" customWidth="1"/>
    <col min="6" max="6" width="4.85546875" customWidth="1"/>
    <col min="7" max="7" width="14.7109375" customWidth="1"/>
    <col min="8" max="8" width="13" customWidth="1"/>
    <col min="9" max="9" width="14.28515625" customWidth="1"/>
    <col min="10" max="10" width="13.140625" customWidth="1"/>
    <col min="11" max="11" width="13.85546875" customWidth="1"/>
    <col min="12" max="12" width="16.42578125" customWidth="1"/>
    <col min="13" max="13" width="13.140625" customWidth="1"/>
  </cols>
  <sheetData>
    <row r="1" spans="1:13" ht="23.25">
      <c r="A1" s="216"/>
      <c r="B1" s="216"/>
      <c r="C1" s="216"/>
      <c r="D1" s="216"/>
      <c r="E1" s="216"/>
      <c r="F1" s="216"/>
      <c r="G1" s="216"/>
      <c r="H1" s="533" t="s">
        <v>487</v>
      </c>
      <c r="I1" s="533"/>
      <c r="J1" s="533"/>
      <c r="K1" s="533"/>
      <c r="L1" s="438"/>
      <c r="M1" s="438"/>
    </row>
    <row r="2" spans="1:13" ht="18.75">
      <c r="A2" s="216"/>
      <c r="B2" s="216"/>
      <c r="C2" s="216"/>
      <c r="D2" s="216"/>
      <c r="E2" s="216"/>
      <c r="F2" s="216"/>
      <c r="G2" s="216"/>
      <c r="H2" s="534" t="s">
        <v>1</v>
      </c>
      <c r="I2" s="534"/>
      <c r="J2" s="534"/>
      <c r="K2" s="534"/>
      <c r="L2" s="439"/>
      <c r="M2" s="439"/>
    </row>
    <row r="3" spans="1:13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6"/>
      <c r="L3" s="216"/>
      <c r="M3" s="216"/>
    </row>
    <row r="4" spans="1:13" ht="18.75">
      <c r="A4" s="216"/>
      <c r="B4" s="216"/>
      <c r="C4" s="216"/>
      <c r="D4" s="218"/>
      <c r="E4" s="216"/>
      <c r="F4" s="216"/>
      <c r="G4" s="284"/>
      <c r="H4" s="284"/>
      <c r="I4" s="284"/>
      <c r="J4" s="284"/>
      <c r="K4" s="542" t="s">
        <v>2</v>
      </c>
      <c r="L4" s="542"/>
      <c r="M4" s="542"/>
    </row>
    <row r="5" spans="1:13" ht="39.75" customHeight="1">
      <c r="A5" s="216" t="s">
        <v>3</v>
      </c>
      <c r="B5" s="216"/>
      <c r="C5" s="211"/>
      <c r="D5" s="211"/>
      <c r="E5" s="211"/>
      <c r="F5" s="211"/>
      <c r="G5" s="312"/>
      <c r="H5" s="542" t="s">
        <v>4</v>
      </c>
      <c r="I5" s="542"/>
      <c r="J5" s="542"/>
      <c r="K5" s="542" t="s">
        <v>5</v>
      </c>
      <c r="L5" s="542"/>
      <c r="M5" s="542"/>
    </row>
    <row r="6" spans="1:13" ht="60">
      <c r="A6" s="289" t="s">
        <v>6</v>
      </c>
      <c r="B6" s="284"/>
      <c r="C6" s="284"/>
      <c r="D6" s="284"/>
      <c r="E6" s="284"/>
      <c r="F6" s="284"/>
      <c r="G6" s="290" t="s">
        <v>7</v>
      </c>
      <c r="H6" s="290" t="s">
        <v>8</v>
      </c>
      <c r="I6" s="212" t="s">
        <v>9</v>
      </c>
      <c r="J6" s="212" t="s">
        <v>10</v>
      </c>
      <c r="K6" s="212" t="s">
        <v>58</v>
      </c>
      <c r="L6" s="212" t="s">
        <v>147</v>
      </c>
      <c r="M6" s="290" t="s">
        <v>59</v>
      </c>
    </row>
    <row r="7" spans="1:13" ht="13.5" customHeight="1">
      <c r="A7" s="291" t="s">
        <v>13</v>
      </c>
      <c r="B7" s="284"/>
      <c r="C7" s="284"/>
      <c r="D7" s="284"/>
      <c r="E7" s="284"/>
      <c r="F7" s="284"/>
      <c r="G7" s="292"/>
      <c r="H7" s="292"/>
      <c r="I7" s="292"/>
      <c r="J7" s="292"/>
      <c r="K7" s="284"/>
      <c r="L7" s="284"/>
      <c r="M7" s="284"/>
    </row>
    <row r="8" spans="1:13" ht="15" customHeight="1">
      <c r="A8" s="284"/>
      <c r="B8" s="313" t="s">
        <v>14</v>
      </c>
      <c r="C8" s="284"/>
      <c r="D8" s="284"/>
      <c r="E8" s="284"/>
      <c r="F8" s="284"/>
      <c r="G8" s="487"/>
      <c r="H8" s="487"/>
      <c r="I8" s="487"/>
      <c r="J8" s="487"/>
      <c r="K8" s="488"/>
      <c r="L8" s="488"/>
      <c r="M8" s="488"/>
    </row>
    <row r="9" spans="1:13" ht="15" customHeight="1">
      <c r="A9" s="284"/>
      <c r="B9" s="284"/>
      <c r="C9" s="284" t="s">
        <v>15</v>
      </c>
      <c r="D9" s="284"/>
      <c r="E9" s="284"/>
      <c r="F9" s="254"/>
      <c r="G9" s="489">
        <v>-7177908</v>
      </c>
      <c r="H9" s="490">
        <v>1408912</v>
      </c>
      <c r="I9" s="487">
        <v>910763</v>
      </c>
      <c r="J9" s="487"/>
      <c r="K9" s="487">
        <f>SUM(G9:J9)</f>
        <v>-4858233</v>
      </c>
      <c r="L9" s="487"/>
      <c r="M9" s="487">
        <f t="shared" ref="M9:M18" si="0">SUM(K9:L9)</f>
        <v>-4858233</v>
      </c>
    </row>
    <row r="10" spans="1:13" ht="15" customHeight="1">
      <c r="A10" s="284"/>
      <c r="B10" s="284"/>
      <c r="C10" s="284" t="s">
        <v>16</v>
      </c>
      <c r="D10" s="284"/>
      <c r="E10" s="284"/>
      <c r="F10" s="254"/>
      <c r="G10" s="491">
        <v>-5269357</v>
      </c>
      <c r="H10" s="490">
        <v>10110</v>
      </c>
      <c r="I10" s="487">
        <v>1340430</v>
      </c>
      <c r="J10" s="487">
        <v>50000</v>
      </c>
      <c r="K10" s="487">
        <f t="shared" ref="K10:K18" si="1">SUM(G10:J10)</f>
        <v>-3868817</v>
      </c>
      <c r="L10" s="487"/>
      <c r="M10" s="487">
        <f t="shared" si="0"/>
        <v>-3868817</v>
      </c>
    </row>
    <row r="11" spans="1:13" ht="13.5" customHeight="1">
      <c r="A11" s="284"/>
      <c r="B11" s="284"/>
      <c r="C11" s="284" t="s">
        <v>17</v>
      </c>
      <c r="D11" s="284"/>
      <c r="E11" s="284"/>
      <c r="F11" s="254"/>
      <c r="G11" s="492">
        <v>-10615442</v>
      </c>
      <c r="H11" s="490"/>
      <c r="I11" s="487">
        <v>2881068</v>
      </c>
      <c r="J11" s="487">
        <v>1504912</v>
      </c>
      <c r="K11" s="487">
        <f t="shared" si="1"/>
        <v>-6229462</v>
      </c>
      <c r="L11" s="487"/>
      <c r="M11" s="487">
        <f t="shared" si="0"/>
        <v>-6229462</v>
      </c>
    </row>
    <row r="12" spans="1:13" ht="14.25" customHeight="1">
      <c r="A12" s="284"/>
      <c r="B12" s="284"/>
      <c r="C12" s="284" t="s">
        <v>92</v>
      </c>
      <c r="D12" s="284"/>
      <c r="E12" s="284"/>
      <c r="F12" s="254"/>
      <c r="G12" s="493">
        <v>-3916814</v>
      </c>
      <c r="H12" s="490">
        <v>1346585</v>
      </c>
      <c r="I12" s="487">
        <v>167228</v>
      </c>
      <c r="J12" s="487"/>
      <c r="K12" s="487">
        <f t="shared" si="1"/>
        <v>-2403001</v>
      </c>
      <c r="L12" s="487"/>
      <c r="M12" s="487">
        <f t="shared" si="0"/>
        <v>-2403001</v>
      </c>
    </row>
    <row r="13" spans="1:13" ht="14.25" customHeight="1">
      <c r="A13" s="284"/>
      <c r="B13" s="284"/>
      <c r="C13" s="284" t="s">
        <v>20</v>
      </c>
      <c r="D13" s="284"/>
      <c r="E13" s="284"/>
      <c r="F13" s="254"/>
      <c r="G13" s="494">
        <v>-2211677</v>
      </c>
      <c r="H13" s="490">
        <v>57032</v>
      </c>
      <c r="I13" s="487">
        <v>81586</v>
      </c>
      <c r="J13" s="487">
        <v>387654</v>
      </c>
      <c r="K13" s="487">
        <f t="shared" si="1"/>
        <v>-1685405</v>
      </c>
      <c r="L13" s="487"/>
      <c r="M13" s="487">
        <f t="shared" si="0"/>
        <v>-1685405</v>
      </c>
    </row>
    <row r="14" spans="1:13" ht="14.25" customHeight="1">
      <c r="A14" s="284"/>
      <c r="B14" s="284"/>
      <c r="C14" s="284" t="s">
        <v>19</v>
      </c>
      <c r="D14" s="284"/>
      <c r="E14" s="284"/>
      <c r="F14" s="254"/>
      <c r="G14" s="495">
        <v>-5544190</v>
      </c>
      <c r="H14" s="490">
        <v>280750</v>
      </c>
      <c r="I14" s="487">
        <v>4245875</v>
      </c>
      <c r="J14" s="487"/>
      <c r="K14" s="487">
        <f t="shared" si="1"/>
        <v>-1017565</v>
      </c>
      <c r="L14" s="487"/>
      <c r="M14" s="487">
        <f t="shared" si="0"/>
        <v>-1017565</v>
      </c>
    </row>
    <row r="15" spans="1:13" ht="14.25" customHeight="1">
      <c r="A15" s="284"/>
      <c r="B15" s="284"/>
      <c r="C15" s="284" t="s">
        <v>283</v>
      </c>
      <c r="D15" s="284"/>
      <c r="E15" s="284"/>
      <c r="F15" s="254"/>
      <c r="G15" s="493">
        <v>-435461</v>
      </c>
      <c r="H15" s="490"/>
      <c r="I15" s="487">
        <v>443511</v>
      </c>
      <c r="J15" s="487"/>
      <c r="K15" s="487">
        <f t="shared" si="1"/>
        <v>8050</v>
      </c>
      <c r="L15" s="487"/>
      <c r="M15" s="487">
        <f t="shared" si="0"/>
        <v>8050</v>
      </c>
    </row>
    <row r="16" spans="1:13" ht="15" customHeight="1">
      <c r="A16" s="284"/>
      <c r="B16" s="284"/>
      <c r="C16" s="284" t="s">
        <v>18</v>
      </c>
      <c r="D16" s="284"/>
      <c r="E16" s="284"/>
      <c r="F16" s="254"/>
      <c r="G16" s="496">
        <v>-242924</v>
      </c>
      <c r="H16" s="490"/>
      <c r="I16" s="487"/>
      <c r="J16" s="487"/>
      <c r="K16" s="487">
        <f t="shared" si="1"/>
        <v>-242924</v>
      </c>
      <c r="L16" s="487"/>
      <c r="M16" s="487">
        <f t="shared" si="0"/>
        <v>-242924</v>
      </c>
    </row>
    <row r="17" spans="1:13" ht="13.5" customHeight="1">
      <c r="A17" s="284"/>
      <c r="B17" s="284"/>
      <c r="C17" s="284" t="s">
        <v>21</v>
      </c>
      <c r="D17" s="284"/>
      <c r="E17" s="284"/>
      <c r="F17" s="254"/>
      <c r="G17" s="497">
        <v>-700492</v>
      </c>
      <c r="H17" s="490"/>
      <c r="I17" s="487"/>
      <c r="J17" s="487"/>
      <c r="K17" s="487">
        <f t="shared" si="1"/>
        <v>-700492</v>
      </c>
      <c r="L17" s="487"/>
      <c r="M17" s="487">
        <f t="shared" si="0"/>
        <v>-700492</v>
      </c>
    </row>
    <row r="18" spans="1:13" ht="12" customHeight="1">
      <c r="A18" s="284"/>
      <c r="B18" s="284"/>
      <c r="C18" s="284" t="s">
        <v>488</v>
      </c>
      <c r="D18" s="284"/>
      <c r="E18" s="284"/>
      <c r="F18" s="254"/>
      <c r="G18" s="497">
        <v>-20475</v>
      </c>
      <c r="H18" s="498"/>
      <c r="I18" s="488"/>
      <c r="J18" s="488"/>
      <c r="K18" s="487">
        <f t="shared" si="1"/>
        <v>-20475</v>
      </c>
      <c r="L18" s="488"/>
      <c r="M18" s="488">
        <f t="shared" si="0"/>
        <v>-20475</v>
      </c>
    </row>
    <row r="19" spans="1:13">
      <c r="A19" s="284"/>
      <c r="B19" s="284"/>
      <c r="C19" s="284"/>
      <c r="D19" s="284"/>
      <c r="E19" s="284"/>
      <c r="F19" s="254"/>
      <c r="G19" s="499"/>
      <c r="H19" s="499"/>
      <c r="I19" s="500"/>
      <c r="J19" s="500"/>
      <c r="K19" s="500"/>
      <c r="L19" s="500"/>
      <c r="M19" s="500"/>
    </row>
    <row r="20" spans="1:13" ht="15.75" customHeight="1">
      <c r="A20" s="284"/>
      <c r="B20" s="284"/>
      <c r="C20" s="284"/>
      <c r="D20" s="256" t="s">
        <v>22</v>
      </c>
      <c r="E20" s="256"/>
      <c r="F20" s="303"/>
      <c r="G20" s="501">
        <f>SUM(G9:G18)</f>
        <v>-36134740</v>
      </c>
      <c r="H20" s="501">
        <f>SUM(H9:H18)</f>
        <v>3103389</v>
      </c>
      <c r="I20" s="501">
        <f>SUM(I9:I18)</f>
        <v>10070461</v>
      </c>
      <c r="J20" s="501">
        <f>SUM(J9:J18)</f>
        <v>1942566</v>
      </c>
      <c r="K20" s="502">
        <f>SUM(K9:K18)</f>
        <v>-21018324</v>
      </c>
      <c r="L20" s="502"/>
      <c r="M20" s="502">
        <f>SUM(M9:M18)</f>
        <v>-21018324</v>
      </c>
    </row>
    <row r="21" spans="1:13">
      <c r="A21" s="284"/>
      <c r="B21" s="284"/>
      <c r="C21" s="284"/>
      <c r="D21" s="291"/>
      <c r="E21" s="291"/>
      <c r="F21" s="304"/>
      <c r="G21" s="503"/>
      <c r="H21" s="503"/>
      <c r="I21" s="503"/>
      <c r="J21" s="503"/>
      <c r="K21" s="503"/>
      <c r="L21" s="503"/>
      <c r="M21" s="503"/>
    </row>
    <row r="22" spans="1:13" ht="14.25" customHeight="1">
      <c r="A22" s="284"/>
      <c r="B22" s="313" t="s">
        <v>116</v>
      </c>
      <c r="C22" s="284"/>
      <c r="D22" s="291"/>
      <c r="E22" s="291"/>
      <c r="F22" s="304"/>
      <c r="G22" s="503"/>
      <c r="H22" s="503"/>
      <c r="I22" s="503"/>
      <c r="J22" s="503"/>
      <c r="K22" s="503"/>
      <c r="L22" s="503"/>
      <c r="M22" s="503"/>
    </row>
    <row r="23" spans="1:13" ht="13.5" customHeight="1">
      <c r="A23" s="284"/>
      <c r="B23" s="284"/>
      <c r="C23" s="284" t="s">
        <v>489</v>
      </c>
      <c r="D23" s="291"/>
      <c r="E23" s="291"/>
      <c r="F23" s="304"/>
      <c r="G23" s="504">
        <v>-4333311</v>
      </c>
      <c r="H23" s="505">
        <v>3856466</v>
      </c>
      <c r="I23" s="505"/>
      <c r="J23" s="505"/>
      <c r="K23" s="505"/>
      <c r="L23" s="505">
        <f>SUM(G23:J23)</f>
        <v>-476845</v>
      </c>
      <c r="M23" s="505">
        <f>SUM(L23)</f>
        <v>-476845</v>
      </c>
    </row>
    <row r="24" spans="1:13" ht="13.5" customHeight="1">
      <c r="A24" s="284"/>
      <c r="B24" s="284"/>
      <c r="C24" s="284" t="s">
        <v>490</v>
      </c>
      <c r="D24" s="291"/>
      <c r="E24" s="291"/>
      <c r="F24" s="304"/>
      <c r="G24" s="506">
        <v>-337925</v>
      </c>
      <c r="H24" s="505">
        <v>138112</v>
      </c>
      <c r="I24" s="505"/>
      <c r="J24" s="505"/>
      <c r="K24" s="505"/>
      <c r="L24" s="505">
        <f t="shared" ref="L24:L25" si="2">SUM(G24:J24)</f>
        <v>-199813</v>
      </c>
      <c r="M24" s="505">
        <f>SUM(L24)</f>
        <v>-199813</v>
      </c>
    </row>
    <row r="25" spans="1:13" ht="15" customHeight="1">
      <c r="A25" s="284"/>
      <c r="B25" s="284"/>
      <c r="C25" s="284" t="s">
        <v>491</v>
      </c>
      <c r="D25" s="291"/>
      <c r="E25" s="291"/>
      <c r="F25" s="304"/>
      <c r="G25" s="506">
        <v>-734357</v>
      </c>
      <c r="H25" s="505">
        <v>146440</v>
      </c>
      <c r="I25" s="505">
        <v>139256</v>
      </c>
      <c r="J25" s="505"/>
      <c r="K25" s="505"/>
      <c r="L25" s="505">
        <f t="shared" si="2"/>
        <v>-448661</v>
      </c>
      <c r="M25" s="505">
        <f>SUM(K25:L25)</f>
        <v>-448661</v>
      </c>
    </row>
    <row r="26" spans="1:13">
      <c r="A26" s="284"/>
      <c r="B26" s="284"/>
      <c r="C26" s="284"/>
      <c r="D26" s="291"/>
      <c r="E26" s="291"/>
      <c r="F26" s="304"/>
      <c r="G26" s="507"/>
      <c r="H26" s="507"/>
      <c r="I26" s="507"/>
      <c r="J26" s="507"/>
      <c r="K26" s="507"/>
      <c r="L26" s="507"/>
      <c r="M26" s="507"/>
    </row>
    <row r="27" spans="1:13" ht="15" customHeight="1">
      <c r="A27" s="284"/>
      <c r="B27" s="284"/>
      <c r="C27" s="284"/>
      <c r="D27" s="256" t="s">
        <v>232</v>
      </c>
      <c r="E27" s="256"/>
      <c r="F27" s="303"/>
      <c r="G27" s="501">
        <f t="shared" ref="G27:M27" si="3">SUM(G23:G25)</f>
        <v>-5405593</v>
      </c>
      <c r="H27" s="501">
        <f t="shared" si="3"/>
        <v>4141018</v>
      </c>
      <c r="I27" s="501">
        <f t="shared" si="3"/>
        <v>139256</v>
      </c>
      <c r="J27" s="501">
        <f t="shared" si="3"/>
        <v>0</v>
      </c>
      <c r="K27" s="502">
        <f t="shared" si="3"/>
        <v>0</v>
      </c>
      <c r="L27" s="502">
        <f>SUM(L23:L25)</f>
        <v>-1125319</v>
      </c>
      <c r="M27" s="502">
        <f t="shared" si="3"/>
        <v>-1125319</v>
      </c>
    </row>
    <row r="28" spans="1:13">
      <c r="A28" s="284"/>
      <c r="B28" s="284"/>
      <c r="C28" s="284"/>
      <c r="D28" s="291"/>
      <c r="E28" s="291"/>
      <c r="F28" s="304"/>
      <c r="G28" s="503"/>
      <c r="H28" s="503"/>
      <c r="I28" s="503"/>
      <c r="J28" s="503"/>
      <c r="K28" s="503"/>
      <c r="L28" s="503"/>
      <c r="M28" s="503"/>
    </row>
    <row r="29" spans="1:13" ht="13.5" customHeight="1">
      <c r="A29" s="284"/>
      <c r="B29" s="284"/>
      <c r="C29" s="284"/>
      <c r="D29" s="256" t="s">
        <v>67</v>
      </c>
      <c r="E29" s="256"/>
      <c r="F29" s="303"/>
      <c r="G29" s="501">
        <f>G27+G20</f>
        <v>-41540333</v>
      </c>
      <c r="H29" s="501">
        <f>H27+H20</f>
        <v>7244407</v>
      </c>
      <c r="I29" s="501">
        <f>SUM(I20+I27)</f>
        <v>10209717</v>
      </c>
      <c r="J29" s="501">
        <f>SUM(J20+J27)</f>
        <v>1942566</v>
      </c>
      <c r="K29" s="502">
        <f>K27+K20</f>
        <v>-21018324</v>
      </c>
      <c r="L29" s="502">
        <f>L27+L20</f>
        <v>-1125319</v>
      </c>
      <c r="M29" s="502">
        <f>M27+M20</f>
        <v>-22143643</v>
      </c>
    </row>
    <row r="30" spans="1:13">
      <c r="A30" s="284"/>
      <c r="B30" s="284"/>
      <c r="C30" s="284"/>
      <c r="D30" s="291"/>
      <c r="E30" s="291"/>
      <c r="F30" s="304"/>
      <c r="G30" s="503"/>
      <c r="H30" s="503"/>
      <c r="I30" s="503"/>
      <c r="J30" s="503"/>
      <c r="K30" s="503"/>
      <c r="L30" s="503"/>
      <c r="M30" s="503"/>
    </row>
    <row r="31" spans="1:13">
      <c r="A31" s="284"/>
      <c r="B31" s="284"/>
      <c r="C31" s="284"/>
      <c r="D31" s="291"/>
      <c r="E31" s="291"/>
      <c r="F31" s="304"/>
      <c r="G31" s="503"/>
      <c r="H31" s="503"/>
      <c r="I31" s="503"/>
      <c r="J31" s="503"/>
      <c r="K31" s="503"/>
      <c r="L31" s="503"/>
      <c r="M31" s="503"/>
    </row>
    <row r="32" spans="1:13" ht="15" customHeight="1">
      <c r="A32" s="291"/>
      <c r="B32" s="291"/>
      <c r="C32" s="291"/>
      <c r="D32" s="291"/>
      <c r="E32" s="291" t="s">
        <v>25</v>
      </c>
      <c r="F32" s="304"/>
      <c r="G32" s="508"/>
      <c r="H32" s="508"/>
      <c r="I32" s="508"/>
      <c r="J32" s="508"/>
      <c r="K32" s="487"/>
      <c r="L32" s="487"/>
      <c r="M32" s="487"/>
    </row>
    <row r="33" spans="1:13">
      <c r="A33" s="291"/>
      <c r="B33" s="291"/>
      <c r="C33" s="291"/>
      <c r="D33" s="291"/>
      <c r="E33" s="291"/>
      <c r="F33" s="306" t="s">
        <v>26</v>
      </c>
      <c r="G33" s="508"/>
      <c r="H33" s="508"/>
      <c r="I33" s="508"/>
      <c r="J33" s="508"/>
      <c r="K33" s="487"/>
      <c r="L33" s="487"/>
      <c r="M33" s="487"/>
    </row>
    <row r="34" spans="1:13" ht="13.5" customHeight="1">
      <c r="A34" s="284"/>
      <c r="B34" s="284"/>
      <c r="C34" s="284"/>
      <c r="D34" s="284"/>
      <c r="E34" s="284"/>
      <c r="F34" s="254"/>
      <c r="G34" s="487" t="s">
        <v>47</v>
      </c>
      <c r="H34" s="487"/>
      <c r="I34" s="487"/>
      <c r="J34" s="487"/>
      <c r="K34" s="492">
        <v>7291457</v>
      </c>
      <c r="L34" s="490"/>
      <c r="M34" s="490">
        <f t="shared" ref="M34:M44" si="4">SUM(K34:L34)</f>
        <v>7291457</v>
      </c>
    </row>
    <row r="35" spans="1:13" ht="14.25" customHeight="1">
      <c r="A35" s="284"/>
      <c r="B35" s="284"/>
      <c r="C35" s="284"/>
      <c r="D35" s="284"/>
      <c r="E35" s="284"/>
      <c r="F35" s="254"/>
      <c r="G35" s="487" t="s">
        <v>492</v>
      </c>
      <c r="H35" s="487"/>
      <c r="I35" s="487"/>
      <c r="J35" s="487"/>
      <c r="K35" s="509">
        <v>3518912</v>
      </c>
      <c r="L35" s="490"/>
      <c r="M35" s="490">
        <f t="shared" si="4"/>
        <v>3518912</v>
      </c>
    </row>
    <row r="36" spans="1:13" ht="12.75" customHeight="1">
      <c r="A36" s="284"/>
      <c r="B36" s="284"/>
      <c r="C36" s="284"/>
      <c r="D36" s="284"/>
      <c r="E36" s="284"/>
      <c r="F36" s="254"/>
      <c r="G36" s="487" t="s">
        <v>493</v>
      </c>
      <c r="H36" s="487"/>
      <c r="I36" s="487"/>
      <c r="J36" s="487"/>
      <c r="K36" s="509">
        <v>620985</v>
      </c>
      <c r="L36" s="490"/>
      <c r="M36" s="490">
        <f t="shared" si="4"/>
        <v>620985</v>
      </c>
    </row>
    <row r="37" spans="1:13" ht="16.5" customHeight="1">
      <c r="A37" s="284"/>
      <c r="B37" s="284"/>
      <c r="C37" s="284"/>
      <c r="D37" s="284"/>
      <c r="E37" s="284"/>
      <c r="F37" s="254"/>
      <c r="G37" s="487" t="s">
        <v>95</v>
      </c>
      <c r="H37" s="487"/>
      <c r="I37" s="487"/>
      <c r="J37" s="487"/>
      <c r="K37" s="495">
        <v>985544</v>
      </c>
      <c r="L37" s="490"/>
      <c r="M37" s="490">
        <f t="shared" si="4"/>
        <v>985544</v>
      </c>
    </row>
    <row r="38" spans="1:13">
      <c r="A38" s="284"/>
      <c r="B38" s="284"/>
      <c r="C38" s="284"/>
      <c r="D38" s="284"/>
      <c r="E38" s="284"/>
      <c r="F38" s="254"/>
      <c r="G38" s="487" t="s">
        <v>494</v>
      </c>
      <c r="H38" s="487"/>
      <c r="I38" s="487"/>
      <c r="J38" s="487"/>
      <c r="K38" s="495">
        <v>67454</v>
      </c>
      <c r="L38" s="490"/>
      <c r="M38" s="490">
        <f t="shared" si="4"/>
        <v>67454</v>
      </c>
    </row>
    <row r="39" spans="1:13" ht="13.5" customHeight="1">
      <c r="A39" s="284"/>
      <c r="B39" s="284"/>
      <c r="C39" s="284"/>
      <c r="D39" s="284"/>
      <c r="E39" s="284"/>
      <c r="F39" s="254" t="s">
        <v>495</v>
      </c>
      <c r="G39" s="487"/>
      <c r="H39" s="487"/>
      <c r="I39" s="487"/>
      <c r="J39" s="487"/>
      <c r="K39" s="510">
        <v>9171434</v>
      </c>
      <c r="L39" s="490"/>
      <c r="M39" s="490">
        <f t="shared" si="4"/>
        <v>9171434</v>
      </c>
    </row>
    <row r="40" spans="1:13" ht="13.5" customHeight="1">
      <c r="A40" s="284"/>
      <c r="B40" s="284"/>
      <c r="C40" s="284"/>
      <c r="D40" s="284"/>
      <c r="E40" s="284"/>
      <c r="F40" s="254" t="s">
        <v>496</v>
      </c>
      <c r="G40" s="487"/>
      <c r="H40" s="487"/>
      <c r="I40" s="487"/>
      <c r="J40" s="487"/>
      <c r="K40" s="511">
        <v>543705</v>
      </c>
      <c r="L40" s="490"/>
      <c r="M40" s="490">
        <f>SUM(K40:L40)</f>
        <v>543705</v>
      </c>
    </row>
    <row r="41" spans="1:13" ht="12" customHeight="1">
      <c r="A41" s="284"/>
      <c r="B41" s="284"/>
      <c r="C41" s="284"/>
      <c r="D41" s="284"/>
      <c r="E41" s="284"/>
      <c r="F41" s="254" t="s">
        <v>497</v>
      </c>
      <c r="G41" s="487"/>
      <c r="H41" s="487"/>
      <c r="I41" s="487"/>
      <c r="J41" s="487"/>
      <c r="K41" s="510">
        <v>208368</v>
      </c>
      <c r="L41" s="490">
        <v>26548</v>
      </c>
      <c r="M41" s="490">
        <f t="shared" si="4"/>
        <v>234916</v>
      </c>
    </row>
    <row r="42" spans="1:13">
      <c r="A42" s="284"/>
      <c r="B42" s="284"/>
      <c r="C42" s="284"/>
      <c r="D42" s="284"/>
      <c r="E42" s="284"/>
      <c r="F42" s="254" t="s">
        <v>498</v>
      </c>
      <c r="G42" s="487"/>
      <c r="H42" s="487"/>
      <c r="I42" s="487"/>
      <c r="J42" s="487"/>
      <c r="K42" s="487"/>
      <c r="L42" s="490">
        <v>1067</v>
      </c>
      <c r="M42" s="490">
        <f t="shared" si="4"/>
        <v>1067</v>
      </c>
    </row>
    <row r="43" spans="1:13" ht="12" customHeight="1">
      <c r="A43" s="284"/>
      <c r="B43" s="284"/>
      <c r="C43" s="284"/>
      <c r="D43" s="284"/>
      <c r="E43" s="284"/>
      <c r="F43" s="254" t="s">
        <v>499</v>
      </c>
      <c r="G43" s="487"/>
      <c r="H43" s="487"/>
      <c r="I43" s="487"/>
      <c r="J43" s="487"/>
      <c r="K43" s="510">
        <v>500000</v>
      </c>
      <c r="L43" s="490"/>
      <c r="M43" s="490">
        <f t="shared" si="4"/>
        <v>500000</v>
      </c>
    </row>
    <row r="44" spans="1:13">
      <c r="A44" s="284"/>
      <c r="B44" s="284"/>
      <c r="C44" s="284"/>
      <c r="D44" s="284"/>
      <c r="E44" s="284"/>
      <c r="F44" s="254" t="s">
        <v>500</v>
      </c>
      <c r="G44" s="487"/>
      <c r="H44" s="487"/>
      <c r="I44" s="487"/>
      <c r="J44" s="487"/>
      <c r="K44" s="512">
        <v>-1661385</v>
      </c>
      <c r="L44" s="490">
        <v>1661385</v>
      </c>
      <c r="M44" s="490">
        <f t="shared" si="4"/>
        <v>0</v>
      </c>
    </row>
    <row r="45" spans="1:13">
      <c r="A45" s="284"/>
      <c r="B45" s="284"/>
      <c r="C45" s="284"/>
      <c r="D45" s="284"/>
      <c r="E45" s="284"/>
      <c r="F45" s="254"/>
      <c r="G45" s="487"/>
      <c r="H45" s="487"/>
      <c r="I45" s="487"/>
      <c r="J45" s="487"/>
      <c r="K45" s="500"/>
      <c r="L45" s="500"/>
      <c r="M45" s="500"/>
    </row>
    <row r="46" spans="1:13" ht="15" customHeight="1">
      <c r="A46" s="284"/>
      <c r="B46" s="284"/>
      <c r="C46" s="284"/>
      <c r="D46" s="284"/>
      <c r="E46" s="284"/>
      <c r="F46" s="303" t="s">
        <v>501</v>
      </c>
      <c r="G46" s="501"/>
      <c r="H46" s="501"/>
      <c r="I46" s="501"/>
      <c r="J46" s="501"/>
      <c r="K46" s="501">
        <f>SUM(K34:K44)</f>
        <v>21246474</v>
      </c>
      <c r="L46" s="501">
        <f>SUM(L34:L44)</f>
        <v>1689000</v>
      </c>
      <c r="M46" s="501">
        <f>SUM(M34:M44)</f>
        <v>22935474</v>
      </c>
    </row>
    <row r="47" spans="1:13">
      <c r="A47" s="284"/>
      <c r="B47" s="284"/>
      <c r="C47" s="284"/>
      <c r="D47" s="284"/>
      <c r="E47" s="284"/>
      <c r="F47" s="254"/>
      <c r="G47" s="487"/>
      <c r="H47" s="487"/>
      <c r="I47" s="487"/>
      <c r="J47" s="487"/>
      <c r="K47" s="487"/>
      <c r="L47" s="487"/>
      <c r="M47" s="487"/>
    </row>
    <row r="48" spans="1:13" ht="12.75" customHeight="1">
      <c r="A48" s="284"/>
      <c r="B48" s="284"/>
      <c r="C48" s="284"/>
      <c r="D48" s="284"/>
      <c r="E48" s="284"/>
      <c r="F48" s="303" t="s">
        <v>171</v>
      </c>
      <c r="G48" s="501"/>
      <c r="H48" s="501"/>
      <c r="I48" s="501"/>
      <c r="J48" s="501"/>
      <c r="K48" s="501">
        <f>K46+K20</f>
        <v>228150</v>
      </c>
      <c r="L48" s="501">
        <f>L46+L29</f>
        <v>563681</v>
      </c>
      <c r="M48" s="501">
        <f>M46+M29</f>
        <v>791831</v>
      </c>
    </row>
    <row r="49" spans="1:13">
      <c r="A49" s="284"/>
      <c r="B49" s="284"/>
      <c r="C49" s="284"/>
      <c r="D49" s="284"/>
      <c r="E49" s="284"/>
      <c r="F49" s="304"/>
      <c r="G49" s="503"/>
      <c r="H49" s="503"/>
      <c r="I49" s="503"/>
      <c r="J49" s="503"/>
      <c r="K49" s="503"/>
      <c r="L49" s="503"/>
      <c r="M49" s="503"/>
    </row>
    <row r="50" spans="1:13" ht="13.5" customHeight="1">
      <c r="A50" s="284"/>
      <c r="B50" s="284"/>
      <c r="C50" s="284"/>
      <c r="D50" s="310" t="s">
        <v>486</v>
      </c>
      <c r="E50" s="310"/>
      <c r="F50" s="311"/>
      <c r="G50" s="513"/>
      <c r="H50" s="513"/>
      <c r="I50" s="514"/>
      <c r="J50" s="514"/>
      <c r="K50" s="515">
        <v>100032791</v>
      </c>
      <c r="L50" s="515">
        <v>16851125</v>
      </c>
      <c r="M50" s="515">
        <f>SUM(K50:L50)</f>
        <v>116883916</v>
      </c>
    </row>
    <row r="51" spans="1:13">
      <c r="A51" s="284"/>
      <c r="B51" s="284"/>
      <c r="C51" s="284"/>
      <c r="D51" s="284"/>
      <c r="E51" s="284"/>
      <c r="F51" s="254"/>
      <c r="G51" s="487"/>
      <c r="H51" s="487"/>
      <c r="I51" s="487"/>
      <c r="J51" s="487"/>
      <c r="K51" s="487"/>
      <c r="L51" s="487"/>
      <c r="M51" s="487"/>
    </row>
    <row r="52" spans="1:13" ht="16.5" customHeight="1">
      <c r="A52" s="284"/>
      <c r="B52" s="284"/>
      <c r="C52" s="284"/>
      <c r="D52" s="286" t="s">
        <v>55</v>
      </c>
      <c r="E52" s="286"/>
      <c r="F52" s="287"/>
      <c r="G52" s="516"/>
      <c r="H52" s="516"/>
      <c r="I52" s="517"/>
      <c r="J52" s="517"/>
      <c r="K52" s="518">
        <f>SUM(K50+K48)</f>
        <v>100260941</v>
      </c>
      <c r="L52" s="518">
        <f t="shared" ref="L52:M52" si="5">SUM(L50+L48)</f>
        <v>17414806</v>
      </c>
      <c r="M52" s="518">
        <f t="shared" si="5"/>
        <v>117675747</v>
      </c>
    </row>
    <row r="53" spans="1:13">
      <c r="G53" s="379"/>
      <c r="H53" s="379"/>
      <c r="I53" s="379"/>
      <c r="J53" s="379"/>
      <c r="K53" s="379"/>
      <c r="L53" s="379"/>
      <c r="M53" s="379"/>
    </row>
    <row r="54" spans="1:13">
      <c r="G54" s="379"/>
      <c r="H54" s="379"/>
      <c r="I54" s="379"/>
      <c r="J54" s="379"/>
      <c r="K54" s="379"/>
      <c r="L54" s="379"/>
      <c r="M54" s="379"/>
    </row>
  </sheetData>
  <mergeCells count="5">
    <mergeCell ref="H1:K1"/>
    <mergeCell ref="H2:K2"/>
    <mergeCell ref="K4:M4"/>
    <mergeCell ref="H5:J5"/>
    <mergeCell ref="K5:M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60"/>
  <sheetViews>
    <sheetView workbookViewId="0">
      <selection activeCell="G21" sqref="G21"/>
    </sheetView>
  </sheetViews>
  <sheetFormatPr defaultColWidth="8.85546875" defaultRowHeight="15"/>
  <cols>
    <col min="1" max="1" width="5.28515625" customWidth="1"/>
    <col min="2" max="2" width="7.28515625" customWidth="1"/>
    <col min="3" max="3" width="14.42578125" customWidth="1"/>
    <col min="4" max="4" width="8.7109375" customWidth="1"/>
    <col min="5" max="5" width="4.28515625" customWidth="1"/>
    <col min="6" max="6" width="7.28515625" customWidth="1"/>
    <col min="7" max="7" width="15.85546875" customWidth="1"/>
    <col min="8" max="8" width="18.7109375" customWidth="1"/>
    <col min="9" max="9" width="21.7109375" customWidth="1"/>
    <col min="10" max="10" width="24.28515625" customWidth="1"/>
    <col min="11" max="11" width="20.7109375" customWidth="1"/>
    <col min="12" max="12" width="19" customWidth="1"/>
    <col min="13" max="13" width="20.140625" customWidth="1"/>
    <col min="14" max="14" width="20.42578125" customWidth="1"/>
  </cols>
  <sheetData>
    <row r="1" spans="1:14" ht="23.25">
      <c r="A1" s="216"/>
      <c r="B1" s="216"/>
      <c r="C1" s="216"/>
      <c r="D1" s="216"/>
      <c r="E1" s="216"/>
      <c r="F1" s="216"/>
      <c r="G1" s="216"/>
      <c r="H1" s="533" t="s">
        <v>502</v>
      </c>
      <c r="I1" s="533"/>
      <c r="J1" s="533"/>
      <c r="K1" s="533"/>
      <c r="L1" s="438"/>
      <c r="M1" s="438"/>
      <c r="N1" s="216"/>
    </row>
    <row r="2" spans="1:14" ht="18.75">
      <c r="A2" s="216"/>
      <c r="B2" s="216"/>
      <c r="C2" s="216"/>
      <c r="D2" s="216"/>
      <c r="E2" s="216"/>
      <c r="F2" s="216"/>
      <c r="G2" s="216"/>
      <c r="H2" s="534" t="s">
        <v>1</v>
      </c>
      <c r="I2" s="534"/>
      <c r="J2" s="534"/>
      <c r="K2" s="534"/>
      <c r="L2" s="439"/>
      <c r="M2" s="439"/>
      <c r="N2" s="216"/>
    </row>
    <row r="3" spans="1:14" ht="15.75">
      <c r="A3" s="216"/>
      <c r="B3" s="216"/>
      <c r="C3" s="216"/>
      <c r="D3" s="217"/>
      <c r="E3" s="217"/>
      <c r="F3" s="217"/>
      <c r="G3" s="217"/>
      <c r="H3" s="217"/>
      <c r="I3" s="217"/>
      <c r="J3" s="217"/>
      <c r="K3" s="216"/>
      <c r="L3" s="216"/>
      <c r="M3" s="216"/>
      <c r="N3" s="216"/>
    </row>
    <row r="4" spans="1:14" ht="18.75">
      <c r="A4" s="216"/>
      <c r="B4" s="216"/>
      <c r="C4" s="216"/>
      <c r="D4" s="218"/>
      <c r="E4" s="216"/>
      <c r="F4" s="216"/>
      <c r="G4" s="216"/>
      <c r="H4" s="216"/>
      <c r="I4" s="216"/>
      <c r="J4" s="216"/>
      <c r="K4" s="527" t="s">
        <v>2</v>
      </c>
      <c r="L4" s="527"/>
      <c r="M4" s="527"/>
      <c r="N4" s="527"/>
    </row>
    <row r="5" spans="1:14">
      <c r="A5" s="216" t="s">
        <v>3</v>
      </c>
      <c r="B5" s="216"/>
      <c r="C5" s="211"/>
      <c r="D5" s="211"/>
      <c r="E5" s="211"/>
      <c r="F5" s="211"/>
      <c r="G5" s="211"/>
      <c r="H5" s="527" t="s">
        <v>4</v>
      </c>
      <c r="I5" s="527"/>
      <c r="J5" s="527"/>
      <c r="K5" s="527" t="s">
        <v>5</v>
      </c>
      <c r="L5" s="527"/>
      <c r="M5" s="527"/>
      <c r="N5" s="246"/>
    </row>
    <row r="6" spans="1:14" ht="51.75" customHeight="1">
      <c r="A6" s="289" t="s">
        <v>6</v>
      </c>
      <c r="B6" s="284"/>
      <c r="C6" s="284"/>
      <c r="D6" s="284"/>
      <c r="E6" s="284"/>
      <c r="F6" s="284"/>
      <c r="G6" s="212" t="s">
        <v>7</v>
      </c>
      <c r="H6" s="212" t="s">
        <v>8</v>
      </c>
      <c r="I6" s="212" t="s">
        <v>9</v>
      </c>
      <c r="J6" s="212" t="s">
        <v>10</v>
      </c>
      <c r="K6" s="212" t="s">
        <v>58</v>
      </c>
      <c r="L6" s="212" t="s">
        <v>147</v>
      </c>
      <c r="M6" s="212" t="s">
        <v>59</v>
      </c>
      <c r="N6" s="247" t="s">
        <v>12</v>
      </c>
    </row>
    <row r="7" spans="1:14" ht="18" customHeight="1">
      <c r="A7" s="291" t="s">
        <v>13</v>
      </c>
      <c r="B7" s="284"/>
      <c r="C7" s="284"/>
      <c r="D7" s="284"/>
      <c r="E7" s="284"/>
      <c r="F7" s="284"/>
      <c r="G7" s="292"/>
      <c r="H7" s="292"/>
      <c r="I7" s="292"/>
      <c r="J7" s="292"/>
      <c r="K7" s="284"/>
      <c r="L7" s="284"/>
      <c r="M7" s="284"/>
      <c r="N7" s="284"/>
    </row>
    <row r="8" spans="1:14" ht="14.25" customHeight="1">
      <c r="A8" s="284"/>
      <c r="B8" s="313" t="s">
        <v>14</v>
      </c>
      <c r="C8" s="284"/>
      <c r="D8" s="284"/>
      <c r="E8" s="284"/>
      <c r="F8" s="284"/>
      <c r="G8" s="292"/>
      <c r="H8" s="292"/>
      <c r="I8" s="292"/>
      <c r="J8" s="292"/>
      <c r="K8" s="292"/>
      <c r="L8" s="292"/>
      <c r="M8" s="292"/>
      <c r="N8" s="284"/>
    </row>
    <row r="9" spans="1:14" ht="15.75" customHeight="1">
      <c r="A9" s="284"/>
      <c r="B9" s="284"/>
      <c r="C9" s="284" t="s">
        <v>15</v>
      </c>
      <c r="D9" s="284"/>
      <c r="E9" s="284"/>
      <c r="F9" s="254"/>
      <c r="G9" s="314">
        <v>-24008909</v>
      </c>
      <c r="H9" s="254">
        <v>7612317</v>
      </c>
      <c r="I9" s="254">
        <v>560926</v>
      </c>
      <c r="J9" s="254">
        <v>22907</v>
      </c>
      <c r="K9" s="254">
        <f t="shared" ref="K9:K16" si="0">SUM(G9:J9)</f>
        <v>-15812759</v>
      </c>
      <c r="L9" s="254"/>
      <c r="M9" s="254">
        <f t="shared" ref="M9:M16" si="1">SUM(K9:L9)</f>
        <v>-15812759</v>
      </c>
      <c r="N9" s="284"/>
    </row>
    <row r="10" spans="1:14" ht="17.25" customHeight="1">
      <c r="A10" s="284"/>
      <c r="B10" s="284"/>
      <c r="C10" s="284" t="s">
        <v>16</v>
      </c>
      <c r="D10" s="284"/>
      <c r="E10" s="284"/>
      <c r="F10" s="254"/>
      <c r="G10" s="298">
        <v>-19458275</v>
      </c>
      <c r="H10" s="254">
        <v>2254057</v>
      </c>
      <c r="I10" s="254">
        <v>333132</v>
      </c>
      <c r="J10" s="254">
        <v>2020349</v>
      </c>
      <c r="K10" s="254">
        <f t="shared" si="0"/>
        <v>-14850737</v>
      </c>
      <c r="L10" s="254"/>
      <c r="M10" s="254">
        <f t="shared" si="1"/>
        <v>-14850737</v>
      </c>
      <c r="N10" s="284"/>
    </row>
    <row r="11" spans="1:14" ht="15" customHeight="1">
      <c r="A11" s="284"/>
      <c r="B11" s="284"/>
      <c r="C11" s="284" t="s">
        <v>470</v>
      </c>
      <c r="D11" s="284"/>
      <c r="E11" s="284"/>
      <c r="F11" s="254"/>
      <c r="G11" s="299">
        <v>-39608176</v>
      </c>
      <c r="H11" s="254">
        <v>3208490</v>
      </c>
      <c r="I11" s="254">
        <v>4100803</v>
      </c>
      <c r="J11" s="254">
        <v>3640367</v>
      </c>
      <c r="K11" s="254">
        <f t="shared" si="0"/>
        <v>-28658516</v>
      </c>
      <c r="L11" s="254"/>
      <c r="M11" s="254">
        <f t="shared" si="1"/>
        <v>-28658516</v>
      </c>
      <c r="N11" s="284"/>
    </row>
    <row r="12" spans="1:14" ht="15.75" customHeight="1">
      <c r="A12" s="284"/>
      <c r="B12" s="284"/>
      <c r="C12" s="284" t="s">
        <v>92</v>
      </c>
      <c r="D12" s="284"/>
      <c r="E12" s="284"/>
      <c r="F12" s="254"/>
      <c r="G12" s="308">
        <v>-889591</v>
      </c>
      <c r="H12" s="254">
        <v>1607527</v>
      </c>
      <c r="I12" s="254">
        <v>77111</v>
      </c>
      <c r="J12" s="254">
        <v>2666981</v>
      </c>
      <c r="K12" s="254">
        <f t="shared" si="0"/>
        <v>3462028</v>
      </c>
      <c r="L12" s="254"/>
      <c r="M12" s="254">
        <f t="shared" si="1"/>
        <v>3462028</v>
      </c>
      <c r="N12" s="284"/>
    </row>
    <row r="13" spans="1:14" ht="15.75" customHeight="1">
      <c r="A13" s="284"/>
      <c r="B13" s="284"/>
      <c r="C13" s="284" t="s">
        <v>19</v>
      </c>
      <c r="D13" s="284"/>
      <c r="E13" s="284"/>
      <c r="F13" s="254"/>
      <c r="G13" s="300">
        <v>-10989796</v>
      </c>
      <c r="H13" s="254">
        <v>284709</v>
      </c>
      <c r="I13" s="254">
        <v>3038145</v>
      </c>
      <c r="J13" s="254">
        <v>4118</v>
      </c>
      <c r="K13" s="254">
        <f t="shared" si="0"/>
        <v>-7662824</v>
      </c>
      <c r="L13" s="254"/>
      <c r="M13" s="254">
        <f t="shared" si="1"/>
        <v>-7662824</v>
      </c>
      <c r="N13" s="284"/>
    </row>
    <row r="14" spans="1:14" ht="15" customHeight="1">
      <c r="A14" s="284"/>
      <c r="B14" s="284"/>
      <c r="C14" s="284" t="s">
        <v>20</v>
      </c>
      <c r="D14" s="284"/>
      <c r="E14" s="284"/>
      <c r="F14" s="254"/>
      <c r="G14" s="301">
        <v>-10762156</v>
      </c>
      <c r="H14" s="254">
        <v>23397</v>
      </c>
      <c r="I14" s="254">
        <v>296931</v>
      </c>
      <c r="J14" s="254"/>
      <c r="K14" s="254">
        <f t="shared" si="0"/>
        <v>-10441828</v>
      </c>
      <c r="L14" s="254"/>
      <c r="M14" s="254">
        <f t="shared" si="1"/>
        <v>-10441828</v>
      </c>
      <c r="N14" s="284"/>
    </row>
    <row r="15" spans="1:14" ht="15.75" customHeight="1">
      <c r="A15" s="284"/>
      <c r="B15" s="284"/>
      <c r="C15" s="284" t="s">
        <v>44</v>
      </c>
      <c r="D15" s="284"/>
      <c r="E15" s="284"/>
      <c r="F15" s="254"/>
      <c r="G15" s="302">
        <v>-1313786</v>
      </c>
      <c r="H15" s="254"/>
      <c r="I15" s="254">
        <v>361434</v>
      </c>
      <c r="J15" s="254">
        <v>919412</v>
      </c>
      <c r="K15" s="254">
        <f t="shared" si="0"/>
        <v>-32940</v>
      </c>
      <c r="L15" s="254"/>
      <c r="M15" s="254">
        <f t="shared" si="1"/>
        <v>-32940</v>
      </c>
      <c r="N15" s="284"/>
    </row>
    <row r="16" spans="1:14" ht="14.25" customHeight="1">
      <c r="A16" s="284"/>
      <c r="B16" s="284"/>
      <c r="C16" s="284" t="s">
        <v>21</v>
      </c>
      <c r="D16" s="284"/>
      <c r="E16" s="284"/>
      <c r="F16" s="254"/>
      <c r="G16" s="294">
        <v>-3252376</v>
      </c>
      <c r="H16" s="254"/>
      <c r="I16" s="254"/>
      <c r="J16" s="254"/>
      <c r="K16" s="254">
        <f t="shared" si="0"/>
        <v>-3252376</v>
      </c>
      <c r="L16" s="254"/>
      <c r="M16" s="254">
        <f t="shared" si="1"/>
        <v>-3252376</v>
      </c>
      <c r="N16" s="284"/>
    </row>
    <row r="17" spans="1:14">
      <c r="A17" s="284"/>
      <c r="B17" s="284"/>
      <c r="C17" s="284"/>
      <c r="D17" s="284"/>
      <c r="E17" s="284"/>
      <c r="F17" s="254"/>
      <c r="G17" s="254"/>
      <c r="H17" s="254"/>
      <c r="I17" s="254"/>
      <c r="J17" s="254"/>
      <c r="K17" s="254"/>
      <c r="L17" s="254"/>
      <c r="M17" s="254"/>
      <c r="N17" s="284"/>
    </row>
    <row r="18" spans="1:14" ht="15" customHeight="1">
      <c r="A18" s="284"/>
      <c r="B18" s="284"/>
      <c r="C18" s="284"/>
      <c r="D18" s="256" t="s">
        <v>22</v>
      </c>
      <c r="E18" s="256"/>
      <c r="F18" s="303"/>
      <c r="G18" s="303">
        <f>SUM(G9:G16)</f>
        <v>-110283065</v>
      </c>
      <c r="H18" s="303">
        <f>SUM(H9:H16)</f>
        <v>14990497</v>
      </c>
      <c r="I18" s="303">
        <f>SUM(I9:I16)</f>
        <v>8768482</v>
      </c>
      <c r="J18" s="303">
        <f>SUM(J9:J16)</f>
        <v>9274134</v>
      </c>
      <c r="K18" s="315">
        <f>SUM(K9:K16)</f>
        <v>-77249952</v>
      </c>
      <c r="L18" s="315"/>
      <c r="M18" s="315">
        <f>SUM(M9:M16)</f>
        <v>-77249952</v>
      </c>
      <c r="N18" s="318">
        <f>SUM(N9:N16)</f>
        <v>0</v>
      </c>
    </row>
    <row r="19" spans="1:14">
      <c r="A19" s="284"/>
      <c r="B19" s="284"/>
      <c r="C19" s="284"/>
      <c r="D19" s="291"/>
      <c r="E19" s="291"/>
      <c r="F19" s="304"/>
      <c r="G19" s="304"/>
      <c r="H19" s="304"/>
      <c r="I19" s="304"/>
      <c r="J19" s="304"/>
      <c r="K19" s="304"/>
      <c r="L19" s="304"/>
      <c r="M19" s="304"/>
      <c r="N19" s="284"/>
    </row>
    <row r="20" spans="1:14" ht="15" customHeight="1">
      <c r="A20" s="284"/>
      <c r="B20" s="313" t="s">
        <v>116</v>
      </c>
      <c r="C20" s="284"/>
      <c r="D20" s="291"/>
      <c r="E20" s="291"/>
      <c r="F20" s="304"/>
      <c r="G20" s="304"/>
      <c r="H20" s="304"/>
      <c r="I20" s="304"/>
      <c r="J20" s="304"/>
      <c r="K20" s="304"/>
      <c r="L20" s="304"/>
      <c r="M20" s="304"/>
      <c r="N20" s="284"/>
    </row>
    <row r="21" spans="1:14" ht="15" customHeight="1">
      <c r="A21" s="284"/>
      <c r="B21" s="284"/>
      <c r="C21" s="284" t="s">
        <v>503</v>
      </c>
      <c r="D21" s="291"/>
      <c r="E21" s="291"/>
      <c r="F21" s="304"/>
      <c r="G21" s="472">
        <v>-11610098</v>
      </c>
      <c r="H21" s="306">
        <v>12531285</v>
      </c>
      <c r="I21" s="306"/>
      <c r="J21" s="306">
        <v>91967</v>
      </c>
      <c r="K21" s="306"/>
      <c r="L21" s="306">
        <f t="shared" ref="L21" si="2">SUM(G21:J21)</f>
        <v>1013154</v>
      </c>
      <c r="M21" s="306">
        <f t="shared" ref="M21" si="3">SUM(K21:L21)</f>
        <v>1013154</v>
      </c>
      <c r="N21" s="284"/>
    </row>
    <row r="22" spans="1:14">
      <c r="A22" s="284"/>
      <c r="B22" s="284"/>
      <c r="C22" s="284"/>
      <c r="D22" s="291"/>
      <c r="E22" s="291"/>
      <c r="F22" s="304"/>
      <c r="G22" s="304"/>
      <c r="H22" s="304"/>
      <c r="I22" s="304"/>
      <c r="J22" s="304"/>
      <c r="K22" s="304"/>
      <c r="L22" s="304"/>
      <c r="M22" s="304"/>
      <c r="N22" s="284"/>
    </row>
    <row r="23" spans="1:14" ht="15" customHeight="1">
      <c r="A23" s="284"/>
      <c r="B23" s="284"/>
      <c r="C23" s="284"/>
      <c r="D23" s="256" t="s">
        <v>232</v>
      </c>
      <c r="E23" s="256"/>
      <c r="F23" s="303"/>
      <c r="G23" s="303">
        <f t="shared" ref="G23:N23" si="4">SUM(G21:G21)</f>
        <v>-11610098</v>
      </c>
      <c r="H23" s="303">
        <f t="shared" si="4"/>
        <v>12531285</v>
      </c>
      <c r="I23" s="303">
        <f t="shared" si="4"/>
        <v>0</v>
      </c>
      <c r="J23" s="303">
        <f t="shared" si="4"/>
        <v>91967</v>
      </c>
      <c r="K23" s="315">
        <f t="shared" si="4"/>
        <v>0</v>
      </c>
      <c r="L23" s="315">
        <f t="shared" si="4"/>
        <v>1013154</v>
      </c>
      <c r="M23" s="315">
        <f t="shared" si="4"/>
        <v>1013154</v>
      </c>
      <c r="N23" s="315">
        <f t="shared" si="4"/>
        <v>0</v>
      </c>
    </row>
    <row r="24" spans="1:14">
      <c r="A24" s="284"/>
      <c r="B24" s="284"/>
      <c r="C24" s="284"/>
      <c r="D24" s="291"/>
      <c r="E24" s="291"/>
      <c r="F24" s="304"/>
      <c r="G24" s="304"/>
      <c r="H24" s="304"/>
      <c r="I24" s="304"/>
      <c r="J24" s="304"/>
      <c r="K24" s="304"/>
      <c r="L24" s="304"/>
      <c r="M24" s="304"/>
      <c r="N24" s="284"/>
    </row>
    <row r="25" spans="1:14" ht="15" customHeight="1">
      <c r="A25" s="284"/>
      <c r="B25" s="284"/>
      <c r="C25" s="284"/>
      <c r="D25" s="256" t="s">
        <v>67</v>
      </c>
      <c r="E25" s="256"/>
      <c r="F25" s="303"/>
      <c r="G25" s="303">
        <f>G23+G18</f>
        <v>-121893163</v>
      </c>
      <c r="H25" s="303">
        <f>H23+H18</f>
        <v>27521782</v>
      </c>
      <c r="I25" s="303">
        <f>SUM(I18+I23)</f>
        <v>8768482</v>
      </c>
      <c r="J25" s="303">
        <f>SUM(J18+J23)</f>
        <v>9366101</v>
      </c>
      <c r="K25" s="315">
        <f>K23+K18</f>
        <v>-77249952</v>
      </c>
      <c r="L25" s="315">
        <f>L23+L18</f>
        <v>1013154</v>
      </c>
      <c r="M25" s="315">
        <f>M23+M18</f>
        <v>-76236798</v>
      </c>
      <c r="N25" s="315">
        <f>N23+N18</f>
        <v>0</v>
      </c>
    </row>
    <row r="26" spans="1:14">
      <c r="A26" s="284"/>
      <c r="B26" s="284"/>
      <c r="C26" s="284"/>
      <c r="D26" s="291"/>
      <c r="E26" s="291"/>
      <c r="F26" s="304"/>
      <c r="G26" s="304"/>
      <c r="H26" s="304"/>
      <c r="I26" s="304"/>
      <c r="J26" s="304"/>
      <c r="K26" s="304"/>
      <c r="L26" s="304"/>
      <c r="M26" s="304"/>
      <c r="N26" s="284"/>
    </row>
    <row r="27" spans="1:14" ht="18" customHeight="1">
      <c r="A27" s="313" t="s">
        <v>23</v>
      </c>
      <c r="B27" s="284"/>
      <c r="C27" s="284"/>
      <c r="D27" s="284"/>
      <c r="E27" s="284"/>
      <c r="F27" s="254"/>
      <c r="G27" s="254"/>
      <c r="H27" s="254"/>
      <c r="I27" s="254"/>
      <c r="J27" s="254"/>
      <c r="K27" s="254"/>
      <c r="L27" s="254"/>
      <c r="M27" s="254"/>
      <c r="N27" s="284"/>
    </row>
    <row r="28" spans="1:14" ht="15.75" customHeight="1">
      <c r="A28" s="284"/>
      <c r="B28" s="284" t="s">
        <v>70</v>
      </c>
      <c r="C28" s="284"/>
      <c r="D28" s="284"/>
      <c r="E28" s="284"/>
      <c r="F28" s="254"/>
      <c r="G28" s="254">
        <v>-83443018</v>
      </c>
      <c r="H28" s="254">
        <v>6440906</v>
      </c>
      <c r="I28" s="254">
        <v>453613</v>
      </c>
      <c r="J28" s="254">
        <v>23431</v>
      </c>
      <c r="K28" s="254"/>
      <c r="L28" s="254"/>
      <c r="M28" s="254"/>
      <c r="N28" s="254">
        <f>SUM(G28:J28)</f>
        <v>-76525068</v>
      </c>
    </row>
    <row r="29" spans="1:14">
      <c r="A29" s="284"/>
      <c r="B29" s="284"/>
      <c r="C29" s="284"/>
      <c r="D29" s="284"/>
      <c r="E29" s="284"/>
      <c r="F29" s="254"/>
      <c r="G29" s="254"/>
      <c r="H29" s="254"/>
      <c r="I29" s="254"/>
      <c r="J29" s="254"/>
      <c r="K29" s="254"/>
      <c r="L29" s="254"/>
      <c r="M29" s="254"/>
      <c r="N29" s="284"/>
    </row>
    <row r="30" spans="1:14" ht="15" customHeight="1">
      <c r="A30" s="284"/>
      <c r="B30" s="284"/>
      <c r="C30" s="284"/>
      <c r="D30" s="256" t="s">
        <v>70</v>
      </c>
      <c r="E30" s="256"/>
      <c r="F30" s="303"/>
      <c r="G30" s="303">
        <f t="shared" ref="G30:N30" si="5">SUM(G28:G28)</f>
        <v>-83443018</v>
      </c>
      <c r="H30" s="303">
        <f t="shared" si="5"/>
        <v>6440906</v>
      </c>
      <c r="I30" s="303">
        <f t="shared" si="5"/>
        <v>453613</v>
      </c>
      <c r="J30" s="303">
        <f t="shared" si="5"/>
        <v>23431</v>
      </c>
      <c r="K30" s="315">
        <f t="shared" si="5"/>
        <v>0</v>
      </c>
      <c r="L30" s="315">
        <f t="shared" si="5"/>
        <v>0</v>
      </c>
      <c r="M30" s="315">
        <f t="shared" si="5"/>
        <v>0</v>
      </c>
      <c r="N30" s="285">
        <f t="shared" si="5"/>
        <v>-76525068</v>
      </c>
    </row>
    <row r="31" spans="1:14">
      <c r="A31" s="284"/>
      <c r="B31" s="284"/>
      <c r="C31" s="284"/>
      <c r="D31" s="284"/>
      <c r="E31" s="284"/>
      <c r="F31" s="254"/>
      <c r="G31" s="254"/>
      <c r="H31" s="254"/>
      <c r="I31" s="254"/>
      <c r="J31" s="254"/>
      <c r="K31" s="254"/>
      <c r="L31" s="254"/>
      <c r="M31" s="254"/>
      <c r="N31" s="284"/>
    </row>
    <row r="32" spans="1:14" ht="15.75" customHeight="1">
      <c r="A32" s="291"/>
      <c r="B32" s="291"/>
      <c r="C32" s="291"/>
      <c r="D32" s="291"/>
      <c r="E32" s="291" t="s">
        <v>25</v>
      </c>
      <c r="F32" s="304"/>
      <c r="G32" s="304"/>
      <c r="H32" s="304"/>
      <c r="I32" s="304"/>
      <c r="J32" s="304"/>
      <c r="K32" s="254"/>
      <c r="L32" s="254"/>
      <c r="M32" s="254"/>
      <c r="N32" s="284"/>
    </row>
    <row r="33" spans="1:14" ht="18" customHeight="1">
      <c r="A33" s="284"/>
      <c r="B33" s="284"/>
      <c r="C33" s="284"/>
      <c r="D33" s="284"/>
      <c r="E33" s="284"/>
      <c r="F33" s="254"/>
      <c r="G33" s="254" t="s">
        <v>504</v>
      </c>
      <c r="H33" s="254"/>
      <c r="I33" s="254"/>
      <c r="J33" s="254"/>
      <c r="K33" s="257">
        <v>4524597</v>
      </c>
      <c r="L33" s="254"/>
      <c r="M33" s="254">
        <f t="shared" ref="M33:M52" si="6">SUM(K33:L33)</f>
        <v>4524597</v>
      </c>
      <c r="N33" s="254"/>
    </row>
    <row r="34" spans="1:14" ht="15.75" customHeight="1">
      <c r="A34" s="284"/>
      <c r="B34" s="284"/>
      <c r="C34" s="284"/>
      <c r="D34" s="284"/>
      <c r="E34" s="284"/>
      <c r="F34" s="254"/>
      <c r="G34" s="254" t="s">
        <v>505</v>
      </c>
      <c r="H34" s="254"/>
      <c r="I34" s="254"/>
      <c r="J34" s="254"/>
      <c r="K34" s="257">
        <v>25307458</v>
      </c>
      <c r="L34" s="254"/>
      <c r="M34" s="254">
        <f t="shared" si="6"/>
        <v>25307458</v>
      </c>
      <c r="N34" s="254">
        <v>62732460</v>
      </c>
    </row>
    <row r="35" spans="1:14" ht="15" customHeight="1">
      <c r="A35" s="284"/>
      <c r="B35" s="284"/>
      <c r="C35" s="284"/>
      <c r="D35" s="284"/>
      <c r="E35" s="284"/>
      <c r="F35" s="254"/>
      <c r="G35" s="254" t="s">
        <v>187</v>
      </c>
      <c r="H35" s="254"/>
      <c r="I35" s="254"/>
      <c r="J35" s="254"/>
      <c r="K35" s="299">
        <v>65667400</v>
      </c>
      <c r="L35" s="254"/>
      <c r="M35" s="254">
        <f t="shared" si="6"/>
        <v>65667400</v>
      </c>
      <c r="N35" s="254"/>
    </row>
    <row r="36" spans="1:14" ht="15" customHeight="1">
      <c r="A36" s="284"/>
      <c r="B36" s="284"/>
      <c r="C36" s="284"/>
      <c r="D36" s="284"/>
      <c r="E36" s="284"/>
      <c r="F36" s="254"/>
      <c r="G36" s="254" t="s">
        <v>121</v>
      </c>
      <c r="H36" s="254"/>
      <c r="I36" s="254"/>
      <c r="J36" s="254"/>
      <c r="K36" s="299">
        <v>2322561</v>
      </c>
      <c r="L36" s="254"/>
      <c r="M36" s="254">
        <f t="shared" si="6"/>
        <v>2322561</v>
      </c>
      <c r="N36" s="254"/>
    </row>
    <row r="37" spans="1:14" ht="14.25" customHeight="1">
      <c r="A37" s="284"/>
      <c r="B37" s="284"/>
      <c r="C37" s="284"/>
      <c r="D37" s="284"/>
      <c r="E37" s="284"/>
      <c r="F37" s="254"/>
      <c r="G37" s="254" t="s">
        <v>506</v>
      </c>
      <c r="H37" s="254"/>
      <c r="I37" s="254"/>
      <c r="J37" s="254"/>
      <c r="K37" s="299">
        <v>578665</v>
      </c>
      <c r="L37" s="254"/>
      <c r="M37" s="254">
        <f t="shared" si="6"/>
        <v>578665</v>
      </c>
      <c r="N37" s="254">
        <v>393759</v>
      </c>
    </row>
    <row r="38" spans="1:14" ht="15.75" customHeight="1">
      <c r="A38" s="284"/>
      <c r="B38" s="284"/>
      <c r="C38" s="284"/>
      <c r="D38" s="284"/>
      <c r="E38" s="284"/>
      <c r="F38" s="254"/>
      <c r="G38" s="254" t="s">
        <v>507</v>
      </c>
      <c r="H38" s="254"/>
      <c r="I38" s="254"/>
      <c r="J38" s="254"/>
      <c r="K38" s="300">
        <v>93961</v>
      </c>
      <c r="L38" s="254"/>
      <c r="M38" s="254">
        <f t="shared" si="6"/>
        <v>93961</v>
      </c>
      <c r="N38" s="254"/>
    </row>
    <row r="39" spans="1:14" ht="14.25" customHeight="1">
      <c r="A39" s="284"/>
      <c r="B39" s="284"/>
      <c r="C39" s="284"/>
      <c r="D39" s="284"/>
      <c r="E39" s="284"/>
      <c r="F39" s="254"/>
      <c r="G39" s="254" t="s">
        <v>508</v>
      </c>
      <c r="H39" s="254"/>
      <c r="I39" s="254"/>
      <c r="J39" s="254"/>
      <c r="K39" s="300">
        <v>9193</v>
      </c>
      <c r="L39" s="254"/>
      <c r="M39" s="254">
        <f t="shared" si="6"/>
        <v>9193</v>
      </c>
      <c r="N39" s="254"/>
    </row>
    <row r="40" spans="1:14" ht="15.75" customHeight="1">
      <c r="A40" s="284"/>
      <c r="B40" s="284"/>
      <c r="C40" s="284"/>
      <c r="D40" s="284"/>
      <c r="E40" s="284"/>
      <c r="F40" s="254"/>
      <c r="G40" s="254" t="s">
        <v>509</v>
      </c>
      <c r="H40" s="254"/>
      <c r="I40" s="254"/>
      <c r="J40" s="254"/>
      <c r="K40" s="300">
        <v>58355</v>
      </c>
      <c r="L40" s="254"/>
      <c r="M40" s="254">
        <f t="shared" si="6"/>
        <v>58355</v>
      </c>
      <c r="N40" s="254"/>
    </row>
    <row r="41" spans="1:14" ht="15" customHeight="1">
      <c r="A41" s="284"/>
      <c r="B41" s="284"/>
      <c r="C41" s="284"/>
      <c r="D41" s="284"/>
      <c r="E41" s="284"/>
      <c r="F41" s="254"/>
      <c r="G41" s="254" t="s">
        <v>510</v>
      </c>
      <c r="H41" s="254"/>
      <c r="I41" s="254"/>
      <c r="J41" s="254"/>
      <c r="K41" s="300">
        <v>10939</v>
      </c>
      <c r="L41" s="254"/>
      <c r="M41" s="254">
        <f t="shared" si="6"/>
        <v>10939</v>
      </c>
      <c r="N41" s="254"/>
    </row>
    <row r="42" spans="1:14" ht="17.25" customHeight="1">
      <c r="A42" s="284"/>
      <c r="B42" s="284"/>
      <c r="C42" s="284"/>
      <c r="D42" s="284"/>
      <c r="E42" s="284"/>
      <c r="F42" s="254"/>
      <c r="G42" s="254" t="s">
        <v>511</v>
      </c>
      <c r="H42" s="254"/>
      <c r="I42" s="254"/>
      <c r="J42" s="254"/>
      <c r="K42" s="299">
        <v>188055</v>
      </c>
      <c r="L42" s="254"/>
      <c r="M42" s="254">
        <f t="shared" si="6"/>
        <v>188055</v>
      </c>
      <c r="N42" s="254"/>
    </row>
    <row r="43" spans="1:14" ht="14.25" customHeight="1">
      <c r="A43" s="284"/>
      <c r="B43" s="284"/>
      <c r="C43" s="284"/>
      <c r="D43" s="284"/>
      <c r="E43" s="284"/>
      <c r="F43" s="254"/>
      <c r="G43" s="254" t="s">
        <v>512</v>
      </c>
      <c r="H43" s="254"/>
      <c r="I43" s="254"/>
      <c r="J43" s="254"/>
      <c r="K43" s="254"/>
      <c r="L43" s="254"/>
      <c r="M43" s="254">
        <f t="shared" si="6"/>
        <v>0</v>
      </c>
      <c r="N43" s="254">
        <v>913330</v>
      </c>
    </row>
    <row r="44" spans="1:14" ht="15.75" customHeight="1">
      <c r="A44" s="284"/>
      <c r="B44" s="284"/>
      <c r="C44" s="284"/>
      <c r="D44" s="284"/>
      <c r="E44" s="284"/>
      <c r="F44" s="254"/>
      <c r="G44" s="254" t="s">
        <v>513</v>
      </c>
      <c r="H44" s="254"/>
      <c r="I44" s="254"/>
      <c r="J44" s="254"/>
      <c r="K44" s="316">
        <v>277808</v>
      </c>
      <c r="L44" s="254"/>
      <c r="M44" s="254">
        <f t="shared" si="6"/>
        <v>277808</v>
      </c>
      <c r="N44" s="254">
        <v>1349291</v>
      </c>
    </row>
    <row r="45" spans="1:14" ht="15" customHeight="1">
      <c r="A45" s="284"/>
      <c r="B45" s="284"/>
      <c r="C45" s="284"/>
      <c r="D45" s="284"/>
      <c r="E45" s="284"/>
      <c r="F45" s="254"/>
      <c r="G45" s="254" t="s">
        <v>514</v>
      </c>
      <c r="H45" s="254"/>
      <c r="I45" s="254"/>
      <c r="J45" s="254"/>
      <c r="K45" s="307">
        <v>72767</v>
      </c>
      <c r="L45" s="254"/>
      <c r="M45" s="254">
        <f t="shared" si="6"/>
        <v>72767</v>
      </c>
      <c r="N45" s="254"/>
    </row>
    <row r="46" spans="1:14" ht="17.25" customHeight="1">
      <c r="A46" s="284"/>
      <c r="B46" s="284"/>
      <c r="C46" s="284"/>
      <c r="D46" s="284"/>
      <c r="E46" s="284"/>
      <c r="F46" s="254"/>
      <c r="G46" s="254" t="s">
        <v>50</v>
      </c>
      <c r="H46" s="254"/>
      <c r="I46" s="254"/>
      <c r="J46" s="254"/>
      <c r="K46" s="307">
        <v>3497663</v>
      </c>
      <c r="L46" s="254">
        <v>201031</v>
      </c>
      <c r="M46" s="254">
        <f t="shared" si="6"/>
        <v>3698694</v>
      </c>
      <c r="N46" s="254">
        <v>374156</v>
      </c>
    </row>
    <row r="47" spans="1:14" ht="15" customHeight="1">
      <c r="A47" s="284"/>
      <c r="B47" s="284"/>
      <c r="C47" s="284"/>
      <c r="D47" s="284"/>
      <c r="E47" s="284"/>
      <c r="F47" s="254"/>
      <c r="G47" s="254" t="s">
        <v>515</v>
      </c>
      <c r="H47" s="254"/>
      <c r="I47" s="254"/>
      <c r="J47" s="254"/>
      <c r="K47" s="307">
        <v>53200</v>
      </c>
      <c r="L47" s="254"/>
      <c r="M47" s="254">
        <f>SUM(K47:L47)</f>
        <v>53200</v>
      </c>
      <c r="N47" s="254"/>
    </row>
    <row r="48" spans="1:14" ht="15" customHeight="1">
      <c r="A48" s="284"/>
      <c r="B48" s="284"/>
      <c r="C48" s="284"/>
      <c r="D48" s="284"/>
      <c r="E48" s="284"/>
      <c r="F48" s="254"/>
      <c r="G48" s="254" t="s">
        <v>516</v>
      </c>
      <c r="H48" s="254"/>
      <c r="I48" s="254"/>
      <c r="J48" s="254"/>
      <c r="K48" s="307">
        <v>50000</v>
      </c>
      <c r="L48" s="254"/>
      <c r="M48" s="254">
        <f t="shared" si="6"/>
        <v>50000</v>
      </c>
      <c r="N48" s="254"/>
    </row>
    <row r="49" spans="1:14" ht="15" customHeight="1">
      <c r="A49" s="284"/>
      <c r="B49" s="284"/>
      <c r="C49" s="284"/>
      <c r="D49" s="284"/>
      <c r="E49" s="284"/>
      <c r="F49" s="254"/>
      <c r="G49" s="254" t="s">
        <v>33</v>
      </c>
      <c r="H49" s="254"/>
      <c r="I49" s="254"/>
      <c r="J49" s="254"/>
      <c r="K49" s="254"/>
      <c r="L49" s="254"/>
      <c r="M49" s="254">
        <f t="shared" si="6"/>
        <v>0</v>
      </c>
      <c r="N49" s="254">
        <v>12909729</v>
      </c>
    </row>
    <row r="50" spans="1:14" ht="14.25" customHeight="1">
      <c r="A50" s="284"/>
      <c r="B50" s="284"/>
      <c r="C50" s="284"/>
      <c r="D50" s="284"/>
      <c r="E50" s="284"/>
      <c r="F50" s="254"/>
      <c r="G50" s="254" t="s">
        <v>206</v>
      </c>
      <c r="H50" s="254"/>
      <c r="I50" s="254"/>
      <c r="J50" s="254"/>
      <c r="K50" s="254"/>
      <c r="L50" s="254"/>
      <c r="M50" s="254">
        <f t="shared" si="6"/>
        <v>0</v>
      </c>
      <c r="N50" s="254">
        <v>993477</v>
      </c>
    </row>
    <row r="51" spans="1:14" ht="12.75" customHeight="1">
      <c r="A51" s="284"/>
      <c r="B51" s="284"/>
      <c r="C51" s="284"/>
      <c r="D51" s="284"/>
      <c r="E51" s="284"/>
      <c r="F51" s="254" t="s">
        <v>517</v>
      </c>
      <c r="G51" s="254"/>
      <c r="H51" s="254"/>
      <c r="I51" s="254"/>
      <c r="J51" s="254"/>
      <c r="K51" s="254"/>
      <c r="L51" s="254"/>
      <c r="M51" s="254">
        <f t="shared" si="6"/>
        <v>0</v>
      </c>
      <c r="N51" s="254">
        <v>-159125</v>
      </c>
    </row>
    <row r="52" spans="1:14">
      <c r="A52" s="284"/>
      <c r="B52" s="284"/>
      <c r="C52" s="284"/>
      <c r="D52" s="284"/>
      <c r="E52" s="284"/>
      <c r="F52" s="254" t="s">
        <v>37</v>
      </c>
      <c r="G52" s="254"/>
      <c r="H52" s="254"/>
      <c r="I52" s="254"/>
      <c r="J52" s="254"/>
      <c r="K52" s="293">
        <v>292582</v>
      </c>
      <c r="L52" s="254">
        <v>-292582</v>
      </c>
      <c r="M52" s="254">
        <f t="shared" si="6"/>
        <v>0</v>
      </c>
      <c r="N52" s="292"/>
    </row>
    <row r="53" spans="1:14">
      <c r="A53" s="284"/>
      <c r="B53" s="284"/>
      <c r="C53" s="284"/>
      <c r="D53" s="284"/>
      <c r="E53" s="284"/>
      <c r="F53" s="254"/>
      <c r="G53" s="254"/>
      <c r="H53" s="254"/>
      <c r="I53" s="254"/>
      <c r="J53" s="254"/>
      <c r="K53" s="254"/>
      <c r="L53" s="254"/>
      <c r="M53" s="254"/>
      <c r="N53" s="284"/>
    </row>
    <row r="54" spans="1:14" ht="15" customHeight="1">
      <c r="A54" s="284"/>
      <c r="B54" s="284"/>
      <c r="C54" s="284"/>
      <c r="D54" s="284"/>
      <c r="E54" s="284"/>
      <c r="F54" s="543" t="s">
        <v>518</v>
      </c>
      <c r="G54" s="543"/>
      <c r="H54" s="303"/>
      <c r="I54" s="303"/>
      <c r="J54" s="303"/>
      <c r="K54" s="303">
        <f>SUM(K33:K52)</f>
        <v>103005204</v>
      </c>
      <c r="L54" s="303">
        <f>SUM(L33:L52)</f>
        <v>-91551</v>
      </c>
      <c r="M54" s="303">
        <f>SUM(M33:M52)</f>
        <v>102913653</v>
      </c>
      <c r="N54" s="285">
        <f>SUM(N33:N52)</f>
        <v>79507077</v>
      </c>
    </row>
    <row r="55" spans="1:14">
      <c r="A55" s="284"/>
      <c r="B55" s="284"/>
      <c r="C55" s="284"/>
      <c r="D55" s="284"/>
      <c r="E55" s="284"/>
      <c r="F55" s="254"/>
      <c r="G55" s="254"/>
      <c r="H55" s="254"/>
      <c r="I55" s="254"/>
      <c r="J55" s="254"/>
      <c r="K55" s="254"/>
      <c r="L55" s="254"/>
      <c r="M55" s="254"/>
      <c r="N55" s="284"/>
    </row>
    <row r="56" spans="1:14" ht="12.75" customHeight="1">
      <c r="A56" s="284"/>
      <c r="B56" s="284"/>
      <c r="C56" s="284"/>
      <c r="D56" s="284"/>
      <c r="E56" s="284"/>
      <c r="F56" s="303" t="s">
        <v>424</v>
      </c>
      <c r="G56" s="303"/>
      <c r="H56" s="303"/>
      <c r="I56" s="303"/>
      <c r="J56" s="303"/>
      <c r="K56" s="303">
        <f>K54+K18</f>
        <v>25755252</v>
      </c>
      <c r="L56" s="303">
        <f>L54+L25</f>
        <v>921603</v>
      </c>
      <c r="M56" s="303">
        <f>M54+M25</f>
        <v>26676855</v>
      </c>
      <c r="N56" s="315">
        <f>N54+N30</f>
        <v>2982009</v>
      </c>
    </row>
    <row r="57" spans="1:14">
      <c r="A57" s="284"/>
      <c r="B57" s="284"/>
      <c r="C57" s="284"/>
      <c r="D57" s="284"/>
      <c r="E57" s="284"/>
      <c r="F57" s="304"/>
      <c r="G57" s="304"/>
      <c r="H57" s="304"/>
      <c r="I57" s="304"/>
      <c r="J57" s="304"/>
      <c r="K57" s="304"/>
      <c r="L57" s="304"/>
      <c r="M57" s="304"/>
      <c r="N57" s="284"/>
    </row>
    <row r="58" spans="1:14" ht="15" customHeight="1">
      <c r="A58" s="284"/>
      <c r="B58" s="284"/>
      <c r="C58" s="284"/>
      <c r="D58" s="310" t="s">
        <v>40</v>
      </c>
      <c r="E58" s="310"/>
      <c r="F58" s="311"/>
      <c r="G58" s="311"/>
      <c r="H58" s="311"/>
      <c r="I58" s="311"/>
      <c r="J58" s="311"/>
      <c r="K58" s="317">
        <v>516773440</v>
      </c>
      <c r="L58" s="317">
        <v>11562774</v>
      </c>
      <c r="M58" s="317">
        <f>SUM(K58:L58)</f>
        <v>528336214</v>
      </c>
      <c r="N58" s="319">
        <v>172588793</v>
      </c>
    </row>
    <row r="59" spans="1:14">
      <c r="A59" s="284"/>
      <c r="B59" s="284"/>
      <c r="C59" s="284"/>
      <c r="D59" s="284"/>
      <c r="E59" s="284"/>
      <c r="F59" s="254"/>
      <c r="G59" s="254"/>
      <c r="H59" s="254"/>
      <c r="I59" s="254"/>
      <c r="J59" s="254"/>
      <c r="K59" s="254"/>
      <c r="L59" s="254"/>
      <c r="M59" s="254"/>
      <c r="N59" s="284"/>
    </row>
    <row r="60" spans="1:14" ht="14.25" customHeight="1">
      <c r="A60" s="284"/>
      <c r="B60" s="284"/>
      <c r="C60" s="284"/>
      <c r="D60" s="286" t="s">
        <v>41</v>
      </c>
      <c r="E60" s="286"/>
      <c r="F60" s="287"/>
      <c r="G60" s="287"/>
      <c r="H60" s="287"/>
      <c r="I60" s="287"/>
      <c r="J60" s="287"/>
      <c r="K60" s="288">
        <f>SUM(K56,K58)</f>
        <v>542528692</v>
      </c>
      <c r="L60" s="288">
        <f>L58+L56</f>
        <v>12484377</v>
      </c>
      <c r="M60" s="288">
        <f>M58+M56</f>
        <v>555013069</v>
      </c>
      <c r="N60" s="320">
        <f>N58+N56</f>
        <v>175570802</v>
      </c>
    </row>
  </sheetData>
  <mergeCells count="6">
    <mergeCell ref="F54:G54"/>
    <mergeCell ref="H1:K1"/>
    <mergeCell ref="H2:K2"/>
    <mergeCell ref="K4:N4"/>
    <mergeCell ref="H5:J5"/>
    <mergeCell ref="K5:M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51"/>
  <sheetViews>
    <sheetView workbookViewId="0">
      <selection activeCell="Q36" sqref="Q36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1" width="17.42578125" customWidth="1"/>
    <col min="12" max="12" width="17.7109375" customWidth="1"/>
    <col min="13" max="13" width="19.7109375" customWidth="1"/>
    <col min="14" max="14" width="18.42578125" customWidth="1"/>
  </cols>
  <sheetData>
    <row r="1" spans="1:14" ht="30" customHeight="1">
      <c r="J1" s="520" t="s">
        <v>519</v>
      </c>
      <c r="K1" s="520"/>
      <c r="L1" s="520"/>
      <c r="M1" s="520"/>
      <c r="N1" s="419"/>
    </row>
    <row r="2" spans="1:14" ht="21.75" customHeight="1">
      <c r="J2" s="521" t="s">
        <v>1</v>
      </c>
      <c r="K2" s="521"/>
      <c r="L2" s="521"/>
      <c r="M2" s="521"/>
      <c r="N2" s="420"/>
    </row>
    <row r="3" spans="1:14" ht="18.75" customHeight="1">
      <c r="E3" s="3"/>
      <c r="F3" s="3"/>
      <c r="G3" s="3"/>
      <c r="H3" s="3"/>
      <c r="I3" s="3"/>
      <c r="J3" s="3"/>
      <c r="K3" s="3"/>
      <c r="L3" s="3"/>
    </row>
    <row r="4" spans="1:14" ht="27" customHeight="1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522" t="s">
        <v>520</v>
      </c>
      <c r="N4" s="522"/>
    </row>
    <row r="5" spans="1:14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58</v>
      </c>
      <c r="N5" s="6" t="s">
        <v>12</v>
      </c>
    </row>
    <row r="6" spans="1:14" ht="30.75" customHeight="1">
      <c r="A6" s="8" t="s">
        <v>13</v>
      </c>
      <c r="I6" s="9"/>
      <c r="J6" s="9"/>
      <c r="K6" s="9"/>
      <c r="L6" s="9"/>
    </row>
    <row r="7" spans="1:14">
      <c r="B7" s="10" t="s">
        <v>14</v>
      </c>
      <c r="I7" s="9"/>
      <c r="J7" s="9"/>
      <c r="K7" s="9"/>
      <c r="L7" s="9"/>
      <c r="M7" s="9"/>
      <c r="N7" s="9"/>
    </row>
    <row r="8" spans="1:14">
      <c r="C8" t="s">
        <v>15</v>
      </c>
      <c r="H8" s="12"/>
      <c r="I8" s="11">
        <v>-6526544</v>
      </c>
      <c r="J8" s="12">
        <v>3517732</v>
      </c>
      <c r="K8" s="12">
        <v>705299</v>
      </c>
      <c r="L8" s="12">
        <v>386311</v>
      </c>
      <c r="M8" s="12">
        <f t="shared" ref="M8:M13" si="0">SUM(I8:L8)</f>
        <v>-1917202</v>
      </c>
      <c r="N8" s="12"/>
    </row>
    <row r="9" spans="1:14">
      <c r="C9" t="s">
        <v>20</v>
      </c>
      <c r="H9" s="12"/>
      <c r="I9" s="16">
        <v>-1759244</v>
      </c>
      <c r="J9" s="12">
        <v>103130</v>
      </c>
      <c r="K9" s="12">
        <v>50405</v>
      </c>
      <c r="L9" s="12"/>
      <c r="M9" s="12">
        <f>SUM(I9:L9)</f>
        <v>-1605709</v>
      </c>
      <c r="N9" s="12"/>
    </row>
    <row r="10" spans="1:14">
      <c r="C10" t="s">
        <v>16</v>
      </c>
      <c r="H10" s="12"/>
      <c r="I10" s="13">
        <v>-3756340</v>
      </c>
      <c r="J10" s="12">
        <v>781417</v>
      </c>
      <c r="K10" s="12"/>
      <c r="L10" s="12">
        <v>113526</v>
      </c>
      <c r="M10" s="12">
        <f t="shared" ref="M10" si="1">SUM(I10:L10)</f>
        <v>-2861397</v>
      </c>
      <c r="N10" s="12"/>
    </row>
    <row r="11" spans="1:14">
      <c r="C11" t="s">
        <v>17</v>
      </c>
      <c r="H11" s="12"/>
      <c r="I11" s="14">
        <v>-22867919</v>
      </c>
      <c r="J11" s="12">
        <v>3747317</v>
      </c>
      <c r="K11" s="12">
        <v>977985</v>
      </c>
      <c r="L11" s="12">
        <v>1731104</v>
      </c>
      <c r="M11" s="12">
        <f>SUM(I11:L11)</f>
        <v>-16411513</v>
      </c>
      <c r="N11" s="12"/>
    </row>
    <row r="12" spans="1:14">
      <c r="C12" t="s">
        <v>19</v>
      </c>
      <c r="H12" s="12"/>
      <c r="I12" s="15">
        <v>-3113081</v>
      </c>
      <c r="J12" s="12"/>
      <c r="K12" s="12">
        <v>2588765</v>
      </c>
      <c r="L12" s="12"/>
      <c r="M12" s="12">
        <f t="shared" si="0"/>
        <v>-524316</v>
      </c>
      <c r="N12" s="12"/>
    </row>
    <row r="13" spans="1:14">
      <c r="C13" t="s">
        <v>21</v>
      </c>
      <c r="H13" s="12"/>
      <c r="I13" s="89">
        <v>-113612</v>
      </c>
      <c r="J13" s="12"/>
      <c r="K13" s="12"/>
      <c r="L13" s="12"/>
      <c r="M13" s="12">
        <f t="shared" si="0"/>
        <v>-113612</v>
      </c>
      <c r="N13" s="12"/>
    </row>
    <row r="14" spans="1:14">
      <c r="H14" s="12"/>
      <c r="I14" s="12"/>
      <c r="J14" s="12"/>
      <c r="K14" s="12"/>
      <c r="L14" s="12"/>
      <c r="M14" s="12"/>
      <c r="N14" s="12"/>
    </row>
    <row r="15" spans="1:14">
      <c r="E15" s="19" t="s">
        <v>22</v>
      </c>
      <c r="F15" s="19"/>
      <c r="G15" s="19"/>
      <c r="H15" s="20"/>
      <c r="I15" s="20">
        <f>SUM(I8:I13)</f>
        <v>-38136740</v>
      </c>
      <c r="J15" s="20">
        <f>SUM(J8:J13)</f>
        <v>8149596</v>
      </c>
      <c r="K15" s="20">
        <f>SUM(K8:K13)</f>
        <v>4322454</v>
      </c>
      <c r="L15" s="20">
        <f>SUM(L8:L13)</f>
        <v>2230941</v>
      </c>
      <c r="M15" s="82">
        <f>SUM(M8:M13)</f>
        <v>-23433749</v>
      </c>
      <c r="N15" s="82"/>
    </row>
    <row r="16" spans="1:14">
      <c r="E16" s="8"/>
      <c r="F16" s="8"/>
      <c r="G16" s="8"/>
      <c r="H16" s="26"/>
      <c r="I16" s="26"/>
      <c r="J16" s="26"/>
      <c r="K16" s="26"/>
      <c r="L16" s="26"/>
      <c r="M16" s="26"/>
      <c r="N16" s="26"/>
    </row>
    <row r="17" spans="1:14">
      <c r="B17" s="10" t="s">
        <v>521</v>
      </c>
      <c r="E17" s="8"/>
      <c r="F17" s="8"/>
      <c r="G17" s="8"/>
      <c r="H17" s="26"/>
      <c r="I17" s="26"/>
      <c r="J17" s="26"/>
      <c r="K17" s="26"/>
      <c r="L17" s="26"/>
      <c r="M17" s="26"/>
      <c r="N17" s="26"/>
    </row>
    <row r="18" spans="1:14">
      <c r="C18" t="s">
        <v>132</v>
      </c>
      <c r="E18" s="8"/>
      <c r="F18" s="8"/>
      <c r="G18" s="8"/>
      <c r="H18" s="26"/>
      <c r="I18" s="248">
        <v>-5301045</v>
      </c>
      <c r="J18" s="248">
        <v>238460</v>
      </c>
      <c r="K18" s="248">
        <v>193079</v>
      </c>
      <c r="L18" s="248"/>
      <c r="M18" s="248"/>
      <c r="N18" s="248">
        <f>SUM(I18:K18)</f>
        <v>-4869506</v>
      </c>
    </row>
    <row r="19" spans="1:14">
      <c r="E19" s="8"/>
      <c r="F19" s="8"/>
      <c r="G19" s="8"/>
      <c r="H19" s="26"/>
      <c r="I19" s="26"/>
      <c r="J19" s="26"/>
      <c r="K19" s="26"/>
      <c r="L19" s="26"/>
      <c r="M19" s="26"/>
      <c r="N19" s="26"/>
    </row>
    <row r="20" spans="1:14">
      <c r="E20" s="19" t="s">
        <v>70</v>
      </c>
      <c r="F20" s="19"/>
      <c r="G20" s="19"/>
      <c r="H20" s="20"/>
      <c r="I20" s="20">
        <f>I18</f>
        <v>-5301045</v>
      </c>
      <c r="J20" s="20">
        <f t="shared" ref="J20:L20" si="2">J18</f>
        <v>238460</v>
      </c>
      <c r="K20" s="20">
        <f t="shared" si="2"/>
        <v>193079</v>
      </c>
      <c r="L20" s="20">
        <f t="shared" si="2"/>
        <v>0</v>
      </c>
      <c r="M20" s="82">
        <v>0</v>
      </c>
      <c r="N20" s="82">
        <f>SUM(N18:N18)</f>
        <v>-4869506</v>
      </c>
    </row>
    <row r="21" spans="1:14">
      <c r="E21" s="8"/>
      <c r="F21" s="8"/>
      <c r="G21" s="8"/>
      <c r="H21" s="26"/>
      <c r="I21" s="26"/>
      <c r="J21" s="26"/>
      <c r="K21" s="26"/>
      <c r="L21" s="26"/>
      <c r="M21" s="26"/>
      <c r="N21" s="26"/>
    </row>
    <row r="22" spans="1:14">
      <c r="A22" s="8"/>
      <c r="B22" s="8"/>
      <c r="C22" s="8"/>
      <c r="D22" s="8"/>
      <c r="E22" s="8"/>
      <c r="G22" s="8" t="s">
        <v>25</v>
      </c>
      <c r="H22" s="26"/>
      <c r="I22" s="26"/>
      <c r="J22" s="26"/>
      <c r="K22" s="26"/>
      <c r="L22" s="26"/>
      <c r="M22" s="12"/>
      <c r="N22" s="12"/>
    </row>
    <row r="23" spans="1:14">
      <c r="A23" s="8"/>
      <c r="B23" s="8"/>
      <c r="C23" s="8"/>
      <c r="D23" s="8"/>
      <c r="E23" s="8"/>
      <c r="G23" s="8"/>
      <c r="H23" s="80" t="s">
        <v>26</v>
      </c>
      <c r="I23" s="26"/>
      <c r="J23" s="26"/>
      <c r="K23" s="26"/>
      <c r="L23" s="26"/>
      <c r="M23" s="12"/>
      <c r="N23" s="12"/>
    </row>
    <row r="24" spans="1:14">
      <c r="A24" s="8"/>
      <c r="B24" s="8"/>
      <c r="C24" s="8"/>
      <c r="D24" s="8"/>
      <c r="E24" s="8"/>
      <c r="G24" s="8"/>
      <c r="H24" s="80"/>
      <c r="I24" s="80" t="s">
        <v>96</v>
      </c>
      <c r="J24" s="26"/>
      <c r="K24" s="26"/>
      <c r="L24" s="26"/>
      <c r="M24" s="14">
        <v>18934034</v>
      </c>
      <c r="N24" s="12"/>
    </row>
    <row r="25" spans="1:14">
      <c r="A25" s="8"/>
      <c r="B25" s="8"/>
      <c r="C25" s="8"/>
      <c r="D25" s="8"/>
      <c r="E25" s="8"/>
      <c r="G25" s="8"/>
      <c r="H25" s="80"/>
      <c r="I25" s="80" t="s">
        <v>94</v>
      </c>
      <c r="J25" s="26"/>
      <c r="K25" s="26"/>
      <c r="L25" s="26"/>
      <c r="M25" s="28">
        <v>6550590</v>
      </c>
      <c r="N25" s="12">
        <v>4932312</v>
      </c>
    </row>
    <row r="26" spans="1:14">
      <c r="H26" s="12"/>
      <c r="I26" s="12" t="s">
        <v>121</v>
      </c>
      <c r="J26" s="12"/>
      <c r="K26" s="12"/>
      <c r="L26" s="12"/>
      <c r="M26" s="249">
        <v>771121</v>
      </c>
      <c r="N26" s="12"/>
    </row>
    <row r="27" spans="1:14">
      <c r="H27" s="12"/>
      <c r="I27" s="12" t="s">
        <v>95</v>
      </c>
      <c r="J27" s="12"/>
      <c r="K27" s="12"/>
      <c r="L27" s="12"/>
      <c r="M27" s="250">
        <v>207379</v>
      </c>
      <c r="N27" s="12"/>
    </row>
    <row r="28" spans="1:14">
      <c r="H28" s="12"/>
      <c r="I28" s="12" t="s">
        <v>296</v>
      </c>
      <c r="J28" s="12"/>
      <c r="K28" s="12"/>
      <c r="L28" s="12"/>
      <c r="M28" s="250">
        <v>36632</v>
      </c>
      <c r="N28" s="12"/>
    </row>
    <row r="29" spans="1:14">
      <c r="H29" s="12" t="s">
        <v>288</v>
      </c>
      <c r="I29" s="12"/>
      <c r="J29" s="12"/>
      <c r="K29" s="12"/>
      <c r="L29" s="12"/>
      <c r="M29" s="29">
        <v>744199</v>
      </c>
      <c r="N29" s="12"/>
    </row>
    <row r="30" spans="1:14">
      <c r="H30" s="12" t="s">
        <v>48</v>
      </c>
      <c r="I30" s="12"/>
      <c r="J30" s="12"/>
      <c r="K30" s="12"/>
      <c r="L30" s="12"/>
      <c r="M30" s="93">
        <v>503884</v>
      </c>
      <c r="N30" s="12">
        <v>487091</v>
      </c>
    </row>
    <row r="31" spans="1:14">
      <c r="H31" s="12" t="s">
        <v>522</v>
      </c>
      <c r="I31" s="12"/>
      <c r="J31" s="12"/>
      <c r="K31" s="12"/>
      <c r="L31" s="12"/>
      <c r="M31" s="12"/>
      <c r="N31" s="12">
        <v>315380</v>
      </c>
    </row>
    <row r="32" spans="1:14">
      <c r="H32" s="12" t="s">
        <v>523</v>
      </c>
      <c r="I32" s="12"/>
      <c r="J32" s="12"/>
      <c r="K32" s="12"/>
      <c r="L32" s="12"/>
      <c r="M32" s="29">
        <v>10339</v>
      </c>
      <c r="N32" s="12"/>
    </row>
    <row r="33" spans="5:14">
      <c r="H33" s="12" t="s">
        <v>36</v>
      </c>
      <c r="I33" s="12"/>
      <c r="J33" s="12"/>
      <c r="K33" s="12"/>
      <c r="L33" s="12"/>
      <c r="M33" s="29">
        <v>187273</v>
      </c>
      <c r="N33" s="12">
        <v>84940</v>
      </c>
    </row>
    <row r="34" spans="5:14">
      <c r="H34" s="12" t="s">
        <v>50</v>
      </c>
      <c r="I34" s="12"/>
      <c r="J34" s="12"/>
      <c r="K34" s="12"/>
      <c r="L34" s="12"/>
      <c r="M34" s="29">
        <v>87344</v>
      </c>
      <c r="N34" s="12">
        <v>42014</v>
      </c>
    </row>
    <row r="35" spans="5:14">
      <c r="H35" s="12" t="s">
        <v>524</v>
      </c>
      <c r="I35" s="12"/>
      <c r="J35" s="12"/>
      <c r="K35" s="12"/>
      <c r="L35" s="12"/>
      <c r="M35" s="29">
        <v>16509</v>
      </c>
      <c r="N35" s="12"/>
    </row>
    <row r="36" spans="5:14">
      <c r="H36" s="12" t="s">
        <v>525</v>
      </c>
      <c r="I36" s="12"/>
      <c r="J36" s="12"/>
      <c r="K36" s="12"/>
      <c r="L36" s="12"/>
      <c r="M36" s="88">
        <v>-362162</v>
      </c>
      <c r="N36" s="12">
        <v>9031</v>
      </c>
    </row>
    <row r="37" spans="5:14">
      <c r="H37" s="12"/>
      <c r="I37" s="12"/>
      <c r="J37" s="12"/>
      <c r="K37" s="12"/>
      <c r="L37" s="12"/>
      <c r="M37" s="12"/>
      <c r="N37" s="12"/>
    </row>
    <row r="38" spans="5:14">
      <c r="H38" s="20" t="s">
        <v>526</v>
      </c>
      <c r="I38" s="20"/>
      <c r="J38" s="20"/>
      <c r="K38" s="20"/>
      <c r="L38" s="20"/>
      <c r="M38" s="20">
        <f>SUM(M22:M36)</f>
        <v>27687142</v>
      </c>
      <c r="N38" s="20">
        <f>SUM(N22:N36)</f>
        <v>5870768</v>
      </c>
    </row>
    <row r="39" spans="5:14">
      <c r="H39" s="26"/>
      <c r="I39" s="26"/>
      <c r="J39" s="26"/>
      <c r="K39" s="26"/>
      <c r="L39" s="26"/>
      <c r="M39" s="26"/>
      <c r="N39" s="26"/>
    </row>
    <row r="40" spans="5:14">
      <c r="H40" s="20" t="s">
        <v>53</v>
      </c>
      <c r="I40" s="20"/>
      <c r="J40" s="20"/>
      <c r="K40" s="20"/>
      <c r="L40" s="20"/>
      <c r="M40" s="20">
        <f>M38+M15</f>
        <v>4253393</v>
      </c>
      <c r="N40" s="20">
        <f>N38+N20</f>
        <v>1001262</v>
      </c>
    </row>
    <row r="41" spans="5:14">
      <c r="H41" s="26"/>
      <c r="I41" s="26"/>
      <c r="J41" s="26"/>
      <c r="K41" s="26"/>
      <c r="L41" s="26"/>
      <c r="M41" s="26"/>
      <c r="N41" s="26"/>
    </row>
    <row r="42" spans="5:14">
      <c r="E42" s="31" t="s">
        <v>527</v>
      </c>
      <c r="F42" s="31"/>
      <c r="G42" s="31"/>
      <c r="H42" s="32"/>
      <c r="I42" s="32"/>
      <c r="J42" s="32"/>
      <c r="K42" s="32"/>
      <c r="L42" s="32"/>
      <c r="M42" s="33">
        <v>190420558</v>
      </c>
      <c r="N42" s="33">
        <v>18855127</v>
      </c>
    </row>
    <row r="43" spans="5:14">
      <c r="E43" s="8"/>
      <c r="F43" s="8"/>
      <c r="G43" s="8"/>
      <c r="H43" s="26"/>
      <c r="I43" s="26"/>
      <c r="J43" s="26"/>
      <c r="K43" s="26"/>
      <c r="L43" s="26"/>
      <c r="M43" s="210"/>
      <c r="N43" s="210"/>
    </row>
    <row r="44" spans="5:14">
      <c r="E44" s="34" t="s">
        <v>55</v>
      </c>
      <c r="F44" s="34"/>
      <c r="G44" s="34"/>
      <c r="H44" s="35"/>
      <c r="I44" s="35"/>
      <c r="J44" s="35"/>
      <c r="K44" s="35"/>
      <c r="L44" s="35"/>
      <c r="M44" s="83">
        <f>M42+M40</f>
        <v>194673951</v>
      </c>
      <c r="N44" s="83">
        <f t="shared" ref="N44" si="3">N42+N40</f>
        <v>19856389</v>
      </c>
    </row>
    <row r="51" spans="11:14">
      <c r="K51" s="9"/>
      <c r="L51" s="9"/>
      <c r="M51" s="9"/>
      <c r="N51" s="9"/>
    </row>
  </sheetData>
  <mergeCells count="4">
    <mergeCell ref="J1:M1"/>
    <mergeCell ref="J2:M2"/>
    <mergeCell ref="J4:L4"/>
    <mergeCell ref="M4:N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51"/>
  <sheetViews>
    <sheetView workbookViewId="0">
      <selection activeCell="P41" sqref="P41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3" width="19.28515625" customWidth="1"/>
  </cols>
  <sheetData>
    <row r="1" spans="1:13" ht="27.75" customHeight="1">
      <c r="J1" s="520" t="s">
        <v>528</v>
      </c>
      <c r="K1" s="520"/>
      <c r="L1" s="520"/>
      <c r="M1" s="520"/>
    </row>
    <row r="2" spans="1:13" ht="18.75">
      <c r="J2" s="521" t="s">
        <v>1</v>
      </c>
      <c r="K2" s="521"/>
      <c r="L2" s="521"/>
      <c r="M2" s="521"/>
    </row>
    <row r="3" spans="1:13" ht="15.75"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>
      <c r="E4" s="2"/>
    </row>
    <row r="5" spans="1:13" ht="45.7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1" t="s">
        <v>225</v>
      </c>
    </row>
    <row r="6" spans="1:13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58</v>
      </c>
    </row>
    <row r="7" spans="1:13" ht="12" customHeight="1">
      <c r="A7" s="8" t="s">
        <v>529</v>
      </c>
      <c r="I7" s="253"/>
      <c r="J7" s="253"/>
      <c r="K7" s="253"/>
      <c r="L7" s="253"/>
      <c r="M7" s="253"/>
    </row>
    <row r="8" spans="1:13">
      <c r="A8" s="8" t="s">
        <v>417</v>
      </c>
      <c r="I8" s="9"/>
      <c r="J8" s="9"/>
      <c r="K8" s="9"/>
      <c r="L8" s="9"/>
      <c r="M8" s="9"/>
    </row>
    <row r="9" spans="1:13">
      <c r="C9" t="s">
        <v>15</v>
      </c>
      <c r="H9" s="12"/>
      <c r="I9" s="12"/>
      <c r="J9" s="12"/>
      <c r="K9" s="12"/>
      <c r="L9" s="12"/>
      <c r="M9" s="12"/>
    </row>
    <row r="10" spans="1:13">
      <c r="D10" t="s">
        <v>61</v>
      </c>
      <c r="I10" s="88">
        <v>-168641</v>
      </c>
      <c r="J10" s="12"/>
      <c r="K10" s="12"/>
      <c r="L10" s="12"/>
      <c r="M10" s="12">
        <f t="shared" ref="M10:M20" si="0">SUM(I10:L10)</f>
        <v>-168641</v>
      </c>
    </row>
    <row r="11" spans="1:13">
      <c r="D11" t="s">
        <v>62</v>
      </c>
      <c r="I11" s="89">
        <v>-341137</v>
      </c>
      <c r="J11" s="12"/>
      <c r="K11" s="12"/>
      <c r="L11" s="12"/>
      <c r="M11" s="12">
        <f t="shared" si="0"/>
        <v>-341137</v>
      </c>
    </row>
    <row r="12" spans="1:13">
      <c r="D12" t="s">
        <v>63</v>
      </c>
      <c r="I12" s="91">
        <v>-28953</v>
      </c>
      <c r="J12" s="12"/>
      <c r="K12" s="12"/>
      <c r="L12" s="12"/>
      <c r="M12" s="12">
        <f t="shared" si="0"/>
        <v>-28953</v>
      </c>
    </row>
    <row r="13" spans="1:13">
      <c r="D13" t="s">
        <v>64</v>
      </c>
      <c r="I13" s="96">
        <v>-519235</v>
      </c>
      <c r="J13" s="12"/>
      <c r="K13" s="12"/>
      <c r="L13" s="12"/>
      <c r="M13" s="12">
        <f t="shared" si="0"/>
        <v>-519235</v>
      </c>
    </row>
    <row r="14" spans="1:13">
      <c r="D14" t="s">
        <v>530</v>
      </c>
      <c r="I14" s="95">
        <v>-604464</v>
      </c>
      <c r="J14" s="12"/>
      <c r="K14" s="12"/>
      <c r="L14" s="12"/>
      <c r="M14" s="12">
        <f t="shared" si="0"/>
        <v>-604464</v>
      </c>
    </row>
    <row r="15" spans="1:13">
      <c r="C15" t="s">
        <v>16</v>
      </c>
      <c r="H15" s="12"/>
      <c r="I15" s="13">
        <v>-293277</v>
      </c>
      <c r="J15" s="12">
        <v>97296</v>
      </c>
      <c r="K15" s="12">
        <v>41372</v>
      </c>
      <c r="L15" s="12">
        <v>290213</v>
      </c>
      <c r="M15" s="12">
        <f t="shared" si="0"/>
        <v>135604</v>
      </c>
    </row>
    <row r="16" spans="1:13">
      <c r="C16" t="s">
        <v>17</v>
      </c>
      <c r="H16" s="12"/>
      <c r="I16" s="14">
        <v>-2137142</v>
      </c>
      <c r="J16" s="12">
        <v>431989</v>
      </c>
      <c r="K16" s="12"/>
      <c r="L16" s="12"/>
      <c r="M16" s="12">
        <f t="shared" si="0"/>
        <v>-1705153</v>
      </c>
    </row>
    <row r="17" spans="1:13">
      <c r="C17" t="s">
        <v>19</v>
      </c>
      <c r="H17" s="12"/>
      <c r="I17" s="15">
        <v>-577960</v>
      </c>
      <c r="J17" s="12"/>
      <c r="K17" s="12"/>
      <c r="L17" s="12"/>
      <c r="M17" s="12">
        <f t="shared" si="0"/>
        <v>-577960</v>
      </c>
    </row>
    <row r="18" spans="1:13">
      <c r="C18" t="s">
        <v>20</v>
      </c>
      <c r="H18" s="12"/>
      <c r="I18" s="16">
        <v>-285685</v>
      </c>
      <c r="J18" s="12"/>
      <c r="K18" s="12">
        <v>21875</v>
      </c>
      <c r="L18" s="12"/>
      <c r="M18" s="12">
        <f t="shared" si="0"/>
        <v>-263810</v>
      </c>
    </row>
    <row r="19" spans="1:13">
      <c r="C19" t="s">
        <v>44</v>
      </c>
      <c r="H19" s="12"/>
      <c r="I19" s="92">
        <v>-390386</v>
      </c>
      <c r="J19" s="12">
        <v>1770</v>
      </c>
      <c r="K19" s="12">
        <v>58500</v>
      </c>
      <c r="L19" s="12"/>
      <c r="M19" s="12">
        <f t="shared" si="0"/>
        <v>-330116</v>
      </c>
    </row>
    <row r="20" spans="1:13">
      <c r="C20" t="s">
        <v>21</v>
      </c>
      <c r="H20" s="12"/>
      <c r="I20" s="89">
        <v>-40653</v>
      </c>
      <c r="J20" s="12"/>
      <c r="K20" s="12"/>
      <c r="L20" s="12"/>
      <c r="M20" s="12">
        <f t="shared" si="0"/>
        <v>-40653</v>
      </c>
    </row>
    <row r="21" spans="1:13">
      <c r="H21" s="12"/>
      <c r="I21" s="12"/>
      <c r="J21" s="12"/>
      <c r="K21" s="12"/>
      <c r="L21" s="12"/>
      <c r="M21" s="12"/>
    </row>
    <row r="22" spans="1:13">
      <c r="E22" s="19" t="s">
        <v>22</v>
      </c>
      <c r="F22" s="19"/>
      <c r="G22" s="19"/>
      <c r="H22" s="20"/>
      <c r="I22" s="20">
        <f>SUM(I10:I20)</f>
        <v>-5387533</v>
      </c>
      <c r="J22" s="20">
        <f t="shared" ref="J22:M22" si="1">SUM(J10:J20)</f>
        <v>531055</v>
      </c>
      <c r="K22" s="20">
        <f>SUM(K10:K20)</f>
        <v>121747</v>
      </c>
      <c r="L22" s="20">
        <f t="shared" si="1"/>
        <v>290213</v>
      </c>
      <c r="M22" s="20">
        <f t="shared" si="1"/>
        <v>-4444518</v>
      </c>
    </row>
    <row r="23" spans="1:13">
      <c r="H23" s="12"/>
      <c r="I23" s="12"/>
      <c r="J23" s="12"/>
      <c r="K23" s="12"/>
      <c r="L23" s="12"/>
      <c r="M23" s="12"/>
    </row>
    <row r="24" spans="1:13">
      <c r="A24" s="8"/>
      <c r="B24" s="8"/>
      <c r="C24" s="8"/>
      <c r="D24" s="8"/>
      <c r="E24" s="8"/>
      <c r="G24" s="8" t="s">
        <v>25</v>
      </c>
      <c r="H24" s="26"/>
      <c r="I24" s="26"/>
      <c r="J24" s="26"/>
      <c r="K24" s="26"/>
      <c r="L24" s="26"/>
      <c r="M24" s="26"/>
    </row>
    <row r="25" spans="1:13">
      <c r="A25" s="8"/>
      <c r="B25" s="8"/>
      <c r="C25" s="8"/>
      <c r="D25" s="8"/>
      <c r="E25" s="8"/>
      <c r="G25" s="27"/>
      <c r="H25" s="80" t="s">
        <v>26</v>
      </c>
      <c r="I25" s="26"/>
      <c r="J25" s="26"/>
      <c r="K25" s="26"/>
      <c r="L25" s="26"/>
      <c r="M25" s="26"/>
    </row>
    <row r="26" spans="1:13">
      <c r="H26" s="12"/>
      <c r="I26" s="12" t="s">
        <v>46</v>
      </c>
      <c r="J26" s="12"/>
      <c r="K26" s="12"/>
      <c r="L26" s="12"/>
      <c r="M26" s="28">
        <v>1492974</v>
      </c>
    </row>
    <row r="27" spans="1:13">
      <c r="H27" s="12"/>
      <c r="I27" s="12" t="s">
        <v>28</v>
      </c>
      <c r="J27" s="12"/>
      <c r="K27" s="12"/>
      <c r="L27" s="12"/>
      <c r="M27" s="14">
        <v>1652732</v>
      </c>
    </row>
    <row r="28" spans="1:13">
      <c r="H28" s="12"/>
      <c r="I28" s="12" t="s">
        <v>73</v>
      </c>
      <c r="J28" s="12"/>
      <c r="K28" s="12"/>
      <c r="L28" s="12"/>
      <c r="M28" s="15">
        <v>249703</v>
      </c>
    </row>
    <row r="29" spans="1:13">
      <c r="H29" s="12" t="s">
        <v>106</v>
      </c>
      <c r="I29" s="12"/>
      <c r="J29" s="12"/>
      <c r="K29" s="12"/>
      <c r="L29" s="12"/>
      <c r="M29" s="29">
        <v>66649</v>
      </c>
    </row>
    <row r="30" spans="1:13">
      <c r="H30" s="12" t="s">
        <v>531</v>
      </c>
      <c r="I30" s="12"/>
      <c r="J30" s="12"/>
      <c r="K30" s="12"/>
      <c r="L30" s="12"/>
      <c r="M30" s="12"/>
    </row>
    <row r="31" spans="1:13">
      <c r="H31" s="12"/>
      <c r="I31" s="12" t="s">
        <v>202</v>
      </c>
      <c r="J31" s="12"/>
      <c r="K31" s="12"/>
      <c r="L31" s="12"/>
      <c r="M31" s="29">
        <v>75743</v>
      </c>
    </row>
    <row r="32" spans="1:13">
      <c r="H32" s="12"/>
      <c r="I32" s="12" t="s">
        <v>48</v>
      </c>
      <c r="J32" s="12"/>
      <c r="K32" s="12"/>
      <c r="L32" s="12"/>
      <c r="M32" s="93">
        <v>44564</v>
      </c>
    </row>
    <row r="33" spans="5:13">
      <c r="H33" s="12"/>
      <c r="I33" s="12" t="s">
        <v>532</v>
      </c>
      <c r="J33" s="12"/>
      <c r="K33" s="12"/>
      <c r="L33" s="12"/>
      <c r="M33" s="29">
        <v>19973</v>
      </c>
    </row>
    <row r="34" spans="5:13">
      <c r="H34" s="12" t="s">
        <v>533</v>
      </c>
      <c r="I34" s="12"/>
      <c r="J34" s="12"/>
      <c r="K34" s="12"/>
      <c r="L34" s="12"/>
      <c r="M34" s="29">
        <v>29180</v>
      </c>
    </row>
    <row r="35" spans="5:13">
      <c r="H35" s="12" t="s">
        <v>169</v>
      </c>
      <c r="I35" s="12"/>
      <c r="J35" s="12"/>
      <c r="K35" s="12"/>
      <c r="L35" s="12"/>
      <c r="M35" s="29">
        <v>261346</v>
      </c>
    </row>
    <row r="36" spans="5:13">
      <c r="H36" s="12" t="s">
        <v>534</v>
      </c>
      <c r="I36" s="12"/>
      <c r="J36" s="12"/>
      <c r="K36" s="12"/>
      <c r="L36" s="12"/>
      <c r="M36" s="29">
        <v>750000</v>
      </c>
    </row>
    <row r="37" spans="5:13">
      <c r="H37" s="12"/>
      <c r="I37" s="12"/>
      <c r="J37" s="12"/>
      <c r="K37" s="12"/>
      <c r="L37" s="12"/>
      <c r="M37" s="12"/>
    </row>
    <row r="38" spans="5:13">
      <c r="H38" s="20" t="s">
        <v>535</v>
      </c>
      <c r="I38" s="20"/>
      <c r="J38" s="20"/>
      <c r="K38" s="20"/>
      <c r="L38" s="20"/>
      <c r="M38" s="20">
        <f>SUM(M26:M36)</f>
        <v>4642864</v>
      </c>
    </row>
    <row r="39" spans="5:13">
      <c r="H39" s="12"/>
      <c r="I39" s="12"/>
      <c r="J39" s="12"/>
      <c r="K39" s="12"/>
      <c r="L39" s="12"/>
      <c r="M39" s="12"/>
    </row>
    <row r="40" spans="5:13">
      <c r="H40" s="20" t="s">
        <v>424</v>
      </c>
      <c r="I40" s="20"/>
      <c r="J40" s="20"/>
      <c r="K40" s="20"/>
      <c r="L40" s="20"/>
      <c r="M40" s="20">
        <f>M38+M22</f>
        <v>198346</v>
      </c>
    </row>
    <row r="41" spans="5:13">
      <c r="H41" s="26"/>
      <c r="I41" s="26"/>
      <c r="J41" s="26"/>
      <c r="K41" s="26"/>
      <c r="L41" s="26"/>
      <c r="M41" s="26"/>
    </row>
    <row r="42" spans="5:13">
      <c r="E42" s="31" t="s">
        <v>380</v>
      </c>
      <c r="F42" s="31"/>
      <c r="G42" s="31"/>
      <c r="H42" s="32"/>
      <c r="I42" s="32"/>
      <c r="J42" s="32"/>
      <c r="K42" s="32"/>
      <c r="L42" s="32"/>
      <c r="M42" s="32">
        <v>11112921</v>
      </c>
    </row>
    <row r="43" spans="5:13">
      <c r="H43" s="12"/>
      <c r="I43" s="12"/>
      <c r="J43" s="12"/>
      <c r="K43" s="12"/>
      <c r="L43" s="12"/>
      <c r="M43" s="12"/>
    </row>
    <row r="44" spans="5:13">
      <c r="E44" s="34" t="s">
        <v>425</v>
      </c>
      <c r="F44" s="34"/>
      <c r="G44" s="34"/>
      <c r="H44" s="35"/>
      <c r="I44" s="35"/>
      <c r="J44" s="35"/>
      <c r="K44" s="35"/>
      <c r="L44" s="83"/>
      <c r="M44" s="83">
        <f>M42+M40</f>
        <v>11311267</v>
      </c>
    </row>
    <row r="51" spans="11:13">
      <c r="K51" s="9"/>
      <c r="L51" s="9"/>
      <c r="M51" s="9"/>
    </row>
  </sheetData>
  <mergeCells count="3">
    <mergeCell ref="J1:M1"/>
    <mergeCell ref="J2:M2"/>
    <mergeCell ref="J5:L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67"/>
  <sheetViews>
    <sheetView workbookViewId="0">
      <selection sqref="A1:XFD1048576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6.7109375" customWidth="1"/>
    <col min="8" max="8" width="3" customWidth="1"/>
    <col min="9" max="9" width="20.7109375" customWidth="1"/>
    <col min="10" max="10" width="18.85546875" bestFit="1" customWidth="1"/>
    <col min="11" max="11" width="19.28515625" customWidth="1"/>
    <col min="12" max="12" width="20" customWidth="1"/>
    <col min="13" max="13" width="19.7109375" customWidth="1"/>
    <col min="14" max="14" width="21" customWidth="1"/>
    <col min="15" max="15" width="20" customWidth="1"/>
    <col min="16" max="16" width="18.85546875" customWidth="1"/>
  </cols>
  <sheetData>
    <row r="1" spans="1:16" ht="20.25" customHeight="1">
      <c r="J1" s="520" t="s">
        <v>536</v>
      </c>
      <c r="K1" s="520"/>
      <c r="L1" s="520"/>
      <c r="M1" s="520"/>
      <c r="N1" s="419"/>
      <c r="O1" s="419"/>
    </row>
    <row r="2" spans="1:16" ht="18.75">
      <c r="J2" s="521" t="s">
        <v>1</v>
      </c>
      <c r="K2" s="521"/>
      <c r="L2" s="521"/>
      <c r="M2" s="521"/>
      <c r="N2" s="420"/>
      <c r="O2" s="420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.75">
      <c r="E4" s="2"/>
      <c r="M4" s="522" t="s">
        <v>2</v>
      </c>
      <c r="N4" s="522"/>
      <c r="O4" s="522"/>
      <c r="P4" s="522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6" t="s">
        <v>5</v>
      </c>
      <c r="N5" s="526"/>
      <c r="O5" s="526"/>
      <c r="P5" s="251"/>
    </row>
    <row r="6" spans="1:16" ht="33.950000000000003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12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-22999821</v>
      </c>
      <c r="J9" s="12">
        <v>9929607</v>
      </c>
      <c r="K9" s="12">
        <v>621619</v>
      </c>
      <c r="L9" s="12">
        <v>3275752</v>
      </c>
      <c r="M9" s="12">
        <f t="shared" ref="M9:M18" si="0">SUM(I9:L9)</f>
        <v>-9172843</v>
      </c>
      <c r="N9" s="12"/>
      <c r="O9" s="12">
        <f t="shared" ref="O9:O18" si="1">SUM(M9:N9)</f>
        <v>-9172843</v>
      </c>
    </row>
    <row r="10" spans="1:16">
      <c r="C10" t="s">
        <v>16</v>
      </c>
      <c r="H10" s="12"/>
      <c r="I10" s="13">
        <v>-30201770</v>
      </c>
      <c r="J10" s="12">
        <v>2326686</v>
      </c>
      <c r="K10" s="12">
        <v>3525652</v>
      </c>
      <c r="L10" s="12">
        <v>9100</v>
      </c>
      <c r="M10" s="12">
        <f t="shared" si="0"/>
        <v>-24340332</v>
      </c>
      <c r="N10" s="12"/>
      <c r="O10" s="12">
        <f t="shared" si="1"/>
        <v>-24340332</v>
      </c>
    </row>
    <row r="11" spans="1:16">
      <c r="C11" t="s">
        <v>328</v>
      </c>
      <c r="H11" s="12"/>
      <c r="I11" s="14">
        <v>-28131936</v>
      </c>
      <c r="J11" s="12">
        <v>49731</v>
      </c>
      <c r="K11" s="12">
        <v>1450558</v>
      </c>
      <c r="L11" s="12">
        <v>18282499</v>
      </c>
      <c r="M11" s="12">
        <f t="shared" si="0"/>
        <v>-8349148</v>
      </c>
      <c r="N11" s="12"/>
      <c r="O11" s="12">
        <f t="shared" si="1"/>
        <v>-8349148</v>
      </c>
    </row>
    <row r="12" spans="1:16">
      <c r="C12" t="s">
        <v>19</v>
      </c>
      <c r="H12" s="12"/>
      <c r="I12" s="15">
        <v>-12236783</v>
      </c>
      <c r="J12" s="12"/>
      <c r="K12" s="12">
        <v>4890325</v>
      </c>
      <c r="L12" s="12"/>
      <c r="M12" s="12">
        <f t="shared" si="0"/>
        <v>-7346458</v>
      </c>
      <c r="N12" s="12"/>
      <c r="O12" s="12">
        <f t="shared" si="1"/>
        <v>-7346458</v>
      </c>
    </row>
    <row r="13" spans="1:16">
      <c r="C13" t="s">
        <v>20</v>
      </c>
      <c r="H13" s="12"/>
      <c r="I13" s="16">
        <v>-2385729</v>
      </c>
      <c r="J13" s="12">
        <v>86742</v>
      </c>
      <c r="K13" s="12">
        <v>72694</v>
      </c>
      <c r="L13" s="12">
        <v>237831</v>
      </c>
      <c r="M13" s="12">
        <f t="shared" si="0"/>
        <v>-1988462</v>
      </c>
      <c r="N13" s="12"/>
      <c r="O13" s="12">
        <f t="shared" si="1"/>
        <v>-1988462</v>
      </c>
    </row>
    <row r="14" spans="1:16">
      <c r="C14" t="s">
        <v>537</v>
      </c>
      <c r="H14" s="12"/>
      <c r="I14" s="94">
        <v>-101172</v>
      </c>
      <c r="J14" s="12"/>
      <c r="K14" s="12"/>
      <c r="L14" s="12"/>
      <c r="M14" s="12">
        <f t="shared" si="0"/>
        <v>-101172</v>
      </c>
      <c r="N14" s="12"/>
      <c r="O14" s="12">
        <f t="shared" si="1"/>
        <v>-101172</v>
      </c>
    </row>
    <row r="15" spans="1:16">
      <c r="C15" t="s">
        <v>283</v>
      </c>
      <c r="H15" s="12"/>
      <c r="I15" s="94">
        <v>-939034</v>
      </c>
      <c r="J15" s="12"/>
      <c r="K15" s="12">
        <v>675082</v>
      </c>
      <c r="L15" s="12"/>
      <c r="M15" s="12">
        <f t="shared" si="0"/>
        <v>-263952</v>
      </c>
      <c r="N15" s="12"/>
      <c r="O15" s="12">
        <f t="shared" si="1"/>
        <v>-263952</v>
      </c>
    </row>
    <row r="16" spans="1:16">
      <c r="C16" t="s">
        <v>18</v>
      </c>
      <c r="H16" s="12"/>
      <c r="I16" s="92">
        <v>-16169215</v>
      </c>
      <c r="J16" s="12"/>
      <c r="K16" s="12">
        <v>15041481</v>
      </c>
      <c r="L16" s="12">
        <v>28184</v>
      </c>
      <c r="M16" s="12">
        <f>SUM(I16:L16)</f>
        <v>-1099550</v>
      </c>
      <c r="N16" s="12"/>
      <c r="O16" s="12">
        <f t="shared" si="1"/>
        <v>-1099550</v>
      </c>
    </row>
    <row r="17" spans="1:16">
      <c r="C17" t="s">
        <v>226</v>
      </c>
      <c r="H17" s="12"/>
      <c r="I17" s="94">
        <v>-296431</v>
      </c>
      <c r="J17" s="12"/>
      <c r="K17" s="12"/>
      <c r="L17" s="12">
        <v>392181</v>
      </c>
      <c r="M17" s="12">
        <f t="shared" si="0"/>
        <v>95750</v>
      </c>
      <c r="N17" s="12"/>
      <c r="O17" s="12">
        <f t="shared" si="1"/>
        <v>95750</v>
      </c>
    </row>
    <row r="18" spans="1:16">
      <c r="C18" t="s">
        <v>21</v>
      </c>
      <c r="H18" s="12"/>
      <c r="I18" s="89">
        <v>-4928181</v>
      </c>
      <c r="J18" s="12"/>
      <c r="K18" s="12"/>
      <c r="L18" s="12"/>
      <c r="M18" s="12">
        <f t="shared" si="0"/>
        <v>-4928181</v>
      </c>
      <c r="N18" s="12"/>
      <c r="O18" s="12">
        <f t="shared" si="1"/>
        <v>-4928181</v>
      </c>
    </row>
    <row r="19" spans="1:16">
      <c r="H19" s="12"/>
      <c r="I19" s="12"/>
      <c r="J19" s="12"/>
      <c r="K19" s="12"/>
      <c r="L19" s="12"/>
      <c r="M19" s="12"/>
      <c r="N19" s="12"/>
      <c r="O19" s="12"/>
    </row>
    <row r="20" spans="1:16">
      <c r="E20" s="19" t="s">
        <v>22</v>
      </c>
      <c r="F20" s="19"/>
      <c r="G20" s="19"/>
      <c r="H20" s="20"/>
      <c r="I20" s="20">
        <f>SUM(I9:I18)</f>
        <v>-118390072</v>
      </c>
      <c r="J20" s="20">
        <f>SUM(J9:J18)</f>
        <v>12392766</v>
      </c>
      <c r="K20" s="20">
        <f>SUM(K9:K18)</f>
        <v>26277411</v>
      </c>
      <c r="L20" s="20">
        <f>SUM(L9:L18)</f>
        <v>22225547</v>
      </c>
      <c r="M20" s="82">
        <f>SUM(M9:M18)</f>
        <v>-57494348</v>
      </c>
      <c r="N20" s="82"/>
      <c r="O20" s="82">
        <f>SUM(O9:O18)</f>
        <v>-57494348</v>
      </c>
      <c r="P20" s="84">
        <f>SUM(P9:P18)</f>
        <v>0</v>
      </c>
    </row>
    <row r="21" spans="1:16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6">
      <c r="B22" s="10" t="s">
        <v>116</v>
      </c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C23" t="s">
        <v>538</v>
      </c>
      <c r="E23" s="8"/>
      <c r="F23" s="8"/>
      <c r="G23" s="8"/>
      <c r="H23" s="26"/>
      <c r="I23" s="464">
        <v>-40624795</v>
      </c>
      <c r="J23" s="80">
        <v>46395086</v>
      </c>
      <c r="K23" s="80"/>
      <c r="L23" s="80"/>
      <c r="M23" s="80"/>
      <c r="N23" s="80">
        <f t="shared" ref="N23:N25" si="2">SUM(I23:L23)</f>
        <v>5770291</v>
      </c>
      <c r="O23" s="80">
        <f t="shared" ref="O23:O25" si="3">SUM(M23:N23)</f>
        <v>5770291</v>
      </c>
    </row>
    <row r="24" spans="1:16">
      <c r="C24" t="s">
        <v>539</v>
      </c>
      <c r="E24" s="8"/>
      <c r="F24" s="8"/>
      <c r="G24" s="8"/>
      <c r="H24" s="26"/>
      <c r="I24" s="464">
        <v>-9318611</v>
      </c>
      <c r="J24" s="80">
        <v>8133483</v>
      </c>
      <c r="K24" s="80"/>
      <c r="L24" s="80">
        <v>609643</v>
      </c>
      <c r="M24" s="80"/>
      <c r="N24" s="80">
        <f t="shared" si="2"/>
        <v>-575485</v>
      </c>
      <c r="O24" s="80">
        <f t="shared" si="3"/>
        <v>-575485</v>
      </c>
    </row>
    <row r="25" spans="1:16">
      <c r="C25" t="s">
        <v>92</v>
      </c>
      <c r="E25" s="8"/>
      <c r="F25" s="8"/>
      <c r="G25" s="8"/>
      <c r="H25" s="26"/>
      <c r="I25" s="465">
        <v>-13473382</v>
      </c>
      <c r="J25" s="80">
        <v>8263891</v>
      </c>
      <c r="K25" s="80">
        <v>332956</v>
      </c>
      <c r="L25" s="80"/>
      <c r="M25" s="80"/>
      <c r="N25" s="80">
        <f t="shared" si="2"/>
        <v>-4876535</v>
      </c>
      <c r="O25" s="80">
        <f t="shared" si="3"/>
        <v>-4876535</v>
      </c>
    </row>
    <row r="26" spans="1:16">
      <c r="C26" t="s">
        <v>540</v>
      </c>
      <c r="E26" s="8"/>
      <c r="F26" s="8"/>
      <c r="G26" s="8"/>
      <c r="H26" s="26"/>
      <c r="I26" s="466">
        <v>-2304351</v>
      </c>
      <c r="J26" s="80">
        <v>482837</v>
      </c>
      <c r="K26" s="80"/>
      <c r="L26" s="80"/>
      <c r="M26" s="80"/>
      <c r="N26" s="80">
        <f>SUM(I26:L26)</f>
        <v>-1821514</v>
      </c>
      <c r="O26" s="80">
        <f>SUM(M26:N26)</f>
        <v>-1821514</v>
      </c>
    </row>
    <row r="27" spans="1:16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6">
      <c r="E28" s="19" t="s">
        <v>232</v>
      </c>
      <c r="F28" s="19"/>
      <c r="G28" s="19"/>
      <c r="H28" s="20"/>
      <c r="I28" s="20">
        <f t="shared" ref="I28:P28" si="4">SUM(I23:I26)</f>
        <v>-65721139</v>
      </c>
      <c r="J28" s="20">
        <f t="shared" si="4"/>
        <v>63275297</v>
      </c>
      <c r="K28" s="20">
        <f t="shared" si="4"/>
        <v>332956</v>
      </c>
      <c r="L28" s="20">
        <f t="shared" si="4"/>
        <v>609643</v>
      </c>
      <c r="M28" s="82">
        <f t="shared" si="4"/>
        <v>0</v>
      </c>
      <c r="N28" s="82">
        <f t="shared" si="4"/>
        <v>-1503243</v>
      </c>
      <c r="O28" s="82">
        <f t="shared" si="4"/>
        <v>-1503243</v>
      </c>
      <c r="P28" s="82">
        <f t="shared" si="4"/>
        <v>0</v>
      </c>
    </row>
    <row r="29" spans="1:16">
      <c r="E29" s="8"/>
      <c r="F29" s="8"/>
      <c r="G29" s="8"/>
      <c r="H29" s="26"/>
      <c r="I29" s="26"/>
      <c r="J29" s="26"/>
      <c r="K29" s="26"/>
      <c r="L29" s="26"/>
      <c r="M29" s="26"/>
      <c r="N29" s="26"/>
      <c r="O29" s="26"/>
    </row>
    <row r="30" spans="1:16">
      <c r="E30" s="19" t="s">
        <v>67</v>
      </c>
      <c r="F30" s="19"/>
      <c r="G30" s="19"/>
      <c r="H30" s="20"/>
      <c r="I30" s="20">
        <f>I28+I20</f>
        <v>-184111211</v>
      </c>
      <c r="J30" s="20">
        <f>J28+J20</f>
        <v>75668063</v>
      </c>
      <c r="K30" s="20">
        <f>SUM(K20+K28)</f>
        <v>26610367</v>
      </c>
      <c r="L30" s="20">
        <f>SUM(L20+L28)</f>
        <v>22835190</v>
      </c>
      <c r="M30" s="82">
        <f>M28+M20</f>
        <v>-57494348</v>
      </c>
      <c r="N30" s="82">
        <f>N28+N20</f>
        <v>-1503243</v>
      </c>
      <c r="O30" s="82">
        <f>O28+O20</f>
        <v>-58997591</v>
      </c>
      <c r="P30" s="82">
        <f>P28+P20</f>
        <v>0</v>
      </c>
    </row>
    <row r="31" spans="1:16">
      <c r="E31" s="8"/>
      <c r="F31" s="8"/>
      <c r="G31" s="8"/>
      <c r="H31" s="26"/>
      <c r="I31" s="26"/>
      <c r="J31" s="26"/>
      <c r="K31" s="26"/>
      <c r="L31" s="26"/>
      <c r="M31" s="26"/>
      <c r="N31" s="26"/>
      <c r="O31" s="26"/>
    </row>
    <row r="32" spans="1:16">
      <c r="A32" s="10" t="s">
        <v>23</v>
      </c>
      <c r="H32" s="12"/>
      <c r="I32" s="12"/>
      <c r="J32" s="12"/>
      <c r="K32" s="12"/>
      <c r="L32" s="12"/>
      <c r="M32" s="12"/>
      <c r="N32" s="12"/>
      <c r="O32" s="12"/>
    </row>
    <row r="33" spans="1:16">
      <c r="B33" t="s">
        <v>15</v>
      </c>
      <c r="H33" s="12"/>
      <c r="I33" s="12">
        <v>-3197912</v>
      </c>
      <c r="J33" s="12">
        <v>1225172</v>
      </c>
      <c r="K33" s="12">
        <v>211112</v>
      </c>
      <c r="L33" s="12"/>
      <c r="M33" s="12"/>
      <c r="N33" s="12"/>
      <c r="O33" s="12"/>
      <c r="P33" s="12">
        <f t="shared" ref="P33:P39" si="5">SUM(I33:L33)</f>
        <v>-1761628</v>
      </c>
    </row>
    <row r="34" spans="1:16">
      <c r="B34" t="s">
        <v>131</v>
      </c>
      <c r="H34" s="12"/>
      <c r="I34" s="12">
        <v>-12738098</v>
      </c>
      <c r="J34" s="12">
        <v>8110174</v>
      </c>
      <c r="K34" s="12">
        <v>3621152</v>
      </c>
      <c r="L34" s="12"/>
      <c r="M34" s="12"/>
      <c r="N34" s="12"/>
      <c r="O34" s="12"/>
      <c r="P34" s="12">
        <f t="shared" si="5"/>
        <v>-1006772</v>
      </c>
    </row>
    <row r="35" spans="1:16">
      <c r="B35" t="s">
        <v>16</v>
      </c>
      <c r="H35" s="12"/>
      <c r="I35" s="12">
        <v>-28826451</v>
      </c>
      <c r="J35" s="12">
        <v>1828136</v>
      </c>
      <c r="K35" s="12">
        <v>1570970</v>
      </c>
      <c r="L35" s="12">
        <v>8491164</v>
      </c>
      <c r="M35" s="12"/>
      <c r="N35" s="12"/>
      <c r="O35" s="12"/>
      <c r="P35" s="12">
        <f t="shared" si="5"/>
        <v>-16936181</v>
      </c>
    </row>
    <row r="36" spans="1:16">
      <c r="B36" t="s">
        <v>541</v>
      </c>
      <c r="H36" s="12"/>
      <c r="I36" s="12">
        <v>-244954792</v>
      </c>
      <c r="J36" s="12">
        <v>236037701</v>
      </c>
      <c r="K36" s="12">
        <v>1188434</v>
      </c>
      <c r="L36" s="12">
        <v>435604</v>
      </c>
      <c r="M36" s="12"/>
      <c r="N36" s="12"/>
      <c r="O36" s="12"/>
      <c r="P36" s="12">
        <f t="shared" si="5"/>
        <v>-7293053</v>
      </c>
    </row>
    <row r="37" spans="1:16">
      <c r="B37" t="s">
        <v>20</v>
      </c>
      <c r="H37" s="12"/>
      <c r="I37" s="12">
        <v>-12465925</v>
      </c>
      <c r="J37" s="12">
        <v>714595</v>
      </c>
      <c r="K37" s="12">
        <v>336345</v>
      </c>
      <c r="L37" s="12">
        <v>49067</v>
      </c>
      <c r="M37" s="12"/>
      <c r="N37" s="12"/>
      <c r="O37" s="12"/>
      <c r="P37" s="12">
        <f t="shared" si="5"/>
        <v>-11365918</v>
      </c>
    </row>
    <row r="38" spans="1:16">
      <c r="B38" t="s">
        <v>18</v>
      </c>
      <c r="H38" s="12"/>
      <c r="I38" s="12">
        <v>-7772757</v>
      </c>
      <c r="J38" s="12"/>
      <c r="K38" s="12">
        <v>3245144</v>
      </c>
      <c r="L38" s="12">
        <v>2552088</v>
      </c>
      <c r="M38" s="12"/>
      <c r="N38" s="12"/>
      <c r="O38" s="12"/>
      <c r="P38" s="12">
        <f t="shared" si="5"/>
        <v>-1975525</v>
      </c>
    </row>
    <row r="39" spans="1:16">
      <c r="B39" t="s">
        <v>542</v>
      </c>
      <c r="H39" s="12"/>
      <c r="I39" s="12">
        <v>-15888446</v>
      </c>
      <c r="J39" s="12">
        <v>17775446</v>
      </c>
      <c r="K39" s="12"/>
      <c r="L39" s="12">
        <v>1109797</v>
      </c>
      <c r="M39" s="12"/>
      <c r="N39" s="12"/>
      <c r="O39" s="12"/>
      <c r="P39" s="12">
        <f t="shared" si="5"/>
        <v>2996797</v>
      </c>
    </row>
    <row r="40" spans="1:16">
      <c r="H40" s="12"/>
      <c r="I40" s="12"/>
      <c r="J40" s="12"/>
      <c r="K40" s="12"/>
      <c r="L40" s="12"/>
      <c r="M40" s="12"/>
      <c r="N40" s="12"/>
      <c r="O40" s="12"/>
    </row>
    <row r="41" spans="1:16">
      <c r="E41" s="19" t="s">
        <v>70</v>
      </c>
      <c r="F41" s="19"/>
      <c r="G41" s="19"/>
      <c r="H41" s="20"/>
      <c r="I41" s="20">
        <f t="shared" ref="I41:P41" si="6">SUM(I33:I39)</f>
        <v>-325844381</v>
      </c>
      <c r="J41" s="20">
        <f t="shared" si="6"/>
        <v>265691224</v>
      </c>
      <c r="K41" s="20">
        <f t="shared" si="6"/>
        <v>10173157</v>
      </c>
      <c r="L41" s="20">
        <f t="shared" si="6"/>
        <v>12637720</v>
      </c>
      <c r="M41" s="82">
        <f t="shared" si="6"/>
        <v>0</v>
      </c>
      <c r="N41" s="82">
        <f t="shared" si="6"/>
        <v>0</v>
      </c>
      <c r="O41" s="82">
        <f t="shared" si="6"/>
        <v>0</v>
      </c>
      <c r="P41" s="85">
        <f t="shared" si="6"/>
        <v>-37342280</v>
      </c>
    </row>
    <row r="42" spans="1:16">
      <c r="H42" s="12"/>
      <c r="I42" s="12"/>
      <c r="J42" s="12"/>
      <c r="K42" s="12"/>
      <c r="L42" s="12"/>
      <c r="M42" s="12"/>
      <c r="N42" s="12"/>
      <c r="O42" s="12"/>
    </row>
    <row r="43" spans="1:16">
      <c r="A43" s="8"/>
      <c r="B43" s="8"/>
      <c r="C43" s="8"/>
      <c r="D43" s="8"/>
      <c r="E43" s="8"/>
      <c r="G43" s="8" t="s">
        <v>25</v>
      </c>
      <c r="H43" s="26"/>
      <c r="I43" s="26"/>
      <c r="J43" s="26"/>
      <c r="K43" s="26"/>
      <c r="L43" s="26"/>
      <c r="M43" s="12"/>
      <c r="N43" s="12"/>
      <c r="O43" s="12"/>
    </row>
    <row r="44" spans="1:16">
      <c r="A44" s="8"/>
      <c r="B44" s="8"/>
      <c r="C44" s="8"/>
      <c r="D44" s="8"/>
      <c r="E44" s="8"/>
      <c r="G44" s="8"/>
      <c r="H44" s="80" t="s">
        <v>26</v>
      </c>
      <c r="I44" s="26"/>
      <c r="J44" s="26"/>
      <c r="K44" s="26"/>
      <c r="L44" s="26"/>
      <c r="M44" s="12"/>
      <c r="N44" s="12"/>
      <c r="O44" s="12"/>
    </row>
    <row r="45" spans="1:16">
      <c r="H45" s="12"/>
      <c r="I45" s="12" t="s">
        <v>27</v>
      </c>
      <c r="J45" s="12"/>
      <c r="K45" s="12"/>
      <c r="L45" s="12"/>
      <c r="M45" s="28">
        <v>26726303</v>
      </c>
      <c r="N45" s="12">
        <v>9718364</v>
      </c>
      <c r="O45" s="12">
        <v>36444667</v>
      </c>
      <c r="P45" s="12">
        <v>44055179</v>
      </c>
    </row>
    <row r="46" spans="1:16">
      <c r="H46" s="12"/>
      <c r="I46" s="12" t="s">
        <v>47</v>
      </c>
      <c r="J46" s="12"/>
      <c r="K46" s="12"/>
      <c r="L46" s="12"/>
      <c r="M46" s="14">
        <v>44756815</v>
      </c>
      <c r="N46" s="12"/>
      <c r="O46" s="12">
        <v>44756815</v>
      </c>
      <c r="P46" s="12">
        <v>12712611</v>
      </c>
    </row>
    <row r="47" spans="1:16">
      <c r="H47" s="12"/>
      <c r="I47" s="12" t="s">
        <v>157</v>
      </c>
      <c r="J47" s="12"/>
      <c r="K47" s="12"/>
      <c r="L47" s="12"/>
      <c r="M47" s="14">
        <v>1756724</v>
      </c>
      <c r="N47" s="12"/>
      <c r="O47" s="12">
        <f t="shared" ref="O47:O52" si="7">SUM(M47:N47)</f>
        <v>1756724</v>
      </c>
      <c r="P47" s="12"/>
    </row>
    <row r="48" spans="1:16">
      <c r="H48" s="12"/>
      <c r="I48" s="12" t="s">
        <v>237</v>
      </c>
      <c r="J48" s="12"/>
      <c r="K48" s="12"/>
      <c r="L48" s="12"/>
      <c r="M48" s="12"/>
      <c r="N48" s="12">
        <v>339074</v>
      </c>
      <c r="O48" s="12">
        <v>339074</v>
      </c>
      <c r="P48" s="12">
        <v>2891562</v>
      </c>
    </row>
    <row r="49" spans="5:16">
      <c r="H49" s="12" t="s">
        <v>33</v>
      </c>
      <c r="I49" s="12"/>
      <c r="J49" s="12"/>
      <c r="K49" s="12"/>
      <c r="L49" s="12"/>
      <c r="M49" s="11">
        <v>9745773</v>
      </c>
      <c r="N49" s="12"/>
      <c r="O49" s="12">
        <v>9745773</v>
      </c>
      <c r="P49" s="12">
        <v>5144526</v>
      </c>
    </row>
    <row r="50" spans="5:16">
      <c r="H50" s="12" t="s">
        <v>107</v>
      </c>
      <c r="I50" s="12"/>
      <c r="J50" s="12"/>
      <c r="K50" s="12"/>
      <c r="L50" s="12"/>
      <c r="M50" s="11">
        <v>772038</v>
      </c>
      <c r="N50" s="12">
        <v>633084</v>
      </c>
      <c r="O50" s="12">
        <v>1405122</v>
      </c>
      <c r="P50" s="12">
        <v>970397</v>
      </c>
    </row>
    <row r="51" spans="5:16">
      <c r="H51" s="12" t="s">
        <v>36</v>
      </c>
      <c r="I51" s="12"/>
      <c r="J51" s="12"/>
      <c r="K51" s="12"/>
      <c r="L51" s="12"/>
      <c r="M51" s="29">
        <v>532437</v>
      </c>
      <c r="N51" s="12"/>
      <c r="O51" s="12">
        <v>532437</v>
      </c>
      <c r="P51" s="12">
        <v>539545</v>
      </c>
    </row>
    <row r="52" spans="5:16">
      <c r="H52" s="12" t="s">
        <v>37</v>
      </c>
      <c r="I52" s="12"/>
      <c r="J52" s="12"/>
      <c r="K52" s="12"/>
      <c r="L52" s="12"/>
      <c r="M52" s="88">
        <v>2675391</v>
      </c>
      <c r="N52" s="12">
        <v>-2675391</v>
      </c>
      <c r="O52" s="12">
        <f t="shared" si="7"/>
        <v>0</v>
      </c>
      <c r="P52" s="12"/>
    </row>
    <row r="53" spans="5:16">
      <c r="H53" s="12"/>
      <c r="I53" s="12"/>
      <c r="J53" s="12"/>
      <c r="K53" s="12"/>
      <c r="L53" s="12"/>
      <c r="M53" s="12"/>
      <c r="N53" s="12"/>
      <c r="O53" s="12"/>
    </row>
    <row r="54" spans="5:16">
      <c r="H54" s="20" t="s">
        <v>243</v>
      </c>
      <c r="I54" s="20"/>
      <c r="J54" s="20"/>
      <c r="K54" s="20"/>
      <c r="L54" s="20"/>
      <c r="M54" s="20">
        <f>SUM(M45:M52)</f>
        <v>86965481</v>
      </c>
      <c r="N54" s="20">
        <f>SUM(N45:N52)</f>
        <v>8015131</v>
      </c>
      <c r="O54" s="20">
        <f>SUM(O45:O52)</f>
        <v>94980612</v>
      </c>
      <c r="P54" s="85">
        <f>SUM(P45:P52)</f>
        <v>66313820</v>
      </c>
    </row>
    <row r="55" spans="5:16">
      <c r="H55" s="12"/>
      <c r="I55" s="12"/>
      <c r="J55" s="12"/>
      <c r="K55" s="12"/>
      <c r="L55" s="12"/>
      <c r="M55" s="12"/>
      <c r="N55" s="12"/>
      <c r="O55" s="12"/>
    </row>
    <row r="56" spans="5:16">
      <c r="H56" s="20" t="s">
        <v>39</v>
      </c>
      <c r="I56" s="20"/>
      <c r="J56" s="20"/>
      <c r="K56" s="20"/>
      <c r="L56" s="20"/>
      <c r="M56" s="20">
        <v>29471133</v>
      </c>
      <c r="N56" s="20">
        <v>6511888</v>
      </c>
      <c r="O56" s="20">
        <v>35983021</v>
      </c>
      <c r="P56" s="82">
        <v>28971540</v>
      </c>
    </row>
    <row r="57" spans="5:16">
      <c r="H57" s="26"/>
      <c r="I57" s="26"/>
      <c r="J57" s="26"/>
      <c r="K57" s="26"/>
      <c r="L57" s="26"/>
      <c r="M57" s="26"/>
      <c r="N57" s="26"/>
      <c r="O57" s="26"/>
    </row>
    <row r="58" spans="5:16">
      <c r="E58" s="31" t="s">
        <v>40</v>
      </c>
      <c r="F58" s="31"/>
      <c r="G58" s="31"/>
      <c r="H58" s="32"/>
      <c r="I58" s="32"/>
      <c r="J58" s="32"/>
      <c r="K58" s="32"/>
      <c r="L58" s="32"/>
      <c r="M58" s="33">
        <v>316367798</v>
      </c>
      <c r="N58" s="33">
        <v>183859508</v>
      </c>
      <c r="O58" s="33">
        <f>SUM(M58:N58)</f>
        <v>500227306</v>
      </c>
      <c r="P58" s="86">
        <v>822810609</v>
      </c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E60" s="34" t="s">
        <v>41</v>
      </c>
      <c r="F60" s="34"/>
      <c r="G60" s="34"/>
      <c r="H60" s="35"/>
      <c r="I60" s="35"/>
      <c r="J60" s="35"/>
      <c r="K60" s="35"/>
      <c r="L60" s="35"/>
      <c r="M60" s="83">
        <f>SUM(M56,M58)</f>
        <v>345838931</v>
      </c>
      <c r="N60" s="83">
        <f>N58+N56</f>
        <v>190371396</v>
      </c>
      <c r="O60" s="83">
        <f>O58+O56</f>
        <v>536210327</v>
      </c>
      <c r="P60" s="87">
        <f>P58+P56</f>
        <v>851782149</v>
      </c>
    </row>
    <row r="67" spans="11:15">
      <c r="K67" s="9"/>
      <c r="L67" s="9"/>
      <c r="M67" s="9"/>
      <c r="N67" s="9"/>
      <c r="O67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47"/>
  <sheetViews>
    <sheetView workbookViewId="0">
      <selection activeCell="K5" sqref="K5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2.85546875" customWidth="1"/>
  </cols>
  <sheetData>
    <row r="1" spans="1:13" ht="30" customHeight="1">
      <c r="J1" s="520" t="s">
        <v>543</v>
      </c>
      <c r="K1" s="520"/>
      <c r="L1" s="520"/>
      <c r="M1" s="520"/>
    </row>
    <row r="2" spans="1:13" ht="21.75" customHeight="1">
      <c r="J2" s="521" t="s">
        <v>1</v>
      </c>
      <c r="K2" s="521"/>
      <c r="L2" s="521"/>
      <c r="M2" s="521"/>
    </row>
    <row r="3" spans="1:13" ht="15" customHeight="1">
      <c r="E3" s="2"/>
    </row>
    <row r="4" spans="1:13" ht="15" customHeight="1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433"/>
    </row>
    <row r="5" spans="1:13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431" t="s">
        <v>2</v>
      </c>
    </row>
    <row r="6" spans="1:13" ht="20.25" customHeight="1">
      <c r="A6" s="8" t="s">
        <v>13</v>
      </c>
      <c r="I6" s="9"/>
      <c r="J6" s="9"/>
      <c r="K6" s="9"/>
      <c r="L6" s="9"/>
    </row>
    <row r="7" spans="1:13">
      <c r="B7" s="10" t="s">
        <v>14</v>
      </c>
      <c r="I7" s="9"/>
      <c r="J7" s="9"/>
      <c r="K7" s="9"/>
      <c r="L7" s="9"/>
      <c r="M7" s="9"/>
    </row>
    <row r="8" spans="1:13">
      <c r="C8" t="s">
        <v>15</v>
      </c>
      <c r="H8" s="12"/>
      <c r="I8" s="11">
        <v>-2049624</v>
      </c>
      <c r="J8" s="12">
        <v>146302</v>
      </c>
      <c r="K8" s="12">
        <v>41599</v>
      </c>
      <c r="L8" s="12"/>
      <c r="M8" s="12">
        <f t="shared" ref="M8:M16" si="0">SUM(I8:L8)</f>
        <v>-1861723</v>
      </c>
    </row>
    <row r="9" spans="1:13">
      <c r="C9" t="s">
        <v>16</v>
      </c>
      <c r="H9" s="12"/>
      <c r="I9" s="13">
        <v>-4377482</v>
      </c>
      <c r="J9" s="12">
        <v>2380646</v>
      </c>
      <c r="K9" s="12">
        <v>123557</v>
      </c>
      <c r="L9" s="12">
        <v>335225</v>
      </c>
      <c r="M9" s="12">
        <f t="shared" si="0"/>
        <v>-1538054</v>
      </c>
    </row>
    <row r="10" spans="1:13">
      <c r="C10" t="s">
        <v>17</v>
      </c>
      <c r="H10" s="12"/>
      <c r="I10" s="14">
        <v>-5704715</v>
      </c>
      <c r="J10" s="12">
        <v>1310783</v>
      </c>
      <c r="K10" s="12">
        <v>527598</v>
      </c>
      <c r="L10" s="12">
        <v>97460</v>
      </c>
      <c r="M10" s="12">
        <f t="shared" si="0"/>
        <v>-3768874</v>
      </c>
    </row>
    <row r="11" spans="1:13">
      <c r="C11" t="s">
        <v>19</v>
      </c>
      <c r="H11" s="12"/>
      <c r="I11" s="15">
        <v>-1861820</v>
      </c>
      <c r="J11" s="12">
        <v>18509</v>
      </c>
      <c r="K11" s="12">
        <v>1452424</v>
      </c>
      <c r="L11" s="12">
        <v>28400</v>
      </c>
      <c r="M11" s="12">
        <f>SUM(I11:L11)</f>
        <v>-362487</v>
      </c>
    </row>
    <row r="12" spans="1:13">
      <c r="C12" t="s">
        <v>20</v>
      </c>
      <c r="H12" s="12"/>
      <c r="I12" s="16">
        <v>-448971</v>
      </c>
      <c r="J12" s="12">
        <v>11385</v>
      </c>
      <c r="K12" s="12">
        <v>56554</v>
      </c>
      <c r="L12" s="12"/>
      <c r="M12" s="12">
        <f t="shared" si="0"/>
        <v>-381032</v>
      </c>
    </row>
    <row r="13" spans="1:13">
      <c r="C13" t="s">
        <v>18</v>
      </c>
      <c r="H13" s="12"/>
      <c r="I13" s="92">
        <v>-54593</v>
      </c>
      <c r="J13" s="12"/>
      <c r="K13" s="12"/>
      <c r="L13" s="12"/>
      <c r="M13" s="12">
        <f t="shared" si="0"/>
        <v>-54593</v>
      </c>
    </row>
    <row r="14" spans="1:13">
      <c r="C14" t="s">
        <v>164</v>
      </c>
      <c r="H14" s="12"/>
      <c r="I14" s="14">
        <v>-146467</v>
      </c>
      <c r="J14" s="12"/>
      <c r="K14" s="12">
        <v>7350</v>
      </c>
      <c r="L14" s="12">
        <v>57230</v>
      </c>
      <c r="M14" s="12">
        <f t="shared" si="0"/>
        <v>-81887</v>
      </c>
    </row>
    <row r="15" spans="1:13">
      <c r="C15" t="s">
        <v>185</v>
      </c>
      <c r="H15" s="12"/>
      <c r="I15" s="89">
        <v>-21200</v>
      </c>
      <c r="J15" s="12"/>
      <c r="K15" s="12"/>
      <c r="L15" s="12"/>
      <c r="M15" s="12">
        <f t="shared" si="0"/>
        <v>-21200</v>
      </c>
    </row>
    <row r="16" spans="1:13">
      <c r="C16" t="s">
        <v>544</v>
      </c>
      <c r="H16" s="12"/>
      <c r="I16" s="94">
        <v>-233477</v>
      </c>
      <c r="J16" s="12"/>
      <c r="K16" s="12"/>
      <c r="L16" s="12"/>
      <c r="M16" s="12">
        <f t="shared" si="0"/>
        <v>-233477</v>
      </c>
    </row>
    <row r="17" spans="1:13">
      <c r="H17" s="12"/>
      <c r="I17" s="12"/>
      <c r="J17" s="12"/>
      <c r="K17" s="12"/>
      <c r="L17" s="12"/>
      <c r="M17" s="12"/>
    </row>
    <row r="18" spans="1:13">
      <c r="E18" s="19" t="s">
        <v>22</v>
      </c>
      <c r="F18" s="19"/>
      <c r="G18" s="19"/>
      <c r="H18" s="20"/>
      <c r="I18" s="20">
        <f>SUM(I8:I16)</f>
        <v>-14898349</v>
      </c>
      <c r="J18" s="20">
        <f>SUM(J8:J16)</f>
        <v>3867625</v>
      </c>
      <c r="K18" s="20">
        <f>SUM(K8:K16)</f>
        <v>2209082</v>
      </c>
      <c r="L18" s="20">
        <f>SUM(L8:L16)</f>
        <v>518315</v>
      </c>
      <c r="M18" s="82">
        <f>SUM(M8:M16)</f>
        <v>-8303327</v>
      </c>
    </row>
    <row r="19" spans="1:13">
      <c r="E19" s="8"/>
      <c r="F19" s="8"/>
      <c r="G19" s="8"/>
      <c r="H19" s="26"/>
      <c r="I19" s="26"/>
      <c r="J19" s="26"/>
      <c r="K19" s="26"/>
      <c r="L19" s="26"/>
      <c r="M19" s="26"/>
    </row>
    <row r="20" spans="1:13">
      <c r="A20" s="8"/>
      <c r="B20" s="8"/>
      <c r="C20" s="8"/>
      <c r="D20" s="8"/>
      <c r="E20" s="8"/>
      <c r="G20" s="8" t="s">
        <v>25</v>
      </c>
      <c r="H20" s="26"/>
      <c r="I20" s="26"/>
      <c r="J20" s="26"/>
      <c r="K20" s="26"/>
      <c r="L20" s="26"/>
      <c r="M20" s="12"/>
    </row>
    <row r="21" spans="1:13">
      <c r="A21" s="8"/>
      <c r="B21" s="8"/>
      <c r="C21" s="8"/>
      <c r="D21" s="8"/>
      <c r="E21" s="8"/>
      <c r="G21" s="8"/>
      <c r="H21" s="80" t="s">
        <v>165</v>
      </c>
      <c r="I21" s="26"/>
      <c r="J21" s="26"/>
      <c r="K21" s="26"/>
      <c r="L21" s="26"/>
      <c r="M21" s="12"/>
    </row>
    <row r="22" spans="1:13">
      <c r="H22" s="12"/>
      <c r="I22" s="12" t="s">
        <v>166</v>
      </c>
      <c r="J22" s="12"/>
      <c r="K22" s="12"/>
      <c r="L22" s="12"/>
      <c r="M22" s="28">
        <v>678193</v>
      </c>
    </row>
    <row r="23" spans="1:13">
      <c r="H23" s="12"/>
      <c r="I23" s="12" t="s">
        <v>17</v>
      </c>
      <c r="J23" s="12"/>
      <c r="K23" s="12"/>
      <c r="L23" s="12"/>
      <c r="M23" s="28">
        <v>1727325</v>
      </c>
    </row>
    <row r="24" spans="1:13">
      <c r="H24" s="12"/>
      <c r="I24" s="12" t="s">
        <v>19</v>
      </c>
      <c r="J24" s="12"/>
      <c r="K24" s="12"/>
      <c r="L24" s="12"/>
      <c r="M24" s="28">
        <v>260332</v>
      </c>
    </row>
    <row r="25" spans="1:13">
      <c r="H25" s="12"/>
      <c r="I25" s="12" t="s">
        <v>20</v>
      </c>
      <c r="J25" s="12"/>
      <c r="K25" s="12"/>
      <c r="L25" s="12"/>
      <c r="M25" s="28">
        <v>520221</v>
      </c>
    </row>
    <row r="26" spans="1:13">
      <c r="H26" s="12" t="s">
        <v>192</v>
      </c>
      <c r="I26" s="12"/>
      <c r="J26" s="12"/>
      <c r="K26" s="12"/>
      <c r="L26" s="12"/>
      <c r="M26" s="14">
        <v>2448065</v>
      </c>
    </row>
    <row r="27" spans="1:13">
      <c r="H27" s="12" t="s">
        <v>168</v>
      </c>
      <c r="I27" s="12"/>
      <c r="J27" s="12"/>
      <c r="K27" s="12"/>
      <c r="L27" s="12"/>
      <c r="M27" s="15">
        <v>24678</v>
      </c>
    </row>
    <row r="28" spans="1:13">
      <c r="H28" s="12" t="s">
        <v>33</v>
      </c>
      <c r="I28" s="12"/>
      <c r="J28" s="12"/>
      <c r="K28" s="12"/>
      <c r="L28" s="12"/>
      <c r="M28" s="11">
        <v>963168</v>
      </c>
    </row>
    <row r="29" spans="1:13">
      <c r="H29" s="12" t="s">
        <v>107</v>
      </c>
      <c r="I29" s="12"/>
      <c r="J29" s="12"/>
      <c r="K29" s="12"/>
      <c r="L29" s="12"/>
      <c r="M29" s="29">
        <v>2177</v>
      </c>
    </row>
    <row r="30" spans="1:13">
      <c r="H30" s="12" t="s">
        <v>545</v>
      </c>
      <c r="I30" s="12"/>
      <c r="J30" s="12"/>
      <c r="K30" s="12"/>
      <c r="L30" s="12"/>
      <c r="M30" s="29">
        <v>1010</v>
      </c>
    </row>
    <row r="31" spans="1:13">
      <c r="H31" s="12" t="s">
        <v>523</v>
      </c>
      <c r="I31" s="12"/>
      <c r="J31" s="12"/>
      <c r="K31" s="12"/>
      <c r="L31" s="12"/>
      <c r="M31" s="88">
        <v>1611</v>
      </c>
    </row>
    <row r="32" spans="1:13">
      <c r="H32" s="12" t="s">
        <v>32</v>
      </c>
      <c r="I32" s="12"/>
      <c r="J32" s="12"/>
      <c r="K32" s="12"/>
      <c r="L32" s="12"/>
      <c r="M32" s="29">
        <v>406267</v>
      </c>
    </row>
    <row r="33" spans="5:13">
      <c r="H33" s="12"/>
      <c r="I33" s="12"/>
      <c r="J33" s="12"/>
      <c r="K33" s="12"/>
      <c r="L33" s="12"/>
      <c r="M33" s="12"/>
    </row>
    <row r="34" spans="5:13">
      <c r="H34" s="20" t="s">
        <v>38</v>
      </c>
      <c r="I34" s="20"/>
      <c r="J34" s="20"/>
      <c r="K34" s="20"/>
      <c r="L34" s="20"/>
      <c r="M34" s="20">
        <f>SUM(M22:M32)</f>
        <v>7033047</v>
      </c>
    </row>
    <row r="35" spans="5:13">
      <c r="H35" s="12"/>
      <c r="I35" s="12"/>
      <c r="J35" s="12"/>
      <c r="K35" s="12"/>
      <c r="L35" s="12"/>
      <c r="M35" s="12"/>
    </row>
    <row r="36" spans="5:13">
      <c r="H36" s="20" t="s">
        <v>39</v>
      </c>
      <c r="I36" s="20"/>
      <c r="J36" s="20"/>
      <c r="K36" s="20"/>
      <c r="L36" s="20"/>
      <c r="M36" s="20">
        <f>M34+M18</f>
        <v>-1270280</v>
      </c>
    </row>
    <row r="37" spans="5:13">
      <c r="H37" s="26"/>
      <c r="I37" s="26"/>
      <c r="J37" s="26"/>
      <c r="K37" s="26"/>
      <c r="L37" s="26"/>
      <c r="M37" s="26"/>
    </row>
    <row r="38" spans="5:13">
      <c r="E38" s="31" t="s">
        <v>54</v>
      </c>
      <c r="F38" s="31"/>
      <c r="G38" s="31"/>
      <c r="H38" s="32"/>
      <c r="I38" s="32"/>
      <c r="J38" s="32"/>
      <c r="K38" s="32"/>
      <c r="L38" s="32"/>
      <c r="M38" s="33">
        <v>21393990</v>
      </c>
    </row>
    <row r="39" spans="5:13">
      <c r="H39" s="12"/>
      <c r="I39" s="12"/>
      <c r="J39" s="12"/>
      <c r="K39" s="12"/>
      <c r="L39" s="12"/>
      <c r="M39" s="12"/>
    </row>
    <row r="40" spans="5:13">
      <c r="E40" s="34" t="s">
        <v>55</v>
      </c>
      <c r="F40" s="34"/>
      <c r="G40" s="34"/>
      <c r="H40" s="35"/>
      <c r="I40" s="35"/>
      <c r="J40" s="35"/>
      <c r="K40" s="35"/>
      <c r="L40" s="35"/>
      <c r="M40" s="83">
        <f>SUM(M36,M38)</f>
        <v>20123710</v>
      </c>
    </row>
    <row r="47" spans="5:13">
      <c r="K47" s="9"/>
      <c r="L47" s="9"/>
      <c r="M47" s="9"/>
    </row>
  </sheetData>
  <mergeCells count="3">
    <mergeCell ref="J1:M1"/>
    <mergeCell ref="J2:M2"/>
    <mergeCell ref="J4:L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59"/>
  <sheetViews>
    <sheetView topLeftCell="A10" workbookViewId="0">
      <selection activeCell="G23" sqref="G23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3.28515625" customWidth="1"/>
    <col min="10" max="10" width="18.85546875" bestFit="1" customWidth="1"/>
    <col min="11" max="12" width="19.28515625" customWidth="1"/>
    <col min="13" max="13" width="20.140625" bestFit="1" customWidth="1"/>
    <col min="14" max="14" width="17" customWidth="1"/>
    <col min="15" max="15" width="15.42578125" customWidth="1"/>
    <col min="16" max="16" width="13.85546875" customWidth="1"/>
  </cols>
  <sheetData>
    <row r="1" spans="1:16" ht="30" customHeight="1">
      <c r="J1" s="520" t="s">
        <v>546</v>
      </c>
      <c r="K1" s="520"/>
      <c r="L1" s="520"/>
      <c r="M1" s="520"/>
    </row>
    <row r="2" spans="1:16" ht="21.75" customHeight="1">
      <c r="J2" s="521" t="s">
        <v>1</v>
      </c>
      <c r="K2" s="521"/>
      <c r="L2" s="521"/>
      <c r="M2" s="521"/>
    </row>
    <row r="3" spans="1:16" ht="21.75" customHeight="1">
      <c r="J3" s="420"/>
      <c r="K3" s="252"/>
      <c r="L3" s="420"/>
      <c r="M3" s="420"/>
    </row>
    <row r="4" spans="1:16" ht="18.75" customHeight="1">
      <c r="E4" s="3"/>
      <c r="F4" s="3"/>
      <c r="G4" s="3"/>
      <c r="H4" s="3"/>
      <c r="I4" s="3"/>
      <c r="J4" s="3"/>
      <c r="K4" s="3"/>
      <c r="L4" s="3"/>
    </row>
    <row r="5" spans="1:16" ht="30.75" customHeight="1">
      <c r="E5" s="2"/>
      <c r="M5" s="526" t="s">
        <v>2</v>
      </c>
      <c r="N5" s="526"/>
      <c r="O5" s="526"/>
      <c r="P5" s="526"/>
    </row>
    <row r="6" spans="1:16" ht="15.75" customHeight="1">
      <c r="A6" t="s">
        <v>3</v>
      </c>
      <c r="C6" s="4"/>
      <c r="D6" s="4"/>
      <c r="E6" s="4"/>
      <c r="F6" s="4"/>
      <c r="G6" s="4"/>
      <c r="H6" s="4"/>
      <c r="I6" s="4"/>
      <c r="J6" s="522" t="s">
        <v>4</v>
      </c>
      <c r="K6" s="522"/>
      <c r="L6" s="522"/>
      <c r="M6" s="435" t="s">
        <v>5</v>
      </c>
      <c r="N6" s="532" t="s">
        <v>12</v>
      </c>
      <c r="O6" s="532"/>
    </row>
    <row r="7" spans="1:16" ht="58.5" customHeight="1">
      <c r="A7" s="5" t="s">
        <v>547</v>
      </c>
      <c r="B7" s="228"/>
      <c r="C7" s="228"/>
      <c r="D7" s="228"/>
      <c r="E7" s="228"/>
      <c r="F7" s="228"/>
      <c r="G7" s="228"/>
      <c r="H7" s="228"/>
      <c r="I7" s="6" t="s">
        <v>7</v>
      </c>
      <c r="J7" s="6" t="s">
        <v>548</v>
      </c>
      <c r="K7" s="6" t="s">
        <v>9</v>
      </c>
      <c r="L7" s="6" t="s">
        <v>10</v>
      </c>
      <c r="M7" s="6" t="s">
        <v>58</v>
      </c>
      <c r="N7" s="81" t="s">
        <v>549</v>
      </c>
      <c r="O7" s="81" t="s">
        <v>550</v>
      </c>
    </row>
    <row r="8" spans="1:16" ht="17.25" customHeight="1">
      <c r="A8" s="8" t="s">
        <v>13</v>
      </c>
      <c r="I8" s="9"/>
      <c r="J8" s="9"/>
      <c r="K8" s="9"/>
      <c r="L8" s="9"/>
    </row>
    <row r="9" spans="1:16">
      <c r="B9" s="10" t="s">
        <v>14</v>
      </c>
      <c r="I9" s="9"/>
      <c r="J9" s="9"/>
      <c r="K9" s="9"/>
      <c r="L9" s="9"/>
      <c r="M9" s="9"/>
    </row>
    <row r="10" spans="1:16">
      <c r="C10" t="s">
        <v>15</v>
      </c>
      <c r="H10" s="12"/>
      <c r="I10" s="11">
        <v>-3824064</v>
      </c>
      <c r="J10" s="12">
        <v>363</v>
      </c>
      <c r="K10" s="12">
        <v>58170</v>
      </c>
      <c r="L10" s="12"/>
      <c r="M10" s="12">
        <f>SUM(I10:L10)</f>
        <v>-3765531</v>
      </c>
      <c r="O10" s="12"/>
    </row>
    <row r="11" spans="1:16">
      <c r="C11" t="s">
        <v>17</v>
      </c>
      <c r="H11" s="12"/>
      <c r="I11" s="14">
        <v>-11157407</v>
      </c>
      <c r="J11" s="12"/>
      <c r="K11" s="12">
        <v>1896046</v>
      </c>
      <c r="L11" s="12">
        <v>8175269</v>
      </c>
      <c r="M11" s="12">
        <f t="shared" ref="M11:M17" si="0">SUM(I11:L11)</f>
        <v>-1086092</v>
      </c>
      <c r="O11" s="12"/>
    </row>
    <row r="12" spans="1:16">
      <c r="C12" t="s">
        <v>16</v>
      </c>
      <c r="H12" s="12"/>
      <c r="I12" s="13">
        <v>-3405434</v>
      </c>
      <c r="J12" s="12">
        <v>670042</v>
      </c>
      <c r="K12" s="12">
        <v>20745</v>
      </c>
      <c r="L12" s="12">
        <v>100621</v>
      </c>
      <c r="M12" s="12">
        <f t="shared" si="0"/>
        <v>-2614026</v>
      </c>
      <c r="O12" s="12"/>
    </row>
    <row r="13" spans="1:16">
      <c r="C13" t="s">
        <v>551</v>
      </c>
      <c r="H13" s="12"/>
      <c r="I13" s="94">
        <v>-5660129</v>
      </c>
      <c r="J13" s="12">
        <v>854150</v>
      </c>
      <c r="K13" s="12"/>
      <c r="L13" s="12"/>
      <c r="M13" s="12">
        <f t="shared" si="0"/>
        <v>-4805979</v>
      </c>
      <c r="O13" s="12"/>
    </row>
    <row r="14" spans="1:16">
      <c r="C14" t="s">
        <v>19</v>
      </c>
      <c r="H14" s="12"/>
      <c r="I14" s="15">
        <v>-1718417</v>
      </c>
      <c r="J14" s="12">
        <v>38147</v>
      </c>
      <c r="K14" s="12">
        <v>279144</v>
      </c>
      <c r="L14" s="12"/>
      <c r="M14" s="12">
        <f t="shared" si="0"/>
        <v>-1401126</v>
      </c>
      <c r="O14" s="12"/>
    </row>
    <row r="15" spans="1:16">
      <c r="C15" t="s">
        <v>44</v>
      </c>
      <c r="H15" s="12"/>
      <c r="I15" s="92">
        <v>-179403</v>
      </c>
      <c r="J15" s="12"/>
      <c r="K15" s="12"/>
      <c r="L15" s="12"/>
      <c r="M15" s="12">
        <f t="shared" si="0"/>
        <v>-179403</v>
      </c>
      <c r="O15" s="12"/>
    </row>
    <row r="16" spans="1:16">
      <c r="C16" t="s">
        <v>20</v>
      </c>
      <c r="H16" s="12"/>
      <c r="I16" s="16">
        <v>-101372</v>
      </c>
      <c r="J16" s="12"/>
      <c r="K16" s="12"/>
      <c r="L16" s="12"/>
      <c r="M16" s="12">
        <f t="shared" si="0"/>
        <v>-101372</v>
      </c>
      <c r="O16" s="12"/>
    </row>
    <row r="17" spans="1:15">
      <c r="C17" t="s">
        <v>21</v>
      </c>
      <c r="H17" s="12"/>
      <c r="I17" s="89">
        <v>-82753</v>
      </c>
      <c r="J17" s="12"/>
      <c r="K17" s="12"/>
      <c r="L17" s="12"/>
      <c r="M17" s="12">
        <f t="shared" si="0"/>
        <v>-82753</v>
      </c>
      <c r="O17" s="12"/>
    </row>
    <row r="18" spans="1:15">
      <c r="H18" s="12"/>
      <c r="I18" s="12"/>
      <c r="J18" s="12"/>
      <c r="K18" s="12"/>
      <c r="L18" s="12"/>
      <c r="M18" s="12"/>
    </row>
    <row r="19" spans="1:15">
      <c r="E19" s="19" t="s">
        <v>22</v>
      </c>
      <c r="F19" s="19"/>
      <c r="G19" s="19"/>
      <c r="H19" s="20"/>
      <c r="I19" s="20">
        <f t="shared" ref="I19:O19" si="1">SUM(I10:I17)</f>
        <v>-26128979</v>
      </c>
      <c r="J19" s="20">
        <f t="shared" si="1"/>
        <v>1562702</v>
      </c>
      <c r="K19" s="20">
        <f t="shared" si="1"/>
        <v>2254105</v>
      </c>
      <c r="L19" s="20">
        <f t="shared" si="1"/>
        <v>8275890</v>
      </c>
      <c r="M19" s="82">
        <f t="shared" si="1"/>
        <v>-14036282</v>
      </c>
      <c r="N19" s="84">
        <f t="shared" si="1"/>
        <v>0</v>
      </c>
      <c r="O19" s="84">
        <f t="shared" si="1"/>
        <v>0</v>
      </c>
    </row>
    <row r="20" spans="1:15">
      <c r="E20" s="8"/>
      <c r="F20" s="8"/>
      <c r="G20" s="8"/>
      <c r="H20" s="26"/>
      <c r="I20" s="26"/>
      <c r="J20" s="26"/>
      <c r="K20" s="26"/>
      <c r="L20" s="26"/>
      <c r="M20" s="26"/>
    </row>
    <row r="21" spans="1:15">
      <c r="A21" s="10" t="s">
        <v>23</v>
      </c>
      <c r="H21" s="12"/>
      <c r="I21" s="12"/>
      <c r="J21" s="12"/>
      <c r="K21" s="12"/>
      <c r="L21" s="12"/>
      <c r="M21" s="12"/>
    </row>
    <row r="22" spans="1:15">
      <c r="B22" t="s">
        <v>552</v>
      </c>
      <c r="H22" s="12"/>
      <c r="I22" s="94">
        <v>-880645</v>
      </c>
      <c r="J22" s="12">
        <v>216403</v>
      </c>
      <c r="K22" s="12">
        <v>212751</v>
      </c>
      <c r="L22" s="12"/>
      <c r="M22" s="12"/>
      <c r="N22" s="12">
        <f>SUM(I22:K22)</f>
        <v>-451491</v>
      </c>
      <c r="O22" s="12"/>
    </row>
    <row r="23" spans="1:15">
      <c r="B23" t="s">
        <v>553</v>
      </c>
      <c r="H23" s="12"/>
      <c r="I23" s="94">
        <v>-580873</v>
      </c>
      <c r="J23" s="12"/>
      <c r="K23" s="12">
        <v>450000</v>
      </c>
      <c r="L23" s="12"/>
      <c r="M23" s="12"/>
      <c r="N23" s="12"/>
      <c r="O23" s="12">
        <f>SUM(I23:L23)</f>
        <v>-130873</v>
      </c>
    </row>
    <row r="24" spans="1:15">
      <c r="H24" s="12"/>
      <c r="I24" s="12"/>
      <c r="J24" s="12"/>
      <c r="K24" s="12"/>
      <c r="L24" s="12"/>
      <c r="M24" s="12"/>
    </row>
    <row r="25" spans="1:15">
      <c r="E25" s="19" t="s">
        <v>70</v>
      </c>
      <c r="F25" s="19"/>
      <c r="G25" s="19"/>
      <c r="H25" s="20"/>
      <c r="I25" s="20">
        <f t="shared" ref="I25:O25" si="2">SUM(I22:I23)</f>
        <v>-1461518</v>
      </c>
      <c r="J25" s="20">
        <f t="shared" si="2"/>
        <v>216403</v>
      </c>
      <c r="K25" s="327">
        <f t="shared" si="2"/>
        <v>662751</v>
      </c>
      <c r="L25" s="20">
        <f t="shared" si="2"/>
        <v>0</v>
      </c>
      <c r="M25" s="82">
        <f t="shared" si="2"/>
        <v>0</v>
      </c>
      <c r="N25" s="22">
        <f t="shared" si="2"/>
        <v>-451491</v>
      </c>
      <c r="O25" s="85">
        <f t="shared" si="2"/>
        <v>-130873</v>
      </c>
    </row>
    <row r="26" spans="1:15">
      <c r="H26" s="12"/>
      <c r="I26" s="12"/>
      <c r="J26" s="12"/>
      <c r="K26" s="12"/>
      <c r="L26" s="12"/>
      <c r="M26" s="12"/>
    </row>
    <row r="27" spans="1:15">
      <c r="A27" s="8"/>
      <c r="B27" s="8"/>
      <c r="C27" s="8"/>
      <c r="D27" s="8"/>
      <c r="E27" s="8"/>
      <c r="G27" s="8" t="s">
        <v>25</v>
      </c>
      <c r="H27" s="26"/>
      <c r="I27" s="26"/>
      <c r="J27" s="26"/>
      <c r="K27" s="26"/>
      <c r="L27" s="26"/>
      <c r="M27" s="12"/>
    </row>
    <row r="28" spans="1:15">
      <c r="A28" s="8"/>
      <c r="B28" s="8"/>
      <c r="C28" s="8"/>
      <c r="D28" s="8"/>
      <c r="E28" s="8"/>
      <c r="G28" s="8"/>
      <c r="H28" s="80" t="s">
        <v>26</v>
      </c>
      <c r="I28" s="26"/>
      <c r="J28" s="26"/>
      <c r="K28" s="26"/>
      <c r="L28" s="26"/>
      <c r="M28" s="12"/>
    </row>
    <row r="29" spans="1:15">
      <c r="H29" s="12"/>
      <c r="I29" s="12" t="s">
        <v>80</v>
      </c>
      <c r="J29" s="12"/>
      <c r="K29" s="12"/>
      <c r="L29" s="12"/>
      <c r="M29" s="28">
        <v>5551166</v>
      </c>
      <c r="N29" s="12"/>
      <c r="O29" s="12"/>
    </row>
    <row r="30" spans="1:15">
      <c r="H30" s="12"/>
      <c r="I30" s="12" t="s">
        <v>554</v>
      </c>
      <c r="J30" s="12"/>
      <c r="K30" s="12"/>
      <c r="L30" s="12"/>
      <c r="M30" s="28">
        <v>337234</v>
      </c>
      <c r="N30" s="12"/>
      <c r="O30" s="12"/>
    </row>
    <row r="31" spans="1:15">
      <c r="H31" s="12"/>
      <c r="I31" s="12" t="s">
        <v>81</v>
      </c>
      <c r="J31" s="12"/>
      <c r="K31" s="12"/>
      <c r="L31" s="12"/>
      <c r="M31" s="14">
        <v>12466647</v>
      </c>
      <c r="N31" s="12"/>
      <c r="O31" s="12">
        <v>67745</v>
      </c>
    </row>
    <row r="32" spans="1:15">
      <c r="H32" s="12"/>
      <c r="I32" s="12" t="s">
        <v>305</v>
      </c>
      <c r="J32" s="12"/>
      <c r="K32" s="12"/>
      <c r="L32" s="12"/>
      <c r="M32" s="15">
        <v>986599</v>
      </c>
      <c r="N32" s="12"/>
      <c r="O32" s="12"/>
    </row>
    <row r="33" spans="8:15">
      <c r="H33" s="12"/>
      <c r="I33" s="12" t="s">
        <v>555</v>
      </c>
      <c r="J33" s="12"/>
      <c r="K33" s="12"/>
      <c r="L33" s="12"/>
      <c r="M33" s="14">
        <v>150603</v>
      </c>
      <c r="N33" s="12"/>
      <c r="O33" s="12"/>
    </row>
    <row r="34" spans="8:15">
      <c r="H34" s="12"/>
      <c r="I34" s="12" t="s">
        <v>262</v>
      </c>
      <c r="J34" s="12"/>
      <c r="K34" s="12"/>
      <c r="L34" s="12"/>
      <c r="M34" s="15">
        <v>9774</v>
      </c>
      <c r="O34" s="12"/>
    </row>
    <row r="35" spans="8:15">
      <c r="H35" s="12" t="s">
        <v>82</v>
      </c>
      <c r="I35" s="12"/>
      <c r="J35" s="12"/>
      <c r="K35" s="12"/>
      <c r="L35" s="12"/>
      <c r="M35" s="12"/>
      <c r="O35" s="12"/>
    </row>
    <row r="36" spans="8:15">
      <c r="H36" s="12"/>
      <c r="I36" s="12" t="s">
        <v>48</v>
      </c>
      <c r="J36" s="12"/>
      <c r="K36" s="12"/>
      <c r="L36" s="12"/>
      <c r="M36" s="93">
        <v>364486</v>
      </c>
      <c r="O36" s="12"/>
    </row>
    <row r="37" spans="8:15">
      <c r="H37" s="12"/>
      <c r="I37" s="12" t="s">
        <v>142</v>
      </c>
      <c r="J37" s="12"/>
      <c r="K37" s="12"/>
      <c r="L37" s="12"/>
      <c r="M37" s="11">
        <v>238229</v>
      </c>
      <c r="O37" s="12"/>
    </row>
    <row r="38" spans="8:15">
      <c r="H38" s="12" t="s">
        <v>556</v>
      </c>
      <c r="I38" s="12"/>
      <c r="J38" s="12"/>
      <c r="K38" s="12"/>
      <c r="L38" s="12"/>
      <c r="M38" s="29">
        <v>617026</v>
      </c>
      <c r="O38" s="12"/>
    </row>
    <row r="39" spans="8:15">
      <c r="H39" s="12" t="s">
        <v>557</v>
      </c>
      <c r="I39" s="12"/>
      <c r="J39" s="12"/>
      <c r="K39" s="12"/>
      <c r="L39" s="12"/>
      <c r="M39" s="29">
        <v>290358</v>
      </c>
      <c r="N39">
        <v>46</v>
      </c>
      <c r="O39" s="12">
        <v>408</v>
      </c>
    </row>
    <row r="40" spans="8:15">
      <c r="H40" s="12" t="s">
        <v>36</v>
      </c>
      <c r="I40" s="12"/>
      <c r="J40" s="12"/>
      <c r="K40" s="12"/>
      <c r="L40" s="12"/>
      <c r="M40" s="29">
        <v>286203</v>
      </c>
      <c r="N40">
        <v>100</v>
      </c>
      <c r="O40" s="12">
        <v>43730</v>
      </c>
    </row>
    <row r="41" spans="8:15">
      <c r="H41" s="12" t="s">
        <v>159</v>
      </c>
      <c r="I41" s="12"/>
      <c r="J41" s="12"/>
      <c r="K41" s="12"/>
      <c r="L41" s="12"/>
      <c r="M41" s="29">
        <v>1371494</v>
      </c>
      <c r="O41" s="12"/>
    </row>
    <row r="42" spans="8:15">
      <c r="H42" s="12" t="s">
        <v>558</v>
      </c>
      <c r="I42" s="12"/>
      <c r="J42" s="12"/>
      <c r="K42" s="12"/>
      <c r="L42" s="12"/>
      <c r="M42" s="29">
        <v>25000</v>
      </c>
      <c r="N42" s="9"/>
      <c r="O42" s="12"/>
    </row>
    <row r="43" spans="8:15">
      <c r="H43" s="12" t="s">
        <v>559</v>
      </c>
      <c r="I43" s="12"/>
      <c r="J43" s="12"/>
      <c r="K43" s="12"/>
      <c r="L43" s="12"/>
      <c r="M43" s="29">
        <v>-2639616</v>
      </c>
      <c r="N43" s="9"/>
      <c r="O43" s="12"/>
    </row>
    <row r="44" spans="8:15">
      <c r="H44" s="12" t="s">
        <v>37</v>
      </c>
      <c r="I44" s="12"/>
      <c r="J44" s="12"/>
      <c r="K44" s="12"/>
      <c r="L44" s="12"/>
      <c r="M44" s="88">
        <v>-440000</v>
      </c>
      <c r="N44" s="9">
        <v>440000</v>
      </c>
      <c r="O44" s="12"/>
    </row>
    <row r="45" spans="8:15">
      <c r="H45" s="12"/>
      <c r="I45" s="12"/>
      <c r="J45" s="12"/>
      <c r="K45" s="12"/>
      <c r="L45" s="12"/>
      <c r="M45" s="12"/>
    </row>
    <row r="46" spans="8:15">
      <c r="H46" s="20" t="s">
        <v>195</v>
      </c>
      <c r="I46" s="20"/>
      <c r="J46" s="20"/>
      <c r="K46" s="20"/>
      <c r="L46" s="20"/>
      <c r="M46" s="20">
        <f>SUM(M29:M44)</f>
        <v>19615203</v>
      </c>
      <c r="N46" s="85">
        <f>SUM(N29:N44)</f>
        <v>440146</v>
      </c>
      <c r="O46" s="85">
        <f>SUM(O29:O44)</f>
        <v>111883</v>
      </c>
    </row>
    <row r="47" spans="8:15">
      <c r="H47" s="12"/>
      <c r="I47" s="12"/>
      <c r="J47" s="12"/>
      <c r="K47" s="12"/>
      <c r="L47" s="12"/>
      <c r="M47" s="12"/>
    </row>
    <row r="48" spans="8:15">
      <c r="H48" s="20" t="s">
        <v>53</v>
      </c>
      <c r="I48" s="20"/>
      <c r="J48" s="20"/>
      <c r="K48" s="20"/>
      <c r="L48" s="20"/>
      <c r="M48" s="20">
        <f>M46+M19</f>
        <v>5578921</v>
      </c>
      <c r="N48" s="85">
        <f>N46+N25</f>
        <v>-11345</v>
      </c>
      <c r="O48" s="85">
        <f>O46+O25+O19</f>
        <v>-18990</v>
      </c>
    </row>
    <row r="49" spans="5:15">
      <c r="H49" s="26"/>
      <c r="I49" s="26"/>
      <c r="J49" s="26"/>
      <c r="K49" s="26"/>
      <c r="L49" s="26"/>
      <c r="M49" s="26"/>
    </row>
    <row r="50" spans="5:15">
      <c r="E50" s="31" t="s">
        <v>560</v>
      </c>
      <c r="F50" s="31"/>
      <c r="G50" s="31"/>
      <c r="H50" s="32"/>
      <c r="I50" s="32"/>
      <c r="J50" s="32"/>
      <c r="K50" s="32"/>
      <c r="L50" s="32"/>
      <c r="M50" s="33">
        <v>135649977</v>
      </c>
      <c r="N50" s="86">
        <v>217747</v>
      </c>
      <c r="O50" s="86">
        <v>244164</v>
      </c>
    </row>
    <row r="51" spans="5:15">
      <c r="H51" s="12"/>
      <c r="I51" s="12"/>
      <c r="J51" s="12"/>
      <c r="K51" s="12"/>
      <c r="L51" s="12"/>
      <c r="M51" s="12"/>
    </row>
    <row r="52" spans="5:15">
      <c r="E52" s="34" t="s">
        <v>561</v>
      </c>
      <c r="F52" s="34"/>
      <c r="G52" s="34"/>
      <c r="H52" s="35"/>
      <c r="I52" s="35"/>
      <c r="J52" s="35"/>
      <c r="K52" s="35"/>
      <c r="L52" s="35"/>
      <c r="M52" s="83">
        <f>M50+M48</f>
        <v>141228898</v>
      </c>
      <c r="N52" s="83">
        <f t="shared" ref="N52:O52" si="3">N50+N48</f>
        <v>206402</v>
      </c>
      <c r="O52" s="83">
        <f t="shared" si="3"/>
        <v>225174</v>
      </c>
    </row>
    <row r="59" spans="5:15">
      <c r="K59" s="9"/>
      <c r="L59" s="9"/>
      <c r="M59" s="9"/>
    </row>
  </sheetData>
  <mergeCells count="5">
    <mergeCell ref="J1:M1"/>
    <mergeCell ref="J2:M2"/>
    <mergeCell ref="M5:P5"/>
    <mergeCell ref="J6:L6"/>
    <mergeCell ref="N6:O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47"/>
  <sheetViews>
    <sheetView workbookViewId="0">
      <selection activeCell="F13" sqref="F13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7.140625" customWidth="1"/>
    <col min="14" max="14" width="15.85546875" customWidth="1"/>
  </cols>
  <sheetData>
    <row r="1" spans="1:14" ht="27.75" customHeight="1">
      <c r="J1" s="520" t="s">
        <v>562</v>
      </c>
      <c r="K1" s="520"/>
      <c r="L1" s="520"/>
      <c r="M1" s="520"/>
    </row>
    <row r="2" spans="1:14" ht="18.75">
      <c r="J2" s="521" t="s">
        <v>1</v>
      </c>
      <c r="K2" s="521"/>
      <c r="L2" s="521"/>
      <c r="M2" s="521"/>
    </row>
    <row r="3" spans="1:14" ht="15.75">
      <c r="E3" s="3"/>
      <c r="F3" s="3"/>
      <c r="G3" s="3"/>
      <c r="H3" s="3"/>
      <c r="I3" s="3"/>
      <c r="J3" s="3"/>
      <c r="K3" s="3"/>
      <c r="L3" s="3"/>
      <c r="M3" s="3"/>
    </row>
    <row r="4" spans="1:14" ht="15.75" customHeight="1">
      <c r="E4" s="2"/>
    </row>
    <row r="5" spans="1:14" ht="45.7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3" t="s">
        <v>57</v>
      </c>
      <c r="N5" s="523"/>
    </row>
    <row r="6" spans="1:14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>
        <v>2014</v>
      </c>
      <c r="N6" s="7">
        <v>2013</v>
      </c>
    </row>
    <row r="7" spans="1:14">
      <c r="A7" s="8" t="s">
        <v>417</v>
      </c>
      <c r="I7" s="9"/>
      <c r="J7" s="9"/>
      <c r="K7" s="9"/>
      <c r="L7" s="9"/>
      <c r="M7" s="9"/>
    </row>
    <row r="8" spans="1:14">
      <c r="C8" t="s">
        <v>15</v>
      </c>
      <c r="H8" s="12"/>
      <c r="I8" s="12"/>
      <c r="J8" s="12"/>
      <c r="K8" s="12"/>
      <c r="L8" s="12"/>
      <c r="M8" s="12"/>
    </row>
    <row r="9" spans="1:14">
      <c r="D9" t="s">
        <v>61</v>
      </c>
      <c r="I9" s="88">
        <v>-534105</v>
      </c>
      <c r="J9" s="12"/>
      <c r="K9" s="12"/>
      <c r="L9" s="12"/>
      <c r="M9" s="12">
        <f t="shared" ref="M9:M19" si="0">SUM(I9:L9)</f>
        <v>-534105</v>
      </c>
      <c r="N9">
        <v>-514101</v>
      </c>
    </row>
    <row r="10" spans="1:14">
      <c r="D10" t="s">
        <v>62</v>
      </c>
      <c r="I10" s="89">
        <v>-1647975</v>
      </c>
      <c r="J10" s="12">
        <v>705992</v>
      </c>
      <c r="K10" s="12">
        <v>77419</v>
      </c>
      <c r="L10" s="12"/>
      <c r="M10" s="12">
        <f t="shared" si="0"/>
        <v>-864564</v>
      </c>
      <c r="N10" s="12">
        <v>-615918</v>
      </c>
    </row>
    <row r="11" spans="1:14">
      <c r="D11" t="s">
        <v>63</v>
      </c>
      <c r="I11" s="91">
        <v>-51780</v>
      </c>
      <c r="J11" s="12"/>
      <c r="K11" s="12"/>
      <c r="L11" s="12"/>
      <c r="M11" s="12">
        <f t="shared" si="0"/>
        <v>-51780</v>
      </c>
      <c r="N11">
        <v>-83787</v>
      </c>
    </row>
    <row r="12" spans="1:14">
      <c r="D12" t="s">
        <v>64</v>
      </c>
      <c r="I12" s="96">
        <v>-4195643</v>
      </c>
      <c r="J12" s="12">
        <v>280732</v>
      </c>
      <c r="K12" s="12"/>
      <c r="L12" s="12"/>
      <c r="M12" s="12">
        <f t="shared" si="0"/>
        <v>-3914911</v>
      </c>
      <c r="N12">
        <v>-2315748</v>
      </c>
    </row>
    <row r="13" spans="1:14">
      <c r="D13" t="s">
        <v>32</v>
      </c>
      <c r="I13" s="95">
        <v>-2512216</v>
      </c>
      <c r="J13" s="12"/>
      <c r="K13" s="12"/>
      <c r="L13" s="12"/>
      <c r="M13" s="12">
        <f t="shared" si="0"/>
        <v>-2512216</v>
      </c>
      <c r="N13">
        <v>-3128836</v>
      </c>
    </row>
    <row r="14" spans="1:14">
      <c r="C14" t="s">
        <v>16</v>
      </c>
      <c r="H14" s="12"/>
      <c r="I14" s="13">
        <v>-2473429</v>
      </c>
      <c r="J14" s="12"/>
      <c r="K14" s="12">
        <v>222225</v>
      </c>
      <c r="L14" s="12"/>
      <c r="M14" s="12">
        <f t="shared" si="0"/>
        <v>-2251204</v>
      </c>
      <c r="N14">
        <v>-1294314</v>
      </c>
    </row>
    <row r="15" spans="1:14">
      <c r="C15" t="s">
        <v>17</v>
      </c>
      <c r="H15" s="12"/>
      <c r="I15" s="14">
        <v>-9592270</v>
      </c>
      <c r="J15" s="12">
        <v>14804</v>
      </c>
      <c r="K15" s="12">
        <v>796694</v>
      </c>
      <c r="L15" s="12"/>
      <c r="M15" s="12">
        <f t="shared" si="0"/>
        <v>-8780772</v>
      </c>
      <c r="N15" s="12">
        <v>-8972940</v>
      </c>
    </row>
    <row r="16" spans="1:14">
      <c r="C16" t="s">
        <v>19</v>
      </c>
      <c r="H16" s="12"/>
      <c r="I16" s="15">
        <v>-926148</v>
      </c>
      <c r="J16" s="12"/>
      <c r="K16" s="12">
        <v>231680</v>
      </c>
      <c r="L16" s="12"/>
      <c r="M16" s="12">
        <f t="shared" si="0"/>
        <v>-694468</v>
      </c>
      <c r="N16">
        <v>-633567</v>
      </c>
    </row>
    <row r="17" spans="1:14">
      <c r="C17" t="s">
        <v>20</v>
      </c>
      <c r="H17" s="12"/>
      <c r="I17" s="16">
        <v>-2002736</v>
      </c>
      <c r="J17" s="12">
        <v>133210</v>
      </c>
      <c r="K17" s="12">
        <v>129460</v>
      </c>
      <c r="L17" s="12"/>
      <c r="M17" s="12">
        <f t="shared" si="0"/>
        <v>-1740066</v>
      </c>
      <c r="N17" s="12">
        <v>-1918710</v>
      </c>
    </row>
    <row r="18" spans="1:14">
      <c r="C18" t="s">
        <v>18</v>
      </c>
      <c r="H18" s="12"/>
      <c r="I18" s="92">
        <v>-1037255</v>
      </c>
      <c r="J18" s="12"/>
      <c r="K18" s="12">
        <v>61030</v>
      </c>
      <c r="L18" s="12">
        <v>47960</v>
      </c>
      <c r="M18" s="12">
        <f t="shared" si="0"/>
        <v>-928265</v>
      </c>
      <c r="N18" s="12">
        <v>-618124</v>
      </c>
    </row>
    <row r="19" spans="1:14">
      <c r="C19" t="s">
        <v>100</v>
      </c>
      <c r="H19" s="12"/>
      <c r="I19" s="89">
        <v>-392394</v>
      </c>
      <c r="J19" s="12"/>
      <c r="K19" s="12"/>
      <c r="L19" s="12"/>
      <c r="M19" s="12">
        <f t="shared" si="0"/>
        <v>-392394</v>
      </c>
      <c r="N19">
        <v>-382172</v>
      </c>
    </row>
    <row r="20" spans="1:14">
      <c r="H20" s="12"/>
      <c r="I20" s="12"/>
      <c r="J20" s="12"/>
      <c r="K20" s="12"/>
      <c r="L20" s="12"/>
      <c r="M20" s="12"/>
    </row>
    <row r="21" spans="1:14">
      <c r="E21" s="19" t="s">
        <v>22</v>
      </c>
      <c r="F21" s="19"/>
      <c r="G21" s="19"/>
      <c r="H21" s="20"/>
      <c r="I21" s="20">
        <f t="shared" ref="I21:N21" si="1">SUM(I9:I19)</f>
        <v>-25365951</v>
      </c>
      <c r="J21" s="20">
        <f t="shared" si="1"/>
        <v>1134738</v>
      </c>
      <c r="K21" s="20">
        <f t="shared" si="1"/>
        <v>1518508</v>
      </c>
      <c r="L21" s="20">
        <f t="shared" si="1"/>
        <v>47960</v>
      </c>
      <c r="M21" s="20">
        <f t="shared" si="1"/>
        <v>-22664745</v>
      </c>
      <c r="N21" s="20">
        <f t="shared" si="1"/>
        <v>-20478217</v>
      </c>
    </row>
    <row r="22" spans="1:14">
      <c r="H22" s="12"/>
      <c r="I22" s="12"/>
      <c r="J22" s="12"/>
      <c r="K22" s="12"/>
      <c r="L22" s="12"/>
      <c r="M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26"/>
    </row>
    <row r="24" spans="1:14">
      <c r="A24" s="8"/>
      <c r="B24" s="8"/>
      <c r="C24" s="8"/>
      <c r="D24" s="8"/>
      <c r="E24" s="8"/>
      <c r="G24" s="27"/>
      <c r="H24" s="80" t="s">
        <v>26</v>
      </c>
      <c r="I24" s="26"/>
      <c r="J24" s="26"/>
      <c r="K24" s="26"/>
      <c r="L24" s="26"/>
      <c r="M24" s="26"/>
    </row>
    <row r="25" spans="1:14">
      <c r="H25" s="12"/>
      <c r="I25" s="12" t="s">
        <v>80</v>
      </c>
      <c r="J25" s="12"/>
      <c r="K25" s="12"/>
      <c r="L25" s="12"/>
      <c r="M25" s="28">
        <v>4699300</v>
      </c>
      <c r="N25">
        <v>5068036</v>
      </c>
    </row>
    <row r="26" spans="1:14">
      <c r="H26" s="12"/>
      <c r="I26" s="12" t="s">
        <v>245</v>
      </c>
      <c r="J26" s="12"/>
      <c r="K26" s="12"/>
      <c r="L26" s="12"/>
      <c r="M26" s="28">
        <v>623417</v>
      </c>
      <c r="N26">
        <v>587004</v>
      </c>
    </row>
    <row r="27" spans="1:14">
      <c r="H27" s="12"/>
      <c r="I27" s="12" t="s">
        <v>81</v>
      </c>
      <c r="J27" s="12"/>
      <c r="K27" s="12"/>
      <c r="L27" s="12"/>
      <c r="M27" s="14">
        <v>8659295</v>
      </c>
      <c r="N27">
        <v>8614270</v>
      </c>
    </row>
    <row r="28" spans="1:14">
      <c r="H28" s="12" t="s">
        <v>563</v>
      </c>
      <c r="I28" s="12"/>
      <c r="J28" s="12"/>
      <c r="K28" s="12"/>
      <c r="L28" s="12"/>
      <c r="M28" s="321"/>
    </row>
    <row r="29" spans="1:14">
      <c r="H29" s="12"/>
      <c r="I29" s="12" t="s">
        <v>564</v>
      </c>
      <c r="J29" s="12"/>
      <c r="K29" s="12"/>
      <c r="L29" s="12"/>
      <c r="M29" s="94">
        <v>1450058</v>
      </c>
      <c r="N29">
        <v>786815</v>
      </c>
    </row>
    <row r="30" spans="1:14">
      <c r="H30" s="12"/>
      <c r="I30" s="12" t="s">
        <v>435</v>
      </c>
      <c r="J30" s="12"/>
      <c r="K30" s="12"/>
      <c r="L30" s="12"/>
      <c r="M30" s="322">
        <v>2051064</v>
      </c>
      <c r="N30">
        <v>2129891</v>
      </c>
    </row>
    <row r="31" spans="1:14">
      <c r="H31" s="12" t="s">
        <v>86</v>
      </c>
      <c r="I31" s="12"/>
      <c r="J31" s="12"/>
      <c r="K31" s="12"/>
      <c r="L31" s="12"/>
      <c r="M31" s="29">
        <v>116649</v>
      </c>
      <c r="N31">
        <v>187464</v>
      </c>
    </row>
    <row r="32" spans="1:14">
      <c r="H32" s="12" t="s">
        <v>36</v>
      </c>
      <c r="I32" s="12"/>
      <c r="J32" s="12"/>
      <c r="K32" s="12"/>
      <c r="L32" s="12"/>
      <c r="M32" s="29">
        <v>3330271</v>
      </c>
      <c r="N32">
        <v>2416157</v>
      </c>
    </row>
    <row r="33" spans="5:14">
      <c r="H33" s="12"/>
      <c r="I33" s="12"/>
      <c r="J33" s="12"/>
      <c r="K33" s="12"/>
      <c r="L33" s="12"/>
      <c r="M33" s="12"/>
    </row>
    <row r="34" spans="5:14">
      <c r="H34" s="20" t="s">
        <v>436</v>
      </c>
      <c r="I34" s="20"/>
      <c r="J34" s="20"/>
      <c r="K34" s="20"/>
      <c r="L34" s="20"/>
      <c r="M34" s="20">
        <f>SUM(M25:M32)</f>
        <v>20930054</v>
      </c>
      <c r="N34" s="20">
        <f>SUM(N25:N32)</f>
        <v>19789637</v>
      </c>
    </row>
    <row r="35" spans="5:14">
      <c r="H35" s="12"/>
      <c r="I35" s="12"/>
      <c r="J35" s="12"/>
      <c r="K35" s="12"/>
      <c r="L35" s="12"/>
      <c r="M35" s="12"/>
    </row>
    <row r="36" spans="5:14">
      <c r="H36" s="20" t="s">
        <v>424</v>
      </c>
      <c r="I36" s="20"/>
      <c r="J36" s="20"/>
      <c r="K36" s="20"/>
      <c r="L36" s="20"/>
      <c r="M36" s="20">
        <f>M34+M21</f>
        <v>-1734691</v>
      </c>
      <c r="N36" s="20">
        <f>N34+N21</f>
        <v>-688580</v>
      </c>
    </row>
    <row r="37" spans="5:14">
      <c r="H37" s="26"/>
      <c r="I37" s="26"/>
      <c r="J37" s="26"/>
      <c r="K37" s="26"/>
      <c r="L37" s="26"/>
      <c r="M37" s="26"/>
    </row>
    <row r="38" spans="5:14">
      <c r="E38" s="31" t="s">
        <v>433</v>
      </c>
      <c r="F38" s="31"/>
      <c r="G38" s="31"/>
      <c r="H38" s="32"/>
      <c r="I38" s="32"/>
      <c r="J38" s="32"/>
      <c r="K38" s="32"/>
      <c r="L38" s="32"/>
      <c r="M38" s="32">
        <v>54804424</v>
      </c>
      <c r="N38" s="32">
        <v>55493004</v>
      </c>
    </row>
    <row r="39" spans="5:14">
      <c r="H39" s="12"/>
      <c r="I39" s="12"/>
      <c r="J39" s="12"/>
      <c r="K39" s="12"/>
      <c r="L39" s="12"/>
      <c r="M39" s="12"/>
    </row>
    <row r="40" spans="5:14">
      <c r="E40" s="34" t="s">
        <v>381</v>
      </c>
      <c r="F40" s="34"/>
      <c r="G40" s="34"/>
      <c r="H40" s="35"/>
      <c r="I40" s="35"/>
      <c r="J40" s="35"/>
      <c r="K40" s="35"/>
      <c r="L40" s="83"/>
      <c r="M40" s="83">
        <f>M38+M36</f>
        <v>53069733</v>
      </c>
      <c r="N40" s="83">
        <f>N38+N36</f>
        <v>54804424</v>
      </c>
    </row>
    <row r="47" spans="5:14">
      <c r="K47" s="9"/>
      <c r="L47" s="9"/>
      <c r="M47" s="9"/>
    </row>
  </sheetData>
  <mergeCells count="4">
    <mergeCell ref="J1:M1"/>
    <mergeCell ref="J2:M2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52"/>
  <sheetViews>
    <sheetView workbookViewId="0">
      <selection activeCell="X64" sqref="X64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5" max="5" width="11" customWidth="1"/>
    <col min="6" max="6" width="9.7109375" customWidth="1"/>
    <col min="7" max="7" width="5.7109375" customWidth="1"/>
    <col min="8" max="8" width="3" customWidth="1"/>
    <col min="9" max="9" width="14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9" customWidth="1"/>
  </cols>
  <sheetData>
    <row r="1" spans="1:15" ht="30" customHeight="1">
      <c r="J1" s="520" t="s">
        <v>565</v>
      </c>
      <c r="K1" s="520"/>
      <c r="L1" s="520"/>
      <c r="M1" s="520"/>
      <c r="N1" s="419"/>
      <c r="O1" s="419"/>
    </row>
    <row r="2" spans="1:15" ht="21.75" customHeight="1">
      <c r="J2" s="521" t="s">
        <v>1</v>
      </c>
      <c r="K2" s="521"/>
      <c r="L2" s="521"/>
      <c r="M2" s="521"/>
      <c r="N2" s="420"/>
      <c r="O2" s="420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A4" t="s">
        <v>3</v>
      </c>
      <c r="C4" s="4"/>
      <c r="D4" s="4"/>
      <c r="E4" s="4"/>
      <c r="F4" s="4"/>
      <c r="G4" s="4"/>
      <c r="H4" s="4"/>
      <c r="I4" s="4"/>
      <c r="J4" s="522" t="s">
        <v>4</v>
      </c>
      <c r="K4" s="522"/>
      <c r="L4" s="522"/>
      <c r="M4" s="522" t="s">
        <v>566</v>
      </c>
      <c r="N4" s="522"/>
      <c r="O4" s="522"/>
    </row>
    <row r="5" spans="1:15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58</v>
      </c>
      <c r="N5" s="6" t="s">
        <v>147</v>
      </c>
      <c r="O5" s="6" t="s">
        <v>59</v>
      </c>
    </row>
    <row r="6" spans="1:15" ht="30.75" customHeight="1">
      <c r="A6" s="8" t="s">
        <v>13</v>
      </c>
      <c r="I6" s="9"/>
      <c r="J6" s="9"/>
      <c r="K6" s="9"/>
      <c r="L6" s="9"/>
    </row>
    <row r="7" spans="1:15">
      <c r="B7" s="10" t="s">
        <v>14</v>
      </c>
      <c r="I7" s="9"/>
      <c r="J7" s="9"/>
      <c r="K7" s="9"/>
      <c r="L7" s="9"/>
      <c r="M7" s="9"/>
      <c r="N7" s="9"/>
      <c r="O7" s="9"/>
    </row>
    <row r="8" spans="1:15">
      <c r="C8" t="s">
        <v>15</v>
      </c>
      <c r="H8" s="12"/>
      <c r="I8" s="11">
        <v>-3943059</v>
      </c>
      <c r="J8" s="12">
        <v>741471</v>
      </c>
      <c r="K8" s="12">
        <v>536248</v>
      </c>
      <c r="L8" s="12"/>
      <c r="M8" s="12">
        <f t="shared" ref="M8:M15" si="0">SUM(I8:L8)</f>
        <v>-2665340</v>
      </c>
      <c r="N8" s="12"/>
      <c r="O8" s="12">
        <f t="shared" ref="O8" si="1">SUM(M8:N8)</f>
        <v>-2665340</v>
      </c>
    </row>
    <row r="9" spans="1:15">
      <c r="C9" t="s">
        <v>16</v>
      </c>
      <c r="H9" s="12"/>
      <c r="I9" s="13">
        <v>-1167749</v>
      </c>
      <c r="J9" s="12"/>
      <c r="K9" s="12"/>
      <c r="L9" s="12">
        <v>495895</v>
      </c>
      <c r="M9" s="12">
        <f>SUM(I9:L9)</f>
        <v>-671854</v>
      </c>
      <c r="N9" s="12"/>
      <c r="O9" s="12">
        <f>SUM(M9:N9)</f>
        <v>-671854</v>
      </c>
    </row>
    <row r="10" spans="1:15">
      <c r="C10" t="s">
        <v>470</v>
      </c>
      <c r="H10" s="12"/>
      <c r="I10" s="14">
        <v>-4298021</v>
      </c>
      <c r="J10" s="12"/>
      <c r="K10" s="12">
        <v>595940</v>
      </c>
      <c r="L10" s="12">
        <v>444989</v>
      </c>
      <c r="M10" s="12">
        <f t="shared" ref="M10" si="2">SUM(I10:L10)</f>
        <v>-3257092</v>
      </c>
      <c r="N10" s="12"/>
      <c r="O10" s="12">
        <f t="shared" ref="O10" si="3">SUM(M10:N10)</f>
        <v>-3257092</v>
      </c>
    </row>
    <row r="11" spans="1:15">
      <c r="C11" t="s">
        <v>19</v>
      </c>
      <c r="H11" s="12"/>
      <c r="I11" s="15">
        <v>-596346</v>
      </c>
      <c r="J11" s="12"/>
      <c r="K11" s="12">
        <v>251042</v>
      </c>
      <c r="L11" s="12"/>
      <c r="M11" s="12">
        <f>SUM(I11:L11)</f>
        <v>-345304</v>
      </c>
      <c r="N11" s="12"/>
      <c r="O11" s="12">
        <f>SUM(I11:L11)</f>
        <v>-345304</v>
      </c>
    </row>
    <row r="12" spans="1:15">
      <c r="C12" t="s">
        <v>20</v>
      </c>
      <c r="H12" s="12"/>
      <c r="I12" s="16">
        <v>-972826</v>
      </c>
      <c r="J12" s="12">
        <v>5700</v>
      </c>
      <c r="K12" s="12">
        <v>98211</v>
      </c>
      <c r="L12" s="12"/>
      <c r="M12" s="12">
        <f t="shared" si="0"/>
        <v>-868915</v>
      </c>
      <c r="N12" s="12"/>
      <c r="O12" s="12">
        <f t="shared" ref="O12:O15" si="4">SUM(I12:L12)</f>
        <v>-868915</v>
      </c>
    </row>
    <row r="13" spans="1:15">
      <c r="C13" t="s">
        <v>92</v>
      </c>
      <c r="H13" s="12"/>
      <c r="I13" s="94">
        <v>-618377</v>
      </c>
      <c r="J13" s="12"/>
      <c r="K13" s="12"/>
      <c r="L13" s="12"/>
      <c r="M13" s="12">
        <f t="shared" si="0"/>
        <v>-618377</v>
      </c>
      <c r="N13" s="12"/>
      <c r="O13" s="12">
        <f t="shared" si="4"/>
        <v>-618377</v>
      </c>
    </row>
    <row r="14" spans="1:15">
      <c r="C14" t="s">
        <v>567</v>
      </c>
      <c r="H14" s="12"/>
      <c r="I14" s="94">
        <v>-315188</v>
      </c>
      <c r="J14" s="12"/>
      <c r="K14" s="12">
        <v>28165</v>
      </c>
      <c r="L14" s="12"/>
      <c r="M14" s="12">
        <f t="shared" si="0"/>
        <v>-287023</v>
      </c>
      <c r="N14" s="12"/>
      <c r="O14" s="12">
        <f t="shared" si="4"/>
        <v>-287023</v>
      </c>
    </row>
    <row r="15" spans="1:15">
      <c r="C15" t="s">
        <v>21</v>
      </c>
      <c r="H15" s="12"/>
      <c r="I15" s="89">
        <v>-171735</v>
      </c>
      <c r="J15" s="12"/>
      <c r="K15" s="12"/>
      <c r="L15" s="12"/>
      <c r="M15" s="12">
        <f t="shared" si="0"/>
        <v>-171735</v>
      </c>
      <c r="N15" s="12"/>
      <c r="O15" s="12">
        <f t="shared" si="4"/>
        <v>-171735</v>
      </c>
    </row>
    <row r="16" spans="1:15">
      <c r="H16" s="12"/>
      <c r="I16" s="12"/>
      <c r="J16" s="12"/>
      <c r="K16" s="12"/>
      <c r="L16" s="12"/>
      <c r="M16" s="12"/>
      <c r="N16" s="12"/>
      <c r="O16" s="12"/>
    </row>
    <row r="17" spans="1:15">
      <c r="E17" s="19" t="s">
        <v>22</v>
      </c>
      <c r="F17" s="19"/>
      <c r="G17" s="19"/>
      <c r="H17" s="20"/>
      <c r="I17" s="20">
        <f>SUM(I8:I15)</f>
        <v>-12083301</v>
      </c>
      <c r="J17" s="20">
        <f>SUM(J8:J15)</f>
        <v>747171</v>
      </c>
      <c r="K17" s="20">
        <f>SUM(K8:K15)</f>
        <v>1509606</v>
      </c>
      <c r="L17" s="20">
        <f>SUM(L8:L15)</f>
        <v>940884</v>
      </c>
      <c r="M17" s="82">
        <f>SUM(M8:M15)</f>
        <v>-8885640</v>
      </c>
      <c r="N17" s="82"/>
      <c r="O17" s="82">
        <f>SUM(O8:O15)</f>
        <v>-8885640</v>
      </c>
    </row>
    <row r="18" spans="1:15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5">
      <c r="B19" s="10" t="s">
        <v>116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5">
      <c r="C20" t="s">
        <v>568</v>
      </c>
      <c r="E20" s="8"/>
      <c r="F20" s="8"/>
      <c r="G20" s="8"/>
      <c r="H20" s="26"/>
      <c r="I20" s="248"/>
      <c r="J20" s="248"/>
      <c r="K20" s="248"/>
      <c r="L20" s="248"/>
      <c r="M20" s="248"/>
      <c r="N20" s="248">
        <f>SUM(I20:L20)</f>
        <v>0</v>
      </c>
      <c r="O20" s="248">
        <f>SUM(M20:N20)</f>
        <v>0</v>
      </c>
    </row>
    <row r="21" spans="1:15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5">
      <c r="E22" s="19" t="s">
        <v>569</v>
      </c>
      <c r="F22" s="19"/>
      <c r="G22" s="19"/>
      <c r="H22" s="20"/>
      <c r="I22" s="20">
        <f>I20</f>
        <v>0</v>
      </c>
      <c r="J22" s="20">
        <f t="shared" ref="J22:L22" si="5">J20</f>
        <v>0</v>
      </c>
      <c r="K22" s="20">
        <f t="shared" si="5"/>
        <v>0</v>
      </c>
      <c r="L22" s="20">
        <f t="shared" si="5"/>
        <v>0</v>
      </c>
      <c r="M22" s="82">
        <v>0</v>
      </c>
      <c r="N22" s="82">
        <f>SUM(N20:N20)</f>
        <v>0</v>
      </c>
      <c r="O22" s="82">
        <f>SUM(O20:O20)</f>
        <v>0</v>
      </c>
    </row>
    <row r="23" spans="1:15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5">
      <c r="E24" s="19" t="s">
        <v>67</v>
      </c>
      <c r="F24" s="19"/>
      <c r="G24" s="19"/>
      <c r="H24" s="20"/>
      <c r="I24" s="20">
        <f>I22+I17</f>
        <v>-12083301</v>
      </c>
      <c r="J24" s="20">
        <f t="shared" ref="J24:O24" si="6">J22+J17</f>
        <v>747171</v>
      </c>
      <c r="K24" s="20">
        <f t="shared" si="6"/>
        <v>1509606</v>
      </c>
      <c r="L24" s="20">
        <f t="shared" si="6"/>
        <v>940884</v>
      </c>
      <c r="M24" s="20">
        <f>M22+M17</f>
        <v>-8885640</v>
      </c>
      <c r="N24" s="20">
        <f t="shared" si="6"/>
        <v>0</v>
      </c>
      <c r="O24" s="20">
        <f t="shared" si="6"/>
        <v>-8885640</v>
      </c>
    </row>
    <row r="25" spans="1:15">
      <c r="H25" s="12"/>
      <c r="I25" s="12"/>
      <c r="J25" s="12"/>
      <c r="K25" s="12"/>
      <c r="L25" s="12"/>
      <c r="M25" s="12"/>
      <c r="N25" s="12"/>
      <c r="O25" s="12"/>
    </row>
    <row r="26" spans="1:15">
      <c r="A26" s="8"/>
      <c r="B26" s="8"/>
      <c r="C26" s="8"/>
      <c r="D26" s="8"/>
      <c r="E26" s="8"/>
      <c r="G26" s="8" t="s">
        <v>25</v>
      </c>
      <c r="H26" s="26"/>
      <c r="I26" s="26"/>
      <c r="J26" s="26"/>
      <c r="K26" s="26"/>
      <c r="L26" s="26"/>
      <c r="M26" s="12"/>
      <c r="N26" s="12"/>
      <c r="O26" s="12"/>
    </row>
    <row r="27" spans="1:15">
      <c r="A27" s="8"/>
      <c r="B27" s="8"/>
      <c r="C27" s="8"/>
      <c r="D27" s="8"/>
      <c r="E27" s="8"/>
      <c r="G27" s="8"/>
      <c r="H27" s="80" t="s">
        <v>570</v>
      </c>
      <c r="I27" s="80"/>
      <c r="J27" s="26"/>
      <c r="K27" s="26"/>
      <c r="L27" s="26"/>
      <c r="M27" s="28">
        <v>4740357</v>
      </c>
      <c r="N27" s="12"/>
      <c r="O27" s="12">
        <f>SUM(M27:N27)</f>
        <v>4740357</v>
      </c>
    </row>
    <row r="28" spans="1:15">
      <c r="A28" s="8"/>
      <c r="B28" s="8"/>
      <c r="C28" s="8"/>
      <c r="D28" s="8"/>
      <c r="E28" s="8"/>
      <c r="G28" s="8"/>
      <c r="H28" s="80" t="s">
        <v>96</v>
      </c>
      <c r="I28" s="80"/>
      <c r="J28" s="26"/>
      <c r="K28" s="26"/>
      <c r="L28" s="26"/>
      <c r="M28" s="14">
        <v>6238502</v>
      </c>
      <c r="N28" s="12"/>
      <c r="O28" s="12">
        <f>SUM(M28:N28)</f>
        <v>6238502</v>
      </c>
    </row>
    <row r="29" spans="1:15">
      <c r="H29" s="12" t="s">
        <v>48</v>
      </c>
      <c r="I29" s="12"/>
      <c r="J29" s="12"/>
      <c r="K29" s="12"/>
      <c r="L29" s="12"/>
      <c r="M29" s="323">
        <v>222646</v>
      </c>
      <c r="N29" s="12"/>
      <c r="O29" s="12">
        <f t="shared" ref="O29:O37" si="7">SUM(M29:N29)</f>
        <v>222646</v>
      </c>
    </row>
    <row r="30" spans="1:15">
      <c r="H30" s="12" t="s">
        <v>571</v>
      </c>
      <c r="I30" s="12"/>
      <c r="J30" s="12"/>
      <c r="K30" s="12"/>
      <c r="L30" s="12"/>
      <c r="M30" s="15">
        <v>163935</v>
      </c>
      <c r="N30" s="12"/>
      <c r="O30" s="12">
        <f t="shared" si="7"/>
        <v>163935</v>
      </c>
    </row>
    <row r="31" spans="1:15">
      <c r="H31" s="12" t="s">
        <v>572</v>
      </c>
      <c r="I31" s="12"/>
      <c r="J31" s="12"/>
      <c r="K31" s="12"/>
      <c r="L31" s="12"/>
      <c r="M31" s="15">
        <v>11979</v>
      </c>
      <c r="N31" s="12"/>
      <c r="O31" s="12">
        <f t="shared" si="7"/>
        <v>11979</v>
      </c>
    </row>
    <row r="32" spans="1:15">
      <c r="H32" s="12" t="s">
        <v>573</v>
      </c>
      <c r="I32" s="12"/>
      <c r="J32" s="12"/>
      <c r="K32" s="12"/>
      <c r="L32" s="12"/>
      <c r="M32" s="15">
        <v>16838</v>
      </c>
      <c r="N32" s="12"/>
      <c r="O32" s="12">
        <f t="shared" si="7"/>
        <v>16838</v>
      </c>
    </row>
    <row r="33" spans="5:15">
      <c r="H33" s="12" t="s">
        <v>142</v>
      </c>
      <c r="I33" s="12"/>
      <c r="J33" s="12"/>
      <c r="K33" s="12"/>
      <c r="L33" s="12"/>
      <c r="M33" s="29">
        <v>187270</v>
      </c>
      <c r="N33" s="12"/>
      <c r="O33" s="12">
        <f t="shared" si="7"/>
        <v>187270</v>
      </c>
    </row>
    <row r="34" spans="5:15">
      <c r="H34" s="12" t="s">
        <v>288</v>
      </c>
      <c r="I34" s="12"/>
      <c r="J34" s="12"/>
      <c r="K34" s="12"/>
      <c r="L34" s="12"/>
      <c r="M34" s="29">
        <v>530335</v>
      </c>
      <c r="N34" s="12"/>
      <c r="O34" s="12">
        <f t="shared" si="7"/>
        <v>530335</v>
      </c>
    </row>
    <row r="35" spans="5:15">
      <c r="H35" s="12" t="s">
        <v>574</v>
      </c>
      <c r="I35" s="12"/>
      <c r="J35" s="12"/>
      <c r="K35" s="12"/>
      <c r="L35" s="12"/>
      <c r="M35" s="29">
        <v>9345</v>
      </c>
      <c r="N35" s="12">
        <v>3907</v>
      </c>
      <c r="O35" s="12">
        <f t="shared" si="7"/>
        <v>13252</v>
      </c>
    </row>
    <row r="36" spans="5:15">
      <c r="H36" s="12" t="s">
        <v>575</v>
      </c>
      <c r="I36" s="12"/>
      <c r="J36" s="12"/>
      <c r="K36" s="12"/>
      <c r="L36" s="12"/>
      <c r="M36" s="29">
        <v>-44325</v>
      </c>
      <c r="N36" s="12"/>
      <c r="O36" s="12">
        <f t="shared" si="7"/>
        <v>-44325</v>
      </c>
    </row>
    <row r="37" spans="5:15">
      <c r="H37" s="12" t="s">
        <v>36</v>
      </c>
      <c r="I37" s="12"/>
      <c r="J37" s="12"/>
      <c r="K37" s="12"/>
      <c r="L37" s="12"/>
      <c r="M37" s="29">
        <v>35130</v>
      </c>
      <c r="N37" s="12"/>
      <c r="O37" s="12">
        <f t="shared" si="7"/>
        <v>35130</v>
      </c>
    </row>
    <row r="38" spans="5:15">
      <c r="H38" s="12"/>
      <c r="I38" s="12"/>
      <c r="J38" s="12"/>
      <c r="K38" s="12"/>
      <c r="L38" s="12"/>
      <c r="M38" s="12"/>
      <c r="N38" s="12"/>
      <c r="O38" s="12"/>
    </row>
    <row r="39" spans="5:15">
      <c r="H39" s="20" t="s">
        <v>576</v>
      </c>
      <c r="I39" s="20"/>
      <c r="J39" s="20"/>
      <c r="K39" s="20"/>
      <c r="L39" s="20"/>
      <c r="M39" s="20">
        <f>SUM(M26:M37)</f>
        <v>12112012</v>
      </c>
      <c r="N39" s="20">
        <f>SUM(N26:N37)</f>
        <v>3907</v>
      </c>
      <c r="O39" s="20">
        <f>SUM(O27:O37)</f>
        <v>12115919</v>
      </c>
    </row>
    <row r="40" spans="5:15">
      <c r="H40" s="26"/>
      <c r="I40" s="26"/>
      <c r="J40" s="26"/>
      <c r="K40" s="26"/>
      <c r="L40" s="26"/>
      <c r="M40" s="26"/>
      <c r="N40" s="26"/>
      <c r="O40" s="26"/>
    </row>
    <row r="41" spans="5:15">
      <c r="H41" s="20" t="s">
        <v>53</v>
      </c>
      <c r="I41" s="20"/>
      <c r="J41" s="20"/>
      <c r="K41" s="20"/>
      <c r="L41" s="20"/>
      <c r="M41" s="20">
        <f>M39+M24</f>
        <v>3226372</v>
      </c>
      <c r="N41" s="20">
        <f>N39+N24</f>
        <v>3907</v>
      </c>
      <c r="O41" s="20">
        <f>O39+O24</f>
        <v>3230279</v>
      </c>
    </row>
    <row r="42" spans="5:15">
      <c r="H42" s="26"/>
      <c r="I42" s="26"/>
      <c r="J42" s="26"/>
      <c r="K42" s="26"/>
      <c r="L42" s="26"/>
      <c r="M42" s="26"/>
      <c r="N42" s="26"/>
      <c r="O42" s="26"/>
    </row>
    <row r="43" spans="5:15">
      <c r="E43" s="31" t="s">
        <v>577</v>
      </c>
      <c r="F43" s="31"/>
      <c r="G43" s="31"/>
      <c r="H43" s="32"/>
      <c r="I43" s="32"/>
      <c r="J43" s="32"/>
      <c r="K43" s="32"/>
      <c r="L43" s="32"/>
      <c r="M43" s="33">
        <v>41975631</v>
      </c>
      <c r="N43" s="33">
        <v>192351</v>
      </c>
      <c r="O43" s="33">
        <v>42167982</v>
      </c>
    </row>
    <row r="44" spans="5:15">
      <c r="E44" s="8"/>
      <c r="F44" s="8"/>
      <c r="G44" s="8"/>
      <c r="H44" s="26"/>
      <c r="I44" s="26"/>
      <c r="J44" s="26"/>
      <c r="K44" s="26"/>
      <c r="L44" s="26"/>
      <c r="M44" s="210"/>
      <c r="N44" s="210"/>
      <c r="O44" s="210"/>
    </row>
    <row r="45" spans="5:15">
      <c r="E45" s="34" t="s">
        <v>55</v>
      </c>
      <c r="F45" s="34"/>
      <c r="G45" s="34"/>
      <c r="H45" s="35"/>
      <c r="I45" s="35"/>
      <c r="J45" s="35"/>
      <c r="K45" s="35"/>
      <c r="L45" s="35"/>
      <c r="M45" s="83">
        <f>M43+M41</f>
        <v>45202003</v>
      </c>
      <c r="N45" s="83">
        <f t="shared" ref="N45:O45" si="8">N43+N41</f>
        <v>196258</v>
      </c>
      <c r="O45" s="83">
        <f t="shared" si="8"/>
        <v>45398261</v>
      </c>
    </row>
    <row r="52" spans="11:15">
      <c r="K52" s="9"/>
      <c r="L52" s="9"/>
      <c r="M52" s="9"/>
      <c r="N52" s="9"/>
      <c r="O52" s="9"/>
    </row>
  </sheetData>
  <mergeCells count="4">
    <mergeCell ref="J1:M1"/>
    <mergeCell ref="J2:M2"/>
    <mergeCell ref="J4:L4"/>
    <mergeCell ref="M4:O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5"/>
  <sheetViews>
    <sheetView workbookViewId="0">
      <selection activeCell="M31" sqref="M31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8.42578125" customWidth="1"/>
    <col min="10" max="10" width="18.85546875" bestFit="1" customWidth="1"/>
    <col min="11" max="11" width="22.42578125" customWidth="1"/>
    <col min="12" max="12" width="23.7109375" customWidth="1"/>
    <col min="13" max="14" width="19.28515625" customWidth="1"/>
  </cols>
  <sheetData>
    <row r="1" spans="1:14" ht="27.75" customHeight="1">
      <c r="J1" s="520" t="s">
        <v>578</v>
      </c>
      <c r="K1" s="520"/>
      <c r="L1" s="520"/>
      <c r="M1" s="520"/>
      <c r="N1" s="520"/>
    </row>
    <row r="2" spans="1:14" ht="18.75">
      <c r="J2" s="521" t="s">
        <v>1</v>
      </c>
      <c r="K2" s="521"/>
      <c r="L2" s="521"/>
      <c r="M2" s="521"/>
      <c r="N2" s="521"/>
    </row>
    <row r="3" spans="1:14" ht="15.75"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>
      <c r="E4" s="2"/>
    </row>
    <row r="5" spans="1:14" ht="35.25" customHeight="1"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2" t="s">
        <v>225</v>
      </c>
      <c r="N5" s="522"/>
    </row>
    <row r="6" spans="1:14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253" t="s">
        <v>58</v>
      </c>
      <c r="N6" s="253" t="s">
        <v>12</v>
      </c>
    </row>
    <row r="7" spans="1:14">
      <c r="A7" s="8" t="s">
        <v>417</v>
      </c>
      <c r="I7" s="9"/>
      <c r="J7" s="9"/>
      <c r="K7" s="9"/>
      <c r="L7" s="9"/>
      <c r="M7" s="9"/>
      <c r="N7" s="9"/>
    </row>
    <row r="8" spans="1:14">
      <c r="C8" t="s">
        <v>15</v>
      </c>
      <c r="H8" s="12"/>
      <c r="I8" s="12"/>
      <c r="J8" s="12"/>
      <c r="K8" s="12"/>
      <c r="L8" s="12"/>
      <c r="M8" s="12"/>
      <c r="N8" s="12"/>
    </row>
    <row r="9" spans="1:14">
      <c r="D9" t="s">
        <v>61</v>
      </c>
      <c r="I9" s="88">
        <v>-254822</v>
      </c>
      <c r="J9" s="12"/>
      <c r="K9" s="12"/>
      <c r="L9" s="12"/>
      <c r="M9" s="12">
        <v>-254822</v>
      </c>
      <c r="N9" s="12"/>
    </row>
    <row r="10" spans="1:14">
      <c r="D10" t="s">
        <v>62</v>
      </c>
      <c r="I10" s="89">
        <v>-1694896</v>
      </c>
      <c r="J10" s="12">
        <v>410426</v>
      </c>
      <c r="K10" s="12"/>
      <c r="L10" s="12"/>
      <c r="M10" s="12">
        <v>-1284470</v>
      </c>
      <c r="N10" s="12"/>
    </row>
    <row r="11" spans="1:14">
      <c r="D11" t="s">
        <v>63</v>
      </c>
      <c r="I11" s="91">
        <v>-44592</v>
      </c>
      <c r="J11" s="12"/>
      <c r="K11" s="12"/>
      <c r="L11" s="12"/>
      <c r="M11" s="12">
        <v>-44592</v>
      </c>
      <c r="N11" s="12"/>
    </row>
    <row r="12" spans="1:14">
      <c r="D12" t="s">
        <v>64</v>
      </c>
      <c r="I12" s="96">
        <v>-1147510</v>
      </c>
      <c r="J12" s="12"/>
      <c r="K12" s="12"/>
      <c r="L12" s="12"/>
      <c r="M12" s="12">
        <v>-1147510</v>
      </c>
      <c r="N12" s="12"/>
    </row>
    <row r="13" spans="1:14">
      <c r="D13" t="s">
        <v>65</v>
      </c>
      <c r="I13" s="95">
        <v>-669753</v>
      </c>
      <c r="J13" s="12"/>
      <c r="K13" s="12">
        <v>18943</v>
      </c>
      <c r="L13" s="12"/>
      <c r="M13" s="12">
        <v>-650810</v>
      </c>
      <c r="N13" s="12"/>
    </row>
    <row r="14" spans="1:14">
      <c r="C14" t="s">
        <v>16</v>
      </c>
      <c r="H14" s="12"/>
      <c r="I14" s="13">
        <v>-2033932</v>
      </c>
      <c r="J14" s="12"/>
      <c r="K14" s="12">
        <v>46608</v>
      </c>
      <c r="L14" s="12">
        <v>23180</v>
      </c>
      <c r="M14" s="12">
        <v>-1964144</v>
      </c>
      <c r="N14" s="12"/>
    </row>
    <row r="15" spans="1:14">
      <c r="C15" t="s">
        <v>17</v>
      </c>
      <c r="H15" s="12"/>
      <c r="I15" s="14">
        <v>-2616387</v>
      </c>
      <c r="J15" s="12"/>
      <c r="K15" s="12">
        <v>517003</v>
      </c>
      <c r="L15" s="12"/>
      <c r="M15" s="12">
        <v>-2099384</v>
      </c>
      <c r="N15" s="12"/>
    </row>
    <row r="16" spans="1:14">
      <c r="C16" t="s">
        <v>19</v>
      </c>
      <c r="H16" s="12"/>
      <c r="I16" s="15">
        <v>-1022670</v>
      </c>
      <c r="J16" s="12"/>
      <c r="K16" s="12"/>
      <c r="L16" s="12"/>
      <c r="M16" s="12">
        <v>-1022670</v>
      </c>
      <c r="N16" s="12"/>
    </row>
    <row r="17" spans="1:14">
      <c r="C17" t="s">
        <v>20</v>
      </c>
      <c r="H17" s="12"/>
      <c r="I17" s="16">
        <v>-2509130</v>
      </c>
      <c r="J17" s="12">
        <v>32990</v>
      </c>
      <c r="K17" s="12"/>
      <c r="L17" s="12"/>
      <c r="M17" s="12">
        <v>-2476140</v>
      </c>
      <c r="N17" s="12"/>
    </row>
    <row r="18" spans="1:14">
      <c r="C18" t="s">
        <v>18</v>
      </c>
      <c r="H18" s="12"/>
      <c r="I18" s="92">
        <v>-37713</v>
      </c>
      <c r="J18" s="12"/>
      <c r="K18" s="12"/>
      <c r="L18" s="12"/>
      <c r="M18" s="12">
        <v>-37713</v>
      </c>
      <c r="N18" s="12"/>
    </row>
    <row r="19" spans="1:14">
      <c r="C19" t="s">
        <v>21</v>
      </c>
      <c r="H19" s="12"/>
      <c r="I19" s="89">
        <v>-27114</v>
      </c>
      <c r="J19" s="12"/>
      <c r="K19" s="12"/>
      <c r="L19" s="12"/>
      <c r="M19" s="12">
        <v>-27114</v>
      </c>
      <c r="N19" s="12"/>
    </row>
    <row r="20" spans="1:14">
      <c r="H20" s="12"/>
      <c r="I20" s="12"/>
      <c r="J20" s="12"/>
      <c r="K20" s="12"/>
      <c r="L20" s="12"/>
      <c r="M20" s="12"/>
      <c r="N20" s="12"/>
    </row>
    <row r="21" spans="1:14">
      <c r="E21" s="19" t="s">
        <v>22</v>
      </c>
      <c r="F21" s="19"/>
      <c r="G21" s="19"/>
      <c r="H21" s="20"/>
      <c r="I21" s="20">
        <v>-12058519</v>
      </c>
      <c r="J21" s="20">
        <v>443416</v>
      </c>
      <c r="K21" s="20">
        <v>582554</v>
      </c>
      <c r="L21" s="82">
        <v>23180</v>
      </c>
      <c r="M21" s="20">
        <v>-11009369</v>
      </c>
      <c r="N21" s="20">
        <v>0</v>
      </c>
    </row>
    <row r="22" spans="1:14">
      <c r="H22" s="12"/>
      <c r="I22" s="12"/>
      <c r="J22" s="12"/>
      <c r="K22" s="12"/>
      <c r="L22" s="12"/>
      <c r="M22" s="12"/>
      <c r="N22" s="12"/>
    </row>
    <row r="23" spans="1:14">
      <c r="A23" s="10" t="s">
        <v>521</v>
      </c>
      <c r="H23" s="12"/>
      <c r="I23" s="12"/>
      <c r="J23" s="12"/>
      <c r="K23" s="12"/>
      <c r="L23" s="12"/>
      <c r="M23" s="12"/>
      <c r="N23" s="12"/>
    </row>
    <row r="24" spans="1:14">
      <c r="C24" t="s">
        <v>579</v>
      </c>
      <c r="H24" s="12"/>
      <c r="I24" s="12">
        <v>-5026795</v>
      </c>
      <c r="J24" s="12">
        <v>64233</v>
      </c>
      <c r="K24" s="12">
        <v>4673345</v>
      </c>
      <c r="L24" s="12"/>
      <c r="M24" s="12"/>
      <c r="N24" s="12">
        <v>-289217</v>
      </c>
    </row>
    <row r="25" spans="1:14">
      <c r="C25" t="s">
        <v>580</v>
      </c>
      <c r="H25" s="12"/>
      <c r="I25" s="12">
        <v>-429800</v>
      </c>
      <c r="J25" s="12">
        <v>428264</v>
      </c>
      <c r="K25" s="12"/>
      <c r="L25" s="12"/>
      <c r="M25" s="12"/>
      <c r="N25" s="12">
        <v>-1536</v>
      </c>
    </row>
    <row r="26" spans="1:14">
      <c r="H26" s="12"/>
      <c r="I26" s="12"/>
      <c r="J26" s="12"/>
      <c r="K26" s="12"/>
      <c r="L26" s="12"/>
      <c r="M26" s="12"/>
      <c r="N26" s="12"/>
    </row>
    <row r="27" spans="1:14">
      <c r="E27" s="84" t="s">
        <v>244</v>
      </c>
      <c r="F27" s="84"/>
      <c r="G27" s="84"/>
      <c r="H27" s="85"/>
      <c r="I27" s="85">
        <v>-5456595</v>
      </c>
      <c r="J27" s="85">
        <v>492497</v>
      </c>
      <c r="K27" s="85">
        <v>4673345</v>
      </c>
      <c r="L27" s="85">
        <v>0</v>
      </c>
      <c r="M27" s="85">
        <v>0</v>
      </c>
      <c r="N27" s="85">
        <v>-290753</v>
      </c>
    </row>
    <row r="28" spans="1:14">
      <c r="H28" s="12"/>
      <c r="I28" s="12"/>
      <c r="J28" s="12"/>
      <c r="K28" s="12"/>
      <c r="L28" s="12"/>
      <c r="M28" s="12"/>
      <c r="N28" s="12"/>
    </row>
    <row r="29" spans="1:14">
      <c r="A29" s="8"/>
      <c r="B29" s="8"/>
      <c r="C29" s="8"/>
      <c r="D29" s="8"/>
      <c r="E29" s="8"/>
      <c r="G29" s="8" t="s">
        <v>25</v>
      </c>
      <c r="H29" s="26"/>
      <c r="I29" s="26"/>
      <c r="J29" s="26"/>
      <c r="K29" s="26"/>
      <c r="L29" s="26"/>
      <c r="M29" s="26"/>
      <c r="N29" s="26"/>
    </row>
    <row r="30" spans="1:14">
      <c r="A30" s="8"/>
      <c r="B30" s="8"/>
      <c r="C30" s="8"/>
      <c r="D30" s="8"/>
      <c r="E30" s="8"/>
      <c r="G30" s="27"/>
      <c r="H30" s="80" t="s">
        <v>26</v>
      </c>
      <c r="I30" s="26"/>
      <c r="J30" s="26"/>
      <c r="K30" s="26"/>
      <c r="L30" s="26"/>
      <c r="M30" s="26"/>
      <c r="N30" s="26"/>
    </row>
    <row r="31" spans="1:14">
      <c r="H31" s="12"/>
      <c r="I31" s="12" t="s">
        <v>80</v>
      </c>
      <c r="J31" s="12"/>
      <c r="K31" s="12"/>
      <c r="L31" s="12"/>
      <c r="M31" s="28">
        <v>5575330</v>
      </c>
      <c r="N31" s="12"/>
    </row>
    <row r="32" spans="1:14">
      <c r="H32" s="12"/>
      <c r="I32" s="12" t="s">
        <v>554</v>
      </c>
      <c r="J32" s="12"/>
      <c r="K32" s="12"/>
      <c r="L32" s="12"/>
      <c r="M32" s="28">
        <v>130</v>
      </c>
      <c r="N32" s="12"/>
    </row>
    <row r="33" spans="5:14">
      <c r="H33" s="12"/>
      <c r="I33" s="12" t="s">
        <v>246</v>
      </c>
      <c r="J33" s="12"/>
      <c r="K33" s="12"/>
      <c r="L33" s="12"/>
      <c r="M33" s="14">
        <v>3226199</v>
      </c>
      <c r="N33" s="12"/>
    </row>
    <row r="34" spans="5:14">
      <c r="H34" s="12" t="s">
        <v>48</v>
      </c>
      <c r="I34" s="12"/>
      <c r="J34" s="12"/>
      <c r="K34" s="12"/>
      <c r="L34" s="12"/>
      <c r="M34" s="93">
        <v>258818</v>
      </c>
      <c r="N34" s="12"/>
    </row>
    <row r="35" spans="5:14">
      <c r="H35" s="12" t="s">
        <v>305</v>
      </c>
      <c r="I35" s="12"/>
      <c r="J35" s="12"/>
      <c r="K35" s="12"/>
      <c r="L35" s="12"/>
      <c r="M35" s="15">
        <v>1132148</v>
      </c>
      <c r="N35" s="12"/>
    </row>
    <row r="36" spans="5:14">
      <c r="H36" s="12" t="s">
        <v>581</v>
      </c>
      <c r="I36" s="12"/>
      <c r="J36" s="12"/>
      <c r="K36" s="12"/>
      <c r="L36" s="12"/>
      <c r="M36" s="11">
        <v>403360</v>
      </c>
      <c r="N36" s="12"/>
    </row>
    <row r="37" spans="5:14">
      <c r="H37" s="12" t="s">
        <v>582</v>
      </c>
      <c r="I37" s="12"/>
      <c r="J37" s="12"/>
      <c r="K37" s="12"/>
      <c r="L37" s="12"/>
      <c r="M37" s="29">
        <v>131290</v>
      </c>
      <c r="N37" s="12"/>
    </row>
    <row r="38" spans="5:14">
      <c r="H38" s="12" t="s">
        <v>106</v>
      </c>
      <c r="I38" s="12"/>
      <c r="J38" s="12"/>
      <c r="K38" s="12"/>
      <c r="L38" s="12"/>
      <c r="M38" s="29">
        <v>407410</v>
      </c>
      <c r="N38" s="12"/>
    </row>
    <row r="39" spans="5:14">
      <c r="H39" s="12" t="s">
        <v>86</v>
      </c>
      <c r="I39" s="12"/>
      <c r="J39" s="12"/>
      <c r="K39" s="12"/>
      <c r="L39" s="12"/>
      <c r="M39" s="29">
        <v>566607</v>
      </c>
      <c r="N39" s="12">
        <v>2771</v>
      </c>
    </row>
    <row r="40" spans="5:14">
      <c r="H40" s="12" t="s">
        <v>36</v>
      </c>
      <c r="I40" s="12"/>
      <c r="J40" s="12"/>
      <c r="K40" s="12"/>
      <c r="L40" s="12"/>
      <c r="M40" s="29">
        <v>667464</v>
      </c>
      <c r="N40" s="12">
        <v>-57768</v>
      </c>
    </row>
    <row r="41" spans="5:14">
      <c r="H41" s="12"/>
      <c r="I41" s="12"/>
      <c r="J41" s="12"/>
      <c r="K41" s="12"/>
      <c r="L41" s="12"/>
      <c r="M41" s="12"/>
      <c r="N41" s="12"/>
    </row>
    <row r="42" spans="5:14">
      <c r="H42" s="20" t="s">
        <v>423</v>
      </c>
      <c r="I42" s="20"/>
      <c r="J42" s="20"/>
      <c r="K42" s="20"/>
      <c r="L42" s="20"/>
      <c r="M42" s="20">
        <v>12368756</v>
      </c>
      <c r="N42" s="20">
        <v>-54997</v>
      </c>
    </row>
    <row r="43" spans="5:14">
      <c r="H43" s="12"/>
      <c r="I43" s="12"/>
      <c r="J43" s="12"/>
      <c r="K43" s="12"/>
      <c r="L43" s="12"/>
      <c r="M43" s="12"/>
      <c r="N43" s="12"/>
    </row>
    <row r="44" spans="5:14">
      <c r="H44" s="20" t="s">
        <v>379</v>
      </c>
      <c r="I44" s="20"/>
      <c r="J44" s="20"/>
      <c r="K44" s="20"/>
      <c r="L44" s="20"/>
      <c r="M44" s="20">
        <v>1359387</v>
      </c>
      <c r="N44" s="20">
        <v>-345750</v>
      </c>
    </row>
    <row r="45" spans="5:14">
      <c r="H45" s="26"/>
      <c r="I45" s="26"/>
      <c r="J45" s="26"/>
      <c r="K45" s="26"/>
      <c r="L45" s="26"/>
      <c r="M45" s="26"/>
      <c r="N45" s="26"/>
    </row>
    <row r="46" spans="5:14">
      <c r="E46" s="31" t="s">
        <v>433</v>
      </c>
      <c r="F46" s="31"/>
      <c r="G46" s="31"/>
      <c r="H46" s="32"/>
      <c r="I46" s="32"/>
      <c r="J46" s="32"/>
      <c r="K46" s="32"/>
      <c r="L46" s="32"/>
      <c r="M46" s="32">
        <v>22839936</v>
      </c>
      <c r="N46" s="32">
        <v>2944560</v>
      </c>
    </row>
    <row r="47" spans="5:14">
      <c r="H47" s="12"/>
      <c r="I47" s="12"/>
      <c r="J47" s="12"/>
      <c r="K47" s="12"/>
      <c r="L47" s="12"/>
      <c r="M47" s="12"/>
      <c r="N47" s="12"/>
    </row>
    <row r="48" spans="5:14">
      <c r="E48" s="34" t="s">
        <v>381</v>
      </c>
      <c r="F48" s="34"/>
      <c r="G48" s="34"/>
      <c r="H48" s="35"/>
      <c r="I48" s="35"/>
      <c r="J48" s="35"/>
      <c r="K48" s="35"/>
      <c r="L48" s="83"/>
      <c r="M48" s="83">
        <v>24199323</v>
      </c>
      <c r="N48" s="83">
        <v>2598810</v>
      </c>
    </row>
    <row r="55" spans="11:14">
      <c r="K55" s="9"/>
      <c r="L55" s="9"/>
      <c r="M55" s="9"/>
      <c r="N55" s="9"/>
    </row>
  </sheetData>
  <mergeCells count="4">
    <mergeCell ref="J1:N1"/>
    <mergeCell ref="J2:N2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44"/>
  <sheetViews>
    <sheetView zoomScale="90" zoomScaleNormal="90" zoomScalePageLayoutView="90" workbookViewId="0">
      <selection activeCell="L25" sqref="L25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24.7109375" customWidth="1"/>
    <col min="11" max="11" width="24.140625" customWidth="1"/>
    <col min="12" max="12" width="29" customWidth="1"/>
  </cols>
  <sheetData>
    <row r="1" spans="1:12" ht="22.5" customHeight="1">
      <c r="J1" s="524" t="s">
        <v>583</v>
      </c>
      <c r="K1" s="524"/>
      <c r="L1" s="524"/>
    </row>
    <row r="2" spans="1:12" ht="18.75">
      <c r="J2" s="521" t="s">
        <v>1</v>
      </c>
      <c r="K2" s="521"/>
      <c r="L2" s="521"/>
    </row>
    <row r="3" spans="1:12" ht="15.75">
      <c r="E3" s="3"/>
      <c r="F3" s="3"/>
      <c r="G3" s="3"/>
      <c r="H3" s="3"/>
      <c r="I3" s="3"/>
      <c r="J3" s="3"/>
      <c r="K3" s="3"/>
    </row>
    <row r="4" spans="1:12" ht="18.75">
      <c r="E4" s="2"/>
    </row>
    <row r="5" spans="1:12">
      <c r="C5" s="4"/>
      <c r="D5" s="4"/>
      <c r="E5" s="4"/>
      <c r="F5" s="4"/>
      <c r="G5" s="4"/>
      <c r="H5" s="4"/>
      <c r="I5" s="4"/>
      <c r="J5" s="522" t="s">
        <v>4</v>
      </c>
      <c r="K5" s="522"/>
      <c r="L5" s="433"/>
    </row>
    <row r="6" spans="1:12" ht="32.25" customHeight="1">
      <c r="A6" s="5" t="s">
        <v>6</v>
      </c>
      <c r="I6" s="6" t="s">
        <v>7</v>
      </c>
      <c r="J6" s="6" t="s">
        <v>8</v>
      </c>
      <c r="K6" s="6" t="s">
        <v>9</v>
      </c>
      <c r="L6" s="431" t="s">
        <v>11</v>
      </c>
    </row>
    <row r="7" spans="1:12">
      <c r="A7" s="8" t="s">
        <v>13</v>
      </c>
      <c r="I7" s="9"/>
      <c r="J7" s="9"/>
      <c r="K7" s="9"/>
    </row>
    <row r="8" spans="1:12">
      <c r="B8" s="10" t="s">
        <v>14</v>
      </c>
      <c r="I8" s="9"/>
      <c r="J8" s="9"/>
      <c r="K8" s="9"/>
      <c r="L8" s="9"/>
    </row>
    <row r="9" spans="1:12">
      <c r="C9" t="s">
        <v>15</v>
      </c>
      <c r="H9" s="12"/>
      <c r="I9" s="11">
        <v>-6083044</v>
      </c>
      <c r="J9" s="12">
        <v>2006024</v>
      </c>
      <c r="K9" s="12">
        <v>73532</v>
      </c>
      <c r="L9" s="12">
        <v>-4003488</v>
      </c>
    </row>
    <row r="10" spans="1:12">
      <c r="C10" t="s">
        <v>16</v>
      </c>
      <c r="H10" s="12"/>
      <c r="I10" s="13">
        <v>-7164567</v>
      </c>
      <c r="J10" s="12"/>
      <c r="K10" s="12">
        <v>1842947</v>
      </c>
      <c r="L10" s="12">
        <v>-5321620</v>
      </c>
    </row>
    <row r="11" spans="1:12">
      <c r="C11" t="s">
        <v>17</v>
      </c>
      <c r="H11" s="12"/>
      <c r="I11" s="14">
        <v>-8042557</v>
      </c>
      <c r="J11" s="12"/>
      <c r="K11" s="12">
        <v>2417114</v>
      </c>
      <c r="L11" s="12">
        <v>-5625443</v>
      </c>
    </row>
    <row r="12" spans="1:12">
      <c r="C12" t="s">
        <v>20</v>
      </c>
      <c r="H12" s="12"/>
      <c r="I12" s="16">
        <v>-2737565</v>
      </c>
      <c r="J12" s="12">
        <v>176196</v>
      </c>
      <c r="K12" s="12">
        <v>26133</v>
      </c>
      <c r="L12" s="12">
        <v>-2535236</v>
      </c>
    </row>
    <row r="13" spans="1:12">
      <c r="C13" t="s">
        <v>19</v>
      </c>
      <c r="H13" s="12"/>
      <c r="I13" s="15">
        <v>-1678495</v>
      </c>
      <c r="J13" s="12"/>
      <c r="K13" s="12">
        <v>211246</v>
      </c>
      <c r="L13" s="12">
        <v>-1467249</v>
      </c>
    </row>
    <row r="14" spans="1:12">
      <c r="C14" t="s">
        <v>44</v>
      </c>
      <c r="H14" s="12"/>
      <c r="I14" s="92">
        <v>-110747</v>
      </c>
      <c r="J14" s="12"/>
      <c r="K14" s="12">
        <v>627122</v>
      </c>
      <c r="L14" s="12">
        <v>516375</v>
      </c>
    </row>
    <row r="15" spans="1:12">
      <c r="C15" t="s">
        <v>584</v>
      </c>
      <c r="H15" s="12"/>
      <c r="I15" s="94">
        <v>-330153</v>
      </c>
      <c r="J15" s="12"/>
      <c r="K15" s="12">
        <v>330153</v>
      </c>
      <c r="L15" s="12">
        <v>0</v>
      </c>
    </row>
    <row r="16" spans="1:12">
      <c r="C16" t="s">
        <v>227</v>
      </c>
      <c r="H16" s="12"/>
      <c r="I16" s="89">
        <v>-156132</v>
      </c>
      <c r="J16" s="12"/>
      <c r="K16" s="12"/>
      <c r="L16" s="12">
        <v>-156132</v>
      </c>
    </row>
    <row r="17" spans="1:12">
      <c r="H17" s="12"/>
      <c r="I17" s="12"/>
      <c r="J17" s="12"/>
      <c r="K17" s="12"/>
      <c r="L17" s="12"/>
    </row>
    <row r="18" spans="1:12">
      <c r="E18" s="19" t="s">
        <v>585</v>
      </c>
      <c r="F18" s="19"/>
      <c r="G18" s="19"/>
      <c r="H18" s="20"/>
      <c r="I18" s="20">
        <v>-26303260</v>
      </c>
      <c r="J18" s="20">
        <v>2182220</v>
      </c>
      <c r="K18" s="20">
        <v>5528247</v>
      </c>
      <c r="L18" s="82">
        <v>-18592793</v>
      </c>
    </row>
    <row r="19" spans="1:12">
      <c r="E19" s="8"/>
      <c r="F19" s="8"/>
      <c r="G19" s="8"/>
      <c r="H19" s="26"/>
      <c r="I19" s="26"/>
      <c r="J19" s="26"/>
      <c r="K19" s="26"/>
      <c r="L19" s="26"/>
    </row>
    <row r="20" spans="1:12">
      <c r="A20" s="8"/>
      <c r="B20" s="8"/>
      <c r="C20" s="8"/>
      <c r="D20" s="8"/>
      <c r="E20" s="8"/>
      <c r="G20" s="8" t="s">
        <v>25</v>
      </c>
      <c r="H20" s="26"/>
      <c r="I20" s="26"/>
      <c r="J20" s="26"/>
      <c r="K20" s="26"/>
      <c r="L20" s="12"/>
    </row>
    <row r="21" spans="1:12">
      <c r="A21" s="8"/>
      <c r="B21" s="8"/>
      <c r="C21" s="8"/>
      <c r="D21" s="8"/>
      <c r="E21" s="8"/>
      <c r="G21" s="8"/>
      <c r="H21" s="80" t="s">
        <v>26</v>
      </c>
      <c r="I21" s="26"/>
      <c r="J21" s="26"/>
      <c r="K21" s="26"/>
      <c r="L21" s="12"/>
    </row>
    <row r="22" spans="1:12">
      <c r="H22" s="12"/>
      <c r="I22" s="12" t="s">
        <v>46</v>
      </c>
      <c r="J22" s="12"/>
      <c r="K22" s="12"/>
      <c r="L22" s="28">
        <v>8631888</v>
      </c>
    </row>
    <row r="23" spans="1:12">
      <c r="H23" s="12"/>
      <c r="I23" s="12" t="s">
        <v>47</v>
      </c>
      <c r="J23" s="12"/>
      <c r="K23" s="12"/>
      <c r="L23" s="14">
        <v>11241723</v>
      </c>
    </row>
    <row r="24" spans="1:12">
      <c r="H24" s="12"/>
      <c r="I24" s="12" t="s">
        <v>220</v>
      </c>
      <c r="J24" s="12"/>
      <c r="K24" s="12"/>
      <c r="L24" s="14">
        <v>1094197</v>
      </c>
    </row>
    <row r="25" spans="1:12">
      <c r="H25" s="12"/>
      <c r="I25" s="12" t="s">
        <v>32</v>
      </c>
      <c r="J25" s="12"/>
      <c r="K25" s="12"/>
      <c r="L25" s="15">
        <v>20735</v>
      </c>
    </row>
    <row r="26" spans="1:12">
      <c r="H26" s="12" t="s">
        <v>106</v>
      </c>
      <c r="I26" s="12"/>
      <c r="J26" s="12"/>
      <c r="K26" s="12"/>
      <c r="L26" s="29">
        <v>942692</v>
      </c>
    </row>
    <row r="27" spans="1:12">
      <c r="H27" s="12" t="s">
        <v>205</v>
      </c>
      <c r="I27" s="12"/>
      <c r="J27" s="12"/>
      <c r="K27" s="12"/>
      <c r="L27" s="29">
        <v>220272</v>
      </c>
    </row>
    <row r="28" spans="1:12">
      <c r="H28" s="12" t="s">
        <v>586</v>
      </c>
      <c r="I28" s="12"/>
      <c r="J28" s="12"/>
      <c r="K28" s="12"/>
      <c r="L28" s="29">
        <v>80438</v>
      </c>
    </row>
    <row r="29" spans="1:12">
      <c r="H29" s="12" t="s">
        <v>36</v>
      </c>
      <c r="I29" s="12"/>
      <c r="J29" s="12"/>
      <c r="K29" s="12"/>
      <c r="L29" s="29">
        <v>513770</v>
      </c>
    </row>
    <row r="30" spans="1:12">
      <c r="H30" s="12"/>
      <c r="I30" s="12"/>
      <c r="J30" s="12"/>
      <c r="K30" s="12"/>
      <c r="L30" s="12"/>
    </row>
    <row r="31" spans="1:12">
      <c r="H31" s="20" t="s">
        <v>587</v>
      </c>
      <c r="I31" s="20"/>
      <c r="J31" s="20"/>
      <c r="K31" s="20"/>
      <c r="L31" s="20">
        <v>22745715</v>
      </c>
    </row>
    <row r="32" spans="1:12">
      <c r="H32" s="12"/>
      <c r="I32" s="12"/>
      <c r="J32" s="12"/>
      <c r="K32" s="12"/>
      <c r="L32" s="12"/>
    </row>
    <row r="33" spans="5:12">
      <c r="H33" s="20" t="s">
        <v>39</v>
      </c>
      <c r="I33" s="20"/>
      <c r="J33" s="20"/>
      <c r="K33" s="20"/>
      <c r="L33" s="20">
        <v>4152922</v>
      </c>
    </row>
    <row r="34" spans="5:12">
      <c r="H34" s="26"/>
      <c r="I34" s="26"/>
      <c r="J34" s="26"/>
      <c r="K34" s="26"/>
      <c r="L34" s="26"/>
    </row>
    <row r="35" spans="5:12">
      <c r="E35" s="31" t="s">
        <v>54</v>
      </c>
      <c r="F35" s="31"/>
      <c r="G35" s="31"/>
      <c r="H35" s="32"/>
      <c r="I35" s="32"/>
      <c r="J35" s="32"/>
      <c r="K35" s="32"/>
      <c r="L35" s="33">
        <v>77175141</v>
      </c>
    </row>
    <row r="36" spans="5:12">
      <c r="H36" s="12"/>
      <c r="I36" s="12"/>
      <c r="J36" s="12"/>
      <c r="K36" s="12"/>
      <c r="L36" s="12"/>
    </row>
    <row r="37" spans="5:12">
      <c r="E37" s="34" t="s">
        <v>55</v>
      </c>
      <c r="F37" s="34"/>
      <c r="G37" s="34"/>
      <c r="H37" s="35"/>
      <c r="I37" s="35"/>
      <c r="J37" s="35"/>
      <c r="K37" s="35"/>
      <c r="L37" s="83">
        <v>81328063</v>
      </c>
    </row>
    <row r="44" spans="5:12">
      <c r="K44" s="9"/>
      <c r="L44" s="9"/>
    </row>
  </sheetData>
  <mergeCells count="3">
    <mergeCell ref="J1:L1"/>
    <mergeCell ref="J2:L2"/>
    <mergeCell ref="J5:K5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R36"/>
  <sheetViews>
    <sheetView workbookViewId="0">
      <selection activeCell="I13" sqref="I13"/>
    </sheetView>
  </sheetViews>
  <sheetFormatPr defaultColWidth="8.85546875" defaultRowHeight="15"/>
  <cols>
    <col min="1" max="1" width="5.28515625" customWidth="1"/>
    <col min="2" max="2" width="4.140625" customWidth="1"/>
    <col min="3" max="3" width="5.85546875" customWidth="1"/>
    <col min="7" max="7" width="4.42578125" customWidth="1"/>
    <col min="8" max="8" width="4.28515625" customWidth="1"/>
    <col min="9" max="9" width="13.42578125" customWidth="1"/>
    <col min="10" max="10" width="12.28515625" customWidth="1"/>
    <col min="11" max="11" width="13.7109375" customWidth="1"/>
    <col min="12" max="12" width="11.7109375" customWidth="1"/>
    <col min="13" max="13" width="14.42578125" customWidth="1"/>
  </cols>
  <sheetData>
    <row r="1" spans="2:18" ht="24.95" customHeight="1">
      <c r="J1" s="544" t="s">
        <v>588</v>
      </c>
      <c r="K1" s="544"/>
      <c r="L1" s="544"/>
    </row>
    <row r="2" spans="2:18">
      <c r="J2" s="10" t="s">
        <v>1</v>
      </c>
    </row>
    <row r="3" spans="2:18">
      <c r="J3" s="10"/>
    </row>
    <row r="4" spans="2:18">
      <c r="I4" s="362"/>
      <c r="J4" s="364" t="s">
        <v>4</v>
      </c>
      <c r="K4" s="362"/>
      <c r="L4" s="362"/>
      <c r="M4" s="362"/>
    </row>
    <row r="5" spans="2:18" ht="60">
      <c r="I5" s="475" t="s">
        <v>7</v>
      </c>
      <c r="J5" s="475" t="s">
        <v>8</v>
      </c>
      <c r="K5" s="363" t="s">
        <v>9</v>
      </c>
      <c r="L5" s="475" t="s">
        <v>10</v>
      </c>
      <c r="M5" s="475" t="s">
        <v>291</v>
      </c>
      <c r="N5" s="228"/>
      <c r="O5" s="228"/>
      <c r="P5" s="228"/>
      <c r="Q5" s="228"/>
      <c r="R5" s="228"/>
    </row>
    <row r="7" spans="2:18">
      <c r="B7" s="10" t="s">
        <v>14</v>
      </c>
    </row>
    <row r="8" spans="2:18">
      <c r="C8" t="s">
        <v>15</v>
      </c>
      <c r="H8" s="12"/>
      <c r="I8" s="365">
        <v>-810475</v>
      </c>
      <c r="J8" s="12">
        <v>97666</v>
      </c>
      <c r="M8" s="12">
        <v>-712809</v>
      </c>
    </row>
    <row r="9" spans="2:18">
      <c r="C9" t="s">
        <v>16</v>
      </c>
      <c r="H9" s="12"/>
      <c r="I9" s="366">
        <v>-502093</v>
      </c>
      <c r="J9" s="12">
        <v>135575</v>
      </c>
      <c r="K9" s="12">
        <v>66859</v>
      </c>
      <c r="M9" s="12">
        <v>-299659</v>
      </c>
    </row>
    <row r="10" spans="2:18">
      <c r="C10" t="s">
        <v>17</v>
      </c>
      <c r="I10" s="367">
        <v>-4051801</v>
      </c>
      <c r="J10" s="12">
        <v>353881</v>
      </c>
      <c r="K10" s="12">
        <v>247967</v>
      </c>
      <c r="M10" s="12">
        <v>-3449953</v>
      </c>
    </row>
    <row r="11" spans="2:18">
      <c r="C11" t="s">
        <v>19</v>
      </c>
      <c r="H11" s="12"/>
      <c r="I11" s="368">
        <v>-2885350</v>
      </c>
      <c r="J11" s="12">
        <v>2494430</v>
      </c>
      <c r="K11" s="12">
        <v>305415</v>
      </c>
      <c r="M11" s="12">
        <v>-85505</v>
      </c>
    </row>
    <row r="12" spans="2:18">
      <c r="C12" t="s">
        <v>20</v>
      </c>
      <c r="H12" s="12"/>
      <c r="I12" s="369">
        <v>-3425</v>
      </c>
      <c r="M12" s="12">
        <v>-3425</v>
      </c>
    </row>
    <row r="13" spans="2:18">
      <c r="C13" t="s">
        <v>18</v>
      </c>
      <c r="H13" s="12"/>
      <c r="I13" s="370">
        <v>-142390</v>
      </c>
      <c r="M13" s="12">
        <v>-142390</v>
      </c>
    </row>
    <row r="14" spans="2:18">
      <c r="C14" t="s">
        <v>164</v>
      </c>
      <c r="H14" s="12"/>
      <c r="I14" s="367">
        <v>-164814</v>
      </c>
      <c r="J14" s="12">
        <v>17600</v>
      </c>
      <c r="K14" s="12">
        <v>360806</v>
      </c>
      <c r="M14" s="12">
        <v>213592</v>
      </c>
    </row>
    <row r="16" spans="2:18">
      <c r="E16" s="371" t="s">
        <v>22</v>
      </c>
      <c r="F16" s="371"/>
      <c r="G16" s="371"/>
      <c r="H16" s="371"/>
      <c r="I16" s="372">
        <v>-8560348</v>
      </c>
      <c r="J16" s="372">
        <v>3099152</v>
      </c>
      <c r="K16" s="372">
        <v>981047</v>
      </c>
      <c r="L16" s="371">
        <v>0</v>
      </c>
      <c r="M16" s="372">
        <v>-4480149</v>
      </c>
    </row>
    <row r="18" spans="5:14">
      <c r="G18" t="s">
        <v>25</v>
      </c>
    </row>
    <row r="19" spans="5:14">
      <c r="G19" t="s">
        <v>26</v>
      </c>
    </row>
    <row r="20" spans="5:14">
      <c r="H20" t="s">
        <v>589</v>
      </c>
    </row>
    <row r="21" spans="5:14">
      <c r="I21" t="s">
        <v>15</v>
      </c>
      <c r="L21" s="12"/>
      <c r="M21" s="241">
        <v>326757</v>
      </c>
    </row>
    <row r="22" spans="5:14">
      <c r="I22" t="s">
        <v>17</v>
      </c>
      <c r="L22" s="12"/>
      <c r="M22" s="241">
        <v>662487</v>
      </c>
    </row>
    <row r="23" spans="5:14">
      <c r="H23" t="s">
        <v>590</v>
      </c>
    </row>
    <row r="24" spans="5:14">
      <c r="I24" t="s">
        <v>15</v>
      </c>
      <c r="L24" s="12"/>
      <c r="M24" s="239">
        <v>640960</v>
      </c>
    </row>
    <row r="25" spans="5:14">
      <c r="I25" t="s">
        <v>17</v>
      </c>
      <c r="L25" s="12"/>
      <c r="M25" s="239">
        <v>1922880</v>
      </c>
    </row>
    <row r="26" spans="5:14">
      <c r="H26" t="s">
        <v>33</v>
      </c>
      <c r="L26" s="12"/>
      <c r="M26" s="365">
        <v>700435</v>
      </c>
    </row>
    <row r="27" spans="5:14">
      <c r="H27" t="s">
        <v>107</v>
      </c>
      <c r="L27" s="12"/>
      <c r="M27" s="214">
        <v>96662</v>
      </c>
    </row>
    <row r="28" spans="5:14">
      <c r="H28" t="s">
        <v>169</v>
      </c>
      <c r="L28" s="12"/>
      <c r="M28" s="214">
        <v>756153</v>
      </c>
    </row>
    <row r="30" spans="5:14">
      <c r="E30" s="373"/>
      <c r="F30" s="373"/>
      <c r="G30" s="373"/>
      <c r="H30" s="371" t="s">
        <v>587</v>
      </c>
      <c r="I30" s="371"/>
      <c r="J30" s="371"/>
      <c r="K30" s="371"/>
      <c r="L30" s="371"/>
      <c r="M30" s="372">
        <v>5106334</v>
      </c>
    </row>
    <row r="32" spans="5:14">
      <c r="E32" s="373"/>
      <c r="F32" s="373"/>
      <c r="G32" s="373"/>
      <c r="H32" s="371" t="s">
        <v>39</v>
      </c>
      <c r="I32" s="371"/>
      <c r="J32" s="371"/>
      <c r="K32" s="371"/>
      <c r="L32" s="371"/>
      <c r="M32" s="372">
        <v>626185</v>
      </c>
      <c r="N32" s="10"/>
    </row>
    <row r="34" spans="5:13">
      <c r="E34" s="374" t="s">
        <v>54</v>
      </c>
      <c r="F34" s="374"/>
      <c r="G34" s="374"/>
      <c r="H34" s="374"/>
      <c r="I34" s="374"/>
      <c r="J34" s="374"/>
      <c r="K34" s="374"/>
      <c r="L34" s="374"/>
      <c r="M34" s="375">
        <v>18491710</v>
      </c>
    </row>
    <row r="36" spans="5:13">
      <c r="E36" s="233" t="s">
        <v>55</v>
      </c>
      <c r="F36" s="233"/>
      <c r="G36" s="233"/>
      <c r="H36" s="233"/>
      <c r="I36" s="233"/>
      <c r="J36" s="233"/>
      <c r="K36" s="233"/>
      <c r="L36" s="233"/>
      <c r="M36" s="376">
        <v>19117895</v>
      </c>
    </row>
  </sheetData>
  <mergeCells count="1">
    <mergeCell ref="J1:L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55"/>
  <sheetViews>
    <sheetView workbookViewId="0">
      <selection activeCell="N50" sqref="N50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" customWidth="1"/>
    <col min="8" max="8" width="3" customWidth="1"/>
    <col min="9" max="9" width="20.7109375" customWidth="1"/>
    <col min="10" max="10" width="18.85546875" bestFit="1" customWidth="1"/>
    <col min="11" max="11" width="19.28515625" customWidth="1"/>
    <col min="12" max="12" width="20" customWidth="1"/>
    <col min="13" max="13" width="19.7109375" customWidth="1"/>
    <col min="14" max="14" width="21" customWidth="1"/>
    <col min="15" max="15" width="20" customWidth="1"/>
    <col min="16" max="16" width="18.85546875" customWidth="1"/>
  </cols>
  <sheetData>
    <row r="1" spans="1:16" ht="20.25" customHeight="1">
      <c r="J1" s="520" t="s">
        <v>591</v>
      </c>
      <c r="K1" s="520"/>
      <c r="L1" s="520"/>
      <c r="M1" s="520"/>
      <c r="N1" s="419"/>
      <c r="O1" s="419"/>
    </row>
    <row r="2" spans="1:16" ht="18.75">
      <c r="J2" s="521" t="s">
        <v>1</v>
      </c>
      <c r="K2" s="521"/>
      <c r="L2" s="521"/>
      <c r="M2" s="521"/>
      <c r="N2" s="420"/>
      <c r="O2" s="420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.75">
      <c r="E4" s="2"/>
      <c r="M4" s="522" t="s">
        <v>2</v>
      </c>
      <c r="N4" s="522"/>
      <c r="O4" s="522"/>
      <c r="P4" s="522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26" t="s">
        <v>5</v>
      </c>
      <c r="N5" s="526"/>
      <c r="O5" s="526"/>
      <c r="P5" s="81" t="s">
        <v>12</v>
      </c>
    </row>
    <row r="6" spans="1:16" ht="33.950000000000003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58</v>
      </c>
      <c r="N6" s="6" t="s">
        <v>147</v>
      </c>
      <c r="O6" s="6" t="s">
        <v>59</v>
      </c>
      <c r="P6" s="81" t="s">
        <v>147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379"/>
      <c r="J8" s="379"/>
      <c r="K8" s="379"/>
      <c r="L8" s="379"/>
      <c r="M8" s="381"/>
      <c r="N8" s="381"/>
      <c r="O8" s="381"/>
      <c r="P8" s="379"/>
    </row>
    <row r="9" spans="1:16">
      <c r="C9" t="s">
        <v>15</v>
      </c>
      <c r="H9" s="12"/>
      <c r="I9" s="476">
        <v>-1039304</v>
      </c>
      <c r="J9" s="387">
        <v>232409</v>
      </c>
      <c r="K9" s="379">
        <v>347405</v>
      </c>
      <c r="L9" s="379"/>
      <c r="M9" s="379">
        <f t="shared" ref="M9:M15" si="0">SUM(I9:L9)</f>
        <v>-459490</v>
      </c>
      <c r="N9" s="379"/>
      <c r="O9" s="379">
        <f t="shared" ref="O9:O15" si="1">SUM(M9:N9)</f>
        <v>-459490</v>
      </c>
      <c r="P9" s="379"/>
    </row>
    <row r="10" spans="1:16">
      <c r="C10" t="s">
        <v>20</v>
      </c>
      <c r="H10" s="12"/>
      <c r="I10" s="477">
        <v>-724535</v>
      </c>
      <c r="J10" s="387"/>
      <c r="K10" s="379"/>
      <c r="L10" s="379"/>
      <c r="M10" s="379">
        <f t="shared" si="0"/>
        <v>-724535</v>
      </c>
      <c r="N10" s="379"/>
      <c r="O10" s="379">
        <f t="shared" si="1"/>
        <v>-724535</v>
      </c>
      <c r="P10" s="379"/>
    </row>
    <row r="11" spans="1:16">
      <c r="C11" t="s">
        <v>44</v>
      </c>
      <c r="H11" s="12"/>
      <c r="I11" s="478">
        <v>-106919</v>
      </c>
      <c r="J11" s="387"/>
      <c r="K11" s="379"/>
      <c r="L11" s="379"/>
      <c r="M11" s="379">
        <f t="shared" si="0"/>
        <v>-106919</v>
      </c>
      <c r="N11" s="379"/>
      <c r="O11" s="379">
        <f t="shared" si="1"/>
        <v>-106919</v>
      </c>
      <c r="P11" s="379"/>
    </row>
    <row r="12" spans="1:16">
      <c r="C12" t="s">
        <v>19</v>
      </c>
      <c r="H12" s="12"/>
      <c r="I12" s="395">
        <v>-195029</v>
      </c>
      <c r="J12" s="387"/>
      <c r="K12" s="379">
        <v>9546</v>
      </c>
      <c r="L12" s="379"/>
      <c r="M12" s="379">
        <f t="shared" si="0"/>
        <v>-185483</v>
      </c>
      <c r="N12" s="379"/>
      <c r="O12" s="379">
        <f t="shared" si="1"/>
        <v>-185483</v>
      </c>
      <c r="P12" s="379"/>
    </row>
    <row r="13" spans="1:16">
      <c r="C13" t="s">
        <v>16</v>
      </c>
      <c r="H13" s="12"/>
      <c r="I13" s="393">
        <v>-122258</v>
      </c>
      <c r="J13" s="387">
        <v>67450</v>
      </c>
      <c r="K13" s="379"/>
      <c r="L13" s="379"/>
      <c r="M13" s="379">
        <f>SUM(I13:L13)</f>
        <v>-54808</v>
      </c>
      <c r="N13" s="379"/>
      <c r="O13" s="379">
        <f t="shared" si="1"/>
        <v>-54808</v>
      </c>
      <c r="P13" s="379"/>
    </row>
    <row r="14" spans="1:16">
      <c r="C14" t="s">
        <v>17</v>
      </c>
      <c r="H14" s="12"/>
      <c r="I14" s="394">
        <v>-1711425</v>
      </c>
      <c r="J14" s="387"/>
      <c r="K14" s="379"/>
      <c r="L14" s="379"/>
      <c r="M14" s="379">
        <f t="shared" si="0"/>
        <v>-1711425</v>
      </c>
      <c r="N14" s="379"/>
      <c r="O14" s="379">
        <f t="shared" si="1"/>
        <v>-1711425</v>
      </c>
      <c r="P14" s="379"/>
    </row>
    <row r="15" spans="1:16">
      <c r="C15" t="s">
        <v>185</v>
      </c>
      <c r="H15" s="12"/>
      <c r="I15" s="398">
        <v>-45832</v>
      </c>
      <c r="J15" s="397"/>
      <c r="K15" s="381"/>
      <c r="L15" s="381"/>
      <c r="M15" s="381">
        <f t="shared" si="0"/>
        <v>-45832</v>
      </c>
      <c r="N15" s="381"/>
      <c r="O15" s="381">
        <f t="shared" si="1"/>
        <v>-45832</v>
      </c>
      <c r="P15" s="381"/>
    </row>
    <row r="16" spans="1:16">
      <c r="H16" s="12"/>
      <c r="I16" s="479"/>
      <c r="J16" s="479"/>
      <c r="K16" s="399"/>
      <c r="L16" s="399"/>
      <c r="M16" s="399"/>
      <c r="N16" s="399"/>
      <c r="O16" s="399"/>
      <c r="P16" s="399"/>
    </row>
    <row r="17" spans="1:16">
      <c r="E17" s="19" t="s">
        <v>22</v>
      </c>
      <c r="F17" s="19"/>
      <c r="G17" s="19"/>
      <c r="H17" s="20"/>
      <c r="I17" s="400">
        <f>SUM(I9:I15)</f>
        <v>-3945302</v>
      </c>
      <c r="J17" s="400">
        <f>SUM(J9:J15)</f>
        <v>299859</v>
      </c>
      <c r="K17" s="400">
        <f>SUM(K9:K15)</f>
        <v>356951</v>
      </c>
      <c r="L17" s="400">
        <f>SUM(L9:L15)</f>
        <v>0</v>
      </c>
      <c r="M17" s="480">
        <f>SUM(M9:M15)</f>
        <v>-3288492</v>
      </c>
      <c r="N17" s="480"/>
      <c r="O17" s="480">
        <f>SUM(O9:O15)</f>
        <v>-3288492</v>
      </c>
      <c r="P17" s="481">
        <f>SUM(P9:P15)</f>
        <v>0</v>
      </c>
    </row>
    <row r="18" spans="1:16">
      <c r="E18" s="8"/>
      <c r="F18" s="8"/>
      <c r="G18" s="8"/>
      <c r="H18" s="26"/>
      <c r="I18" s="405"/>
      <c r="J18" s="405"/>
      <c r="K18" s="405"/>
      <c r="L18" s="405"/>
      <c r="M18" s="405"/>
      <c r="N18" s="405"/>
      <c r="O18" s="405"/>
      <c r="P18" s="387"/>
    </row>
    <row r="19" spans="1:16">
      <c r="B19" s="10" t="s">
        <v>116</v>
      </c>
      <c r="E19" s="8"/>
      <c r="F19" s="8"/>
      <c r="G19" s="8"/>
      <c r="H19" s="26"/>
      <c r="I19" s="405"/>
      <c r="J19" s="405"/>
      <c r="K19" s="405"/>
      <c r="L19" s="405"/>
      <c r="M19" s="405"/>
      <c r="N19" s="405"/>
      <c r="O19" s="405"/>
      <c r="P19" s="387"/>
    </row>
    <row r="20" spans="1:16">
      <c r="C20" t="s">
        <v>592</v>
      </c>
      <c r="E20" s="8"/>
      <c r="F20" s="8"/>
      <c r="G20" s="8"/>
      <c r="H20" s="26"/>
      <c r="I20" s="482">
        <v>-725417</v>
      </c>
      <c r="J20" s="483">
        <v>737443</v>
      </c>
      <c r="K20" s="483">
        <v>15146</v>
      </c>
      <c r="L20" s="483"/>
      <c r="M20" s="483"/>
      <c r="N20" s="483">
        <f t="shared" ref="N20:N23" si="2">SUM(I20:L20)</f>
        <v>27172</v>
      </c>
      <c r="O20" s="483">
        <f t="shared" ref="O20:O23" si="3">SUM(M20:N20)</f>
        <v>27172</v>
      </c>
      <c r="P20" s="387"/>
    </row>
    <row r="21" spans="1:16">
      <c r="C21" t="s">
        <v>593</v>
      </c>
      <c r="E21" s="8"/>
      <c r="F21" s="8"/>
      <c r="G21" s="8"/>
      <c r="H21" s="26"/>
      <c r="I21" s="482">
        <v>-23838</v>
      </c>
      <c r="J21" s="483">
        <v>16184</v>
      </c>
      <c r="K21" s="483"/>
      <c r="L21" s="483"/>
      <c r="M21" s="483"/>
      <c r="N21" s="483">
        <f t="shared" si="2"/>
        <v>-7654</v>
      </c>
      <c r="O21" s="483">
        <f t="shared" si="3"/>
        <v>-7654</v>
      </c>
      <c r="P21" s="387"/>
    </row>
    <row r="22" spans="1:16">
      <c r="C22" t="s">
        <v>594</v>
      </c>
      <c r="E22" s="8"/>
      <c r="F22" s="8"/>
      <c r="G22" s="8"/>
      <c r="H22" s="26"/>
      <c r="I22" s="482">
        <v>-52094</v>
      </c>
      <c r="J22" s="483">
        <v>33915</v>
      </c>
      <c r="K22" s="483"/>
      <c r="L22" s="483"/>
      <c r="M22" s="483"/>
      <c r="N22" s="483">
        <f t="shared" si="2"/>
        <v>-18179</v>
      </c>
      <c r="O22" s="483">
        <f t="shared" si="3"/>
        <v>-18179</v>
      </c>
      <c r="P22" s="387"/>
    </row>
    <row r="23" spans="1:16">
      <c r="C23" t="s">
        <v>595</v>
      </c>
      <c r="E23" s="8"/>
      <c r="F23" s="8"/>
      <c r="G23" s="8"/>
      <c r="H23" s="26"/>
      <c r="I23" s="482">
        <v>-8461</v>
      </c>
      <c r="J23" s="483">
        <v>7103</v>
      </c>
      <c r="K23" s="483"/>
      <c r="L23" s="483"/>
      <c r="M23" s="483"/>
      <c r="N23" s="483">
        <f t="shared" si="2"/>
        <v>-1358</v>
      </c>
      <c r="O23" s="483">
        <f t="shared" si="3"/>
        <v>-1358</v>
      </c>
      <c r="P23" s="387"/>
    </row>
    <row r="24" spans="1:16">
      <c r="C24" t="s">
        <v>596</v>
      </c>
      <c r="E24" s="8"/>
      <c r="F24" s="8"/>
      <c r="G24" s="8"/>
      <c r="H24" s="26"/>
      <c r="I24" s="482">
        <v>-67180</v>
      </c>
      <c r="J24" s="483">
        <v>26600</v>
      </c>
      <c r="K24" s="483"/>
      <c r="L24" s="483"/>
      <c r="M24" s="483"/>
      <c r="N24" s="483">
        <f>SUM(I24:L24)</f>
        <v>-40580</v>
      </c>
      <c r="O24" s="483">
        <f>SUM(M24:N24)</f>
        <v>-40580</v>
      </c>
      <c r="P24" s="387"/>
    </row>
    <row r="25" spans="1:16">
      <c r="E25" s="8"/>
      <c r="F25" s="8"/>
      <c r="G25" s="8"/>
      <c r="H25" s="26"/>
      <c r="I25" s="484"/>
      <c r="J25" s="484"/>
      <c r="K25" s="484"/>
      <c r="L25" s="484"/>
      <c r="M25" s="484"/>
      <c r="N25" s="484"/>
      <c r="O25" s="484"/>
      <c r="P25" s="479"/>
    </row>
    <row r="26" spans="1:16">
      <c r="E26" s="19" t="s">
        <v>232</v>
      </c>
      <c r="F26" s="19"/>
      <c r="G26" s="19"/>
      <c r="H26" s="20"/>
      <c r="I26" s="400">
        <f t="shared" ref="I26:P26" si="4">SUM(I20:I24)</f>
        <v>-876990</v>
      </c>
      <c r="J26" s="400">
        <f t="shared" si="4"/>
        <v>821245</v>
      </c>
      <c r="K26" s="400">
        <f t="shared" si="4"/>
        <v>15146</v>
      </c>
      <c r="L26" s="400">
        <f t="shared" si="4"/>
        <v>0</v>
      </c>
      <c r="M26" s="480">
        <f t="shared" si="4"/>
        <v>0</v>
      </c>
      <c r="N26" s="480">
        <f t="shared" si="4"/>
        <v>-40599</v>
      </c>
      <c r="O26" s="480">
        <f t="shared" si="4"/>
        <v>-40599</v>
      </c>
      <c r="P26" s="480">
        <f t="shared" si="4"/>
        <v>0</v>
      </c>
    </row>
    <row r="27" spans="1:16">
      <c r="E27" s="8"/>
      <c r="F27" s="8"/>
      <c r="G27" s="8"/>
      <c r="H27" s="26"/>
      <c r="I27" s="405"/>
      <c r="J27" s="405"/>
      <c r="K27" s="405"/>
      <c r="L27" s="405"/>
      <c r="M27" s="405"/>
      <c r="N27" s="405"/>
      <c r="O27" s="405"/>
      <c r="P27" s="387"/>
    </row>
    <row r="28" spans="1:16">
      <c r="E28" s="19" t="s">
        <v>67</v>
      </c>
      <c r="F28" s="19"/>
      <c r="G28" s="19"/>
      <c r="H28" s="20"/>
      <c r="I28" s="400">
        <f>I26+I17</f>
        <v>-4822292</v>
      </c>
      <c r="J28" s="400">
        <f>J26+J17</f>
        <v>1121104</v>
      </c>
      <c r="K28" s="400">
        <f>SUM(K17+K26)</f>
        <v>372097</v>
      </c>
      <c r="L28" s="400">
        <f>SUM(L17+L26)</f>
        <v>0</v>
      </c>
      <c r="M28" s="480">
        <f>M26+M17</f>
        <v>-3288492</v>
      </c>
      <c r="N28" s="480">
        <f>N26+N17</f>
        <v>-40599</v>
      </c>
      <c r="O28" s="480">
        <f>O26+O17</f>
        <v>-3329091</v>
      </c>
      <c r="P28" s="480">
        <f>P26+P17</f>
        <v>0</v>
      </c>
    </row>
    <row r="29" spans="1:16">
      <c r="E29" s="8"/>
      <c r="F29" s="8"/>
      <c r="G29" s="8"/>
      <c r="H29" s="26"/>
      <c r="I29" s="405"/>
      <c r="J29" s="405"/>
      <c r="K29" s="405"/>
      <c r="L29" s="405"/>
      <c r="M29" s="405"/>
      <c r="N29" s="405"/>
      <c r="O29" s="405"/>
      <c r="P29" s="387"/>
    </row>
    <row r="30" spans="1:16">
      <c r="A30" s="10" t="s">
        <v>23</v>
      </c>
      <c r="H30" s="12"/>
      <c r="I30" s="379">
        <v>-17910996</v>
      </c>
      <c r="J30" s="379">
        <v>17378972</v>
      </c>
      <c r="K30" s="379"/>
      <c r="L30" s="379"/>
      <c r="M30" s="379"/>
      <c r="N30" s="379"/>
      <c r="O30" s="379"/>
      <c r="P30" s="379">
        <f>SUM(I29:L30)</f>
        <v>-532024</v>
      </c>
    </row>
    <row r="31" spans="1:16">
      <c r="H31" s="12"/>
      <c r="I31" s="399"/>
      <c r="J31" s="399"/>
      <c r="K31" s="399"/>
      <c r="L31" s="399"/>
      <c r="M31" s="399"/>
      <c r="N31" s="399"/>
      <c r="O31" s="399"/>
      <c r="P31" s="399"/>
    </row>
    <row r="32" spans="1:16">
      <c r="E32" s="19" t="s">
        <v>70</v>
      </c>
      <c r="F32" s="19"/>
      <c r="G32" s="19"/>
      <c r="H32" s="20"/>
      <c r="I32" s="400">
        <f t="shared" ref="I32:P32" si="5">SUM(I30:I30)</f>
        <v>-17910996</v>
      </c>
      <c r="J32" s="400">
        <f t="shared" si="5"/>
        <v>17378972</v>
      </c>
      <c r="K32" s="400">
        <f t="shared" si="5"/>
        <v>0</v>
      </c>
      <c r="L32" s="400">
        <f t="shared" si="5"/>
        <v>0</v>
      </c>
      <c r="M32" s="400">
        <f t="shared" si="5"/>
        <v>0</v>
      </c>
      <c r="N32" s="400">
        <f t="shared" si="5"/>
        <v>0</v>
      </c>
      <c r="O32" s="400">
        <f t="shared" si="5"/>
        <v>0</v>
      </c>
      <c r="P32" s="400">
        <f t="shared" si="5"/>
        <v>-532024</v>
      </c>
    </row>
    <row r="33" spans="1:16">
      <c r="H33" s="12"/>
      <c r="I33" s="379"/>
      <c r="J33" s="379"/>
      <c r="K33" s="379"/>
      <c r="L33" s="379"/>
      <c r="M33" s="379"/>
      <c r="N33" s="379"/>
      <c r="O33" s="379"/>
      <c r="P33" s="379"/>
    </row>
    <row r="34" spans="1:16">
      <c r="A34" s="8"/>
      <c r="B34" s="8"/>
      <c r="C34" s="8"/>
      <c r="D34" s="8"/>
      <c r="E34" s="8"/>
      <c r="G34" s="8" t="s">
        <v>25</v>
      </c>
      <c r="H34" s="26"/>
      <c r="I34" s="385"/>
      <c r="J34" s="385"/>
      <c r="K34" s="385"/>
      <c r="L34" s="385"/>
      <c r="M34" s="379"/>
      <c r="N34" s="379"/>
      <c r="O34" s="379"/>
      <c r="P34" s="379"/>
    </row>
    <row r="35" spans="1:16">
      <c r="H35" s="12" t="s">
        <v>94</v>
      </c>
      <c r="I35" s="379"/>
      <c r="J35" s="379"/>
      <c r="K35" s="379"/>
      <c r="L35" s="379"/>
      <c r="M35" s="402">
        <v>118927</v>
      </c>
      <c r="N35" s="387"/>
      <c r="O35" s="387">
        <f>SUM(M35:N35)</f>
        <v>118927</v>
      </c>
      <c r="P35" s="379">
        <v>510035</v>
      </c>
    </row>
    <row r="36" spans="1:16">
      <c r="H36" s="12" t="s">
        <v>96</v>
      </c>
      <c r="I36" s="379"/>
      <c r="J36" s="379"/>
      <c r="K36" s="379"/>
      <c r="L36" s="379"/>
      <c r="M36" s="394">
        <v>778283</v>
      </c>
      <c r="N36" s="387"/>
      <c r="O36" s="387">
        <f t="shared" ref="O36:O40" si="6">SUM(M36:N36)</f>
        <v>778283</v>
      </c>
      <c r="P36" s="379">
        <v>1417091</v>
      </c>
    </row>
    <row r="37" spans="1:16">
      <c r="H37" s="12" t="s">
        <v>220</v>
      </c>
      <c r="I37" s="379"/>
      <c r="J37" s="379"/>
      <c r="K37" s="379"/>
      <c r="L37" s="379"/>
      <c r="M37" s="394">
        <v>94834</v>
      </c>
      <c r="N37" s="387"/>
      <c r="O37" s="387">
        <f t="shared" si="6"/>
        <v>94834</v>
      </c>
      <c r="P37" s="379"/>
    </row>
    <row r="38" spans="1:16">
      <c r="H38" s="12" t="s">
        <v>73</v>
      </c>
      <c r="I38" s="379"/>
      <c r="J38" s="379"/>
      <c r="K38" s="379"/>
      <c r="L38" s="379"/>
      <c r="M38" s="395">
        <v>20430</v>
      </c>
      <c r="N38" s="387"/>
      <c r="O38" s="387">
        <f t="shared" si="6"/>
        <v>20430</v>
      </c>
      <c r="P38" s="379">
        <v>22117</v>
      </c>
    </row>
    <row r="39" spans="1:16">
      <c r="H39" s="12" t="s">
        <v>32</v>
      </c>
      <c r="I39" s="379"/>
      <c r="J39" s="379"/>
      <c r="K39" s="379"/>
      <c r="L39" s="379"/>
      <c r="M39" s="395">
        <v>36737</v>
      </c>
      <c r="N39" s="387"/>
      <c r="O39" s="387">
        <f t="shared" si="6"/>
        <v>36737</v>
      </c>
      <c r="P39" s="379">
        <v>213301</v>
      </c>
    </row>
    <row r="40" spans="1:16">
      <c r="H40" s="12" t="s">
        <v>597</v>
      </c>
      <c r="I40" s="379"/>
      <c r="J40" s="379"/>
      <c r="K40" s="379"/>
      <c r="L40" s="379"/>
      <c r="M40" s="388">
        <v>-14108</v>
      </c>
      <c r="N40" s="387">
        <v>14108</v>
      </c>
      <c r="O40" s="387">
        <f t="shared" si="6"/>
        <v>0</v>
      </c>
      <c r="P40" s="379"/>
    </row>
    <row r="41" spans="1:16">
      <c r="H41" s="12"/>
      <c r="I41" s="379"/>
      <c r="J41" s="379"/>
      <c r="K41" s="379"/>
      <c r="L41" s="379"/>
      <c r="M41" s="399"/>
      <c r="N41" s="399"/>
      <c r="O41" s="399"/>
      <c r="P41" s="399"/>
    </row>
    <row r="42" spans="1:16">
      <c r="H42" s="20" t="s">
        <v>243</v>
      </c>
      <c r="I42" s="400"/>
      <c r="J42" s="400"/>
      <c r="K42" s="400"/>
      <c r="L42" s="400"/>
      <c r="M42" s="400">
        <f>SUM(M35:M40)</f>
        <v>1035103</v>
      </c>
      <c r="N42" s="400">
        <f>SUM(N35:N40)</f>
        <v>14108</v>
      </c>
      <c r="O42" s="400">
        <f>SUM(O35:O40)</f>
        <v>1049211</v>
      </c>
      <c r="P42" s="481">
        <f>SUM(P35:P40)</f>
        <v>2162544</v>
      </c>
    </row>
    <row r="43" spans="1:16">
      <c r="H43" s="12"/>
      <c r="I43" s="379"/>
      <c r="J43" s="379"/>
      <c r="K43" s="379"/>
      <c r="L43" s="379"/>
      <c r="M43" s="379"/>
      <c r="N43" s="379"/>
      <c r="O43" s="379"/>
      <c r="P43" s="379"/>
    </row>
    <row r="44" spans="1:16">
      <c r="H44" s="20" t="s">
        <v>39</v>
      </c>
      <c r="I44" s="400"/>
      <c r="J44" s="400"/>
      <c r="K44" s="400"/>
      <c r="L44" s="400"/>
      <c r="M44" s="400">
        <f>SUM(M28+M42)</f>
        <v>-2253389</v>
      </c>
      <c r="N44" s="400">
        <f t="shared" ref="N44:O44" si="7">SUM(N28+N42)</f>
        <v>-26491</v>
      </c>
      <c r="O44" s="400">
        <f t="shared" si="7"/>
        <v>-2279880</v>
      </c>
      <c r="P44" s="400">
        <f>SUM(P32+P42)</f>
        <v>1630520</v>
      </c>
    </row>
    <row r="45" spans="1:16">
      <c r="H45" s="26"/>
      <c r="I45" s="405"/>
      <c r="J45" s="405"/>
      <c r="K45" s="405"/>
      <c r="L45" s="405"/>
      <c r="M45" s="405"/>
      <c r="N45" s="405"/>
      <c r="O45" s="405"/>
      <c r="P45" s="379"/>
    </row>
    <row r="46" spans="1:16">
      <c r="E46" s="31" t="s">
        <v>40</v>
      </c>
      <c r="F46" s="31"/>
      <c r="G46" s="31"/>
      <c r="H46" s="32"/>
      <c r="I46" s="407"/>
      <c r="J46" s="407"/>
      <c r="K46" s="406"/>
      <c r="L46" s="406"/>
      <c r="M46" s="408">
        <v>29545574</v>
      </c>
      <c r="N46" s="408">
        <v>7735284</v>
      </c>
      <c r="O46" s="408">
        <f>SUM(M46:N46)</f>
        <v>37280858</v>
      </c>
      <c r="P46" s="408">
        <v>27253154</v>
      </c>
    </row>
    <row r="47" spans="1:16">
      <c r="H47" s="12"/>
      <c r="I47" s="379"/>
      <c r="J47" s="379"/>
      <c r="K47" s="379"/>
      <c r="L47" s="379"/>
      <c r="M47" s="379"/>
      <c r="N47" s="379"/>
      <c r="O47" s="379"/>
      <c r="P47" s="379"/>
    </row>
    <row r="48" spans="1:16">
      <c r="E48" s="34" t="s">
        <v>41</v>
      </c>
      <c r="F48" s="34"/>
      <c r="G48" s="34"/>
      <c r="H48" s="35"/>
      <c r="I48" s="410"/>
      <c r="J48" s="410"/>
      <c r="K48" s="409"/>
      <c r="L48" s="409"/>
      <c r="M48" s="411">
        <f>SUM(M44,M46)</f>
        <v>27292185</v>
      </c>
      <c r="N48" s="411">
        <f>N46+N44</f>
        <v>7708793</v>
      </c>
      <c r="O48" s="411">
        <f>O46+O44</f>
        <v>35000978</v>
      </c>
      <c r="P48" s="485">
        <f>P46+P44</f>
        <v>28883674</v>
      </c>
    </row>
    <row r="49" spans="9:16">
      <c r="I49" s="379"/>
      <c r="J49" s="379"/>
      <c r="K49" s="379"/>
      <c r="L49" s="379"/>
      <c r="M49" s="379"/>
      <c r="N49" s="379"/>
      <c r="O49" s="379"/>
      <c r="P49" s="379"/>
    </row>
    <row r="50" spans="9:16">
      <c r="I50" s="379"/>
      <c r="J50" s="379"/>
      <c r="K50" s="379"/>
      <c r="L50" s="379"/>
      <c r="M50" s="379"/>
      <c r="N50" s="379"/>
      <c r="O50" s="379"/>
      <c r="P50" s="379"/>
    </row>
    <row r="55" spans="9:16">
      <c r="K55" s="9"/>
      <c r="L55" s="9"/>
      <c r="M55" s="9"/>
      <c r="N55" s="9"/>
      <c r="O55" s="9"/>
    </row>
  </sheetData>
  <mergeCells count="5">
    <mergeCell ref="J1:M1"/>
    <mergeCell ref="J2:M2"/>
    <mergeCell ref="M4:P4"/>
    <mergeCell ref="J5:L5"/>
    <mergeCell ref="M5:O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46"/>
  <sheetViews>
    <sheetView topLeftCell="A4" workbookViewId="0">
      <selection activeCell="N12" sqref="N12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  <col min="14" max="14" width="18.7109375" customWidth="1"/>
  </cols>
  <sheetData>
    <row r="1" spans="1:14" ht="31.5" customHeight="1">
      <c r="J1" s="520" t="s">
        <v>598</v>
      </c>
      <c r="K1" s="520"/>
      <c r="L1" s="520"/>
      <c r="M1" s="520"/>
    </row>
    <row r="2" spans="1:14" ht="18.75">
      <c r="J2" s="521" t="s">
        <v>1</v>
      </c>
      <c r="K2" s="521"/>
      <c r="L2" s="521"/>
      <c r="M2" s="521"/>
    </row>
    <row r="3" spans="1:14" ht="15.75">
      <c r="E3" s="3"/>
      <c r="F3" s="3"/>
      <c r="G3" s="3"/>
      <c r="H3" s="3"/>
      <c r="I3" s="3"/>
      <c r="J3" s="3"/>
      <c r="K3" s="3"/>
      <c r="L3" s="3"/>
    </row>
    <row r="4" spans="1:14" ht="18.75">
      <c r="E4" s="2"/>
      <c r="M4" s="432"/>
    </row>
    <row r="5" spans="1:14"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435">
        <v>2014</v>
      </c>
      <c r="N5" s="441">
        <v>2013</v>
      </c>
    </row>
    <row r="6" spans="1:14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324" t="s">
        <v>57</v>
      </c>
      <c r="N6" s="325" t="s">
        <v>57</v>
      </c>
    </row>
    <row r="7" spans="1:14">
      <c r="A7" s="8" t="s">
        <v>111</v>
      </c>
      <c r="I7" s="9"/>
      <c r="J7" s="9"/>
      <c r="K7" s="9"/>
      <c r="L7" s="9"/>
    </row>
    <row r="8" spans="1:14">
      <c r="C8" t="s">
        <v>15</v>
      </c>
      <c r="H8" s="12"/>
      <c r="I8" s="12"/>
      <c r="J8" s="12"/>
      <c r="K8" s="12"/>
      <c r="L8" s="12"/>
      <c r="M8" s="12"/>
    </row>
    <row r="9" spans="1:14">
      <c r="D9" t="s">
        <v>61</v>
      </c>
      <c r="I9" s="88">
        <v>-88189</v>
      </c>
      <c r="J9" s="12"/>
      <c r="K9" s="12"/>
      <c r="L9" s="12"/>
      <c r="M9" s="12">
        <v>-88189</v>
      </c>
      <c r="N9" s="9">
        <v>-88723</v>
      </c>
    </row>
    <row r="10" spans="1:14">
      <c r="D10" t="s">
        <v>62</v>
      </c>
      <c r="I10" s="89">
        <v>-554766</v>
      </c>
      <c r="J10" s="12">
        <v>137629</v>
      </c>
      <c r="K10" s="12"/>
      <c r="L10" s="12"/>
      <c r="M10" s="12">
        <v>-417137</v>
      </c>
      <c r="N10" s="9">
        <v>-344342</v>
      </c>
    </row>
    <row r="11" spans="1:14">
      <c r="D11" t="s">
        <v>63</v>
      </c>
      <c r="I11" s="91">
        <v>-22766</v>
      </c>
      <c r="J11" s="12"/>
      <c r="K11" s="12"/>
      <c r="L11" s="12"/>
      <c r="M11" s="12">
        <v>-22766</v>
      </c>
      <c r="N11" s="9">
        <v>-34883</v>
      </c>
    </row>
    <row r="12" spans="1:14">
      <c r="D12" t="s">
        <v>64</v>
      </c>
      <c r="I12" s="96">
        <v>-997608</v>
      </c>
      <c r="J12" s="12"/>
      <c r="K12" s="12"/>
      <c r="L12" s="12"/>
      <c r="M12" s="12">
        <v>-997608</v>
      </c>
      <c r="N12" s="9">
        <v>-859216</v>
      </c>
    </row>
    <row r="13" spans="1:14">
      <c r="D13" t="s">
        <v>32</v>
      </c>
      <c r="I13" s="12">
        <v>-14608</v>
      </c>
      <c r="J13" s="12"/>
      <c r="K13" s="12"/>
      <c r="L13" s="12"/>
      <c r="M13" s="12">
        <v>-14608</v>
      </c>
      <c r="N13" s="9"/>
    </row>
    <row r="14" spans="1:14">
      <c r="C14" t="s">
        <v>16</v>
      </c>
      <c r="H14" s="12"/>
      <c r="I14" s="13">
        <v>-981253</v>
      </c>
      <c r="J14" s="12"/>
      <c r="K14" s="12">
        <v>264153</v>
      </c>
      <c r="L14" s="12"/>
      <c r="M14" s="12">
        <v>-717100</v>
      </c>
      <c r="N14" s="9">
        <v>-878749</v>
      </c>
    </row>
    <row r="15" spans="1:14">
      <c r="C15" t="s">
        <v>17</v>
      </c>
      <c r="H15" s="12"/>
      <c r="I15" s="14">
        <v>-2044207</v>
      </c>
      <c r="J15" s="12">
        <v>11563</v>
      </c>
      <c r="K15" s="12">
        <v>324421</v>
      </c>
      <c r="L15" s="12"/>
      <c r="M15" s="12">
        <v>-1708223</v>
      </c>
      <c r="N15" s="9">
        <v>-1421264</v>
      </c>
    </row>
    <row r="16" spans="1:14">
      <c r="C16" t="s">
        <v>19</v>
      </c>
      <c r="H16" s="12"/>
      <c r="I16" s="15">
        <v>-494697</v>
      </c>
      <c r="J16" s="12"/>
      <c r="K16" s="12">
        <v>316131</v>
      </c>
      <c r="L16" s="12"/>
      <c r="M16" s="12">
        <v>-178566</v>
      </c>
      <c r="N16" s="9">
        <v>-92245</v>
      </c>
    </row>
    <row r="17" spans="1:14">
      <c r="C17" t="s">
        <v>20</v>
      </c>
      <c r="H17" s="12"/>
      <c r="I17" s="16">
        <v>-758426</v>
      </c>
      <c r="J17" s="12">
        <v>9443</v>
      </c>
      <c r="K17" s="12">
        <v>21875</v>
      </c>
      <c r="L17" s="12"/>
      <c r="M17" s="12">
        <v>-727108</v>
      </c>
      <c r="N17" s="9">
        <v>-794367</v>
      </c>
    </row>
    <row r="18" spans="1:14">
      <c r="C18" t="s">
        <v>18</v>
      </c>
      <c r="H18" s="12"/>
      <c r="I18" s="92">
        <v>-693812</v>
      </c>
      <c r="J18" s="12"/>
      <c r="K18" s="12">
        <v>213</v>
      </c>
      <c r="L18" s="12">
        <v>484747</v>
      </c>
      <c r="M18" s="12">
        <v>-208852</v>
      </c>
      <c r="N18" s="9">
        <v>-232243</v>
      </c>
    </row>
    <row r="19" spans="1:14">
      <c r="C19" t="s">
        <v>599</v>
      </c>
      <c r="H19" s="12"/>
      <c r="I19" s="17">
        <v>-38485</v>
      </c>
      <c r="J19" s="18"/>
      <c r="K19" s="18"/>
      <c r="L19" s="18"/>
      <c r="M19" s="18">
        <v>-38485</v>
      </c>
      <c r="N19" s="182">
        <v>-42979</v>
      </c>
    </row>
    <row r="20" spans="1:14">
      <c r="H20" s="12"/>
      <c r="I20" s="12"/>
      <c r="J20" s="12"/>
      <c r="K20" s="12"/>
      <c r="L20" s="12"/>
      <c r="M20" s="12"/>
    </row>
    <row r="21" spans="1:14">
      <c r="E21" s="19" t="s">
        <v>22</v>
      </c>
      <c r="F21" s="19"/>
      <c r="G21" s="19"/>
      <c r="H21" s="20"/>
      <c r="I21" s="20">
        <v>-6688817</v>
      </c>
      <c r="J21" s="20">
        <v>158635</v>
      </c>
      <c r="K21" s="20">
        <v>926793</v>
      </c>
      <c r="L21" s="20">
        <v>484747</v>
      </c>
      <c r="M21" s="82">
        <v>-5118642</v>
      </c>
      <c r="N21" s="82">
        <v>-4789011</v>
      </c>
    </row>
    <row r="22" spans="1:14">
      <c r="H22" s="12"/>
      <c r="I22" s="12"/>
      <c r="J22" s="12"/>
      <c r="K22" s="12"/>
      <c r="L22" s="12"/>
      <c r="M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12"/>
    </row>
    <row r="24" spans="1:14">
      <c r="A24" s="8"/>
      <c r="B24" s="8"/>
      <c r="C24" s="8"/>
      <c r="D24" s="8"/>
      <c r="E24" s="8"/>
      <c r="G24" s="8"/>
      <c r="H24" s="80" t="s">
        <v>26</v>
      </c>
      <c r="I24" s="26"/>
      <c r="J24" s="26"/>
      <c r="K24" s="26"/>
      <c r="L24" s="26"/>
      <c r="M24" s="12"/>
    </row>
    <row r="25" spans="1:14">
      <c r="H25" s="12"/>
      <c r="I25" s="12" t="s">
        <v>80</v>
      </c>
      <c r="J25" s="12"/>
      <c r="K25" s="12"/>
      <c r="L25" s="12"/>
      <c r="M25" s="28">
        <v>1532407</v>
      </c>
      <c r="N25" s="9">
        <v>1535765</v>
      </c>
    </row>
    <row r="26" spans="1:14">
      <c r="H26" s="12"/>
      <c r="I26" s="12" t="s">
        <v>81</v>
      </c>
      <c r="J26" s="12"/>
      <c r="K26" s="12"/>
      <c r="L26" s="12"/>
      <c r="M26" s="14">
        <v>1881436</v>
      </c>
      <c r="N26" s="9">
        <v>1896781</v>
      </c>
    </row>
    <row r="27" spans="1:14">
      <c r="H27" s="12" t="s">
        <v>106</v>
      </c>
      <c r="I27" s="12"/>
      <c r="J27" s="12"/>
      <c r="K27" s="12"/>
      <c r="L27" s="12"/>
      <c r="M27" s="29">
        <v>114752</v>
      </c>
      <c r="N27" s="9">
        <v>94883</v>
      </c>
    </row>
    <row r="28" spans="1:14">
      <c r="H28" s="12" t="s">
        <v>600</v>
      </c>
      <c r="I28" s="12"/>
      <c r="J28" s="12"/>
      <c r="K28" s="12"/>
      <c r="L28" s="12"/>
      <c r="M28" s="94">
        <v>40325</v>
      </c>
      <c r="N28" s="9">
        <v>68659</v>
      </c>
    </row>
    <row r="29" spans="1:14">
      <c r="H29" s="12" t="s">
        <v>601</v>
      </c>
      <c r="I29" s="12"/>
      <c r="J29" s="12"/>
      <c r="K29" s="12"/>
      <c r="L29" s="12"/>
      <c r="M29" s="322">
        <v>1509053</v>
      </c>
      <c r="N29" s="9">
        <v>1083999</v>
      </c>
    </row>
    <row r="30" spans="1:14">
      <c r="H30" s="12" t="s">
        <v>86</v>
      </c>
      <c r="I30" s="12"/>
      <c r="J30" s="12"/>
      <c r="K30" s="12"/>
      <c r="L30" s="12"/>
      <c r="M30" s="29">
        <v>22154</v>
      </c>
      <c r="N30" s="9">
        <v>42440</v>
      </c>
    </row>
    <row r="31" spans="1:14">
      <c r="H31" s="12" t="s">
        <v>36</v>
      </c>
      <c r="I31" s="12"/>
      <c r="J31" s="12"/>
      <c r="K31" s="12"/>
      <c r="L31" s="12"/>
      <c r="M31" s="29">
        <v>241992</v>
      </c>
      <c r="N31" s="9">
        <v>130626</v>
      </c>
    </row>
    <row r="32" spans="1:14">
      <c r="H32" s="12"/>
      <c r="I32" s="12"/>
      <c r="J32" s="12"/>
      <c r="K32" s="12"/>
      <c r="L32" s="12"/>
      <c r="M32" s="12"/>
      <c r="N32" s="9"/>
    </row>
    <row r="33" spans="5:14">
      <c r="H33" s="20" t="s">
        <v>436</v>
      </c>
      <c r="I33" s="20"/>
      <c r="J33" s="20"/>
      <c r="K33" s="20"/>
      <c r="L33" s="20"/>
      <c r="M33" s="20">
        <v>5342119</v>
      </c>
      <c r="N33" s="90">
        <v>4853153</v>
      </c>
    </row>
    <row r="34" spans="5:14">
      <c r="H34" s="12"/>
      <c r="I34" s="12"/>
      <c r="J34" s="12"/>
      <c r="K34" s="12"/>
      <c r="L34" s="12"/>
      <c r="M34" s="12"/>
      <c r="N34" s="326"/>
    </row>
    <row r="35" spans="5:14">
      <c r="H35" s="20" t="s">
        <v>424</v>
      </c>
      <c r="I35" s="20"/>
      <c r="J35" s="20"/>
      <c r="K35" s="20"/>
      <c r="L35" s="20"/>
      <c r="M35" s="20">
        <v>223477</v>
      </c>
      <c r="N35" s="90">
        <v>64142</v>
      </c>
    </row>
    <row r="36" spans="5:14">
      <c r="H36" s="26"/>
      <c r="I36" s="26"/>
      <c r="J36" s="26"/>
      <c r="K36" s="26"/>
      <c r="L36" s="26"/>
      <c r="M36" s="26"/>
      <c r="N36" s="326"/>
    </row>
    <row r="37" spans="5:14">
      <c r="E37" s="31" t="s">
        <v>380</v>
      </c>
      <c r="F37" s="31"/>
      <c r="G37" s="31"/>
      <c r="H37" s="32"/>
      <c r="I37" s="32"/>
      <c r="J37" s="32"/>
      <c r="K37" s="32"/>
      <c r="L37" s="32"/>
      <c r="M37" s="33">
        <v>7563478</v>
      </c>
      <c r="N37" s="86">
        <v>7499336</v>
      </c>
    </row>
    <row r="38" spans="5:14">
      <c r="H38" s="12"/>
      <c r="I38" s="12"/>
      <c r="J38" s="12"/>
      <c r="K38" s="12"/>
      <c r="L38" s="12"/>
      <c r="M38" s="12"/>
      <c r="N38" s="326"/>
    </row>
    <row r="39" spans="5:14">
      <c r="E39" s="34" t="s">
        <v>425</v>
      </c>
      <c r="F39" s="34"/>
      <c r="G39" s="34"/>
      <c r="H39" s="35"/>
      <c r="I39" s="35"/>
      <c r="J39" s="35"/>
      <c r="K39" s="35"/>
      <c r="L39" s="83"/>
      <c r="M39" s="83">
        <v>7786955</v>
      </c>
      <c r="N39" s="83">
        <v>7563478</v>
      </c>
    </row>
    <row r="46" spans="5:14">
      <c r="K46" s="9"/>
      <c r="L46" s="9"/>
      <c r="M46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Q118"/>
  <sheetViews>
    <sheetView tabSelected="1" zoomScale="60" zoomScaleNormal="60" workbookViewId="0">
      <selection activeCell="B41" sqref="B41"/>
    </sheetView>
  </sheetViews>
  <sheetFormatPr defaultColWidth="8.85546875" defaultRowHeight="15"/>
  <cols>
    <col min="1" max="1" width="11" bestFit="1" customWidth="1"/>
    <col min="2" max="2" width="32.85546875" customWidth="1"/>
    <col min="3" max="3" width="25.42578125" bestFit="1" customWidth="1"/>
    <col min="4" max="4" width="57.85546875" customWidth="1"/>
    <col min="5" max="5" width="15.28515625" customWidth="1"/>
    <col min="6" max="6" width="22.42578125" bestFit="1" customWidth="1"/>
    <col min="7" max="7" width="30.42578125" bestFit="1" customWidth="1"/>
    <col min="8" max="8" width="26.85546875" bestFit="1" customWidth="1"/>
    <col min="9" max="9" width="36.28515625" customWidth="1"/>
    <col min="10" max="10" width="14.7109375" customWidth="1"/>
    <col min="11" max="11" width="12" customWidth="1"/>
    <col min="12" max="12" width="15.7109375" bestFit="1" customWidth="1"/>
    <col min="13" max="13" width="19.28515625" bestFit="1" customWidth="1"/>
    <col min="14" max="14" width="28.140625" bestFit="1" customWidth="1"/>
    <col min="15" max="15" width="31.28515625" bestFit="1" customWidth="1"/>
    <col min="16" max="16" width="29.28515625" customWidth="1"/>
    <col min="17" max="17" width="15.28515625" customWidth="1"/>
    <col min="18" max="18" width="19.42578125" bestFit="1" customWidth="1"/>
    <col min="19" max="19" width="36.28515625" bestFit="1" customWidth="1"/>
    <col min="20" max="20" width="24.42578125" bestFit="1" customWidth="1"/>
    <col min="21" max="21" width="17" bestFit="1" customWidth="1"/>
    <col min="22" max="22" width="14.7109375" bestFit="1" customWidth="1"/>
    <col min="23" max="23" width="28.7109375" bestFit="1" customWidth="1"/>
    <col min="24" max="24" width="28.42578125" bestFit="1" customWidth="1"/>
    <col min="25" max="25" width="34.28515625" bestFit="1" customWidth="1"/>
    <col min="26" max="26" width="18.42578125" bestFit="1" customWidth="1"/>
    <col min="27" max="27" width="22.7109375" bestFit="1" customWidth="1"/>
    <col min="28" max="28" width="41.28515625" bestFit="1" customWidth="1"/>
    <col min="29" max="29" width="19.85546875" bestFit="1" customWidth="1"/>
    <col min="30" max="30" width="24.28515625" bestFit="1" customWidth="1"/>
    <col min="31" max="31" width="62.140625" bestFit="1" customWidth="1"/>
    <col min="32" max="32" width="23.85546875" bestFit="1" customWidth="1"/>
    <col min="33" max="33" width="32.85546875" bestFit="1" customWidth="1"/>
    <col min="34" max="34" width="30.42578125" bestFit="1" customWidth="1"/>
    <col min="35" max="35" width="14" bestFit="1" customWidth="1"/>
    <col min="36" max="36" width="20.140625" bestFit="1" customWidth="1"/>
    <col min="203" max="203" width="11" bestFit="1" customWidth="1"/>
    <col min="204" max="204" width="18.42578125" bestFit="1" customWidth="1"/>
    <col min="205" max="205" width="22.28515625" bestFit="1" customWidth="1"/>
    <col min="206" max="206" width="52.7109375" bestFit="1" customWidth="1"/>
    <col min="207" max="207" width="11.42578125" bestFit="1" customWidth="1"/>
    <col min="208" max="208" width="20.140625" bestFit="1" customWidth="1"/>
    <col min="209" max="209" width="25.85546875" bestFit="1" customWidth="1"/>
    <col min="210" max="210" width="23.85546875" bestFit="1" customWidth="1"/>
    <col min="211" max="211" width="22.42578125" customWidth="1"/>
    <col min="212" max="212" width="10.85546875" bestFit="1" customWidth="1"/>
    <col min="213" max="213" width="8.42578125" bestFit="1" customWidth="1"/>
    <col min="214" max="214" width="15.7109375" bestFit="1" customWidth="1"/>
    <col min="215" max="215" width="19.28515625" bestFit="1" customWidth="1"/>
    <col min="216" max="216" width="28.140625" bestFit="1" customWidth="1"/>
    <col min="217" max="217" width="31.28515625" bestFit="1" customWidth="1"/>
    <col min="218" max="218" width="26.42578125" customWidth="1"/>
    <col min="219" max="219" width="15.28515625" customWidth="1"/>
    <col min="220" max="220" width="17.85546875" customWidth="1"/>
    <col min="221" max="221" width="36.28515625" bestFit="1" customWidth="1"/>
    <col min="222" max="222" width="24.42578125" bestFit="1" customWidth="1"/>
    <col min="223" max="223" width="11.42578125" bestFit="1" customWidth="1"/>
    <col min="224" max="224" width="10.140625" bestFit="1" customWidth="1"/>
    <col min="225" max="225" width="28.7109375" bestFit="1" customWidth="1"/>
    <col min="226" max="226" width="28.42578125" bestFit="1" customWidth="1"/>
    <col min="227" max="227" width="34.28515625" bestFit="1" customWidth="1"/>
    <col min="228" max="228" width="13.7109375" bestFit="1" customWidth="1"/>
    <col min="229" max="229" width="22.7109375" bestFit="1" customWidth="1"/>
    <col min="230" max="230" width="41.28515625" bestFit="1" customWidth="1"/>
    <col min="231" max="231" width="19.85546875" bestFit="1" customWidth="1"/>
    <col min="232" max="232" width="24.28515625" bestFit="1" customWidth="1"/>
    <col min="233" max="233" width="62.140625" bestFit="1" customWidth="1"/>
    <col min="234" max="234" width="23.85546875" bestFit="1" customWidth="1"/>
    <col min="235" max="235" width="32.85546875" bestFit="1" customWidth="1"/>
    <col min="236" max="236" width="30.42578125" bestFit="1" customWidth="1"/>
    <col min="237" max="237" width="12.28515625" bestFit="1" customWidth="1"/>
    <col min="238" max="238" width="14.42578125" bestFit="1" customWidth="1"/>
    <col min="239" max="239" width="18.85546875" customWidth="1"/>
    <col min="459" max="459" width="11" bestFit="1" customWidth="1"/>
    <col min="460" max="460" width="18.42578125" bestFit="1" customWidth="1"/>
    <col min="461" max="461" width="22.28515625" bestFit="1" customWidth="1"/>
    <col min="462" max="462" width="52.7109375" bestFit="1" customWidth="1"/>
    <col min="463" max="463" width="11.42578125" bestFit="1" customWidth="1"/>
    <col min="464" max="464" width="20.140625" bestFit="1" customWidth="1"/>
    <col min="465" max="465" width="25.85546875" bestFit="1" customWidth="1"/>
    <col min="466" max="466" width="23.85546875" bestFit="1" customWidth="1"/>
    <col min="467" max="467" width="22.42578125" customWidth="1"/>
    <col min="468" max="468" width="10.85546875" bestFit="1" customWidth="1"/>
    <col min="469" max="469" width="8.42578125" bestFit="1" customWidth="1"/>
    <col min="470" max="470" width="15.7109375" bestFit="1" customWidth="1"/>
    <col min="471" max="471" width="19.28515625" bestFit="1" customWidth="1"/>
    <col min="472" max="472" width="28.140625" bestFit="1" customWidth="1"/>
    <col min="473" max="473" width="31.28515625" bestFit="1" customWidth="1"/>
    <col min="474" max="474" width="26.42578125" customWidth="1"/>
    <col min="475" max="475" width="15.28515625" customWidth="1"/>
    <col min="476" max="476" width="17.85546875" customWidth="1"/>
    <col min="477" max="477" width="36.28515625" bestFit="1" customWidth="1"/>
    <col min="478" max="478" width="24.42578125" bestFit="1" customWidth="1"/>
    <col min="479" max="479" width="11.42578125" bestFit="1" customWidth="1"/>
    <col min="480" max="480" width="10.140625" bestFit="1" customWidth="1"/>
    <col min="481" max="481" width="28.7109375" bestFit="1" customWidth="1"/>
    <col min="482" max="482" width="28.42578125" bestFit="1" customWidth="1"/>
    <col min="483" max="483" width="34.28515625" bestFit="1" customWidth="1"/>
    <col min="484" max="484" width="13.7109375" bestFit="1" customWidth="1"/>
    <col min="485" max="485" width="22.7109375" bestFit="1" customWidth="1"/>
    <col min="486" max="486" width="41.28515625" bestFit="1" customWidth="1"/>
    <col min="487" max="487" width="19.85546875" bestFit="1" customWidth="1"/>
    <col min="488" max="488" width="24.28515625" bestFit="1" customWidth="1"/>
    <col min="489" max="489" width="62.140625" bestFit="1" customWidth="1"/>
    <col min="490" max="490" width="23.85546875" bestFit="1" customWidth="1"/>
    <col min="491" max="491" width="32.85546875" bestFit="1" customWidth="1"/>
    <col min="492" max="492" width="30.42578125" bestFit="1" customWidth="1"/>
    <col min="493" max="493" width="12.28515625" bestFit="1" customWidth="1"/>
    <col min="494" max="494" width="14.42578125" bestFit="1" customWidth="1"/>
    <col min="495" max="495" width="18.85546875" customWidth="1"/>
    <col min="715" max="715" width="11" bestFit="1" customWidth="1"/>
    <col min="716" max="716" width="18.42578125" bestFit="1" customWidth="1"/>
    <col min="717" max="717" width="22.28515625" bestFit="1" customWidth="1"/>
    <col min="718" max="718" width="52.7109375" bestFit="1" customWidth="1"/>
    <col min="719" max="719" width="11.42578125" bestFit="1" customWidth="1"/>
    <col min="720" max="720" width="20.140625" bestFit="1" customWidth="1"/>
    <col min="721" max="721" width="25.85546875" bestFit="1" customWidth="1"/>
    <col min="722" max="722" width="23.85546875" bestFit="1" customWidth="1"/>
    <col min="723" max="723" width="22.42578125" customWidth="1"/>
    <col min="724" max="724" width="10.85546875" bestFit="1" customWidth="1"/>
    <col min="725" max="725" width="8.42578125" bestFit="1" customWidth="1"/>
    <col min="726" max="726" width="15.7109375" bestFit="1" customWidth="1"/>
    <col min="727" max="727" width="19.28515625" bestFit="1" customWidth="1"/>
    <col min="728" max="728" width="28.140625" bestFit="1" customWidth="1"/>
    <col min="729" max="729" width="31.28515625" bestFit="1" customWidth="1"/>
    <col min="730" max="730" width="26.42578125" customWidth="1"/>
    <col min="731" max="731" width="15.28515625" customWidth="1"/>
    <col min="732" max="732" width="17.85546875" customWidth="1"/>
    <col min="733" max="733" width="36.28515625" bestFit="1" customWidth="1"/>
    <col min="734" max="734" width="24.42578125" bestFit="1" customWidth="1"/>
    <col min="735" max="735" width="11.42578125" bestFit="1" customWidth="1"/>
    <col min="736" max="736" width="10.140625" bestFit="1" customWidth="1"/>
    <col min="737" max="737" width="28.7109375" bestFit="1" customWidth="1"/>
    <col min="738" max="738" width="28.42578125" bestFit="1" customWidth="1"/>
    <col min="739" max="739" width="34.28515625" bestFit="1" customWidth="1"/>
    <col min="740" max="740" width="13.7109375" bestFit="1" customWidth="1"/>
    <col min="741" max="741" width="22.7109375" bestFit="1" customWidth="1"/>
    <col min="742" max="742" width="41.28515625" bestFit="1" customWidth="1"/>
    <col min="743" max="743" width="19.85546875" bestFit="1" customWidth="1"/>
    <col min="744" max="744" width="24.28515625" bestFit="1" customWidth="1"/>
    <col min="745" max="745" width="62.140625" bestFit="1" customWidth="1"/>
    <col min="746" max="746" width="23.85546875" bestFit="1" customWidth="1"/>
    <col min="747" max="747" width="32.85546875" bestFit="1" customWidth="1"/>
    <col min="748" max="748" width="30.42578125" bestFit="1" customWidth="1"/>
    <col min="749" max="749" width="12.28515625" bestFit="1" customWidth="1"/>
    <col min="750" max="750" width="14.42578125" bestFit="1" customWidth="1"/>
    <col min="751" max="751" width="18.85546875" customWidth="1"/>
    <col min="971" max="971" width="11" bestFit="1" customWidth="1"/>
    <col min="972" max="972" width="18.42578125" bestFit="1" customWidth="1"/>
    <col min="973" max="973" width="22.28515625" bestFit="1" customWidth="1"/>
    <col min="974" max="974" width="52.7109375" bestFit="1" customWidth="1"/>
    <col min="975" max="975" width="11.42578125" bestFit="1" customWidth="1"/>
    <col min="976" max="976" width="20.140625" bestFit="1" customWidth="1"/>
    <col min="977" max="977" width="25.85546875" bestFit="1" customWidth="1"/>
    <col min="978" max="978" width="23.85546875" bestFit="1" customWidth="1"/>
    <col min="979" max="979" width="22.42578125" customWidth="1"/>
    <col min="980" max="980" width="10.85546875" bestFit="1" customWidth="1"/>
    <col min="981" max="981" width="8.42578125" bestFit="1" customWidth="1"/>
    <col min="982" max="982" width="15.7109375" bestFit="1" customWidth="1"/>
    <col min="983" max="983" width="19.28515625" bestFit="1" customWidth="1"/>
    <col min="984" max="984" width="28.140625" bestFit="1" customWidth="1"/>
    <col min="985" max="985" width="31.28515625" bestFit="1" customWidth="1"/>
    <col min="986" max="986" width="26.42578125" customWidth="1"/>
    <col min="987" max="987" width="15.28515625" customWidth="1"/>
    <col min="988" max="988" width="17.85546875" customWidth="1"/>
    <col min="989" max="989" width="36.28515625" bestFit="1" customWidth="1"/>
    <col min="990" max="990" width="24.42578125" bestFit="1" customWidth="1"/>
    <col min="991" max="991" width="11.42578125" bestFit="1" customWidth="1"/>
    <col min="992" max="992" width="10.140625" bestFit="1" customWidth="1"/>
    <col min="993" max="993" width="28.7109375" bestFit="1" customWidth="1"/>
    <col min="994" max="994" width="28.42578125" bestFit="1" customWidth="1"/>
    <col min="995" max="995" width="34.28515625" bestFit="1" customWidth="1"/>
    <col min="996" max="996" width="13.7109375" bestFit="1" customWidth="1"/>
    <col min="997" max="997" width="22.7109375" bestFit="1" customWidth="1"/>
    <col min="998" max="998" width="41.28515625" bestFit="1" customWidth="1"/>
    <col min="999" max="999" width="19.85546875" bestFit="1" customWidth="1"/>
    <col min="1000" max="1000" width="24.28515625" bestFit="1" customWidth="1"/>
    <col min="1001" max="1001" width="62.140625" bestFit="1" customWidth="1"/>
    <col min="1002" max="1002" width="23.85546875" bestFit="1" customWidth="1"/>
    <col min="1003" max="1003" width="32.85546875" bestFit="1" customWidth="1"/>
    <col min="1004" max="1004" width="30.42578125" bestFit="1" customWidth="1"/>
    <col min="1005" max="1005" width="12.28515625" bestFit="1" customWidth="1"/>
    <col min="1006" max="1006" width="14.42578125" bestFit="1" customWidth="1"/>
    <col min="1007" max="1007" width="18.85546875" customWidth="1"/>
    <col min="1227" max="1227" width="11" bestFit="1" customWidth="1"/>
    <col min="1228" max="1228" width="18.42578125" bestFit="1" customWidth="1"/>
    <col min="1229" max="1229" width="22.28515625" bestFit="1" customWidth="1"/>
    <col min="1230" max="1230" width="52.7109375" bestFit="1" customWidth="1"/>
    <col min="1231" max="1231" width="11.42578125" bestFit="1" customWidth="1"/>
    <col min="1232" max="1232" width="20.140625" bestFit="1" customWidth="1"/>
    <col min="1233" max="1233" width="25.85546875" bestFit="1" customWidth="1"/>
    <col min="1234" max="1234" width="23.85546875" bestFit="1" customWidth="1"/>
    <col min="1235" max="1235" width="22.42578125" customWidth="1"/>
    <col min="1236" max="1236" width="10.85546875" bestFit="1" customWidth="1"/>
    <col min="1237" max="1237" width="8.42578125" bestFit="1" customWidth="1"/>
    <col min="1238" max="1238" width="15.7109375" bestFit="1" customWidth="1"/>
    <col min="1239" max="1239" width="19.28515625" bestFit="1" customWidth="1"/>
    <col min="1240" max="1240" width="28.140625" bestFit="1" customWidth="1"/>
    <col min="1241" max="1241" width="31.28515625" bestFit="1" customWidth="1"/>
    <col min="1242" max="1242" width="26.42578125" customWidth="1"/>
    <col min="1243" max="1243" width="15.28515625" customWidth="1"/>
    <col min="1244" max="1244" width="17.85546875" customWidth="1"/>
    <col min="1245" max="1245" width="36.28515625" bestFit="1" customWidth="1"/>
    <col min="1246" max="1246" width="24.42578125" bestFit="1" customWidth="1"/>
    <col min="1247" max="1247" width="11.42578125" bestFit="1" customWidth="1"/>
    <col min="1248" max="1248" width="10.140625" bestFit="1" customWidth="1"/>
    <col min="1249" max="1249" width="28.7109375" bestFit="1" customWidth="1"/>
    <col min="1250" max="1250" width="28.42578125" bestFit="1" customWidth="1"/>
    <col min="1251" max="1251" width="34.28515625" bestFit="1" customWidth="1"/>
    <col min="1252" max="1252" width="13.7109375" bestFit="1" customWidth="1"/>
    <col min="1253" max="1253" width="22.7109375" bestFit="1" customWidth="1"/>
    <col min="1254" max="1254" width="41.28515625" bestFit="1" customWidth="1"/>
    <col min="1255" max="1255" width="19.85546875" bestFit="1" customWidth="1"/>
    <col min="1256" max="1256" width="24.28515625" bestFit="1" customWidth="1"/>
    <col min="1257" max="1257" width="62.140625" bestFit="1" customWidth="1"/>
    <col min="1258" max="1258" width="23.85546875" bestFit="1" customWidth="1"/>
    <col min="1259" max="1259" width="32.85546875" bestFit="1" customWidth="1"/>
    <col min="1260" max="1260" width="30.42578125" bestFit="1" customWidth="1"/>
    <col min="1261" max="1261" width="12.28515625" bestFit="1" customWidth="1"/>
    <col min="1262" max="1262" width="14.42578125" bestFit="1" customWidth="1"/>
    <col min="1263" max="1263" width="18.85546875" customWidth="1"/>
    <col min="1483" max="1483" width="11" bestFit="1" customWidth="1"/>
    <col min="1484" max="1484" width="18.42578125" bestFit="1" customWidth="1"/>
    <col min="1485" max="1485" width="22.28515625" bestFit="1" customWidth="1"/>
    <col min="1486" max="1486" width="52.7109375" bestFit="1" customWidth="1"/>
    <col min="1487" max="1487" width="11.42578125" bestFit="1" customWidth="1"/>
    <col min="1488" max="1488" width="20.140625" bestFit="1" customWidth="1"/>
    <col min="1489" max="1489" width="25.85546875" bestFit="1" customWidth="1"/>
    <col min="1490" max="1490" width="23.85546875" bestFit="1" customWidth="1"/>
    <col min="1491" max="1491" width="22.42578125" customWidth="1"/>
    <col min="1492" max="1492" width="10.85546875" bestFit="1" customWidth="1"/>
    <col min="1493" max="1493" width="8.42578125" bestFit="1" customWidth="1"/>
    <col min="1494" max="1494" width="15.7109375" bestFit="1" customWidth="1"/>
    <col min="1495" max="1495" width="19.28515625" bestFit="1" customWidth="1"/>
    <col min="1496" max="1496" width="28.140625" bestFit="1" customWidth="1"/>
    <col min="1497" max="1497" width="31.28515625" bestFit="1" customWidth="1"/>
    <col min="1498" max="1498" width="26.42578125" customWidth="1"/>
    <col min="1499" max="1499" width="15.28515625" customWidth="1"/>
    <col min="1500" max="1500" width="17.85546875" customWidth="1"/>
    <col min="1501" max="1501" width="36.28515625" bestFit="1" customWidth="1"/>
    <col min="1502" max="1502" width="24.42578125" bestFit="1" customWidth="1"/>
    <col min="1503" max="1503" width="11.42578125" bestFit="1" customWidth="1"/>
    <col min="1504" max="1504" width="10.140625" bestFit="1" customWidth="1"/>
    <col min="1505" max="1505" width="28.7109375" bestFit="1" customWidth="1"/>
    <col min="1506" max="1506" width="28.42578125" bestFit="1" customWidth="1"/>
    <col min="1507" max="1507" width="34.28515625" bestFit="1" customWidth="1"/>
    <col min="1508" max="1508" width="13.7109375" bestFit="1" customWidth="1"/>
    <col min="1509" max="1509" width="22.7109375" bestFit="1" customWidth="1"/>
    <col min="1510" max="1510" width="41.28515625" bestFit="1" customWidth="1"/>
    <col min="1511" max="1511" width="19.85546875" bestFit="1" customWidth="1"/>
    <col min="1512" max="1512" width="24.28515625" bestFit="1" customWidth="1"/>
    <col min="1513" max="1513" width="62.140625" bestFit="1" customWidth="1"/>
    <col min="1514" max="1514" width="23.85546875" bestFit="1" customWidth="1"/>
    <col min="1515" max="1515" width="32.85546875" bestFit="1" customWidth="1"/>
    <col min="1516" max="1516" width="30.42578125" bestFit="1" customWidth="1"/>
    <col min="1517" max="1517" width="12.28515625" bestFit="1" customWidth="1"/>
    <col min="1518" max="1518" width="14.42578125" bestFit="1" customWidth="1"/>
    <col min="1519" max="1519" width="18.85546875" customWidth="1"/>
    <col min="1739" max="1739" width="11" bestFit="1" customWidth="1"/>
    <col min="1740" max="1740" width="18.42578125" bestFit="1" customWidth="1"/>
    <col min="1741" max="1741" width="22.28515625" bestFit="1" customWidth="1"/>
    <col min="1742" max="1742" width="52.7109375" bestFit="1" customWidth="1"/>
    <col min="1743" max="1743" width="11.42578125" bestFit="1" customWidth="1"/>
    <col min="1744" max="1744" width="20.140625" bestFit="1" customWidth="1"/>
    <col min="1745" max="1745" width="25.85546875" bestFit="1" customWidth="1"/>
    <col min="1746" max="1746" width="23.85546875" bestFit="1" customWidth="1"/>
    <col min="1747" max="1747" width="22.42578125" customWidth="1"/>
    <col min="1748" max="1748" width="10.85546875" bestFit="1" customWidth="1"/>
    <col min="1749" max="1749" width="8.42578125" bestFit="1" customWidth="1"/>
    <col min="1750" max="1750" width="15.7109375" bestFit="1" customWidth="1"/>
    <col min="1751" max="1751" width="19.28515625" bestFit="1" customWidth="1"/>
    <col min="1752" max="1752" width="28.140625" bestFit="1" customWidth="1"/>
    <col min="1753" max="1753" width="31.28515625" bestFit="1" customWidth="1"/>
    <col min="1754" max="1754" width="26.42578125" customWidth="1"/>
    <col min="1755" max="1755" width="15.28515625" customWidth="1"/>
    <col min="1756" max="1756" width="17.85546875" customWidth="1"/>
    <col min="1757" max="1757" width="36.28515625" bestFit="1" customWidth="1"/>
    <col min="1758" max="1758" width="24.42578125" bestFit="1" customWidth="1"/>
    <col min="1759" max="1759" width="11.42578125" bestFit="1" customWidth="1"/>
    <col min="1760" max="1760" width="10.140625" bestFit="1" customWidth="1"/>
    <col min="1761" max="1761" width="28.7109375" bestFit="1" customWidth="1"/>
    <col min="1762" max="1762" width="28.42578125" bestFit="1" customWidth="1"/>
    <col min="1763" max="1763" width="34.28515625" bestFit="1" customWidth="1"/>
    <col min="1764" max="1764" width="13.7109375" bestFit="1" customWidth="1"/>
    <col min="1765" max="1765" width="22.7109375" bestFit="1" customWidth="1"/>
    <col min="1766" max="1766" width="41.28515625" bestFit="1" customWidth="1"/>
    <col min="1767" max="1767" width="19.85546875" bestFit="1" customWidth="1"/>
    <col min="1768" max="1768" width="24.28515625" bestFit="1" customWidth="1"/>
    <col min="1769" max="1769" width="62.140625" bestFit="1" customWidth="1"/>
    <col min="1770" max="1770" width="23.85546875" bestFit="1" customWidth="1"/>
    <col min="1771" max="1771" width="32.85546875" bestFit="1" customWidth="1"/>
    <col min="1772" max="1772" width="30.42578125" bestFit="1" customWidth="1"/>
    <col min="1773" max="1773" width="12.28515625" bestFit="1" customWidth="1"/>
    <col min="1774" max="1774" width="14.42578125" bestFit="1" customWidth="1"/>
    <col min="1775" max="1775" width="18.85546875" customWidth="1"/>
    <col min="1995" max="1995" width="11" bestFit="1" customWidth="1"/>
    <col min="1996" max="1996" width="18.42578125" bestFit="1" customWidth="1"/>
    <col min="1997" max="1997" width="22.28515625" bestFit="1" customWidth="1"/>
    <col min="1998" max="1998" width="52.7109375" bestFit="1" customWidth="1"/>
    <col min="1999" max="1999" width="11.42578125" bestFit="1" customWidth="1"/>
    <col min="2000" max="2000" width="20.140625" bestFit="1" customWidth="1"/>
    <col min="2001" max="2001" width="25.85546875" bestFit="1" customWidth="1"/>
    <col min="2002" max="2002" width="23.85546875" bestFit="1" customWidth="1"/>
    <col min="2003" max="2003" width="22.42578125" customWidth="1"/>
    <col min="2004" max="2004" width="10.85546875" bestFit="1" customWidth="1"/>
    <col min="2005" max="2005" width="8.42578125" bestFit="1" customWidth="1"/>
    <col min="2006" max="2006" width="15.7109375" bestFit="1" customWidth="1"/>
    <col min="2007" max="2007" width="19.28515625" bestFit="1" customWidth="1"/>
    <col min="2008" max="2008" width="28.140625" bestFit="1" customWidth="1"/>
    <col min="2009" max="2009" width="31.28515625" bestFit="1" customWidth="1"/>
    <col min="2010" max="2010" width="26.42578125" customWidth="1"/>
    <col min="2011" max="2011" width="15.28515625" customWidth="1"/>
    <col min="2012" max="2012" width="17.85546875" customWidth="1"/>
    <col min="2013" max="2013" width="36.28515625" bestFit="1" customWidth="1"/>
    <col min="2014" max="2014" width="24.42578125" bestFit="1" customWidth="1"/>
    <col min="2015" max="2015" width="11.42578125" bestFit="1" customWidth="1"/>
    <col min="2016" max="2016" width="10.140625" bestFit="1" customWidth="1"/>
    <col min="2017" max="2017" width="28.7109375" bestFit="1" customWidth="1"/>
    <col min="2018" max="2018" width="28.42578125" bestFit="1" customWidth="1"/>
    <col min="2019" max="2019" width="34.28515625" bestFit="1" customWidth="1"/>
    <col min="2020" max="2020" width="13.7109375" bestFit="1" customWidth="1"/>
    <col min="2021" max="2021" width="22.7109375" bestFit="1" customWidth="1"/>
    <col min="2022" max="2022" width="41.28515625" bestFit="1" customWidth="1"/>
    <col min="2023" max="2023" width="19.85546875" bestFit="1" customWidth="1"/>
    <col min="2024" max="2024" width="24.28515625" bestFit="1" customWidth="1"/>
    <col min="2025" max="2025" width="62.140625" bestFit="1" customWidth="1"/>
    <col min="2026" max="2026" width="23.85546875" bestFit="1" customWidth="1"/>
    <col min="2027" max="2027" width="32.85546875" bestFit="1" customWidth="1"/>
    <col min="2028" max="2028" width="30.42578125" bestFit="1" customWidth="1"/>
    <col min="2029" max="2029" width="12.28515625" bestFit="1" customWidth="1"/>
    <col min="2030" max="2030" width="14.42578125" bestFit="1" customWidth="1"/>
    <col min="2031" max="2031" width="18.85546875" customWidth="1"/>
    <col min="2251" max="2251" width="11" bestFit="1" customWidth="1"/>
    <col min="2252" max="2252" width="18.42578125" bestFit="1" customWidth="1"/>
    <col min="2253" max="2253" width="22.28515625" bestFit="1" customWidth="1"/>
    <col min="2254" max="2254" width="52.7109375" bestFit="1" customWidth="1"/>
    <col min="2255" max="2255" width="11.42578125" bestFit="1" customWidth="1"/>
    <col min="2256" max="2256" width="20.140625" bestFit="1" customWidth="1"/>
    <col min="2257" max="2257" width="25.85546875" bestFit="1" customWidth="1"/>
    <col min="2258" max="2258" width="23.85546875" bestFit="1" customWidth="1"/>
    <col min="2259" max="2259" width="22.42578125" customWidth="1"/>
    <col min="2260" max="2260" width="10.85546875" bestFit="1" customWidth="1"/>
    <col min="2261" max="2261" width="8.42578125" bestFit="1" customWidth="1"/>
    <col min="2262" max="2262" width="15.7109375" bestFit="1" customWidth="1"/>
    <col min="2263" max="2263" width="19.28515625" bestFit="1" customWidth="1"/>
    <col min="2264" max="2264" width="28.140625" bestFit="1" customWidth="1"/>
    <col min="2265" max="2265" width="31.28515625" bestFit="1" customWidth="1"/>
    <col min="2266" max="2266" width="26.42578125" customWidth="1"/>
    <col min="2267" max="2267" width="15.28515625" customWidth="1"/>
    <col min="2268" max="2268" width="17.85546875" customWidth="1"/>
    <col min="2269" max="2269" width="36.28515625" bestFit="1" customWidth="1"/>
    <col min="2270" max="2270" width="24.42578125" bestFit="1" customWidth="1"/>
    <col min="2271" max="2271" width="11.42578125" bestFit="1" customWidth="1"/>
    <col min="2272" max="2272" width="10.140625" bestFit="1" customWidth="1"/>
    <col min="2273" max="2273" width="28.7109375" bestFit="1" customWidth="1"/>
    <col min="2274" max="2274" width="28.42578125" bestFit="1" customWidth="1"/>
    <col min="2275" max="2275" width="34.28515625" bestFit="1" customWidth="1"/>
    <col min="2276" max="2276" width="13.7109375" bestFit="1" customWidth="1"/>
    <col min="2277" max="2277" width="22.7109375" bestFit="1" customWidth="1"/>
    <col min="2278" max="2278" width="41.28515625" bestFit="1" customWidth="1"/>
    <col min="2279" max="2279" width="19.85546875" bestFit="1" customWidth="1"/>
    <col min="2280" max="2280" width="24.28515625" bestFit="1" customWidth="1"/>
    <col min="2281" max="2281" width="62.140625" bestFit="1" customWidth="1"/>
    <col min="2282" max="2282" width="23.85546875" bestFit="1" customWidth="1"/>
    <col min="2283" max="2283" width="32.85546875" bestFit="1" customWidth="1"/>
    <col min="2284" max="2284" width="30.42578125" bestFit="1" customWidth="1"/>
    <col min="2285" max="2285" width="12.28515625" bestFit="1" customWidth="1"/>
    <col min="2286" max="2286" width="14.42578125" bestFit="1" customWidth="1"/>
    <col min="2287" max="2287" width="18.85546875" customWidth="1"/>
    <col min="2507" max="2507" width="11" bestFit="1" customWidth="1"/>
    <col min="2508" max="2508" width="18.42578125" bestFit="1" customWidth="1"/>
    <col min="2509" max="2509" width="22.28515625" bestFit="1" customWidth="1"/>
    <col min="2510" max="2510" width="52.7109375" bestFit="1" customWidth="1"/>
    <col min="2511" max="2511" width="11.42578125" bestFit="1" customWidth="1"/>
    <col min="2512" max="2512" width="20.140625" bestFit="1" customWidth="1"/>
    <col min="2513" max="2513" width="25.85546875" bestFit="1" customWidth="1"/>
    <col min="2514" max="2514" width="23.85546875" bestFit="1" customWidth="1"/>
    <col min="2515" max="2515" width="22.42578125" customWidth="1"/>
    <col min="2516" max="2516" width="10.85546875" bestFit="1" customWidth="1"/>
    <col min="2517" max="2517" width="8.42578125" bestFit="1" customWidth="1"/>
    <col min="2518" max="2518" width="15.7109375" bestFit="1" customWidth="1"/>
    <col min="2519" max="2519" width="19.28515625" bestFit="1" customWidth="1"/>
    <col min="2520" max="2520" width="28.140625" bestFit="1" customWidth="1"/>
    <col min="2521" max="2521" width="31.28515625" bestFit="1" customWidth="1"/>
    <col min="2522" max="2522" width="26.42578125" customWidth="1"/>
    <col min="2523" max="2523" width="15.28515625" customWidth="1"/>
    <col min="2524" max="2524" width="17.85546875" customWidth="1"/>
    <col min="2525" max="2525" width="36.28515625" bestFit="1" customWidth="1"/>
    <col min="2526" max="2526" width="24.42578125" bestFit="1" customWidth="1"/>
    <col min="2527" max="2527" width="11.42578125" bestFit="1" customWidth="1"/>
    <col min="2528" max="2528" width="10.140625" bestFit="1" customWidth="1"/>
    <col min="2529" max="2529" width="28.7109375" bestFit="1" customWidth="1"/>
    <col min="2530" max="2530" width="28.42578125" bestFit="1" customWidth="1"/>
    <col min="2531" max="2531" width="34.28515625" bestFit="1" customWidth="1"/>
    <col min="2532" max="2532" width="13.7109375" bestFit="1" customWidth="1"/>
    <col min="2533" max="2533" width="22.7109375" bestFit="1" customWidth="1"/>
    <col min="2534" max="2534" width="41.28515625" bestFit="1" customWidth="1"/>
    <col min="2535" max="2535" width="19.85546875" bestFit="1" customWidth="1"/>
    <col min="2536" max="2536" width="24.28515625" bestFit="1" customWidth="1"/>
    <col min="2537" max="2537" width="62.140625" bestFit="1" customWidth="1"/>
    <col min="2538" max="2538" width="23.85546875" bestFit="1" customWidth="1"/>
    <col min="2539" max="2539" width="32.85546875" bestFit="1" customWidth="1"/>
    <col min="2540" max="2540" width="30.42578125" bestFit="1" customWidth="1"/>
    <col min="2541" max="2541" width="12.28515625" bestFit="1" customWidth="1"/>
    <col min="2542" max="2542" width="14.42578125" bestFit="1" customWidth="1"/>
    <col min="2543" max="2543" width="18.85546875" customWidth="1"/>
    <col min="2763" max="2763" width="11" bestFit="1" customWidth="1"/>
    <col min="2764" max="2764" width="18.42578125" bestFit="1" customWidth="1"/>
    <col min="2765" max="2765" width="22.28515625" bestFit="1" customWidth="1"/>
    <col min="2766" max="2766" width="52.7109375" bestFit="1" customWidth="1"/>
    <col min="2767" max="2767" width="11.42578125" bestFit="1" customWidth="1"/>
    <col min="2768" max="2768" width="20.140625" bestFit="1" customWidth="1"/>
    <col min="2769" max="2769" width="25.85546875" bestFit="1" customWidth="1"/>
    <col min="2770" max="2770" width="23.85546875" bestFit="1" customWidth="1"/>
    <col min="2771" max="2771" width="22.42578125" customWidth="1"/>
    <col min="2772" max="2772" width="10.85546875" bestFit="1" customWidth="1"/>
    <col min="2773" max="2773" width="8.42578125" bestFit="1" customWidth="1"/>
    <col min="2774" max="2774" width="15.7109375" bestFit="1" customWidth="1"/>
    <col min="2775" max="2775" width="19.28515625" bestFit="1" customWidth="1"/>
    <col min="2776" max="2776" width="28.140625" bestFit="1" customWidth="1"/>
    <col min="2777" max="2777" width="31.28515625" bestFit="1" customWidth="1"/>
    <col min="2778" max="2778" width="26.42578125" customWidth="1"/>
    <col min="2779" max="2779" width="15.28515625" customWidth="1"/>
    <col min="2780" max="2780" width="17.85546875" customWidth="1"/>
    <col min="2781" max="2781" width="36.28515625" bestFit="1" customWidth="1"/>
    <col min="2782" max="2782" width="24.42578125" bestFit="1" customWidth="1"/>
    <col min="2783" max="2783" width="11.42578125" bestFit="1" customWidth="1"/>
    <col min="2784" max="2784" width="10.140625" bestFit="1" customWidth="1"/>
    <col min="2785" max="2785" width="28.7109375" bestFit="1" customWidth="1"/>
    <col min="2786" max="2786" width="28.42578125" bestFit="1" customWidth="1"/>
    <col min="2787" max="2787" width="34.28515625" bestFit="1" customWidth="1"/>
    <col min="2788" max="2788" width="13.7109375" bestFit="1" customWidth="1"/>
    <col min="2789" max="2789" width="22.7109375" bestFit="1" customWidth="1"/>
    <col min="2790" max="2790" width="41.28515625" bestFit="1" customWidth="1"/>
    <col min="2791" max="2791" width="19.85546875" bestFit="1" customWidth="1"/>
    <col min="2792" max="2792" width="24.28515625" bestFit="1" customWidth="1"/>
    <col min="2793" max="2793" width="62.140625" bestFit="1" customWidth="1"/>
    <col min="2794" max="2794" width="23.85546875" bestFit="1" customWidth="1"/>
    <col min="2795" max="2795" width="32.85546875" bestFit="1" customWidth="1"/>
    <col min="2796" max="2796" width="30.42578125" bestFit="1" customWidth="1"/>
    <col min="2797" max="2797" width="12.28515625" bestFit="1" customWidth="1"/>
    <col min="2798" max="2798" width="14.42578125" bestFit="1" customWidth="1"/>
    <col min="2799" max="2799" width="18.85546875" customWidth="1"/>
    <col min="3019" max="3019" width="11" bestFit="1" customWidth="1"/>
    <col min="3020" max="3020" width="18.42578125" bestFit="1" customWidth="1"/>
    <col min="3021" max="3021" width="22.28515625" bestFit="1" customWidth="1"/>
    <col min="3022" max="3022" width="52.7109375" bestFit="1" customWidth="1"/>
    <col min="3023" max="3023" width="11.42578125" bestFit="1" customWidth="1"/>
    <col min="3024" max="3024" width="20.140625" bestFit="1" customWidth="1"/>
    <col min="3025" max="3025" width="25.85546875" bestFit="1" customWidth="1"/>
    <col min="3026" max="3026" width="23.85546875" bestFit="1" customWidth="1"/>
    <col min="3027" max="3027" width="22.42578125" customWidth="1"/>
    <col min="3028" max="3028" width="10.85546875" bestFit="1" customWidth="1"/>
    <col min="3029" max="3029" width="8.42578125" bestFit="1" customWidth="1"/>
    <col min="3030" max="3030" width="15.7109375" bestFit="1" customWidth="1"/>
    <col min="3031" max="3031" width="19.28515625" bestFit="1" customWidth="1"/>
    <col min="3032" max="3032" width="28.140625" bestFit="1" customWidth="1"/>
    <col min="3033" max="3033" width="31.28515625" bestFit="1" customWidth="1"/>
    <col min="3034" max="3034" width="26.42578125" customWidth="1"/>
    <col min="3035" max="3035" width="15.28515625" customWidth="1"/>
    <col min="3036" max="3036" width="17.85546875" customWidth="1"/>
    <col min="3037" max="3037" width="36.28515625" bestFit="1" customWidth="1"/>
    <col min="3038" max="3038" width="24.42578125" bestFit="1" customWidth="1"/>
    <col min="3039" max="3039" width="11.42578125" bestFit="1" customWidth="1"/>
    <col min="3040" max="3040" width="10.140625" bestFit="1" customWidth="1"/>
    <col min="3041" max="3041" width="28.7109375" bestFit="1" customWidth="1"/>
    <col min="3042" max="3042" width="28.42578125" bestFit="1" customWidth="1"/>
    <col min="3043" max="3043" width="34.28515625" bestFit="1" customWidth="1"/>
    <col min="3044" max="3044" width="13.7109375" bestFit="1" customWidth="1"/>
    <col min="3045" max="3045" width="22.7109375" bestFit="1" customWidth="1"/>
    <col min="3046" max="3046" width="41.28515625" bestFit="1" customWidth="1"/>
    <col min="3047" max="3047" width="19.85546875" bestFit="1" customWidth="1"/>
    <col min="3048" max="3048" width="24.28515625" bestFit="1" customWidth="1"/>
    <col min="3049" max="3049" width="62.140625" bestFit="1" customWidth="1"/>
    <col min="3050" max="3050" width="23.85546875" bestFit="1" customWidth="1"/>
    <col min="3051" max="3051" width="32.85546875" bestFit="1" customWidth="1"/>
    <col min="3052" max="3052" width="30.42578125" bestFit="1" customWidth="1"/>
    <col min="3053" max="3053" width="12.28515625" bestFit="1" customWidth="1"/>
    <col min="3054" max="3054" width="14.42578125" bestFit="1" customWidth="1"/>
    <col min="3055" max="3055" width="18.85546875" customWidth="1"/>
    <col min="3275" max="3275" width="11" bestFit="1" customWidth="1"/>
    <col min="3276" max="3276" width="18.42578125" bestFit="1" customWidth="1"/>
    <col min="3277" max="3277" width="22.28515625" bestFit="1" customWidth="1"/>
    <col min="3278" max="3278" width="52.7109375" bestFit="1" customWidth="1"/>
    <col min="3279" max="3279" width="11.42578125" bestFit="1" customWidth="1"/>
    <col min="3280" max="3280" width="20.140625" bestFit="1" customWidth="1"/>
    <col min="3281" max="3281" width="25.85546875" bestFit="1" customWidth="1"/>
    <col min="3282" max="3282" width="23.85546875" bestFit="1" customWidth="1"/>
    <col min="3283" max="3283" width="22.42578125" customWidth="1"/>
    <col min="3284" max="3284" width="10.85546875" bestFit="1" customWidth="1"/>
    <col min="3285" max="3285" width="8.42578125" bestFit="1" customWidth="1"/>
    <col min="3286" max="3286" width="15.7109375" bestFit="1" customWidth="1"/>
    <col min="3287" max="3287" width="19.28515625" bestFit="1" customWidth="1"/>
    <col min="3288" max="3288" width="28.140625" bestFit="1" customWidth="1"/>
    <col min="3289" max="3289" width="31.28515625" bestFit="1" customWidth="1"/>
    <col min="3290" max="3290" width="26.42578125" customWidth="1"/>
    <col min="3291" max="3291" width="15.28515625" customWidth="1"/>
    <col min="3292" max="3292" width="17.85546875" customWidth="1"/>
    <col min="3293" max="3293" width="36.28515625" bestFit="1" customWidth="1"/>
    <col min="3294" max="3294" width="24.42578125" bestFit="1" customWidth="1"/>
    <col min="3295" max="3295" width="11.42578125" bestFit="1" customWidth="1"/>
    <col min="3296" max="3296" width="10.140625" bestFit="1" customWidth="1"/>
    <col min="3297" max="3297" width="28.7109375" bestFit="1" customWidth="1"/>
    <col min="3298" max="3298" width="28.42578125" bestFit="1" customWidth="1"/>
    <col min="3299" max="3299" width="34.28515625" bestFit="1" customWidth="1"/>
    <col min="3300" max="3300" width="13.7109375" bestFit="1" customWidth="1"/>
    <col min="3301" max="3301" width="22.7109375" bestFit="1" customWidth="1"/>
    <col min="3302" max="3302" width="41.28515625" bestFit="1" customWidth="1"/>
    <col min="3303" max="3303" width="19.85546875" bestFit="1" customWidth="1"/>
    <col min="3304" max="3304" width="24.28515625" bestFit="1" customWidth="1"/>
    <col min="3305" max="3305" width="62.140625" bestFit="1" customWidth="1"/>
    <col min="3306" max="3306" width="23.85546875" bestFit="1" customWidth="1"/>
    <col min="3307" max="3307" width="32.85546875" bestFit="1" customWidth="1"/>
    <col min="3308" max="3308" width="30.42578125" bestFit="1" customWidth="1"/>
    <col min="3309" max="3309" width="12.28515625" bestFit="1" customWidth="1"/>
    <col min="3310" max="3310" width="14.42578125" bestFit="1" customWidth="1"/>
    <col min="3311" max="3311" width="18.85546875" customWidth="1"/>
    <col min="3531" max="3531" width="11" bestFit="1" customWidth="1"/>
    <col min="3532" max="3532" width="18.42578125" bestFit="1" customWidth="1"/>
    <col min="3533" max="3533" width="22.28515625" bestFit="1" customWidth="1"/>
    <col min="3534" max="3534" width="52.7109375" bestFit="1" customWidth="1"/>
    <col min="3535" max="3535" width="11.42578125" bestFit="1" customWidth="1"/>
    <col min="3536" max="3536" width="20.140625" bestFit="1" customWidth="1"/>
    <col min="3537" max="3537" width="25.85546875" bestFit="1" customWidth="1"/>
    <col min="3538" max="3538" width="23.85546875" bestFit="1" customWidth="1"/>
    <col min="3539" max="3539" width="22.42578125" customWidth="1"/>
    <col min="3540" max="3540" width="10.85546875" bestFit="1" customWidth="1"/>
    <col min="3541" max="3541" width="8.42578125" bestFit="1" customWidth="1"/>
    <col min="3542" max="3542" width="15.7109375" bestFit="1" customWidth="1"/>
    <col min="3543" max="3543" width="19.28515625" bestFit="1" customWidth="1"/>
    <col min="3544" max="3544" width="28.140625" bestFit="1" customWidth="1"/>
    <col min="3545" max="3545" width="31.28515625" bestFit="1" customWidth="1"/>
    <col min="3546" max="3546" width="26.42578125" customWidth="1"/>
    <col min="3547" max="3547" width="15.28515625" customWidth="1"/>
    <col min="3548" max="3548" width="17.85546875" customWidth="1"/>
    <col min="3549" max="3549" width="36.28515625" bestFit="1" customWidth="1"/>
    <col min="3550" max="3550" width="24.42578125" bestFit="1" customWidth="1"/>
    <col min="3551" max="3551" width="11.42578125" bestFit="1" customWidth="1"/>
    <col min="3552" max="3552" width="10.140625" bestFit="1" customWidth="1"/>
    <col min="3553" max="3553" width="28.7109375" bestFit="1" customWidth="1"/>
    <col min="3554" max="3554" width="28.42578125" bestFit="1" customWidth="1"/>
    <col min="3555" max="3555" width="34.28515625" bestFit="1" customWidth="1"/>
    <col min="3556" max="3556" width="13.7109375" bestFit="1" customWidth="1"/>
    <col min="3557" max="3557" width="22.7109375" bestFit="1" customWidth="1"/>
    <col min="3558" max="3558" width="41.28515625" bestFit="1" customWidth="1"/>
    <col min="3559" max="3559" width="19.85546875" bestFit="1" customWidth="1"/>
    <col min="3560" max="3560" width="24.28515625" bestFit="1" customWidth="1"/>
    <col min="3561" max="3561" width="62.140625" bestFit="1" customWidth="1"/>
    <col min="3562" max="3562" width="23.85546875" bestFit="1" customWidth="1"/>
    <col min="3563" max="3563" width="32.85546875" bestFit="1" customWidth="1"/>
    <col min="3564" max="3564" width="30.42578125" bestFit="1" customWidth="1"/>
    <col min="3565" max="3565" width="12.28515625" bestFit="1" customWidth="1"/>
    <col min="3566" max="3566" width="14.42578125" bestFit="1" customWidth="1"/>
    <col min="3567" max="3567" width="18.85546875" customWidth="1"/>
    <col min="3787" max="3787" width="11" bestFit="1" customWidth="1"/>
    <col min="3788" max="3788" width="18.42578125" bestFit="1" customWidth="1"/>
    <col min="3789" max="3789" width="22.28515625" bestFit="1" customWidth="1"/>
    <col min="3790" max="3790" width="52.7109375" bestFit="1" customWidth="1"/>
    <col min="3791" max="3791" width="11.42578125" bestFit="1" customWidth="1"/>
    <col min="3792" max="3792" width="20.140625" bestFit="1" customWidth="1"/>
    <col min="3793" max="3793" width="25.85546875" bestFit="1" customWidth="1"/>
    <col min="3794" max="3794" width="23.85546875" bestFit="1" customWidth="1"/>
    <col min="3795" max="3795" width="22.42578125" customWidth="1"/>
    <col min="3796" max="3796" width="10.85546875" bestFit="1" customWidth="1"/>
    <col min="3797" max="3797" width="8.42578125" bestFit="1" customWidth="1"/>
    <col min="3798" max="3798" width="15.7109375" bestFit="1" customWidth="1"/>
    <col min="3799" max="3799" width="19.28515625" bestFit="1" customWidth="1"/>
    <col min="3800" max="3800" width="28.140625" bestFit="1" customWidth="1"/>
    <col min="3801" max="3801" width="31.28515625" bestFit="1" customWidth="1"/>
    <col min="3802" max="3802" width="26.42578125" customWidth="1"/>
    <col min="3803" max="3803" width="15.28515625" customWidth="1"/>
    <col min="3804" max="3804" width="17.85546875" customWidth="1"/>
    <col min="3805" max="3805" width="36.28515625" bestFit="1" customWidth="1"/>
    <col min="3806" max="3806" width="24.42578125" bestFit="1" customWidth="1"/>
    <col min="3807" max="3807" width="11.42578125" bestFit="1" customWidth="1"/>
    <col min="3808" max="3808" width="10.140625" bestFit="1" customWidth="1"/>
    <col min="3809" max="3809" width="28.7109375" bestFit="1" customWidth="1"/>
    <col min="3810" max="3810" width="28.42578125" bestFit="1" customWidth="1"/>
    <col min="3811" max="3811" width="34.28515625" bestFit="1" customWidth="1"/>
    <col min="3812" max="3812" width="13.7109375" bestFit="1" customWidth="1"/>
    <col min="3813" max="3813" width="22.7109375" bestFit="1" customWidth="1"/>
    <col min="3814" max="3814" width="41.28515625" bestFit="1" customWidth="1"/>
    <col min="3815" max="3815" width="19.85546875" bestFit="1" customWidth="1"/>
    <col min="3816" max="3816" width="24.28515625" bestFit="1" customWidth="1"/>
    <col min="3817" max="3817" width="62.140625" bestFit="1" customWidth="1"/>
    <col min="3818" max="3818" width="23.85546875" bestFit="1" customWidth="1"/>
    <col min="3819" max="3819" width="32.85546875" bestFit="1" customWidth="1"/>
    <col min="3820" max="3820" width="30.42578125" bestFit="1" customWidth="1"/>
    <col min="3821" max="3821" width="12.28515625" bestFit="1" customWidth="1"/>
    <col min="3822" max="3822" width="14.42578125" bestFit="1" customWidth="1"/>
    <col min="3823" max="3823" width="18.85546875" customWidth="1"/>
    <col min="4043" max="4043" width="11" bestFit="1" customWidth="1"/>
    <col min="4044" max="4044" width="18.42578125" bestFit="1" customWidth="1"/>
    <col min="4045" max="4045" width="22.28515625" bestFit="1" customWidth="1"/>
    <col min="4046" max="4046" width="52.7109375" bestFit="1" customWidth="1"/>
    <col min="4047" max="4047" width="11.42578125" bestFit="1" customWidth="1"/>
    <col min="4048" max="4048" width="20.140625" bestFit="1" customWidth="1"/>
    <col min="4049" max="4049" width="25.85546875" bestFit="1" customWidth="1"/>
    <col min="4050" max="4050" width="23.85546875" bestFit="1" customWidth="1"/>
    <col min="4051" max="4051" width="22.42578125" customWidth="1"/>
    <col min="4052" max="4052" width="10.85546875" bestFit="1" customWidth="1"/>
    <col min="4053" max="4053" width="8.42578125" bestFit="1" customWidth="1"/>
    <col min="4054" max="4054" width="15.7109375" bestFit="1" customWidth="1"/>
    <col min="4055" max="4055" width="19.28515625" bestFit="1" customWidth="1"/>
    <col min="4056" max="4056" width="28.140625" bestFit="1" customWidth="1"/>
    <col min="4057" max="4057" width="31.28515625" bestFit="1" customWidth="1"/>
    <col min="4058" max="4058" width="26.42578125" customWidth="1"/>
    <col min="4059" max="4059" width="15.28515625" customWidth="1"/>
    <col min="4060" max="4060" width="17.85546875" customWidth="1"/>
    <col min="4061" max="4061" width="36.28515625" bestFit="1" customWidth="1"/>
    <col min="4062" max="4062" width="24.42578125" bestFit="1" customWidth="1"/>
    <col min="4063" max="4063" width="11.42578125" bestFit="1" customWidth="1"/>
    <col min="4064" max="4064" width="10.140625" bestFit="1" customWidth="1"/>
    <col min="4065" max="4065" width="28.7109375" bestFit="1" customWidth="1"/>
    <col min="4066" max="4066" width="28.42578125" bestFit="1" customWidth="1"/>
    <col min="4067" max="4067" width="34.28515625" bestFit="1" customWidth="1"/>
    <col min="4068" max="4068" width="13.7109375" bestFit="1" customWidth="1"/>
    <col min="4069" max="4069" width="22.7109375" bestFit="1" customWidth="1"/>
    <col min="4070" max="4070" width="41.28515625" bestFit="1" customWidth="1"/>
    <col min="4071" max="4071" width="19.85546875" bestFit="1" customWidth="1"/>
    <col min="4072" max="4072" width="24.28515625" bestFit="1" customWidth="1"/>
    <col min="4073" max="4073" width="62.140625" bestFit="1" customWidth="1"/>
    <col min="4074" max="4074" width="23.85546875" bestFit="1" customWidth="1"/>
    <col min="4075" max="4075" width="32.85546875" bestFit="1" customWidth="1"/>
    <col min="4076" max="4076" width="30.42578125" bestFit="1" customWidth="1"/>
    <col min="4077" max="4077" width="12.28515625" bestFit="1" customWidth="1"/>
    <col min="4078" max="4078" width="14.42578125" bestFit="1" customWidth="1"/>
    <col min="4079" max="4079" width="18.85546875" customWidth="1"/>
    <col min="4299" max="4299" width="11" bestFit="1" customWidth="1"/>
    <col min="4300" max="4300" width="18.42578125" bestFit="1" customWidth="1"/>
    <col min="4301" max="4301" width="22.28515625" bestFit="1" customWidth="1"/>
    <col min="4302" max="4302" width="52.7109375" bestFit="1" customWidth="1"/>
    <col min="4303" max="4303" width="11.42578125" bestFit="1" customWidth="1"/>
    <col min="4304" max="4304" width="20.140625" bestFit="1" customWidth="1"/>
    <col min="4305" max="4305" width="25.85546875" bestFit="1" customWidth="1"/>
    <col min="4306" max="4306" width="23.85546875" bestFit="1" customWidth="1"/>
    <col min="4307" max="4307" width="22.42578125" customWidth="1"/>
    <col min="4308" max="4308" width="10.85546875" bestFit="1" customWidth="1"/>
    <col min="4309" max="4309" width="8.42578125" bestFit="1" customWidth="1"/>
    <col min="4310" max="4310" width="15.7109375" bestFit="1" customWidth="1"/>
    <col min="4311" max="4311" width="19.28515625" bestFit="1" customWidth="1"/>
    <col min="4312" max="4312" width="28.140625" bestFit="1" customWidth="1"/>
    <col min="4313" max="4313" width="31.28515625" bestFit="1" customWidth="1"/>
    <col min="4314" max="4314" width="26.42578125" customWidth="1"/>
    <col min="4315" max="4315" width="15.28515625" customWidth="1"/>
    <col min="4316" max="4316" width="17.85546875" customWidth="1"/>
    <col min="4317" max="4317" width="36.28515625" bestFit="1" customWidth="1"/>
    <col min="4318" max="4318" width="24.42578125" bestFit="1" customWidth="1"/>
    <col min="4319" max="4319" width="11.42578125" bestFit="1" customWidth="1"/>
    <col min="4320" max="4320" width="10.140625" bestFit="1" customWidth="1"/>
    <col min="4321" max="4321" width="28.7109375" bestFit="1" customWidth="1"/>
    <col min="4322" max="4322" width="28.42578125" bestFit="1" customWidth="1"/>
    <col min="4323" max="4323" width="34.28515625" bestFit="1" customWidth="1"/>
    <col min="4324" max="4324" width="13.7109375" bestFit="1" customWidth="1"/>
    <col min="4325" max="4325" width="22.7109375" bestFit="1" customWidth="1"/>
    <col min="4326" max="4326" width="41.28515625" bestFit="1" customWidth="1"/>
    <col min="4327" max="4327" width="19.85546875" bestFit="1" customWidth="1"/>
    <col min="4328" max="4328" width="24.28515625" bestFit="1" customWidth="1"/>
    <col min="4329" max="4329" width="62.140625" bestFit="1" customWidth="1"/>
    <col min="4330" max="4330" width="23.85546875" bestFit="1" customWidth="1"/>
    <col min="4331" max="4331" width="32.85546875" bestFit="1" customWidth="1"/>
    <col min="4332" max="4332" width="30.42578125" bestFit="1" customWidth="1"/>
    <col min="4333" max="4333" width="12.28515625" bestFit="1" customWidth="1"/>
    <col min="4334" max="4334" width="14.42578125" bestFit="1" customWidth="1"/>
    <col min="4335" max="4335" width="18.85546875" customWidth="1"/>
    <col min="4555" max="4555" width="11" bestFit="1" customWidth="1"/>
    <col min="4556" max="4556" width="18.42578125" bestFit="1" customWidth="1"/>
    <col min="4557" max="4557" width="22.28515625" bestFit="1" customWidth="1"/>
    <col min="4558" max="4558" width="52.7109375" bestFit="1" customWidth="1"/>
    <col min="4559" max="4559" width="11.42578125" bestFit="1" customWidth="1"/>
    <col min="4560" max="4560" width="20.140625" bestFit="1" customWidth="1"/>
    <col min="4561" max="4561" width="25.85546875" bestFit="1" customWidth="1"/>
    <col min="4562" max="4562" width="23.85546875" bestFit="1" customWidth="1"/>
    <col min="4563" max="4563" width="22.42578125" customWidth="1"/>
    <col min="4564" max="4564" width="10.85546875" bestFit="1" customWidth="1"/>
    <col min="4565" max="4565" width="8.42578125" bestFit="1" customWidth="1"/>
    <col min="4566" max="4566" width="15.7109375" bestFit="1" customWidth="1"/>
    <col min="4567" max="4567" width="19.28515625" bestFit="1" customWidth="1"/>
    <col min="4568" max="4568" width="28.140625" bestFit="1" customWidth="1"/>
    <col min="4569" max="4569" width="31.28515625" bestFit="1" customWidth="1"/>
    <col min="4570" max="4570" width="26.42578125" customWidth="1"/>
    <col min="4571" max="4571" width="15.28515625" customWidth="1"/>
    <col min="4572" max="4572" width="17.85546875" customWidth="1"/>
    <col min="4573" max="4573" width="36.28515625" bestFit="1" customWidth="1"/>
    <col min="4574" max="4574" width="24.42578125" bestFit="1" customWidth="1"/>
    <col min="4575" max="4575" width="11.42578125" bestFit="1" customWidth="1"/>
    <col min="4576" max="4576" width="10.140625" bestFit="1" customWidth="1"/>
    <col min="4577" max="4577" width="28.7109375" bestFit="1" customWidth="1"/>
    <col min="4578" max="4578" width="28.42578125" bestFit="1" customWidth="1"/>
    <col min="4579" max="4579" width="34.28515625" bestFit="1" customWidth="1"/>
    <col min="4580" max="4580" width="13.7109375" bestFit="1" customWidth="1"/>
    <col min="4581" max="4581" width="22.7109375" bestFit="1" customWidth="1"/>
    <col min="4582" max="4582" width="41.28515625" bestFit="1" customWidth="1"/>
    <col min="4583" max="4583" width="19.85546875" bestFit="1" customWidth="1"/>
    <col min="4584" max="4584" width="24.28515625" bestFit="1" customWidth="1"/>
    <col min="4585" max="4585" width="62.140625" bestFit="1" customWidth="1"/>
    <col min="4586" max="4586" width="23.85546875" bestFit="1" customWidth="1"/>
    <col min="4587" max="4587" width="32.85546875" bestFit="1" customWidth="1"/>
    <col min="4588" max="4588" width="30.42578125" bestFit="1" customWidth="1"/>
    <col min="4589" max="4589" width="12.28515625" bestFit="1" customWidth="1"/>
    <col min="4590" max="4590" width="14.42578125" bestFit="1" customWidth="1"/>
    <col min="4591" max="4591" width="18.85546875" customWidth="1"/>
    <col min="4811" max="4811" width="11" bestFit="1" customWidth="1"/>
    <col min="4812" max="4812" width="18.42578125" bestFit="1" customWidth="1"/>
    <col min="4813" max="4813" width="22.28515625" bestFit="1" customWidth="1"/>
    <col min="4814" max="4814" width="52.7109375" bestFit="1" customWidth="1"/>
    <col min="4815" max="4815" width="11.42578125" bestFit="1" customWidth="1"/>
    <col min="4816" max="4816" width="20.140625" bestFit="1" customWidth="1"/>
    <col min="4817" max="4817" width="25.85546875" bestFit="1" customWidth="1"/>
    <col min="4818" max="4818" width="23.85546875" bestFit="1" customWidth="1"/>
    <col min="4819" max="4819" width="22.42578125" customWidth="1"/>
    <col min="4820" max="4820" width="10.85546875" bestFit="1" customWidth="1"/>
    <col min="4821" max="4821" width="8.42578125" bestFit="1" customWidth="1"/>
    <col min="4822" max="4822" width="15.7109375" bestFit="1" customWidth="1"/>
    <col min="4823" max="4823" width="19.28515625" bestFit="1" customWidth="1"/>
    <col min="4824" max="4824" width="28.140625" bestFit="1" customWidth="1"/>
    <col min="4825" max="4825" width="31.28515625" bestFit="1" customWidth="1"/>
    <col min="4826" max="4826" width="26.42578125" customWidth="1"/>
    <col min="4827" max="4827" width="15.28515625" customWidth="1"/>
    <col min="4828" max="4828" width="17.85546875" customWidth="1"/>
    <col min="4829" max="4829" width="36.28515625" bestFit="1" customWidth="1"/>
    <col min="4830" max="4830" width="24.42578125" bestFit="1" customWidth="1"/>
    <col min="4831" max="4831" width="11.42578125" bestFit="1" customWidth="1"/>
    <col min="4832" max="4832" width="10.140625" bestFit="1" customWidth="1"/>
    <col min="4833" max="4833" width="28.7109375" bestFit="1" customWidth="1"/>
    <col min="4834" max="4834" width="28.42578125" bestFit="1" customWidth="1"/>
    <col min="4835" max="4835" width="34.28515625" bestFit="1" customWidth="1"/>
    <col min="4836" max="4836" width="13.7109375" bestFit="1" customWidth="1"/>
    <col min="4837" max="4837" width="22.7109375" bestFit="1" customWidth="1"/>
    <col min="4838" max="4838" width="41.28515625" bestFit="1" customWidth="1"/>
    <col min="4839" max="4839" width="19.85546875" bestFit="1" customWidth="1"/>
    <col min="4840" max="4840" width="24.28515625" bestFit="1" customWidth="1"/>
    <col min="4841" max="4841" width="62.140625" bestFit="1" customWidth="1"/>
    <col min="4842" max="4842" width="23.85546875" bestFit="1" customWidth="1"/>
    <col min="4843" max="4843" width="32.85546875" bestFit="1" customWidth="1"/>
    <col min="4844" max="4844" width="30.42578125" bestFit="1" customWidth="1"/>
    <col min="4845" max="4845" width="12.28515625" bestFit="1" customWidth="1"/>
    <col min="4846" max="4846" width="14.42578125" bestFit="1" customWidth="1"/>
    <col min="4847" max="4847" width="18.85546875" customWidth="1"/>
    <col min="5067" max="5067" width="11" bestFit="1" customWidth="1"/>
    <col min="5068" max="5068" width="18.42578125" bestFit="1" customWidth="1"/>
    <col min="5069" max="5069" width="22.28515625" bestFit="1" customWidth="1"/>
    <col min="5070" max="5070" width="52.7109375" bestFit="1" customWidth="1"/>
    <col min="5071" max="5071" width="11.42578125" bestFit="1" customWidth="1"/>
    <col min="5072" max="5072" width="20.140625" bestFit="1" customWidth="1"/>
    <col min="5073" max="5073" width="25.85546875" bestFit="1" customWidth="1"/>
    <col min="5074" max="5074" width="23.85546875" bestFit="1" customWidth="1"/>
    <col min="5075" max="5075" width="22.42578125" customWidth="1"/>
    <col min="5076" max="5076" width="10.85546875" bestFit="1" customWidth="1"/>
    <col min="5077" max="5077" width="8.42578125" bestFit="1" customWidth="1"/>
    <col min="5078" max="5078" width="15.7109375" bestFit="1" customWidth="1"/>
    <col min="5079" max="5079" width="19.28515625" bestFit="1" customWidth="1"/>
    <col min="5080" max="5080" width="28.140625" bestFit="1" customWidth="1"/>
    <col min="5081" max="5081" width="31.28515625" bestFit="1" customWidth="1"/>
    <col min="5082" max="5082" width="26.42578125" customWidth="1"/>
    <col min="5083" max="5083" width="15.28515625" customWidth="1"/>
    <col min="5084" max="5084" width="17.85546875" customWidth="1"/>
    <col min="5085" max="5085" width="36.28515625" bestFit="1" customWidth="1"/>
    <col min="5086" max="5086" width="24.42578125" bestFit="1" customWidth="1"/>
    <col min="5087" max="5087" width="11.42578125" bestFit="1" customWidth="1"/>
    <col min="5088" max="5088" width="10.140625" bestFit="1" customWidth="1"/>
    <col min="5089" max="5089" width="28.7109375" bestFit="1" customWidth="1"/>
    <col min="5090" max="5090" width="28.42578125" bestFit="1" customWidth="1"/>
    <col min="5091" max="5091" width="34.28515625" bestFit="1" customWidth="1"/>
    <col min="5092" max="5092" width="13.7109375" bestFit="1" customWidth="1"/>
    <col min="5093" max="5093" width="22.7109375" bestFit="1" customWidth="1"/>
    <col min="5094" max="5094" width="41.28515625" bestFit="1" customWidth="1"/>
    <col min="5095" max="5095" width="19.85546875" bestFit="1" customWidth="1"/>
    <col min="5096" max="5096" width="24.28515625" bestFit="1" customWidth="1"/>
    <col min="5097" max="5097" width="62.140625" bestFit="1" customWidth="1"/>
    <col min="5098" max="5098" width="23.85546875" bestFit="1" customWidth="1"/>
    <col min="5099" max="5099" width="32.85546875" bestFit="1" customWidth="1"/>
    <col min="5100" max="5100" width="30.42578125" bestFit="1" customWidth="1"/>
    <col min="5101" max="5101" width="12.28515625" bestFit="1" customWidth="1"/>
    <col min="5102" max="5102" width="14.42578125" bestFit="1" customWidth="1"/>
    <col min="5103" max="5103" width="18.85546875" customWidth="1"/>
    <col min="5323" max="5323" width="11" bestFit="1" customWidth="1"/>
    <col min="5324" max="5324" width="18.42578125" bestFit="1" customWidth="1"/>
    <col min="5325" max="5325" width="22.28515625" bestFit="1" customWidth="1"/>
    <col min="5326" max="5326" width="52.7109375" bestFit="1" customWidth="1"/>
    <col min="5327" max="5327" width="11.42578125" bestFit="1" customWidth="1"/>
    <col min="5328" max="5328" width="20.140625" bestFit="1" customWidth="1"/>
    <col min="5329" max="5329" width="25.85546875" bestFit="1" customWidth="1"/>
    <col min="5330" max="5330" width="23.85546875" bestFit="1" customWidth="1"/>
    <col min="5331" max="5331" width="22.42578125" customWidth="1"/>
    <col min="5332" max="5332" width="10.85546875" bestFit="1" customWidth="1"/>
    <col min="5333" max="5333" width="8.42578125" bestFit="1" customWidth="1"/>
    <col min="5334" max="5334" width="15.7109375" bestFit="1" customWidth="1"/>
    <col min="5335" max="5335" width="19.28515625" bestFit="1" customWidth="1"/>
    <col min="5336" max="5336" width="28.140625" bestFit="1" customWidth="1"/>
    <col min="5337" max="5337" width="31.28515625" bestFit="1" customWidth="1"/>
    <col min="5338" max="5338" width="26.42578125" customWidth="1"/>
    <col min="5339" max="5339" width="15.28515625" customWidth="1"/>
    <col min="5340" max="5340" width="17.85546875" customWidth="1"/>
    <col min="5341" max="5341" width="36.28515625" bestFit="1" customWidth="1"/>
    <col min="5342" max="5342" width="24.42578125" bestFit="1" customWidth="1"/>
    <col min="5343" max="5343" width="11.42578125" bestFit="1" customWidth="1"/>
    <col min="5344" max="5344" width="10.140625" bestFit="1" customWidth="1"/>
    <col min="5345" max="5345" width="28.7109375" bestFit="1" customWidth="1"/>
    <col min="5346" max="5346" width="28.42578125" bestFit="1" customWidth="1"/>
    <col min="5347" max="5347" width="34.28515625" bestFit="1" customWidth="1"/>
    <col min="5348" max="5348" width="13.7109375" bestFit="1" customWidth="1"/>
    <col min="5349" max="5349" width="22.7109375" bestFit="1" customWidth="1"/>
    <col min="5350" max="5350" width="41.28515625" bestFit="1" customWidth="1"/>
    <col min="5351" max="5351" width="19.85546875" bestFit="1" customWidth="1"/>
    <col min="5352" max="5352" width="24.28515625" bestFit="1" customWidth="1"/>
    <col min="5353" max="5353" width="62.140625" bestFit="1" customWidth="1"/>
    <col min="5354" max="5354" width="23.85546875" bestFit="1" customWidth="1"/>
    <col min="5355" max="5355" width="32.85546875" bestFit="1" customWidth="1"/>
    <col min="5356" max="5356" width="30.42578125" bestFit="1" customWidth="1"/>
    <col min="5357" max="5357" width="12.28515625" bestFit="1" customWidth="1"/>
    <col min="5358" max="5358" width="14.42578125" bestFit="1" customWidth="1"/>
    <col min="5359" max="5359" width="18.85546875" customWidth="1"/>
    <col min="5579" max="5579" width="11" bestFit="1" customWidth="1"/>
    <col min="5580" max="5580" width="18.42578125" bestFit="1" customWidth="1"/>
    <col min="5581" max="5581" width="22.28515625" bestFit="1" customWidth="1"/>
    <col min="5582" max="5582" width="52.7109375" bestFit="1" customWidth="1"/>
    <col min="5583" max="5583" width="11.42578125" bestFit="1" customWidth="1"/>
    <col min="5584" max="5584" width="20.140625" bestFit="1" customWidth="1"/>
    <col min="5585" max="5585" width="25.85546875" bestFit="1" customWidth="1"/>
    <col min="5586" max="5586" width="23.85546875" bestFit="1" customWidth="1"/>
    <col min="5587" max="5587" width="22.42578125" customWidth="1"/>
    <col min="5588" max="5588" width="10.85546875" bestFit="1" customWidth="1"/>
    <col min="5589" max="5589" width="8.42578125" bestFit="1" customWidth="1"/>
    <col min="5590" max="5590" width="15.7109375" bestFit="1" customWidth="1"/>
    <col min="5591" max="5591" width="19.28515625" bestFit="1" customWidth="1"/>
    <col min="5592" max="5592" width="28.140625" bestFit="1" customWidth="1"/>
    <col min="5593" max="5593" width="31.28515625" bestFit="1" customWidth="1"/>
    <col min="5594" max="5594" width="26.42578125" customWidth="1"/>
    <col min="5595" max="5595" width="15.28515625" customWidth="1"/>
    <col min="5596" max="5596" width="17.85546875" customWidth="1"/>
    <col min="5597" max="5597" width="36.28515625" bestFit="1" customWidth="1"/>
    <col min="5598" max="5598" width="24.42578125" bestFit="1" customWidth="1"/>
    <col min="5599" max="5599" width="11.42578125" bestFit="1" customWidth="1"/>
    <col min="5600" max="5600" width="10.140625" bestFit="1" customWidth="1"/>
    <col min="5601" max="5601" width="28.7109375" bestFit="1" customWidth="1"/>
    <col min="5602" max="5602" width="28.42578125" bestFit="1" customWidth="1"/>
    <col min="5603" max="5603" width="34.28515625" bestFit="1" customWidth="1"/>
    <col min="5604" max="5604" width="13.7109375" bestFit="1" customWidth="1"/>
    <col min="5605" max="5605" width="22.7109375" bestFit="1" customWidth="1"/>
    <col min="5606" max="5606" width="41.28515625" bestFit="1" customWidth="1"/>
    <col min="5607" max="5607" width="19.85546875" bestFit="1" customWidth="1"/>
    <col min="5608" max="5608" width="24.28515625" bestFit="1" customWidth="1"/>
    <col min="5609" max="5609" width="62.140625" bestFit="1" customWidth="1"/>
    <col min="5610" max="5610" width="23.85546875" bestFit="1" customWidth="1"/>
    <col min="5611" max="5611" width="32.85546875" bestFit="1" customWidth="1"/>
    <col min="5612" max="5612" width="30.42578125" bestFit="1" customWidth="1"/>
    <col min="5613" max="5613" width="12.28515625" bestFit="1" customWidth="1"/>
    <col min="5614" max="5614" width="14.42578125" bestFit="1" customWidth="1"/>
    <col min="5615" max="5615" width="18.85546875" customWidth="1"/>
    <col min="5835" max="5835" width="11" bestFit="1" customWidth="1"/>
    <col min="5836" max="5836" width="18.42578125" bestFit="1" customWidth="1"/>
    <col min="5837" max="5837" width="22.28515625" bestFit="1" customWidth="1"/>
    <col min="5838" max="5838" width="52.7109375" bestFit="1" customWidth="1"/>
    <col min="5839" max="5839" width="11.42578125" bestFit="1" customWidth="1"/>
    <col min="5840" max="5840" width="20.140625" bestFit="1" customWidth="1"/>
    <col min="5841" max="5841" width="25.85546875" bestFit="1" customWidth="1"/>
    <col min="5842" max="5842" width="23.85546875" bestFit="1" customWidth="1"/>
    <col min="5843" max="5843" width="22.42578125" customWidth="1"/>
    <col min="5844" max="5844" width="10.85546875" bestFit="1" customWidth="1"/>
    <col min="5845" max="5845" width="8.42578125" bestFit="1" customWidth="1"/>
    <col min="5846" max="5846" width="15.7109375" bestFit="1" customWidth="1"/>
    <col min="5847" max="5847" width="19.28515625" bestFit="1" customWidth="1"/>
    <col min="5848" max="5848" width="28.140625" bestFit="1" customWidth="1"/>
    <col min="5849" max="5849" width="31.28515625" bestFit="1" customWidth="1"/>
    <col min="5850" max="5850" width="26.42578125" customWidth="1"/>
    <col min="5851" max="5851" width="15.28515625" customWidth="1"/>
    <col min="5852" max="5852" width="17.85546875" customWidth="1"/>
    <col min="5853" max="5853" width="36.28515625" bestFit="1" customWidth="1"/>
    <col min="5854" max="5854" width="24.42578125" bestFit="1" customWidth="1"/>
    <col min="5855" max="5855" width="11.42578125" bestFit="1" customWidth="1"/>
    <col min="5856" max="5856" width="10.140625" bestFit="1" customWidth="1"/>
    <col min="5857" max="5857" width="28.7109375" bestFit="1" customWidth="1"/>
    <col min="5858" max="5858" width="28.42578125" bestFit="1" customWidth="1"/>
    <col min="5859" max="5859" width="34.28515625" bestFit="1" customWidth="1"/>
    <col min="5860" max="5860" width="13.7109375" bestFit="1" customWidth="1"/>
    <col min="5861" max="5861" width="22.7109375" bestFit="1" customWidth="1"/>
    <col min="5862" max="5862" width="41.28515625" bestFit="1" customWidth="1"/>
    <col min="5863" max="5863" width="19.85546875" bestFit="1" customWidth="1"/>
    <col min="5864" max="5864" width="24.28515625" bestFit="1" customWidth="1"/>
    <col min="5865" max="5865" width="62.140625" bestFit="1" customWidth="1"/>
    <col min="5866" max="5866" width="23.85546875" bestFit="1" customWidth="1"/>
    <col min="5867" max="5867" width="32.85546875" bestFit="1" customWidth="1"/>
    <col min="5868" max="5868" width="30.42578125" bestFit="1" customWidth="1"/>
    <col min="5869" max="5869" width="12.28515625" bestFit="1" customWidth="1"/>
    <col min="5870" max="5870" width="14.42578125" bestFit="1" customWidth="1"/>
    <col min="5871" max="5871" width="18.85546875" customWidth="1"/>
    <col min="6091" max="6091" width="11" bestFit="1" customWidth="1"/>
    <col min="6092" max="6092" width="18.42578125" bestFit="1" customWidth="1"/>
    <col min="6093" max="6093" width="22.28515625" bestFit="1" customWidth="1"/>
    <col min="6094" max="6094" width="52.7109375" bestFit="1" customWidth="1"/>
    <col min="6095" max="6095" width="11.42578125" bestFit="1" customWidth="1"/>
    <col min="6096" max="6096" width="20.140625" bestFit="1" customWidth="1"/>
    <col min="6097" max="6097" width="25.85546875" bestFit="1" customWidth="1"/>
    <col min="6098" max="6098" width="23.85546875" bestFit="1" customWidth="1"/>
    <col min="6099" max="6099" width="22.42578125" customWidth="1"/>
    <col min="6100" max="6100" width="10.85546875" bestFit="1" customWidth="1"/>
    <col min="6101" max="6101" width="8.42578125" bestFit="1" customWidth="1"/>
    <col min="6102" max="6102" width="15.7109375" bestFit="1" customWidth="1"/>
    <col min="6103" max="6103" width="19.28515625" bestFit="1" customWidth="1"/>
    <col min="6104" max="6104" width="28.140625" bestFit="1" customWidth="1"/>
    <col min="6105" max="6105" width="31.28515625" bestFit="1" customWidth="1"/>
    <col min="6106" max="6106" width="26.42578125" customWidth="1"/>
    <col min="6107" max="6107" width="15.28515625" customWidth="1"/>
    <col min="6108" max="6108" width="17.85546875" customWidth="1"/>
    <col min="6109" max="6109" width="36.28515625" bestFit="1" customWidth="1"/>
    <col min="6110" max="6110" width="24.42578125" bestFit="1" customWidth="1"/>
    <col min="6111" max="6111" width="11.42578125" bestFit="1" customWidth="1"/>
    <col min="6112" max="6112" width="10.140625" bestFit="1" customWidth="1"/>
    <col min="6113" max="6113" width="28.7109375" bestFit="1" customWidth="1"/>
    <col min="6114" max="6114" width="28.42578125" bestFit="1" customWidth="1"/>
    <col min="6115" max="6115" width="34.28515625" bestFit="1" customWidth="1"/>
    <col min="6116" max="6116" width="13.7109375" bestFit="1" customWidth="1"/>
    <col min="6117" max="6117" width="22.7109375" bestFit="1" customWidth="1"/>
    <col min="6118" max="6118" width="41.28515625" bestFit="1" customWidth="1"/>
    <col min="6119" max="6119" width="19.85546875" bestFit="1" customWidth="1"/>
    <col min="6120" max="6120" width="24.28515625" bestFit="1" customWidth="1"/>
    <col min="6121" max="6121" width="62.140625" bestFit="1" customWidth="1"/>
    <col min="6122" max="6122" width="23.85546875" bestFit="1" customWidth="1"/>
    <col min="6123" max="6123" width="32.85546875" bestFit="1" customWidth="1"/>
    <col min="6124" max="6124" width="30.42578125" bestFit="1" customWidth="1"/>
    <col min="6125" max="6125" width="12.28515625" bestFit="1" customWidth="1"/>
    <col min="6126" max="6126" width="14.42578125" bestFit="1" customWidth="1"/>
    <col min="6127" max="6127" width="18.85546875" customWidth="1"/>
    <col min="6347" max="6347" width="11" bestFit="1" customWidth="1"/>
    <col min="6348" max="6348" width="18.42578125" bestFit="1" customWidth="1"/>
    <col min="6349" max="6349" width="22.28515625" bestFit="1" customWidth="1"/>
    <col min="6350" max="6350" width="52.7109375" bestFit="1" customWidth="1"/>
    <col min="6351" max="6351" width="11.42578125" bestFit="1" customWidth="1"/>
    <col min="6352" max="6352" width="20.140625" bestFit="1" customWidth="1"/>
    <col min="6353" max="6353" width="25.85546875" bestFit="1" customWidth="1"/>
    <col min="6354" max="6354" width="23.85546875" bestFit="1" customWidth="1"/>
    <col min="6355" max="6355" width="22.42578125" customWidth="1"/>
    <col min="6356" max="6356" width="10.85546875" bestFit="1" customWidth="1"/>
    <col min="6357" max="6357" width="8.42578125" bestFit="1" customWidth="1"/>
    <col min="6358" max="6358" width="15.7109375" bestFit="1" customWidth="1"/>
    <col min="6359" max="6359" width="19.28515625" bestFit="1" customWidth="1"/>
    <col min="6360" max="6360" width="28.140625" bestFit="1" customWidth="1"/>
    <col min="6361" max="6361" width="31.28515625" bestFit="1" customWidth="1"/>
    <col min="6362" max="6362" width="26.42578125" customWidth="1"/>
    <col min="6363" max="6363" width="15.28515625" customWidth="1"/>
    <col min="6364" max="6364" width="17.85546875" customWidth="1"/>
    <col min="6365" max="6365" width="36.28515625" bestFit="1" customWidth="1"/>
    <col min="6366" max="6366" width="24.42578125" bestFit="1" customWidth="1"/>
    <col min="6367" max="6367" width="11.42578125" bestFit="1" customWidth="1"/>
    <col min="6368" max="6368" width="10.140625" bestFit="1" customWidth="1"/>
    <col min="6369" max="6369" width="28.7109375" bestFit="1" customWidth="1"/>
    <col min="6370" max="6370" width="28.42578125" bestFit="1" customWidth="1"/>
    <col min="6371" max="6371" width="34.28515625" bestFit="1" customWidth="1"/>
    <col min="6372" max="6372" width="13.7109375" bestFit="1" customWidth="1"/>
    <col min="6373" max="6373" width="22.7109375" bestFit="1" customWidth="1"/>
    <col min="6374" max="6374" width="41.28515625" bestFit="1" customWidth="1"/>
    <col min="6375" max="6375" width="19.85546875" bestFit="1" customWidth="1"/>
    <col min="6376" max="6376" width="24.28515625" bestFit="1" customWidth="1"/>
    <col min="6377" max="6377" width="62.140625" bestFit="1" customWidth="1"/>
    <col min="6378" max="6378" width="23.85546875" bestFit="1" customWidth="1"/>
    <col min="6379" max="6379" width="32.85546875" bestFit="1" customWidth="1"/>
    <col min="6380" max="6380" width="30.42578125" bestFit="1" customWidth="1"/>
    <col min="6381" max="6381" width="12.28515625" bestFit="1" customWidth="1"/>
    <col min="6382" max="6382" width="14.42578125" bestFit="1" customWidth="1"/>
    <col min="6383" max="6383" width="18.85546875" customWidth="1"/>
    <col min="6603" max="6603" width="11" bestFit="1" customWidth="1"/>
    <col min="6604" max="6604" width="18.42578125" bestFit="1" customWidth="1"/>
    <col min="6605" max="6605" width="22.28515625" bestFit="1" customWidth="1"/>
    <col min="6606" max="6606" width="52.7109375" bestFit="1" customWidth="1"/>
    <col min="6607" max="6607" width="11.42578125" bestFit="1" customWidth="1"/>
    <col min="6608" max="6608" width="20.140625" bestFit="1" customWidth="1"/>
    <col min="6609" max="6609" width="25.85546875" bestFit="1" customWidth="1"/>
    <col min="6610" max="6610" width="23.85546875" bestFit="1" customWidth="1"/>
    <col min="6611" max="6611" width="22.42578125" customWidth="1"/>
    <col min="6612" max="6612" width="10.85546875" bestFit="1" customWidth="1"/>
    <col min="6613" max="6613" width="8.42578125" bestFit="1" customWidth="1"/>
    <col min="6614" max="6614" width="15.7109375" bestFit="1" customWidth="1"/>
    <col min="6615" max="6615" width="19.28515625" bestFit="1" customWidth="1"/>
    <col min="6616" max="6616" width="28.140625" bestFit="1" customWidth="1"/>
    <col min="6617" max="6617" width="31.28515625" bestFit="1" customWidth="1"/>
    <col min="6618" max="6618" width="26.42578125" customWidth="1"/>
    <col min="6619" max="6619" width="15.28515625" customWidth="1"/>
    <col min="6620" max="6620" width="17.85546875" customWidth="1"/>
    <col min="6621" max="6621" width="36.28515625" bestFit="1" customWidth="1"/>
    <col min="6622" max="6622" width="24.42578125" bestFit="1" customWidth="1"/>
    <col min="6623" max="6623" width="11.42578125" bestFit="1" customWidth="1"/>
    <col min="6624" max="6624" width="10.140625" bestFit="1" customWidth="1"/>
    <col min="6625" max="6625" width="28.7109375" bestFit="1" customWidth="1"/>
    <col min="6626" max="6626" width="28.42578125" bestFit="1" customWidth="1"/>
    <col min="6627" max="6627" width="34.28515625" bestFit="1" customWidth="1"/>
    <col min="6628" max="6628" width="13.7109375" bestFit="1" customWidth="1"/>
    <col min="6629" max="6629" width="22.7109375" bestFit="1" customWidth="1"/>
    <col min="6630" max="6630" width="41.28515625" bestFit="1" customWidth="1"/>
    <col min="6631" max="6631" width="19.85546875" bestFit="1" customWidth="1"/>
    <col min="6632" max="6632" width="24.28515625" bestFit="1" customWidth="1"/>
    <col min="6633" max="6633" width="62.140625" bestFit="1" customWidth="1"/>
    <col min="6634" max="6634" width="23.85546875" bestFit="1" customWidth="1"/>
    <col min="6635" max="6635" width="32.85546875" bestFit="1" customWidth="1"/>
    <col min="6636" max="6636" width="30.42578125" bestFit="1" customWidth="1"/>
    <col min="6637" max="6637" width="12.28515625" bestFit="1" customWidth="1"/>
    <col min="6638" max="6638" width="14.42578125" bestFit="1" customWidth="1"/>
    <col min="6639" max="6639" width="18.85546875" customWidth="1"/>
    <col min="6859" max="6859" width="11" bestFit="1" customWidth="1"/>
    <col min="6860" max="6860" width="18.42578125" bestFit="1" customWidth="1"/>
    <col min="6861" max="6861" width="22.28515625" bestFit="1" customWidth="1"/>
    <col min="6862" max="6862" width="52.7109375" bestFit="1" customWidth="1"/>
    <col min="6863" max="6863" width="11.42578125" bestFit="1" customWidth="1"/>
    <col min="6864" max="6864" width="20.140625" bestFit="1" customWidth="1"/>
    <col min="6865" max="6865" width="25.85546875" bestFit="1" customWidth="1"/>
    <col min="6866" max="6866" width="23.85546875" bestFit="1" customWidth="1"/>
    <col min="6867" max="6867" width="22.42578125" customWidth="1"/>
    <col min="6868" max="6868" width="10.85546875" bestFit="1" customWidth="1"/>
    <col min="6869" max="6869" width="8.42578125" bestFit="1" customWidth="1"/>
    <col min="6870" max="6870" width="15.7109375" bestFit="1" customWidth="1"/>
    <col min="6871" max="6871" width="19.28515625" bestFit="1" customWidth="1"/>
    <col min="6872" max="6872" width="28.140625" bestFit="1" customWidth="1"/>
    <col min="6873" max="6873" width="31.28515625" bestFit="1" customWidth="1"/>
    <col min="6874" max="6874" width="26.42578125" customWidth="1"/>
    <col min="6875" max="6875" width="15.28515625" customWidth="1"/>
    <col min="6876" max="6876" width="17.85546875" customWidth="1"/>
    <col min="6877" max="6877" width="36.28515625" bestFit="1" customWidth="1"/>
    <col min="6878" max="6878" width="24.42578125" bestFit="1" customWidth="1"/>
    <col min="6879" max="6879" width="11.42578125" bestFit="1" customWidth="1"/>
    <col min="6880" max="6880" width="10.140625" bestFit="1" customWidth="1"/>
    <col min="6881" max="6881" width="28.7109375" bestFit="1" customWidth="1"/>
    <col min="6882" max="6882" width="28.42578125" bestFit="1" customWidth="1"/>
    <col min="6883" max="6883" width="34.28515625" bestFit="1" customWidth="1"/>
    <col min="6884" max="6884" width="13.7109375" bestFit="1" customWidth="1"/>
    <col min="6885" max="6885" width="22.7109375" bestFit="1" customWidth="1"/>
    <col min="6886" max="6886" width="41.28515625" bestFit="1" customWidth="1"/>
    <col min="6887" max="6887" width="19.85546875" bestFit="1" customWidth="1"/>
    <col min="6888" max="6888" width="24.28515625" bestFit="1" customWidth="1"/>
    <col min="6889" max="6889" width="62.140625" bestFit="1" customWidth="1"/>
    <col min="6890" max="6890" width="23.85546875" bestFit="1" customWidth="1"/>
    <col min="6891" max="6891" width="32.85546875" bestFit="1" customWidth="1"/>
    <col min="6892" max="6892" width="30.42578125" bestFit="1" customWidth="1"/>
    <col min="6893" max="6893" width="12.28515625" bestFit="1" customWidth="1"/>
    <col min="6894" max="6894" width="14.42578125" bestFit="1" customWidth="1"/>
    <col min="6895" max="6895" width="18.85546875" customWidth="1"/>
    <col min="7115" max="7115" width="11" bestFit="1" customWidth="1"/>
    <col min="7116" max="7116" width="18.42578125" bestFit="1" customWidth="1"/>
    <col min="7117" max="7117" width="22.28515625" bestFit="1" customWidth="1"/>
    <col min="7118" max="7118" width="52.7109375" bestFit="1" customWidth="1"/>
    <col min="7119" max="7119" width="11.42578125" bestFit="1" customWidth="1"/>
    <col min="7120" max="7120" width="20.140625" bestFit="1" customWidth="1"/>
    <col min="7121" max="7121" width="25.85546875" bestFit="1" customWidth="1"/>
    <col min="7122" max="7122" width="23.85546875" bestFit="1" customWidth="1"/>
    <col min="7123" max="7123" width="22.42578125" customWidth="1"/>
    <col min="7124" max="7124" width="10.85546875" bestFit="1" customWidth="1"/>
    <col min="7125" max="7125" width="8.42578125" bestFit="1" customWidth="1"/>
    <col min="7126" max="7126" width="15.7109375" bestFit="1" customWidth="1"/>
    <col min="7127" max="7127" width="19.28515625" bestFit="1" customWidth="1"/>
    <col min="7128" max="7128" width="28.140625" bestFit="1" customWidth="1"/>
    <col min="7129" max="7129" width="31.28515625" bestFit="1" customWidth="1"/>
    <col min="7130" max="7130" width="26.42578125" customWidth="1"/>
    <col min="7131" max="7131" width="15.28515625" customWidth="1"/>
    <col min="7132" max="7132" width="17.85546875" customWidth="1"/>
    <col min="7133" max="7133" width="36.28515625" bestFit="1" customWidth="1"/>
    <col min="7134" max="7134" width="24.42578125" bestFit="1" customWidth="1"/>
    <col min="7135" max="7135" width="11.42578125" bestFit="1" customWidth="1"/>
    <col min="7136" max="7136" width="10.140625" bestFit="1" customWidth="1"/>
    <col min="7137" max="7137" width="28.7109375" bestFit="1" customWidth="1"/>
    <col min="7138" max="7138" width="28.42578125" bestFit="1" customWidth="1"/>
    <col min="7139" max="7139" width="34.28515625" bestFit="1" customWidth="1"/>
    <col min="7140" max="7140" width="13.7109375" bestFit="1" customWidth="1"/>
    <col min="7141" max="7141" width="22.7109375" bestFit="1" customWidth="1"/>
    <col min="7142" max="7142" width="41.28515625" bestFit="1" customWidth="1"/>
    <col min="7143" max="7143" width="19.85546875" bestFit="1" customWidth="1"/>
    <col min="7144" max="7144" width="24.28515625" bestFit="1" customWidth="1"/>
    <col min="7145" max="7145" width="62.140625" bestFit="1" customWidth="1"/>
    <col min="7146" max="7146" width="23.85546875" bestFit="1" customWidth="1"/>
    <col min="7147" max="7147" width="32.85546875" bestFit="1" customWidth="1"/>
    <col min="7148" max="7148" width="30.42578125" bestFit="1" customWidth="1"/>
    <col min="7149" max="7149" width="12.28515625" bestFit="1" customWidth="1"/>
    <col min="7150" max="7150" width="14.42578125" bestFit="1" customWidth="1"/>
    <col min="7151" max="7151" width="18.85546875" customWidth="1"/>
    <col min="7371" max="7371" width="11" bestFit="1" customWidth="1"/>
    <col min="7372" max="7372" width="18.42578125" bestFit="1" customWidth="1"/>
    <col min="7373" max="7373" width="22.28515625" bestFit="1" customWidth="1"/>
    <col min="7374" max="7374" width="52.7109375" bestFit="1" customWidth="1"/>
    <col min="7375" max="7375" width="11.42578125" bestFit="1" customWidth="1"/>
    <col min="7376" max="7376" width="20.140625" bestFit="1" customWidth="1"/>
    <col min="7377" max="7377" width="25.85546875" bestFit="1" customWidth="1"/>
    <col min="7378" max="7378" width="23.85546875" bestFit="1" customWidth="1"/>
    <col min="7379" max="7379" width="22.42578125" customWidth="1"/>
    <col min="7380" max="7380" width="10.85546875" bestFit="1" customWidth="1"/>
    <col min="7381" max="7381" width="8.42578125" bestFit="1" customWidth="1"/>
    <col min="7382" max="7382" width="15.7109375" bestFit="1" customWidth="1"/>
    <col min="7383" max="7383" width="19.28515625" bestFit="1" customWidth="1"/>
    <col min="7384" max="7384" width="28.140625" bestFit="1" customWidth="1"/>
    <col min="7385" max="7385" width="31.28515625" bestFit="1" customWidth="1"/>
    <col min="7386" max="7386" width="26.42578125" customWidth="1"/>
    <col min="7387" max="7387" width="15.28515625" customWidth="1"/>
    <col min="7388" max="7388" width="17.85546875" customWidth="1"/>
    <col min="7389" max="7389" width="36.28515625" bestFit="1" customWidth="1"/>
    <col min="7390" max="7390" width="24.42578125" bestFit="1" customWidth="1"/>
    <col min="7391" max="7391" width="11.42578125" bestFit="1" customWidth="1"/>
    <col min="7392" max="7392" width="10.140625" bestFit="1" customWidth="1"/>
    <col min="7393" max="7393" width="28.7109375" bestFit="1" customWidth="1"/>
    <col min="7394" max="7394" width="28.42578125" bestFit="1" customWidth="1"/>
    <col min="7395" max="7395" width="34.28515625" bestFit="1" customWidth="1"/>
    <col min="7396" max="7396" width="13.7109375" bestFit="1" customWidth="1"/>
    <col min="7397" max="7397" width="22.7109375" bestFit="1" customWidth="1"/>
    <col min="7398" max="7398" width="41.28515625" bestFit="1" customWidth="1"/>
    <col min="7399" max="7399" width="19.85546875" bestFit="1" customWidth="1"/>
    <col min="7400" max="7400" width="24.28515625" bestFit="1" customWidth="1"/>
    <col min="7401" max="7401" width="62.140625" bestFit="1" customWidth="1"/>
    <col min="7402" max="7402" width="23.85546875" bestFit="1" customWidth="1"/>
    <col min="7403" max="7403" width="32.85546875" bestFit="1" customWidth="1"/>
    <col min="7404" max="7404" width="30.42578125" bestFit="1" customWidth="1"/>
    <col min="7405" max="7405" width="12.28515625" bestFit="1" customWidth="1"/>
    <col min="7406" max="7406" width="14.42578125" bestFit="1" customWidth="1"/>
    <col min="7407" max="7407" width="18.85546875" customWidth="1"/>
    <col min="7627" max="7627" width="11" bestFit="1" customWidth="1"/>
    <col min="7628" max="7628" width="18.42578125" bestFit="1" customWidth="1"/>
    <col min="7629" max="7629" width="22.28515625" bestFit="1" customWidth="1"/>
    <col min="7630" max="7630" width="52.7109375" bestFit="1" customWidth="1"/>
    <col min="7631" max="7631" width="11.42578125" bestFit="1" customWidth="1"/>
    <col min="7632" max="7632" width="20.140625" bestFit="1" customWidth="1"/>
    <col min="7633" max="7633" width="25.85546875" bestFit="1" customWidth="1"/>
    <col min="7634" max="7634" width="23.85546875" bestFit="1" customWidth="1"/>
    <col min="7635" max="7635" width="22.42578125" customWidth="1"/>
    <col min="7636" max="7636" width="10.85546875" bestFit="1" customWidth="1"/>
    <col min="7637" max="7637" width="8.42578125" bestFit="1" customWidth="1"/>
    <col min="7638" max="7638" width="15.7109375" bestFit="1" customWidth="1"/>
    <col min="7639" max="7639" width="19.28515625" bestFit="1" customWidth="1"/>
    <col min="7640" max="7640" width="28.140625" bestFit="1" customWidth="1"/>
    <col min="7641" max="7641" width="31.28515625" bestFit="1" customWidth="1"/>
    <col min="7642" max="7642" width="26.42578125" customWidth="1"/>
    <col min="7643" max="7643" width="15.28515625" customWidth="1"/>
    <col min="7644" max="7644" width="17.85546875" customWidth="1"/>
    <col min="7645" max="7645" width="36.28515625" bestFit="1" customWidth="1"/>
    <col min="7646" max="7646" width="24.42578125" bestFit="1" customWidth="1"/>
    <col min="7647" max="7647" width="11.42578125" bestFit="1" customWidth="1"/>
    <col min="7648" max="7648" width="10.140625" bestFit="1" customWidth="1"/>
    <col min="7649" max="7649" width="28.7109375" bestFit="1" customWidth="1"/>
    <col min="7650" max="7650" width="28.42578125" bestFit="1" customWidth="1"/>
    <col min="7651" max="7651" width="34.28515625" bestFit="1" customWidth="1"/>
    <col min="7652" max="7652" width="13.7109375" bestFit="1" customWidth="1"/>
    <col min="7653" max="7653" width="22.7109375" bestFit="1" customWidth="1"/>
    <col min="7654" max="7654" width="41.28515625" bestFit="1" customWidth="1"/>
    <col min="7655" max="7655" width="19.85546875" bestFit="1" customWidth="1"/>
    <col min="7656" max="7656" width="24.28515625" bestFit="1" customWidth="1"/>
    <col min="7657" max="7657" width="62.140625" bestFit="1" customWidth="1"/>
    <col min="7658" max="7658" width="23.85546875" bestFit="1" customWidth="1"/>
    <col min="7659" max="7659" width="32.85546875" bestFit="1" customWidth="1"/>
    <col min="7660" max="7660" width="30.42578125" bestFit="1" customWidth="1"/>
    <col min="7661" max="7661" width="12.28515625" bestFit="1" customWidth="1"/>
    <col min="7662" max="7662" width="14.42578125" bestFit="1" customWidth="1"/>
    <col min="7663" max="7663" width="18.85546875" customWidth="1"/>
    <col min="7883" max="7883" width="11" bestFit="1" customWidth="1"/>
    <col min="7884" max="7884" width="18.42578125" bestFit="1" customWidth="1"/>
    <col min="7885" max="7885" width="22.28515625" bestFit="1" customWidth="1"/>
    <col min="7886" max="7886" width="52.7109375" bestFit="1" customWidth="1"/>
    <col min="7887" max="7887" width="11.42578125" bestFit="1" customWidth="1"/>
    <col min="7888" max="7888" width="20.140625" bestFit="1" customWidth="1"/>
    <col min="7889" max="7889" width="25.85546875" bestFit="1" customWidth="1"/>
    <col min="7890" max="7890" width="23.85546875" bestFit="1" customWidth="1"/>
    <col min="7891" max="7891" width="22.42578125" customWidth="1"/>
    <col min="7892" max="7892" width="10.85546875" bestFit="1" customWidth="1"/>
    <col min="7893" max="7893" width="8.42578125" bestFit="1" customWidth="1"/>
    <col min="7894" max="7894" width="15.7109375" bestFit="1" customWidth="1"/>
    <col min="7895" max="7895" width="19.28515625" bestFit="1" customWidth="1"/>
    <col min="7896" max="7896" width="28.140625" bestFit="1" customWidth="1"/>
    <col min="7897" max="7897" width="31.28515625" bestFit="1" customWidth="1"/>
    <col min="7898" max="7898" width="26.42578125" customWidth="1"/>
    <col min="7899" max="7899" width="15.28515625" customWidth="1"/>
    <col min="7900" max="7900" width="17.85546875" customWidth="1"/>
    <col min="7901" max="7901" width="36.28515625" bestFit="1" customWidth="1"/>
    <col min="7902" max="7902" width="24.42578125" bestFit="1" customWidth="1"/>
    <col min="7903" max="7903" width="11.42578125" bestFit="1" customWidth="1"/>
    <col min="7904" max="7904" width="10.140625" bestFit="1" customWidth="1"/>
    <col min="7905" max="7905" width="28.7109375" bestFit="1" customWidth="1"/>
    <col min="7906" max="7906" width="28.42578125" bestFit="1" customWidth="1"/>
    <col min="7907" max="7907" width="34.28515625" bestFit="1" customWidth="1"/>
    <col min="7908" max="7908" width="13.7109375" bestFit="1" customWidth="1"/>
    <col min="7909" max="7909" width="22.7109375" bestFit="1" customWidth="1"/>
    <col min="7910" max="7910" width="41.28515625" bestFit="1" customWidth="1"/>
    <col min="7911" max="7911" width="19.85546875" bestFit="1" customWidth="1"/>
    <col min="7912" max="7912" width="24.28515625" bestFit="1" customWidth="1"/>
    <col min="7913" max="7913" width="62.140625" bestFit="1" customWidth="1"/>
    <col min="7914" max="7914" width="23.85546875" bestFit="1" customWidth="1"/>
    <col min="7915" max="7915" width="32.85546875" bestFit="1" customWidth="1"/>
    <col min="7916" max="7916" width="30.42578125" bestFit="1" customWidth="1"/>
    <col min="7917" max="7917" width="12.28515625" bestFit="1" customWidth="1"/>
    <col min="7918" max="7918" width="14.42578125" bestFit="1" customWidth="1"/>
    <col min="7919" max="7919" width="18.85546875" customWidth="1"/>
    <col min="8139" max="8139" width="11" bestFit="1" customWidth="1"/>
    <col min="8140" max="8140" width="18.42578125" bestFit="1" customWidth="1"/>
    <col min="8141" max="8141" width="22.28515625" bestFit="1" customWidth="1"/>
    <col min="8142" max="8142" width="52.7109375" bestFit="1" customWidth="1"/>
    <col min="8143" max="8143" width="11.42578125" bestFit="1" customWidth="1"/>
    <col min="8144" max="8144" width="20.140625" bestFit="1" customWidth="1"/>
    <col min="8145" max="8145" width="25.85546875" bestFit="1" customWidth="1"/>
    <col min="8146" max="8146" width="23.85546875" bestFit="1" customWidth="1"/>
    <col min="8147" max="8147" width="22.42578125" customWidth="1"/>
    <col min="8148" max="8148" width="10.85546875" bestFit="1" customWidth="1"/>
    <col min="8149" max="8149" width="8.42578125" bestFit="1" customWidth="1"/>
    <col min="8150" max="8150" width="15.7109375" bestFit="1" customWidth="1"/>
    <col min="8151" max="8151" width="19.28515625" bestFit="1" customWidth="1"/>
    <col min="8152" max="8152" width="28.140625" bestFit="1" customWidth="1"/>
    <col min="8153" max="8153" width="31.28515625" bestFit="1" customWidth="1"/>
    <col min="8154" max="8154" width="26.42578125" customWidth="1"/>
    <col min="8155" max="8155" width="15.28515625" customWidth="1"/>
    <col min="8156" max="8156" width="17.85546875" customWidth="1"/>
    <col min="8157" max="8157" width="36.28515625" bestFit="1" customWidth="1"/>
    <col min="8158" max="8158" width="24.42578125" bestFit="1" customWidth="1"/>
    <col min="8159" max="8159" width="11.42578125" bestFit="1" customWidth="1"/>
    <col min="8160" max="8160" width="10.140625" bestFit="1" customWidth="1"/>
    <col min="8161" max="8161" width="28.7109375" bestFit="1" customWidth="1"/>
    <col min="8162" max="8162" width="28.42578125" bestFit="1" customWidth="1"/>
    <col min="8163" max="8163" width="34.28515625" bestFit="1" customWidth="1"/>
    <col min="8164" max="8164" width="13.7109375" bestFit="1" customWidth="1"/>
    <col min="8165" max="8165" width="22.7109375" bestFit="1" customWidth="1"/>
    <col min="8166" max="8166" width="41.28515625" bestFit="1" customWidth="1"/>
    <col min="8167" max="8167" width="19.85546875" bestFit="1" customWidth="1"/>
    <col min="8168" max="8168" width="24.28515625" bestFit="1" customWidth="1"/>
    <col min="8169" max="8169" width="62.140625" bestFit="1" customWidth="1"/>
    <col min="8170" max="8170" width="23.85546875" bestFit="1" customWidth="1"/>
    <col min="8171" max="8171" width="32.85546875" bestFit="1" customWidth="1"/>
    <col min="8172" max="8172" width="30.42578125" bestFit="1" customWidth="1"/>
    <col min="8173" max="8173" width="12.28515625" bestFit="1" customWidth="1"/>
    <col min="8174" max="8174" width="14.42578125" bestFit="1" customWidth="1"/>
    <col min="8175" max="8175" width="18.85546875" customWidth="1"/>
    <col min="8395" max="8395" width="11" bestFit="1" customWidth="1"/>
    <col min="8396" max="8396" width="18.42578125" bestFit="1" customWidth="1"/>
    <col min="8397" max="8397" width="22.28515625" bestFit="1" customWidth="1"/>
    <col min="8398" max="8398" width="52.7109375" bestFit="1" customWidth="1"/>
    <col min="8399" max="8399" width="11.42578125" bestFit="1" customWidth="1"/>
    <col min="8400" max="8400" width="20.140625" bestFit="1" customWidth="1"/>
    <col min="8401" max="8401" width="25.85546875" bestFit="1" customWidth="1"/>
    <col min="8402" max="8402" width="23.85546875" bestFit="1" customWidth="1"/>
    <col min="8403" max="8403" width="22.42578125" customWidth="1"/>
    <col min="8404" max="8404" width="10.85546875" bestFit="1" customWidth="1"/>
    <col min="8405" max="8405" width="8.42578125" bestFit="1" customWidth="1"/>
    <col min="8406" max="8406" width="15.7109375" bestFit="1" customWidth="1"/>
    <col min="8407" max="8407" width="19.28515625" bestFit="1" customWidth="1"/>
    <col min="8408" max="8408" width="28.140625" bestFit="1" customWidth="1"/>
    <col min="8409" max="8409" width="31.28515625" bestFit="1" customWidth="1"/>
    <col min="8410" max="8410" width="26.42578125" customWidth="1"/>
    <col min="8411" max="8411" width="15.28515625" customWidth="1"/>
    <col min="8412" max="8412" width="17.85546875" customWidth="1"/>
    <col min="8413" max="8413" width="36.28515625" bestFit="1" customWidth="1"/>
    <col min="8414" max="8414" width="24.42578125" bestFit="1" customWidth="1"/>
    <col min="8415" max="8415" width="11.42578125" bestFit="1" customWidth="1"/>
    <col min="8416" max="8416" width="10.140625" bestFit="1" customWidth="1"/>
    <col min="8417" max="8417" width="28.7109375" bestFit="1" customWidth="1"/>
    <col min="8418" max="8418" width="28.42578125" bestFit="1" customWidth="1"/>
    <col min="8419" max="8419" width="34.28515625" bestFit="1" customWidth="1"/>
    <col min="8420" max="8420" width="13.7109375" bestFit="1" customWidth="1"/>
    <col min="8421" max="8421" width="22.7109375" bestFit="1" customWidth="1"/>
    <col min="8422" max="8422" width="41.28515625" bestFit="1" customWidth="1"/>
    <col min="8423" max="8423" width="19.85546875" bestFit="1" customWidth="1"/>
    <col min="8424" max="8424" width="24.28515625" bestFit="1" customWidth="1"/>
    <col min="8425" max="8425" width="62.140625" bestFit="1" customWidth="1"/>
    <col min="8426" max="8426" width="23.85546875" bestFit="1" customWidth="1"/>
    <col min="8427" max="8427" width="32.85546875" bestFit="1" customWidth="1"/>
    <col min="8428" max="8428" width="30.42578125" bestFit="1" customWidth="1"/>
    <col min="8429" max="8429" width="12.28515625" bestFit="1" customWidth="1"/>
    <col min="8430" max="8430" width="14.42578125" bestFit="1" customWidth="1"/>
    <col min="8431" max="8431" width="18.85546875" customWidth="1"/>
    <col min="8651" max="8651" width="11" bestFit="1" customWidth="1"/>
    <col min="8652" max="8652" width="18.42578125" bestFit="1" customWidth="1"/>
    <col min="8653" max="8653" width="22.28515625" bestFit="1" customWidth="1"/>
    <col min="8654" max="8654" width="52.7109375" bestFit="1" customWidth="1"/>
    <col min="8655" max="8655" width="11.42578125" bestFit="1" customWidth="1"/>
    <col min="8656" max="8656" width="20.140625" bestFit="1" customWidth="1"/>
    <col min="8657" max="8657" width="25.85546875" bestFit="1" customWidth="1"/>
    <col min="8658" max="8658" width="23.85546875" bestFit="1" customWidth="1"/>
    <col min="8659" max="8659" width="22.42578125" customWidth="1"/>
    <col min="8660" max="8660" width="10.85546875" bestFit="1" customWidth="1"/>
    <col min="8661" max="8661" width="8.42578125" bestFit="1" customWidth="1"/>
    <col min="8662" max="8662" width="15.7109375" bestFit="1" customWidth="1"/>
    <col min="8663" max="8663" width="19.28515625" bestFit="1" customWidth="1"/>
    <col min="8664" max="8664" width="28.140625" bestFit="1" customWidth="1"/>
    <col min="8665" max="8665" width="31.28515625" bestFit="1" customWidth="1"/>
    <col min="8666" max="8666" width="26.42578125" customWidth="1"/>
    <col min="8667" max="8667" width="15.28515625" customWidth="1"/>
    <col min="8668" max="8668" width="17.85546875" customWidth="1"/>
    <col min="8669" max="8669" width="36.28515625" bestFit="1" customWidth="1"/>
    <col min="8670" max="8670" width="24.42578125" bestFit="1" customWidth="1"/>
    <col min="8671" max="8671" width="11.42578125" bestFit="1" customWidth="1"/>
    <col min="8672" max="8672" width="10.140625" bestFit="1" customWidth="1"/>
    <col min="8673" max="8673" width="28.7109375" bestFit="1" customWidth="1"/>
    <col min="8674" max="8674" width="28.42578125" bestFit="1" customWidth="1"/>
    <col min="8675" max="8675" width="34.28515625" bestFit="1" customWidth="1"/>
    <col min="8676" max="8676" width="13.7109375" bestFit="1" customWidth="1"/>
    <col min="8677" max="8677" width="22.7109375" bestFit="1" customWidth="1"/>
    <col min="8678" max="8678" width="41.28515625" bestFit="1" customWidth="1"/>
    <col min="8679" max="8679" width="19.85546875" bestFit="1" customWidth="1"/>
    <col min="8680" max="8680" width="24.28515625" bestFit="1" customWidth="1"/>
    <col min="8681" max="8681" width="62.140625" bestFit="1" customWidth="1"/>
    <col min="8682" max="8682" width="23.85546875" bestFit="1" customWidth="1"/>
    <col min="8683" max="8683" width="32.85546875" bestFit="1" customWidth="1"/>
    <col min="8684" max="8684" width="30.42578125" bestFit="1" customWidth="1"/>
    <col min="8685" max="8685" width="12.28515625" bestFit="1" customWidth="1"/>
    <col min="8686" max="8686" width="14.42578125" bestFit="1" customWidth="1"/>
    <col min="8687" max="8687" width="18.85546875" customWidth="1"/>
    <col min="8907" max="8907" width="11" bestFit="1" customWidth="1"/>
    <col min="8908" max="8908" width="18.42578125" bestFit="1" customWidth="1"/>
    <col min="8909" max="8909" width="22.28515625" bestFit="1" customWidth="1"/>
    <col min="8910" max="8910" width="52.7109375" bestFit="1" customWidth="1"/>
    <col min="8911" max="8911" width="11.42578125" bestFit="1" customWidth="1"/>
    <col min="8912" max="8912" width="20.140625" bestFit="1" customWidth="1"/>
    <col min="8913" max="8913" width="25.85546875" bestFit="1" customWidth="1"/>
    <col min="8914" max="8914" width="23.85546875" bestFit="1" customWidth="1"/>
    <col min="8915" max="8915" width="22.42578125" customWidth="1"/>
    <col min="8916" max="8916" width="10.85546875" bestFit="1" customWidth="1"/>
    <col min="8917" max="8917" width="8.42578125" bestFit="1" customWidth="1"/>
    <col min="8918" max="8918" width="15.7109375" bestFit="1" customWidth="1"/>
    <col min="8919" max="8919" width="19.28515625" bestFit="1" customWidth="1"/>
    <col min="8920" max="8920" width="28.140625" bestFit="1" customWidth="1"/>
    <col min="8921" max="8921" width="31.28515625" bestFit="1" customWidth="1"/>
    <col min="8922" max="8922" width="26.42578125" customWidth="1"/>
    <col min="8923" max="8923" width="15.28515625" customWidth="1"/>
    <col min="8924" max="8924" width="17.85546875" customWidth="1"/>
    <col min="8925" max="8925" width="36.28515625" bestFit="1" customWidth="1"/>
    <col min="8926" max="8926" width="24.42578125" bestFit="1" customWidth="1"/>
    <col min="8927" max="8927" width="11.42578125" bestFit="1" customWidth="1"/>
    <col min="8928" max="8928" width="10.140625" bestFit="1" customWidth="1"/>
    <col min="8929" max="8929" width="28.7109375" bestFit="1" customWidth="1"/>
    <col min="8930" max="8930" width="28.42578125" bestFit="1" customWidth="1"/>
    <col min="8931" max="8931" width="34.28515625" bestFit="1" customWidth="1"/>
    <col min="8932" max="8932" width="13.7109375" bestFit="1" customWidth="1"/>
    <col min="8933" max="8933" width="22.7109375" bestFit="1" customWidth="1"/>
    <col min="8934" max="8934" width="41.28515625" bestFit="1" customWidth="1"/>
    <col min="8935" max="8935" width="19.85546875" bestFit="1" customWidth="1"/>
    <col min="8936" max="8936" width="24.28515625" bestFit="1" customWidth="1"/>
    <col min="8937" max="8937" width="62.140625" bestFit="1" customWidth="1"/>
    <col min="8938" max="8938" width="23.85546875" bestFit="1" customWidth="1"/>
    <col min="8939" max="8939" width="32.85546875" bestFit="1" customWidth="1"/>
    <col min="8940" max="8940" width="30.42578125" bestFit="1" customWidth="1"/>
    <col min="8941" max="8941" width="12.28515625" bestFit="1" customWidth="1"/>
    <col min="8942" max="8942" width="14.42578125" bestFit="1" customWidth="1"/>
    <col min="8943" max="8943" width="18.85546875" customWidth="1"/>
    <col min="9163" max="9163" width="11" bestFit="1" customWidth="1"/>
    <col min="9164" max="9164" width="18.42578125" bestFit="1" customWidth="1"/>
    <col min="9165" max="9165" width="22.28515625" bestFit="1" customWidth="1"/>
    <col min="9166" max="9166" width="52.7109375" bestFit="1" customWidth="1"/>
    <col min="9167" max="9167" width="11.42578125" bestFit="1" customWidth="1"/>
    <col min="9168" max="9168" width="20.140625" bestFit="1" customWidth="1"/>
    <col min="9169" max="9169" width="25.85546875" bestFit="1" customWidth="1"/>
    <col min="9170" max="9170" width="23.85546875" bestFit="1" customWidth="1"/>
    <col min="9171" max="9171" width="22.42578125" customWidth="1"/>
    <col min="9172" max="9172" width="10.85546875" bestFit="1" customWidth="1"/>
    <col min="9173" max="9173" width="8.42578125" bestFit="1" customWidth="1"/>
    <col min="9174" max="9174" width="15.7109375" bestFit="1" customWidth="1"/>
    <col min="9175" max="9175" width="19.28515625" bestFit="1" customWidth="1"/>
    <col min="9176" max="9176" width="28.140625" bestFit="1" customWidth="1"/>
    <col min="9177" max="9177" width="31.28515625" bestFit="1" customWidth="1"/>
    <col min="9178" max="9178" width="26.42578125" customWidth="1"/>
    <col min="9179" max="9179" width="15.28515625" customWidth="1"/>
    <col min="9180" max="9180" width="17.85546875" customWidth="1"/>
    <col min="9181" max="9181" width="36.28515625" bestFit="1" customWidth="1"/>
    <col min="9182" max="9182" width="24.42578125" bestFit="1" customWidth="1"/>
    <col min="9183" max="9183" width="11.42578125" bestFit="1" customWidth="1"/>
    <col min="9184" max="9184" width="10.140625" bestFit="1" customWidth="1"/>
    <col min="9185" max="9185" width="28.7109375" bestFit="1" customWidth="1"/>
    <col min="9186" max="9186" width="28.42578125" bestFit="1" customWidth="1"/>
    <col min="9187" max="9187" width="34.28515625" bestFit="1" customWidth="1"/>
    <col min="9188" max="9188" width="13.7109375" bestFit="1" customWidth="1"/>
    <col min="9189" max="9189" width="22.7109375" bestFit="1" customWidth="1"/>
    <col min="9190" max="9190" width="41.28515625" bestFit="1" customWidth="1"/>
    <col min="9191" max="9191" width="19.85546875" bestFit="1" customWidth="1"/>
    <col min="9192" max="9192" width="24.28515625" bestFit="1" customWidth="1"/>
    <col min="9193" max="9193" width="62.140625" bestFit="1" customWidth="1"/>
    <col min="9194" max="9194" width="23.85546875" bestFit="1" customWidth="1"/>
    <col min="9195" max="9195" width="32.85546875" bestFit="1" customWidth="1"/>
    <col min="9196" max="9196" width="30.42578125" bestFit="1" customWidth="1"/>
    <col min="9197" max="9197" width="12.28515625" bestFit="1" customWidth="1"/>
    <col min="9198" max="9198" width="14.42578125" bestFit="1" customWidth="1"/>
    <col min="9199" max="9199" width="18.85546875" customWidth="1"/>
    <col min="9419" max="9419" width="11" bestFit="1" customWidth="1"/>
    <col min="9420" max="9420" width="18.42578125" bestFit="1" customWidth="1"/>
    <col min="9421" max="9421" width="22.28515625" bestFit="1" customWidth="1"/>
    <col min="9422" max="9422" width="52.7109375" bestFit="1" customWidth="1"/>
    <col min="9423" max="9423" width="11.42578125" bestFit="1" customWidth="1"/>
    <col min="9424" max="9424" width="20.140625" bestFit="1" customWidth="1"/>
    <col min="9425" max="9425" width="25.85546875" bestFit="1" customWidth="1"/>
    <col min="9426" max="9426" width="23.85546875" bestFit="1" customWidth="1"/>
    <col min="9427" max="9427" width="22.42578125" customWidth="1"/>
    <col min="9428" max="9428" width="10.85546875" bestFit="1" customWidth="1"/>
    <col min="9429" max="9429" width="8.42578125" bestFit="1" customWidth="1"/>
    <col min="9430" max="9430" width="15.7109375" bestFit="1" customWidth="1"/>
    <col min="9431" max="9431" width="19.28515625" bestFit="1" customWidth="1"/>
    <col min="9432" max="9432" width="28.140625" bestFit="1" customWidth="1"/>
    <col min="9433" max="9433" width="31.28515625" bestFit="1" customWidth="1"/>
    <col min="9434" max="9434" width="26.42578125" customWidth="1"/>
    <col min="9435" max="9435" width="15.28515625" customWidth="1"/>
    <col min="9436" max="9436" width="17.85546875" customWidth="1"/>
    <col min="9437" max="9437" width="36.28515625" bestFit="1" customWidth="1"/>
    <col min="9438" max="9438" width="24.42578125" bestFit="1" customWidth="1"/>
    <col min="9439" max="9439" width="11.42578125" bestFit="1" customWidth="1"/>
    <col min="9440" max="9440" width="10.140625" bestFit="1" customWidth="1"/>
    <col min="9441" max="9441" width="28.7109375" bestFit="1" customWidth="1"/>
    <col min="9442" max="9442" width="28.42578125" bestFit="1" customWidth="1"/>
    <col min="9443" max="9443" width="34.28515625" bestFit="1" customWidth="1"/>
    <col min="9444" max="9444" width="13.7109375" bestFit="1" customWidth="1"/>
    <col min="9445" max="9445" width="22.7109375" bestFit="1" customWidth="1"/>
    <col min="9446" max="9446" width="41.28515625" bestFit="1" customWidth="1"/>
    <col min="9447" max="9447" width="19.85546875" bestFit="1" customWidth="1"/>
    <col min="9448" max="9448" width="24.28515625" bestFit="1" customWidth="1"/>
    <col min="9449" max="9449" width="62.140625" bestFit="1" customWidth="1"/>
    <col min="9450" max="9450" width="23.85546875" bestFit="1" customWidth="1"/>
    <col min="9451" max="9451" width="32.85546875" bestFit="1" customWidth="1"/>
    <col min="9452" max="9452" width="30.42578125" bestFit="1" customWidth="1"/>
    <col min="9453" max="9453" width="12.28515625" bestFit="1" customWidth="1"/>
    <col min="9454" max="9454" width="14.42578125" bestFit="1" customWidth="1"/>
    <col min="9455" max="9455" width="18.85546875" customWidth="1"/>
    <col min="9675" max="9675" width="11" bestFit="1" customWidth="1"/>
    <col min="9676" max="9676" width="18.42578125" bestFit="1" customWidth="1"/>
    <col min="9677" max="9677" width="22.28515625" bestFit="1" customWidth="1"/>
    <col min="9678" max="9678" width="52.7109375" bestFit="1" customWidth="1"/>
    <col min="9679" max="9679" width="11.42578125" bestFit="1" customWidth="1"/>
    <col min="9680" max="9680" width="20.140625" bestFit="1" customWidth="1"/>
    <col min="9681" max="9681" width="25.85546875" bestFit="1" customWidth="1"/>
    <col min="9682" max="9682" width="23.85546875" bestFit="1" customWidth="1"/>
    <col min="9683" max="9683" width="22.42578125" customWidth="1"/>
    <col min="9684" max="9684" width="10.85546875" bestFit="1" customWidth="1"/>
    <col min="9685" max="9685" width="8.42578125" bestFit="1" customWidth="1"/>
    <col min="9686" max="9686" width="15.7109375" bestFit="1" customWidth="1"/>
    <col min="9687" max="9687" width="19.28515625" bestFit="1" customWidth="1"/>
    <col min="9688" max="9688" width="28.140625" bestFit="1" customWidth="1"/>
    <col min="9689" max="9689" width="31.28515625" bestFit="1" customWidth="1"/>
    <col min="9690" max="9690" width="26.42578125" customWidth="1"/>
    <col min="9691" max="9691" width="15.28515625" customWidth="1"/>
    <col min="9692" max="9692" width="17.85546875" customWidth="1"/>
    <col min="9693" max="9693" width="36.28515625" bestFit="1" customWidth="1"/>
    <col min="9694" max="9694" width="24.42578125" bestFit="1" customWidth="1"/>
    <col min="9695" max="9695" width="11.42578125" bestFit="1" customWidth="1"/>
    <col min="9696" max="9696" width="10.140625" bestFit="1" customWidth="1"/>
    <col min="9697" max="9697" width="28.7109375" bestFit="1" customWidth="1"/>
    <col min="9698" max="9698" width="28.42578125" bestFit="1" customWidth="1"/>
    <col min="9699" max="9699" width="34.28515625" bestFit="1" customWidth="1"/>
    <col min="9700" max="9700" width="13.7109375" bestFit="1" customWidth="1"/>
    <col min="9701" max="9701" width="22.7109375" bestFit="1" customWidth="1"/>
    <col min="9702" max="9702" width="41.28515625" bestFit="1" customWidth="1"/>
    <col min="9703" max="9703" width="19.85546875" bestFit="1" customWidth="1"/>
    <col min="9704" max="9704" width="24.28515625" bestFit="1" customWidth="1"/>
    <col min="9705" max="9705" width="62.140625" bestFit="1" customWidth="1"/>
    <col min="9706" max="9706" width="23.85546875" bestFit="1" customWidth="1"/>
    <col min="9707" max="9707" width="32.85546875" bestFit="1" customWidth="1"/>
    <col min="9708" max="9708" width="30.42578125" bestFit="1" customWidth="1"/>
    <col min="9709" max="9709" width="12.28515625" bestFit="1" customWidth="1"/>
    <col min="9710" max="9710" width="14.42578125" bestFit="1" customWidth="1"/>
    <col min="9711" max="9711" width="18.85546875" customWidth="1"/>
    <col min="9931" max="9931" width="11" bestFit="1" customWidth="1"/>
    <col min="9932" max="9932" width="18.42578125" bestFit="1" customWidth="1"/>
    <col min="9933" max="9933" width="22.28515625" bestFit="1" customWidth="1"/>
    <col min="9934" max="9934" width="52.7109375" bestFit="1" customWidth="1"/>
    <col min="9935" max="9935" width="11.42578125" bestFit="1" customWidth="1"/>
    <col min="9936" max="9936" width="20.140625" bestFit="1" customWidth="1"/>
    <col min="9937" max="9937" width="25.85546875" bestFit="1" customWidth="1"/>
    <col min="9938" max="9938" width="23.85546875" bestFit="1" customWidth="1"/>
    <col min="9939" max="9939" width="22.42578125" customWidth="1"/>
    <col min="9940" max="9940" width="10.85546875" bestFit="1" customWidth="1"/>
    <col min="9941" max="9941" width="8.42578125" bestFit="1" customWidth="1"/>
    <col min="9942" max="9942" width="15.7109375" bestFit="1" customWidth="1"/>
    <col min="9943" max="9943" width="19.28515625" bestFit="1" customWidth="1"/>
    <col min="9944" max="9944" width="28.140625" bestFit="1" customWidth="1"/>
    <col min="9945" max="9945" width="31.28515625" bestFit="1" customWidth="1"/>
    <col min="9946" max="9946" width="26.42578125" customWidth="1"/>
    <col min="9947" max="9947" width="15.28515625" customWidth="1"/>
    <col min="9948" max="9948" width="17.85546875" customWidth="1"/>
    <col min="9949" max="9949" width="36.28515625" bestFit="1" customWidth="1"/>
    <col min="9950" max="9950" width="24.42578125" bestFit="1" customWidth="1"/>
    <col min="9951" max="9951" width="11.42578125" bestFit="1" customWidth="1"/>
    <col min="9952" max="9952" width="10.140625" bestFit="1" customWidth="1"/>
    <col min="9953" max="9953" width="28.7109375" bestFit="1" customWidth="1"/>
    <col min="9954" max="9954" width="28.42578125" bestFit="1" customWidth="1"/>
    <col min="9955" max="9955" width="34.28515625" bestFit="1" customWidth="1"/>
    <col min="9956" max="9956" width="13.7109375" bestFit="1" customWidth="1"/>
    <col min="9957" max="9957" width="22.7109375" bestFit="1" customWidth="1"/>
    <col min="9958" max="9958" width="41.28515625" bestFit="1" customWidth="1"/>
    <col min="9959" max="9959" width="19.85546875" bestFit="1" customWidth="1"/>
    <col min="9960" max="9960" width="24.28515625" bestFit="1" customWidth="1"/>
    <col min="9961" max="9961" width="62.140625" bestFit="1" customWidth="1"/>
    <col min="9962" max="9962" width="23.85546875" bestFit="1" customWidth="1"/>
    <col min="9963" max="9963" width="32.85546875" bestFit="1" customWidth="1"/>
    <col min="9964" max="9964" width="30.42578125" bestFit="1" customWidth="1"/>
    <col min="9965" max="9965" width="12.28515625" bestFit="1" customWidth="1"/>
    <col min="9966" max="9966" width="14.42578125" bestFit="1" customWidth="1"/>
    <col min="9967" max="9967" width="18.85546875" customWidth="1"/>
    <col min="10187" max="10187" width="11" bestFit="1" customWidth="1"/>
    <col min="10188" max="10188" width="18.42578125" bestFit="1" customWidth="1"/>
    <col min="10189" max="10189" width="22.28515625" bestFit="1" customWidth="1"/>
    <col min="10190" max="10190" width="52.7109375" bestFit="1" customWidth="1"/>
    <col min="10191" max="10191" width="11.42578125" bestFit="1" customWidth="1"/>
    <col min="10192" max="10192" width="20.140625" bestFit="1" customWidth="1"/>
    <col min="10193" max="10193" width="25.85546875" bestFit="1" customWidth="1"/>
    <col min="10194" max="10194" width="23.85546875" bestFit="1" customWidth="1"/>
    <col min="10195" max="10195" width="22.42578125" customWidth="1"/>
    <col min="10196" max="10196" width="10.85546875" bestFit="1" customWidth="1"/>
    <col min="10197" max="10197" width="8.42578125" bestFit="1" customWidth="1"/>
    <col min="10198" max="10198" width="15.7109375" bestFit="1" customWidth="1"/>
    <col min="10199" max="10199" width="19.28515625" bestFit="1" customWidth="1"/>
    <col min="10200" max="10200" width="28.140625" bestFit="1" customWidth="1"/>
    <col min="10201" max="10201" width="31.28515625" bestFit="1" customWidth="1"/>
    <col min="10202" max="10202" width="26.42578125" customWidth="1"/>
    <col min="10203" max="10203" width="15.28515625" customWidth="1"/>
    <col min="10204" max="10204" width="17.85546875" customWidth="1"/>
    <col min="10205" max="10205" width="36.28515625" bestFit="1" customWidth="1"/>
    <col min="10206" max="10206" width="24.42578125" bestFit="1" customWidth="1"/>
    <col min="10207" max="10207" width="11.42578125" bestFit="1" customWidth="1"/>
    <col min="10208" max="10208" width="10.140625" bestFit="1" customWidth="1"/>
    <col min="10209" max="10209" width="28.7109375" bestFit="1" customWidth="1"/>
    <col min="10210" max="10210" width="28.42578125" bestFit="1" customWidth="1"/>
    <col min="10211" max="10211" width="34.28515625" bestFit="1" customWidth="1"/>
    <col min="10212" max="10212" width="13.7109375" bestFit="1" customWidth="1"/>
    <col min="10213" max="10213" width="22.7109375" bestFit="1" customWidth="1"/>
    <col min="10214" max="10214" width="41.28515625" bestFit="1" customWidth="1"/>
    <col min="10215" max="10215" width="19.85546875" bestFit="1" customWidth="1"/>
    <col min="10216" max="10216" width="24.28515625" bestFit="1" customWidth="1"/>
    <col min="10217" max="10217" width="62.140625" bestFit="1" customWidth="1"/>
    <col min="10218" max="10218" width="23.85546875" bestFit="1" customWidth="1"/>
    <col min="10219" max="10219" width="32.85546875" bestFit="1" customWidth="1"/>
    <col min="10220" max="10220" width="30.42578125" bestFit="1" customWidth="1"/>
    <col min="10221" max="10221" width="12.28515625" bestFit="1" customWidth="1"/>
    <col min="10222" max="10222" width="14.42578125" bestFit="1" customWidth="1"/>
    <col min="10223" max="10223" width="18.85546875" customWidth="1"/>
    <col min="10443" max="10443" width="11" bestFit="1" customWidth="1"/>
    <col min="10444" max="10444" width="18.42578125" bestFit="1" customWidth="1"/>
    <col min="10445" max="10445" width="22.28515625" bestFit="1" customWidth="1"/>
    <col min="10446" max="10446" width="52.7109375" bestFit="1" customWidth="1"/>
    <col min="10447" max="10447" width="11.42578125" bestFit="1" customWidth="1"/>
    <col min="10448" max="10448" width="20.140625" bestFit="1" customWidth="1"/>
    <col min="10449" max="10449" width="25.85546875" bestFit="1" customWidth="1"/>
    <col min="10450" max="10450" width="23.85546875" bestFit="1" customWidth="1"/>
    <col min="10451" max="10451" width="22.42578125" customWidth="1"/>
    <col min="10452" max="10452" width="10.85546875" bestFit="1" customWidth="1"/>
    <col min="10453" max="10453" width="8.42578125" bestFit="1" customWidth="1"/>
    <col min="10454" max="10454" width="15.7109375" bestFit="1" customWidth="1"/>
    <col min="10455" max="10455" width="19.28515625" bestFit="1" customWidth="1"/>
    <col min="10456" max="10456" width="28.140625" bestFit="1" customWidth="1"/>
    <col min="10457" max="10457" width="31.28515625" bestFit="1" customWidth="1"/>
    <col min="10458" max="10458" width="26.42578125" customWidth="1"/>
    <col min="10459" max="10459" width="15.28515625" customWidth="1"/>
    <col min="10460" max="10460" width="17.85546875" customWidth="1"/>
    <col min="10461" max="10461" width="36.28515625" bestFit="1" customWidth="1"/>
    <col min="10462" max="10462" width="24.42578125" bestFit="1" customWidth="1"/>
    <col min="10463" max="10463" width="11.42578125" bestFit="1" customWidth="1"/>
    <col min="10464" max="10464" width="10.140625" bestFit="1" customWidth="1"/>
    <col min="10465" max="10465" width="28.7109375" bestFit="1" customWidth="1"/>
    <col min="10466" max="10466" width="28.42578125" bestFit="1" customWidth="1"/>
    <col min="10467" max="10467" width="34.28515625" bestFit="1" customWidth="1"/>
    <col min="10468" max="10468" width="13.7109375" bestFit="1" customWidth="1"/>
    <col min="10469" max="10469" width="22.7109375" bestFit="1" customWidth="1"/>
    <col min="10470" max="10470" width="41.28515625" bestFit="1" customWidth="1"/>
    <col min="10471" max="10471" width="19.85546875" bestFit="1" customWidth="1"/>
    <col min="10472" max="10472" width="24.28515625" bestFit="1" customWidth="1"/>
    <col min="10473" max="10473" width="62.140625" bestFit="1" customWidth="1"/>
    <col min="10474" max="10474" width="23.85546875" bestFit="1" customWidth="1"/>
    <col min="10475" max="10475" width="32.85546875" bestFit="1" customWidth="1"/>
    <col min="10476" max="10476" width="30.42578125" bestFit="1" customWidth="1"/>
    <col min="10477" max="10477" width="12.28515625" bestFit="1" customWidth="1"/>
    <col min="10478" max="10478" width="14.42578125" bestFit="1" customWidth="1"/>
    <col min="10479" max="10479" width="18.85546875" customWidth="1"/>
    <col min="10699" max="10699" width="11" bestFit="1" customWidth="1"/>
    <col min="10700" max="10700" width="18.42578125" bestFit="1" customWidth="1"/>
    <col min="10701" max="10701" width="22.28515625" bestFit="1" customWidth="1"/>
    <col min="10702" max="10702" width="52.7109375" bestFit="1" customWidth="1"/>
    <col min="10703" max="10703" width="11.42578125" bestFit="1" customWidth="1"/>
    <col min="10704" max="10704" width="20.140625" bestFit="1" customWidth="1"/>
    <col min="10705" max="10705" width="25.85546875" bestFit="1" customWidth="1"/>
    <col min="10706" max="10706" width="23.85546875" bestFit="1" customWidth="1"/>
    <col min="10707" max="10707" width="22.42578125" customWidth="1"/>
    <col min="10708" max="10708" width="10.85546875" bestFit="1" customWidth="1"/>
    <col min="10709" max="10709" width="8.42578125" bestFit="1" customWidth="1"/>
    <col min="10710" max="10710" width="15.7109375" bestFit="1" customWidth="1"/>
    <col min="10711" max="10711" width="19.28515625" bestFit="1" customWidth="1"/>
    <col min="10712" max="10712" width="28.140625" bestFit="1" customWidth="1"/>
    <col min="10713" max="10713" width="31.28515625" bestFit="1" customWidth="1"/>
    <col min="10714" max="10714" width="26.42578125" customWidth="1"/>
    <col min="10715" max="10715" width="15.28515625" customWidth="1"/>
    <col min="10716" max="10716" width="17.85546875" customWidth="1"/>
    <col min="10717" max="10717" width="36.28515625" bestFit="1" customWidth="1"/>
    <col min="10718" max="10718" width="24.42578125" bestFit="1" customWidth="1"/>
    <col min="10719" max="10719" width="11.42578125" bestFit="1" customWidth="1"/>
    <col min="10720" max="10720" width="10.140625" bestFit="1" customWidth="1"/>
    <col min="10721" max="10721" width="28.7109375" bestFit="1" customWidth="1"/>
    <col min="10722" max="10722" width="28.42578125" bestFit="1" customWidth="1"/>
    <col min="10723" max="10723" width="34.28515625" bestFit="1" customWidth="1"/>
    <col min="10724" max="10724" width="13.7109375" bestFit="1" customWidth="1"/>
    <col min="10725" max="10725" width="22.7109375" bestFit="1" customWidth="1"/>
    <col min="10726" max="10726" width="41.28515625" bestFit="1" customWidth="1"/>
    <col min="10727" max="10727" width="19.85546875" bestFit="1" customWidth="1"/>
    <col min="10728" max="10728" width="24.28515625" bestFit="1" customWidth="1"/>
    <col min="10729" max="10729" width="62.140625" bestFit="1" customWidth="1"/>
    <col min="10730" max="10730" width="23.85546875" bestFit="1" customWidth="1"/>
    <col min="10731" max="10731" width="32.85546875" bestFit="1" customWidth="1"/>
    <col min="10732" max="10732" width="30.42578125" bestFit="1" customWidth="1"/>
    <col min="10733" max="10733" width="12.28515625" bestFit="1" customWidth="1"/>
    <col min="10734" max="10734" width="14.42578125" bestFit="1" customWidth="1"/>
    <col min="10735" max="10735" width="18.85546875" customWidth="1"/>
    <col min="10955" max="10955" width="11" bestFit="1" customWidth="1"/>
    <col min="10956" max="10956" width="18.42578125" bestFit="1" customWidth="1"/>
    <col min="10957" max="10957" width="22.28515625" bestFit="1" customWidth="1"/>
    <col min="10958" max="10958" width="52.7109375" bestFit="1" customWidth="1"/>
    <col min="10959" max="10959" width="11.42578125" bestFit="1" customWidth="1"/>
    <col min="10960" max="10960" width="20.140625" bestFit="1" customWidth="1"/>
    <col min="10961" max="10961" width="25.85546875" bestFit="1" customWidth="1"/>
    <col min="10962" max="10962" width="23.85546875" bestFit="1" customWidth="1"/>
    <col min="10963" max="10963" width="22.42578125" customWidth="1"/>
    <col min="10964" max="10964" width="10.85546875" bestFit="1" customWidth="1"/>
    <col min="10965" max="10965" width="8.42578125" bestFit="1" customWidth="1"/>
    <col min="10966" max="10966" width="15.7109375" bestFit="1" customWidth="1"/>
    <col min="10967" max="10967" width="19.28515625" bestFit="1" customWidth="1"/>
    <col min="10968" max="10968" width="28.140625" bestFit="1" customWidth="1"/>
    <col min="10969" max="10969" width="31.28515625" bestFit="1" customWidth="1"/>
    <col min="10970" max="10970" width="26.42578125" customWidth="1"/>
    <col min="10971" max="10971" width="15.28515625" customWidth="1"/>
    <col min="10972" max="10972" width="17.85546875" customWidth="1"/>
    <col min="10973" max="10973" width="36.28515625" bestFit="1" customWidth="1"/>
    <col min="10974" max="10974" width="24.42578125" bestFit="1" customWidth="1"/>
    <col min="10975" max="10975" width="11.42578125" bestFit="1" customWidth="1"/>
    <col min="10976" max="10976" width="10.140625" bestFit="1" customWidth="1"/>
    <col min="10977" max="10977" width="28.7109375" bestFit="1" customWidth="1"/>
    <col min="10978" max="10978" width="28.42578125" bestFit="1" customWidth="1"/>
    <col min="10979" max="10979" width="34.28515625" bestFit="1" customWidth="1"/>
    <col min="10980" max="10980" width="13.7109375" bestFit="1" customWidth="1"/>
    <col min="10981" max="10981" width="22.7109375" bestFit="1" customWidth="1"/>
    <col min="10982" max="10982" width="41.28515625" bestFit="1" customWidth="1"/>
    <col min="10983" max="10983" width="19.85546875" bestFit="1" customWidth="1"/>
    <col min="10984" max="10984" width="24.28515625" bestFit="1" customWidth="1"/>
    <col min="10985" max="10985" width="62.140625" bestFit="1" customWidth="1"/>
    <col min="10986" max="10986" width="23.85546875" bestFit="1" customWidth="1"/>
    <col min="10987" max="10987" width="32.85546875" bestFit="1" customWidth="1"/>
    <col min="10988" max="10988" width="30.42578125" bestFit="1" customWidth="1"/>
    <col min="10989" max="10989" width="12.28515625" bestFit="1" customWidth="1"/>
    <col min="10990" max="10990" width="14.42578125" bestFit="1" customWidth="1"/>
    <col min="10991" max="10991" width="18.85546875" customWidth="1"/>
    <col min="11211" max="11211" width="11" bestFit="1" customWidth="1"/>
    <col min="11212" max="11212" width="18.42578125" bestFit="1" customWidth="1"/>
    <col min="11213" max="11213" width="22.28515625" bestFit="1" customWidth="1"/>
    <col min="11214" max="11214" width="52.7109375" bestFit="1" customWidth="1"/>
    <col min="11215" max="11215" width="11.42578125" bestFit="1" customWidth="1"/>
    <col min="11216" max="11216" width="20.140625" bestFit="1" customWidth="1"/>
    <col min="11217" max="11217" width="25.85546875" bestFit="1" customWidth="1"/>
    <col min="11218" max="11218" width="23.85546875" bestFit="1" customWidth="1"/>
    <col min="11219" max="11219" width="22.42578125" customWidth="1"/>
    <col min="11220" max="11220" width="10.85546875" bestFit="1" customWidth="1"/>
    <col min="11221" max="11221" width="8.42578125" bestFit="1" customWidth="1"/>
    <col min="11222" max="11222" width="15.7109375" bestFit="1" customWidth="1"/>
    <col min="11223" max="11223" width="19.28515625" bestFit="1" customWidth="1"/>
    <col min="11224" max="11224" width="28.140625" bestFit="1" customWidth="1"/>
    <col min="11225" max="11225" width="31.28515625" bestFit="1" customWidth="1"/>
    <col min="11226" max="11226" width="26.42578125" customWidth="1"/>
    <col min="11227" max="11227" width="15.28515625" customWidth="1"/>
    <col min="11228" max="11228" width="17.85546875" customWidth="1"/>
    <col min="11229" max="11229" width="36.28515625" bestFit="1" customWidth="1"/>
    <col min="11230" max="11230" width="24.42578125" bestFit="1" customWidth="1"/>
    <col min="11231" max="11231" width="11.42578125" bestFit="1" customWidth="1"/>
    <col min="11232" max="11232" width="10.140625" bestFit="1" customWidth="1"/>
    <col min="11233" max="11233" width="28.7109375" bestFit="1" customWidth="1"/>
    <col min="11234" max="11234" width="28.42578125" bestFit="1" customWidth="1"/>
    <col min="11235" max="11235" width="34.28515625" bestFit="1" customWidth="1"/>
    <col min="11236" max="11236" width="13.7109375" bestFit="1" customWidth="1"/>
    <col min="11237" max="11237" width="22.7109375" bestFit="1" customWidth="1"/>
    <col min="11238" max="11238" width="41.28515625" bestFit="1" customWidth="1"/>
    <col min="11239" max="11239" width="19.85546875" bestFit="1" customWidth="1"/>
    <col min="11240" max="11240" width="24.28515625" bestFit="1" customWidth="1"/>
    <col min="11241" max="11241" width="62.140625" bestFit="1" customWidth="1"/>
    <col min="11242" max="11242" width="23.85546875" bestFit="1" customWidth="1"/>
    <col min="11243" max="11243" width="32.85546875" bestFit="1" customWidth="1"/>
    <col min="11244" max="11244" width="30.42578125" bestFit="1" customWidth="1"/>
    <col min="11245" max="11245" width="12.28515625" bestFit="1" customWidth="1"/>
    <col min="11246" max="11246" width="14.42578125" bestFit="1" customWidth="1"/>
    <col min="11247" max="11247" width="18.85546875" customWidth="1"/>
    <col min="11467" max="11467" width="11" bestFit="1" customWidth="1"/>
    <col min="11468" max="11468" width="18.42578125" bestFit="1" customWidth="1"/>
    <col min="11469" max="11469" width="22.28515625" bestFit="1" customWidth="1"/>
    <col min="11470" max="11470" width="52.7109375" bestFit="1" customWidth="1"/>
    <col min="11471" max="11471" width="11.42578125" bestFit="1" customWidth="1"/>
    <col min="11472" max="11472" width="20.140625" bestFit="1" customWidth="1"/>
    <col min="11473" max="11473" width="25.85546875" bestFit="1" customWidth="1"/>
    <col min="11474" max="11474" width="23.85546875" bestFit="1" customWidth="1"/>
    <col min="11475" max="11475" width="22.42578125" customWidth="1"/>
    <col min="11476" max="11476" width="10.85546875" bestFit="1" customWidth="1"/>
    <col min="11477" max="11477" width="8.42578125" bestFit="1" customWidth="1"/>
    <col min="11478" max="11478" width="15.7109375" bestFit="1" customWidth="1"/>
    <col min="11479" max="11479" width="19.28515625" bestFit="1" customWidth="1"/>
    <col min="11480" max="11480" width="28.140625" bestFit="1" customWidth="1"/>
    <col min="11481" max="11481" width="31.28515625" bestFit="1" customWidth="1"/>
    <col min="11482" max="11482" width="26.42578125" customWidth="1"/>
    <col min="11483" max="11483" width="15.28515625" customWidth="1"/>
    <col min="11484" max="11484" width="17.85546875" customWidth="1"/>
    <col min="11485" max="11485" width="36.28515625" bestFit="1" customWidth="1"/>
    <col min="11486" max="11486" width="24.42578125" bestFit="1" customWidth="1"/>
    <col min="11487" max="11487" width="11.42578125" bestFit="1" customWidth="1"/>
    <col min="11488" max="11488" width="10.140625" bestFit="1" customWidth="1"/>
    <col min="11489" max="11489" width="28.7109375" bestFit="1" customWidth="1"/>
    <col min="11490" max="11490" width="28.42578125" bestFit="1" customWidth="1"/>
    <col min="11491" max="11491" width="34.28515625" bestFit="1" customWidth="1"/>
    <col min="11492" max="11492" width="13.7109375" bestFit="1" customWidth="1"/>
    <col min="11493" max="11493" width="22.7109375" bestFit="1" customWidth="1"/>
    <col min="11494" max="11494" width="41.28515625" bestFit="1" customWidth="1"/>
    <col min="11495" max="11495" width="19.85546875" bestFit="1" customWidth="1"/>
    <col min="11496" max="11496" width="24.28515625" bestFit="1" customWidth="1"/>
    <col min="11497" max="11497" width="62.140625" bestFit="1" customWidth="1"/>
    <col min="11498" max="11498" width="23.85546875" bestFit="1" customWidth="1"/>
    <col min="11499" max="11499" width="32.85546875" bestFit="1" customWidth="1"/>
    <col min="11500" max="11500" width="30.42578125" bestFit="1" customWidth="1"/>
    <col min="11501" max="11501" width="12.28515625" bestFit="1" customWidth="1"/>
    <col min="11502" max="11502" width="14.42578125" bestFit="1" customWidth="1"/>
    <col min="11503" max="11503" width="18.85546875" customWidth="1"/>
    <col min="11723" max="11723" width="11" bestFit="1" customWidth="1"/>
    <col min="11724" max="11724" width="18.42578125" bestFit="1" customWidth="1"/>
    <col min="11725" max="11725" width="22.28515625" bestFit="1" customWidth="1"/>
    <col min="11726" max="11726" width="52.7109375" bestFit="1" customWidth="1"/>
    <col min="11727" max="11727" width="11.42578125" bestFit="1" customWidth="1"/>
    <col min="11728" max="11728" width="20.140625" bestFit="1" customWidth="1"/>
    <col min="11729" max="11729" width="25.85546875" bestFit="1" customWidth="1"/>
    <col min="11730" max="11730" width="23.85546875" bestFit="1" customWidth="1"/>
    <col min="11731" max="11731" width="22.42578125" customWidth="1"/>
    <col min="11732" max="11732" width="10.85546875" bestFit="1" customWidth="1"/>
    <col min="11733" max="11733" width="8.42578125" bestFit="1" customWidth="1"/>
    <col min="11734" max="11734" width="15.7109375" bestFit="1" customWidth="1"/>
    <col min="11735" max="11735" width="19.28515625" bestFit="1" customWidth="1"/>
    <col min="11736" max="11736" width="28.140625" bestFit="1" customWidth="1"/>
    <col min="11737" max="11737" width="31.28515625" bestFit="1" customWidth="1"/>
    <col min="11738" max="11738" width="26.42578125" customWidth="1"/>
    <col min="11739" max="11739" width="15.28515625" customWidth="1"/>
    <col min="11740" max="11740" width="17.85546875" customWidth="1"/>
    <col min="11741" max="11741" width="36.28515625" bestFit="1" customWidth="1"/>
    <col min="11742" max="11742" width="24.42578125" bestFit="1" customWidth="1"/>
    <col min="11743" max="11743" width="11.42578125" bestFit="1" customWidth="1"/>
    <col min="11744" max="11744" width="10.140625" bestFit="1" customWidth="1"/>
    <col min="11745" max="11745" width="28.7109375" bestFit="1" customWidth="1"/>
    <col min="11746" max="11746" width="28.42578125" bestFit="1" customWidth="1"/>
    <col min="11747" max="11747" width="34.28515625" bestFit="1" customWidth="1"/>
    <col min="11748" max="11748" width="13.7109375" bestFit="1" customWidth="1"/>
    <col min="11749" max="11749" width="22.7109375" bestFit="1" customWidth="1"/>
    <col min="11750" max="11750" width="41.28515625" bestFit="1" customWidth="1"/>
    <col min="11751" max="11751" width="19.85546875" bestFit="1" customWidth="1"/>
    <col min="11752" max="11752" width="24.28515625" bestFit="1" customWidth="1"/>
    <col min="11753" max="11753" width="62.140625" bestFit="1" customWidth="1"/>
    <col min="11754" max="11754" width="23.85546875" bestFit="1" customWidth="1"/>
    <col min="11755" max="11755" width="32.85546875" bestFit="1" customWidth="1"/>
    <col min="11756" max="11756" width="30.42578125" bestFit="1" customWidth="1"/>
    <col min="11757" max="11757" width="12.28515625" bestFit="1" customWidth="1"/>
    <col min="11758" max="11758" width="14.42578125" bestFit="1" customWidth="1"/>
    <col min="11759" max="11759" width="18.85546875" customWidth="1"/>
    <col min="11979" max="11979" width="11" bestFit="1" customWidth="1"/>
    <col min="11980" max="11980" width="18.42578125" bestFit="1" customWidth="1"/>
    <col min="11981" max="11981" width="22.28515625" bestFit="1" customWidth="1"/>
    <col min="11982" max="11982" width="52.7109375" bestFit="1" customWidth="1"/>
    <col min="11983" max="11983" width="11.42578125" bestFit="1" customWidth="1"/>
    <col min="11984" max="11984" width="20.140625" bestFit="1" customWidth="1"/>
    <col min="11985" max="11985" width="25.85546875" bestFit="1" customWidth="1"/>
    <col min="11986" max="11986" width="23.85546875" bestFit="1" customWidth="1"/>
    <col min="11987" max="11987" width="22.42578125" customWidth="1"/>
    <col min="11988" max="11988" width="10.85546875" bestFit="1" customWidth="1"/>
    <col min="11989" max="11989" width="8.42578125" bestFit="1" customWidth="1"/>
    <col min="11990" max="11990" width="15.7109375" bestFit="1" customWidth="1"/>
    <col min="11991" max="11991" width="19.28515625" bestFit="1" customWidth="1"/>
    <col min="11992" max="11992" width="28.140625" bestFit="1" customWidth="1"/>
    <col min="11993" max="11993" width="31.28515625" bestFit="1" customWidth="1"/>
    <col min="11994" max="11994" width="26.42578125" customWidth="1"/>
    <col min="11995" max="11995" width="15.28515625" customWidth="1"/>
    <col min="11996" max="11996" width="17.85546875" customWidth="1"/>
    <col min="11997" max="11997" width="36.28515625" bestFit="1" customWidth="1"/>
    <col min="11998" max="11998" width="24.42578125" bestFit="1" customWidth="1"/>
    <col min="11999" max="11999" width="11.42578125" bestFit="1" customWidth="1"/>
    <col min="12000" max="12000" width="10.140625" bestFit="1" customWidth="1"/>
    <col min="12001" max="12001" width="28.7109375" bestFit="1" customWidth="1"/>
    <col min="12002" max="12002" width="28.42578125" bestFit="1" customWidth="1"/>
    <col min="12003" max="12003" width="34.28515625" bestFit="1" customWidth="1"/>
    <col min="12004" max="12004" width="13.7109375" bestFit="1" customWidth="1"/>
    <col min="12005" max="12005" width="22.7109375" bestFit="1" customWidth="1"/>
    <col min="12006" max="12006" width="41.28515625" bestFit="1" customWidth="1"/>
    <col min="12007" max="12007" width="19.85546875" bestFit="1" customWidth="1"/>
    <col min="12008" max="12008" width="24.28515625" bestFit="1" customWidth="1"/>
    <col min="12009" max="12009" width="62.140625" bestFit="1" customWidth="1"/>
    <col min="12010" max="12010" width="23.85546875" bestFit="1" customWidth="1"/>
    <col min="12011" max="12011" width="32.85546875" bestFit="1" customWidth="1"/>
    <col min="12012" max="12012" width="30.42578125" bestFit="1" customWidth="1"/>
    <col min="12013" max="12013" width="12.28515625" bestFit="1" customWidth="1"/>
    <col min="12014" max="12014" width="14.42578125" bestFit="1" customWidth="1"/>
    <col min="12015" max="12015" width="18.85546875" customWidth="1"/>
    <col min="12235" max="12235" width="11" bestFit="1" customWidth="1"/>
    <col min="12236" max="12236" width="18.42578125" bestFit="1" customWidth="1"/>
    <col min="12237" max="12237" width="22.28515625" bestFit="1" customWidth="1"/>
    <col min="12238" max="12238" width="52.7109375" bestFit="1" customWidth="1"/>
    <col min="12239" max="12239" width="11.42578125" bestFit="1" customWidth="1"/>
    <col min="12240" max="12240" width="20.140625" bestFit="1" customWidth="1"/>
    <col min="12241" max="12241" width="25.85546875" bestFit="1" customWidth="1"/>
    <col min="12242" max="12242" width="23.85546875" bestFit="1" customWidth="1"/>
    <col min="12243" max="12243" width="22.42578125" customWidth="1"/>
    <col min="12244" max="12244" width="10.85546875" bestFit="1" customWidth="1"/>
    <col min="12245" max="12245" width="8.42578125" bestFit="1" customWidth="1"/>
    <col min="12246" max="12246" width="15.7109375" bestFit="1" customWidth="1"/>
    <col min="12247" max="12247" width="19.28515625" bestFit="1" customWidth="1"/>
    <col min="12248" max="12248" width="28.140625" bestFit="1" customWidth="1"/>
    <col min="12249" max="12249" width="31.28515625" bestFit="1" customWidth="1"/>
    <col min="12250" max="12250" width="26.42578125" customWidth="1"/>
    <col min="12251" max="12251" width="15.28515625" customWidth="1"/>
    <col min="12252" max="12252" width="17.85546875" customWidth="1"/>
    <col min="12253" max="12253" width="36.28515625" bestFit="1" customWidth="1"/>
    <col min="12254" max="12254" width="24.42578125" bestFit="1" customWidth="1"/>
    <col min="12255" max="12255" width="11.42578125" bestFit="1" customWidth="1"/>
    <col min="12256" max="12256" width="10.140625" bestFit="1" customWidth="1"/>
    <col min="12257" max="12257" width="28.7109375" bestFit="1" customWidth="1"/>
    <col min="12258" max="12258" width="28.42578125" bestFit="1" customWidth="1"/>
    <col min="12259" max="12259" width="34.28515625" bestFit="1" customWidth="1"/>
    <col min="12260" max="12260" width="13.7109375" bestFit="1" customWidth="1"/>
    <col min="12261" max="12261" width="22.7109375" bestFit="1" customWidth="1"/>
    <col min="12262" max="12262" width="41.28515625" bestFit="1" customWidth="1"/>
    <col min="12263" max="12263" width="19.85546875" bestFit="1" customWidth="1"/>
    <col min="12264" max="12264" width="24.28515625" bestFit="1" customWidth="1"/>
    <col min="12265" max="12265" width="62.140625" bestFit="1" customWidth="1"/>
    <col min="12266" max="12266" width="23.85546875" bestFit="1" customWidth="1"/>
    <col min="12267" max="12267" width="32.85546875" bestFit="1" customWidth="1"/>
    <col min="12268" max="12268" width="30.42578125" bestFit="1" customWidth="1"/>
    <col min="12269" max="12269" width="12.28515625" bestFit="1" customWidth="1"/>
    <col min="12270" max="12270" width="14.42578125" bestFit="1" customWidth="1"/>
    <col min="12271" max="12271" width="18.85546875" customWidth="1"/>
    <col min="12491" max="12491" width="11" bestFit="1" customWidth="1"/>
    <col min="12492" max="12492" width="18.42578125" bestFit="1" customWidth="1"/>
    <col min="12493" max="12493" width="22.28515625" bestFit="1" customWidth="1"/>
    <col min="12494" max="12494" width="52.7109375" bestFit="1" customWidth="1"/>
    <col min="12495" max="12495" width="11.42578125" bestFit="1" customWidth="1"/>
    <col min="12496" max="12496" width="20.140625" bestFit="1" customWidth="1"/>
    <col min="12497" max="12497" width="25.85546875" bestFit="1" customWidth="1"/>
    <col min="12498" max="12498" width="23.85546875" bestFit="1" customWidth="1"/>
    <col min="12499" max="12499" width="22.42578125" customWidth="1"/>
    <col min="12500" max="12500" width="10.85546875" bestFit="1" customWidth="1"/>
    <col min="12501" max="12501" width="8.42578125" bestFit="1" customWidth="1"/>
    <col min="12502" max="12502" width="15.7109375" bestFit="1" customWidth="1"/>
    <col min="12503" max="12503" width="19.28515625" bestFit="1" customWidth="1"/>
    <col min="12504" max="12504" width="28.140625" bestFit="1" customWidth="1"/>
    <col min="12505" max="12505" width="31.28515625" bestFit="1" customWidth="1"/>
    <col min="12506" max="12506" width="26.42578125" customWidth="1"/>
    <col min="12507" max="12507" width="15.28515625" customWidth="1"/>
    <col min="12508" max="12508" width="17.85546875" customWidth="1"/>
    <col min="12509" max="12509" width="36.28515625" bestFit="1" customWidth="1"/>
    <col min="12510" max="12510" width="24.42578125" bestFit="1" customWidth="1"/>
    <col min="12511" max="12511" width="11.42578125" bestFit="1" customWidth="1"/>
    <col min="12512" max="12512" width="10.140625" bestFit="1" customWidth="1"/>
    <col min="12513" max="12513" width="28.7109375" bestFit="1" customWidth="1"/>
    <col min="12514" max="12514" width="28.42578125" bestFit="1" customWidth="1"/>
    <col min="12515" max="12515" width="34.28515625" bestFit="1" customWidth="1"/>
    <col min="12516" max="12516" width="13.7109375" bestFit="1" customWidth="1"/>
    <col min="12517" max="12517" width="22.7109375" bestFit="1" customWidth="1"/>
    <col min="12518" max="12518" width="41.28515625" bestFit="1" customWidth="1"/>
    <col min="12519" max="12519" width="19.85546875" bestFit="1" customWidth="1"/>
    <col min="12520" max="12520" width="24.28515625" bestFit="1" customWidth="1"/>
    <col min="12521" max="12521" width="62.140625" bestFit="1" customWidth="1"/>
    <col min="12522" max="12522" width="23.85546875" bestFit="1" customWidth="1"/>
    <col min="12523" max="12523" width="32.85546875" bestFit="1" customWidth="1"/>
    <col min="12524" max="12524" width="30.42578125" bestFit="1" customWidth="1"/>
    <col min="12525" max="12525" width="12.28515625" bestFit="1" customWidth="1"/>
    <col min="12526" max="12526" width="14.42578125" bestFit="1" customWidth="1"/>
    <col min="12527" max="12527" width="18.85546875" customWidth="1"/>
    <col min="12747" max="12747" width="11" bestFit="1" customWidth="1"/>
    <col min="12748" max="12748" width="18.42578125" bestFit="1" customWidth="1"/>
    <col min="12749" max="12749" width="22.28515625" bestFit="1" customWidth="1"/>
    <col min="12750" max="12750" width="52.7109375" bestFit="1" customWidth="1"/>
    <col min="12751" max="12751" width="11.42578125" bestFit="1" customWidth="1"/>
    <col min="12752" max="12752" width="20.140625" bestFit="1" customWidth="1"/>
    <col min="12753" max="12753" width="25.85546875" bestFit="1" customWidth="1"/>
    <col min="12754" max="12754" width="23.85546875" bestFit="1" customWidth="1"/>
    <col min="12755" max="12755" width="22.42578125" customWidth="1"/>
    <col min="12756" max="12756" width="10.85546875" bestFit="1" customWidth="1"/>
    <col min="12757" max="12757" width="8.42578125" bestFit="1" customWidth="1"/>
    <col min="12758" max="12758" width="15.7109375" bestFit="1" customWidth="1"/>
    <col min="12759" max="12759" width="19.28515625" bestFit="1" customWidth="1"/>
    <col min="12760" max="12760" width="28.140625" bestFit="1" customWidth="1"/>
    <col min="12761" max="12761" width="31.28515625" bestFit="1" customWidth="1"/>
    <col min="12762" max="12762" width="26.42578125" customWidth="1"/>
    <col min="12763" max="12763" width="15.28515625" customWidth="1"/>
    <col min="12764" max="12764" width="17.85546875" customWidth="1"/>
    <col min="12765" max="12765" width="36.28515625" bestFit="1" customWidth="1"/>
    <col min="12766" max="12766" width="24.42578125" bestFit="1" customWidth="1"/>
    <col min="12767" max="12767" width="11.42578125" bestFit="1" customWidth="1"/>
    <col min="12768" max="12768" width="10.140625" bestFit="1" customWidth="1"/>
    <col min="12769" max="12769" width="28.7109375" bestFit="1" customWidth="1"/>
    <col min="12770" max="12770" width="28.42578125" bestFit="1" customWidth="1"/>
    <col min="12771" max="12771" width="34.28515625" bestFit="1" customWidth="1"/>
    <col min="12772" max="12772" width="13.7109375" bestFit="1" customWidth="1"/>
    <col min="12773" max="12773" width="22.7109375" bestFit="1" customWidth="1"/>
    <col min="12774" max="12774" width="41.28515625" bestFit="1" customWidth="1"/>
    <col min="12775" max="12775" width="19.85546875" bestFit="1" customWidth="1"/>
    <col min="12776" max="12776" width="24.28515625" bestFit="1" customWidth="1"/>
    <col min="12777" max="12777" width="62.140625" bestFit="1" customWidth="1"/>
    <col min="12778" max="12778" width="23.85546875" bestFit="1" customWidth="1"/>
    <col min="12779" max="12779" width="32.85546875" bestFit="1" customWidth="1"/>
    <col min="12780" max="12780" width="30.42578125" bestFit="1" customWidth="1"/>
    <col min="12781" max="12781" width="12.28515625" bestFit="1" customWidth="1"/>
    <col min="12782" max="12782" width="14.42578125" bestFit="1" customWidth="1"/>
    <col min="12783" max="12783" width="18.85546875" customWidth="1"/>
    <col min="13003" max="13003" width="11" bestFit="1" customWidth="1"/>
    <col min="13004" max="13004" width="18.42578125" bestFit="1" customWidth="1"/>
    <col min="13005" max="13005" width="22.28515625" bestFit="1" customWidth="1"/>
    <col min="13006" max="13006" width="52.7109375" bestFit="1" customWidth="1"/>
    <col min="13007" max="13007" width="11.42578125" bestFit="1" customWidth="1"/>
    <col min="13008" max="13008" width="20.140625" bestFit="1" customWidth="1"/>
    <col min="13009" max="13009" width="25.85546875" bestFit="1" customWidth="1"/>
    <col min="13010" max="13010" width="23.85546875" bestFit="1" customWidth="1"/>
    <col min="13011" max="13011" width="22.42578125" customWidth="1"/>
    <col min="13012" max="13012" width="10.85546875" bestFit="1" customWidth="1"/>
    <col min="13013" max="13013" width="8.42578125" bestFit="1" customWidth="1"/>
    <col min="13014" max="13014" width="15.7109375" bestFit="1" customWidth="1"/>
    <col min="13015" max="13015" width="19.28515625" bestFit="1" customWidth="1"/>
    <col min="13016" max="13016" width="28.140625" bestFit="1" customWidth="1"/>
    <col min="13017" max="13017" width="31.28515625" bestFit="1" customWidth="1"/>
    <col min="13018" max="13018" width="26.42578125" customWidth="1"/>
    <col min="13019" max="13019" width="15.28515625" customWidth="1"/>
    <col min="13020" max="13020" width="17.85546875" customWidth="1"/>
    <col min="13021" max="13021" width="36.28515625" bestFit="1" customWidth="1"/>
    <col min="13022" max="13022" width="24.42578125" bestFit="1" customWidth="1"/>
    <col min="13023" max="13023" width="11.42578125" bestFit="1" customWidth="1"/>
    <col min="13024" max="13024" width="10.140625" bestFit="1" customWidth="1"/>
    <col min="13025" max="13025" width="28.7109375" bestFit="1" customWidth="1"/>
    <col min="13026" max="13026" width="28.42578125" bestFit="1" customWidth="1"/>
    <col min="13027" max="13027" width="34.28515625" bestFit="1" customWidth="1"/>
    <col min="13028" max="13028" width="13.7109375" bestFit="1" customWidth="1"/>
    <col min="13029" max="13029" width="22.7109375" bestFit="1" customWidth="1"/>
    <col min="13030" max="13030" width="41.28515625" bestFit="1" customWidth="1"/>
    <col min="13031" max="13031" width="19.85546875" bestFit="1" customWidth="1"/>
    <col min="13032" max="13032" width="24.28515625" bestFit="1" customWidth="1"/>
    <col min="13033" max="13033" width="62.140625" bestFit="1" customWidth="1"/>
    <col min="13034" max="13034" width="23.85546875" bestFit="1" customWidth="1"/>
    <col min="13035" max="13035" width="32.85546875" bestFit="1" customWidth="1"/>
    <col min="13036" max="13036" width="30.42578125" bestFit="1" customWidth="1"/>
    <col min="13037" max="13037" width="12.28515625" bestFit="1" customWidth="1"/>
    <col min="13038" max="13038" width="14.42578125" bestFit="1" customWidth="1"/>
    <col min="13039" max="13039" width="18.85546875" customWidth="1"/>
    <col min="13259" max="13259" width="11" bestFit="1" customWidth="1"/>
    <col min="13260" max="13260" width="18.42578125" bestFit="1" customWidth="1"/>
    <col min="13261" max="13261" width="22.28515625" bestFit="1" customWidth="1"/>
    <col min="13262" max="13262" width="52.7109375" bestFit="1" customWidth="1"/>
    <col min="13263" max="13263" width="11.42578125" bestFit="1" customWidth="1"/>
    <col min="13264" max="13264" width="20.140625" bestFit="1" customWidth="1"/>
    <col min="13265" max="13265" width="25.85546875" bestFit="1" customWidth="1"/>
    <col min="13266" max="13266" width="23.85546875" bestFit="1" customWidth="1"/>
    <col min="13267" max="13267" width="22.42578125" customWidth="1"/>
    <col min="13268" max="13268" width="10.85546875" bestFit="1" customWidth="1"/>
    <col min="13269" max="13269" width="8.42578125" bestFit="1" customWidth="1"/>
    <col min="13270" max="13270" width="15.7109375" bestFit="1" customWidth="1"/>
    <col min="13271" max="13271" width="19.28515625" bestFit="1" customWidth="1"/>
    <col min="13272" max="13272" width="28.140625" bestFit="1" customWidth="1"/>
    <col min="13273" max="13273" width="31.28515625" bestFit="1" customWidth="1"/>
    <col min="13274" max="13274" width="26.42578125" customWidth="1"/>
    <col min="13275" max="13275" width="15.28515625" customWidth="1"/>
    <col min="13276" max="13276" width="17.85546875" customWidth="1"/>
    <col min="13277" max="13277" width="36.28515625" bestFit="1" customWidth="1"/>
    <col min="13278" max="13278" width="24.42578125" bestFit="1" customWidth="1"/>
    <col min="13279" max="13279" width="11.42578125" bestFit="1" customWidth="1"/>
    <col min="13280" max="13280" width="10.140625" bestFit="1" customWidth="1"/>
    <col min="13281" max="13281" width="28.7109375" bestFit="1" customWidth="1"/>
    <col min="13282" max="13282" width="28.42578125" bestFit="1" customWidth="1"/>
    <col min="13283" max="13283" width="34.28515625" bestFit="1" customWidth="1"/>
    <col min="13284" max="13284" width="13.7109375" bestFit="1" customWidth="1"/>
    <col min="13285" max="13285" width="22.7109375" bestFit="1" customWidth="1"/>
    <col min="13286" max="13286" width="41.28515625" bestFit="1" customWidth="1"/>
    <col min="13287" max="13287" width="19.85546875" bestFit="1" customWidth="1"/>
    <col min="13288" max="13288" width="24.28515625" bestFit="1" customWidth="1"/>
    <col min="13289" max="13289" width="62.140625" bestFit="1" customWidth="1"/>
    <col min="13290" max="13290" width="23.85546875" bestFit="1" customWidth="1"/>
    <col min="13291" max="13291" width="32.85546875" bestFit="1" customWidth="1"/>
    <col min="13292" max="13292" width="30.42578125" bestFit="1" customWidth="1"/>
    <col min="13293" max="13293" width="12.28515625" bestFit="1" customWidth="1"/>
    <col min="13294" max="13294" width="14.42578125" bestFit="1" customWidth="1"/>
    <col min="13295" max="13295" width="18.85546875" customWidth="1"/>
    <col min="13515" max="13515" width="11" bestFit="1" customWidth="1"/>
    <col min="13516" max="13516" width="18.42578125" bestFit="1" customWidth="1"/>
    <col min="13517" max="13517" width="22.28515625" bestFit="1" customWidth="1"/>
    <col min="13518" max="13518" width="52.7109375" bestFit="1" customWidth="1"/>
    <col min="13519" max="13519" width="11.42578125" bestFit="1" customWidth="1"/>
    <col min="13520" max="13520" width="20.140625" bestFit="1" customWidth="1"/>
    <col min="13521" max="13521" width="25.85546875" bestFit="1" customWidth="1"/>
    <col min="13522" max="13522" width="23.85546875" bestFit="1" customWidth="1"/>
    <col min="13523" max="13523" width="22.42578125" customWidth="1"/>
    <col min="13524" max="13524" width="10.85546875" bestFit="1" customWidth="1"/>
    <col min="13525" max="13525" width="8.42578125" bestFit="1" customWidth="1"/>
    <col min="13526" max="13526" width="15.7109375" bestFit="1" customWidth="1"/>
    <col min="13527" max="13527" width="19.28515625" bestFit="1" customWidth="1"/>
    <col min="13528" max="13528" width="28.140625" bestFit="1" customWidth="1"/>
    <col min="13529" max="13529" width="31.28515625" bestFit="1" customWidth="1"/>
    <col min="13530" max="13530" width="26.42578125" customWidth="1"/>
    <col min="13531" max="13531" width="15.28515625" customWidth="1"/>
    <col min="13532" max="13532" width="17.85546875" customWidth="1"/>
    <col min="13533" max="13533" width="36.28515625" bestFit="1" customWidth="1"/>
    <col min="13534" max="13534" width="24.42578125" bestFit="1" customWidth="1"/>
    <col min="13535" max="13535" width="11.42578125" bestFit="1" customWidth="1"/>
    <col min="13536" max="13536" width="10.140625" bestFit="1" customWidth="1"/>
    <col min="13537" max="13537" width="28.7109375" bestFit="1" customWidth="1"/>
    <col min="13538" max="13538" width="28.42578125" bestFit="1" customWidth="1"/>
    <col min="13539" max="13539" width="34.28515625" bestFit="1" customWidth="1"/>
    <col min="13540" max="13540" width="13.7109375" bestFit="1" customWidth="1"/>
    <col min="13541" max="13541" width="22.7109375" bestFit="1" customWidth="1"/>
    <col min="13542" max="13542" width="41.28515625" bestFit="1" customWidth="1"/>
    <col min="13543" max="13543" width="19.85546875" bestFit="1" customWidth="1"/>
    <col min="13544" max="13544" width="24.28515625" bestFit="1" customWidth="1"/>
    <col min="13545" max="13545" width="62.140625" bestFit="1" customWidth="1"/>
    <col min="13546" max="13546" width="23.85546875" bestFit="1" customWidth="1"/>
    <col min="13547" max="13547" width="32.85546875" bestFit="1" customWidth="1"/>
    <col min="13548" max="13548" width="30.42578125" bestFit="1" customWidth="1"/>
    <col min="13549" max="13549" width="12.28515625" bestFit="1" customWidth="1"/>
    <col min="13550" max="13550" width="14.42578125" bestFit="1" customWidth="1"/>
    <col min="13551" max="13551" width="18.85546875" customWidth="1"/>
    <col min="13771" max="13771" width="11" bestFit="1" customWidth="1"/>
    <col min="13772" max="13772" width="18.42578125" bestFit="1" customWidth="1"/>
    <col min="13773" max="13773" width="22.28515625" bestFit="1" customWidth="1"/>
    <col min="13774" max="13774" width="52.7109375" bestFit="1" customWidth="1"/>
    <col min="13775" max="13775" width="11.42578125" bestFit="1" customWidth="1"/>
    <col min="13776" max="13776" width="20.140625" bestFit="1" customWidth="1"/>
    <col min="13777" max="13777" width="25.85546875" bestFit="1" customWidth="1"/>
    <col min="13778" max="13778" width="23.85546875" bestFit="1" customWidth="1"/>
    <col min="13779" max="13779" width="22.42578125" customWidth="1"/>
    <col min="13780" max="13780" width="10.85546875" bestFit="1" customWidth="1"/>
    <col min="13781" max="13781" width="8.42578125" bestFit="1" customWidth="1"/>
    <col min="13782" max="13782" width="15.7109375" bestFit="1" customWidth="1"/>
    <col min="13783" max="13783" width="19.28515625" bestFit="1" customWidth="1"/>
    <col min="13784" max="13784" width="28.140625" bestFit="1" customWidth="1"/>
    <col min="13785" max="13785" width="31.28515625" bestFit="1" customWidth="1"/>
    <col min="13786" max="13786" width="26.42578125" customWidth="1"/>
    <col min="13787" max="13787" width="15.28515625" customWidth="1"/>
    <col min="13788" max="13788" width="17.85546875" customWidth="1"/>
    <col min="13789" max="13789" width="36.28515625" bestFit="1" customWidth="1"/>
    <col min="13790" max="13790" width="24.42578125" bestFit="1" customWidth="1"/>
    <col min="13791" max="13791" width="11.42578125" bestFit="1" customWidth="1"/>
    <col min="13792" max="13792" width="10.140625" bestFit="1" customWidth="1"/>
    <col min="13793" max="13793" width="28.7109375" bestFit="1" customWidth="1"/>
    <col min="13794" max="13794" width="28.42578125" bestFit="1" customWidth="1"/>
    <col min="13795" max="13795" width="34.28515625" bestFit="1" customWidth="1"/>
    <col min="13796" max="13796" width="13.7109375" bestFit="1" customWidth="1"/>
    <col min="13797" max="13797" width="22.7109375" bestFit="1" customWidth="1"/>
    <col min="13798" max="13798" width="41.28515625" bestFit="1" customWidth="1"/>
    <col min="13799" max="13799" width="19.85546875" bestFit="1" customWidth="1"/>
    <col min="13800" max="13800" width="24.28515625" bestFit="1" customWidth="1"/>
    <col min="13801" max="13801" width="62.140625" bestFit="1" customWidth="1"/>
    <col min="13802" max="13802" width="23.85546875" bestFit="1" customWidth="1"/>
    <col min="13803" max="13803" width="32.85546875" bestFit="1" customWidth="1"/>
    <col min="13804" max="13804" width="30.42578125" bestFit="1" customWidth="1"/>
    <col min="13805" max="13805" width="12.28515625" bestFit="1" customWidth="1"/>
    <col min="13806" max="13806" width="14.42578125" bestFit="1" customWidth="1"/>
    <col min="13807" max="13807" width="18.85546875" customWidth="1"/>
    <col min="14027" max="14027" width="11" bestFit="1" customWidth="1"/>
    <col min="14028" max="14028" width="18.42578125" bestFit="1" customWidth="1"/>
    <col min="14029" max="14029" width="22.28515625" bestFit="1" customWidth="1"/>
    <col min="14030" max="14030" width="52.7109375" bestFit="1" customWidth="1"/>
    <col min="14031" max="14031" width="11.42578125" bestFit="1" customWidth="1"/>
    <col min="14032" max="14032" width="20.140625" bestFit="1" customWidth="1"/>
    <col min="14033" max="14033" width="25.85546875" bestFit="1" customWidth="1"/>
    <col min="14034" max="14034" width="23.85546875" bestFit="1" customWidth="1"/>
    <col min="14035" max="14035" width="22.42578125" customWidth="1"/>
    <col min="14036" max="14036" width="10.85546875" bestFit="1" customWidth="1"/>
    <col min="14037" max="14037" width="8.42578125" bestFit="1" customWidth="1"/>
    <col min="14038" max="14038" width="15.7109375" bestFit="1" customWidth="1"/>
    <col min="14039" max="14039" width="19.28515625" bestFit="1" customWidth="1"/>
    <col min="14040" max="14040" width="28.140625" bestFit="1" customWidth="1"/>
    <col min="14041" max="14041" width="31.28515625" bestFit="1" customWidth="1"/>
    <col min="14042" max="14042" width="26.42578125" customWidth="1"/>
    <col min="14043" max="14043" width="15.28515625" customWidth="1"/>
    <col min="14044" max="14044" width="17.85546875" customWidth="1"/>
    <col min="14045" max="14045" width="36.28515625" bestFit="1" customWidth="1"/>
    <col min="14046" max="14046" width="24.42578125" bestFit="1" customWidth="1"/>
    <col min="14047" max="14047" width="11.42578125" bestFit="1" customWidth="1"/>
    <col min="14048" max="14048" width="10.140625" bestFit="1" customWidth="1"/>
    <col min="14049" max="14049" width="28.7109375" bestFit="1" customWidth="1"/>
    <col min="14050" max="14050" width="28.42578125" bestFit="1" customWidth="1"/>
    <col min="14051" max="14051" width="34.28515625" bestFit="1" customWidth="1"/>
    <col min="14052" max="14052" width="13.7109375" bestFit="1" customWidth="1"/>
    <col min="14053" max="14053" width="22.7109375" bestFit="1" customWidth="1"/>
    <col min="14054" max="14054" width="41.28515625" bestFit="1" customWidth="1"/>
    <col min="14055" max="14055" width="19.85546875" bestFit="1" customWidth="1"/>
    <col min="14056" max="14056" width="24.28515625" bestFit="1" customWidth="1"/>
    <col min="14057" max="14057" width="62.140625" bestFit="1" customWidth="1"/>
    <col min="14058" max="14058" width="23.85546875" bestFit="1" customWidth="1"/>
    <col min="14059" max="14059" width="32.85546875" bestFit="1" customWidth="1"/>
    <col min="14060" max="14060" width="30.42578125" bestFit="1" customWidth="1"/>
    <col min="14061" max="14061" width="12.28515625" bestFit="1" customWidth="1"/>
    <col min="14062" max="14062" width="14.42578125" bestFit="1" customWidth="1"/>
    <col min="14063" max="14063" width="18.85546875" customWidth="1"/>
    <col min="14283" max="14283" width="11" bestFit="1" customWidth="1"/>
    <col min="14284" max="14284" width="18.42578125" bestFit="1" customWidth="1"/>
    <col min="14285" max="14285" width="22.28515625" bestFit="1" customWidth="1"/>
    <col min="14286" max="14286" width="52.7109375" bestFit="1" customWidth="1"/>
    <col min="14287" max="14287" width="11.42578125" bestFit="1" customWidth="1"/>
    <col min="14288" max="14288" width="20.140625" bestFit="1" customWidth="1"/>
    <col min="14289" max="14289" width="25.85546875" bestFit="1" customWidth="1"/>
    <col min="14290" max="14290" width="23.85546875" bestFit="1" customWidth="1"/>
    <col min="14291" max="14291" width="22.42578125" customWidth="1"/>
    <col min="14292" max="14292" width="10.85546875" bestFit="1" customWidth="1"/>
    <col min="14293" max="14293" width="8.42578125" bestFit="1" customWidth="1"/>
    <col min="14294" max="14294" width="15.7109375" bestFit="1" customWidth="1"/>
    <col min="14295" max="14295" width="19.28515625" bestFit="1" customWidth="1"/>
    <col min="14296" max="14296" width="28.140625" bestFit="1" customWidth="1"/>
    <col min="14297" max="14297" width="31.28515625" bestFit="1" customWidth="1"/>
    <col min="14298" max="14298" width="26.42578125" customWidth="1"/>
    <col min="14299" max="14299" width="15.28515625" customWidth="1"/>
    <col min="14300" max="14300" width="17.85546875" customWidth="1"/>
    <col min="14301" max="14301" width="36.28515625" bestFit="1" customWidth="1"/>
    <col min="14302" max="14302" width="24.42578125" bestFit="1" customWidth="1"/>
    <col min="14303" max="14303" width="11.42578125" bestFit="1" customWidth="1"/>
    <col min="14304" max="14304" width="10.140625" bestFit="1" customWidth="1"/>
    <col min="14305" max="14305" width="28.7109375" bestFit="1" customWidth="1"/>
    <col min="14306" max="14306" width="28.42578125" bestFit="1" customWidth="1"/>
    <col min="14307" max="14307" width="34.28515625" bestFit="1" customWidth="1"/>
    <col min="14308" max="14308" width="13.7109375" bestFit="1" customWidth="1"/>
    <col min="14309" max="14309" width="22.7109375" bestFit="1" customWidth="1"/>
    <col min="14310" max="14310" width="41.28515625" bestFit="1" customWidth="1"/>
    <col min="14311" max="14311" width="19.85546875" bestFit="1" customWidth="1"/>
    <col min="14312" max="14312" width="24.28515625" bestFit="1" customWidth="1"/>
    <col min="14313" max="14313" width="62.140625" bestFit="1" customWidth="1"/>
    <col min="14314" max="14314" width="23.85546875" bestFit="1" customWidth="1"/>
    <col min="14315" max="14315" width="32.85546875" bestFit="1" customWidth="1"/>
    <col min="14316" max="14316" width="30.42578125" bestFit="1" customWidth="1"/>
    <col min="14317" max="14317" width="12.28515625" bestFit="1" customWidth="1"/>
    <col min="14318" max="14318" width="14.42578125" bestFit="1" customWidth="1"/>
    <col min="14319" max="14319" width="18.85546875" customWidth="1"/>
    <col min="14539" max="14539" width="11" bestFit="1" customWidth="1"/>
    <col min="14540" max="14540" width="18.42578125" bestFit="1" customWidth="1"/>
    <col min="14541" max="14541" width="22.28515625" bestFit="1" customWidth="1"/>
    <col min="14542" max="14542" width="52.7109375" bestFit="1" customWidth="1"/>
    <col min="14543" max="14543" width="11.42578125" bestFit="1" customWidth="1"/>
    <col min="14544" max="14544" width="20.140625" bestFit="1" customWidth="1"/>
    <col min="14545" max="14545" width="25.85546875" bestFit="1" customWidth="1"/>
    <col min="14546" max="14546" width="23.85546875" bestFit="1" customWidth="1"/>
    <col min="14547" max="14547" width="22.42578125" customWidth="1"/>
    <col min="14548" max="14548" width="10.85546875" bestFit="1" customWidth="1"/>
    <col min="14549" max="14549" width="8.42578125" bestFit="1" customWidth="1"/>
    <col min="14550" max="14550" width="15.7109375" bestFit="1" customWidth="1"/>
    <col min="14551" max="14551" width="19.28515625" bestFit="1" customWidth="1"/>
    <col min="14552" max="14552" width="28.140625" bestFit="1" customWidth="1"/>
    <col min="14553" max="14553" width="31.28515625" bestFit="1" customWidth="1"/>
    <col min="14554" max="14554" width="26.42578125" customWidth="1"/>
    <col min="14555" max="14555" width="15.28515625" customWidth="1"/>
    <col min="14556" max="14556" width="17.85546875" customWidth="1"/>
    <col min="14557" max="14557" width="36.28515625" bestFit="1" customWidth="1"/>
    <col min="14558" max="14558" width="24.42578125" bestFit="1" customWidth="1"/>
    <col min="14559" max="14559" width="11.42578125" bestFit="1" customWidth="1"/>
    <col min="14560" max="14560" width="10.140625" bestFit="1" customWidth="1"/>
    <col min="14561" max="14561" width="28.7109375" bestFit="1" customWidth="1"/>
    <col min="14562" max="14562" width="28.42578125" bestFit="1" customWidth="1"/>
    <col min="14563" max="14563" width="34.28515625" bestFit="1" customWidth="1"/>
    <col min="14564" max="14564" width="13.7109375" bestFit="1" customWidth="1"/>
    <col min="14565" max="14565" width="22.7109375" bestFit="1" customWidth="1"/>
    <col min="14566" max="14566" width="41.28515625" bestFit="1" customWidth="1"/>
    <col min="14567" max="14567" width="19.85546875" bestFit="1" customWidth="1"/>
    <col min="14568" max="14568" width="24.28515625" bestFit="1" customWidth="1"/>
    <col min="14569" max="14569" width="62.140625" bestFit="1" customWidth="1"/>
    <col min="14570" max="14570" width="23.85546875" bestFit="1" customWidth="1"/>
    <col min="14571" max="14571" width="32.85546875" bestFit="1" customWidth="1"/>
    <col min="14572" max="14572" width="30.42578125" bestFit="1" customWidth="1"/>
    <col min="14573" max="14573" width="12.28515625" bestFit="1" customWidth="1"/>
    <col min="14574" max="14574" width="14.42578125" bestFit="1" customWidth="1"/>
    <col min="14575" max="14575" width="18.85546875" customWidth="1"/>
    <col min="14795" max="14795" width="11" bestFit="1" customWidth="1"/>
    <col min="14796" max="14796" width="18.42578125" bestFit="1" customWidth="1"/>
    <col min="14797" max="14797" width="22.28515625" bestFit="1" customWidth="1"/>
    <col min="14798" max="14798" width="52.7109375" bestFit="1" customWidth="1"/>
    <col min="14799" max="14799" width="11.42578125" bestFit="1" customWidth="1"/>
    <col min="14800" max="14800" width="20.140625" bestFit="1" customWidth="1"/>
    <col min="14801" max="14801" width="25.85546875" bestFit="1" customWidth="1"/>
    <col min="14802" max="14802" width="23.85546875" bestFit="1" customWidth="1"/>
    <col min="14803" max="14803" width="22.42578125" customWidth="1"/>
    <col min="14804" max="14804" width="10.85546875" bestFit="1" customWidth="1"/>
    <col min="14805" max="14805" width="8.42578125" bestFit="1" customWidth="1"/>
    <col min="14806" max="14806" width="15.7109375" bestFit="1" customWidth="1"/>
    <col min="14807" max="14807" width="19.28515625" bestFit="1" customWidth="1"/>
    <col min="14808" max="14808" width="28.140625" bestFit="1" customWidth="1"/>
    <col min="14809" max="14809" width="31.28515625" bestFit="1" customWidth="1"/>
    <col min="14810" max="14810" width="26.42578125" customWidth="1"/>
    <col min="14811" max="14811" width="15.28515625" customWidth="1"/>
    <col min="14812" max="14812" width="17.85546875" customWidth="1"/>
    <col min="14813" max="14813" width="36.28515625" bestFit="1" customWidth="1"/>
    <col min="14814" max="14814" width="24.42578125" bestFit="1" customWidth="1"/>
    <col min="14815" max="14815" width="11.42578125" bestFit="1" customWidth="1"/>
    <col min="14816" max="14816" width="10.140625" bestFit="1" customWidth="1"/>
    <col min="14817" max="14817" width="28.7109375" bestFit="1" customWidth="1"/>
    <col min="14818" max="14818" width="28.42578125" bestFit="1" customWidth="1"/>
    <col min="14819" max="14819" width="34.28515625" bestFit="1" customWidth="1"/>
    <col min="14820" max="14820" width="13.7109375" bestFit="1" customWidth="1"/>
    <col min="14821" max="14821" width="22.7109375" bestFit="1" customWidth="1"/>
    <col min="14822" max="14822" width="41.28515625" bestFit="1" customWidth="1"/>
    <col min="14823" max="14823" width="19.85546875" bestFit="1" customWidth="1"/>
    <col min="14824" max="14824" width="24.28515625" bestFit="1" customWidth="1"/>
    <col min="14825" max="14825" width="62.140625" bestFit="1" customWidth="1"/>
    <col min="14826" max="14826" width="23.85546875" bestFit="1" customWidth="1"/>
    <col min="14827" max="14827" width="32.85546875" bestFit="1" customWidth="1"/>
    <col min="14828" max="14828" width="30.42578125" bestFit="1" customWidth="1"/>
    <col min="14829" max="14829" width="12.28515625" bestFit="1" customWidth="1"/>
    <col min="14830" max="14830" width="14.42578125" bestFit="1" customWidth="1"/>
    <col min="14831" max="14831" width="18.85546875" customWidth="1"/>
    <col min="15051" max="15051" width="11" bestFit="1" customWidth="1"/>
    <col min="15052" max="15052" width="18.42578125" bestFit="1" customWidth="1"/>
    <col min="15053" max="15053" width="22.28515625" bestFit="1" customWidth="1"/>
    <col min="15054" max="15054" width="52.7109375" bestFit="1" customWidth="1"/>
    <col min="15055" max="15055" width="11.42578125" bestFit="1" customWidth="1"/>
    <col min="15056" max="15056" width="20.140625" bestFit="1" customWidth="1"/>
    <col min="15057" max="15057" width="25.85546875" bestFit="1" customWidth="1"/>
    <col min="15058" max="15058" width="23.85546875" bestFit="1" customWidth="1"/>
    <col min="15059" max="15059" width="22.42578125" customWidth="1"/>
    <col min="15060" max="15060" width="10.85546875" bestFit="1" customWidth="1"/>
    <col min="15061" max="15061" width="8.42578125" bestFit="1" customWidth="1"/>
    <col min="15062" max="15062" width="15.7109375" bestFit="1" customWidth="1"/>
    <col min="15063" max="15063" width="19.28515625" bestFit="1" customWidth="1"/>
    <col min="15064" max="15064" width="28.140625" bestFit="1" customWidth="1"/>
    <col min="15065" max="15065" width="31.28515625" bestFit="1" customWidth="1"/>
    <col min="15066" max="15066" width="26.42578125" customWidth="1"/>
    <col min="15067" max="15067" width="15.28515625" customWidth="1"/>
    <col min="15068" max="15068" width="17.85546875" customWidth="1"/>
    <col min="15069" max="15069" width="36.28515625" bestFit="1" customWidth="1"/>
    <col min="15070" max="15070" width="24.42578125" bestFit="1" customWidth="1"/>
    <col min="15071" max="15071" width="11.42578125" bestFit="1" customWidth="1"/>
    <col min="15072" max="15072" width="10.140625" bestFit="1" customWidth="1"/>
    <col min="15073" max="15073" width="28.7109375" bestFit="1" customWidth="1"/>
    <col min="15074" max="15074" width="28.42578125" bestFit="1" customWidth="1"/>
    <col min="15075" max="15075" width="34.28515625" bestFit="1" customWidth="1"/>
    <col min="15076" max="15076" width="13.7109375" bestFit="1" customWidth="1"/>
    <col min="15077" max="15077" width="22.7109375" bestFit="1" customWidth="1"/>
    <col min="15078" max="15078" width="41.28515625" bestFit="1" customWidth="1"/>
    <col min="15079" max="15079" width="19.85546875" bestFit="1" customWidth="1"/>
    <col min="15080" max="15080" width="24.28515625" bestFit="1" customWidth="1"/>
    <col min="15081" max="15081" width="62.140625" bestFit="1" customWidth="1"/>
    <col min="15082" max="15082" width="23.85546875" bestFit="1" customWidth="1"/>
    <col min="15083" max="15083" width="32.85546875" bestFit="1" customWidth="1"/>
    <col min="15084" max="15084" width="30.42578125" bestFit="1" customWidth="1"/>
    <col min="15085" max="15085" width="12.28515625" bestFit="1" customWidth="1"/>
    <col min="15086" max="15086" width="14.42578125" bestFit="1" customWidth="1"/>
    <col min="15087" max="15087" width="18.85546875" customWidth="1"/>
    <col min="15307" max="15307" width="11" bestFit="1" customWidth="1"/>
    <col min="15308" max="15308" width="18.42578125" bestFit="1" customWidth="1"/>
    <col min="15309" max="15309" width="22.28515625" bestFit="1" customWidth="1"/>
    <col min="15310" max="15310" width="52.7109375" bestFit="1" customWidth="1"/>
    <col min="15311" max="15311" width="11.42578125" bestFit="1" customWidth="1"/>
    <col min="15312" max="15312" width="20.140625" bestFit="1" customWidth="1"/>
    <col min="15313" max="15313" width="25.85546875" bestFit="1" customWidth="1"/>
    <col min="15314" max="15314" width="23.85546875" bestFit="1" customWidth="1"/>
    <col min="15315" max="15315" width="22.42578125" customWidth="1"/>
    <col min="15316" max="15316" width="10.85546875" bestFit="1" customWidth="1"/>
    <col min="15317" max="15317" width="8.42578125" bestFit="1" customWidth="1"/>
    <col min="15318" max="15318" width="15.7109375" bestFit="1" customWidth="1"/>
    <col min="15319" max="15319" width="19.28515625" bestFit="1" customWidth="1"/>
    <col min="15320" max="15320" width="28.140625" bestFit="1" customWidth="1"/>
    <col min="15321" max="15321" width="31.28515625" bestFit="1" customWidth="1"/>
    <col min="15322" max="15322" width="26.42578125" customWidth="1"/>
    <col min="15323" max="15323" width="15.28515625" customWidth="1"/>
    <col min="15324" max="15324" width="17.85546875" customWidth="1"/>
    <col min="15325" max="15325" width="36.28515625" bestFit="1" customWidth="1"/>
    <col min="15326" max="15326" width="24.42578125" bestFit="1" customWidth="1"/>
    <col min="15327" max="15327" width="11.42578125" bestFit="1" customWidth="1"/>
    <col min="15328" max="15328" width="10.140625" bestFit="1" customWidth="1"/>
    <col min="15329" max="15329" width="28.7109375" bestFit="1" customWidth="1"/>
    <col min="15330" max="15330" width="28.42578125" bestFit="1" customWidth="1"/>
    <col min="15331" max="15331" width="34.28515625" bestFit="1" customWidth="1"/>
    <col min="15332" max="15332" width="13.7109375" bestFit="1" customWidth="1"/>
    <col min="15333" max="15333" width="22.7109375" bestFit="1" customWidth="1"/>
    <col min="15334" max="15334" width="41.28515625" bestFit="1" customWidth="1"/>
    <col min="15335" max="15335" width="19.85546875" bestFit="1" customWidth="1"/>
    <col min="15336" max="15336" width="24.28515625" bestFit="1" customWidth="1"/>
    <col min="15337" max="15337" width="62.140625" bestFit="1" customWidth="1"/>
    <col min="15338" max="15338" width="23.85546875" bestFit="1" customWidth="1"/>
    <col min="15339" max="15339" width="32.85546875" bestFit="1" customWidth="1"/>
    <col min="15340" max="15340" width="30.42578125" bestFit="1" customWidth="1"/>
    <col min="15341" max="15341" width="12.28515625" bestFit="1" customWidth="1"/>
    <col min="15342" max="15342" width="14.42578125" bestFit="1" customWidth="1"/>
    <col min="15343" max="15343" width="18.85546875" customWidth="1"/>
    <col min="15563" max="15563" width="11" bestFit="1" customWidth="1"/>
    <col min="15564" max="15564" width="18.42578125" bestFit="1" customWidth="1"/>
    <col min="15565" max="15565" width="22.28515625" bestFit="1" customWidth="1"/>
    <col min="15566" max="15566" width="52.7109375" bestFit="1" customWidth="1"/>
    <col min="15567" max="15567" width="11.42578125" bestFit="1" customWidth="1"/>
    <col min="15568" max="15568" width="20.140625" bestFit="1" customWidth="1"/>
    <col min="15569" max="15569" width="25.85546875" bestFit="1" customWidth="1"/>
    <col min="15570" max="15570" width="23.85546875" bestFit="1" customWidth="1"/>
    <col min="15571" max="15571" width="22.42578125" customWidth="1"/>
    <col min="15572" max="15572" width="10.85546875" bestFit="1" customWidth="1"/>
    <col min="15573" max="15573" width="8.42578125" bestFit="1" customWidth="1"/>
    <col min="15574" max="15574" width="15.7109375" bestFit="1" customWidth="1"/>
    <col min="15575" max="15575" width="19.28515625" bestFit="1" customWidth="1"/>
    <col min="15576" max="15576" width="28.140625" bestFit="1" customWidth="1"/>
    <col min="15577" max="15577" width="31.28515625" bestFit="1" customWidth="1"/>
    <col min="15578" max="15578" width="26.42578125" customWidth="1"/>
    <col min="15579" max="15579" width="15.28515625" customWidth="1"/>
    <col min="15580" max="15580" width="17.85546875" customWidth="1"/>
    <col min="15581" max="15581" width="36.28515625" bestFit="1" customWidth="1"/>
    <col min="15582" max="15582" width="24.42578125" bestFit="1" customWidth="1"/>
    <col min="15583" max="15583" width="11.42578125" bestFit="1" customWidth="1"/>
    <col min="15584" max="15584" width="10.140625" bestFit="1" customWidth="1"/>
    <col min="15585" max="15585" width="28.7109375" bestFit="1" customWidth="1"/>
    <col min="15586" max="15586" width="28.42578125" bestFit="1" customWidth="1"/>
    <col min="15587" max="15587" width="34.28515625" bestFit="1" customWidth="1"/>
    <col min="15588" max="15588" width="13.7109375" bestFit="1" customWidth="1"/>
    <col min="15589" max="15589" width="22.7109375" bestFit="1" customWidth="1"/>
    <col min="15590" max="15590" width="41.28515625" bestFit="1" customWidth="1"/>
    <col min="15591" max="15591" width="19.85546875" bestFit="1" customWidth="1"/>
    <col min="15592" max="15592" width="24.28515625" bestFit="1" customWidth="1"/>
    <col min="15593" max="15593" width="62.140625" bestFit="1" customWidth="1"/>
    <col min="15594" max="15594" width="23.85546875" bestFit="1" customWidth="1"/>
    <col min="15595" max="15595" width="32.85546875" bestFit="1" customWidth="1"/>
    <col min="15596" max="15596" width="30.42578125" bestFit="1" customWidth="1"/>
    <col min="15597" max="15597" width="12.28515625" bestFit="1" customWidth="1"/>
    <col min="15598" max="15598" width="14.42578125" bestFit="1" customWidth="1"/>
    <col min="15599" max="15599" width="18.85546875" customWidth="1"/>
    <col min="15819" max="15819" width="11" bestFit="1" customWidth="1"/>
    <col min="15820" max="15820" width="18.42578125" bestFit="1" customWidth="1"/>
    <col min="15821" max="15821" width="22.28515625" bestFit="1" customWidth="1"/>
    <col min="15822" max="15822" width="52.7109375" bestFit="1" customWidth="1"/>
    <col min="15823" max="15823" width="11.42578125" bestFit="1" customWidth="1"/>
    <col min="15824" max="15824" width="20.140625" bestFit="1" customWidth="1"/>
    <col min="15825" max="15825" width="25.85546875" bestFit="1" customWidth="1"/>
    <col min="15826" max="15826" width="23.85546875" bestFit="1" customWidth="1"/>
    <col min="15827" max="15827" width="22.42578125" customWidth="1"/>
    <col min="15828" max="15828" width="10.85546875" bestFit="1" customWidth="1"/>
    <col min="15829" max="15829" width="8.42578125" bestFit="1" customWidth="1"/>
    <col min="15830" max="15830" width="15.7109375" bestFit="1" customWidth="1"/>
    <col min="15831" max="15831" width="19.28515625" bestFit="1" customWidth="1"/>
    <col min="15832" max="15832" width="28.140625" bestFit="1" customWidth="1"/>
    <col min="15833" max="15833" width="31.28515625" bestFit="1" customWidth="1"/>
    <col min="15834" max="15834" width="26.42578125" customWidth="1"/>
    <col min="15835" max="15835" width="15.28515625" customWidth="1"/>
    <col min="15836" max="15836" width="17.85546875" customWidth="1"/>
    <col min="15837" max="15837" width="36.28515625" bestFit="1" customWidth="1"/>
    <col min="15838" max="15838" width="24.42578125" bestFit="1" customWidth="1"/>
    <col min="15839" max="15839" width="11.42578125" bestFit="1" customWidth="1"/>
    <col min="15840" max="15840" width="10.140625" bestFit="1" customWidth="1"/>
    <col min="15841" max="15841" width="28.7109375" bestFit="1" customWidth="1"/>
    <col min="15842" max="15842" width="28.42578125" bestFit="1" customWidth="1"/>
    <col min="15843" max="15843" width="34.28515625" bestFit="1" customWidth="1"/>
    <col min="15844" max="15844" width="13.7109375" bestFit="1" customWidth="1"/>
    <col min="15845" max="15845" width="22.7109375" bestFit="1" customWidth="1"/>
    <col min="15846" max="15846" width="41.28515625" bestFit="1" customWidth="1"/>
    <col min="15847" max="15847" width="19.85546875" bestFit="1" customWidth="1"/>
    <col min="15848" max="15848" width="24.28515625" bestFit="1" customWidth="1"/>
    <col min="15849" max="15849" width="62.140625" bestFit="1" customWidth="1"/>
    <col min="15850" max="15850" width="23.85546875" bestFit="1" customWidth="1"/>
    <col min="15851" max="15851" width="32.85546875" bestFit="1" customWidth="1"/>
    <col min="15852" max="15852" width="30.42578125" bestFit="1" customWidth="1"/>
    <col min="15853" max="15853" width="12.28515625" bestFit="1" customWidth="1"/>
    <col min="15854" max="15854" width="14.42578125" bestFit="1" customWidth="1"/>
    <col min="15855" max="15855" width="18.85546875" customWidth="1"/>
    <col min="16075" max="16075" width="11" bestFit="1" customWidth="1"/>
    <col min="16076" max="16076" width="18.42578125" bestFit="1" customWidth="1"/>
    <col min="16077" max="16077" width="22.28515625" bestFit="1" customWidth="1"/>
    <col min="16078" max="16078" width="52.7109375" bestFit="1" customWidth="1"/>
    <col min="16079" max="16079" width="11.42578125" bestFit="1" customWidth="1"/>
    <col min="16080" max="16080" width="20.140625" bestFit="1" customWidth="1"/>
    <col min="16081" max="16081" width="25.85546875" bestFit="1" customWidth="1"/>
    <col min="16082" max="16082" width="23.85546875" bestFit="1" customWidth="1"/>
    <col min="16083" max="16083" width="22.42578125" customWidth="1"/>
    <col min="16084" max="16084" width="10.85546875" bestFit="1" customWidth="1"/>
    <col min="16085" max="16085" width="8.42578125" bestFit="1" customWidth="1"/>
    <col min="16086" max="16086" width="15.7109375" bestFit="1" customWidth="1"/>
    <col min="16087" max="16087" width="19.28515625" bestFit="1" customWidth="1"/>
    <col min="16088" max="16088" width="28.140625" bestFit="1" customWidth="1"/>
    <col min="16089" max="16089" width="31.28515625" bestFit="1" customWidth="1"/>
    <col min="16090" max="16090" width="26.42578125" customWidth="1"/>
    <col min="16091" max="16091" width="15.28515625" customWidth="1"/>
    <col min="16092" max="16092" width="17.85546875" customWidth="1"/>
    <col min="16093" max="16093" width="36.28515625" bestFit="1" customWidth="1"/>
    <col min="16094" max="16094" width="24.42578125" bestFit="1" customWidth="1"/>
    <col min="16095" max="16095" width="11.42578125" bestFit="1" customWidth="1"/>
    <col min="16096" max="16096" width="10.140625" bestFit="1" customWidth="1"/>
    <col min="16097" max="16097" width="28.7109375" bestFit="1" customWidth="1"/>
    <col min="16098" max="16098" width="28.42578125" bestFit="1" customWidth="1"/>
    <col min="16099" max="16099" width="34.28515625" bestFit="1" customWidth="1"/>
    <col min="16100" max="16100" width="13.7109375" bestFit="1" customWidth="1"/>
    <col min="16101" max="16101" width="22.7109375" bestFit="1" customWidth="1"/>
    <col min="16102" max="16102" width="41.28515625" bestFit="1" customWidth="1"/>
    <col min="16103" max="16103" width="19.85546875" bestFit="1" customWidth="1"/>
    <col min="16104" max="16104" width="24.28515625" bestFit="1" customWidth="1"/>
    <col min="16105" max="16105" width="62.140625" bestFit="1" customWidth="1"/>
    <col min="16106" max="16106" width="23.85546875" bestFit="1" customWidth="1"/>
    <col min="16107" max="16107" width="32.85546875" bestFit="1" customWidth="1"/>
    <col min="16108" max="16108" width="30.42578125" bestFit="1" customWidth="1"/>
    <col min="16109" max="16109" width="12.28515625" bestFit="1" customWidth="1"/>
    <col min="16110" max="16110" width="14.42578125" bestFit="1" customWidth="1"/>
    <col min="16111" max="16111" width="18.85546875" customWidth="1"/>
  </cols>
  <sheetData>
    <row r="1" spans="1:485" ht="16.5" thickBot="1">
      <c r="A1" s="36" t="s">
        <v>602</v>
      </c>
      <c r="B1" s="24"/>
      <c r="C1" s="37" t="s">
        <v>26</v>
      </c>
      <c r="D1" s="24"/>
      <c r="E1" s="24"/>
      <c r="F1" s="24"/>
      <c r="G1" s="38"/>
      <c r="H1" s="37" t="s">
        <v>603</v>
      </c>
      <c r="I1" s="24"/>
      <c r="J1" s="24"/>
      <c r="K1" s="24"/>
      <c r="L1" s="24"/>
      <c r="M1" s="24"/>
      <c r="N1" s="24"/>
      <c r="O1" s="24"/>
      <c r="P1" s="24"/>
      <c r="Q1" s="39"/>
      <c r="R1" s="40"/>
      <c r="S1" s="41"/>
      <c r="T1" s="42" t="s">
        <v>604</v>
      </c>
      <c r="U1" s="41"/>
      <c r="V1" s="41"/>
      <c r="W1" s="41"/>
      <c r="X1" s="41"/>
      <c r="Y1" s="41"/>
      <c r="Z1" s="43"/>
      <c r="AA1" s="44" t="s">
        <v>605</v>
      </c>
      <c r="AB1" s="41"/>
      <c r="AC1" s="41"/>
      <c r="AD1" s="41"/>
      <c r="AE1" s="41"/>
      <c r="AF1" s="41"/>
      <c r="AG1" s="41"/>
      <c r="AH1" s="41"/>
      <c r="AI1" s="41"/>
      <c r="AJ1" s="39"/>
    </row>
    <row r="2" spans="1:485" ht="19.5" thickBot="1">
      <c r="A2" s="3"/>
      <c r="B2" s="45" t="s">
        <v>606</v>
      </c>
      <c r="C2" s="24"/>
      <c r="D2" s="46"/>
      <c r="E2" s="46"/>
      <c r="F2" s="46"/>
      <c r="G2" s="47"/>
      <c r="H2" s="24"/>
      <c r="I2" s="48" t="s">
        <v>607</v>
      </c>
      <c r="J2" s="49"/>
      <c r="K2" s="49"/>
      <c r="L2" s="50"/>
      <c r="M2" s="51"/>
      <c r="N2" s="51"/>
      <c r="O2" s="51"/>
      <c r="P2" s="24"/>
      <c r="Q2" s="52"/>
      <c r="R2" s="53"/>
      <c r="S2" s="54" t="s">
        <v>608</v>
      </c>
      <c r="T2" s="54"/>
      <c r="U2" s="55"/>
      <c r="V2" s="56"/>
      <c r="W2" s="56"/>
      <c r="X2" s="56"/>
      <c r="Y2" s="56"/>
      <c r="Z2" s="57"/>
      <c r="AA2" s="56"/>
      <c r="AB2" s="56"/>
      <c r="AC2" s="56"/>
      <c r="AD2" s="56"/>
      <c r="AE2" s="56"/>
      <c r="AF2" s="56"/>
      <c r="AG2" s="56"/>
      <c r="AH2" s="58"/>
      <c r="AI2" s="58"/>
      <c r="AJ2" s="52"/>
    </row>
    <row r="3" spans="1:485" ht="16.5" thickBot="1">
      <c r="A3" s="59" t="s">
        <v>609</v>
      </c>
      <c r="B3" s="60"/>
      <c r="C3" s="97" t="s">
        <v>610</v>
      </c>
      <c r="D3" s="98" t="s">
        <v>611</v>
      </c>
      <c r="E3" s="99" t="s">
        <v>29</v>
      </c>
      <c r="F3" s="100" t="s">
        <v>612</v>
      </c>
      <c r="G3" s="61" t="s">
        <v>613</v>
      </c>
      <c r="H3" s="486" t="s">
        <v>614</v>
      </c>
      <c r="I3" s="101" t="s">
        <v>615</v>
      </c>
      <c r="J3" s="102" t="s">
        <v>180</v>
      </c>
      <c r="K3" s="62" t="s">
        <v>616</v>
      </c>
      <c r="L3" s="103" t="s">
        <v>617</v>
      </c>
      <c r="M3" s="104" t="s">
        <v>618</v>
      </c>
      <c r="N3" s="63" t="s">
        <v>619</v>
      </c>
      <c r="O3" s="63" t="s">
        <v>620</v>
      </c>
      <c r="P3" s="64" t="s">
        <v>621</v>
      </c>
      <c r="Q3" s="65" t="s">
        <v>622</v>
      </c>
      <c r="R3" s="66" t="s">
        <v>623</v>
      </c>
      <c r="S3" s="105" t="s">
        <v>624</v>
      </c>
      <c r="T3" s="106" t="s">
        <v>61</v>
      </c>
      <c r="U3" s="107" t="s">
        <v>62</v>
      </c>
      <c r="V3" s="108" t="s">
        <v>63</v>
      </c>
      <c r="W3" s="109" t="s">
        <v>625</v>
      </c>
      <c r="X3" s="110" t="s">
        <v>626</v>
      </c>
      <c r="Y3" s="67" t="s">
        <v>627</v>
      </c>
      <c r="Z3" s="111" t="s">
        <v>628</v>
      </c>
      <c r="AA3" s="98" t="s">
        <v>629</v>
      </c>
      <c r="AB3" s="112" t="s">
        <v>630</v>
      </c>
      <c r="AC3" s="100" t="s">
        <v>631</v>
      </c>
      <c r="AD3" s="99" t="s">
        <v>352</v>
      </c>
      <c r="AE3" s="107" t="s">
        <v>632</v>
      </c>
      <c r="AF3" s="113" t="s">
        <v>633</v>
      </c>
      <c r="AG3" s="68" t="s">
        <v>634</v>
      </c>
      <c r="AH3" s="69" t="s">
        <v>635</v>
      </c>
      <c r="AI3" s="65" t="s">
        <v>622</v>
      </c>
      <c r="AJ3" s="66" t="s">
        <v>622</v>
      </c>
    </row>
    <row r="4" spans="1:485" ht="16.5" thickBot="1">
      <c r="A4" s="545" t="s">
        <v>636</v>
      </c>
      <c r="B4" s="546"/>
      <c r="D4" s="70"/>
      <c r="E4" s="70"/>
      <c r="F4" s="70"/>
      <c r="G4" s="71"/>
      <c r="H4" s="70"/>
      <c r="I4" s="70"/>
      <c r="J4" s="70"/>
      <c r="K4" s="70"/>
      <c r="M4" s="70"/>
      <c r="N4" s="70"/>
      <c r="O4" s="70"/>
      <c r="P4" s="72"/>
      <c r="Q4" s="73"/>
      <c r="R4" s="72"/>
      <c r="S4" s="8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2"/>
      <c r="AI4" s="73"/>
    </row>
    <row r="5" spans="1:485" ht="16.5" thickBot="1">
      <c r="A5" s="547" t="s">
        <v>637</v>
      </c>
      <c r="B5" s="548"/>
      <c r="D5" s="70"/>
      <c r="E5" s="70"/>
      <c r="F5" s="70"/>
      <c r="G5" s="71"/>
      <c r="H5" s="70"/>
      <c r="I5" s="70"/>
      <c r="J5" s="70"/>
      <c r="K5" s="70"/>
      <c r="M5" s="70"/>
      <c r="N5" s="70"/>
      <c r="O5" s="70"/>
      <c r="P5" s="72"/>
      <c r="Q5" s="73"/>
      <c r="R5" s="72"/>
      <c r="S5" s="8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2"/>
      <c r="AI5" s="73"/>
    </row>
    <row r="6" spans="1:485" ht="15.75">
      <c r="A6" s="3"/>
      <c r="B6" s="74" t="s">
        <v>638</v>
      </c>
      <c r="Q6" s="73"/>
      <c r="AI6" s="73"/>
    </row>
    <row r="7" spans="1:485" ht="15.75">
      <c r="A7" s="114"/>
      <c r="B7" s="115" t="s">
        <v>639</v>
      </c>
      <c r="C7" s="116">
        <f>Acadia!M24</f>
        <v>4784714</v>
      </c>
      <c r="D7" s="116">
        <f>Acadia!M25</f>
        <v>11822706</v>
      </c>
      <c r="E7" s="116"/>
      <c r="F7" s="116">
        <f>Acadia!M26+Acadia!M27+Acadia!M28+Acadia!M29</f>
        <v>2030768</v>
      </c>
      <c r="G7" s="116">
        <f t="shared" ref="G7:G38" si="0">SUM(C7:F7)</f>
        <v>18638188</v>
      </c>
      <c r="H7" s="116"/>
      <c r="I7" s="116">
        <f>Acadia!M30</f>
        <v>443266</v>
      </c>
      <c r="J7" s="116"/>
      <c r="K7" s="116"/>
      <c r="L7" s="116">
        <f>Acadia!M34</f>
        <v>-515000</v>
      </c>
      <c r="M7" s="116">
        <f>Acadia!M31+Acadia!M32+Acadia!M33</f>
        <v>516063</v>
      </c>
      <c r="N7" s="116">
        <f t="shared" ref="N7:N38" si="1">SUM(H7:M7)</f>
        <v>444329</v>
      </c>
      <c r="O7" s="116"/>
      <c r="P7" s="116">
        <f t="shared" ref="P7:P20" si="2">SUM(N7,G7,O7)</f>
        <v>19082517</v>
      </c>
      <c r="Q7" s="118" t="str">
        <f t="shared" ref="Q7:Q70" si="3">IF(P7=R7,"ok","check")</f>
        <v>ok</v>
      </c>
      <c r="R7" s="116">
        <f>Acadia!M36</f>
        <v>19082517</v>
      </c>
      <c r="S7" s="117">
        <f>Acadia!I9</f>
        <v>-3174139</v>
      </c>
      <c r="T7" s="116"/>
      <c r="U7" s="116"/>
      <c r="V7" s="116"/>
      <c r="W7" s="116"/>
      <c r="X7" s="116"/>
      <c r="Y7" s="116">
        <f t="shared" ref="Y7:Y38" si="4">SUM(S7:X7)</f>
        <v>-3174139</v>
      </c>
      <c r="Z7" s="116">
        <f>Acadia!I10</f>
        <v>-1842385</v>
      </c>
      <c r="AA7" s="116">
        <f>Acadia!I11</f>
        <v>-5893248</v>
      </c>
      <c r="AB7" s="116">
        <f>Acadia!I12</f>
        <v>-574712</v>
      </c>
      <c r="AC7" s="116">
        <f>Acadia!I13</f>
        <v>-7186309</v>
      </c>
      <c r="AD7" s="116">
        <f>Acadia!I14</f>
        <v>-340726</v>
      </c>
      <c r="AE7" s="116">
        <f>Acadia!I15</f>
        <v>-394773</v>
      </c>
      <c r="AF7" s="116"/>
      <c r="AG7" s="116">
        <f t="shared" ref="AG7:AG38" si="5">SUM(Z7:AF7)</f>
        <v>-16232153</v>
      </c>
      <c r="AH7" s="116">
        <f t="shared" ref="AH7:AH14" si="6">SUM(AG7,Y7)</f>
        <v>-19406292</v>
      </c>
      <c r="AI7" s="118" t="str">
        <f t="shared" ref="AI7:AI8" si="7">IF(AH7=AJ7,"ok","check")</f>
        <v>ok</v>
      </c>
      <c r="AJ7" s="116">
        <f>Acadia!I17</f>
        <v>-19406292</v>
      </c>
    </row>
    <row r="8" spans="1:485" ht="15.75">
      <c r="A8" s="3"/>
      <c r="B8" s="8" t="s">
        <v>640</v>
      </c>
      <c r="C8" s="9">
        <f>Allen!M21</f>
        <v>3151619</v>
      </c>
      <c r="D8" s="9">
        <f>Allen!M22</f>
        <v>1871684</v>
      </c>
      <c r="E8" s="9"/>
      <c r="F8" s="9">
        <f>Allen!M23+Allen!M24</f>
        <v>1135923</v>
      </c>
      <c r="G8" s="9">
        <f t="shared" si="0"/>
        <v>6159226</v>
      </c>
      <c r="H8" s="9">
        <f>Allen!M25</f>
        <v>175817</v>
      </c>
      <c r="I8" s="9"/>
      <c r="J8" s="9"/>
      <c r="K8" s="9"/>
      <c r="L8" s="9"/>
      <c r="M8" s="9">
        <f>Allen!M26+Allen!M27+Allen!M29</f>
        <v>1291743</v>
      </c>
      <c r="N8" s="9">
        <f t="shared" si="1"/>
        <v>1467560</v>
      </c>
      <c r="O8" s="9"/>
      <c r="P8" s="9">
        <f t="shared" si="2"/>
        <v>7626786</v>
      </c>
      <c r="Q8" s="118" t="str">
        <f t="shared" si="3"/>
        <v>ok</v>
      </c>
      <c r="R8" s="9">
        <f>Allen!M31</f>
        <v>7626786</v>
      </c>
      <c r="S8" s="9">
        <f>Allen!I9</f>
        <v>-2194302</v>
      </c>
      <c r="T8" s="9"/>
      <c r="U8" s="9"/>
      <c r="V8" s="9"/>
      <c r="W8" s="9"/>
      <c r="X8" s="9"/>
      <c r="Y8" s="9">
        <f t="shared" si="4"/>
        <v>-2194302</v>
      </c>
      <c r="Z8" s="9">
        <f>Allen!I10</f>
        <v>-592121</v>
      </c>
      <c r="AA8" s="9">
        <f>Allen!I11</f>
        <v>-6135280</v>
      </c>
      <c r="AB8" s="9">
        <f>Allen!I12</f>
        <v>-302516</v>
      </c>
      <c r="AC8" s="9"/>
      <c r="AD8" s="9"/>
      <c r="AE8" s="9">
        <f>Allen!I14</f>
        <v>-4853</v>
      </c>
      <c r="AF8" s="9">
        <f>Allen!I13</f>
        <v>-719358</v>
      </c>
      <c r="AG8" s="9">
        <f t="shared" si="5"/>
        <v>-7754128</v>
      </c>
      <c r="AH8" s="9">
        <f t="shared" si="6"/>
        <v>-9948430</v>
      </c>
      <c r="AI8" s="118" t="str">
        <f t="shared" si="7"/>
        <v>ok</v>
      </c>
      <c r="AJ8" s="9">
        <f>Allen!I16</f>
        <v>-9948430</v>
      </c>
    </row>
    <row r="9" spans="1:485" s="123" customFormat="1" ht="15.75">
      <c r="A9" s="122"/>
      <c r="B9" s="120" t="s">
        <v>641</v>
      </c>
      <c r="C9" s="121"/>
      <c r="D9" s="121"/>
      <c r="E9" s="121"/>
      <c r="F9" s="121"/>
      <c r="G9" s="121">
        <f t="shared" ref="G9" si="8">SUM(C9:F9)</f>
        <v>0</v>
      </c>
      <c r="H9" s="121"/>
      <c r="I9" s="121"/>
      <c r="J9" s="121"/>
      <c r="K9" s="121"/>
      <c r="L9" s="121"/>
      <c r="M9" s="121"/>
      <c r="N9" s="121">
        <f t="shared" ref="N9" si="9">SUM(H9:M9)</f>
        <v>0</v>
      </c>
      <c r="O9" s="121"/>
      <c r="P9" s="121">
        <f t="shared" ref="P9" si="10">SUM(N9,G9,O9)</f>
        <v>0</v>
      </c>
      <c r="Q9" s="118" t="str">
        <f t="shared" ref="Q9:Q18" si="11">IF(P9=R9,"ok","check")</f>
        <v>ok</v>
      </c>
      <c r="R9" s="121"/>
      <c r="S9" s="121">
        <f>Bienville!I7</f>
        <v>0</v>
      </c>
      <c r="T9" s="121"/>
      <c r="U9" s="121"/>
      <c r="V9" s="121"/>
      <c r="W9" s="121"/>
      <c r="X9" s="121"/>
      <c r="Y9" s="121">
        <f t="shared" ref="Y9" si="12">SUM(S9:X9)</f>
        <v>0</v>
      </c>
      <c r="Z9" s="121">
        <f>Bienville!I8</f>
        <v>0</v>
      </c>
      <c r="AA9" s="121"/>
      <c r="AB9" s="121"/>
      <c r="AC9" s="121"/>
      <c r="AD9" s="121"/>
      <c r="AE9" s="121"/>
      <c r="AF9" s="121"/>
      <c r="AG9" s="121">
        <f t="shared" ref="AG9" si="13">SUM(Z9:AF9)</f>
        <v>0</v>
      </c>
      <c r="AH9" s="121">
        <f t="shared" ref="AH9" si="14">SUM(AG9,Y9)</f>
        <v>0</v>
      </c>
      <c r="AI9" s="118" t="str">
        <f t="shared" ref="AI9:AI65" si="15">IF(AH9=AJ9,"ok","check")</f>
        <v>ok</v>
      </c>
      <c r="AJ9" s="121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</row>
    <row r="10" spans="1:485" ht="15.75">
      <c r="A10" s="3"/>
      <c r="B10" s="8" t="s">
        <v>642</v>
      </c>
      <c r="C10" s="9">
        <f>Assumption!L33+Assumption!L34</f>
        <v>9207932</v>
      </c>
      <c r="D10" s="9">
        <f>Assumption!L35</f>
        <v>1071008</v>
      </c>
      <c r="E10" s="9"/>
      <c r="F10" s="9">
        <f>Assumption!L36</f>
        <v>1890578</v>
      </c>
      <c r="G10" s="9">
        <f>SUM(C10:F10)</f>
        <v>12169518</v>
      </c>
      <c r="H10" s="9"/>
      <c r="I10" s="9">
        <f>Assumption!L38</f>
        <v>882766</v>
      </c>
      <c r="J10" s="9"/>
      <c r="K10" s="9"/>
      <c r="L10" s="9"/>
      <c r="M10" s="9"/>
      <c r="N10" s="9">
        <f>SUM(H10:M10)</f>
        <v>882766</v>
      </c>
      <c r="O10" s="9"/>
      <c r="P10" s="9">
        <f>SUM(N10,G10,O10)</f>
        <v>13052284</v>
      </c>
      <c r="Q10" s="118" t="str">
        <f t="shared" si="11"/>
        <v>ok</v>
      </c>
      <c r="R10" s="9">
        <f>Assumption!L40</f>
        <v>13052284</v>
      </c>
      <c r="S10" s="9"/>
      <c r="T10" s="9">
        <f>Assumption!I10</f>
        <v>583006</v>
      </c>
      <c r="U10" s="9">
        <f>Assumption!I11</f>
        <v>970822</v>
      </c>
      <c r="V10" s="9">
        <f>Assumption!I12</f>
        <v>51593</v>
      </c>
      <c r="W10" s="9">
        <f>Assumption!I13</f>
        <v>351185</v>
      </c>
      <c r="X10" s="9">
        <f>Assumption!I14</f>
        <v>167869</v>
      </c>
      <c r="Y10" s="9">
        <f t="shared" si="4"/>
        <v>2124475</v>
      </c>
      <c r="Z10" s="9">
        <f>Assumption!I15</f>
        <v>3430554</v>
      </c>
      <c r="AA10" s="9">
        <f>Assumption!I16</f>
        <v>5847342</v>
      </c>
      <c r="AB10" s="9">
        <f>Assumption!I20</f>
        <v>221560</v>
      </c>
      <c r="AC10" s="9">
        <f>Assumption!I18</f>
        <v>2470140</v>
      </c>
      <c r="AD10" s="9">
        <f>Assumption!I19</f>
        <v>1276963</v>
      </c>
      <c r="AE10" s="9"/>
      <c r="AF10" s="9"/>
      <c r="AG10" s="9">
        <f t="shared" si="5"/>
        <v>13246559</v>
      </c>
      <c r="AH10" s="9">
        <f t="shared" si="6"/>
        <v>15371034</v>
      </c>
      <c r="AI10" s="118" t="str">
        <f t="shared" si="15"/>
        <v>ok</v>
      </c>
      <c r="AJ10" s="9">
        <f>Assumption!I23</f>
        <v>15371034</v>
      </c>
    </row>
    <row r="11" spans="1:485" s="137" customFormat="1" ht="15.75">
      <c r="A11" s="135"/>
      <c r="B11" s="124" t="s">
        <v>643</v>
      </c>
      <c r="C11" s="128">
        <f>Avoyelles!M19</f>
        <v>2107549</v>
      </c>
      <c r="D11" s="128">
        <f>Avoyelles!M20</f>
        <v>4528838</v>
      </c>
      <c r="E11" s="128"/>
      <c r="F11" s="128"/>
      <c r="G11" s="128">
        <f>SUM(C11:F11)</f>
        <v>6636387</v>
      </c>
      <c r="H11" s="128">
        <f>Avoyelles!M22</f>
        <v>206873</v>
      </c>
      <c r="I11" s="128"/>
      <c r="J11" s="128">
        <f>Avoyelles!M24</f>
        <v>519014</v>
      </c>
      <c r="K11" s="128"/>
      <c r="L11" s="128"/>
      <c r="M11" s="128">
        <f>Avoyelles!M23+Avoyelles!M25+Avoyelles!M26+Avoyelles!M27+Avoyelles!M28</f>
        <v>424982</v>
      </c>
      <c r="N11" s="128">
        <f>SUM(H11:M11)</f>
        <v>1150869</v>
      </c>
      <c r="O11" s="128"/>
      <c r="P11" s="128">
        <f>SUM(N11,G11,O11)</f>
        <v>7787256</v>
      </c>
      <c r="Q11" s="118" t="str">
        <f t="shared" si="11"/>
        <v>ok</v>
      </c>
      <c r="R11" s="128">
        <f>Avoyelles!M30</f>
        <v>7787256</v>
      </c>
      <c r="S11" s="128">
        <f>Avoyelles!I8</f>
        <v>-1411958</v>
      </c>
      <c r="T11" s="128"/>
      <c r="U11" s="128"/>
      <c r="V11" s="128"/>
      <c r="W11" s="128"/>
      <c r="X11" s="128"/>
      <c r="Y11" s="128">
        <f t="shared" si="4"/>
        <v>-1411958</v>
      </c>
      <c r="Z11" s="128">
        <f>Avoyelles!I9</f>
        <v>-1006255</v>
      </c>
      <c r="AA11" s="128">
        <f>Avoyelles!I10</f>
        <v>-4651624</v>
      </c>
      <c r="AB11" s="128">
        <f>Avoyelles!I13</f>
        <v>-296694</v>
      </c>
      <c r="AC11" s="128">
        <f>Avoyelles!I11</f>
        <v>-831081</v>
      </c>
      <c r="AD11" s="128">
        <f>Avoyelles!I12</f>
        <v>-629145</v>
      </c>
      <c r="AE11" s="128"/>
      <c r="AF11" s="128"/>
      <c r="AG11" s="128">
        <f t="shared" si="5"/>
        <v>-7414799</v>
      </c>
      <c r="AH11" s="128">
        <f t="shared" si="6"/>
        <v>-8826757</v>
      </c>
      <c r="AI11" s="118" t="str">
        <f t="shared" si="15"/>
        <v>ok</v>
      </c>
      <c r="AJ11" s="128">
        <f>Avoyelles!I15</f>
        <v>-8826757</v>
      </c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132"/>
      <c r="DT11" s="132"/>
      <c r="DU11" s="132"/>
      <c r="DV11" s="132"/>
      <c r="DW11" s="132"/>
      <c r="DX11" s="132"/>
      <c r="DY11" s="132"/>
      <c r="DZ11" s="132"/>
      <c r="EA11" s="132"/>
      <c r="EB11" s="132"/>
      <c r="EC11" s="132"/>
      <c r="ED11" s="132"/>
      <c r="EE11" s="132"/>
      <c r="EF11" s="132"/>
      <c r="EG11" s="132"/>
      <c r="EH11" s="132"/>
      <c r="EI11" s="132"/>
      <c r="EJ11" s="132"/>
      <c r="EK11" s="132"/>
      <c r="EL11" s="132"/>
      <c r="EM11" s="132"/>
      <c r="EN11" s="132"/>
      <c r="EO11" s="132"/>
      <c r="EP11" s="132"/>
      <c r="EQ11" s="132"/>
      <c r="ER11" s="132"/>
      <c r="ES11" s="132"/>
      <c r="ET11" s="132"/>
      <c r="EU11" s="132"/>
      <c r="EV11" s="132"/>
      <c r="EW11" s="132"/>
      <c r="EX11" s="132"/>
      <c r="EY11" s="132"/>
      <c r="EZ11" s="132"/>
      <c r="FA11" s="132"/>
      <c r="FB11" s="132"/>
      <c r="FC11" s="132"/>
      <c r="FD11" s="132"/>
      <c r="FE11" s="132"/>
      <c r="FF11" s="132"/>
      <c r="FG11" s="132"/>
      <c r="FH11" s="132"/>
      <c r="FI11" s="132"/>
      <c r="FJ11" s="132"/>
      <c r="FK11" s="132"/>
      <c r="FL11" s="132"/>
      <c r="FM11" s="132"/>
      <c r="FN11" s="132"/>
      <c r="FO11" s="132"/>
      <c r="FP11" s="132"/>
      <c r="FQ11" s="132"/>
      <c r="FR11" s="132"/>
      <c r="FS11" s="132"/>
      <c r="FT11" s="132"/>
      <c r="FU11" s="132"/>
      <c r="FV11" s="132"/>
      <c r="FW11" s="132"/>
      <c r="FX11" s="132"/>
      <c r="FY11" s="132"/>
      <c r="FZ11" s="132"/>
      <c r="GA11" s="132"/>
      <c r="GB11" s="132"/>
      <c r="GC11" s="132"/>
      <c r="GD11" s="132"/>
      <c r="GE11" s="132"/>
      <c r="GF11" s="132"/>
      <c r="GG11" s="132"/>
      <c r="GH11" s="132"/>
      <c r="GI11" s="132"/>
      <c r="GJ11" s="132"/>
      <c r="GK11" s="132"/>
      <c r="GL11" s="132"/>
      <c r="GM11" s="132"/>
      <c r="GN11" s="132"/>
      <c r="GO11" s="132"/>
      <c r="GP11" s="132"/>
      <c r="GQ11" s="132"/>
      <c r="GR11" s="132"/>
      <c r="GS11" s="132"/>
      <c r="GT11" s="132"/>
      <c r="GU11" s="132"/>
      <c r="GV11" s="132"/>
      <c r="GW11" s="132"/>
      <c r="GX11" s="132"/>
      <c r="GY11" s="132"/>
      <c r="GZ11" s="132"/>
      <c r="HA11" s="132"/>
      <c r="HB11" s="132"/>
      <c r="HC11" s="132"/>
      <c r="HD11" s="132"/>
      <c r="HE11" s="132"/>
      <c r="HF11" s="132"/>
      <c r="HG11" s="132"/>
      <c r="HH11" s="132"/>
      <c r="HI11" s="132"/>
      <c r="HJ11" s="132"/>
      <c r="HK11" s="132"/>
      <c r="HL11" s="132"/>
      <c r="HM11" s="132"/>
      <c r="HN11" s="132"/>
      <c r="HO11" s="132"/>
      <c r="HP11" s="132"/>
      <c r="HQ11" s="132"/>
      <c r="HR11" s="132"/>
      <c r="HS11" s="132"/>
      <c r="HT11" s="132"/>
      <c r="HU11" s="132"/>
      <c r="HV11" s="132"/>
      <c r="HW11" s="132"/>
      <c r="HX11" s="132"/>
      <c r="HY11" s="132"/>
      <c r="HZ11" s="132"/>
      <c r="IA11" s="132"/>
      <c r="IB11" s="132"/>
      <c r="IC11" s="132"/>
      <c r="ID11" s="132"/>
      <c r="IE11" s="132"/>
      <c r="IF11" s="132"/>
      <c r="IG11" s="132"/>
      <c r="IH11" s="132"/>
      <c r="II11" s="132"/>
      <c r="IJ11" s="132"/>
      <c r="IK11" s="132"/>
      <c r="IL11" s="132"/>
      <c r="IM11" s="132"/>
      <c r="IN11" s="132"/>
      <c r="IO11" s="132"/>
      <c r="IP11" s="132"/>
      <c r="IQ11" s="132"/>
      <c r="IR11" s="132"/>
      <c r="IS11" s="132"/>
      <c r="IT11" s="132"/>
      <c r="IU11" s="132"/>
      <c r="IV11" s="132"/>
      <c r="IW11" s="132"/>
      <c r="IX11" s="132"/>
      <c r="IY11" s="132"/>
      <c r="IZ11" s="132"/>
      <c r="JA11" s="132"/>
      <c r="JB11" s="132"/>
      <c r="JC11" s="132"/>
      <c r="JD11" s="132"/>
      <c r="JE11" s="132"/>
      <c r="JF11" s="132"/>
      <c r="JG11" s="132"/>
      <c r="JH11" s="132"/>
      <c r="JI11" s="132"/>
      <c r="JJ11" s="132"/>
      <c r="JK11" s="132"/>
      <c r="JL11" s="132"/>
      <c r="JM11" s="132"/>
      <c r="JN11" s="132"/>
      <c r="JO11" s="132"/>
      <c r="JP11" s="132"/>
      <c r="JQ11" s="132"/>
      <c r="JR11" s="132"/>
      <c r="JS11" s="132"/>
      <c r="JT11" s="132"/>
      <c r="JU11" s="132"/>
      <c r="JV11" s="132"/>
      <c r="JW11" s="132"/>
      <c r="JX11" s="132"/>
      <c r="JY11" s="132"/>
      <c r="JZ11" s="132"/>
      <c r="KA11" s="132"/>
      <c r="KB11" s="132"/>
      <c r="KC11" s="132"/>
      <c r="KD11" s="132"/>
      <c r="KE11" s="132"/>
      <c r="KF11" s="132"/>
      <c r="KG11" s="132"/>
      <c r="KH11" s="132"/>
      <c r="KI11" s="132"/>
      <c r="KJ11" s="132"/>
      <c r="KK11" s="132"/>
      <c r="KL11" s="132"/>
      <c r="KM11" s="132"/>
      <c r="KN11" s="132"/>
      <c r="KO11" s="132"/>
      <c r="KP11" s="132"/>
      <c r="KQ11" s="132"/>
      <c r="KR11" s="132"/>
      <c r="KS11" s="132"/>
      <c r="KT11" s="132"/>
      <c r="KU11" s="132"/>
      <c r="KV11" s="132"/>
      <c r="KW11" s="132"/>
      <c r="KX11" s="132"/>
      <c r="KY11" s="132"/>
      <c r="KZ11" s="132"/>
      <c r="LA11" s="132"/>
      <c r="LB11" s="132"/>
      <c r="LC11" s="132"/>
      <c r="LD11" s="132"/>
      <c r="LE11" s="132"/>
      <c r="LF11" s="132"/>
      <c r="LG11" s="132"/>
      <c r="LH11" s="132"/>
      <c r="LI11" s="132"/>
      <c r="LJ11" s="132"/>
      <c r="LK11" s="132"/>
      <c r="LL11" s="132"/>
      <c r="LM11" s="132"/>
      <c r="LN11" s="132"/>
      <c r="LO11" s="132"/>
      <c r="LP11" s="132"/>
      <c r="LQ11" s="132"/>
      <c r="LR11" s="132"/>
      <c r="LS11" s="132"/>
      <c r="LT11" s="132"/>
      <c r="LU11" s="132"/>
      <c r="LV11" s="132"/>
      <c r="LW11" s="132"/>
      <c r="LX11" s="132"/>
      <c r="LY11" s="132"/>
      <c r="LZ11" s="132"/>
      <c r="MA11" s="132"/>
      <c r="MB11" s="132"/>
      <c r="MC11" s="132"/>
      <c r="MD11" s="132"/>
      <c r="ME11" s="132"/>
      <c r="MF11" s="132"/>
      <c r="MG11" s="132"/>
      <c r="MH11" s="132"/>
      <c r="MI11" s="132"/>
      <c r="MJ11" s="132"/>
      <c r="MK11" s="132"/>
      <c r="ML11" s="132"/>
      <c r="MM11" s="132"/>
      <c r="MN11" s="132"/>
      <c r="MO11" s="132"/>
      <c r="MP11" s="132"/>
      <c r="MQ11" s="132"/>
      <c r="MR11" s="132"/>
      <c r="MS11" s="132"/>
      <c r="MT11" s="132"/>
      <c r="MU11" s="132"/>
      <c r="MV11" s="132"/>
      <c r="MW11" s="132"/>
      <c r="MX11" s="132"/>
      <c r="MY11" s="132"/>
      <c r="MZ11" s="132"/>
      <c r="NA11" s="132"/>
      <c r="NB11" s="132"/>
      <c r="NC11" s="132"/>
      <c r="ND11" s="132"/>
      <c r="NE11" s="132"/>
      <c r="NF11" s="132"/>
      <c r="NG11" s="132"/>
      <c r="NH11" s="132"/>
      <c r="NI11" s="132"/>
      <c r="NJ11" s="132"/>
      <c r="NK11" s="132"/>
      <c r="NL11" s="132"/>
      <c r="NM11" s="132"/>
      <c r="NN11" s="132"/>
      <c r="NO11" s="132"/>
      <c r="NP11" s="132"/>
      <c r="NQ11" s="132"/>
      <c r="NR11" s="132"/>
      <c r="NS11" s="132"/>
      <c r="NT11" s="132"/>
      <c r="NU11" s="132"/>
      <c r="NV11" s="132"/>
      <c r="NW11" s="132"/>
      <c r="NX11" s="132"/>
      <c r="NY11" s="132"/>
      <c r="NZ11" s="132"/>
      <c r="OA11" s="132"/>
      <c r="OB11" s="132"/>
      <c r="OC11" s="132"/>
      <c r="OD11" s="132"/>
      <c r="OE11" s="132"/>
      <c r="OF11" s="132"/>
      <c r="OG11" s="132"/>
      <c r="OH11" s="132"/>
      <c r="OI11" s="132"/>
      <c r="OJ11" s="132"/>
      <c r="OK11" s="132"/>
      <c r="OL11" s="132"/>
      <c r="OM11" s="132"/>
      <c r="ON11" s="132"/>
      <c r="OO11" s="132"/>
      <c r="OP11" s="132"/>
      <c r="OQ11" s="132"/>
      <c r="OR11" s="132"/>
      <c r="OS11" s="132"/>
      <c r="OT11" s="132"/>
      <c r="OU11" s="132"/>
      <c r="OV11" s="132"/>
      <c r="OW11" s="132"/>
      <c r="OX11" s="132"/>
      <c r="OY11" s="132"/>
      <c r="OZ11" s="132"/>
      <c r="PA11" s="132"/>
      <c r="PB11" s="132"/>
      <c r="PC11" s="132"/>
      <c r="PD11" s="132"/>
      <c r="PE11" s="132"/>
      <c r="PF11" s="132"/>
      <c r="PG11" s="132"/>
      <c r="PH11" s="132"/>
      <c r="PI11" s="132"/>
      <c r="PJ11" s="132"/>
      <c r="PK11" s="132"/>
      <c r="PL11" s="132"/>
      <c r="PM11" s="132"/>
      <c r="PN11" s="132"/>
      <c r="PO11" s="132"/>
      <c r="PP11" s="132"/>
      <c r="PQ11" s="132"/>
      <c r="PR11" s="132"/>
      <c r="PS11" s="132"/>
      <c r="PT11" s="132"/>
      <c r="PU11" s="132"/>
      <c r="PV11" s="132"/>
      <c r="PW11" s="132"/>
      <c r="PX11" s="132"/>
      <c r="PY11" s="132"/>
      <c r="PZ11" s="132"/>
      <c r="QA11" s="132"/>
      <c r="QB11" s="132"/>
      <c r="QC11" s="132"/>
      <c r="QD11" s="132"/>
      <c r="QE11" s="132"/>
      <c r="QF11" s="132"/>
      <c r="QG11" s="132"/>
      <c r="QH11" s="132"/>
      <c r="QI11" s="132"/>
      <c r="QJ11" s="132"/>
      <c r="QK11" s="132"/>
      <c r="QL11" s="132"/>
      <c r="QM11" s="132"/>
      <c r="QN11" s="132"/>
      <c r="QO11" s="132"/>
      <c r="QP11" s="132"/>
      <c r="QQ11" s="132"/>
      <c r="QR11" s="132"/>
      <c r="QS11" s="132"/>
      <c r="QT11" s="132"/>
      <c r="QU11" s="132"/>
      <c r="QV11" s="132"/>
      <c r="QW11" s="132"/>
      <c r="QX11" s="132"/>
      <c r="QY11" s="132"/>
      <c r="QZ11" s="132"/>
      <c r="RA11" s="132"/>
      <c r="RB11" s="132"/>
      <c r="RC11" s="132"/>
      <c r="RD11" s="132"/>
      <c r="RE11" s="132"/>
      <c r="RF11" s="132"/>
      <c r="RG11" s="132"/>
      <c r="RH11" s="132"/>
      <c r="RI11" s="132"/>
      <c r="RJ11" s="132"/>
      <c r="RK11" s="132"/>
      <c r="RL11" s="132"/>
      <c r="RM11" s="132"/>
      <c r="RN11" s="132"/>
      <c r="RO11" s="132"/>
      <c r="RP11" s="132"/>
      <c r="RQ11" s="132"/>
    </row>
    <row r="12" spans="1:485" ht="15.75">
      <c r="A12" s="3"/>
      <c r="B12" s="8" t="s">
        <v>644</v>
      </c>
      <c r="C12" s="9">
        <f>Beauregard!M26</f>
        <v>5571237</v>
      </c>
      <c r="D12" s="9">
        <f>Beauregard!M28</f>
        <v>8947813</v>
      </c>
      <c r="E12" s="9"/>
      <c r="F12" s="9">
        <f>Beauregard!M27+Beauregard!M30</f>
        <v>1784022</v>
      </c>
      <c r="G12" s="9">
        <f>SUM(C12:F12)</f>
        <v>16303072</v>
      </c>
      <c r="H12" s="9">
        <f>Beauregard!M29</f>
        <v>125274</v>
      </c>
      <c r="I12" s="9"/>
      <c r="J12" s="9"/>
      <c r="K12" s="9"/>
      <c r="L12" s="9"/>
      <c r="M12" s="9">
        <f>Beauregard!M31+Beauregard!M33+Beauregard!M34</f>
        <v>401922</v>
      </c>
      <c r="N12" s="9">
        <f>SUM(H12:M12)</f>
        <v>527196</v>
      </c>
      <c r="O12" s="9"/>
      <c r="P12" s="9">
        <f>SUM(N12,G12,O12)</f>
        <v>16830268</v>
      </c>
      <c r="Q12" s="118" t="str">
        <f t="shared" si="11"/>
        <v>ok</v>
      </c>
      <c r="R12" s="9">
        <f>Beauregard!M36</f>
        <v>16830268</v>
      </c>
      <c r="S12" s="9"/>
      <c r="T12" s="9">
        <f>Beauregard!I9</f>
        <v>-244689</v>
      </c>
      <c r="U12" s="9">
        <f>Beauregard!I10</f>
        <v>-1065401</v>
      </c>
      <c r="V12" s="9">
        <f>Beauregard!I11</f>
        <v>-77658</v>
      </c>
      <c r="W12" s="9">
        <f>Beauregard!I12</f>
        <v>-474076</v>
      </c>
      <c r="X12" s="9">
        <f>Beauregard!I13</f>
        <v>-793563</v>
      </c>
      <c r="Y12" s="9">
        <f t="shared" si="4"/>
        <v>-2655387</v>
      </c>
      <c r="Z12" s="9">
        <f>Beauregard!I14</f>
        <v>-2444391</v>
      </c>
      <c r="AA12" s="9">
        <f>Beauregard!I15</f>
        <v>-8964712</v>
      </c>
      <c r="AB12" s="9"/>
      <c r="AC12" s="9">
        <f>Beauregard!I16</f>
        <v>-530539</v>
      </c>
      <c r="AD12" s="9">
        <f>Beauregard!I17</f>
        <v>-1412319</v>
      </c>
      <c r="AE12" s="9">
        <f>Beauregard!I20</f>
        <v>-75859</v>
      </c>
      <c r="AF12" s="9">
        <f>Beauregard!I18+Beauregard!I19</f>
        <v>-1630606</v>
      </c>
      <c r="AG12" s="9">
        <f t="shared" si="5"/>
        <v>-15058426</v>
      </c>
      <c r="AH12" s="9">
        <f t="shared" si="6"/>
        <v>-17713813</v>
      </c>
      <c r="AI12" s="118" t="str">
        <f t="shared" si="15"/>
        <v>ok</v>
      </c>
      <c r="AJ12" s="9">
        <f>Beauregard!I22</f>
        <v>-17713813</v>
      </c>
    </row>
    <row r="13" spans="1:485" s="123" customFormat="1" ht="15.75">
      <c r="A13" s="122"/>
      <c r="B13" s="120" t="s">
        <v>645</v>
      </c>
      <c r="C13" s="121">
        <f>Bienville!M22+Bienville!M23+Bienville!M24</f>
        <v>4445022</v>
      </c>
      <c r="D13" s="121">
        <f>Bienville!M25</f>
        <v>2345499</v>
      </c>
      <c r="E13" s="121"/>
      <c r="F13" s="121">
        <f>Bienville!M26</f>
        <v>32162</v>
      </c>
      <c r="G13" s="121">
        <f t="shared" si="0"/>
        <v>6822683</v>
      </c>
      <c r="H13" s="121"/>
      <c r="I13" s="121">
        <f>Bienville!M27+Bienville!M29</f>
        <v>1639885</v>
      </c>
      <c r="J13" s="121"/>
      <c r="K13" s="121"/>
      <c r="L13" s="121"/>
      <c r="M13" s="121">
        <f>Bienville!M28+Bienville!M30</f>
        <v>105918</v>
      </c>
      <c r="N13" s="121">
        <f t="shared" si="1"/>
        <v>1745803</v>
      </c>
      <c r="O13" s="121"/>
      <c r="P13" s="121">
        <f t="shared" si="2"/>
        <v>8568486</v>
      </c>
      <c r="Q13" s="118" t="str">
        <f t="shared" si="11"/>
        <v>ok</v>
      </c>
      <c r="R13" s="121">
        <f>Bienville!M32</f>
        <v>8568486</v>
      </c>
      <c r="S13" s="121">
        <f>Bienville!I9</f>
        <v>-2320292</v>
      </c>
      <c r="T13" s="121"/>
      <c r="U13" s="121"/>
      <c r="V13" s="121"/>
      <c r="W13" s="121"/>
      <c r="X13" s="121"/>
      <c r="Y13" s="121">
        <f t="shared" si="4"/>
        <v>-2320292</v>
      </c>
      <c r="Z13" s="121">
        <f>Bienville!I10</f>
        <v>-672115</v>
      </c>
      <c r="AA13" s="121">
        <f>Bienville!I11</f>
        <v>-6139111</v>
      </c>
      <c r="AB13" s="121">
        <f>Bienville!I14</f>
        <v>-64978</v>
      </c>
      <c r="AC13" s="121">
        <f>Bienville!I12</f>
        <v>-541954</v>
      </c>
      <c r="AD13" s="121">
        <f>Bienville!I13</f>
        <v>-30848</v>
      </c>
      <c r="AE13" s="121">
        <f>Bienville!I15</f>
        <v>-396683</v>
      </c>
      <c r="AF13" s="121"/>
      <c r="AG13" s="121">
        <f t="shared" si="5"/>
        <v>-7845689</v>
      </c>
      <c r="AH13" s="121">
        <f t="shared" si="6"/>
        <v>-10165981</v>
      </c>
      <c r="AI13" s="118" t="str">
        <f t="shared" si="15"/>
        <v>ok</v>
      </c>
      <c r="AJ13" s="121">
        <f>Bienville!I17</f>
        <v>-10165981</v>
      </c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</row>
    <row r="14" spans="1:485" ht="15.75">
      <c r="A14" s="3"/>
      <c r="B14" s="8" t="s">
        <v>646</v>
      </c>
      <c r="C14" s="9"/>
      <c r="D14" s="9"/>
      <c r="E14" s="9"/>
      <c r="F14" s="9"/>
      <c r="G14" s="9">
        <f t="shared" si="0"/>
        <v>0</v>
      </c>
      <c r="H14" s="9"/>
      <c r="I14" s="9"/>
      <c r="J14" s="9"/>
      <c r="K14" s="9"/>
      <c r="L14" s="9"/>
      <c r="M14" s="9"/>
      <c r="N14" s="9">
        <f t="shared" si="1"/>
        <v>0</v>
      </c>
      <c r="O14" s="9"/>
      <c r="P14" s="9">
        <f t="shared" si="2"/>
        <v>0</v>
      </c>
      <c r="Q14" s="118" t="str">
        <f t="shared" si="11"/>
        <v>ok</v>
      </c>
      <c r="R14" s="9"/>
      <c r="T14" s="9"/>
      <c r="U14" s="9"/>
      <c r="V14" s="9"/>
      <c r="W14" s="9"/>
      <c r="X14" s="9"/>
      <c r="Y14" s="9">
        <f t="shared" si="4"/>
        <v>0</v>
      </c>
      <c r="Z14" s="9"/>
      <c r="AA14" s="9"/>
      <c r="AB14" s="9"/>
      <c r="AC14" s="9"/>
      <c r="AD14" s="9"/>
      <c r="AE14" s="9"/>
      <c r="AF14" s="9"/>
      <c r="AG14" s="9">
        <f t="shared" si="5"/>
        <v>0</v>
      </c>
      <c r="AH14" s="9">
        <f t="shared" si="6"/>
        <v>0</v>
      </c>
      <c r="AI14" s="118" t="str">
        <f t="shared" si="15"/>
        <v>ok</v>
      </c>
      <c r="AJ14" s="9"/>
    </row>
    <row r="15" spans="1:485" s="123" customFormat="1" ht="15.75">
      <c r="A15" s="122"/>
      <c r="B15" s="124" t="s">
        <v>647</v>
      </c>
      <c r="C15" s="125">
        <f>Caddo!M34+Caddo!M35</f>
        <v>59560849</v>
      </c>
      <c r="D15" s="125">
        <f>Caddo!M36+Caddo!M37+Caddo!M40</f>
        <v>15864026</v>
      </c>
      <c r="E15" s="125"/>
      <c r="F15" s="125"/>
      <c r="G15" s="125">
        <f t="shared" si="0"/>
        <v>75424875</v>
      </c>
      <c r="H15" s="125"/>
      <c r="I15" s="125">
        <f>Caddo!M41</f>
        <v>1273355</v>
      </c>
      <c r="J15" s="125"/>
      <c r="K15" s="125"/>
      <c r="L15" s="125"/>
      <c r="M15" s="125">
        <f>Caddo!M42+Caddo!M43+Caddo!M46</f>
        <v>2720535</v>
      </c>
      <c r="N15" s="125">
        <f t="shared" si="1"/>
        <v>3993890</v>
      </c>
      <c r="O15" s="125"/>
      <c r="P15" s="125">
        <f t="shared" si="2"/>
        <v>79418765</v>
      </c>
      <c r="Q15" s="118" t="str">
        <f t="shared" si="11"/>
        <v>ok</v>
      </c>
      <c r="R15" s="125">
        <f>Caddo!M48</f>
        <v>79418765</v>
      </c>
      <c r="S15" s="125">
        <f>Caddo!I9</f>
        <v>-9616443</v>
      </c>
      <c r="T15" s="125"/>
      <c r="U15" s="125"/>
      <c r="V15" s="125"/>
      <c r="W15" s="125"/>
      <c r="X15" s="125"/>
      <c r="Y15" s="121">
        <f t="shared" si="4"/>
        <v>-9616443</v>
      </c>
      <c r="Z15" s="125"/>
      <c r="AA15" s="125">
        <f>Caddo!I12</f>
        <v>-23738530</v>
      </c>
      <c r="AB15" s="125">
        <f>Caddo!I16</f>
        <v>-4221537</v>
      </c>
      <c r="AC15" s="125">
        <f>Caddo!I11</f>
        <v>-15373363</v>
      </c>
      <c r="AD15" s="125">
        <f>Caddo!I15</f>
        <v>-15957204</v>
      </c>
      <c r="AE15" s="125">
        <f>Caddo!I17</f>
        <v>-2126069</v>
      </c>
      <c r="AF15" s="125">
        <f>Caddo!I10+Caddo!I13+Caddo!I14</f>
        <v>-31763746</v>
      </c>
      <c r="AG15" s="121">
        <f t="shared" si="5"/>
        <v>-93180449</v>
      </c>
      <c r="AH15" s="125">
        <f>SUM(AG15, Y15)</f>
        <v>-102796892</v>
      </c>
      <c r="AI15" s="118" t="str">
        <f t="shared" si="15"/>
        <v>ok</v>
      </c>
      <c r="AJ15" s="125">
        <f>Caddo!I19</f>
        <v>-102796892</v>
      </c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</row>
    <row r="16" spans="1:485" ht="15.75">
      <c r="A16" s="3"/>
      <c r="B16" s="8" t="s">
        <v>648</v>
      </c>
      <c r="C16" s="9"/>
      <c r="D16" s="9"/>
      <c r="E16" s="9"/>
      <c r="F16" s="9"/>
      <c r="G16" s="9">
        <f t="shared" si="0"/>
        <v>0</v>
      </c>
      <c r="H16" s="9"/>
      <c r="I16" s="9"/>
      <c r="J16" s="9"/>
      <c r="K16" s="9"/>
      <c r="L16" s="9"/>
      <c r="M16" s="9"/>
      <c r="N16" s="9">
        <f t="shared" si="1"/>
        <v>0</v>
      </c>
      <c r="O16" s="9"/>
      <c r="P16" s="9">
        <f t="shared" si="2"/>
        <v>0</v>
      </c>
      <c r="Q16" s="118" t="str">
        <f t="shared" si="11"/>
        <v>ok</v>
      </c>
      <c r="R16" s="9"/>
      <c r="S16" s="9"/>
      <c r="T16" s="9"/>
      <c r="U16" s="9"/>
      <c r="V16" s="9"/>
      <c r="W16" s="9"/>
      <c r="X16" s="9"/>
      <c r="Y16" s="9">
        <f t="shared" si="4"/>
        <v>0</v>
      </c>
      <c r="Z16" s="9"/>
      <c r="AA16" s="9"/>
      <c r="AB16" s="9"/>
      <c r="AC16" s="9"/>
      <c r="AD16" s="9"/>
      <c r="AE16" s="9"/>
      <c r="AF16" s="9"/>
      <c r="AG16" s="9">
        <f t="shared" si="5"/>
        <v>0</v>
      </c>
      <c r="AH16" s="9">
        <f>SUM(AG16,Y16)</f>
        <v>0</v>
      </c>
      <c r="AI16" s="118" t="str">
        <f t="shared" si="15"/>
        <v>ok</v>
      </c>
      <c r="AJ16" s="9"/>
    </row>
    <row r="17" spans="1:485" s="123" customFormat="1" ht="15.75">
      <c r="A17" s="122"/>
      <c r="B17" s="120" t="s">
        <v>649</v>
      </c>
      <c r="C17" s="121">
        <f>Caldwell!M19+Caldwell!M20+Caldwell!M21+Caldwell!M23</f>
        <v>1737092</v>
      </c>
      <c r="D17" s="121">
        <f>Caldwell!M25+Caldwell!M26</f>
        <v>1952537</v>
      </c>
      <c r="E17" s="121"/>
      <c r="F17" s="121">
        <f>Caldwell!M27</f>
        <v>9870</v>
      </c>
      <c r="G17" s="121">
        <f t="shared" si="0"/>
        <v>3699499</v>
      </c>
      <c r="H17" s="121"/>
      <c r="I17" s="121"/>
      <c r="J17" s="121"/>
      <c r="K17" s="121"/>
      <c r="L17" s="121"/>
      <c r="M17" s="121">
        <f>Caldwell!M28+Caldwell!M29</f>
        <v>33960</v>
      </c>
      <c r="N17" s="121">
        <f t="shared" si="1"/>
        <v>33960</v>
      </c>
      <c r="O17" s="121"/>
      <c r="P17" s="121">
        <f t="shared" si="2"/>
        <v>3733459</v>
      </c>
      <c r="Q17" s="118" t="str">
        <f t="shared" si="11"/>
        <v>ok</v>
      </c>
      <c r="R17" s="121">
        <f>Caldwell!M31</f>
        <v>3733459</v>
      </c>
      <c r="S17" s="121"/>
      <c r="T17" s="121"/>
      <c r="U17" s="121"/>
      <c r="V17" s="121"/>
      <c r="W17" s="121"/>
      <c r="X17" s="121"/>
      <c r="Y17" s="121">
        <f t="shared" si="4"/>
        <v>0</v>
      </c>
      <c r="Z17" s="121"/>
      <c r="AA17" s="121"/>
      <c r="AB17" s="121"/>
      <c r="AC17" s="121"/>
      <c r="AD17" s="121"/>
      <c r="AE17" s="121"/>
      <c r="AF17" s="121"/>
      <c r="AG17" s="121">
        <f t="shared" si="5"/>
        <v>0</v>
      </c>
      <c r="AH17" s="121">
        <f>SUM(AG17,Y17)</f>
        <v>0</v>
      </c>
      <c r="AI17" s="118" t="str">
        <f t="shared" si="15"/>
        <v>ok</v>
      </c>
      <c r="AJ17" s="121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</row>
    <row r="18" spans="1:485" s="127" customFormat="1" ht="15.75">
      <c r="A18" s="126"/>
      <c r="B18" s="8" t="s">
        <v>650</v>
      </c>
      <c r="C18" s="9">
        <f>Cameron!L26</f>
        <v>7216305</v>
      </c>
      <c r="D18" s="9"/>
      <c r="E18" s="9"/>
      <c r="F18" s="9">
        <f>Cameron!L27</f>
        <v>994588</v>
      </c>
      <c r="G18" s="9">
        <f t="shared" si="0"/>
        <v>8210893</v>
      </c>
      <c r="H18" s="9">
        <f>Cameron!L32</f>
        <v>40173</v>
      </c>
      <c r="I18" s="9"/>
      <c r="J18" s="9">
        <f>Cameron!L31</f>
        <v>5217490</v>
      </c>
      <c r="K18" s="9"/>
      <c r="L18" s="9"/>
      <c r="M18" s="9">
        <f>Cameron!L28+Cameron!L29+Cameron!L33+Cameron!L34+Cameron!L35</f>
        <v>1216304</v>
      </c>
      <c r="N18" s="9">
        <f t="shared" si="1"/>
        <v>6473967</v>
      </c>
      <c r="O18" s="9"/>
      <c r="P18" s="9">
        <f t="shared" si="2"/>
        <v>14684860</v>
      </c>
      <c r="Q18" s="118" t="str">
        <f t="shared" si="11"/>
        <v>ok</v>
      </c>
      <c r="R18" s="9">
        <f>Cameron!L37</f>
        <v>14684860</v>
      </c>
      <c r="S18" s="9"/>
      <c r="T18" s="9">
        <f>Cameron!I10</f>
        <v>-232074</v>
      </c>
      <c r="U18" s="9">
        <f>Cameron!I11</f>
        <v>-1318873</v>
      </c>
      <c r="V18" s="9">
        <f>Cameron!I12</f>
        <v>-6843</v>
      </c>
      <c r="W18" s="9">
        <f>Cameron!I13</f>
        <v>-1601427</v>
      </c>
      <c r="X18" s="9">
        <f>Cameron!I14</f>
        <v>-2668369</v>
      </c>
      <c r="Y18" s="9">
        <f t="shared" si="4"/>
        <v>-5827586</v>
      </c>
      <c r="Z18" s="9">
        <f>Cameron!I16</f>
        <v>-2803731</v>
      </c>
      <c r="AA18" s="9">
        <f>Cameron!I17</f>
        <v>-6533293</v>
      </c>
      <c r="AB18" s="9">
        <f>Cameron!I20</f>
        <v>-1848271</v>
      </c>
      <c r="AC18" s="9">
        <f>Cameron!I19</f>
        <v>-512083</v>
      </c>
      <c r="AD18" s="9">
        <f>Cameron!I18</f>
        <v>-1924589</v>
      </c>
      <c r="AE18" s="9">
        <f>Cameron!I15</f>
        <v>-105744</v>
      </c>
      <c r="AF18" s="9"/>
      <c r="AG18" s="9">
        <f t="shared" si="5"/>
        <v>-13727711</v>
      </c>
      <c r="AH18" s="9">
        <f>SUM(AG18,Y18)</f>
        <v>-19555297</v>
      </c>
      <c r="AI18" s="118" t="str">
        <f t="shared" si="15"/>
        <v>ok</v>
      </c>
      <c r="AJ18" s="9">
        <f>Cameron!I22</f>
        <v>-19555297</v>
      </c>
    </row>
    <row r="19" spans="1:485" s="123" customFormat="1" ht="15.75">
      <c r="A19" s="122"/>
      <c r="B19" s="120" t="s">
        <v>651</v>
      </c>
      <c r="C19" s="121">
        <f>Catahoula!M19</f>
        <v>864032</v>
      </c>
      <c r="D19" s="121">
        <f>Catahoula!M20</f>
        <v>1753095</v>
      </c>
      <c r="E19" s="121"/>
      <c r="F19" s="121">
        <f>Catahoula!M21</f>
        <v>5214</v>
      </c>
      <c r="G19" s="121">
        <f t="shared" si="0"/>
        <v>2622341</v>
      </c>
      <c r="H19" s="121"/>
      <c r="I19" s="121">
        <f>Catahoula!M22</f>
        <v>337458</v>
      </c>
      <c r="J19" s="121"/>
      <c r="K19" s="121"/>
      <c r="L19" s="121"/>
      <c r="M19" s="121">
        <f>Catahoula!M23+Catahoula!M24+Catahoula!M25</f>
        <v>9635</v>
      </c>
      <c r="N19" s="121">
        <f t="shared" si="1"/>
        <v>347093</v>
      </c>
      <c r="O19" s="121"/>
      <c r="P19" s="121">
        <f t="shared" si="2"/>
        <v>2969434</v>
      </c>
      <c r="Q19" s="118" t="str">
        <f t="shared" si="3"/>
        <v>ok</v>
      </c>
      <c r="R19" s="121">
        <f>Catahoula!M27</f>
        <v>2969434</v>
      </c>
      <c r="S19" s="121">
        <f>Catahoula!I8</f>
        <v>-722386</v>
      </c>
      <c r="T19" s="121"/>
      <c r="U19" s="121"/>
      <c r="V19" s="121"/>
      <c r="W19" s="121"/>
      <c r="X19" s="121"/>
      <c r="Y19" s="121">
        <f t="shared" si="4"/>
        <v>-722386</v>
      </c>
      <c r="Z19" s="121">
        <f>Catahoula!I9</f>
        <v>-405469</v>
      </c>
      <c r="AA19" s="121">
        <f>Catahoula!I10</f>
        <v>-1875439</v>
      </c>
      <c r="AB19" s="121">
        <f>Catahoula!I13</f>
        <v>-2792</v>
      </c>
      <c r="AC19" s="121">
        <f>Catahoula!I11</f>
        <v>-240465</v>
      </c>
      <c r="AD19" s="121">
        <f>Catahoula!I12</f>
        <v>-352181</v>
      </c>
      <c r="AE19" s="121">
        <f>Catahoula!I14</f>
        <v>-4485</v>
      </c>
      <c r="AF19" s="121"/>
      <c r="AG19" s="121">
        <f t="shared" si="5"/>
        <v>-2880831</v>
      </c>
      <c r="AH19" s="121">
        <f>SUM(AG19,Y19)</f>
        <v>-3603217</v>
      </c>
      <c r="AI19" s="118" t="str">
        <f t="shared" si="15"/>
        <v>ok</v>
      </c>
      <c r="AJ19" s="121">
        <f>Catahoula!I16</f>
        <v>-3603217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</row>
    <row r="20" spans="1:485" ht="15.75">
      <c r="A20" s="3"/>
      <c r="B20" s="8" t="s">
        <v>652</v>
      </c>
      <c r="C20" s="9">
        <f>Claiborne!M20+Claiborne!M21+Claiborne!M22</f>
        <v>3085488</v>
      </c>
      <c r="D20" s="9">
        <f>Claiborne!M23</f>
        <v>870929</v>
      </c>
      <c r="E20" s="9"/>
      <c r="F20" s="9">
        <f>Claiborne!M24</f>
        <v>8821</v>
      </c>
      <c r="G20" s="9">
        <f t="shared" si="0"/>
        <v>3965238</v>
      </c>
      <c r="H20" s="9"/>
      <c r="I20" s="9">
        <f>Claiborne!M25</f>
        <v>1613286</v>
      </c>
      <c r="J20" s="9"/>
      <c r="K20" s="9"/>
      <c r="L20" s="9"/>
      <c r="M20" s="9">
        <f>Claiborne!M26+Claiborne!M27+Claiborne!M28+Claiborne!M29+Claiborne!M30</f>
        <v>304677</v>
      </c>
      <c r="N20" s="9">
        <f t="shared" si="1"/>
        <v>1917963</v>
      </c>
      <c r="O20" s="9"/>
      <c r="P20" s="9">
        <f t="shared" si="2"/>
        <v>5883201</v>
      </c>
      <c r="Q20" s="118" t="str">
        <f t="shared" si="3"/>
        <v>ok</v>
      </c>
      <c r="R20" s="9">
        <f>Claiborne!M32</f>
        <v>5883201</v>
      </c>
      <c r="S20" s="9">
        <f>Claiborne!I7</f>
        <v>-1522797</v>
      </c>
      <c r="T20" s="9"/>
      <c r="U20" s="9"/>
      <c r="V20" s="9"/>
      <c r="W20" s="9"/>
      <c r="X20" s="9"/>
      <c r="Y20" s="9">
        <f t="shared" si="4"/>
        <v>-1522797</v>
      </c>
      <c r="Z20" s="9">
        <f>Claiborne!I8</f>
        <v>-317573</v>
      </c>
      <c r="AA20" s="9">
        <f>Claiborne!I9</f>
        <v>-3489014</v>
      </c>
      <c r="AB20" s="9">
        <f>Claiborne!I12</f>
        <v>-60013</v>
      </c>
      <c r="AC20" s="9">
        <f>Claiborne!I10</f>
        <v>-643674</v>
      </c>
      <c r="AD20" s="9">
        <f>Claiborne!I11</f>
        <v>-676727</v>
      </c>
      <c r="AE20" s="9">
        <f>Claiborne!I14</f>
        <v>-41425</v>
      </c>
      <c r="AF20" s="9">
        <f>Claiborne!I13</f>
        <v>-5200</v>
      </c>
      <c r="AG20" s="9">
        <f t="shared" si="5"/>
        <v>-5233626</v>
      </c>
      <c r="AH20" s="9">
        <f>SUM(AG20,Y20)</f>
        <v>-6756423</v>
      </c>
      <c r="AI20" s="118" t="str">
        <f t="shared" si="15"/>
        <v>ok</v>
      </c>
      <c r="AJ20" s="9">
        <f>Claiborne!I16</f>
        <v>-6756423</v>
      </c>
    </row>
    <row r="21" spans="1:485" s="123" customFormat="1" ht="15.75">
      <c r="A21" s="122"/>
      <c r="B21" s="124" t="s">
        <v>653</v>
      </c>
      <c r="C21" s="128">
        <f>Concordia!M24</f>
        <v>1785913</v>
      </c>
      <c r="D21" s="128">
        <f>Concordia!M25</f>
        <v>2856287</v>
      </c>
      <c r="E21" s="129"/>
      <c r="F21" s="128">
        <f>Concordia!M26</f>
        <v>35256</v>
      </c>
      <c r="G21" s="128">
        <f t="shared" si="0"/>
        <v>4677456</v>
      </c>
      <c r="H21" s="128">
        <f>Concordia!M28</f>
        <v>107518</v>
      </c>
      <c r="I21" s="128"/>
      <c r="J21" s="128"/>
      <c r="K21" s="128"/>
      <c r="L21" s="128"/>
      <c r="M21" s="128">
        <f>SUM(Concordia!M29+Concordia!M30+Concordia!M31+Concordia!M32+Concordia!M33+Concordia!M34+Concordia!M35)</f>
        <v>1992362</v>
      </c>
      <c r="N21" s="128">
        <f t="shared" si="1"/>
        <v>2099880</v>
      </c>
      <c r="O21" s="128"/>
      <c r="P21" s="128">
        <f>SUM(N21, G21, O21)</f>
        <v>6777336</v>
      </c>
      <c r="Q21" s="118" t="str">
        <f t="shared" si="3"/>
        <v>ok</v>
      </c>
      <c r="R21" s="128">
        <f>Concordia!M37</f>
        <v>6777336</v>
      </c>
      <c r="S21" s="128"/>
      <c r="T21" s="128">
        <f>Concordia!I9</f>
        <v>-236369</v>
      </c>
      <c r="U21" s="128">
        <f>Concordia!I10</f>
        <v>-635894</v>
      </c>
      <c r="V21" s="128">
        <f>Concordia!I11</f>
        <v>-45930</v>
      </c>
      <c r="W21" s="128">
        <f>Concordia!I12</f>
        <v>-337662</v>
      </c>
      <c r="X21" s="128">
        <f>Concordia!I13</f>
        <v>-774236</v>
      </c>
      <c r="Y21" s="128">
        <f t="shared" si="4"/>
        <v>-2030091</v>
      </c>
      <c r="Z21" s="128">
        <f>Concordia!I14</f>
        <v>-197180</v>
      </c>
      <c r="AA21" s="128">
        <f>Concordia!I15</f>
        <v>-3094988</v>
      </c>
      <c r="AB21" s="128">
        <f>Concordia!I17</f>
        <v>-94869</v>
      </c>
      <c r="AC21" s="128">
        <f>Concordia!I16</f>
        <v>-275734</v>
      </c>
      <c r="AD21" s="128"/>
      <c r="AE21" s="128">
        <f>Concordia!I18</f>
        <v>-384541</v>
      </c>
      <c r="AF21" s="128"/>
      <c r="AG21" s="128">
        <f t="shared" si="5"/>
        <v>-4047312</v>
      </c>
      <c r="AH21" s="128">
        <f>SUM(AG21, Y21)</f>
        <v>-6077403</v>
      </c>
      <c r="AI21" s="118" t="str">
        <f t="shared" si="15"/>
        <v>ok</v>
      </c>
      <c r="AJ21" s="128">
        <f>Concordia!I20</f>
        <v>-6077403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</row>
    <row r="22" spans="1:485" s="132" customFormat="1" ht="15.75">
      <c r="A22" s="126"/>
      <c r="B22" s="130" t="s">
        <v>654</v>
      </c>
      <c r="C22" s="131">
        <f>DeSoto!M34</f>
        <v>12327537</v>
      </c>
      <c r="D22" s="131">
        <f>DeSoto!M35+DeSoto!M37+DeSoto!M38</f>
        <v>7586850</v>
      </c>
      <c r="E22" s="131"/>
      <c r="F22" s="131">
        <f>DeSoto!M36</f>
        <v>1233958</v>
      </c>
      <c r="G22" s="131">
        <f t="shared" si="0"/>
        <v>21148345</v>
      </c>
      <c r="H22" s="131">
        <f>DeSoto!M40</f>
        <v>51600</v>
      </c>
      <c r="I22" s="131"/>
      <c r="J22" s="131"/>
      <c r="K22" s="131"/>
      <c r="L22" s="131">
        <f>DeSoto!M43</f>
        <v>-19350</v>
      </c>
      <c r="M22" s="131">
        <f>DeSoto!M39+DeSoto!M41+DeSoto!M42</f>
        <v>1529410</v>
      </c>
      <c r="N22" s="131">
        <f t="shared" si="1"/>
        <v>1561660</v>
      </c>
      <c r="O22" s="9"/>
      <c r="P22" s="131">
        <f>SUM(N22, G22, O22)</f>
        <v>22710005</v>
      </c>
      <c r="Q22" s="118" t="str">
        <f t="shared" si="3"/>
        <v>ok</v>
      </c>
      <c r="R22" s="131">
        <f>DeSoto!M45</f>
        <v>22710005</v>
      </c>
      <c r="S22" s="131"/>
      <c r="T22" s="131">
        <f>DeSoto!I10</f>
        <v>-400475</v>
      </c>
      <c r="U22" s="131">
        <f>DeSoto!I11</f>
        <v>-2693579</v>
      </c>
      <c r="V22" s="131">
        <f>DeSoto!I12</f>
        <v>-101110</v>
      </c>
      <c r="W22" s="131">
        <f>DeSoto!I13</f>
        <v>-2029058</v>
      </c>
      <c r="X22" s="131">
        <f>DeSoto!I14</f>
        <v>-854448</v>
      </c>
      <c r="Y22" s="131">
        <f t="shared" si="4"/>
        <v>-6078670</v>
      </c>
      <c r="Z22" s="131">
        <f>DeSoto!I15</f>
        <v>-1096246</v>
      </c>
      <c r="AA22" s="131">
        <f>DeSoto!I16+DeSoto!I21</f>
        <v>-11260411</v>
      </c>
      <c r="AB22" s="131">
        <f>DeSoto!I20</f>
        <v>-3299353</v>
      </c>
      <c r="AC22" s="131">
        <f>DeSoto!I19</f>
        <v>-2206951</v>
      </c>
      <c r="AD22" s="131">
        <f>DeSoto!I18</f>
        <v>-279817</v>
      </c>
      <c r="AE22" s="131">
        <f>DeSoto!I23</f>
        <v>-255</v>
      </c>
      <c r="AF22" s="131">
        <f>DeSoto!I17+DeSoto!I22</f>
        <v>-4404809</v>
      </c>
      <c r="AG22" s="131">
        <f t="shared" si="5"/>
        <v>-22547842</v>
      </c>
      <c r="AH22" s="131">
        <f>SUM(AG22, Y22)</f>
        <v>-28626512</v>
      </c>
      <c r="AI22" s="118" t="str">
        <f t="shared" si="15"/>
        <v>ok</v>
      </c>
      <c r="AJ22" s="131">
        <f>DeSoto!I25</f>
        <v>-28626512</v>
      </c>
    </row>
    <row r="23" spans="1:485" s="134" customFormat="1" ht="15.75">
      <c r="A23" s="133"/>
      <c r="B23" s="120" t="s">
        <v>655</v>
      </c>
      <c r="C23" s="121">
        <f>'East Baton Rouge'!M40</f>
        <v>98252896</v>
      </c>
      <c r="D23" s="121">
        <f>'East Baton Rouge'!M42+'East Baton Rouge'!M46</f>
        <v>232998426</v>
      </c>
      <c r="E23" s="121"/>
      <c r="F23" s="121">
        <f>'East Baton Rouge'!M41+'East Baton Rouge'!M43+'East Baton Rouge'!M44+'East Baton Rouge'!M45+'East Baton Rouge'!M47</f>
        <v>42854679</v>
      </c>
      <c r="G23" s="121">
        <f t="shared" si="0"/>
        <v>374106001</v>
      </c>
      <c r="H23" s="121"/>
      <c r="I23" s="121">
        <f>'East Baton Rouge'!M49</f>
        <v>5551706</v>
      </c>
      <c r="J23" s="121"/>
      <c r="K23" s="121"/>
      <c r="L23" s="121">
        <f>'East Baton Rouge'!M52</f>
        <v>886331</v>
      </c>
      <c r="M23" s="121">
        <f>'East Baton Rouge'!M48+'East Baton Rouge'!M50+'East Baton Rouge'!M51</f>
        <v>1244397</v>
      </c>
      <c r="N23" s="121">
        <f t="shared" si="1"/>
        <v>7682434</v>
      </c>
      <c r="O23" s="121"/>
      <c r="P23" s="121">
        <f t="shared" ref="P23:P38" si="16">SUM(N23,G23,O23)</f>
        <v>381788435</v>
      </c>
      <c r="Q23" s="118" t="str">
        <f t="shared" si="3"/>
        <v>ok</v>
      </c>
      <c r="R23" s="121">
        <f>'East Baton Rouge'!M54</f>
        <v>381788435</v>
      </c>
      <c r="S23" s="121">
        <f>'East Baton Rouge'!I9</f>
        <v>-99148612</v>
      </c>
      <c r="T23" s="121"/>
      <c r="U23" s="121"/>
      <c r="V23" s="121"/>
      <c r="W23" s="121"/>
      <c r="X23" s="121"/>
      <c r="Y23" s="121">
        <f t="shared" si="4"/>
        <v>-99148612</v>
      </c>
      <c r="Z23" s="121">
        <f>'East Baton Rouge'!I10</f>
        <v>-233011923</v>
      </c>
      <c r="AA23" s="121">
        <f>'East Baton Rouge'!I11</f>
        <v>-66920723</v>
      </c>
      <c r="AB23" s="121"/>
      <c r="AC23" s="121">
        <f>'East Baton Rouge'!I13</f>
        <v>-9796865</v>
      </c>
      <c r="AD23" s="121">
        <f>'East Baton Rouge'!I14</f>
        <v>-43762277</v>
      </c>
      <c r="AE23" s="121">
        <f>'East Baton Rouge'!I16</f>
        <v>-13413000</v>
      </c>
      <c r="AF23" s="121">
        <f>'East Baton Rouge'!I12+'East Baton Rouge'!I15</f>
        <v>-46090050</v>
      </c>
      <c r="AG23" s="121">
        <f t="shared" si="5"/>
        <v>-412994838</v>
      </c>
      <c r="AH23" s="121">
        <f>SUM(AG23,Y23)</f>
        <v>-512143450</v>
      </c>
      <c r="AI23" s="118" t="str">
        <f t="shared" si="15"/>
        <v>ok</v>
      </c>
      <c r="AJ23" s="121">
        <f>'East Baton Rouge'!I18</f>
        <v>-512143450</v>
      </c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57"/>
      <c r="BK23" s="157"/>
      <c r="BL23" s="157"/>
      <c r="BM23" s="157"/>
      <c r="BN23" s="157"/>
      <c r="BO23" s="157"/>
      <c r="BP23" s="157"/>
      <c r="BQ23" s="157"/>
      <c r="BR23" s="157"/>
      <c r="BS23" s="157"/>
      <c r="BT23" s="157"/>
      <c r="BU23" s="157"/>
      <c r="BV23" s="157"/>
      <c r="BW23" s="157"/>
      <c r="BX23" s="157"/>
      <c r="BY23" s="157"/>
      <c r="BZ23" s="157"/>
      <c r="CA23" s="157"/>
      <c r="CB23" s="157"/>
      <c r="CC23" s="157"/>
      <c r="CD23" s="157"/>
      <c r="CE23" s="157"/>
      <c r="CF23" s="157"/>
      <c r="CG23" s="157"/>
      <c r="CH23" s="157"/>
      <c r="CI23" s="157"/>
      <c r="CJ23" s="157"/>
      <c r="CK23" s="157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157"/>
      <c r="DQ23" s="157"/>
      <c r="DR23" s="157"/>
      <c r="DS23" s="157"/>
      <c r="DT23" s="157"/>
      <c r="DU23" s="157"/>
      <c r="DV23" s="157"/>
      <c r="DW23" s="157"/>
      <c r="DX23" s="157"/>
      <c r="DY23" s="157"/>
      <c r="DZ23" s="157"/>
      <c r="EA23" s="157"/>
      <c r="EB23" s="157"/>
      <c r="EC23" s="157"/>
      <c r="ED23" s="157"/>
      <c r="EE23" s="157"/>
      <c r="EF23" s="157"/>
      <c r="EG23" s="157"/>
      <c r="EH23" s="157"/>
      <c r="EI23" s="157"/>
      <c r="EJ23" s="157"/>
      <c r="EK23" s="157"/>
      <c r="EL23" s="157"/>
      <c r="EM23" s="157"/>
      <c r="EN23" s="157"/>
      <c r="EO23" s="157"/>
      <c r="EP23" s="157"/>
      <c r="EQ23" s="157"/>
      <c r="ER23" s="157"/>
      <c r="ES23" s="157"/>
      <c r="ET23" s="157"/>
      <c r="EU23" s="157"/>
      <c r="EV23" s="157"/>
      <c r="EW23" s="157"/>
      <c r="EX23" s="157"/>
      <c r="EY23" s="157"/>
      <c r="EZ23" s="157"/>
      <c r="FA23" s="157"/>
      <c r="FB23" s="157"/>
      <c r="FC23" s="157"/>
      <c r="FD23" s="157"/>
      <c r="FE23" s="157"/>
      <c r="FF23" s="157"/>
      <c r="FG23" s="157"/>
      <c r="FH23" s="157"/>
      <c r="FI23" s="157"/>
      <c r="FJ23" s="157"/>
      <c r="FK23" s="157"/>
      <c r="FL23" s="157"/>
      <c r="FM23" s="157"/>
      <c r="FN23" s="157"/>
      <c r="FO23" s="157"/>
      <c r="FP23" s="157"/>
      <c r="FQ23" s="157"/>
      <c r="FR23" s="157"/>
      <c r="FS23" s="157"/>
      <c r="FT23" s="157"/>
      <c r="FU23" s="157"/>
      <c r="FV23" s="157"/>
      <c r="FW23" s="157"/>
      <c r="FX23" s="157"/>
      <c r="FY23" s="157"/>
      <c r="FZ23" s="157"/>
      <c r="GA23" s="157"/>
      <c r="GB23" s="157"/>
      <c r="GC23" s="157"/>
      <c r="GD23" s="157"/>
      <c r="GE23" s="157"/>
      <c r="GF23" s="157"/>
      <c r="GG23" s="157"/>
      <c r="GH23" s="157"/>
      <c r="GI23" s="157"/>
      <c r="GJ23" s="157"/>
      <c r="GK23" s="157"/>
      <c r="GL23" s="157"/>
      <c r="GM23" s="157"/>
      <c r="GN23" s="157"/>
      <c r="GO23" s="157"/>
      <c r="GP23" s="157"/>
      <c r="GQ23" s="157"/>
      <c r="GR23" s="157"/>
      <c r="GS23" s="157"/>
      <c r="GT23" s="157"/>
      <c r="GU23" s="157"/>
      <c r="GV23" s="157"/>
      <c r="GW23" s="157"/>
      <c r="GX23" s="157"/>
      <c r="GY23" s="157"/>
      <c r="GZ23" s="157"/>
      <c r="HA23" s="157"/>
      <c r="HB23" s="157"/>
      <c r="HC23" s="157"/>
      <c r="HD23" s="157"/>
      <c r="HE23" s="157"/>
      <c r="HF23" s="157"/>
      <c r="HG23" s="157"/>
      <c r="HH23" s="157"/>
      <c r="HI23" s="157"/>
      <c r="HJ23" s="157"/>
      <c r="HK23" s="157"/>
      <c r="HL23" s="157"/>
      <c r="HM23" s="157"/>
      <c r="HN23" s="157"/>
      <c r="HO23" s="157"/>
      <c r="HP23" s="157"/>
      <c r="HQ23" s="157"/>
      <c r="HR23" s="157"/>
      <c r="HS23" s="157"/>
      <c r="HT23" s="157"/>
      <c r="HU23" s="157"/>
      <c r="HV23" s="157"/>
      <c r="HW23" s="157"/>
      <c r="HX23" s="157"/>
      <c r="HY23" s="157"/>
      <c r="HZ23" s="157"/>
      <c r="IA23" s="157"/>
      <c r="IB23" s="157"/>
      <c r="IC23" s="157"/>
      <c r="ID23" s="157"/>
      <c r="IE23" s="157"/>
      <c r="IF23" s="157"/>
      <c r="IG23" s="157"/>
      <c r="IH23" s="157"/>
      <c r="II23" s="157"/>
      <c r="IJ23" s="157"/>
      <c r="IK23" s="157"/>
      <c r="IL23" s="157"/>
      <c r="IM23" s="157"/>
      <c r="IN23" s="157"/>
      <c r="IO23" s="157"/>
      <c r="IP23" s="157"/>
      <c r="IQ23" s="157"/>
      <c r="IR23" s="157"/>
      <c r="IS23" s="157"/>
      <c r="IT23" s="157"/>
      <c r="IU23" s="157"/>
      <c r="IV23" s="157"/>
      <c r="IW23" s="157"/>
      <c r="IX23" s="157"/>
      <c r="IY23" s="157"/>
      <c r="IZ23" s="157"/>
      <c r="JA23" s="157"/>
      <c r="JB23" s="157"/>
      <c r="JC23" s="157"/>
      <c r="JD23" s="157"/>
      <c r="JE23" s="157"/>
      <c r="JF23" s="157"/>
      <c r="JG23" s="157"/>
      <c r="JH23" s="157"/>
      <c r="JI23" s="157"/>
      <c r="JJ23" s="157"/>
      <c r="JK23" s="157"/>
      <c r="JL23" s="157"/>
      <c r="JM23" s="157"/>
      <c r="JN23" s="157"/>
      <c r="JO23" s="157"/>
      <c r="JP23" s="157"/>
      <c r="JQ23" s="157"/>
      <c r="JR23" s="157"/>
      <c r="JS23" s="157"/>
      <c r="JT23" s="157"/>
      <c r="JU23" s="157"/>
      <c r="JV23" s="157"/>
      <c r="JW23" s="157"/>
      <c r="JX23" s="157"/>
      <c r="JY23" s="157"/>
      <c r="JZ23" s="157"/>
      <c r="KA23" s="157"/>
      <c r="KB23" s="157"/>
      <c r="KC23" s="157"/>
      <c r="KD23" s="157"/>
      <c r="KE23" s="157"/>
      <c r="KF23" s="157"/>
      <c r="KG23" s="157"/>
      <c r="KH23" s="157"/>
      <c r="KI23" s="157"/>
      <c r="KJ23" s="157"/>
      <c r="KK23" s="157"/>
      <c r="KL23" s="157"/>
      <c r="KM23" s="157"/>
      <c r="KN23" s="157"/>
      <c r="KO23" s="157"/>
      <c r="KP23" s="157"/>
      <c r="KQ23" s="157"/>
      <c r="KR23" s="157"/>
      <c r="KS23" s="157"/>
      <c r="KT23" s="157"/>
      <c r="KU23" s="157"/>
      <c r="KV23" s="157"/>
      <c r="KW23" s="157"/>
      <c r="KX23" s="157"/>
      <c r="KY23" s="157"/>
      <c r="KZ23" s="157"/>
      <c r="LA23" s="157"/>
      <c r="LB23" s="157"/>
      <c r="LC23" s="157"/>
      <c r="LD23" s="157"/>
      <c r="LE23" s="157"/>
      <c r="LF23" s="157"/>
      <c r="LG23" s="157"/>
      <c r="LH23" s="157"/>
      <c r="LI23" s="157"/>
      <c r="LJ23" s="157"/>
      <c r="LK23" s="157"/>
      <c r="LL23" s="157"/>
      <c r="LM23" s="157"/>
      <c r="LN23" s="157"/>
      <c r="LO23" s="157"/>
      <c r="LP23" s="157"/>
      <c r="LQ23" s="157"/>
      <c r="LR23" s="157"/>
      <c r="LS23" s="157"/>
      <c r="LT23" s="157"/>
      <c r="LU23" s="157"/>
      <c r="LV23" s="157"/>
      <c r="LW23" s="157"/>
      <c r="LX23" s="157"/>
      <c r="LY23" s="157"/>
      <c r="LZ23" s="157"/>
      <c r="MA23" s="157"/>
      <c r="MB23" s="157"/>
      <c r="MC23" s="157"/>
      <c r="MD23" s="157"/>
      <c r="ME23" s="157"/>
      <c r="MF23" s="157"/>
      <c r="MG23" s="157"/>
      <c r="MH23" s="157"/>
      <c r="MI23" s="157"/>
      <c r="MJ23" s="157"/>
      <c r="MK23" s="157"/>
      <c r="ML23" s="157"/>
      <c r="MM23" s="157"/>
      <c r="MN23" s="157"/>
      <c r="MO23" s="157"/>
      <c r="MP23" s="157"/>
      <c r="MQ23" s="157"/>
      <c r="MR23" s="157"/>
      <c r="MS23" s="157"/>
      <c r="MT23" s="157"/>
      <c r="MU23" s="157"/>
      <c r="MV23" s="157"/>
      <c r="MW23" s="157"/>
      <c r="MX23" s="157"/>
      <c r="MY23" s="157"/>
      <c r="MZ23" s="157"/>
      <c r="NA23" s="157"/>
      <c r="NB23" s="157"/>
      <c r="NC23" s="157"/>
      <c r="ND23" s="157"/>
      <c r="NE23" s="157"/>
      <c r="NF23" s="157"/>
      <c r="NG23" s="157"/>
      <c r="NH23" s="157"/>
      <c r="NI23" s="157"/>
      <c r="NJ23" s="157"/>
      <c r="NK23" s="157"/>
      <c r="NL23" s="157"/>
      <c r="NM23" s="157"/>
      <c r="NN23" s="157"/>
      <c r="NO23" s="157"/>
      <c r="NP23" s="157"/>
      <c r="NQ23" s="157"/>
      <c r="NR23" s="157"/>
      <c r="NS23" s="157"/>
      <c r="NT23" s="157"/>
      <c r="NU23" s="157"/>
      <c r="NV23" s="157"/>
      <c r="NW23" s="157"/>
      <c r="NX23" s="157"/>
      <c r="NY23" s="157"/>
      <c r="NZ23" s="157"/>
      <c r="OA23" s="157"/>
      <c r="OB23" s="157"/>
      <c r="OC23" s="157"/>
      <c r="OD23" s="157"/>
      <c r="OE23" s="157"/>
      <c r="OF23" s="157"/>
      <c r="OG23" s="157"/>
      <c r="OH23" s="157"/>
      <c r="OI23" s="157"/>
      <c r="OJ23" s="157"/>
      <c r="OK23" s="157"/>
      <c r="OL23" s="157"/>
      <c r="OM23" s="157"/>
      <c r="ON23" s="157"/>
      <c r="OO23" s="157"/>
      <c r="OP23" s="157"/>
      <c r="OQ23" s="157"/>
      <c r="OR23" s="157"/>
      <c r="OS23" s="157"/>
      <c r="OT23" s="157"/>
      <c r="OU23" s="157"/>
      <c r="OV23" s="157"/>
      <c r="OW23" s="157"/>
      <c r="OX23" s="157"/>
      <c r="OY23" s="157"/>
      <c r="OZ23" s="157"/>
      <c r="PA23" s="157"/>
      <c r="PB23" s="157"/>
      <c r="PC23" s="157"/>
      <c r="PD23" s="157"/>
      <c r="PE23" s="157"/>
      <c r="PF23" s="157"/>
      <c r="PG23" s="157"/>
      <c r="PH23" s="157"/>
      <c r="PI23" s="157"/>
      <c r="PJ23" s="157"/>
      <c r="PK23" s="157"/>
      <c r="PL23" s="157"/>
      <c r="PM23" s="157"/>
      <c r="PN23" s="157"/>
      <c r="PO23" s="157"/>
      <c r="PP23" s="157"/>
      <c r="PQ23" s="157"/>
      <c r="PR23" s="157"/>
      <c r="PS23" s="157"/>
      <c r="PT23" s="157"/>
      <c r="PU23" s="157"/>
      <c r="PV23" s="157"/>
      <c r="PW23" s="157"/>
      <c r="PX23" s="157"/>
      <c r="PY23" s="157"/>
      <c r="PZ23" s="157"/>
      <c r="QA23" s="157"/>
      <c r="QB23" s="157"/>
      <c r="QC23" s="157"/>
      <c r="QD23" s="157"/>
      <c r="QE23" s="157"/>
      <c r="QF23" s="157"/>
      <c r="QG23" s="157"/>
      <c r="QH23" s="157"/>
      <c r="QI23" s="157"/>
      <c r="QJ23" s="157"/>
      <c r="QK23" s="157"/>
      <c r="QL23" s="157"/>
      <c r="QM23" s="157"/>
      <c r="QN23" s="157"/>
      <c r="QO23" s="157"/>
      <c r="QP23" s="157"/>
      <c r="QQ23" s="157"/>
      <c r="QR23" s="157"/>
      <c r="QS23" s="157"/>
      <c r="QT23" s="157"/>
      <c r="QU23" s="157"/>
      <c r="QV23" s="157"/>
      <c r="QW23" s="157"/>
      <c r="QX23" s="157"/>
      <c r="QY23" s="157"/>
      <c r="QZ23" s="157"/>
      <c r="RA23" s="157"/>
      <c r="RB23" s="157"/>
      <c r="RC23" s="157"/>
      <c r="RD23" s="157"/>
      <c r="RE23" s="157"/>
      <c r="RF23" s="157"/>
      <c r="RG23" s="157"/>
      <c r="RH23" s="157"/>
      <c r="RI23" s="157"/>
      <c r="RJ23" s="157"/>
      <c r="RK23" s="157"/>
      <c r="RL23" s="157"/>
      <c r="RM23" s="157"/>
      <c r="RN23" s="157"/>
      <c r="RO23" s="157"/>
      <c r="RP23" s="157"/>
      <c r="RQ23" s="157"/>
    </row>
    <row r="24" spans="1:485" ht="15.75">
      <c r="A24" s="3"/>
      <c r="B24" s="8" t="s">
        <v>656</v>
      </c>
      <c r="C24" s="9">
        <f>'East Carroll'!M32+'East Carroll'!M33</f>
        <v>2302676</v>
      </c>
      <c r="D24" s="9">
        <f>'East Carroll'!M34</f>
        <v>657398</v>
      </c>
      <c r="E24" s="9"/>
      <c r="F24" s="9">
        <f>'East Carroll'!M36</f>
        <v>34249</v>
      </c>
      <c r="G24" s="9">
        <f t="shared" si="0"/>
        <v>2994323</v>
      </c>
      <c r="H24" s="9">
        <f>'East Carroll'!M35</f>
        <v>47309</v>
      </c>
      <c r="I24" s="9">
        <f>'East Carroll'!M37</f>
        <v>60182</v>
      </c>
      <c r="J24" s="9"/>
      <c r="K24" s="9"/>
      <c r="L24" s="9"/>
      <c r="M24" s="9">
        <f>'East Carroll'!M38+'East Carroll'!M39+'East Carroll'!M40</f>
        <v>280500</v>
      </c>
      <c r="N24" s="9">
        <f t="shared" si="1"/>
        <v>387991</v>
      </c>
      <c r="O24" s="9"/>
      <c r="P24" s="9">
        <f t="shared" si="16"/>
        <v>3382314</v>
      </c>
      <c r="Q24" s="118" t="str">
        <f t="shared" si="3"/>
        <v>ok</v>
      </c>
      <c r="R24" s="9">
        <f>'East Carroll'!M42</f>
        <v>3382314</v>
      </c>
      <c r="S24" s="9"/>
      <c r="T24" s="9">
        <f>'East Carroll'!I10</f>
        <v>-39938</v>
      </c>
      <c r="U24" s="9">
        <f>'East Carroll'!I11</f>
        <v>-613097</v>
      </c>
      <c r="V24" s="9">
        <f>'East Carroll'!I12</f>
        <v>-52551</v>
      </c>
      <c r="W24" s="9">
        <f>'East Carroll'!I13</f>
        <v>-219715</v>
      </c>
      <c r="X24" s="9">
        <f>'East Carroll'!I14</f>
        <v>-1092292</v>
      </c>
      <c r="Y24" s="9">
        <f t="shared" si="4"/>
        <v>-2017593</v>
      </c>
      <c r="Z24" s="9">
        <f>'East Carroll'!I15</f>
        <v>-452380</v>
      </c>
      <c r="AA24" s="9">
        <f>'East Carroll'!I16+'East Carroll'!I20</f>
        <v>-1589908</v>
      </c>
      <c r="AB24" s="9">
        <f>'East Carroll'!I19</f>
        <v>-6860</v>
      </c>
      <c r="AC24" s="9">
        <f>'East Carroll'!I17</f>
        <v>-136634</v>
      </c>
      <c r="AD24" s="9">
        <f>'East Carroll'!I18</f>
        <v>-349005</v>
      </c>
      <c r="AE24" s="9">
        <f>'East Carroll'!I21</f>
        <v>-19777</v>
      </c>
      <c r="AF24" s="9"/>
      <c r="AG24" s="9">
        <f t="shared" si="5"/>
        <v>-2554564</v>
      </c>
      <c r="AH24" s="9">
        <f>SUM(AG24,Y24)</f>
        <v>-4572157</v>
      </c>
      <c r="AI24" s="118" t="str">
        <f t="shared" si="15"/>
        <v>ok</v>
      </c>
      <c r="AJ24" s="9">
        <f>'East Carroll'!I23</f>
        <v>-4572157</v>
      </c>
    </row>
    <row r="25" spans="1:485" s="137" customFormat="1" ht="15.75">
      <c r="A25" s="135"/>
      <c r="B25" s="124" t="s">
        <v>657</v>
      </c>
      <c r="C25" s="136">
        <f>'East Feliciana'!M20</f>
        <v>836005.3</v>
      </c>
      <c r="D25" s="128">
        <f>'East Feliciana'!M22</f>
        <v>4076159.5</v>
      </c>
      <c r="E25" s="128"/>
      <c r="F25" s="128">
        <f>'East Feliciana'!M21</f>
        <v>420876.36</v>
      </c>
      <c r="G25" s="128">
        <f t="shared" si="0"/>
        <v>5333041.16</v>
      </c>
      <c r="H25" s="128">
        <f>'East Feliciana'!M18</f>
        <v>406135.5</v>
      </c>
      <c r="I25" s="128"/>
      <c r="J25" s="128"/>
      <c r="K25" s="128"/>
      <c r="L25" s="128"/>
      <c r="M25" s="128">
        <f>'East Feliciana'!M23+'East Feliciana'!M24+'East Feliciana'!M25+'East Feliciana'!M26+'East Feliciana'!M27+'East Feliciana'!M28+'East Feliciana'!M29</f>
        <v>574781.70000000007</v>
      </c>
      <c r="N25" s="128">
        <f t="shared" si="1"/>
        <v>980917.20000000007</v>
      </c>
      <c r="O25" s="128"/>
      <c r="P25" s="128">
        <f t="shared" si="16"/>
        <v>6313958.3600000003</v>
      </c>
      <c r="Q25" s="118" t="str">
        <f t="shared" si="3"/>
        <v>ok</v>
      </c>
      <c r="R25" s="128">
        <f>'East Feliciana'!M31</f>
        <v>6313958.3599999994</v>
      </c>
      <c r="S25" s="128">
        <f>'East Feliciana'!I8</f>
        <v>-950109.55</v>
      </c>
      <c r="T25" s="128"/>
      <c r="U25" s="128"/>
      <c r="V25" s="128"/>
      <c r="W25" s="128"/>
      <c r="X25" s="128"/>
      <c r="Y25" s="128">
        <f t="shared" si="4"/>
        <v>-950109.55</v>
      </c>
      <c r="Z25" s="128">
        <f>'East Feliciana'!I12</f>
        <v>-1169097.24</v>
      </c>
      <c r="AA25" s="128">
        <f>'East Feliciana'!I13</f>
        <v>-2638111.11</v>
      </c>
      <c r="AB25" s="128">
        <f>'East Feliciana'!I10</f>
        <v>-9587.67</v>
      </c>
      <c r="AC25" s="128">
        <f>'East Feliciana'!I11</f>
        <v>-329817.02</v>
      </c>
      <c r="AD25" s="128">
        <f>'East Feliciana'!I9</f>
        <v>-4586.9399999999996</v>
      </c>
      <c r="AE25" s="128"/>
      <c r="AF25" s="128"/>
      <c r="AG25" s="128">
        <f t="shared" si="5"/>
        <v>-4151199.9799999995</v>
      </c>
      <c r="AH25" s="128">
        <f>SUM(AG25,Y25)</f>
        <v>-5101309.5299999993</v>
      </c>
      <c r="AI25" s="118" t="str">
        <f t="shared" si="15"/>
        <v>ok</v>
      </c>
      <c r="AJ25" s="128">
        <f>'East Feliciana'!I15</f>
        <v>-5101309.5299999993</v>
      </c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2"/>
      <c r="BM25" s="132"/>
      <c r="BN25" s="132"/>
      <c r="BO25" s="132"/>
      <c r="BP25" s="132"/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132"/>
      <c r="CB25" s="132"/>
      <c r="CC25" s="132"/>
      <c r="CD25" s="132"/>
      <c r="CE25" s="132"/>
      <c r="CF25" s="132"/>
      <c r="CG25" s="132"/>
      <c r="CH25" s="132"/>
      <c r="CI25" s="132"/>
      <c r="CJ25" s="132"/>
      <c r="CK25" s="132"/>
      <c r="CL25" s="132"/>
      <c r="CM25" s="132"/>
      <c r="CN25" s="132"/>
      <c r="CO25" s="132"/>
      <c r="CP25" s="132"/>
      <c r="CQ25" s="132"/>
      <c r="CR25" s="132"/>
      <c r="CS25" s="132"/>
      <c r="CT25" s="132"/>
      <c r="CU25" s="132"/>
      <c r="CV25" s="132"/>
      <c r="CW25" s="132"/>
      <c r="CX25" s="132"/>
      <c r="CY25" s="132"/>
      <c r="CZ25" s="132"/>
      <c r="DA25" s="132"/>
      <c r="DB25" s="132"/>
      <c r="DC25" s="132"/>
      <c r="DD25" s="132"/>
      <c r="DE25" s="132"/>
      <c r="DF25" s="132"/>
      <c r="DG25" s="132"/>
      <c r="DH25" s="132"/>
      <c r="DI25" s="132"/>
      <c r="DJ25" s="132"/>
      <c r="DK25" s="132"/>
      <c r="DL25" s="132"/>
      <c r="DM25" s="132"/>
      <c r="DN25" s="132"/>
      <c r="DO25" s="132"/>
      <c r="DP25" s="132"/>
      <c r="DQ25" s="132"/>
      <c r="DR25" s="132"/>
      <c r="DS25" s="132"/>
      <c r="DT25" s="132"/>
      <c r="DU25" s="132"/>
      <c r="DV25" s="132"/>
      <c r="DW25" s="132"/>
      <c r="DX25" s="132"/>
      <c r="DY25" s="132"/>
      <c r="DZ25" s="132"/>
      <c r="EA25" s="132"/>
      <c r="EB25" s="132"/>
      <c r="EC25" s="132"/>
      <c r="ED25" s="132"/>
      <c r="EE25" s="132"/>
      <c r="EF25" s="132"/>
      <c r="EG25" s="132"/>
      <c r="EH25" s="132"/>
      <c r="EI25" s="132"/>
      <c r="EJ25" s="132"/>
      <c r="EK25" s="132"/>
      <c r="EL25" s="132"/>
      <c r="EM25" s="132"/>
      <c r="EN25" s="132"/>
      <c r="EO25" s="132"/>
      <c r="EP25" s="132"/>
      <c r="EQ25" s="132"/>
      <c r="ER25" s="132"/>
      <c r="ES25" s="132"/>
      <c r="ET25" s="132"/>
      <c r="EU25" s="132"/>
      <c r="EV25" s="132"/>
      <c r="EW25" s="132"/>
      <c r="EX25" s="132"/>
      <c r="EY25" s="132"/>
      <c r="EZ25" s="132"/>
      <c r="FA25" s="132"/>
      <c r="FB25" s="132"/>
      <c r="FC25" s="132"/>
      <c r="FD25" s="132"/>
      <c r="FE25" s="132"/>
      <c r="FF25" s="132"/>
      <c r="FG25" s="132"/>
      <c r="FH25" s="132"/>
      <c r="FI25" s="132"/>
      <c r="FJ25" s="132"/>
      <c r="FK25" s="132"/>
      <c r="FL25" s="132"/>
      <c r="FM25" s="132"/>
      <c r="FN25" s="132"/>
      <c r="FO25" s="132"/>
      <c r="FP25" s="132"/>
      <c r="FQ25" s="132"/>
      <c r="FR25" s="132"/>
      <c r="FS25" s="132"/>
      <c r="FT25" s="132"/>
      <c r="FU25" s="132"/>
      <c r="FV25" s="132"/>
      <c r="FW25" s="132"/>
      <c r="FX25" s="132"/>
      <c r="FY25" s="132"/>
      <c r="FZ25" s="132"/>
      <c r="GA25" s="132"/>
      <c r="GB25" s="132"/>
      <c r="GC25" s="132"/>
      <c r="GD25" s="132"/>
      <c r="GE25" s="132"/>
      <c r="GF25" s="132"/>
      <c r="GG25" s="132"/>
      <c r="GH25" s="132"/>
      <c r="GI25" s="132"/>
      <c r="GJ25" s="132"/>
      <c r="GK25" s="132"/>
      <c r="GL25" s="132"/>
      <c r="GM25" s="132"/>
      <c r="GN25" s="132"/>
      <c r="GO25" s="132"/>
      <c r="GP25" s="132"/>
      <c r="GQ25" s="132"/>
      <c r="GR25" s="132"/>
      <c r="GS25" s="132"/>
      <c r="GT25" s="132"/>
      <c r="GU25" s="132"/>
      <c r="GV25" s="132"/>
      <c r="GW25" s="132"/>
      <c r="GX25" s="132"/>
      <c r="GY25" s="132"/>
      <c r="GZ25" s="132"/>
      <c r="HA25" s="132"/>
      <c r="HB25" s="132"/>
      <c r="HC25" s="132"/>
      <c r="HD25" s="132"/>
      <c r="HE25" s="132"/>
      <c r="HF25" s="132"/>
      <c r="HG25" s="132"/>
      <c r="HH25" s="132"/>
      <c r="HI25" s="132"/>
      <c r="HJ25" s="132"/>
      <c r="HK25" s="132"/>
      <c r="HL25" s="132"/>
      <c r="HM25" s="132"/>
      <c r="HN25" s="132"/>
      <c r="HO25" s="132"/>
      <c r="HP25" s="132"/>
      <c r="HQ25" s="132"/>
      <c r="HR25" s="132"/>
      <c r="HS25" s="132"/>
      <c r="HT25" s="132"/>
      <c r="HU25" s="132"/>
      <c r="HV25" s="132"/>
      <c r="HW25" s="132"/>
      <c r="HX25" s="132"/>
      <c r="HY25" s="132"/>
      <c r="HZ25" s="132"/>
      <c r="IA25" s="132"/>
      <c r="IB25" s="132"/>
      <c r="IC25" s="132"/>
      <c r="ID25" s="132"/>
      <c r="IE25" s="132"/>
      <c r="IF25" s="132"/>
      <c r="IG25" s="132"/>
      <c r="IH25" s="132"/>
      <c r="II25" s="132"/>
      <c r="IJ25" s="132"/>
      <c r="IK25" s="132"/>
      <c r="IL25" s="132"/>
      <c r="IM25" s="132"/>
      <c r="IN25" s="132"/>
      <c r="IO25" s="132"/>
      <c r="IP25" s="132"/>
      <c r="IQ25" s="132"/>
      <c r="IR25" s="132"/>
      <c r="IS25" s="132"/>
      <c r="IT25" s="132"/>
      <c r="IU25" s="132"/>
      <c r="IV25" s="132"/>
      <c r="IW25" s="132"/>
      <c r="IX25" s="132"/>
      <c r="IY25" s="132"/>
      <c r="IZ25" s="132"/>
      <c r="JA25" s="132"/>
      <c r="JB25" s="132"/>
      <c r="JC25" s="132"/>
      <c r="JD25" s="132"/>
      <c r="JE25" s="132"/>
      <c r="JF25" s="132"/>
      <c r="JG25" s="132"/>
      <c r="JH25" s="132"/>
      <c r="JI25" s="132"/>
      <c r="JJ25" s="132"/>
      <c r="JK25" s="132"/>
      <c r="JL25" s="132"/>
      <c r="JM25" s="132"/>
      <c r="JN25" s="132"/>
      <c r="JO25" s="132"/>
      <c r="JP25" s="132"/>
      <c r="JQ25" s="132"/>
      <c r="JR25" s="132"/>
      <c r="JS25" s="132"/>
      <c r="JT25" s="132"/>
      <c r="JU25" s="132"/>
      <c r="JV25" s="132"/>
      <c r="JW25" s="132"/>
      <c r="JX25" s="132"/>
      <c r="JY25" s="132"/>
      <c r="JZ25" s="132"/>
      <c r="KA25" s="132"/>
      <c r="KB25" s="132"/>
      <c r="KC25" s="132"/>
      <c r="KD25" s="132"/>
      <c r="KE25" s="132"/>
      <c r="KF25" s="132"/>
      <c r="KG25" s="132"/>
      <c r="KH25" s="132"/>
      <c r="KI25" s="132"/>
      <c r="KJ25" s="132"/>
      <c r="KK25" s="132"/>
      <c r="KL25" s="132"/>
      <c r="KM25" s="132"/>
      <c r="KN25" s="132"/>
      <c r="KO25" s="132"/>
      <c r="KP25" s="132"/>
      <c r="KQ25" s="132"/>
      <c r="KR25" s="132"/>
      <c r="KS25" s="132"/>
      <c r="KT25" s="132"/>
      <c r="KU25" s="132"/>
      <c r="KV25" s="132"/>
      <c r="KW25" s="132"/>
      <c r="KX25" s="132"/>
      <c r="KY25" s="132"/>
      <c r="KZ25" s="132"/>
      <c r="LA25" s="132"/>
      <c r="LB25" s="132"/>
      <c r="LC25" s="132"/>
      <c r="LD25" s="132"/>
      <c r="LE25" s="132"/>
      <c r="LF25" s="132"/>
      <c r="LG25" s="132"/>
      <c r="LH25" s="132"/>
      <c r="LI25" s="132"/>
      <c r="LJ25" s="132"/>
      <c r="LK25" s="132"/>
      <c r="LL25" s="132"/>
      <c r="LM25" s="132"/>
      <c r="LN25" s="132"/>
      <c r="LO25" s="132"/>
      <c r="LP25" s="132"/>
      <c r="LQ25" s="132"/>
      <c r="LR25" s="132"/>
      <c r="LS25" s="132"/>
      <c r="LT25" s="132"/>
      <c r="LU25" s="132"/>
      <c r="LV25" s="132"/>
      <c r="LW25" s="132"/>
      <c r="LX25" s="132"/>
      <c r="LY25" s="132"/>
      <c r="LZ25" s="132"/>
      <c r="MA25" s="132"/>
      <c r="MB25" s="132"/>
      <c r="MC25" s="132"/>
      <c r="MD25" s="132"/>
      <c r="ME25" s="132"/>
      <c r="MF25" s="132"/>
      <c r="MG25" s="132"/>
      <c r="MH25" s="132"/>
      <c r="MI25" s="132"/>
      <c r="MJ25" s="132"/>
      <c r="MK25" s="132"/>
      <c r="ML25" s="132"/>
      <c r="MM25" s="132"/>
      <c r="MN25" s="132"/>
      <c r="MO25" s="132"/>
      <c r="MP25" s="132"/>
      <c r="MQ25" s="132"/>
      <c r="MR25" s="132"/>
      <c r="MS25" s="132"/>
      <c r="MT25" s="132"/>
      <c r="MU25" s="132"/>
      <c r="MV25" s="132"/>
      <c r="MW25" s="132"/>
      <c r="MX25" s="132"/>
      <c r="MY25" s="132"/>
      <c r="MZ25" s="132"/>
      <c r="NA25" s="132"/>
      <c r="NB25" s="132"/>
      <c r="NC25" s="132"/>
      <c r="ND25" s="132"/>
      <c r="NE25" s="132"/>
      <c r="NF25" s="132"/>
      <c r="NG25" s="132"/>
      <c r="NH25" s="132"/>
      <c r="NI25" s="132"/>
      <c r="NJ25" s="132"/>
      <c r="NK25" s="132"/>
      <c r="NL25" s="132"/>
      <c r="NM25" s="132"/>
      <c r="NN25" s="132"/>
      <c r="NO25" s="132"/>
      <c r="NP25" s="132"/>
      <c r="NQ25" s="132"/>
      <c r="NR25" s="132"/>
      <c r="NS25" s="132"/>
      <c r="NT25" s="132"/>
      <c r="NU25" s="132"/>
      <c r="NV25" s="132"/>
      <c r="NW25" s="132"/>
      <c r="NX25" s="132"/>
      <c r="NY25" s="132"/>
      <c r="NZ25" s="132"/>
      <c r="OA25" s="132"/>
      <c r="OB25" s="132"/>
      <c r="OC25" s="132"/>
      <c r="OD25" s="132"/>
      <c r="OE25" s="132"/>
      <c r="OF25" s="132"/>
      <c r="OG25" s="132"/>
      <c r="OH25" s="132"/>
      <c r="OI25" s="132"/>
      <c r="OJ25" s="132"/>
      <c r="OK25" s="132"/>
      <c r="OL25" s="132"/>
      <c r="OM25" s="132"/>
      <c r="ON25" s="132"/>
      <c r="OO25" s="132"/>
      <c r="OP25" s="132"/>
      <c r="OQ25" s="132"/>
      <c r="OR25" s="132"/>
      <c r="OS25" s="132"/>
      <c r="OT25" s="132"/>
      <c r="OU25" s="132"/>
      <c r="OV25" s="132"/>
      <c r="OW25" s="132"/>
      <c r="OX25" s="132"/>
      <c r="OY25" s="132"/>
      <c r="OZ25" s="132"/>
      <c r="PA25" s="132"/>
      <c r="PB25" s="132"/>
      <c r="PC25" s="132"/>
      <c r="PD25" s="132"/>
      <c r="PE25" s="132"/>
      <c r="PF25" s="132"/>
      <c r="PG25" s="132"/>
      <c r="PH25" s="132"/>
      <c r="PI25" s="132"/>
      <c r="PJ25" s="132"/>
      <c r="PK25" s="132"/>
      <c r="PL25" s="132"/>
      <c r="PM25" s="132"/>
      <c r="PN25" s="132"/>
      <c r="PO25" s="132"/>
      <c r="PP25" s="132"/>
      <c r="PQ25" s="132"/>
      <c r="PR25" s="132"/>
      <c r="PS25" s="132"/>
      <c r="PT25" s="132"/>
      <c r="PU25" s="132"/>
      <c r="PV25" s="132"/>
      <c r="PW25" s="132"/>
      <c r="PX25" s="132"/>
      <c r="PY25" s="132"/>
      <c r="PZ25" s="132"/>
      <c r="QA25" s="132"/>
      <c r="QB25" s="132"/>
      <c r="QC25" s="132"/>
      <c r="QD25" s="132"/>
      <c r="QE25" s="132"/>
      <c r="QF25" s="132"/>
      <c r="QG25" s="132"/>
      <c r="QH25" s="132"/>
      <c r="QI25" s="132"/>
      <c r="QJ25" s="132"/>
      <c r="QK25" s="132"/>
      <c r="QL25" s="132"/>
      <c r="QM25" s="132"/>
      <c r="QN25" s="132"/>
      <c r="QO25" s="132"/>
      <c r="QP25" s="132"/>
      <c r="QQ25" s="132"/>
      <c r="QR25" s="132"/>
      <c r="QS25" s="132"/>
      <c r="QT25" s="132"/>
      <c r="QU25" s="132"/>
      <c r="QV25" s="132"/>
      <c r="QW25" s="132"/>
      <c r="QX25" s="132"/>
      <c r="QY25" s="132"/>
      <c r="QZ25" s="132"/>
      <c r="RA25" s="132"/>
      <c r="RB25" s="132"/>
      <c r="RC25" s="132"/>
      <c r="RD25" s="132"/>
      <c r="RE25" s="132"/>
      <c r="RF25" s="132"/>
      <c r="RG25" s="132"/>
      <c r="RH25" s="132"/>
      <c r="RI25" s="132"/>
      <c r="RJ25" s="132"/>
      <c r="RK25" s="132"/>
      <c r="RL25" s="132"/>
      <c r="RM25" s="132"/>
      <c r="RN25" s="132"/>
      <c r="RO25" s="132"/>
      <c r="RP25" s="132"/>
      <c r="RQ25" s="132"/>
    </row>
    <row r="26" spans="1:485" ht="15.75">
      <c r="A26" s="3"/>
      <c r="B26" s="8" t="s">
        <v>658</v>
      </c>
      <c r="C26" s="9">
        <f>Evangeline!M28</f>
        <v>5857491</v>
      </c>
      <c r="D26" s="9">
        <f>Evangeline!M29</f>
        <v>3282902</v>
      </c>
      <c r="E26" s="9"/>
      <c r="F26" s="9"/>
      <c r="G26" s="9">
        <f t="shared" si="0"/>
        <v>9140393</v>
      </c>
      <c r="H26" s="9">
        <f>Evangeline!M32</f>
        <v>233286</v>
      </c>
      <c r="I26" s="9">
        <f>Evangeline!M31+Evangeline!M33+Evangeline!M34</f>
        <v>1386450</v>
      </c>
      <c r="J26" s="9"/>
      <c r="K26" s="9"/>
      <c r="L26" s="9"/>
      <c r="M26" s="9">
        <f>Evangeline!M35+Evangeline!M36</f>
        <v>674401</v>
      </c>
      <c r="N26" s="9">
        <f t="shared" si="1"/>
        <v>2294137</v>
      </c>
      <c r="O26" s="9"/>
      <c r="P26" s="9">
        <f t="shared" si="16"/>
        <v>11434530</v>
      </c>
      <c r="Q26" s="118" t="str">
        <f t="shared" si="3"/>
        <v>ok</v>
      </c>
      <c r="R26" s="9">
        <f>Evangeline!M38</f>
        <v>11434530</v>
      </c>
      <c r="S26" s="9">
        <f>Evangeline!I8</f>
        <v>-2303564</v>
      </c>
      <c r="T26" s="9"/>
      <c r="U26" s="9"/>
      <c r="V26" s="9"/>
      <c r="W26" s="9"/>
      <c r="X26" s="9"/>
      <c r="Y26" s="9">
        <f t="shared" si="4"/>
        <v>-2303564</v>
      </c>
      <c r="Z26" s="9">
        <f>Evangeline!I9</f>
        <v>-844114</v>
      </c>
      <c r="AA26" s="9">
        <f>Evangeline!I10</f>
        <v>-7176279</v>
      </c>
      <c r="AB26" s="9">
        <f>Evangeline!I13</f>
        <v>-213035</v>
      </c>
      <c r="AC26" s="9">
        <f>Evangeline!I11</f>
        <v>-483095</v>
      </c>
      <c r="AD26" s="9">
        <f>Evangeline!I12</f>
        <v>-1293548</v>
      </c>
      <c r="AE26" s="9">
        <f>Evangeline!I14</f>
        <v>-1087451</v>
      </c>
      <c r="AF26" s="9"/>
      <c r="AG26" s="9">
        <f t="shared" si="5"/>
        <v>-11097522</v>
      </c>
      <c r="AH26" s="9">
        <f>SUM(AG26,Y26)</f>
        <v>-13401086</v>
      </c>
      <c r="AI26" s="118" t="str">
        <f t="shared" si="15"/>
        <v>ok</v>
      </c>
      <c r="AJ26" s="9">
        <f>Evangeline!I16</f>
        <v>-13401086</v>
      </c>
    </row>
    <row r="27" spans="1:485" s="123" customFormat="1" ht="15.75">
      <c r="A27" s="122"/>
      <c r="B27" s="120" t="s">
        <v>659</v>
      </c>
      <c r="C27" s="121">
        <f>Franklin!M19</f>
        <v>3303526</v>
      </c>
      <c r="D27" s="121">
        <f>Franklin!M20</f>
        <v>3817919</v>
      </c>
      <c r="E27" s="121"/>
      <c r="F27" s="121">
        <f>Franklin!M22+Franklin!M23</f>
        <v>96534</v>
      </c>
      <c r="G27" s="121">
        <f t="shared" si="0"/>
        <v>7217979</v>
      </c>
      <c r="H27" s="121"/>
      <c r="I27" s="121">
        <f>Franklin!M24</f>
        <v>36450</v>
      </c>
      <c r="J27" s="121"/>
      <c r="K27" s="121"/>
      <c r="L27" s="121">
        <f>Franklin!M21</f>
        <v>176711</v>
      </c>
      <c r="M27" s="121">
        <f>Franklin!M25+Franklin!M26+Franklin!M27+Franklin!M28</f>
        <v>275767</v>
      </c>
      <c r="N27" s="121">
        <f t="shared" si="1"/>
        <v>488928</v>
      </c>
      <c r="O27" s="121"/>
      <c r="P27" s="121">
        <f t="shared" si="16"/>
        <v>7706907</v>
      </c>
      <c r="Q27" s="118" t="str">
        <f t="shared" si="3"/>
        <v>ok</v>
      </c>
      <c r="R27" s="121">
        <f>Franklin!M30</f>
        <v>7706907</v>
      </c>
      <c r="S27" s="121">
        <f>Franklin!I8</f>
        <v>-781880</v>
      </c>
      <c r="T27" s="121"/>
      <c r="U27" s="121"/>
      <c r="V27" s="121"/>
      <c r="W27" s="121"/>
      <c r="X27" s="121"/>
      <c r="Y27" s="121">
        <f t="shared" si="4"/>
        <v>-781880</v>
      </c>
      <c r="Z27" s="121">
        <f>Franklin!I9</f>
        <v>-453160</v>
      </c>
      <c r="AA27" s="121">
        <f>Franklin!I10</f>
        <v>-6091341</v>
      </c>
      <c r="AB27" s="121">
        <f>Franklin!I13</f>
        <v>-4065049</v>
      </c>
      <c r="AC27" s="121">
        <f>Franklin!I11</f>
        <v>-601056</v>
      </c>
      <c r="AD27" s="121">
        <f>Franklin!I12</f>
        <v>-132615</v>
      </c>
      <c r="AE27" s="121"/>
      <c r="AF27" s="121"/>
      <c r="AG27" s="121">
        <f t="shared" si="5"/>
        <v>-11343221</v>
      </c>
      <c r="AH27" s="121">
        <f>SUM(AG27,Y27)</f>
        <v>-12125101</v>
      </c>
      <c r="AI27" s="118" t="str">
        <f t="shared" si="15"/>
        <v>ok</v>
      </c>
      <c r="AJ27" s="121">
        <f>Franklin!I15</f>
        <v>-12125101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</row>
    <row r="28" spans="1:485" s="139" customFormat="1" ht="15.75">
      <c r="A28" s="138"/>
      <c r="B28" s="8" t="s">
        <v>660</v>
      </c>
      <c r="C28" s="9">
        <f>'Grant '!N37</f>
        <v>889307</v>
      </c>
      <c r="D28" s="9">
        <f>'Grant '!N38</f>
        <v>1159486</v>
      </c>
      <c r="E28" s="9"/>
      <c r="F28" s="9">
        <f>'Grant '!N39+'Grant '!N40+'Grant '!N41+'Grant '!N42</f>
        <v>901965</v>
      </c>
      <c r="G28" s="9">
        <f t="shared" si="0"/>
        <v>2950758</v>
      </c>
      <c r="H28" s="9"/>
      <c r="I28" s="9"/>
      <c r="J28" s="9"/>
      <c r="K28" s="9"/>
      <c r="L28" s="9"/>
      <c r="M28" s="9"/>
      <c r="N28" s="9">
        <f t="shared" si="1"/>
        <v>0</v>
      </c>
      <c r="O28" s="9"/>
      <c r="P28" s="9">
        <f t="shared" si="16"/>
        <v>2950758</v>
      </c>
      <c r="Q28" s="118" t="str">
        <f t="shared" si="3"/>
        <v>ok</v>
      </c>
      <c r="R28" s="9">
        <f>'Grant '!N44</f>
        <v>2950758</v>
      </c>
      <c r="S28" s="9"/>
      <c r="T28" s="9">
        <f>'Grant '!I9</f>
        <v>-213011</v>
      </c>
      <c r="U28" s="9">
        <f>'Grant '!I10</f>
        <v>-606967</v>
      </c>
      <c r="V28" s="9"/>
      <c r="W28" s="9">
        <f>'Grant '!I11</f>
        <v>-235770</v>
      </c>
      <c r="X28" s="9">
        <f>'Grant '!I12</f>
        <v>-279567</v>
      </c>
      <c r="Y28" s="9">
        <f t="shared" si="4"/>
        <v>-1335315</v>
      </c>
      <c r="Z28" s="9">
        <f>'Grant '!I13</f>
        <v>-328726</v>
      </c>
      <c r="AA28" s="9">
        <f>'Grant '!I15+'Grant '!I16+'Grant '!I18+'Grant '!I19</f>
        <v>-2891669</v>
      </c>
      <c r="AB28" s="9">
        <f>'Grant '!I20</f>
        <v>-34600</v>
      </c>
      <c r="AC28" s="9">
        <f>'Grant '!I21</f>
        <v>-102862</v>
      </c>
      <c r="AD28" s="9">
        <f>'Grant '!I22</f>
        <v>-11066</v>
      </c>
      <c r="AE28" s="9"/>
      <c r="AF28" s="9"/>
      <c r="AG28" s="9">
        <f t="shared" si="5"/>
        <v>-3368923</v>
      </c>
      <c r="AH28" s="9">
        <f>SUM(Y28,AG28)</f>
        <v>-4704238</v>
      </c>
      <c r="AI28" s="118" t="str">
        <f t="shared" si="15"/>
        <v>ok</v>
      </c>
      <c r="AJ28" s="9">
        <f>'Grant '!I24</f>
        <v>-4704238</v>
      </c>
    </row>
    <row r="29" spans="1:485" s="123" customFormat="1" ht="15.75">
      <c r="A29" s="122"/>
      <c r="B29" s="120" t="s">
        <v>661</v>
      </c>
      <c r="C29" s="121">
        <f>Iberia!M25</f>
        <v>10403521</v>
      </c>
      <c r="D29" s="121">
        <f>Iberia!M26+Iberia!M27</f>
        <v>7385665</v>
      </c>
      <c r="E29" s="121"/>
      <c r="F29" s="121">
        <f>Iberia!M28+Iberia!M30</f>
        <v>2071075</v>
      </c>
      <c r="G29" s="121">
        <f t="shared" si="0"/>
        <v>19860261</v>
      </c>
      <c r="H29" s="121">
        <f>Iberia!M32</f>
        <v>443269</v>
      </c>
      <c r="I29" s="121"/>
      <c r="J29" s="121"/>
      <c r="K29" s="121"/>
      <c r="L29" s="121"/>
      <c r="M29" s="121">
        <f>Iberia!M33+Iberia!M34</f>
        <v>544484</v>
      </c>
      <c r="N29" s="121">
        <f t="shared" si="1"/>
        <v>987753</v>
      </c>
      <c r="O29" s="121"/>
      <c r="P29" s="121">
        <f t="shared" si="16"/>
        <v>20848014</v>
      </c>
      <c r="Q29" s="118" t="str">
        <f t="shared" si="3"/>
        <v>ok</v>
      </c>
      <c r="R29" s="121">
        <f>Iberia!M36</f>
        <v>20848014</v>
      </c>
      <c r="S29" s="121">
        <f>Iberia!I9</f>
        <v>-5786600</v>
      </c>
      <c r="T29" s="121"/>
      <c r="U29" s="121"/>
      <c r="V29" s="121"/>
      <c r="W29" s="121"/>
      <c r="X29" s="121"/>
      <c r="Y29" s="121">
        <f t="shared" si="4"/>
        <v>-5786600</v>
      </c>
      <c r="Z29" s="121">
        <f>Iberia!I10</f>
        <v>-4622943</v>
      </c>
      <c r="AA29" s="121">
        <f>Iberia!I11</f>
        <v>-12090667</v>
      </c>
      <c r="AB29" s="121">
        <f>Iberia!I15</f>
        <v>-425794</v>
      </c>
      <c r="AC29" s="121">
        <f>Iberia!I12</f>
        <v>-6611112</v>
      </c>
      <c r="AD29" s="121">
        <f>Iberia!I13</f>
        <v>-2835116</v>
      </c>
      <c r="AE29" s="121">
        <f>Iberia!I17</f>
        <v>-359539</v>
      </c>
      <c r="AF29" s="121">
        <f>Iberia!I14+Iberia!I16</f>
        <v>-4196496</v>
      </c>
      <c r="AG29" s="121">
        <f t="shared" si="5"/>
        <v>-31141667</v>
      </c>
      <c r="AH29" s="121">
        <f t="shared" ref="AH29:AH49" si="17">SUM(AG29,Y29)</f>
        <v>-36928267</v>
      </c>
      <c r="AI29" s="118" t="str">
        <f t="shared" si="15"/>
        <v>ok</v>
      </c>
      <c r="AJ29" s="121">
        <f>Iberia!I19</f>
        <v>-36928267</v>
      </c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</row>
    <row r="30" spans="1:485" ht="15.75">
      <c r="A30" s="3"/>
      <c r="B30" s="8" t="s">
        <v>662</v>
      </c>
      <c r="C30" s="9">
        <f>Iberville!M33</f>
        <v>5872715</v>
      </c>
      <c r="D30" s="9">
        <f>Iberville!M34+Iberville!M35+Iberville!M37</f>
        <v>19585073</v>
      </c>
      <c r="E30" s="9"/>
      <c r="F30" s="9">
        <f>Iberville!M36</f>
        <v>16419</v>
      </c>
      <c r="G30" s="9">
        <f t="shared" si="0"/>
        <v>25474207</v>
      </c>
      <c r="H30" s="9"/>
      <c r="I30" s="9">
        <f>Iberville!M38</f>
        <v>1089548</v>
      </c>
      <c r="J30" s="9"/>
      <c r="K30" s="9"/>
      <c r="L30" s="9">
        <f>Iberville!M41</f>
        <v>81135</v>
      </c>
      <c r="M30" s="9">
        <f>Iberville!M39+Iberville!M40</f>
        <v>5278314</v>
      </c>
      <c r="N30" s="9">
        <f t="shared" si="1"/>
        <v>6448997</v>
      </c>
      <c r="O30" s="9"/>
      <c r="P30" s="9">
        <f t="shared" si="16"/>
        <v>31923204</v>
      </c>
      <c r="Q30" s="118" t="str">
        <f t="shared" si="3"/>
        <v>ok</v>
      </c>
      <c r="R30" s="9">
        <f>Iberville!M44</f>
        <v>31923204</v>
      </c>
      <c r="S30" s="9">
        <f>Iberville!I9</f>
        <v>-21155383</v>
      </c>
      <c r="T30" s="9"/>
      <c r="U30" s="9"/>
      <c r="V30" s="9"/>
      <c r="W30" s="9"/>
      <c r="X30" s="9"/>
      <c r="Y30" s="9">
        <f t="shared" si="4"/>
        <v>-21155383</v>
      </c>
      <c r="Z30" s="9">
        <f>Iberville!I10</f>
        <v>-4093206</v>
      </c>
      <c r="AA30" s="9">
        <f>Iberville!I11</f>
        <v>-12246757</v>
      </c>
      <c r="AB30" s="9">
        <f>Iberville!I13</f>
        <v>-267660</v>
      </c>
      <c r="AC30" s="9">
        <f>Iberville!I12</f>
        <v>-2311952</v>
      </c>
      <c r="AD30" s="9">
        <f>Iberville!I14</f>
        <v>-824014</v>
      </c>
      <c r="AE30" s="9">
        <f>Iberville!I15</f>
        <v>-691880</v>
      </c>
      <c r="AF30" s="9"/>
      <c r="AG30" s="9">
        <f t="shared" si="5"/>
        <v>-20435469</v>
      </c>
      <c r="AH30" s="9">
        <f t="shared" si="17"/>
        <v>-41590852</v>
      </c>
      <c r="AI30" s="118" t="str">
        <f t="shared" si="15"/>
        <v>ok</v>
      </c>
      <c r="AJ30" s="9">
        <f>Iberville!I17</f>
        <v>-41590852</v>
      </c>
    </row>
    <row r="31" spans="1:485" s="123" customFormat="1" ht="15.75">
      <c r="A31" s="122"/>
      <c r="B31" s="120" t="s">
        <v>663</v>
      </c>
      <c r="C31" s="121">
        <f>Jackson!M24</f>
        <v>4409812</v>
      </c>
      <c r="D31" s="121">
        <f>Jackson!M25</f>
        <v>2222337</v>
      </c>
      <c r="E31" s="121"/>
      <c r="F31" s="121">
        <f>Jackson!M27+Jackson!M28</f>
        <v>958342</v>
      </c>
      <c r="G31" s="121">
        <f t="shared" si="0"/>
        <v>7590491</v>
      </c>
      <c r="H31" s="121"/>
      <c r="I31" s="121"/>
      <c r="J31" s="121"/>
      <c r="K31" s="121"/>
      <c r="L31" s="121">
        <f>Jackson!M26</f>
        <v>80284</v>
      </c>
      <c r="M31" s="121">
        <f>Jackson!M29+Jackson!M30+Jackson!M31</f>
        <v>274867</v>
      </c>
      <c r="N31" s="121">
        <f t="shared" si="1"/>
        <v>355151</v>
      </c>
      <c r="O31" s="121"/>
      <c r="P31" s="121">
        <f t="shared" si="16"/>
        <v>7945642</v>
      </c>
      <c r="Q31" s="118" t="str">
        <f t="shared" si="3"/>
        <v>ok</v>
      </c>
      <c r="R31" s="121">
        <f>Jackson!M33</f>
        <v>7945642</v>
      </c>
      <c r="S31" s="121"/>
      <c r="T31" s="121">
        <f>Jackson!I10</f>
        <v>-120698</v>
      </c>
      <c r="U31" s="121">
        <f>Jackson!I11</f>
        <v>-266805</v>
      </c>
      <c r="V31" s="121">
        <f>Jackson!I12</f>
        <v>-24856</v>
      </c>
      <c r="W31" s="121">
        <f>Jackson!I13</f>
        <v>-266474</v>
      </c>
      <c r="X31" s="121">
        <f>Jackson!I14</f>
        <v>-530878</v>
      </c>
      <c r="Y31" s="121">
        <f t="shared" si="4"/>
        <v>-1209711</v>
      </c>
      <c r="Z31" s="121">
        <f>Jackson!I15</f>
        <v>-700715</v>
      </c>
      <c r="AA31" s="121">
        <f>Jackson!I16</f>
        <v>-4985065</v>
      </c>
      <c r="AB31" s="121"/>
      <c r="AC31" s="121">
        <f>Jackson!I17</f>
        <v>-255022</v>
      </c>
      <c r="AD31" s="121">
        <f>Jackson!I18</f>
        <v>-1312896</v>
      </c>
      <c r="AE31" s="121"/>
      <c r="AF31" s="121"/>
      <c r="AG31" s="121">
        <f t="shared" si="5"/>
        <v>-7253698</v>
      </c>
      <c r="AH31" s="121">
        <f t="shared" si="17"/>
        <v>-8463409</v>
      </c>
      <c r="AI31" s="118" t="str">
        <f t="shared" si="15"/>
        <v>ok</v>
      </c>
      <c r="AJ31" s="121">
        <f>Jackson!I20</f>
        <v>-8463409</v>
      </c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</row>
    <row r="32" spans="1:485" ht="15.75">
      <c r="A32" s="3"/>
      <c r="B32" s="130" t="s">
        <v>664</v>
      </c>
      <c r="C32" s="140">
        <f>Jefferson!M41</f>
        <v>191583</v>
      </c>
      <c r="D32" s="140">
        <f>Jefferson!M44+Jefferson!M45+Jefferson!M46</f>
        <v>157184</v>
      </c>
      <c r="E32" s="140"/>
      <c r="F32" s="140">
        <f>Jefferson!M42+Jefferson!M43+Jefferson!M48</f>
        <v>1609</v>
      </c>
      <c r="G32" s="140">
        <f t="shared" si="0"/>
        <v>350376</v>
      </c>
      <c r="H32" s="140"/>
      <c r="I32" s="140"/>
      <c r="J32" s="140"/>
      <c r="K32" s="140"/>
      <c r="L32" s="140">
        <f>Jefferson!M52</f>
        <v>-1541</v>
      </c>
      <c r="M32" s="140">
        <f>SUM(Jefferson!M49+Jefferson!M50)</f>
        <v>34460</v>
      </c>
      <c r="N32" s="9">
        <f t="shared" si="1"/>
        <v>32919</v>
      </c>
      <c r="O32" s="140"/>
      <c r="P32" s="140">
        <f>SUM(N32,G32,O32)</f>
        <v>383295</v>
      </c>
      <c r="Q32" s="118" t="str">
        <f t="shared" si="3"/>
        <v>ok</v>
      </c>
      <c r="R32" s="140">
        <f>Jefferson!M54</f>
        <v>383295</v>
      </c>
      <c r="S32" s="140">
        <f>Jefferson!I9</f>
        <v>-70717</v>
      </c>
      <c r="T32" s="140"/>
      <c r="U32" s="140"/>
      <c r="V32" s="140"/>
      <c r="W32" s="140"/>
      <c r="X32" s="140"/>
      <c r="Y32" s="140">
        <f t="shared" si="4"/>
        <v>-70717</v>
      </c>
      <c r="Z32" s="140">
        <f>Jefferson!I10</f>
        <v>-100987</v>
      </c>
      <c r="AA32" s="140">
        <f>Jefferson!I11+Jefferson!I12</f>
        <v>-151149</v>
      </c>
      <c r="AB32" s="140"/>
      <c r="AC32" s="140">
        <f>Jefferson!I13</f>
        <v>-47945</v>
      </c>
      <c r="AD32" s="140">
        <f>Jefferson!I14</f>
        <v>-48043</v>
      </c>
      <c r="AE32" s="140">
        <f>Jefferson!I17</f>
        <v>-19721</v>
      </c>
      <c r="AF32" s="140">
        <f>Jefferson!I16</f>
        <v>-9380</v>
      </c>
      <c r="AG32" s="140">
        <f t="shared" si="5"/>
        <v>-377225</v>
      </c>
      <c r="AH32" s="140">
        <f t="shared" si="17"/>
        <v>-447942</v>
      </c>
      <c r="AI32" s="118" t="str">
        <f t="shared" si="15"/>
        <v>ok</v>
      </c>
      <c r="AJ32" s="140">
        <f>Jefferson!I19</f>
        <v>-447942</v>
      </c>
    </row>
    <row r="33" spans="1:485" s="123" customFormat="1" ht="15.75">
      <c r="A33" s="122"/>
      <c r="B33" s="120" t="s">
        <v>665</v>
      </c>
      <c r="C33" s="121">
        <f>'Jefferson Davis'!M20</f>
        <v>4470525</v>
      </c>
      <c r="D33" s="121">
        <f>'Jefferson Davis'!M21</f>
        <v>3752169</v>
      </c>
      <c r="E33" s="121"/>
      <c r="F33" s="121">
        <f>'Jefferson Davis'!M22</f>
        <v>1004328</v>
      </c>
      <c r="G33" s="121">
        <f t="shared" si="0"/>
        <v>9227022</v>
      </c>
      <c r="H33" s="121">
        <f>'Jefferson Davis'!M23</f>
        <v>133824</v>
      </c>
      <c r="I33" s="121">
        <f>'Jefferson Davis'!M25</f>
        <v>354948</v>
      </c>
      <c r="J33" s="121"/>
      <c r="K33" s="121"/>
      <c r="L33" s="121"/>
      <c r="M33" s="121">
        <f>'Jefferson Davis'!M24+'Jefferson Davis'!M26+'Jefferson Davis'!M27+'Jefferson Davis'!M29</f>
        <v>591934</v>
      </c>
      <c r="N33" s="121">
        <f t="shared" si="1"/>
        <v>1080706</v>
      </c>
      <c r="O33" s="121"/>
      <c r="P33" s="121">
        <f t="shared" si="16"/>
        <v>10307728</v>
      </c>
      <c r="Q33" s="118" t="str">
        <f t="shared" si="3"/>
        <v>ok</v>
      </c>
      <c r="R33" s="121">
        <f>'Jefferson Davis'!M31</f>
        <v>10307728</v>
      </c>
      <c r="S33" s="121">
        <f>'Jefferson Davis'!I9</f>
        <v>-4071308</v>
      </c>
      <c r="T33" s="121"/>
      <c r="U33" s="121"/>
      <c r="V33" s="121"/>
      <c r="W33" s="121"/>
      <c r="X33" s="121"/>
      <c r="Y33" s="121">
        <f t="shared" si="4"/>
        <v>-4071308</v>
      </c>
      <c r="Z33" s="121">
        <f>'Jefferson Davis'!I10</f>
        <v>-1895472</v>
      </c>
      <c r="AA33" s="125">
        <f>'Jefferson Davis'!I11</f>
        <v>-3604454</v>
      </c>
      <c r="AB33" s="121">
        <f>'Jefferson Davis'!I14</f>
        <v>-6928</v>
      </c>
      <c r="AC33" s="121">
        <f>'Jefferson Davis'!I13</f>
        <v>-1103142</v>
      </c>
      <c r="AD33" s="121">
        <f>'Jefferson Davis'!I12</f>
        <v>-92870</v>
      </c>
      <c r="AE33" s="121">
        <f>'Jefferson Davis'!I15</f>
        <v>-689117</v>
      </c>
      <c r="AF33" s="121"/>
      <c r="AG33" s="121">
        <f t="shared" si="5"/>
        <v>-7391983</v>
      </c>
      <c r="AH33" s="121">
        <f t="shared" si="17"/>
        <v>-11463291</v>
      </c>
      <c r="AI33" s="118" t="str">
        <f t="shared" si="15"/>
        <v>ok</v>
      </c>
      <c r="AJ33" s="121">
        <f>'Jefferson Davis'!I17</f>
        <v>-11463291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</row>
    <row r="34" spans="1:485" s="132" customFormat="1" ht="15.75">
      <c r="A34" s="126"/>
      <c r="B34" s="8" t="s">
        <v>666</v>
      </c>
      <c r="C34" s="9">
        <f>Lafayette!M47</f>
        <v>70488175</v>
      </c>
      <c r="D34" s="9">
        <f>Lafayette!M48+Lafayette!M51</f>
        <v>93141650</v>
      </c>
      <c r="E34" s="9"/>
      <c r="F34" s="9">
        <f>Lafayette!M49+Lafayette!M50+Lafayette!M52+Lafayette!M53</f>
        <v>4054785</v>
      </c>
      <c r="G34" s="9">
        <f t="shared" si="0"/>
        <v>167684610</v>
      </c>
      <c r="H34" s="9"/>
      <c r="I34" s="9">
        <f>Lafayette!M54</f>
        <v>2051924</v>
      </c>
      <c r="J34" s="9"/>
      <c r="K34" s="9"/>
      <c r="L34" s="9">
        <f>Lafayette!M58</f>
        <v>20960736</v>
      </c>
      <c r="M34" s="9">
        <f>Lafayette!M55+Lafayette!M56+Lafayette!M57</f>
        <v>2001126</v>
      </c>
      <c r="N34" s="9">
        <f t="shared" si="1"/>
        <v>25013786</v>
      </c>
      <c r="O34" s="9"/>
      <c r="P34" s="9">
        <f t="shared" si="16"/>
        <v>192698396</v>
      </c>
      <c r="Q34" s="118" t="str">
        <f t="shared" si="3"/>
        <v>ok</v>
      </c>
      <c r="R34" s="9">
        <f>Lafayette!M60</f>
        <v>192698396</v>
      </c>
      <c r="S34" s="9">
        <f>Lafayette!I9</f>
        <v>-38819176</v>
      </c>
      <c r="T34"/>
      <c r="U34" s="9"/>
      <c r="V34" s="9"/>
      <c r="W34" s="9"/>
      <c r="X34" s="9"/>
      <c r="Y34" s="9">
        <f t="shared" si="4"/>
        <v>-38819176</v>
      </c>
      <c r="Z34" s="9">
        <f>Lafayette!I10</f>
        <v>-67334315</v>
      </c>
      <c r="AA34" s="9">
        <f>Lafayette!I11+Lafayette!I12</f>
        <v>-34215633</v>
      </c>
      <c r="AB34" s="9">
        <f>Lafayette!I16+Lafayette!I17</f>
        <v>-2011238</v>
      </c>
      <c r="AC34" s="9">
        <f>Lafayette!I15</f>
        <v>-1008645</v>
      </c>
      <c r="AD34" s="9">
        <f>Lafayette!I14</f>
        <v>-23687100</v>
      </c>
      <c r="AE34" s="9">
        <f>Lafayette!I19</f>
        <v>-18701255</v>
      </c>
      <c r="AF34" s="9">
        <f>Lafayette!I13+Lafayette!I18</f>
        <v>-19004822</v>
      </c>
      <c r="AG34" s="9">
        <f t="shared" si="5"/>
        <v>-165963008</v>
      </c>
      <c r="AH34" s="9">
        <f t="shared" si="17"/>
        <v>-204782184</v>
      </c>
      <c r="AI34" s="118" t="str">
        <f t="shared" si="15"/>
        <v>ok</v>
      </c>
      <c r="AJ34" s="9">
        <f>Lafayette!I21</f>
        <v>-204782184</v>
      </c>
    </row>
    <row r="35" spans="1:485" s="123" customFormat="1" ht="12.75" customHeight="1">
      <c r="A35" s="122"/>
      <c r="B35" s="120" t="s">
        <v>667</v>
      </c>
      <c r="C35" s="121">
        <f>Lafourche!M27</f>
        <v>25399615</v>
      </c>
      <c r="D35" s="121">
        <f>Lafourche!M28</f>
        <v>16623122</v>
      </c>
      <c r="E35" s="121"/>
      <c r="F35" s="121">
        <f>Lafourche!M29</f>
        <v>3022642</v>
      </c>
      <c r="G35" s="121">
        <f t="shared" si="0"/>
        <v>45045379</v>
      </c>
      <c r="H35" s="121"/>
      <c r="I35" s="121">
        <f>Lafourche!M32</f>
        <v>478115</v>
      </c>
      <c r="J35" s="121"/>
      <c r="K35" s="121"/>
      <c r="L35" s="121"/>
      <c r="M35" s="121">
        <f>Lafourche!M30+Lafourche!M31+Lafourche!M33</f>
        <v>6399044</v>
      </c>
      <c r="N35" s="121">
        <f t="shared" si="1"/>
        <v>6877159</v>
      </c>
      <c r="O35" s="121"/>
      <c r="P35" s="121">
        <f t="shared" si="16"/>
        <v>51922538</v>
      </c>
      <c r="Q35" s="118" t="str">
        <f t="shared" si="3"/>
        <v>ok</v>
      </c>
      <c r="R35" s="121">
        <f>Lafourche!M35</f>
        <v>51922538</v>
      </c>
      <c r="S35" s="121">
        <f>Lafourche!I9</f>
        <v>-10853554</v>
      </c>
      <c r="T35" s="121"/>
      <c r="U35" s="121"/>
      <c r="V35" s="121"/>
      <c r="W35" s="121"/>
      <c r="X35" s="121"/>
      <c r="Y35" s="121">
        <f t="shared" si="4"/>
        <v>-10853554</v>
      </c>
      <c r="Z35" s="121">
        <f>Lafourche!I10</f>
        <v>-1239313</v>
      </c>
      <c r="AA35" s="121">
        <f>Lafourche!I11</f>
        <v>-29576012</v>
      </c>
      <c r="AB35" s="121"/>
      <c r="AC35" s="121">
        <f>Lafourche!I12</f>
        <v>-9085460</v>
      </c>
      <c r="AD35" s="121">
        <f>Lafourche!I13</f>
        <v>-6889308</v>
      </c>
      <c r="AE35" s="121">
        <f>Lafourche!I14</f>
        <v>-1758898</v>
      </c>
      <c r="AF35" s="121"/>
      <c r="AG35" s="121">
        <f t="shared" si="5"/>
        <v>-48548991</v>
      </c>
      <c r="AH35" s="121">
        <f t="shared" si="17"/>
        <v>-59402545</v>
      </c>
      <c r="AI35" s="118" t="str">
        <f t="shared" si="15"/>
        <v>ok</v>
      </c>
      <c r="AJ35" s="121">
        <f>Lafourche!I16</f>
        <v>-59402545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</row>
    <row r="36" spans="1:485" ht="15.75">
      <c r="A36" s="3"/>
      <c r="B36" s="8" t="s">
        <v>668</v>
      </c>
      <c r="C36" s="9">
        <f>LaSalle!M21</f>
        <v>3445076</v>
      </c>
      <c r="D36" s="9"/>
      <c r="E36" s="9"/>
      <c r="F36" s="9">
        <f>LaSalle!M23</f>
        <v>6105</v>
      </c>
      <c r="G36" s="9">
        <f t="shared" si="0"/>
        <v>3451181</v>
      </c>
      <c r="H36" s="9">
        <f>LaSalle!M22</f>
        <v>58879</v>
      </c>
      <c r="I36" s="9">
        <f>LaSalle!M24</f>
        <v>1354229</v>
      </c>
      <c r="J36" s="9"/>
      <c r="K36" s="9"/>
      <c r="L36" s="9"/>
      <c r="M36" s="9">
        <f>LaSalle!M25+LaSalle!M26+LaSalle!M27</f>
        <v>138726</v>
      </c>
      <c r="N36" s="9">
        <f t="shared" si="1"/>
        <v>1551834</v>
      </c>
      <c r="O36" s="9"/>
      <c r="P36" s="9">
        <f t="shared" si="16"/>
        <v>5003015</v>
      </c>
      <c r="Q36" s="118" t="str">
        <f t="shared" si="3"/>
        <v>ok</v>
      </c>
      <c r="R36" s="9">
        <f>LaSalle!M29</f>
        <v>5003015</v>
      </c>
      <c r="S36" s="9">
        <f>LaSalle!I9</f>
        <v>-1752222</v>
      </c>
      <c r="T36" s="9"/>
      <c r="U36" s="9"/>
      <c r="V36" s="9"/>
      <c r="W36" s="9"/>
      <c r="X36" s="9"/>
      <c r="Y36" s="9">
        <f t="shared" si="4"/>
        <v>-1752222</v>
      </c>
      <c r="Z36" s="9">
        <f>LaSalle!I10</f>
        <v>-551593</v>
      </c>
      <c r="AA36" s="9">
        <f>LaSalle!I11</f>
        <v>-2720925</v>
      </c>
      <c r="AB36" s="9">
        <f>LaSalle!I14</f>
        <v>-1397335</v>
      </c>
      <c r="AC36" s="9">
        <f>LaSalle!I12</f>
        <v>-94559</v>
      </c>
      <c r="AD36" s="9">
        <f>LaSalle!I13</f>
        <v>-519659</v>
      </c>
      <c r="AE36" s="9"/>
      <c r="AF36" s="9">
        <f>LaSalle!I15</f>
        <v>-62144</v>
      </c>
      <c r="AG36" s="9">
        <f t="shared" si="5"/>
        <v>-5346215</v>
      </c>
      <c r="AH36" s="9">
        <f t="shared" si="17"/>
        <v>-7098437</v>
      </c>
      <c r="AI36" s="118" t="str">
        <f t="shared" si="15"/>
        <v>ok</v>
      </c>
      <c r="AJ36" s="9">
        <f>LaSalle!I17</f>
        <v>-7098437</v>
      </c>
    </row>
    <row r="37" spans="1:485" s="142" customFormat="1" ht="15.75">
      <c r="A37" s="135"/>
      <c r="B37" s="120" t="s">
        <v>669</v>
      </c>
      <c r="C37" s="121">
        <f>Lincoln!M20</f>
        <v>7067277</v>
      </c>
      <c r="D37" s="121">
        <f>Lincoln!M21</f>
        <v>4507092</v>
      </c>
      <c r="E37" s="121"/>
      <c r="F37" s="121">
        <f>Lincoln!M22+Lincoln!M23</f>
        <v>1452798</v>
      </c>
      <c r="G37" s="121">
        <f t="shared" si="0"/>
        <v>13027167</v>
      </c>
      <c r="H37" s="121">
        <f>Lincoln!M24</f>
        <v>494886</v>
      </c>
      <c r="I37" s="121"/>
      <c r="J37" s="121"/>
      <c r="K37" s="121"/>
      <c r="L37" s="121">
        <f>Lincoln!M29</f>
        <v>-472051</v>
      </c>
      <c r="M37" s="121">
        <f>Lincoln!M25+Lincoln!M26+Lincoln!M27+Lincoln!M28+Lincoln!M30</f>
        <v>714393</v>
      </c>
      <c r="N37" s="121">
        <f t="shared" si="1"/>
        <v>737228</v>
      </c>
      <c r="O37" s="121"/>
      <c r="P37" s="121">
        <f t="shared" si="16"/>
        <v>13764395</v>
      </c>
      <c r="Q37" s="118" t="str">
        <f t="shared" si="3"/>
        <v>ok</v>
      </c>
      <c r="R37" s="121">
        <f>Lincoln!M32</f>
        <v>13764395</v>
      </c>
      <c r="S37" s="121">
        <f>Lincoln!I8</f>
        <v>-3283516</v>
      </c>
      <c r="T37" s="121"/>
      <c r="U37" s="121"/>
      <c r="V37" s="121"/>
      <c r="W37" s="121"/>
      <c r="X37" s="121"/>
      <c r="Y37" s="121">
        <f t="shared" si="4"/>
        <v>-3283516</v>
      </c>
      <c r="Z37" s="121">
        <f>Lincoln!I9</f>
        <v>-325673</v>
      </c>
      <c r="AA37" s="121">
        <f>Lincoln!I10</f>
        <v>-8054433</v>
      </c>
      <c r="AB37" s="121">
        <f>Lincoln!I13</f>
        <v>-24798</v>
      </c>
      <c r="AC37" s="121">
        <f>Lincoln!I11</f>
        <v>-563356</v>
      </c>
      <c r="AD37" s="121">
        <f>Lincoln!I12</f>
        <v>-2884898</v>
      </c>
      <c r="AE37" s="121">
        <f>Lincoln!I14</f>
        <v>-127851</v>
      </c>
      <c r="AF37" s="121"/>
      <c r="AG37" s="121">
        <f t="shared" si="5"/>
        <v>-11981009</v>
      </c>
      <c r="AH37" s="121">
        <f t="shared" si="17"/>
        <v>-15264525</v>
      </c>
      <c r="AI37" s="118" t="str">
        <f t="shared" si="15"/>
        <v>ok</v>
      </c>
      <c r="AJ37" s="121">
        <f>Lincoln!I16</f>
        <v>-15264525</v>
      </c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  <c r="IX37" s="127"/>
      <c r="IY37" s="127"/>
      <c r="IZ37" s="127"/>
      <c r="JA37" s="127"/>
      <c r="JB37" s="127"/>
      <c r="JC37" s="127"/>
      <c r="JD37" s="127"/>
      <c r="JE37" s="127"/>
      <c r="JF37" s="127"/>
      <c r="JG37" s="127"/>
      <c r="JH37" s="127"/>
      <c r="JI37" s="127"/>
      <c r="JJ37" s="127"/>
      <c r="JK37" s="127"/>
      <c r="JL37" s="127"/>
      <c r="JM37" s="127"/>
      <c r="JN37" s="127"/>
      <c r="JO37" s="127"/>
      <c r="JP37" s="127"/>
      <c r="JQ37" s="127"/>
      <c r="JR37" s="127"/>
      <c r="JS37" s="127"/>
      <c r="JT37" s="127"/>
      <c r="JU37" s="127"/>
      <c r="JV37" s="127"/>
      <c r="JW37" s="127"/>
      <c r="JX37" s="127"/>
      <c r="JY37" s="127"/>
      <c r="JZ37" s="127"/>
      <c r="KA37" s="127"/>
      <c r="KB37" s="127"/>
      <c r="KC37" s="127"/>
      <c r="KD37" s="127"/>
      <c r="KE37" s="127"/>
      <c r="KF37" s="127"/>
      <c r="KG37" s="127"/>
      <c r="KH37" s="127"/>
      <c r="KI37" s="127"/>
      <c r="KJ37" s="127"/>
      <c r="KK37" s="127"/>
      <c r="KL37" s="127"/>
      <c r="KM37" s="127"/>
      <c r="KN37" s="127"/>
      <c r="KO37" s="127"/>
      <c r="KP37" s="127"/>
      <c r="KQ37" s="127"/>
      <c r="KR37" s="127"/>
      <c r="KS37" s="127"/>
      <c r="KT37" s="127"/>
      <c r="KU37" s="127"/>
      <c r="KV37" s="127"/>
      <c r="KW37" s="127"/>
      <c r="KX37" s="127"/>
      <c r="KY37" s="127"/>
      <c r="KZ37" s="127"/>
      <c r="LA37" s="127"/>
      <c r="LB37" s="127"/>
      <c r="LC37" s="127"/>
      <c r="LD37" s="127"/>
      <c r="LE37" s="127"/>
      <c r="LF37" s="127"/>
      <c r="LG37" s="127"/>
      <c r="LH37" s="127"/>
      <c r="LI37" s="127"/>
      <c r="LJ37" s="127"/>
      <c r="LK37" s="127"/>
      <c r="LL37" s="127"/>
      <c r="LM37" s="127"/>
      <c r="LN37" s="127"/>
      <c r="LO37" s="127"/>
      <c r="LP37" s="127"/>
      <c r="LQ37" s="127"/>
      <c r="LR37" s="127"/>
      <c r="LS37" s="127"/>
      <c r="LT37" s="127"/>
      <c r="LU37" s="127"/>
      <c r="LV37" s="127"/>
      <c r="LW37" s="127"/>
      <c r="LX37" s="127"/>
      <c r="LY37" s="127"/>
      <c r="LZ37" s="127"/>
      <c r="MA37" s="127"/>
      <c r="MB37" s="127"/>
      <c r="MC37" s="127"/>
      <c r="MD37" s="127"/>
      <c r="ME37" s="127"/>
      <c r="MF37" s="127"/>
      <c r="MG37" s="127"/>
      <c r="MH37" s="127"/>
      <c r="MI37" s="127"/>
      <c r="MJ37" s="127"/>
      <c r="MK37" s="127"/>
      <c r="ML37" s="127"/>
      <c r="MM37" s="127"/>
      <c r="MN37" s="127"/>
      <c r="MO37" s="127"/>
      <c r="MP37" s="127"/>
      <c r="MQ37" s="127"/>
      <c r="MR37" s="127"/>
      <c r="MS37" s="127"/>
      <c r="MT37" s="127"/>
      <c r="MU37" s="127"/>
      <c r="MV37" s="127"/>
      <c r="MW37" s="127"/>
      <c r="MX37" s="127"/>
      <c r="MY37" s="127"/>
      <c r="MZ37" s="127"/>
      <c r="NA37" s="127"/>
      <c r="NB37" s="127"/>
      <c r="NC37" s="127"/>
      <c r="ND37" s="127"/>
      <c r="NE37" s="127"/>
      <c r="NF37" s="127"/>
      <c r="NG37" s="127"/>
      <c r="NH37" s="127"/>
      <c r="NI37" s="127"/>
      <c r="NJ37" s="127"/>
      <c r="NK37" s="127"/>
      <c r="NL37" s="127"/>
      <c r="NM37" s="127"/>
      <c r="NN37" s="127"/>
      <c r="NO37" s="127"/>
      <c r="NP37" s="127"/>
      <c r="NQ37" s="127"/>
      <c r="NR37" s="127"/>
      <c r="NS37" s="127"/>
      <c r="NT37" s="127"/>
      <c r="NU37" s="127"/>
      <c r="NV37" s="127"/>
      <c r="NW37" s="127"/>
      <c r="NX37" s="127"/>
      <c r="NY37" s="127"/>
      <c r="NZ37" s="127"/>
      <c r="OA37" s="127"/>
      <c r="OB37" s="127"/>
      <c r="OC37" s="127"/>
      <c r="OD37" s="127"/>
      <c r="OE37" s="127"/>
      <c r="OF37" s="127"/>
      <c r="OG37" s="127"/>
      <c r="OH37" s="127"/>
      <c r="OI37" s="127"/>
      <c r="OJ37" s="127"/>
      <c r="OK37" s="127"/>
      <c r="OL37" s="127"/>
      <c r="OM37" s="127"/>
      <c r="ON37" s="127"/>
      <c r="OO37" s="127"/>
      <c r="OP37" s="127"/>
      <c r="OQ37" s="127"/>
      <c r="OR37" s="127"/>
      <c r="OS37" s="127"/>
      <c r="OT37" s="127"/>
      <c r="OU37" s="127"/>
      <c r="OV37" s="127"/>
      <c r="OW37" s="127"/>
      <c r="OX37" s="127"/>
      <c r="OY37" s="127"/>
      <c r="OZ37" s="127"/>
      <c r="PA37" s="127"/>
      <c r="PB37" s="127"/>
      <c r="PC37" s="127"/>
      <c r="PD37" s="127"/>
      <c r="PE37" s="127"/>
      <c r="PF37" s="127"/>
      <c r="PG37" s="127"/>
      <c r="PH37" s="127"/>
      <c r="PI37" s="127"/>
      <c r="PJ37" s="127"/>
      <c r="PK37" s="127"/>
      <c r="PL37" s="127"/>
      <c r="PM37" s="127"/>
      <c r="PN37" s="127"/>
      <c r="PO37" s="127"/>
      <c r="PP37" s="127"/>
      <c r="PQ37" s="127"/>
      <c r="PR37" s="127"/>
      <c r="PS37" s="127"/>
      <c r="PT37" s="127"/>
      <c r="PU37" s="127"/>
      <c r="PV37" s="127"/>
      <c r="PW37" s="127"/>
      <c r="PX37" s="127"/>
      <c r="PY37" s="127"/>
      <c r="PZ37" s="127"/>
      <c r="QA37" s="127"/>
      <c r="QB37" s="127"/>
      <c r="QC37" s="127"/>
      <c r="QD37" s="127"/>
      <c r="QE37" s="127"/>
      <c r="QF37" s="127"/>
      <c r="QG37" s="127"/>
      <c r="QH37" s="127"/>
      <c r="QI37" s="127"/>
      <c r="QJ37" s="127"/>
      <c r="QK37" s="127"/>
      <c r="QL37" s="127"/>
      <c r="QM37" s="127"/>
      <c r="QN37" s="127"/>
      <c r="QO37" s="127"/>
      <c r="QP37" s="127"/>
      <c r="QQ37" s="127"/>
      <c r="QR37" s="127"/>
      <c r="QS37" s="127"/>
      <c r="QT37" s="127"/>
      <c r="QU37" s="127"/>
      <c r="QV37" s="127"/>
      <c r="QW37" s="127"/>
      <c r="QX37" s="127"/>
      <c r="QY37" s="127"/>
      <c r="QZ37" s="127"/>
      <c r="RA37" s="127"/>
      <c r="RB37" s="127"/>
      <c r="RC37" s="127"/>
      <c r="RD37" s="127"/>
      <c r="RE37" s="127"/>
      <c r="RF37" s="127"/>
      <c r="RG37" s="127"/>
      <c r="RH37" s="127"/>
      <c r="RI37" s="127"/>
      <c r="RJ37" s="127"/>
      <c r="RK37" s="127"/>
      <c r="RL37" s="127"/>
      <c r="RM37" s="127"/>
      <c r="RN37" s="127"/>
      <c r="RO37" s="127"/>
      <c r="RP37" s="127"/>
      <c r="RQ37" s="127"/>
    </row>
    <row r="38" spans="1:485" ht="15.75">
      <c r="A38" s="3"/>
      <c r="B38" s="130" t="s">
        <v>670</v>
      </c>
      <c r="C38" s="131">
        <f>Livingston!M27</f>
        <v>6399517</v>
      </c>
      <c r="D38" s="131">
        <f>Livingston!M28+Livingston!M29</f>
        <v>16804258</v>
      </c>
      <c r="E38" s="131"/>
      <c r="F38" s="131">
        <f>Livingston!M30</f>
        <v>944370</v>
      </c>
      <c r="G38" s="9">
        <f t="shared" si="0"/>
        <v>24148145</v>
      </c>
      <c r="H38" s="131"/>
      <c r="I38" s="131"/>
      <c r="J38" s="131"/>
      <c r="K38" s="131"/>
      <c r="L38" s="131">
        <f>Livingston!M34</f>
        <v>-450000</v>
      </c>
      <c r="M38" s="131">
        <f>Livingston!M31+Livingston!M32+Livingston!M33</f>
        <v>3888740</v>
      </c>
      <c r="N38" s="9">
        <f t="shared" si="1"/>
        <v>3438740</v>
      </c>
      <c r="O38" s="9"/>
      <c r="P38" s="9">
        <f t="shared" si="16"/>
        <v>27586885</v>
      </c>
      <c r="Q38" s="118" t="str">
        <f t="shared" si="3"/>
        <v>ok</v>
      </c>
      <c r="R38" s="131">
        <f>Livingston!M36</f>
        <v>27586885</v>
      </c>
      <c r="S38" s="131">
        <f>Livingston!I8</f>
        <v>-6117497</v>
      </c>
      <c r="T38" s="131"/>
      <c r="U38" s="131"/>
      <c r="V38" s="131"/>
      <c r="W38" s="131"/>
      <c r="X38" s="131"/>
      <c r="Y38" s="9">
        <f t="shared" si="4"/>
        <v>-6117497</v>
      </c>
      <c r="Z38" s="131">
        <f>Livingston!I9</f>
        <v>-5072256</v>
      </c>
      <c r="AA38" s="131">
        <f>Livingston!I10</f>
        <v>-16464589</v>
      </c>
      <c r="AB38" s="131">
        <f>Livingston!I13</f>
        <v>-27000</v>
      </c>
      <c r="AC38" s="131">
        <f>Livingston!I11</f>
        <v>-1643186</v>
      </c>
      <c r="AD38" s="131">
        <f>Livingston!I12</f>
        <v>-648023</v>
      </c>
      <c r="AE38" s="131">
        <f>Livingston!I14</f>
        <v>-4658876</v>
      </c>
      <c r="AF38" s="131"/>
      <c r="AG38" s="9">
        <f t="shared" si="5"/>
        <v>-28513930</v>
      </c>
      <c r="AH38" s="9">
        <f t="shared" si="17"/>
        <v>-34631427</v>
      </c>
      <c r="AI38" s="118" t="str">
        <f t="shared" si="15"/>
        <v>ok</v>
      </c>
      <c r="AJ38" s="131">
        <f>Livingston!I16</f>
        <v>-34631427</v>
      </c>
    </row>
    <row r="39" spans="1:485" s="123" customFormat="1" ht="15.75">
      <c r="A39" s="143"/>
      <c r="B39" s="144" t="s">
        <v>671</v>
      </c>
      <c r="C39" s="145">
        <f>Madison!M27</f>
        <v>5252773</v>
      </c>
      <c r="D39" s="145">
        <f>Madison!M31</f>
        <v>287064</v>
      </c>
      <c r="E39" s="145"/>
      <c r="F39" s="145">
        <f>Madison!M28+Madison!M30</f>
        <v>172087</v>
      </c>
      <c r="G39" s="145">
        <f t="shared" ref="G39:G70" si="18">SUM(C39:F39)</f>
        <v>5711924</v>
      </c>
      <c r="H39" s="145">
        <f>Madison!M29</f>
        <v>95978</v>
      </c>
      <c r="I39" s="145"/>
      <c r="J39" s="145"/>
      <c r="K39" s="145"/>
      <c r="L39" s="145"/>
      <c r="M39" s="145">
        <f>Madison!M32+Madison!M33+Madison!M34</f>
        <v>486802</v>
      </c>
      <c r="N39" s="145">
        <f t="shared" ref="N39:N70" si="19">SUM(H39:M39)</f>
        <v>582780</v>
      </c>
      <c r="O39" s="145"/>
      <c r="P39" s="145">
        <f>SUM(N39, G39, O39)</f>
        <v>6294704</v>
      </c>
      <c r="Q39" s="118" t="str">
        <f t="shared" si="3"/>
        <v>ok</v>
      </c>
      <c r="R39" s="145">
        <f>Madison!M36</f>
        <v>6294704</v>
      </c>
      <c r="S39" s="145"/>
      <c r="T39" s="145">
        <f>Madison!I9</f>
        <v>-130553</v>
      </c>
      <c r="U39" s="145">
        <f>Madison!I10</f>
        <v>-885420</v>
      </c>
      <c r="V39" s="145">
        <f>Madison!I11</f>
        <v>-36954</v>
      </c>
      <c r="W39" s="145">
        <f>Madison!I12</f>
        <v>-424204</v>
      </c>
      <c r="X39" s="145">
        <f>Madison!I13</f>
        <v>-46408</v>
      </c>
      <c r="Y39" s="145">
        <f t="shared" ref="Y39:Y70" si="20">SUM(S39:X39)</f>
        <v>-1523539</v>
      </c>
      <c r="Z39" s="145">
        <f>Madison!I14</f>
        <v>-1173857</v>
      </c>
      <c r="AA39" s="145">
        <f>Madison!I15+Madison!I19</f>
        <v>-3488437</v>
      </c>
      <c r="AB39" s="145">
        <f>Madison!I18</f>
        <v>-53345</v>
      </c>
      <c r="AC39" s="145">
        <f>Madison!I16</f>
        <v>-332568</v>
      </c>
      <c r="AD39" s="145">
        <f>Madison!I17</f>
        <v>-514423</v>
      </c>
      <c r="AE39" s="145">
        <f>Madison!I21</f>
        <v>-2759</v>
      </c>
      <c r="AF39" s="145">
        <f>Madison!I20</f>
        <v>-2692</v>
      </c>
      <c r="AG39" s="145">
        <f t="shared" ref="AG39:AG70" si="21">SUM(Z39:AF39)</f>
        <v>-5568081</v>
      </c>
      <c r="AH39" s="145">
        <f t="shared" si="17"/>
        <v>-7091620</v>
      </c>
      <c r="AI39" s="118" t="str">
        <f t="shared" si="15"/>
        <v>ok</v>
      </c>
      <c r="AJ39" s="145">
        <f>Madison!I23</f>
        <v>-7091620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</row>
    <row r="40" spans="1:485" ht="15.75">
      <c r="A40" s="3"/>
      <c r="B40" s="130" t="s">
        <v>672</v>
      </c>
      <c r="C40" s="131">
        <f>Morehouse!K23</f>
        <v>3928605</v>
      </c>
      <c r="D40" s="131"/>
      <c r="E40" s="131"/>
      <c r="F40" s="131"/>
      <c r="G40" s="131">
        <f t="shared" si="18"/>
        <v>3928605</v>
      </c>
      <c r="H40" s="131">
        <f>Morehouse!K24</f>
        <v>1793050</v>
      </c>
      <c r="I40" s="131">
        <f>Morehouse!K25</f>
        <v>47801</v>
      </c>
      <c r="J40" s="131"/>
      <c r="K40" s="131"/>
      <c r="L40" s="131"/>
      <c r="M40" s="131">
        <f>Morehouse!K27</f>
        <v>39339</v>
      </c>
      <c r="N40" s="9">
        <f t="shared" si="19"/>
        <v>1880190</v>
      </c>
      <c r="O40" s="131"/>
      <c r="P40" s="9">
        <f t="shared" ref="P40:P49" si="22">SUM(N40,G40,O40)</f>
        <v>5808795</v>
      </c>
      <c r="Q40" s="118" t="str">
        <f t="shared" si="3"/>
        <v>ok</v>
      </c>
      <c r="R40" s="131">
        <f>Morehouse!K29</f>
        <v>5808795</v>
      </c>
      <c r="S40" s="131"/>
      <c r="T40" s="9">
        <f>Morehouse!G9</f>
        <v>-80788</v>
      </c>
      <c r="U40" s="9">
        <f>Morehouse!G10</f>
        <v>-762402</v>
      </c>
      <c r="V40" s="9">
        <f>Morehouse!G11</f>
        <v>-51542</v>
      </c>
      <c r="W40" s="9">
        <f>Morehouse!G12</f>
        <v>-129825</v>
      </c>
      <c r="X40" s="9">
        <f>Morehouse!G13</f>
        <v>-60557</v>
      </c>
      <c r="Y40" s="9">
        <f>SUM(S40:X40)</f>
        <v>-1085114</v>
      </c>
      <c r="Z40" s="9">
        <f>Morehouse!G14</f>
        <v>-646127</v>
      </c>
      <c r="AA40" s="9">
        <f>Morehouse!G15</f>
        <v>-3053752</v>
      </c>
      <c r="AB40" s="9">
        <f>Morehouse!G18</f>
        <v>-1155027</v>
      </c>
      <c r="AC40" s="9">
        <f>Morehouse!G17</f>
        <v>-338186</v>
      </c>
      <c r="AD40" s="131"/>
      <c r="AE40" s="131"/>
      <c r="AF40" s="9">
        <f>Morehouse!G16</f>
        <v>-331031</v>
      </c>
      <c r="AG40" s="9">
        <f>SUM(Z40:AF40)</f>
        <v>-5524123</v>
      </c>
      <c r="AH40" s="9">
        <f t="shared" si="17"/>
        <v>-6609237</v>
      </c>
      <c r="AI40" s="118" t="str">
        <f t="shared" si="15"/>
        <v>ok</v>
      </c>
      <c r="AJ40" s="9">
        <f>Morehouse!G20</f>
        <v>-6609237</v>
      </c>
    </row>
    <row r="41" spans="1:485" s="123" customFormat="1" ht="15.75">
      <c r="A41" s="122"/>
      <c r="B41" s="120" t="s">
        <v>673</v>
      </c>
      <c r="C41" s="121">
        <f>Natchitoches!L32</f>
        <v>2041199</v>
      </c>
      <c r="D41" s="121">
        <f>Natchitoches!L33+Natchitoches!L35</f>
        <v>19045580</v>
      </c>
      <c r="E41" s="121"/>
      <c r="F41" s="121">
        <f>Natchitoches!L34</f>
        <v>415036</v>
      </c>
      <c r="G41" s="121">
        <f t="shared" si="18"/>
        <v>21501815</v>
      </c>
      <c r="H41" s="121"/>
      <c r="I41" s="121"/>
      <c r="J41" s="121"/>
      <c r="K41" s="121"/>
      <c r="L41" s="121">
        <f>Natchitoches!L42</f>
        <v>-1191000</v>
      </c>
      <c r="M41" s="121">
        <f>Natchitoches!L36+Natchitoches!L37+Natchitoches!L38+Natchitoches!L39+Natchitoches!L40+Natchitoches!L41</f>
        <v>1610460</v>
      </c>
      <c r="N41" s="121">
        <f t="shared" si="19"/>
        <v>419460</v>
      </c>
      <c r="O41" s="121"/>
      <c r="P41" s="121">
        <f t="shared" si="22"/>
        <v>21921275</v>
      </c>
      <c r="Q41" s="118" t="str">
        <f t="shared" si="3"/>
        <v>ok</v>
      </c>
      <c r="R41" s="121">
        <f>Natchitoches!L44</f>
        <v>21921275</v>
      </c>
      <c r="S41" s="121">
        <f>Natchitoches!H8</f>
        <v>-4471910</v>
      </c>
      <c r="Y41" s="121">
        <f t="shared" si="20"/>
        <v>-4471910</v>
      </c>
      <c r="Z41" s="244">
        <f>Natchitoches!H9</f>
        <v>-8764537</v>
      </c>
      <c r="AA41" s="244">
        <f>Natchitoches!H11</f>
        <v>-6200834</v>
      </c>
      <c r="AB41" s="244">
        <f>Natchitoches!H12</f>
        <v>-2133419</v>
      </c>
      <c r="AC41" s="244">
        <f>Natchitoches!H13</f>
        <v>-210170</v>
      </c>
      <c r="AD41" s="121">
        <f>Natchitoches!H14</f>
        <v>-1026623</v>
      </c>
      <c r="AE41" s="121">
        <f>Natchitoches!H15</f>
        <v>-191048</v>
      </c>
      <c r="AF41" s="244">
        <f>Natchitoches!H10</f>
        <v>-4017771</v>
      </c>
      <c r="AG41" s="121">
        <f t="shared" si="21"/>
        <v>-22544402</v>
      </c>
      <c r="AH41" s="121">
        <f t="shared" si="17"/>
        <v>-27016312</v>
      </c>
      <c r="AI41" s="118" t="str">
        <f t="shared" si="15"/>
        <v>ok</v>
      </c>
      <c r="AJ41" s="244">
        <f>Natchitoches!H17</f>
        <v>-27016312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</row>
    <row r="42" spans="1:485" s="127" customFormat="1" ht="15.75">
      <c r="A42" s="126"/>
      <c r="B42" s="146" t="s">
        <v>674</v>
      </c>
      <c r="C42" s="147"/>
      <c r="D42" s="147"/>
      <c r="E42" s="147"/>
      <c r="F42" s="147"/>
      <c r="G42" s="147">
        <f t="shared" si="18"/>
        <v>0</v>
      </c>
      <c r="H42" s="147"/>
      <c r="I42" s="147"/>
      <c r="J42" s="147"/>
      <c r="K42" s="147"/>
      <c r="L42" s="147"/>
      <c r="M42" s="147"/>
      <c r="N42" s="9">
        <f t="shared" si="19"/>
        <v>0</v>
      </c>
      <c r="O42" s="131"/>
      <c r="P42" s="9">
        <f t="shared" si="22"/>
        <v>0</v>
      </c>
      <c r="Q42" s="118" t="str">
        <f t="shared" si="3"/>
        <v>ok</v>
      </c>
      <c r="R42" s="147"/>
      <c r="S42" s="147"/>
      <c r="T42" s="147"/>
      <c r="U42" s="147"/>
      <c r="V42" s="147"/>
      <c r="W42" s="147"/>
      <c r="X42" s="147"/>
      <c r="Y42" s="147">
        <f t="shared" si="20"/>
        <v>0</v>
      </c>
      <c r="Z42" s="147"/>
      <c r="AA42" s="147"/>
      <c r="AB42" s="147"/>
      <c r="AC42" s="147"/>
      <c r="AD42" s="147"/>
      <c r="AE42" s="147"/>
      <c r="AF42" s="147"/>
      <c r="AG42" s="147">
        <f t="shared" si="21"/>
        <v>0</v>
      </c>
      <c r="AH42" s="147">
        <f t="shared" si="17"/>
        <v>0</v>
      </c>
      <c r="AI42" s="118" t="str">
        <f t="shared" si="15"/>
        <v>ok</v>
      </c>
      <c r="AJ42" s="147"/>
    </row>
    <row r="43" spans="1:485" s="123" customFormat="1" ht="15.75">
      <c r="A43" s="122"/>
      <c r="B43" s="120" t="s">
        <v>675</v>
      </c>
      <c r="C43" s="121">
        <f>Ouachita!M35+Ouachita!M36</f>
        <v>34147753</v>
      </c>
      <c r="D43" s="121">
        <f>Ouachita!M38</f>
        <v>14255181</v>
      </c>
      <c r="E43" s="121"/>
      <c r="F43" s="121">
        <f>Ouachita!M39</f>
        <v>3412682</v>
      </c>
      <c r="G43" s="121">
        <f t="shared" si="18"/>
        <v>51815616</v>
      </c>
      <c r="H43" s="121"/>
      <c r="I43" s="121">
        <f>Ouachita!M40</f>
        <v>921047</v>
      </c>
      <c r="J43" s="121"/>
      <c r="K43" s="121"/>
      <c r="L43" s="121"/>
      <c r="M43" s="121">
        <f>Ouachita!M41+Ouachita!M42+Ouachita!M44+Ouachita!M43+Ouachita!M45+Ouachita!M46+Ouachita!M47</f>
        <v>4758945</v>
      </c>
      <c r="N43" s="121">
        <f t="shared" si="19"/>
        <v>5679992</v>
      </c>
      <c r="O43" s="121"/>
      <c r="P43" s="121">
        <f t="shared" si="22"/>
        <v>57495608</v>
      </c>
      <c r="Q43" s="118" t="str">
        <f t="shared" si="3"/>
        <v>ok</v>
      </c>
      <c r="R43" s="121">
        <f>Ouachita!M49</f>
        <v>57495608</v>
      </c>
      <c r="S43" s="121"/>
      <c r="T43" s="121">
        <f>Ouachita!I9</f>
        <v>-199237</v>
      </c>
      <c r="U43" s="121">
        <f>Ouachita!I10</f>
        <v>-8168602</v>
      </c>
      <c r="V43" s="121">
        <f>Ouachita!I11</f>
        <v>-256922</v>
      </c>
      <c r="W43" s="121">
        <f>Ouachita!I12</f>
        <v>-2252610</v>
      </c>
      <c r="X43" s="121">
        <f>Ouachita!I13</f>
        <v>-7343494</v>
      </c>
      <c r="Y43" s="121">
        <f t="shared" si="20"/>
        <v>-18220865</v>
      </c>
      <c r="Z43" s="121">
        <f>Ouachita!I17</f>
        <v>-33619824</v>
      </c>
      <c r="AA43" s="121">
        <f>Ouachita!I18</f>
        <v>-9146458</v>
      </c>
      <c r="AB43" s="121">
        <f>Ouachita!I21</f>
        <v>-4697501</v>
      </c>
      <c r="AC43" s="121">
        <f>Ouachita!I19</f>
        <v>-4752257</v>
      </c>
      <c r="AD43" s="121">
        <f>Ouachita!I20</f>
        <v>-7266290</v>
      </c>
      <c r="AE43" s="121"/>
      <c r="AF43" s="121"/>
      <c r="AG43" s="121">
        <f t="shared" si="21"/>
        <v>-59482330</v>
      </c>
      <c r="AH43" s="121">
        <f t="shared" si="17"/>
        <v>-77703195</v>
      </c>
      <c r="AI43" s="118" t="str">
        <f t="shared" si="15"/>
        <v>ok</v>
      </c>
      <c r="AJ43" s="121">
        <f>Ouachita!I23</f>
        <v>-77703195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</row>
    <row r="44" spans="1:485" ht="15.75">
      <c r="A44" s="3"/>
      <c r="B44" s="8" t="s">
        <v>676</v>
      </c>
      <c r="C44" s="9"/>
      <c r="D44" s="9"/>
      <c r="E44" s="9"/>
      <c r="F44" s="9"/>
      <c r="G44" s="9">
        <f t="shared" si="18"/>
        <v>0</v>
      </c>
      <c r="H44" s="9"/>
      <c r="I44" s="9"/>
      <c r="J44" s="9"/>
      <c r="K44" s="9"/>
      <c r="L44" s="9"/>
      <c r="M44" s="9"/>
      <c r="N44" s="9">
        <f t="shared" si="19"/>
        <v>0</v>
      </c>
      <c r="O44" s="9"/>
      <c r="P44" s="9">
        <f t="shared" si="22"/>
        <v>0</v>
      </c>
      <c r="Q44" s="118" t="str">
        <f t="shared" si="3"/>
        <v>ok</v>
      </c>
      <c r="R44" s="9"/>
      <c r="S44" s="9"/>
      <c r="T44" s="9"/>
      <c r="U44" s="9"/>
      <c r="V44" s="9"/>
      <c r="W44" s="9"/>
      <c r="X44" s="9"/>
      <c r="Y44" s="9">
        <f t="shared" si="20"/>
        <v>0</v>
      </c>
      <c r="Z44" s="9"/>
      <c r="AA44" s="9"/>
      <c r="AB44" s="9"/>
      <c r="AC44" s="9"/>
      <c r="AD44" s="9"/>
      <c r="AE44" s="9"/>
      <c r="AF44" s="9"/>
      <c r="AG44" s="9">
        <f t="shared" si="21"/>
        <v>0</v>
      </c>
      <c r="AH44" s="9">
        <f t="shared" si="17"/>
        <v>0</v>
      </c>
      <c r="AI44" s="118" t="str">
        <f t="shared" si="15"/>
        <v>ok</v>
      </c>
      <c r="AJ44" s="9"/>
    </row>
    <row r="45" spans="1:485" s="123" customFormat="1" ht="15.75">
      <c r="A45" s="122"/>
      <c r="B45" s="120" t="s">
        <v>677</v>
      </c>
      <c r="C45" s="121">
        <f>'Pointe Coupee'!M37</f>
        <v>2910585</v>
      </c>
      <c r="D45" s="121">
        <f>'Pointe Coupee'!M38+'Pointe Coupee'!M39</f>
        <v>3299292</v>
      </c>
      <c r="E45" s="121"/>
      <c r="F45" s="121">
        <f>'Pointe Coupee'!M40</f>
        <v>21388</v>
      </c>
      <c r="G45" s="121">
        <f t="shared" si="18"/>
        <v>6231265</v>
      </c>
      <c r="H45" s="121"/>
      <c r="I45" s="121">
        <f>'Pointe Coupee'!M41</f>
        <v>83421</v>
      </c>
      <c r="J45" s="121"/>
      <c r="K45" s="121"/>
      <c r="L45" s="121">
        <f>'Pointe Coupee'!M44</f>
        <v>537500</v>
      </c>
      <c r="M45" s="121">
        <f>'Pointe Coupee'!M42+'Pointe Coupee'!M43</f>
        <v>8315</v>
      </c>
      <c r="N45" s="121">
        <f t="shared" si="19"/>
        <v>629236</v>
      </c>
      <c r="O45" s="121"/>
      <c r="P45" s="121">
        <f t="shared" si="22"/>
        <v>6860501</v>
      </c>
      <c r="Q45" s="118" t="str">
        <f t="shared" si="3"/>
        <v>ok</v>
      </c>
      <c r="R45" s="121">
        <f>'Pointe Coupee'!M46</f>
        <v>6860501</v>
      </c>
      <c r="S45" s="121">
        <f>'Pointe Coupee'!I8</f>
        <v>-2813139</v>
      </c>
      <c r="T45" s="121"/>
      <c r="U45" s="121"/>
      <c r="V45" s="121"/>
      <c r="W45" s="121"/>
      <c r="X45" s="121"/>
      <c r="Y45" s="121">
        <f t="shared" si="20"/>
        <v>-2813139</v>
      </c>
      <c r="Z45" s="121">
        <f>'Pointe Coupee'!I9</f>
        <v>-1016639</v>
      </c>
      <c r="AA45" s="121">
        <f>'Pointe Coupee'!I10</f>
        <v>-2760203</v>
      </c>
      <c r="AB45" s="121">
        <f>'Pointe Coupee'!I14</f>
        <v>-90609</v>
      </c>
      <c r="AC45" s="121">
        <f>'Pointe Coupee'!I11</f>
        <v>-1819614</v>
      </c>
      <c r="AD45" s="121">
        <f>'Pointe Coupee'!I12</f>
        <v>-1220452</v>
      </c>
      <c r="AE45" s="121">
        <f>'Pointe Coupee'!I15</f>
        <v>-245307</v>
      </c>
      <c r="AF45" s="121">
        <f>'Pointe Coupee'!I13</f>
        <v>-1112793</v>
      </c>
      <c r="AG45" s="121">
        <f t="shared" si="21"/>
        <v>-8265617</v>
      </c>
      <c r="AH45" s="121">
        <f t="shared" si="17"/>
        <v>-11078756</v>
      </c>
      <c r="AI45" s="118" t="str">
        <f t="shared" si="15"/>
        <v>ok</v>
      </c>
      <c r="AJ45" s="121">
        <f>'Pointe Coupee'!I17</f>
        <v>-11078756</v>
      </c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</row>
    <row r="46" spans="1:485" s="132" customFormat="1" ht="15.75">
      <c r="A46" s="126"/>
      <c r="B46" s="8" t="s">
        <v>678</v>
      </c>
      <c r="C46" s="9">
        <f>Rapides!L23</f>
        <v>20981914</v>
      </c>
      <c r="D46" s="9">
        <f>Rapides!L24+Rapides!L25</f>
        <v>4977291</v>
      </c>
      <c r="E46" s="9"/>
      <c r="F46" s="9">
        <f>Rapides!L26</f>
        <v>594810</v>
      </c>
      <c r="G46" s="9">
        <f t="shared" si="18"/>
        <v>26554015</v>
      </c>
      <c r="H46" s="9"/>
      <c r="I46" s="9"/>
      <c r="J46" s="9">
        <f>Rapides!L29+Rapides!L30</f>
        <v>923077</v>
      </c>
      <c r="K46" s="9">
        <f>Rapides!L28</f>
        <v>173076</v>
      </c>
      <c r="L46" s="9"/>
      <c r="M46" s="9">
        <f>Rapides!L31+Rapides!L32+Rapides!L27</f>
        <v>3938379</v>
      </c>
      <c r="N46" s="9">
        <f t="shared" si="19"/>
        <v>5034532</v>
      </c>
      <c r="O46" s="9"/>
      <c r="P46" s="9">
        <f t="shared" si="22"/>
        <v>31588547</v>
      </c>
      <c r="Q46" s="118" t="str">
        <f t="shared" si="3"/>
        <v>ok</v>
      </c>
      <c r="R46" s="9">
        <f>Rapides!L34</f>
        <v>31588547</v>
      </c>
      <c r="S46" s="9"/>
      <c r="T46" s="9">
        <f>Rapides!H7</f>
        <v>-436191</v>
      </c>
      <c r="U46" s="9">
        <f>Rapides!H8</f>
        <v>-4733288</v>
      </c>
      <c r="V46" s="9">
        <f>Rapides!H9</f>
        <v>-280446</v>
      </c>
      <c r="W46" s="9">
        <f>Rapides!H10</f>
        <v>-4882839</v>
      </c>
      <c r="X46" s="9">
        <f>Rapides!H11</f>
        <v>-2316930</v>
      </c>
      <c r="Y46" s="9">
        <f t="shared" si="20"/>
        <v>-12649694</v>
      </c>
      <c r="Z46" s="9">
        <f>Rapides!H12</f>
        <v>-9485514</v>
      </c>
      <c r="AA46" s="9">
        <f>Rapides!H13</f>
        <v>-12998476</v>
      </c>
      <c r="AB46" s="9">
        <f>Rapides!H16</f>
        <v>-7773687</v>
      </c>
      <c r="AC46" s="9">
        <f>Rapides!H14</f>
        <v>-1516640</v>
      </c>
      <c r="AD46" s="9">
        <f>Rapides!H15</f>
        <v>-339518</v>
      </c>
      <c r="AE46" s="9">
        <f>Rapides!H17</f>
        <v>-882463</v>
      </c>
      <c r="AF46" s="9"/>
      <c r="AG46" s="9">
        <f t="shared" si="21"/>
        <v>-32996298</v>
      </c>
      <c r="AH46" s="9">
        <f t="shared" si="17"/>
        <v>-45645992</v>
      </c>
      <c r="AI46" s="118" t="str">
        <f t="shared" si="15"/>
        <v>ok</v>
      </c>
      <c r="AJ46" s="9">
        <f>Rapides!H19</f>
        <v>-45645992</v>
      </c>
    </row>
    <row r="47" spans="1:485" s="137" customFormat="1" ht="15.75">
      <c r="A47" s="148"/>
      <c r="B47" s="120" t="s">
        <v>679</v>
      </c>
      <c r="C47" s="121">
        <f>'Red River'!K26</f>
        <v>3477010</v>
      </c>
      <c r="D47" s="121">
        <f>'Red River'!K27</f>
        <v>2539681</v>
      </c>
      <c r="E47" s="121"/>
      <c r="F47" s="121">
        <f>'Red River'!K28+'Red River'!K29</f>
        <v>1620446</v>
      </c>
      <c r="G47" s="121">
        <f t="shared" si="18"/>
        <v>7637137</v>
      </c>
      <c r="H47" s="121">
        <f>'Red River'!K32</f>
        <v>54937</v>
      </c>
      <c r="I47" s="121"/>
      <c r="J47" s="121"/>
      <c r="K47" s="121"/>
      <c r="L47" s="121">
        <f>'Red River'!K35</f>
        <v>-115000</v>
      </c>
      <c r="M47" s="121">
        <f>'Red River'!K30+'Red River'!K31+'Red River'!K33+'Red River'!K34</f>
        <v>643862</v>
      </c>
      <c r="N47" s="121">
        <f t="shared" si="19"/>
        <v>583799</v>
      </c>
      <c r="O47" s="121"/>
      <c r="P47" s="121">
        <f t="shared" si="22"/>
        <v>8220936</v>
      </c>
      <c r="Q47" s="118" t="str">
        <f t="shared" si="3"/>
        <v>ok</v>
      </c>
      <c r="R47" s="121">
        <f>'Red River'!K37</f>
        <v>8220936</v>
      </c>
      <c r="S47" s="121">
        <f>'Red River'!H9</f>
        <v>-1586757</v>
      </c>
      <c r="T47" s="121"/>
      <c r="U47" s="121"/>
      <c r="V47" s="121"/>
      <c r="W47" s="121"/>
      <c r="X47" s="121"/>
      <c r="Y47" s="121">
        <f t="shared" si="20"/>
        <v>-1586757</v>
      </c>
      <c r="Z47" s="121">
        <f>'Red River'!H10</f>
        <v>-1556720</v>
      </c>
      <c r="AA47" s="121">
        <f>'Red River'!H11</f>
        <v>-3232725</v>
      </c>
      <c r="AB47" s="121"/>
      <c r="AC47" s="121">
        <f>'Red River'!H12</f>
        <v>-572268</v>
      </c>
      <c r="AD47" s="121">
        <f>'Red River'!H13</f>
        <v>-351702</v>
      </c>
      <c r="AE47" s="121"/>
      <c r="AF47" s="121"/>
      <c r="AG47" s="121">
        <f t="shared" si="21"/>
        <v>-5713415</v>
      </c>
      <c r="AH47" s="121">
        <f t="shared" si="17"/>
        <v>-7300172</v>
      </c>
      <c r="AI47" s="118" t="str">
        <f t="shared" si="15"/>
        <v>ok</v>
      </c>
      <c r="AJ47" s="121">
        <f>'Red River'!H15</f>
        <v>-7300172</v>
      </c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132"/>
      <c r="MZ47" s="132"/>
      <c r="NA47" s="132"/>
      <c r="NB47" s="132"/>
      <c r="NC47" s="132"/>
      <c r="ND47" s="132"/>
      <c r="NE47" s="132"/>
      <c r="NF47" s="132"/>
      <c r="NG47" s="132"/>
      <c r="NH47" s="132"/>
      <c r="NI47" s="132"/>
      <c r="NJ47" s="132"/>
      <c r="NK47" s="132"/>
      <c r="NL47" s="132"/>
      <c r="NM47" s="132"/>
      <c r="NN47" s="132"/>
      <c r="NO47" s="132"/>
      <c r="NP47" s="132"/>
      <c r="NQ47" s="132"/>
      <c r="NR47" s="132"/>
      <c r="NS47" s="132"/>
      <c r="NT47" s="132"/>
      <c r="NU47" s="132"/>
      <c r="NV47" s="132"/>
      <c r="NW47" s="132"/>
      <c r="NX47" s="132"/>
      <c r="NY47" s="132"/>
      <c r="NZ47" s="132"/>
      <c r="OA47" s="132"/>
      <c r="OB47" s="132"/>
      <c r="OC47" s="132"/>
      <c r="OD47" s="132"/>
      <c r="OE47" s="132"/>
      <c r="OF47" s="132"/>
      <c r="OG47" s="132"/>
      <c r="OH47" s="132"/>
      <c r="OI47" s="132"/>
      <c r="OJ47" s="132"/>
      <c r="OK47" s="132"/>
      <c r="OL47" s="132"/>
      <c r="OM47" s="132"/>
      <c r="ON47" s="132"/>
      <c r="OO47" s="132"/>
      <c r="OP47" s="132"/>
      <c r="OQ47" s="132"/>
      <c r="OR47" s="132"/>
      <c r="OS47" s="132"/>
      <c r="OT47" s="132"/>
      <c r="OU47" s="132"/>
      <c r="OV47" s="132"/>
      <c r="OW47" s="132"/>
      <c r="OX47" s="132"/>
      <c r="OY47" s="132"/>
      <c r="OZ47" s="132"/>
      <c r="PA47" s="132"/>
      <c r="PB47" s="132"/>
      <c r="PC47" s="132"/>
      <c r="PD47" s="132"/>
      <c r="PE47" s="132"/>
      <c r="PF47" s="132"/>
      <c r="PG47" s="132"/>
      <c r="PH47" s="132"/>
      <c r="PI47" s="132"/>
      <c r="PJ47" s="132"/>
      <c r="PK47" s="132"/>
      <c r="PL47" s="132"/>
      <c r="PM47" s="132"/>
      <c r="PN47" s="132"/>
      <c r="PO47" s="132"/>
      <c r="PP47" s="132"/>
      <c r="PQ47" s="132"/>
      <c r="PR47" s="132"/>
      <c r="PS47" s="132"/>
      <c r="PT47" s="132"/>
      <c r="PU47" s="132"/>
      <c r="PV47" s="132"/>
      <c r="PW47" s="132"/>
      <c r="PX47" s="132"/>
      <c r="PY47" s="132"/>
      <c r="PZ47" s="132"/>
      <c r="QA47" s="132"/>
      <c r="QB47" s="132"/>
      <c r="QC47" s="132"/>
      <c r="QD47" s="132"/>
      <c r="QE47" s="132"/>
      <c r="QF47" s="132"/>
      <c r="QG47" s="132"/>
      <c r="QH47" s="132"/>
      <c r="QI47" s="132"/>
      <c r="QJ47" s="132"/>
      <c r="QK47" s="132"/>
      <c r="QL47" s="132"/>
      <c r="QM47" s="132"/>
      <c r="QN47" s="132"/>
      <c r="QO47" s="132"/>
      <c r="QP47" s="132"/>
      <c r="QQ47" s="132"/>
      <c r="QR47" s="132"/>
      <c r="QS47" s="132"/>
      <c r="QT47" s="132"/>
      <c r="QU47" s="132"/>
      <c r="QV47" s="132"/>
      <c r="QW47" s="132"/>
      <c r="QX47" s="132"/>
      <c r="QY47" s="132"/>
      <c r="QZ47" s="132"/>
      <c r="RA47" s="132"/>
      <c r="RB47" s="132"/>
      <c r="RC47" s="132"/>
      <c r="RD47" s="132"/>
      <c r="RE47" s="132"/>
      <c r="RF47" s="132"/>
      <c r="RG47" s="132"/>
      <c r="RH47" s="132"/>
      <c r="RI47" s="132"/>
      <c r="RJ47" s="132"/>
      <c r="RK47" s="132"/>
      <c r="RL47" s="132"/>
      <c r="RM47" s="132"/>
      <c r="RN47" s="132"/>
      <c r="RO47" s="132"/>
      <c r="RP47" s="132"/>
      <c r="RQ47" s="132"/>
    </row>
    <row r="48" spans="1:485" ht="15.75">
      <c r="A48" s="3"/>
      <c r="B48" s="8" t="s">
        <v>680</v>
      </c>
      <c r="C48" s="9">
        <f>Richland!K22</f>
        <v>6762999</v>
      </c>
      <c r="D48" s="9"/>
      <c r="E48" s="9"/>
      <c r="F48" s="9"/>
      <c r="G48" s="9">
        <f t="shared" si="18"/>
        <v>6762999</v>
      </c>
      <c r="H48" s="9">
        <f>Richland!K23</f>
        <v>261639</v>
      </c>
      <c r="I48" s="9">
        <f>Richland!K24</f>
        <v>52130</v>
      </c>
      <c r="J48" s="9"/>
      <c r="K48" s="9"/>
      <c r="L48" s="9"/>
      <c r="M48" s="9"/>
      <c r="N48" s="9">
        <f t="shared" si="19"/>
        <v>313769</v>
      </c>
      <c r="O48" s="9"/>
      <c r="P48" s="9">
        <f t="shared" si="22"/>
        <v>7076768</v>
      </c>
      <c r="Q48" s="118" t="str">
        <f t="shared" si="3"/>
        <v>ok</v>
      </c>
      <c r="R48" s="9">
        <f>Richland!K26</f>
        <v>7076768</v>
      </c>
      <c r="S48" s="9"/>
      <c r="T48" s="9">
        <f>Richland!G8</f>
        <v>-267292</v>
      </c>
      <c r="U48" s="9">
        <f>Richland!G9</f>
        <v>-110034</v>
      </c>
      <c r="V48" s="9">
        <f>Richland!G10</f>
        <v>-73570</v>
      </c>
      <c r="W48" s="9">
        <f>Richland!G11</f>
        <v>-336031</v>
      </c>
      <c r="X48" s="9">
        <f>Richland!G12</f>
        <v>-444427</v>
      </c>
      <c r="Y48" s="9">
        <f t="shared" si="20"/>
        <v>-1231354</v>
      </c>
      <c r="Z48" s="9">
        <f>Richland!G13</f>
        <v>-325322</v>
      </c>
      <c r="AA48" s="9">
        <f>Richland!G14</f>
        <v>-5911385</v>
      </c>
      <c r="AB48" s="9">
        <f>Richland!G17</f>
        <v>-217738</v>
      </c>
      <c r="AC48" s="9">
        <f>Richland!G15</f>
        <v>-289712</v>
      </c>
      <c r="AD48" s="9">
        <f>Richland!G16</f>
        <v>-818110</v>
      </c>
      <c r="AE48" s="9"/>
      <c r="AF48" s="9"/>
      <c r="AG48" s="9">
        <f t="shared" si="21"/>
        <v>-7562267</v>
      </c>
      <c r="AH48" s="9">
        <f t="shared" si="17"/>
        <v>-8793621</v>
      </c>
      <c r="AI48" s="118" t="str">
        <f t="shared" si="15"/>
        <v>ok</v>
      </c>
      <c r="AJ48" s="9">
        <f>Richland!G19</f>
        <v>-8793621</v>
      </c>
    </row>
    <row r="49" spans="1:485" s="137" customFormat="1" ht="15.75">
      <c r="A49" s="135"/>
      <c r="B49" s="120" t="s">
        <v>681</v>
      </c>
      <c r="C49" s="121">
        <f>Sabine!K22</f>
        <v>3293654</v>
      </c>
      <c r="D49" s="121">
        <f>Sabine!K23</f>
        <v>3397394</v>
      </c>
      <c r="E49" s="121"/>
      <c r="F49" s="121"/>
      <c r="G49" s="121">
        <f t="shared" si="18"/>
        <v>6691048</v>
      </c>
      <c r="H49" s="121"/>
      <c r="I49" s="121"/>
      <c r="J49" s="121">
        <f>Sabine!K24</f>
        <v>1601887</v>
      </c>
      <c r="K49" s="121"/>
      <c r="L49" s="121"/>
      <c r="M49" s="121">
        <f>Sabine!K25+Sabine!K26</f>
        <v>320504</v>
      </c>
      <c r="N49" s="121">
        <f t="shared" si="19"/>
        <v>1922391</v>
      </c>
      <c r="O49" s="121"/>
      <c r="P49" s="121">
        <f t="shared" si="22"/>
        <v>8613439</v>
      </c>
      <c r="Q49" s="118" t="str">
        <f t="shared" si="3"/>
        <v>ok</v>
      </c>
      <c r="R49" s="121">
        <f>Sabine!K28</f>
        <v>8613439</v>
      </c>
      <c r="S49" s="121"/>
      <c r="T49" s="121">
        <f>Sabine!G7</f>
        <v>-156568</v>
      </c>
      <c r="U49" s="121">
        <f>Sabine!G8</f>
        <v>-484801</v>
      </c>
      <c r="V49" s="121">
        <f>Sabine!G9</f>
        <v>-23649</v>
      </c>
      <c r="W49" s="121">
        <f>Sabine!G10</f>
        <v>-397032</v>
      </c>
      <c r="X49" s="121">
        <f>Sabine!G11</f>
        <v>-718404</v>
      </c>
      <c r="Y49" s="121">
        <f t="shared" si="20"/>
        <v>-1780454</v>
      </c>
      <c r="Z49" s="121">
        <f>Sabine!G12</f>
        <v>-477323</v>
      </c>
      <c r="AA49" s="121">
        <f>Sabine!G13</f>
        <v>-6068819</v>
      </c>
      <c r="AB49" s="121">
        <f>Sabine!G15</f>
        <v>-25441</v>
      </c>
      <c r="AC49" s="121">
        <f>Sabine!G14</f>
        <v>-193377</v>
      </c>
      <c r="AD49" s="121"/>
      <c r="AE49" s="121">
        <f>Sabine!G16</f>
        <v>-6775</v>
      </c>
      <c r="AF49" s="121"/>
      <c r="AG49" s="121">
        <f t="shared" si="21"/>
        <v>-6771735</v>
      </c>
      <c r="AH49" s="121">
        <f t="shared" si="17"/>
        <v>-8552189</v>
      </c>
      <c r="AI49" s="118" t="str">
        <f t="shared" si="15"/>
        <v>ok</v>
      </c>
      <c r="AJ49" s="121">
        <f>Sabine!G18</f>
        <v>-8552189</v>
      </c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  <c r="GE49" s="132"/>
      <c r="GF49" s="132"/>
      <c r="GG49" s="132"/>
      <c r="GH49" s="132"/>
      <c r="GI49" s="132"/>
      <c r="GJ49" s="132"/>
      <c r="GK49" s="132"/>
      <c r="GL49" s="132"/>
      <c r="GM49" s="132"/>
      <c r="GN49" s="132"/>
      <c r="GO49" s="132"/>
      <c r="GP49" s="132"/>
      <c r="GQ49" s="132"/>
      <c r="GR49" s="132"/>
      <c r="GS49" s="132"/>
      <c r="GT49" s="132"/>
      <c r="GU49" s="132"/>
      <c r="GV49" s="132"/>
      <c r="GW49" s="132"/>
      <c r="GX49" s="132"/>
      <c r="GY49" s="132"/>
      <c r="GZ49" s="132"/>
      <c r="HA49" s="132"/>
      <c r="HB49" s="132"/>
      <c r="HC49" s="132"/>
      <c r="HD49" s="132"/>
      <c r="HE49" s="132"/>
      <c r="HF49" s="132"/>
      <c r="HG49" s="132"/>
      <c r="HH49" s="132"/>
      <c r="HI49" s="132"/>
      <c r="HJ49" s="132"/>
      <c r="HK49" s="132"/>
      <c r="HL49" s="132"/>
      <c r="HM49" s="132"/>
      <c r="HN49" s="132"/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/>
      <c r="IB49" s="132"/>
      <c r="IC49" s="132"/>
      <c r="ID49" s="132"/>
      <c r="IE49" s="132"/>
      <c r="IF49" s="132"/>
      <c r="IG49" s="132"/>
      <c r="IH49" s="132"/>
      <c r="II49" s="132"/>
      <c r="IJ49" s="132"/>
      <c r="IK49" s="132"/>
      <c r="IL49" s="132"/>
      <c r="IM49" s="132"/>
      <c r="IN49" s="132"/>
      <c r="IO49" s="132"/>
      <c r="IP49" s="132"/>
      <c r="IQ49" s="132"/>
      <c r="IR49" s="132"/>
      <c r="IS49" s="132"/>
      <c r="IT49" s="132"/>
      <c r="IU49" s="132"/>
      <c r="IV49" s="132"/>
      <c r="IW49" s="132"/>
      <c r="IX49" s="132"/>
      <c r="IY49" s="132"/>
      <c r="IZ49" s="132"/>
      <c r="JA49" s="132"/>
      <c r="JB49" s="132"/>
      <c r="JC49" s="132"/>
      <c r="JD49" s="132"/>
      <c r="JE49" s="132"/>
      <c r="JF49" s="132"/>
      <c r="JG49" s="132"/>
      <c r="JH49" s="132"/>
      <c r="JI49" s="132"/>
      <c r="JJ49" s="132"/>
      <c r="JK49" s="132"/>
      <c r="JL49" s="132"/>
      <c r="JM49" s="132"/>
      <c r="JN49" s="132"/>
      <c r="JO49" s="132"/>
      <c r="JP49" s="132"/>
      <c r="JQ49" s="132"/>
      <c r="JR49" s="132"/>
      <c r="JS49" s="132"/>
      <c r="JT49" s="132"/>
      <c r="JU49" s="132"/>
      <c r="JV49" s="132"/>
      <c r="JW49" s="132"/>
      <c r="JX49" s="132"/>
      <c r="JY49" s="132"/>
      <c r="JZ49" s="132"/>
      <c r="KA49" s="132"/>
      <c r="KB49" s="132"/>
      <c r="KC49" s="132"/>
      <c r="KD49" s="132"/>
      <c r="KE49" s="132"/>
      <c r="KF49" s="132"/>
      <c r="KG49" s="132"/>
      <c r="KH49" s="132"/>
      <c r="KI49" s="132"/>
      <c r="KJ49" s="132"/>
      <c r="KK49" s="132"/>
      <c r="KL49" s="132"/>
      <c r="KM49" s="132"/>
      <c r="KN49" s="132"/>
      <c r="KO49" s="132"/>
      <c r="KP49" s="132"/>
      <c r="KQ49" s="132"/>
      <c r="KR49" s="132"/>
      <c r="KS49" s="132"/>
      <c r="KT49" s="132"/>
      <c r="KU49" s="132"/>
      <c r="KV49" s="132"/>
      <c r="KW49" s="132"/>
      <c r="KX49" s="132"/>
      <c r="KY49" s="132"/>
      <c r="KZ49" s="132"/>
      <c r="LA49" s="132"/>
      <c r="LB49" s="132"/>
      <c r="LC49" s="132"/>
      <c r="LD49" s="132"/>
      <c r="LE49" s="132"/>
      <c r="LF49" s="132"/>
      <c r="LG49" s="132"/>
      <c r="LH49" s="132"/>
      <c r="LI49" s="132"/>
      <c r="LJ49" s="132"/>
      <c r="LK49" s="132"/>
      <c r="LL49" s="132"/>
      <c r="LM49" s="132"/>
      <c r="LN49" s="132"/>
      <c r="LO49" s="132"/>
      <c r="LP49" s="132"/>
      <c r="LQ49" s="132"/>
      <c r="LR49" s="132"/>
      <c r="LS49" s="132"/>
      <c r="LT49" s="132"/>
      <c r="LU49" s="132"/>
      <c r="LV49" s="132"/>
      <c r="LW49" s="132"/>
      <c r="LX49" s="132"/>
      <c r="LY49" s="132"/>
      <c r="LZ49" s="132"/>
      <c r="MA49" s="132"/>
      <c r="MB49" s="132"/>
      <c r="MC49" s="132"/>
      <c r="MD49" s="132"/>
      <c r="ME49" s="132"/>
      <c r="MF49" s="132"/>
      <c r="MG49" s="132"/>
      <c r="MH49" s="132"/>
      <c r="MI49" s="132"/>
      <c r="MJ49" s="132"/>
      <c r="MK49" s="132"/>
      <c r="ML49" s="132"/>
      <c r="MM49" s="132"/>
      <c r="MN49" s="132"/>
      <c r="MO49" s="132"/>
      <c r="MP49" s="132"/>
      <c r="MQ49" s="132"/>
      <c r="MR49" s="132"/>
      <c r="MS49" s="132"/>
      <c r="MT49" s="132"/>
      <c r="MU49" s="132"/>
      <c r="MV49" s="132"/>
      <c r="MW49" s="132"/>
      <c r="MX49" s="132"/>
      <c r="MY49" s="132"/>
      <c r="MZ49" s="132"/>
      <c r="NA49" s="132"/>
      <c r="NB49" s="132"/>
      <c r="NC49" s="132"/>
      <c r="ND49" s="132"/>
      <c r="NE49" s="132"/>
      <c r="NF49" s="132"/>
      <c r="NG49" s="132"/>
      <c r="NH49" s="132"/>
      <c r="NI49" s="132"/>
      <c r="NJ49" s="132"/>
      <c r="NK49" s="132"/>
      <c r="NL49" s="132"/>
      <c r="NM49" s="132"/>
      <c r="NN49" s="132"/>
      <c r="NO49" s="132"/>
      <c r="NP49" s="132"/>
      <c r="NQ49" s="132"/>
      <c r="NR49" s="132"/>
      <c r="NS49" s="132"/>
      <c r="NT49" s="132"/>
      <c r="NU49" s="132"/>
      <c r="NV49" s="132"/>
      <c r="NW49" s="132"/>
      <c r="NX49" s="132"/>
      <c r="NY49" s="132"/>
      <c r="NZ49" s="132"/>
      <c r="OA49" s="132"/>
      <c r="OB49" s="132"/>
      <c r="OC49" s="132"/>
      <c r="OD49" s="132"/>
      <c r="OE49" s="132"/>
      <c r="OF49" s="132"/>
      <c r="OG49" s="132"/>
      <c r="OH49" s="132"/>
      <c r="OI49" s="132"/>
      <c r="OJ49" s="132"/>
      <c r="OK49" s="132"/>
      <c r="OL49" s="132"/>
      <c r="OM49" s="132"/>
      <c r="ON49" s="132"/>
      <c r="OO49" s="132"/>
      <c r="OP49" s="132"/>
      <c r="OQ49" s="132"/>
      <c r="OR49" s="132"/>
      <c r="OS49" s="132"/>
      <c r="OT49" s="132"/>
      <c r="OU49" s="132"/>
      <c r="OV49" s="132"/>
      <c r="OW49" s="132"/>
      <c r="OX49" s="132"/>
      <c r="OY49" s="132"/>
      <c r="OZ49" s="132"/>
      <c r="PA49" s="132"/>
      <c r="PB49" s="132"/>
      <c r="PC49" s="132"/>
      <c r="PD49" s="132"/>
      <c r="PE49" s="132"/>
      <c r="PF49" s="132"/>
      <c r="PG49" s="132"/>
      <c r="PH49" s="132"/>
      <c r="PI49" s="132"/>
      <c r="PJ49" s="132"/>
      <c r="PK49" s="132"/>
      <c r="PL49" s="132"/>
      <c r="PM49" s="132"/>
      <c r="PN49" s="132"/>
      <c r="PO49" s="132"/>
      <c r="PP49" s="132"/>
      <c r="PQ49" s="132"/>
      <c r="PR49" s="132"/>
      <c r="PS49" s="132"/>
      <c r="PT49" s="132"/>
      <c r="PU49" s="132"/>
      <c r="PV49" s="132"/>
      <c r="PW49" s="132"/>
      <c r="PX49" s="132"/>
      <c r="PY49" s="132"/>
      <c r="PZ49" s="132"/>
      <c r="QA49" s="132"/>
      <c r="QB49" s="132"/>
      <c r="QC49" s="132"/>
      <c r="QD49" s="132"/>
      <c r="QE49" s="132"/>
      <c r="QF49" s="132"/>
      <c r="QG49" s="132"/>
      <c r="QH49" s="132"/>
      <c r="QI49" s="132"/>
      <c r="QJ49" s="132"/>
      <c r="QK49" s="132"/>
      <c r="QL49" s="132"/>
      <c r="QM49" s="132"/>
      <c r="QN49" s="132"/>
      <c r="QO49" s="132"/>
      <c r="QP49" s="132"/>
      <c r="QQ49" s="132"/>
      <c r="QR49" s="132"/>
      <c r="QS49" s="132"/>
      <c r="QT49" s="132"/>
      <c r="QU49" s="132"/>
      <c r="QV49" s="132"/>
      <c r="QW49" s="132"/>
      <c r="QX49" s="132"/>
      <c r="QY49" s="132"/>
      <c r="QZ49" s="132"/>
      <c r="RA49" s="132"/>
      <c r="RB49" s="132"/>
      <c r="RC49" s="132"/>
      <c r="RD49" s="132"/>
      <c r="RE49" s="132"/>
      <c r="RF49" s="132"/>
      <c r="RG49" s="132"/>
      <c r="RH49" s="132"/>
      <c r="RI49" s="132"/>
      <c r="RJ49" s="132"/>
      <c r="RK49" s="132"/>
      <c r="RL49" s="132"/>
      <c r="RM49" s="132"/>
      <c r="RN49" s="132"/>
      <c r="RO49" s="132"/>
      <c r="RP49" s="132"/>
      <c r="RQ49" s="132"/>
    </row>
    <row r="50" spans="1:485" ht="15.75">
      <c r="A50" s="3"/>
      <c r="B50" s="130" t="s">
        <v>682</v>
      </c>
      <c r="C50" s="131"/>
      <c r="D50" s="131"/>
      <c r="E50" s="131"/>
      <c r="F50" s="131"/>
      <c r="G50" s="131">
        <f t="shared" si="18"/>
        <v>0</v>
      </c>
      <c r="H50" s="131"/>
      <c r="I50" s="131"/>
      <c r="J50" s="131"/>
      <c r="K50" s="131"/>
      <c r="L50" s="131"/>
      <c r="M50" s="131"/>
      <c r="N50" s="131">
        <f t="shared" si="19"/>
        <v>0</v>
      </c>
      <c r="O50" s="131"/>
      <c r="P50" s="131">
        <f>SUM(N50, G50, O50)</f>
        <v>0</v>
      </c>
      <c r="Q50" s="118" t="str">
        <f t="shared" si="3"/>
        <v>ok</v>
      </c>
      <c r="R50" s="131"/>
      <c r="S50" s="131"/>
      <c r="T50" s="131"/>
      <c r="U50" s="131"/>
      <c r="V50" s="131"/>
      <c r="W50" s="131"/>
      <c r="X50" s="131"/>
      <c r="Y50" s="131">
        <f t="shared" si="20"/>
        <v>0</v>
      </c>
      <c r="Z50" s="131"/>
      <c r="AA50" s="131"/>
      <c r="AB50" s="131"/>
      <c r="AC50" s="131"/>
      <c r="AD50" s="131"/>
      <c r="AE50" s="131"/>
      <c r="AF50" s="131"/>
      <c r="AG50" s="131">
        <f t="shared" si="21"/>
        <v>0</v>
      </c>
      <c r="AH50" s="131">
        <f>SUM(AG50, Y50)</f>
        <v>0</v>
      </c>
      <c r="AI50" s="118" t="str">
        <f t="shared" si="15"/>
        <v>ok</v>
      </c>
      <c r="AJ50" s="131"/>
    </row>
    <row r="51" spans="1:485" s="123" customFormat="1" ht="15.75">
      <c r="A51" s="122"/>
      <c r="B51" s="120" t="s">
        <v>683</v>
      </c>
      <c r="C51" s="121">
        <f>'St. Charles'!K38</f>
        <v>25644015</v>
      </c>
      <c r="D51" s="121">
        <f>'St. Charles'!K39</f>
        <v>29753818</v>
      </c>
      <c r="E51" s="121"/>
      <c r="F51" s="121">
        <f>'St. Charles'!K41+'St. Charles'!K42+'St. Charles'!K43</f>
        <v>1844133</v>
      </c>
      <c r="G51" s="121">
        <f t="shared" si="18"/>
        <v>57241966</v>
      </c>
      <c r="H51" s="121"/>
      <c r="I51" s="121"/>
      <c r="J51" s="121"/>
      <c r="K51" s="121"/>
      <c r="L51" s="121">
        <f>'St. Charles'!K46</f>
        <v>-326134</v>
      </c>
      <c r="M51" s="121">
        <f>'St. Charles'!K44+'St. Charles'!K45</f>
        <v>1468764</v>
      </c>
      <c r="N51" s="121">
        <f t="shared" si="19"/>
        <v>1142630</v>
      </c>
      <c r="O51" s="121"/>
      <c r="P51" s="121">
        <f t="shared" ref="P51:P70" si="23">SUM(N51,G51,O51)</f>
        <v>58384596</v>
      </c>
      <c r="Q51" s="118" t="str">
        <f t="shared" si="3"/>
        <v>ok</v>
      </c>
      <c r="R51" s="121">
        <f>'St. Charles'!K48</f>
        <v>58384596</v>
      </c>
      <c r="S51" s="121">
        <f>'St. Charles'!G9</f>
        <v>-18278012</v>
      </c>
      <c r="T51" s="121"/>
      <c r="U51" s="121"/>
      <c r="V51" s="121"/>
      <c r="W51" s="121"/>
      <c r="X51" s="121"/>
      <c r="Y51" s="121">
        <f t="shared" si="20"/>
        <v>-18278012</v>
      </c>
      <c r="Z51" s="121">
        <f>'St. Charles'!G10</f>
        <v>-8821956</v>
      </c>
      <c r="AA51" s="121">
        <f>'St. Charles'!G11</f>
        <v>-25818325</v>
      </c>
      <c r="AB51" s="121">
        <f>'St. Charles'!G14</f>
        <v>-1763281</v>
      </c>
      <c r="AC51" s="121">
        <f>'St. Charles'!G12</f>
        <v>-5791088</v>
      </c>
      <c r="AD51" s="121">
        <f>'St. Charles'!G13</f>
        <v>-4509617</v>
      </c>
      <c r="AE51" s="121">
        <f>'St. Charles'!G15</f>
        <v>-450422</v>
      </c>
      <c r="AF51" s="121"/>
      <c r="AG51" s="121">
        <f t="shared" si="21"/>
        <v>-47154689</v>
      </c>
      <c r="AH51" s="121">
        <f t="shared" ref="AH51:AH60" si="24">SUM(AG51,Y51)</f>
        <v>-65432701</v>
      </c>
      <c r="AI51" s="118" t="str">
        <f t="shared" si="15"/>
        <v>ok</v>
      </c>
      <c r="AJ51" s="121">
        <f>'St. Charles'!G18</f>
        <v>-65432701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</row>
    <row r="52" spans="1:485" ht="15.75">
      <c r="A52" s="3"/>
      <c r="B52" s="8" t="s">
        <v>684</v>
      </c>
      <c r="C52" s="9">
        <f>'St. Helena'!M28</f>
        <v>1908025</v>
      </c>
      <c r="D52" s="9">
        <f>'St. Helena'!M29+'St. Helena'!M33</f>
        <v>3053500</v>
      </c>
      <c r="E52" s="9"/>
      <c r="F52" s="9">
        <f>'St. Helena'!M30+'St. Helena'!M31+'St. Helena'!M34</f>
        <v>675691</v>
      </c>
      <c r="G52" s="9">
        <f t="shared" si="18"/>
        <v>5637216</v>
      </c>
      <c r="H52" s="9">
        <f>'St. Helena'!M35</f>
        <v>81370</v>
      </c>
      <c r="I52" s="9"/>
      <c r="J52" s="9"/>
      <c r="K52" s="9"/>
      <c r="L52" s="9"/>
      <c r="M52" s="9">
        <f>'St. Helena'!M36+'St. Helena'!M38+'St. Helena'!M39+'St. Helena'!M40</f>
        <v>-97245</v>
      </c>
      <c r="N52" s="9">
        <f t="shared" si="19"/>
        <v>-15875</v>
      </c>
      <c r="O52" s="9"/>
      <c r="P52" s="9">
        <f t="shared" si="23"/>
        <v>5621341</v>
      </c>
      <c r="Q52" s="118" t="str">
        <f t="shared" si="3"/>
        <v>ok</v>
      </c>
      <c r="R52" s="9">
        <f>'St. Helena'!M42</f>
        <v>5621341</v>
      </c>
      <c r="S52" s="9">
        <f>'St. Helena'!I9</f>
        <v>-1832157</v>
      </c>
      <c r="T52" s="9"/>
      <c r="U52" s="9"/>
      <c r="V52" s="9"/>
      <c r="W52" s="9"/>
      <c r="X52" s="9"/>
      <c r="Y52" s="9">
        <f t="shared" si="20"/>
        <v>-1832157</v>
      </c>
      <c r="Z52" s="9">
        <f>'St. Helena'!I10</f>
        <v>-1065049</v>
      </c>
      <c r="AA52" s="9">
        <f>'St. Helena'!I11</f>
        <v>-2729174</v>
      </c>
      <c r="AB52" s="9">
        <f>'St. Helena'!I14</f>
        <v>-81918</v>
      </c>
      <c r="AC52" s="9">
        <f>'St. Helena'!I12</f>
        <v>-274763</v>
      </c>
      <c r="AD52" s="9">
        <f>'St. Helena'!I13</f>
        <v>-32456</v>
      </c>
      <c r="AE52" s="9">
        <f>'St. Helena'!I15</f>
        <v>-72581</v>
      </c>
      <c r="AF52" s="9"/>
      <c r="AG52" s="9">
        <f t="shared" si="21"/>
        <v>-4255941</v>
      </c>
      <c r="AH52" s="9">
        <f t="shared" si="24"/>
        <v>-6088098</v>
      </c>
      <c r="AI52" s="118" t="str">
        <f t="shared" si="15"/>
        <v>ok</v>
      </c>
      <c r="AJ52" s="9">
        <f>'St. Helena'!I17</f>
        <v>-6088098</v>
      </c>
    </row>
    <row r="53" spans="1:485" s="123" customFormat="1" ht="15.75">
      <c r="A53" s="122"/>
      <c r="B53" s="115" t="s">
        <v>685</v>
      </c>
      <c r="C53" s="116">
        <f>'St. James'!K37</f>
        <v>16937947</v>
      </c>
      <c r="D53" s="125">
        <f>'St. James'!K39+'St. James'!K41</f>
        <v>6675673</v>
      </c>
      <c r="E53" s="116"/>
      <c r="F53" s="116">
        <f>'St. James'!K38+'St. James'!K40+'St. James'!K42</f>
        <v>603122</v>
      </c>
      <c r="G53" s="116">
        <f t="shared" si="18"/>
        <v>24216742</v>
      </c>
      <c r="H53" s="116"/>
      <c r="I53" s="116">
        <f>'St. James'!K44</f>
        <v>537865</v>
      </c>
      <c r="J53" s="116"/>
      <c r="K53" s="116"/>
      <c r="L53" s="116">
        <f>'St. James'!K48</f>
        <v>1443</v>
      </c>
      <c r="M53" s="116">
        <f>'St. James'!K43+'St. James'!K45+'St. James'!K46+'St. James'!K47</f>
        <v>2497750</v>
      </c>
      <c r="N53" s="116">
        <f t="shared" si="19"/>
        <v>3037058</v>
      </c>
      <c r="O53" s="116"/>
      <c r="P53" s="116">
        <f t="shared" si="23"/>
        <v>27253800</v>
      </c>
      <c r="Q53" s="118" t="str">
        <f t="shared" si="3"/>
        <v>ok</v>
      </c>
      <c r="R53" s="116">
        <f>'St. James'!K50</f>
        <v>27253800</v>
      </c>
      <c r="S53" s="116">
        <f>'St. James'!G9</f>
        <v>-9668333</v>
      </c>
      <c r="T53" s="116"/>
      <c r="U53" s="116"/>
      <c r="V53" s="116"/>
      <c r="W53" s="116"/>
      <c r="X53" s="116"/>
      <c r="Y53" s="116">
        <f t="shared" si="20"/>
        <v>-9668333</v>
      </c>
      <c r="Z53" s="116">
        <f>'St. James'!G10</f>
        <v>-4037958</v>
      </c>
      <c r="AA53" s="116">
        <f>'St. James'!G11+'St. James'!G13+'St. James'!G14</f>
        <v>-5654734</v>
      </c>
      <c r="AB53" s="116">
        <f>'St. James'!G17</f>
        <v>-2300637</v>
      </c>
      <c r="AC53" s="116">
        <f>'St. James'!G15</f>
        <v>-4418589</v>
      </c>
      <c r="AD53" s="116">
        <f>'St. James'!G16</f>
        <v>-2828449</v>
      </c>
      <c r="AE53" s="116">
        <f>'St. James'!G18</f>
        <v>-271857</v>
      </c>
      <c r="AF53" s="116">
        <f>'St. James'!G12</f>
        <v>-1885173</v>
      </c>
      <c r="AG53" s="116">
        <f t="shared" si="21"/>
        <v>-21397397</v>
      </c>
      <c r="AH53" s="116">
        <f t="shared" si="24"/>
        <v>-31065730</v>
      </c>
      <c r="AI53" s="118" t="str">
        <f t="shared" si="15"/>
        <v>ok</v>
      </c>
      <c r="AJ53" s="116">
        <f>'St. James'!G20</f>
        <v>-31065730</v>
      </c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</row>
    <row r="54" spans="1:485" ht="15.75">
      <c r="A54" s="3"/>
      <c r="B54" s="130" t="s">
        <v>686</v>
      </c>
      <c r="C54" s="149"/>
      <c r="E54" s="140"/>
      <c r="F54" s="140"/>
      <c r="G54" s="140">
        <f t="shared" si="18"/>
        <v>0</v>
      </c>
      <c r="H54" s="140"/>
      <c r="I54" s="140"/>
      <c r="J54" s="140"/>
      <c r="K54" s="150"/>
      <c r="L54" s="140"/>
      <c r="M54" s="140"/>
      <c r="N54" s="140">
        <f t="shared" si="19"/>
        <v>0</v>
      </c>
      <c r="O54" s="140"/>
      <c r="P54" s="140">
        <f t="shared" si="23"/>
        <v>0</v>
      </c>
      <c r="Q54" s="118" t="str">
        <f t="shared" si="3"/>
        <v>ok</v>
      </c>
      <c r="R54" s="140"/>
      <c r="S54" s="140"/>
      <c r="T54" s="140"/>
      <c r="U54" s="140"/>
      <c r="V54" s="140"/>
      <c r="W54" s="140"/>
      <c r="X54" s="140"/>
      <c r="Y54" s="140">
        <f t="shared" si="20"/>
        <v>0</v>
      </c>
      <c r="Z54" s="140"/>
      <c r="AA54" s="140"/>
      <c r="AB54" s="140"/>
      <c r="AC54" s="140"/>
      <c r="AD54" s="140"/>
      <c r="AE54" s="140"/>
      <c r="AF54" s="140"/>
      <c r="AG54" s="140">
        <f t="shared" si="21"/>
        <v>0</v>
      </c>
      <c r="AH54" s="140">
        <f t="shared" si="24"/>
        <v>0</v>
      </c>
      <c r="AI54" s="118" t="str">
        <f t="shared" si="15"/>
        <v>ok</v>
      </c>
      <c r="AJ54" s="140"/>
    </row>
    <row r="55" spans="1:485" s="134" customFormat="1" ht="15.75">
      <c r="A55" s="133"/>
      <c r="B55" s="119" t="s">
        <v>687</v>
      </c>
      <c r="C55" s="117"/>
      <c r="D55" s="117"/>
      <c r="E55" s="117"/>
      <c r="F55" s="117"/>
      <c r="G55" s="117">
        <f t="shared" si="18"/>
        <v>0</v>
      </c>
      <c r="H55" s="117"/>
      <c r="I55" s="117"/>
      <c r="J55" s="117"/>
      <c r="K55" s="117"/>
      <c r="L55" s="117"/>
      <c r="M55" s="117"/>
      <c r="N55" s="117">
        <f t="shared" si="19"/>
        <v>0</v>
      </c>
      <c r="O55" s="117"/>
      <c r="P55" s="117">
        <f t="shared" si="23"/>
        <v>0</v>
      </c>
      <c r="Q55" s="118" t="str">
        <f t="shared" si="3"/>
        <v>ok</v>
      </c>
      <c r="R55" s="117"/>
      <c r="S55" s="117"/>
      <c r="T55" s="117"/>
      <c r="U55" s="117"/>
      <c r="V55" s="117"/>
      <c r="W55" s="117"/>
      <c r="X55" s="117"/>
      <c r="Y55" s="117">
        <f t="shared" si="20"/>
        <v>0</v>
      </c>
      <c r="Z55" s="117"/>
      <c r="AA55" s="117"/>
      <c r="AB55" s="117"/>
      <c r="AC55" s="117"/>
      <c r="AD55" s="117"/>
      <c r="AE55" s="117"/>
      <c r="AF55" s="117"/>
      <c r="AG55" s="117">
        <f t="shared" si="21"/>
        <v>0</v>
      </c>
      <c r="AH55" s="117">
        <f t="shared" si="24"/>
        <v>0</v>
      </c>
      <c r="AI55" s="118" t="str">
        <f t="shared" si="15"/>
        <v>ok</v>
      </c>
      <c r="AJ55" s="11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57"/>
      <c r="DZ55" s="157"/>
      <c r="EA55" s="157"/>
      <c r="EB55" s="157"/>
      <c r="EC55" s="157"/>
      <c r="ED55" s="157"/>
      <c r="EE55" s="157"/>
      <c r="EF55" s="157"/>
      <c r="EG55" s="157"/>
      <c r="EH55" s="157"/>
      <c r="EI55" s="157"/>
      <c r="EJ55" s="157"/>
      <c r="EK55" s="157"/>
      <c r="EL55" s="157"/>
      <c r="EM55" s="157"/>
      <c r="EN55" s="157"/>
      <c r="EO55" s="157"/>
      <c r="EP55" s="157"/>
      <c r="EQ55" s="157"/>
      <c r="ER55" s="157"/>
      <c r="ES55" s="157"/>
      <c r="ET55" s="157"/>
      <c r="EU55" s="157"/>
      <c r="EV55" s="157"/>
      <c r="EW55" s="157"/>
      <c r="EX55" s="157"/>
      <c r="EY55" s="157"/>
      <c r="EZ55" s="157"/>
      <c r="FA55" s="157"/>
      <c r="FB55" s="157"/>
      <c r="FC55" s="157"/>
      <c r="FD55" s="157"/>
      <c r="FE55" s="157"/>
      <c r="FF55" s="157"/>
      <c r="FG55" s="157"/>
      <c r="FH55" s="157"/>
      <c r="FI55" s="157"/>
      <c r="FJ55" s="157"/>
      <c r="FK55" s="157"/>
      <c r="FL55" s="157"/>
      <c r="FM55" s="157"/>
      <c r="FN55" s="157"/>
      <c r="FO55" s="157"/>
      <c r="FP55" s="157"/>
      <c r="FQ55" s="157"/>
      <c r="FR55" s="157"/>
      <c r="FS55" s="157"/>
      <c r="FT55" s="157"/>
      <c r="FU55" s="157"/>
      <c r="FV55" s="157"/>
      <c r="FW55" s="157"/>
      <c r="FX55" s="157"/>
      <c r="FY55" s="157"/>
      <c r="FZ55" s="157"/>
      <c r="GA55" s="157"/>
      <c r="GB55" s="157"/>
      <c r="GC55" s="157"/>
      <c r="GD55" s="157"/>
      <c r="GE55" s="157"/>
      <c r="GF55" s="157"/>
      <c r="GG55" s="157"/>
      <c r="GH55" s="157"/>
      <c r="GI55" s="157"/>
      <c r="GJ55" s="157"/>
      <c r="GK55" s="157"/>
      <c r="GL55" s="157"/>
      <c r="GM55" s="157"/>
      <c r="GN55" s="157"/>
      <c r="GO55" s="157"/>
      <c r="GP55" s="157"/>
      <c r="GQ55" s="157"/>
      <c r="GR55" s="157"/>
      <c r="GS55" s="157"/>
      <c r="GT55" s="157"/>
      <c r="GU55" s="157"/>
      <c r="GV55" s="157"/>
      <c r="GW55" s="157"/>
      <c r="GX55" s="157"/>
      <c r="GY55" s="157"/>
      <c r="GZ55" s="157"/>
      <c r="HA55" s="157"/>
      <c r="HB55" s="157"/>
      <c r="HC55" s="157"/>
      <c r="HD55" s="157"/>
      <c r="HE55" s="157"/>
      <c r="HF55" s="157"/>
      <c r="HG55" s="157"/>
      <c r="HH55" s="157"/>
      <c r="HI55" s="157"/>
      <c r="HJ55" s="157"/>
      <c r="HK55" s="157"/>
      <c r="HL55" s="157"/>
      <c r="HM55" s="157"/>
      <c r="HN55" s="157"/>
      <c r="HO55" s="157"/>
      <c r="HP55" s="157"/>
      <c r="HQ55" s="157"/>
      <c r="HR55" s="157"/>
      <c r="HS55" s="157"/>
      <c r="HT55" s="157"/>
      <c r="HU55" s="157"/>
      <c r="HV55" s="157"/>
      <c r="HW55" s="157"/>
      <c r="HX55" s="157"/>
      <c r="HY55" s="157"/>
      <c r="HZ55" s="157"/>
      <c r="IA55" s="157"/>
      <c r="IB55" s="157"/>
      <c r="IC55" s="157"/>
      <c r="ID55" s="157"/>
      <c r="IE55" s="157"/>
      <c r="IF55" s="157"/>
      <c r="IG55" s="157"/>
      <c r="IH55" s="157"/>
      <c r="II55" s="157"/>
      <c r="IJ55" s="157"/>
      <c r="IK55" s="157"/>
      <c r="IL55" s="157"/>
      <c r="IM55" s="157"/>
      <c r="IN55" s="157"/>
      <c r="IO55" s="157"/>
      <c r="IP55" s="157"/>
      <c r="IQ55" s="157"/>
      <c r="IR55" s="157"/>
      <c r="IS55" s="157"/>
      <c r="IT55" s="157"/>
      <c r="IU55" s="157"/>
      <c r="IV55" s="157"/>
      <c r="IW55" s="157"/>
      <c r="IX55" s="157"/>
      <c r="IY55" s="157"/>
      <c r="IZ55" s="157"/>
      <c r="JA55" s="157"/>
      <c r="JB55" s="157"/>
      <c r="JC55" s="157"/>
      <c r="JD55" s="157"/>
      <c r="JE55" s="157"/>
      <c r="JF55" s="157"/>
      <c r="JG55" s="157"/>
      <c r="JH55" s="157"/>
      <c r="JI55" s="157"/>
      <c r="JJ55" s="157"/>
      <c r="JK55" s="157"/>
      <c r="JL55" s="157"/>
      <c r="JM55" s="157"/>
      <c r="JN55" s="157"/>
      <c r="JO55" s="157"/>
      <c r="JP55" s="157"/>
      <c r="JQ55" s="157"/>
      <c r="JR55" s="157"/>
      <c r="JS55" s="157"/>
      <c r="JT55" s="157"/>
      <c r="JU55" s="157"/>
      <c r="JV55" s="157"/>
      <c r="JW55" s="157"/>
      <c r="JX55" s="157"/>
      <c r="JY55" s="157"/>
      <c r="JZ55" s="157"/>
      <c r="KA55" s="157"/>
      <c r="KB55" s="157"/>
      <c r="KC55" s="157"/>
      <c r="KD55" s="157"/>
      <c r="KE55" s="157"/>
      <c r="KF55" s="157"/>
      <c r="KG55" s="157"/>
      <c r="KH55" s="157"/>
      <c r="KI55" s="157"/>
      <c r="KJ55" s="157"/>
      <c r="KK55" s="157"/>
      <c r="KL55" s="157"/>
      <c r="KM55" s="157"/>
      <c r="KN55" s="157"/>
      <c r="KO55" s="157"/>
      <c r="KP55" s="157"/>
      <c r="KQ55" s="157"/>
      <c r="KR55" s="157"/>
      <c r="KS55" s="157"/>
      <c r="KT55" s="157"/>
      <c r="KU55" s="157"/>
      <c r="KV55" s="157"/>
      <c r="KW55" s="157"/>
      <c r="KX55" s="157"/>
      <c r="KY55" s="157"/>
      <c r="KZ55" s="157"/>
      <c r="LA55" s="157"/>
      <c r="LB55" s="157"/>
      <c r="LC55" s="157"/>
      <c r="LD55" s="157"/>
      <c r="LE55" s="157"/>
      <c r="LF55" s="157"/>
      <c r="LG55" s="157"/>
      <c r="LH55" s="157"/>
      <c r="LI55" s="157"/>
      <c r="LJ55" s="157"/>
      <c r="LK55" s="157"/>
      <c r="LL55" s="157"/>
      <c r="LM55" s="157"/>
      <c r="LN55" s="157"/>
      <c r="LO55" s="157"/>
      <c r="LP55" s="157"/>
      <c r="LQ55" s="157"/>
      <c r="LR55" s="157"/>
      <c r="LS55" s="157"/>
      <c r="LT55" s="157"/>
      <c r="LU55" s="157"/>
      <c r="LV55" s="157"/>
      <c r="LW55" s="157"/>
      <c r="LX55" s="157"/>
      <c r="LY55" s="157"/>
      <c r="LZ55" s="157"/>
      <c r="MA55" s="157"/>
      <c r="MB55" s="157"/>
      <c r="MC55" s="157"/>
      <c r="MD55" s="157"/>
      <c r="ME55" s="157"/>
      <c r="MF55" s="157"/>
      <c r="MG55" s="157"/>
      <c r="MH55" s="157"/>
      <c r="MI55" s="157"/>
      <c r="MJ55" s="157"/>
      <c r="MK55" s="157"/>
      <c r="ML55" s="157"/>
      <c r="MM55" s="157"/>
      <c r="MN55" s="157"/>
      <c r="MO55" s="157"/>
      <c r="MP55" s="157"/>
      <c r="MQ55" s="157"/>
      <c r="MR55" s="157"/>
      <c r="MS55" s="157"/>
      <c r="MT55" s="157"/>
      <c r="MU55" s="157"/>
      <c r="MV55" s="157"/>
      <c r="MW55" s="157"/>
      <c r="MX55" s="157"/>
      <c r="MY55" s="157"/>
      <c r="MZ55" s="157"/>
      <c r="NA55" s="157"/>
      <c r="NB55" s="157"/>
      <c r="NC55" s="157"/>
      <c r="ND55" s="157"/>
      <c r="NE55" s="157"/>
      <c r="NF55" s="157"/>
      <c r="NG55" s="157"/>
      <c r="NH55" s="157"/>
      <c r="NI55" s="157"/>
      <c r="NJ55" s="157"/>
      <c r="NK55" s="157"/>
      <c r="NL55" s="157"/>
      <c r="NM55" s="157"/>
      <c r="NN55" s="157"/>
      <c r="NO55" s="157"/>
      <c r="NP55" s="157"/>
      <c r="NQ55" s="157"/>
      <c r="NR55" s="157"/>
      <c r="NS55" s="157"/>
      <c r="NT55" s="157"/>
      <c r="NU55" s="157"/>
      <c r="NV55" s="157"/>
      <c r="NW55" s="157"/>
      <c r="NX55" s="157"/>
      <c r="NY55" s="157"/>
      <c r="NZ55" s="157"/>
      <c r="OA55" s="157"/>
      <c r="OB55" s="157"/>
      <c r="OC55" s="157"/>
      <c r="OD55" s="157"/>
      <c r="OE55" s="157"/>
      <c r="OF55" s="157"/>
      <c r="OG55" s="157"/>
      <c r="OH55" s="157"/>
      <c r="OI55" s="157"/>
      <c r="OJ55" s="157"/>
      <c r="OK55" s="157"/>
      <c r="OL55" s="157"/>
      <c r="OM55" s="157"/>
      <c r="ON55" s="157"/>
      <c r="OO55" s="157"/>
      <c r="OP55" s="157"/>
      <c r="OQ55" s="157"/>
      <c r="OR55" s="157"/>
      <c r="OS55" s="157"/>
      <c r="OT55" s="157"/>
      <c r="OU55" s="157"/>
      <c r="OV55" s="157"/>
      <c r="OW55" s="157"/>
      <c r="OX55" s="157"/>
      <c r="OY55" s="157"/>
      <c r="OZ55" s="157"/>
      <c r="PA55" s="157"/>
      <c r="PB55" s="157"/>
      <c r="PC55" s="157"/>
      <c r="PD55" s="157"/>
      <c r="PE55" s="157"/>
      <c r="PF55" s="157"/>
      <c r="PG55" s="157"/>
      <c r="PH55" s="157"/>
      <c r="PI55" s="157"/>
      <c r="PJ55" s="157"/>
      <c r="PK55" s="157"/>
      <c r="PL55" s="157"/>
      <c r="PM55" s="157"/>
      <c r="PN55" s="157"/>
      <c r="PO55" s="157"/>
      <c r="PP55" s="157"/>
      <c r="PQ55" s="157"/>
      <c r="PR55" s="157"/>
      <c r="PS55" s="157"/>
      <c r="PT55" s="157"/>
      <c r="PU55" s="157"/>
      <c r="PV55" s="157"/>
      <c r="PW55" s="157"/>
      <c r="PX55" s="157"/>
      <c r="PY55" s="157"/>
      <c r="PZ55" s="157"/>
      <c r="QA55" s="157"/>
      <c r="QB55" s="157"/>
      <c r="QC55" s="157"/>
      <c r="QD55" s="157"/>
      <c r="QE55" s="157"/>
      <c r="QF55" s="157"/>
      <c r="QG55" s="157"/>
      <c r="QH55" s="157"/>
      <c r="QI55" s="157"/>
      <c r="QJ55" s="157"/>
      <c r="QK55" s="157"/>
      <c r="QL55" s="157"/>
      <c r="QM55" s="157"/>
      <c r="QN55" s="157"/>
      <c r="QO55" s="157"/>
      <c r="QP55" s="157"/>
      <c r="QQ55" s="157"/>
      <c r="QR55" s="157"/>
      <c r="QS55" s="157"/>
      <c r="QT55" s="157"/>
      <c r="QU55" s="157"/>
      <c r="QV55" s="157"/>
      <c r="QW55" s="157"/>
      <c r="QX55" s="157"/>
      <c r="QY55" s="157"/>
      <c r="QZ55" s="157"/>
      <c r="RA55" s="157"/>
      <c r="RB55" s="157"/>
      <c r="RC55" s="157"/>
      <c r="RD55" s="157"/>
      <c r="RE55" s="157"/>
      <c r="RF55" s="157"/>
      <c r="RG55" s="157"/>
      <c r="RH55" s="157"/>
      <c r="RI55" s="157"/>
      <c r="RJ55" s="157"/>
      <c r="RK55" s="157"/>
      <c r="RL55" s="157"/>
      <c r="RM55" s="157"/>
      <c r="RN55" s="157"/>
      <c r="RO55" s="157"/>
      <c r="RP55" s="157"/>
      <c r="RQ55" s="157"/>
    </row>
    <row r="56" spans="1:485" s="132" customFormat="1" ht="15.75">
      <c r="A56" s="126"/>
      <c r="B56" s="8" t="s">
        <v>688</v>
      </c>
      <c r="C56" s="9"/>
      <c r="D56" s="9"/>
      <c r="E56" s="9"/>
      <c r="F56" s="9"/>
      <c r="G56" s="9">
        <f t="shared" si="18"/>
        <v>0</v>
      </c>
      <c r="H56" s="9"/>
      <c r="I56" s="9"/>
      <c r="J56" s="9"/>
      <c r="K56" s="9"/>
      <c r="L56"/>
      <c r="M56" s="9"/>
      <c r="N56" s="9">
        <f t="shared" si="19"/>
        <v>0</v>
      </c>
      <c r="O56" s="9"/>
      <c r="P56" s="9">
        <f t="shared" si="23"/>
        <v>0</v>
      </c>
      <c r="Q56" s="118" t="str">
        <f t="shared" si="3"/>
        <v>ok</v>
      </c>
      <c r="R56" s="9"/>
      <c r="S56" s="9"/>
      <c r="T56" s="9"/>
      <c r="U56" s="9"/>
      <c r="V56" s="9"/>
      <c r="W56" s="9"/>
      <c r="X56" s="9"/>
      <c r="Y56" s="9">
        <f t="shared" si="20"/>
        <v>0</v>
      </c>
      <c r="Z56" s="9"/>
      <c r="AA56" s="9"/>
      <c r="AB56" s="9"/>
      <c r="AC56" s="9"/>
      <c r="AD56" s="9"/>
      <c r="AE56" s="9"/>
      <c r="AF56" s="9"/>
      <c r="AG56" s="9">
        <f t="shared" si="21"/>
        <v>0</v>
      </c>
      <c r="AH56" s="9">
        <f t="shared" si="24"/>
        <v>0</v>
      </c>
      <c r="AI56" s="118" t="str">
        <f t="shared" si="15"/>
        <v>ok</v>
      </c>
      <c r="AJ56" s="9"/>
    </row>
    <row r="57" spans="1:485" s="123" customFormat="1" ht="15.75">
      <c r="A57" s="122"/>
      <c r="B57" s="119" t="s">
        <v>689</v>
      </c>
      <c r="C57" s="117">
        <f>'St. Mary'!K36+'St. Mary'!K35</f>
        <v>4139897</v>
      </c>
      <c r="D57" s="117">
        <f>'St. Mary'!K34</f>
        <v>7291457</v>
      </c>
      <c r="E57" s="117"/>
      <c r="F57" s="117">
        <f>'St. Mary'!K38+'St. Mary'!K37</f>
        <v>1052998</v>
      </c>
      <c r="G57" s="117">
        <f t="shared" si="18"/>
        <v>12484352</v>
      </c>
      <c r="H57" s="117">
        <f>'St. Mary'!K40</f>
        <v>543705</v>
      </c>
      <c r="I57" s="117"/>
      <c r="J57" s="117"/>
      <c r="K57" s="117"/>
      <c r="L57" s="117">
        <f>'St. Mary'!K44</f>
        <v>-1661385</v>
      </c>
      <c r="M57" s="117">
        <f>'St. Mary'!K39+'St. Mary'!K41+'St. Mary'!K43</f>
        <v>9879802</v>
      </c>
      <c r="N57" s="117">
        <f t="shared" si="19"/>
        <v>8762122</v>
      </c>
      <c r="O57" s="117"/>
      <c r="P57" s="117">
        <f t="shared" si="23"/>
        <v>21246474</v>
      </c>
      <c r="Q57" s="118" t="str">
        <f t="shared" si="3"/>
        <v>ok</v>
      </c>
      <c r="R57" s="117">
        <f>'St. Mary'!K46</f>
        <v>21246474</v>
      </c>
      <c r="S57" s="117">
        <f>'St. Mary'!G9</f>
        <v>-7177908</v>
      </c>
      <c r="T57" s="117"/>
      <c r="U57" s="117"/>
      <c r="V57" s="117"/>
      <c r="W57" s="117"/>
      <c r="X57" s="117"/>
      <c r="Y57" s="117">
        <f t="shared" si="20"/>
        <v>-7177908</v>
      </c>
      <c r="Z57" s="117">
        <f>'St. Mary'!G10</f>
        <v>-5269357</v>
      </c>
      <c r="AA57" s="117">
        <f>'St. Mary'!G11</f>
        <v>-10615442</v>
      </c>
      <c r="AB57" s="117">
        <f>'St. Mary'!G16</f>
        <v>-242924</v>
      </c>
      <c r="AC57" s="117">
        <f>'St. Mary'!G14</f>
        <v>-5544190</v>
      </c>
      <c r="AD57" s="117">
        <f>'St. Mary'!G13</f>
        <v>-2211677</v>
      </c>
      <c r="AE57" s="117">
        <f>'St. Mary'!G18+'St. Mary'!G17</f>
        <v>-720967</v>
      </c>
      <c r="AF57" s="117">
        <f>'St. Mary'!G15+'St. Mary'!G12</f>
        <v>-4352275</v>
      </c>
      <c r="AG57" s="117">
        <f t="shared" si="21"/>
        <v>-28956832</v>
      </c>
      <c r="AH57" s="117">
        <f t="shared" si="24"/>
        <v>-36134740</v>
      </c>
      <c r="AI57" s="118" t="str">
        <f t="shared" si="15"/>
        <v>ok</v>
      </c>
      <c r="AJ57" s="117">
        <f>'St. Mary'!G20</f>
        <v>-36134740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</row>
    <row r="58" spans="1:485" ht="15.75">
      <c r="A58" s="3"/>
      <c r="B58" s="8" t="s">
        <v>690</v>
      </c>
      <c r="C58" s="9">
        <f>'St. Tammany'!K33+'St. Tammany'!K34</f>
        <v>29832055</v>
      </c>
      <c r="D58" s="9">
        <f>'St. Tammany'!K35+'St. Tammany'!K36+'St. Tammany'!K37+'St. Tammany'!K42</f>
        <v>68756681</v>
      </c>
      <c r="E58" s="9"/>
      <c r="F58" s="9">
        <f>'St. Tammany'!K39+'St. Tammany'!K38+'St. Tammany'!K40+'St. Tammany'!K41</f>
        <v>172448</v>
      </c>
      <c r="G58" s="9">
        <f t="shared" si="18"/>
        <v>98761184</v>
      </c>
      <c r="H58" s="9">
        <f>'St. Tammany'!K44</f>
        <v>277808</v>
      </c>
      <c r="I58" s="9"/>
      <c r="J58" s="9"/>
      <c r="K58" s="9"/>
      <c r="L58" s="9">
        <f>'St. Tammany'!K52</f>
        <v>292582</v>
      </c>
      <c r="M58" s="9">
        <f>'St. Tammany'!K45+'St. Tammany'!K47+'St. Tammany'!K46+'St. Tammany'!K48</f>
        <v>3673630</v>
      </c>
      <c r="N58" s="9">
        <f t="shared" si="19"/>
        <v>4244020</v>
      </c>
      <c r="O58" s="9"/>
      <c r="P58" s="9">
        <f t="shared" si="23"/>
        <v>103005204</v>
      </c>
      <c r="Q58" s="118" t="str">
        <f t="shared" si="3"/>
        <v>ok</v>
      </c>
      <c r="R58" s="9">
        <f>'St. Tammany'!K54</f>
        <v>103005204</v>
      </c>
      <c r="S58" s="9">
        <f>'St. Tammany'!G9</f>
        <v>-24008909</v>
      </c>
      <c r="T58" s="9"/>
      <c r="U58" s="9"/>
      <c r="V58" s="9"/>
      <c r="W58" s="9"/>
      <c r="X58" s="9"/>
      <c r="Y58" s="9">
        <f t="shared" si="20"/>
        <v>-24008909</v>
      </c>
      <c r="Z58" s="9">
        <f>'St. Tammany'!G10</f>
        <v>-19458275</v>
      </c>
      <c r="AA58" s="9">
        <f>'St. Tammany'!G11</f>
        <v>-39608176</v>
      </c>
      <c r="AB58" s="9">
        <f>'St. Tammany'!G15</f>
        <v>-1313786</v>
      </c>
      <c r="AC58" s="9">
        <f>'St. Tammany'!G13</f>
        <v>-10989796</v>
      </c>
      <c r="AD58" s="9">
        <f>'St. Tammany'!G14</f>
        <v>-10762156</v>
      </c>
      <c r="AE58" s="9">
        <f>'St. Tammany'!G16</f>
        <v>-3252376</v>
      </c>
      <c r="AF58" s="9">
        <f>'St. Tammany'!G12</f>
        <v>-889591</v>
      </c>
      <c r="AG58" s="9">
        <f t="shared" si="21"/>
        <v>-86274156</v>
      </c>
      <c r="AH58" s="9">
        <f t="shared" si="24"/>
        <v>-110283065</v>
      </c>
      <c r="AI58" s="118" t="str">
        <f t="shared" si="15"/>
        <v>ok</v>
      </c>
      <c r="AJ58" s="9">
        <f>'St. Tammany'!G18</f>
        <v>-110283065</v>
      </c>
    </row>
    <row r="59" spans="1:485" s="123" customFormat="1" ht="15.75">
      <c r="A59" s="122"/>
      <c r="B59" s="119" t="s">
        <v>691</v>
      </c>
      <c r="C59" s="117">
        <f>Tangipahoa!M25</f>
        <v>6550590</v>
      </c>
      <c r="D59" s="117">
        <f>Tangipahoa!M24+Tangipahoa!M26</f>
        <v>19705155</v>
      </c>
      <c r="E59" s="117"/>
      <c r="F59" s="117">
        <f>Tangipahoa!M27+Tangipahoa!M28</f>
        <v>244011</v>
      </c>
      <c r="G59" s="117">
        <f t="shared" si="18"/>
        <v>26499756</v>
      </c>
      <c r="H59" s="117">
        <f>Tangipahoa!M30</f>
        <v>503884</v>
      </c>
      <c r="I59" s="117"/>
      <c r="J59" s="117"/>
      <c r="K59" s="117"/>
      <c r="L59" s="117">
        <f>Tangipahoa!M36</f>
        <v>-362162</v>
      </c>
      <c r="M59" s="117">
        <f>Tangipahoa!M29+Tangipahoa!M32+Tangipahoa!M33+Tangipahoa!M34++Tangipahoa!M35</f>
        <v>1045664</v>
      </c>
      <c r="N59" s="117">
        <f t="shared" si="19"/>
        <v>1187386</v>
      </c>
      <c r="O59" s="117"/>
      <c r="P59" s="117">
        <f t="shared" si="23"/>
        <v>27687142</v>
      </c>
      <c r="Q59" s="118" t="str">
        <f t="shared" si="3"/>
        <v>ok</v>
      </c>
      <c r="R59" s="117">
        <f>Tangipahoa!M38</f>
        <v>27687142</v>
      </c>
      <c r="S59" s="117">
        <f>Tangipahoa!I8</f>
        <v>-6526544</v>
      </c>
      <c r="T59" s="117"/>
      <c r="U59" s="117"/>
      <c r="V59" s="117"/>
      <c r="W59" s="117"/>
      <c r="X59" s="117"/>
      <c r="Y59" s="117">
        <f t="shared" si="20"/>
        <v>-6526544</v>
      </c>
      <c r="Z59" s="117">
        <f>Tangipahoa!I10</f>
        <v>-3756340</v>
      </c>
      <c r="AA59" s="121">
        <f>Tangipahoa!I11</f>
        <v>-22867919</v>
      </c>
      <c r="AB59" s="117"/>
      <c r="AC59" s="128">
        <f>Tangipahoa!I12</f>
        <v>-3113081</v>
      </c>
      <c r="AD59" s="128">
        <f>Tangipahoa!I9</f>
        <v>-1759244</v>
      </c>
      <c r="AE59" s="128">
        <f>Tangipahoa!I13</f>
        <v>-113612</v>
      </c>
      <c r="AF59" s="117"/>
      <c r="AG59" s="117">
        <f t="shared" si="21"/>
        <v>-31610196</v>
      </c>
      <c r="AH59" s="117">
        <f t="shared" si="24"/>
        <v>-38136740</v>
      </c>
      <c r="AI59" s="118" t="str">
        <f t="shared" si="15"/>
        <v>ok</v>
      </c>
      <c r="AJ59" s="128">
        <f>Tangipahoa!I15</f>
        <v>-38136740</v>
      </c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</row>
    <row r="60" spans="1:485" ht="15.75">
      <c r="A60" s="3"/>
      <c r="B60" s="8" t="s">
        <v>692</v>
      </c>
      <c r="C60" s="9">
        <f>Tensas!M26</f>
        <v>1492974</v>
      </c>
      <c r="D60" s="9">
        <f>Tensas!M27</f>
        <v>1652732</v>
      </c>
      <c r="E60" s="9"/>
      <c r="F60" s="9">
        <f>Tensas!M28</f>
        <v>249703</v>
      </c>
      <c r="G60" s="9">
        <f t="shared" si="18"/>
        <v>3395409</v>
      </c>
      <c r="H60" s="9">
        <f>Tensas!M32</f>
        <v>44564</v>
      </c>
      <c r="I60" s="9"/>
      <c r="J60" s="9"/>
      <c r="K60" s="9"/>
      <c r="L60" s="9"/>
      <c r="M60" s="9">
        <f>Tensas!M29+Tensas!M31+Tensas!M33+Tensas!M34+Tensas!M35+Tensas!M36</f>
        <v>1202891</v>
      </c>
      <c r="N60" s="9">
        <f t="shared" si="19"/>
        <v>1247455</v>
      </c>
      <c r="O60" s="9"/>
      <c r="P60" s="9">
        <f t="shared" si="23"/>
        <v>4642864</v>
      </c>
      <c r="Q60" s="118" t="str">
        <f t="shared" si="3"/>
        <v>ok</v>
      </c>
      <c r="R60" s="9">
        <f>Tensas!M38</f>
        <v>4642864</v>
      </c>
      <c r="S60" s="9"/>
      <c r="T60" s="9">
        <f>Tensas!I10</f>
        <v>-168641</v>
      </c>
      <c r="U60" s="9">
        <f>Tensas!I11</f>
        <v>-341137</v>
      </c>
      <c r="V60" s="9">
        <f>Tensas!I12</f>
        <v>-28953</v>
      </c>
      <c r="W60" s="9">
        <f>Tensas!I13</f>
        <v>-519235</v>
      </c>
      <c r="X60" s="9">
        <f>Tensas!I14</f>
        <v>-604464</v>
      </c>
      <c r="Y60" s="9">
        <f t="shared" si="20"/>
        <v>-1662430</v>
      </c>
      <c r="Z60" s="9">
        <f>Tensas!I15</f>
        <v>-293277</v>
      </c>
      <c r="AA60" s="12">
        <f>Tensas!I16</f>
        <v>-2137142</v>
      </c>
      <c r="AB60" s="9">
        <f>Tensas!I19</f>
        <v>-390386</v>
      </c>
      <c r="AC60" s="9">
        <f>Tensas!I17</f>
        <v>-577960</v>
      </c>
      <c r="AD60" s="9">
        <f>Tensas!I18</f>
        <v>-285685</v>
      </c>
      <c r="AE60" s="9">
        <f>Tensas!I20</f>
        <v>-40653</v>
      </c>
      <c r="AF60" s="9"/>
      <c r="AG60" s="9">
        <f t="shared" si="21"/>
        <v>-3725103</v>
      </c>
      <c r="AH60" s="9">
        <f t="shared" si="24"/>
        <v>-5387533</v>
      </c>
      <c r="AI60" s="118" t="str">
        <f t="shared" si="15"/>
        <v>ok</v>
      </c>
      <c r="AJ60" s="9">
        <f>Tensas!I22</f>
        <v>-5387533</v>
      </c>
    </row>
    <row r="61" spans="1:485" s="123" customFormat="1" ht="15.75">
      <c r="A61" s="122"/>
      <c r="B61" s="124" t="s">
        <v>693</v>
      </c>
      <c r="C61" s="128">
        <f>Terrebonne!M45</f>
        <v>26726303</v>
      </c>
      <c r="D61" s="128">
        <f>Terrebonne!M46+Terrebonne!M47</f>
        <v>46513539</v>
      </c>
      <c r="E61" s="128"/>
      <c r="F61" s="128"/>
      <c r="G61" s="121">
        <f t="shared" si="18"/>
        <v>73239842</v>
      </c>
      <c r="H61" s="128"/>
      <c r="I61" s="128">
        <f>Terrebonne!M50+Terrebonne!M49</f>
        <v>10517811</v>
      </c>
      <c r="J61" s="128"/>
      <c r="K61" s="128"/>
      <c r="L61" s="128">
        <f>Terrebonne!M52</f>
        <v>2675391</v>
      </c>
      <c r="M61" s="128">
        <f>Terrebonne!M51</f>
        <v>532437</v>
      </c>
      <c r="N61" s="121">
        <f t="shared" si="19"/>
        <v>13725639</v>
      </c>
      <c r="O61" s="128"/>
      <c r="P61" s="121">
        <f t="shared" si="23"/>
        <v>86965481</v>
      </c>
      <c r="Q61" s="118" t="str">
        <f t="shared" si="3"/>
        <v>ok</v>
      </c>
      <c r="R61" s="128">
        <f>Terrebonne!M54</f>
        <v>86965481</v>
      </c>
      <c r="S61" s="128">
        <f>Terrebonne!I9</f>
        <v>-22999821</v>
      </c>
      <c r="T61" s="128"/>
      <c r="U61" s="128"/>
      <c r="V61" s="128"/>
      <c r="W61" s="128"/>
      <c r="X61" s="128"/>
      <c r="Y61" s="121">
        <f t="shared" si="20"/>
        <v>-22999821</v>
      </c>
      <c r="Z61" s="128">
        <f>Terrebonne!I10</f>
        <v>-30201770</v>
      </c>
      <c r="AA61" s="128">
        <f>Terrebonne!I11</f>
        <v>-28131936</v>
      </c>
      <c r="AB61" s="128">
        <f>Terrebonne!I16</f>
        <v>-16169215</v>
      </c>
      <c r="AC61" s="244">
        <f>Terrebonne!I12</f>
        <v>-12236783</v>
      </c>
      <c r="AD61" s="244">
        <f>Terrebonne!I13</f>
        <v>-2385729</v>
      </c>
      <c r="AE61" s="244">
        <f>Terrebonne!I18</f>
        <v>-4928181</v>
      </c>
      <c r="AF61" s="128">
        <f>Terrebonne!I14+Terrebonne!I15+Terrebonne!I17</f>
        <v>-1336637</v>
      </c>
      <c r="AG61" s="121">
        <f t="shared" si="21"/>
        <v>-95390251</v>
      </c>
      <c r="AH61" s="128">
        <f>SUM(AG61, Y61)</f>
        <v>-118390072</v>
      </c>
      <c r="AI61" s="118" t="str">
        <f t="shared" si="15"/>
        <v>ok</v>
      </c>
      <c r="AJ61" s="244">
        <f>Terrebonne!I20</f>
        <v>-118390072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</row>
    <row r="62" spans="1:485" ht="15.75">
      <c r="A62" s="3"/>
      <c r="B62" s="8" t="s">
        <v>694</v>
      </c>
      <c r="C62" s="9">
        <f>Union!M22+Union!M23+Union!M24+Union!M25</f>
        <v>3186071</v>
      </c>
      <c r="D62" s="9">
        <f>Union!M26</f>
        <v>2448065</v>
      </c>
      <c r="E62" s="9"/>
      <c r="F62" s="9">
        <f>Union!M27</f>
        <v>24678</v>
      </c>
      <c r="G62" s="9">
        <f t="shared" si="18"/>
        <v>5658814</v>
      </c>
      <c r="H62" s="9"/>
      <c r="I62" s="9">
        <f>Union!M28</f>
        <v>963168</v>
      </c>
      <c r="J62" s="9"/>
      <c r="K62" s="9"/>
      <c r="L62" s="9">
        <f>Union!M31</f>
        <v>1611</v>
      </c>
      <c r="M62" s="9">
        <f>Union!M29+Union!M30+Union!M32</f>
        <v>409454</v>
      </c>
      <c r="N62" s="9">
        <f t="shared" si="19"/>
        <v>1374233</v>
      </c>
      <c r="O62" s="9"/>
      <c r="P62" s="9">
        <f t="shared" si="23"/>
        <v>7033047</v>
      </c>
      <c r="Q62" s="118" t="str">
        <f t="shared" si="3"/>
        <v>ok</v>
      </c>
      <c r="R62" s="9">
        <f>Union!M34</f>
        <v>7033047</v>
      </c>
      <c r="S62" s="9">
        <f>Union!I8</f>
        <v>-2049624</v>
      </c>
      <c r="T62" s="9"/>
      <c r="U62" s="9"/>
      <c r="V62" s="9"/>
      <c r="W62" s="9"/>
      <c r="X62" s="9"/>
      <c r="Y62" s="9">
        <f t="shared" si="20"/>
        <v>-2049624</v>
      </c>
      <c r="Z62" s="9">
        <f>Union!I9</f>
        <v>-4377482</v>
      </c>
      <c r="AA62" s="9">
        <f>Union!I10+Union!I14</f>
        <v>-5851182</v>
      </c>
      <c r="AB62" s="9">
        <f>Union!I13</f>
        <v>-54593</v>
      </c>
      <c r="AC62" s="9">
        <f>Union!I11</f>
        <v>-1861820</v>
      </c>
      <c r="AD62" s="9">
        <f>Union!I12</f>
        <v>-448971</v>
      </c>
      <c r="AE62" s="9">
        <f>Union!I15</f>
        <v>-21200</v>
      </c>
      <c r="AF62" s="9">
        <f>Union!I16</f>
        <v>-233477</v>
      </c>
      <c r="AG62" s="9">
        <f t="shared" si="21"/>
        <v>-12848725</v>
      </c>
      <c r="AH62" s="9">
        <f t="shared" ref="AH62:AH70" si="25">SUM(AG62,Y62)</f>
        <v>-14898349</v>
      </c>
      <c r="AI62" s="118" t="str">
        <f t="shared" si="15"/>
        <v>ok</v>
      </c>
      <c r="AJ62" s="9">
        <f>Union!I18</f>
        <v>-14898349</v>
      </c>
    </row>
    <row r="63" spans="1:485" s="123" customFormat="1" ht="15.75">
      <c r="A63" s="122"/>
      <c r="B63" s="120" t="s">
        <v>695</v>
      </c>
      <c r="C63" s="121">
        <f>Vermilion!M29+Vermilion!M30</f>
        <v>5888400</v>
      </c>
      <c r="D63" s="121">
        <f>Vermilion!M31+Vermilion!M33</f>
        <v>12617250</v>
      </c>
      <c r="E63" s="121"/>
      <c r="F63" s="121">
        <f>Vermilion!M32+Vermilion!M34</f>
        <v>996373</v>
      </c>
      <c r="G63" s="121">
        <f t="shared" si="18"/>
        <v>19502023</v>
      </c>
      <c r="H63" s="121">
        <f>Vermilion!M36</f>
        <v>364486</v>
      </c>
      <c r="I63" s="121">
        <f>Vermilion!M37</f>
        <v>238229</v>
      </c>
      <c r="J63" s="121"/>
      <c r="K63" s="121"/>
      <c r="L63" s="121">
        <f>Vermilion!M44</f>
        <v>-440000</v>
      </c>
      <c r="M63" s="121">
        <f>Vermilion!M38+Vermilion!M39+Vermilion!M40+Vermilion!M41+Vermilion!M42+Vermilion!M43</f>
        <v>-49535</v>
      </c>
      <c r="N63" s="121">
        <f t="shared" si="19"/>
        <v>113180</v>
      </c>
      <c r="O63" s="121"/>
      <c r="P63" s="121">
        <f t="shared" si="23"/>
        <v>19615203</v>
      </c>
      <c r="Q63" s="118" t="str">
        <f t="shared" si="3"/>
        <v>ok</v>
      </c>
      <c r="R63" s="121">
        <f>Vermilion!M46</f>
        <v>19615203</v>
      </c>
      <c r="S63" s="121">
        <f>Vermilion!I10</f>
        <v>-3824064</v>
      </c>
      <c r="T63" s="121"/>
      <c r="U63" s="121"/>
      <c r="V63" s="121"/>
      <c r="W63" s="121"/>
      <c r="X63" s="121"/>
      <c r="Y63" s="121">
        <f t="shared" si="20"/>
        <v>-3824064</v>
      </c>
      <c r="Z63" s="121">
        <f>Vermilion!I12</f>
        <v>-3405434</v>
      </c>
      <c r="AA63" s="121">
        <f>Vermilion!I11</f>
        <v>-11157407</v>
      </c>
      <c r="AB63" s="121">
        <f>Vermilion!I15</f>
        <v>-179403</v>
      </c>
      <c r="AC63" s="121">
        <f>Vermilion!I14</f>
        <v>-1718417</v>
      </c>
      <c r="AD63" s="121">
        <f>Vermilion!I16</f>
        <v>-101372</v>
      </c>
      <c r="AE63" s="121">
        <f>Vermilion!I17</f>
        <v>-82753</v>
      </c>
      <c r="AF63" s="121">
        <f>Vermilion!I13</f>
        <v>-5660129</v>
      </c>
      <c r="AG63" s="121">
        <f t="shared" si="21"/>
        <v>-22304915</v>
      </c>
      <c r="AH63" s="121">
        <f t="shared" si="25"/>
        <v>-26128979</v>
      </c>
      <c r="AI63" s="118" t="str">
        <f t="shared" si="15"/>
        <v>ok</v>
      </c>
      <c r="AJ63" s="121">
        <f>Vermilion!I19</f>
        <v>-26128979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</row>
    <row r="64" spans="1:485" ht="15.75">
      <c r="A64" s="3"/>
      <c r="B64" s="8" t="s">
        <v>696</v>
      </c>
      <c r="C64" s="9">
        <f>Vernon!M25+Vernon!M26</f>
        <v>5322717</v>
      </c>
      <c r="D64" s="9">
        <f>Vernon!M27</f>
        <v>8659295</v>
      </c>
      <c r="E64" s="9"/>
      <c r="F64" s="9"/>
      <c r="G64" s="9">
        <f t="shared" si="18"/>
        <v>13982012</v>
      </c>
      <c r="H64" s="9"/>
      <c r="I64" s="9"/>
      <c r="J64" s="9">
        <f>Vernon!M30</f>
        <v>2051064</v>
      </c>
      <c r="K64" s="9">
        <f>Vernon!M29</f>
        <v>1450058</v>
      </c>
      <c r="M64" s="9">
        <f>Vernon!M31+Vernon!M32</f>
        <v>3446920</v>
      </c>
      <c r="N64" s="9">
        <f t="shared" si="19"/>
        <v>6948042</v>
      </c>
      <c r="O64" s="9"/>
      <c r="P64" s="9">
        <f t="shared" si="23"/>
        <v>20930054</v>
      </c>
      <c r="Q64" s="118" t="str">
        <f t="shared" si="3"/>
        <v>ok</v>
      </c>
      <c r="R64" s="9">
        <f>Vernon!M34</f>
        <v>20930054</v>
      </c>
      <c r="S64" s="9"/>
      <c r="T64" s="9">
        <f>Vernon!I9</f>
        <v>-534105</v>
      </c>
      <c r="U64" s="9">
        <f>Vernon!I10</f>
        <v>-1647975</v>
      </c>
      <c r="V64" s="9">
        <f>Vernon!I11</f>
        <v>-51780</v>
      </c>
      <c r="W64" s="9">
        <f>Vernon!I12</f>
        <v>-4195643</v>
      </c>
      <c r="X64" s="9">
        <f>Vernon!I13</f>
        <v>-2512216</v>
      </c>
      <c r="Y64" s="9">
        <f t="shared" si="20"/>
        <v>-8941719</v>
      </c>
      <c r="Z64" s="9">
        <f>Vernon!I14</f>
        <v>-2473429</v>
      </c>
      <c r="AA64" s="9">
        <f>Vernon!I15</f>
        <v>-9592270</v>
      </c>
      <c r="AB64" s="9">
        <f>Vernon!I18</f>
        <v>-1037255</v>
      </c>
      <c r="AC64" s="9">
        <f>Vernon!I16</f>
        <v>-926148</v>
      </c>
      <c r="AD64" s="9">
        <f>Vernon!I17</f>
        <v>-2002736</v>
      </c>
      <c r="AE64" s="9">
        <f>Vernon!I19</f>
        <v>-392394</v>
      </c>
      <c r="AF64" s="9"/>
      <c r="AG64" s="9">
        <f t="shared" si="21"/>
        <v>-16424232</v>
      </c>
      <c r="AH64" s="9">
        <f t="shared" si="25"/>
        <v>-25365951</v>
      </c>
      <c r="AI64" s="118" t="str">
        <f t="shared" si="15"/>
        <v>ok</v>
      </c>
      <c r="AJ64" s="9">
        <f>Vernon!I21</f>
        <v>-25365951</v>
      </c>
    </row>
    <row r="65" spans="1:485" s="123" customFormat="1" ht="15.75">
      <c r="A65" s="122"/>
      <c r="B65" s="151" t="s">
        <v>697</v>
      </c>
      <c r="C65" s="152">
        <f>Washington!M27</f>
        <v>4740357</v>
      </c>
      <c r="D65" s="141">
        <f>Washington!M28</f>
        <v>6238502</v>
      </c>
      <c r="E65" s="141"/>
      <c r="F65" s="141">
        <f>Washington!M30+Washington!M31+Washington!M32</f>
        <v>192752</v>
      </c>
      <c r="G65" s="141">
        <f t="shared" si="18"/>
        <v>11171611</v>
      </c>
      <c r="H65" s="141">
        <f>Washington!M29</f>
        <v>222646</v>
      </c>
      <c r="I65" s="141"/>
      <c r="J65" s="141"/>
      <c r="K65" s="141"/>
      <c r="L65" s="141"/>
      <c r="M65" s="141">
        <f>Washington!M33+Washington!M34+Washington!M35+Washington!M36+Washington!M37</f>
        <v>717755</v>
      </c>
      <c r="N65" s="141">
        <f t="shared" si="19"/>
        <v>940401</v>
      </c>
      <c r="O65" s="141"/>
      <c r="P65" s="141">
        <f t="shared" si="23"/>
        <v>12112012</v>
      </c>
      <c r="Q65" s="118" t="str">
        <f t="shared" si="3"/>
        <v>ok</v>
      </c>
      <c r="R65" s="141">
        <f>Washington!M39</f>
        <v>12112012</v>
      </c>
      <c r="S65" s="141">
        <f>Washington!I8</f>
        <v>-3943059</v>
      </c>
      <c r="T65" s="141"/>
      <c r="U65" s="141"/>
      <c r="V65" s="141"/>
      <c r="W65" s="141"/>
      <c r="X65" s="141"/>
      <c r="Y65" s="141">
        <f t="shared" si="20"/>
        <v>-3943059</v>
      </c>
      <c r="Z65" s="141">
        <f>Washington!I9</f>
        <v>-1167749</v>
      </c>
      <c r="AA65" s="141">
        <f>Washington!I10</f>
        <v>-4298021</v>
      </c>
      <c r="AB65" s="141"/>
      <c r="AC65" s="141">
        <f>Washington!I11</f>
        <v>-596346</v>
      </c>
      <c r="AD65" s="141">
        <f>Washington!I12</f>
        <v>-972826</v>
      </c>
      <c r="AE65" s="141">
        <f>Washington!I15</f>
        <v>-171735</v>
      </c>
      <c r="AF65" s="141">
        <f>Washington!I13+Washington!I14</f>
        <v>-933565</v>
      </c>
      <c r="AG65" s="141">
        <f t="shared" si="21"/>
        <v>-8140242</v>
      </c>
      <c r="AH65" s="141">
        <f t="shared" si="25"/>
        <v>-12083301</v>
      </c>
      <c r="AI65" s="118" t="str">
        <f t="shared" si="15"/>
        <v>ok</v>
      </c>
      <c r="AJ65" s="141">
        <f>Washington!I17</f>
        <v>-12083301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</row>
    <row r="66" spans="1:485" ht="15.75">
      <c r="A66" s="3"/>
      <c r="B66" s="8" t="s">
        <v>698</v>
      </c>
      <c r="C66" s="9">
        <f>Webster!M31+Webster!M32</f>
        <v>5575460</v>
      </c>
      <c r="D66" s="9">
        <f>Webster!M33</f>
        <v>3226199</v>
      </c>
      <c r="E66" s="9"/>
      <c r="F66" s="9">
        <f>Webster!M35</f>
        <v>1132148</v>
      </c>
      <c r="G66" s="9">
        <f t="shared" si="18"/>
        <v>9933807</v>
      </c>
      <c r="H66" s="9">
        <f>Webster!M34</f>
        <v>258818</v>
      </c>
      <c r="I66" s="9">
        <f>Webster!M36</f>
        <v>403360</v>
      </c>
      <c r="J66" s="9"/>
      <c r="K66" s="9"/>
      <c r="L66" s="9"/>
      <c r="M66" s="9">
        <f>Webster!M37+Webster!M38+Webster!M39+Webster!M40</f>
        <v>1772771</v>
      </c>
      <c r="N66" s="9">
        <f t="shared" si="19"/>
        <v>2434949</v>
      </c>
      <c r="O66" s="9"/>
      <c r="P66" s="9">
        <f t="shared" si="23"/>
        <v>12368756</v>
      </c>
      <c r="Q66" s="118" t="str">
        <f t="shared" si="3"/>
        <v>ok</v>
      </c>
      <c r="R66" s="9">
        <f>Webster!M42</f>
        <v>12368756</v>
      </c>
      <c r="S66" s="9"/>
      <c r="T66" s="9">
        <f>Webster!I9</f>
        <v>-254822</v>
      </c>
      <c r="U66" s="9">
        <f>Webster!I10</f>
        <v>-1694896</v>
      </c>
      <c r="V66" s="9">
        <f>Webster!I11</f>
        <v>-44592</v>
      </c>
      <c r="W66" s="9">
        <f>Webster!I12</f>
        <v>-1147510</v>
      </c>
      <c r="X66" s="9">
        <f>Webster!I13</f>
        <v>-669753</v>
      </c>
      <c r="Y66" s="9">
        <f t="shared" si="20"/>
        <v>-3811573</v>
      </c>
      <c r="Z66" s="9">
        <f>Webster!I14</f>
        <v>-2033932</v>
      </c>
      <c r="AA66" s="9">
        <f>Webster!I15</f>
        <v>-2616387</v>
      </c>
      <c r="AB66" s="9">
        <f>Webster!I18</f>
        <v>-37713</v>
      </c>
      <c r="AC66" s="9">
        <f>Webster!I16</f>
        <v>-1022670</v>
      </c>
      <c r="AD66" s="9">
        <f>Webster!I17</f>
        <v>-2509130</v>
      </c>
      <c r="AE66" s="9">
        <f>Webster!I19</f>
        <v>-27114</v>
      </c>
      <c r="AF66" s="9"/>
      <c r="AG66" s="9">
        <f t="shared" si="21"/>
        <v>-8246946</v>
      </c>
      <c r="AH66" s="9">
        <f t="shared" si="25"/>
        <v>-12058519</v>
      </c>
      <c r="AI66" s="118" t="str">
        <f t="shared" ref="AI66:AI70" si="26">IF(AH66=AJ66,"ok","check")</f>
        <v>ok</v>
      </c>
      <c r="AJ66" s="9">
        <f>Webster!I21</f>
        <v>-12058519</v>
      </c>
    </row>
    <row r="67" spans="1:485" s="123" customFormat="1" ht="15.75">
      <c r="A67" s="122"/>
      <c r="B67" s="120" t="s">
        <v>699</v>
      </c>
      <c r="C67" s="153">
        <f>'[1]West Baton Rouge'!L22</f>
        <v>8631888</v>
      </c>
      <c r="D67" s="121">
        <f>'[1]West Baton Rouge'!L23+'[1]West Baton Rouge'!L24</f>
        <v>12335920</v>
      </c>
      <c r="E67" s="121"/>
      <c r="F67" s="121">
        <f>'[1]West Baton Rouge'!L25</f>
        <v>20735</v>
      </c>
      <c r="G67" s="121">
        <f t="shared" si="18"/>
        <v>20988543</v>
      </c>
      <c r="H67" s="121"/>
      <c r="I67" s="121"/>
      <c r="J67" s="121"/>
      <c r="K67" s="121"/>
      <c r="L67" s="121"/>
      <c r="M67" s="121">
        <f>'[1]West Baton Rouge'!L26+'[1]West Baton Rouge'!L27+'[1]West Baton Rouge'!L28+'[1]West Baton Rouge'!L29</f>
        <v>1757172</v>
      </c>
      <c r="N67" s="121">
        <f t="shared" si="19"/>
        <v>1757172</v>
      </c>
      <c r="O67" s="121"/>
      <c r="P67" s="121">
        <f t="shared" si="23"/>
        <v>22745715</v>
      </c>
      <c r="Q67" s="118" t="str">
        <f t="shared" si="3"/>
        <v>ok</v>
      </c>
      <c r="R67" s="121">
        <f>'[1]West Baton Rouge'!L31</f>
        <v>22745715</v>
      </c>
      <c r="S67" s="121">
        <f>'[1]West Baton Rouge'!I9</f>
        <v>-6083044</v>
      </c>
      <c r="T67" s="121"/>
      <c r="U67" s="121"/>
      <c r="V67" s="121"/>
      <c r="W67" s="121"/>
      <c r="X67" s="121"/>
      <c r="Y67" s="121">
        <f t="shared" si="20"/>
        <v>-6083044</v>
      </c>
      <c r="Z67" s="121">
        <f>'[1]West Baton Rouge'!I10</f>
        <v>-7164567</v>
      </c>
      <c r="AA67" s="121">
        <f>'[1]West Baton Rouge'!I11</f>
        <v>-8042557</v>
      </c>
      <c r="AB67" s="121">
        <f>'[1]West Baton Rouge'!I14</f>
        <v>-110747</v>
      </c>
      <c r="AC67" s="121">
        <f>'[1]West Baton Rouge'!I13</f>
        <v>-1678495</v>
      </c>
      <c r="AD67" s="121">
        <f>'[1]West Baton Rouge'!I12</f>
        <v>-2737565</v>
      </c>
      <c r="AE67" s="121">
        <f>'[1]West Baton Rouge'!I16</f>
        <v>-156132</v>
      </c>
      <c r="AF67" s="121">
        <f>'[1]West Baton Rouge'!I15</f>
        <v>-330153</v>
      </c>
      <c r="AG67" s="121">
        <f t="shared" si="21"/>
        <v>-20220216</v>
      </c>
      <c r="AH67" s="121">
        <f t="shared" si="25"/>
        <v>-26303260</v>
      </c>
      <c r="AI67" s="118" t="str">
        <f t="shared" si="26"/>
        <v>ok</v>
      </c>
      <c r="AJ67" s="121">
        <f>'[1]West Baton Rouge'!I18</f>
        <v>-26303260</v>
      </c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</row>
    <row r="68" spans="1:485" ht="15.75">
      <c r="A68" s="3"/>
      <c r="B68" s="8" t="s">
        <v>700</v>
      </c>
      <c r="C68" s="9">
        <f>'[1]West Carroll'!M20+'[1]West Carroll'!M21</f>
        <v>989244</v>
      </c>
      <c r="D68" s="9">
        <f>'[1]West Carroll'!M23+'[1]West Carroll'!M24</f>
        <v>2563840</v>
      </c>
      <c r="E68" s="9"/>
      <c r="F68" s="9"/>
      <c r="G68" s="9">
        <f t="shared" si="18"/>
        <v>3553084</v>
      </c>
      <c r="H68" s="9"/>
      <c r="I68" s="9">
        <f>'[1]West Carroll'!M25</f>
        <v>700435</v>
      </c>
      <c r="J68" s="9"/>
      <c r="K68" s="9"/>
      <c r="L68" s="9"/>
      <c r="M68" s="9">
        <f>'[1]West Carroll'!M26+'[1]West Carroll'!M27</f>
        <v>852815</v>
      </c>
      <c r="N68" s="9">
        <f t="shared" si="19"/>
        <v>1553250</v>
      </c>
      <c r="O68" s="9"/>
      <c r="P68" s="9">
        <f t="shared" si="23"/>
        <v>5106334</v>
      </c>
      <c r="Q68" s="118" t="str">
        <f t="shared" si="3"/>
        <v>ok</v>
      </c>
      <c r="R68" s="9">
        <f>'[1]West Carroll'!M29</f>
        <v>5106334</v>
      </c>
      <c r="S68" s="9">
        <f>'[1]West Carroll'!I7</f>
        <v>-810475</v>
      </c>
      <c r="T68" s="9"/>
      <c r="U68" s="9"/>
      <c r="V68" s="9"/>
      <c r="W68" s="9"/>
      <c r="X68" s="9"/>
      <c r="Y68" s="9">
        <f t="shared" si="20"/>
        <v>-810475</v>
      </c>
      <c r="Z68" s="9">
        <f>'[1]West Carroll'!I8</f>
        <v>-502093</v>
      </c>
      <c r="AA68" s="9">
        <f>'[1]West Carroll'!I9+'[1]West Carroll'!I13</f>
        <v>-4216615</v>
      </c>
      <c r="AB68" s="9">
        <f>'[1]West Carroll'!I12</f>
        <v>-142390</v>
      </c>
      <c r="AC68" s="9">
        <f>'[1]West Carroll'!I10</f>
        <v>-2885350</v>
      </c>
      <c r="AD68" s="9">
        <f>'[1]West Carroll'!I11</f>
        <v>-3425</v>
      </c>
      <c r="AE68" s="9"/>
      <c r="AF68" s="9"/>
      <c r="AG68" s="9">
        <f t="shared" si="21"/>
        <v>-7749873</v>
      </c>
      <c r="AH68" s="9">
        <f t="shared" si="25"/>
        <v>-8560348</v>
      </c>
      <c r="AI68" s="118" t="str">
        <f t="shared" si="26"/>
        <v>ok</v>
      </c>
      <c r="AJ68" s="9">
        <f>'[1]West Carroll'!I15</f>
        <v>-8560348</v>
      </c>
    </row>
    <row r="69" spans="1:485" s="137" customFormat="1" ht="15.75">
      <c r="A69" s="135"/>
      <c r="B69" s="124" t="s">
        <v>701</v>
      </c>
      <c r="C69" s="128">
        <f>'West Feliciana'!M35</f>
        <v>118927</v>
      </c>
      <c r="D69" s="154">
        <f>'West Feliciana'!M36+'West Feliciana'!M37</f>
        <v>873117</v>
      </c>
      <c r="E69" s="128"/>
      <c r="F69" s="128">
        <f>'West Feliciana'!M38+'West Feliciana'!M39</f>
        <v>57167</v>
      </c>
      <c r="G69" s="128">
        <f t="shared" si="18"/>
        <v>1049211</v>
      </c>
      <c r="H69" s="128"/>
      <c r="I69" s="128"/>
      <c r="J69" s="128"/>
      <c r="K69" s="128"/>
      <c r="L69" s="128">
        <f>'West Feliciana'!M40</f>
        <v>-14108</v>
      </c>
      <c r="M69" s="128"/>
      <c r="N69" s="121">
        <f t="shared" si="19"/>
        <v>-14108</v>
      </c>
      <c r="O69" s="128"/>
      <c r="P69" s="121">
        <f t="shared" si="23"/>
        <v>1035103</v>
      </c>
      <c r="Q69" s="118" t="str">
        <f t="shared" si="3"/>
        <v>ok</v>
      </c>
      <c r="R69" s="128">
        <f>'West Feliciana'!M42</f>
        <v>1035103</v>
      </c>
      <c r="S69" s="128">
        <f>'West Feliciana'!I9</f>
        <v>-1039304</v>
      </c>
      <c r="T69" s="128"/>
      <c r="U69" s="128"/>
      <c r="V69" s="128"/>
      <c r="W69" s="128"/>
      <c r="X69" s="128"/>
      <c r="Y69" s="121">
        <f t="shared" si="20"/>
        <v>-1039304</v>
      </c>
      <c r="Z69" s="128">
        <f>'West Feliciana'!I13</f>
        <v>-122258</v>
      </c>
      <c r="AA69" s="128">
        <f>'West Feliciana'!I14</f>
        <v>-1711425</v>
      </c>
      <c r="AB69" s="128">
        <f>'West Feliciana'!I11</f>
        <v>-106919</v>
      </c>
      <c r="AC69" s="128">
        <f>'West Feliciana'!I12</f>
        <v>-195029</v>
      </c>
      <c r="AD69" s="128">
        <f>'West Feliciana'!I10</f>
        <v>-724535</v>
      </c>
      <c r="AE69" s="128">
        <f>'West Feliciana'!I15</f>
        <v>-45832</v>
      </c>
      <c r="AF69" s="128"/>
      <c r="AG69" s="121">
        <f t="shared" si="21"/>
        <v>-2905998</v>
      </c>
      <c r="AH69" s="121">
        <f t="shared" si="25"/>
        <v>-3945302</v>
      </c>
      <c r="AI69" s="118" t="str">
        <f t="shared" si="26"/>
        <v>ok</v>
      </c>
      <c r="AJ69" s="128">
        <f>'West Feliciana'!I17</f>
        <v>-3945302</v>
      </c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2"/>
      <c r="CD69" s="132"/>
      <c r="CE69" s="132"/>
      <c r="CF69" s="132"/>
      <c r="CG69" s="132"/>
      <c r="CH69" s="132"/>
      <c r="CI69" s="132"/>
      <c r="CJ69" s="132"/>
      <c r="CK69" s="132"/>
      <c r="CL69" s="132"/>
      <c r="CM69" s="132"/>
      <c r="CN69" s="132"/>
      <c r="CO69" s="132"/>
      <c r="CP69" s="132"/>
      <c r="CQ69" s="132"/>
      <c r="CR69" s="132"/>
      <c r="CS69" s="132"/>
      <c r="CT69" s="132"/>
      <c r="CU69" s="132"/>
      <c r="CV69" s="132"/>
      <c r="CW69" s="132"/>
      <c r="CX69" s="132"/>
      <c r="CY69" s="132"/>
      <c r="CZ69" s="132"/>
      <c r="DA69" s="132"/>
      <c r="DB69" s="132"/>
      <c r="DC69" s="132"/>
      <c r="DD69" s="132"/>
      <c r="DE69" s="132"/>
      <c r="DF69" s="132"/>
      <c r="DG69" s="132"/>
      <c r="DH69" s="132"/>
      <c r="DI69" s="132"/>
      <c r="DJ69" s="132"/>
      <c r="DK69" s="132"/>
      <c r="DL69" s="132"/>
      <c r="DM69" s="132"/>
      <c r="DN69" s="132"/>
      <c r="DO69" s="132"/>
      <c r="DP69" s="132"/>
      <c r="DQ69" s="132"/>
      <c r="DR69" s="132"/>
      <c r="DS69" s="132"/>
      <c r="DT69" s="132"/>
      <c r="DU69" s="132"/>
      <c r="DV69" s="132"/>
      <c r="DW69" s="132"/>
      <c r="DX69" s="132"/>
      <c r="DY69" s="132"/>
      <c r="DZ69" s="132"/>
      <c r="EA69" s="132"/>
      <c r="EB69" s="132"/>
      <c r="EC69" s="132"/>
      <c r="ED69" s="132"/>
      <c r="EE69" s="132"/>
      <c r="EF69" s="132"/>
      <c r="EG69" s="132"/>
      <c r="EH69" s="132"/>
      <c r="EI69" s="132"/>
      <c r="EJ69" s="132"/>
      <c r="EK69" s="132"/>
      <c r="EL69" s="132"/>
      <c r="EM69" s="132"/>
      <c r="EN69" s="132"/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/>
      <c r="FB69" s="132"/>
      <c r="FC69" s="132"/>
      <c r="FD69" s="132"/>
      <c r="FE69" s="132"/>
      <c r="FF69" s="132"/>
      <c r="FG69" s="132"/>
      <c r="FH69" s="132"/>
      <c r="FI69" s="132"/>
      <c r="FJ69" s="132"/>
      <c r="FK69" s="132"/>
      <c r="FL69" s="132"/>
      <c r="FM69" s="132"/>
      <c r="FN69" s="132"/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/>
      <c r="GB69" s="132"/>
      <c r="GC69" s="132"/>
      <c r="GD69" s="132"/>
      <c r="GE69" s="132"/>
      <c r="GF69" s="132"/>
      <c r="GG69" s="132"/>
      <c r="GH69" s="132"/>
      <c r="GI69" s="132"/>
      <c r="GJ69" s="132"/>
      <c r="GK69" s="132"/>
      <c r="GL69" s="132"/>
      <c r="GM69" s="132"/>
      <c r="GN69" s="132"/>
      <c r="GO69" s="132"/>
      <c r="GP69" s="132"/>
      <c r="GQ69" s="132"/>
      <c r="GR69" s="132"/>
      <c r="GS69" s="132"/>
      <c r="GT69" s="132"/>
      <c r="GU69" s="132"/>
      <c r="GV69" s="132"/>
      <c r="GW69" s="132"/>
      <c r="GX69" s="132"/>
      <c r="GY69" s="132"/>
      <c r="GZ69" s="132"/>
      <c r="HA69" s="132"/>
      <c r="HB69" s="132"/>
      <c r="HC69" s="132"/>
      <c r="HD69" s="132"/>
      <c r="HE69" s="132"/>
      <c r="HF69" s="132"/>
      <c r="HG69" s="132"/>
      <c r="HH69" s="132"/>
      <c r="HI69" s="132"/>
      <c r="HJ69" s="132"/>
      <c r="HK69" s="132"/>
      <c r="HL69" s="132"/>
      <c r="HM69" s="132"/>
      <c r="HN69" s="132"/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/>
      <c r="IB69" s="132"/>
      <c r="IC69" s="132"/>
      <c r="ID69" s="132"/>
      <c r="IE69" s="132"/>
      <c r="IF69" s="132"/>
      <c r="IG69" s="132"/>
      <c r="IH69" s="132"/>
      <c r="II69" s="132"/>
      <c r="IJ69" s="132"/>
      <c r="IK69" s="132"/>
      <c r="IL69" s="132"/>
      <c r="IM69" s="132"/>
      <c r="IN69" s="132"/>
      <c r="IO69" s="132"/>
      <c r="IP69" s="132"/>
      <c r="IQ69" s="132"/>
      <c r="IR69" s="132"/>
      <c r="IS69" s="132"/>
      <c r="IT69" s="132"/>
      <c r="IU69" s="132"/>
      <c r="IV69" s="132"/>
      <c r="IW69" s="132"/>
      <c r="IX69" s="132"/>
      <c r="IY69" s="132"/>
      <c r="IZ69" s="132"/>
      <c r="JA69" s="132"/>
      <c r="JB69" s="132"/>
      <c r="JC69" s="132"/>
      <c r="JD69" s="132"/>
      <c r="JE69" s="132"/>
      <c r="JF69" s="132"/>
      <c r="JG69" s="132"/>
      <c r="JH69" s="132"/>
      <c r="JI69" s="132"/>
      <c r="JJ69" s="132"/>
      <c r="JK69" s="132"/>
      <c r="JL69" s="132"/>
      <c r="JM69" s="132"/>
      <c r="JN69" s="132"/>
      <c r="JO69" s="132"/>
      <c r="JP69" s="132"/>
      <c r="JQ69" s="132"/>
      <c r="JR69" s="132"/>
      <c r="JS69" s="132"/>
      <c r="JT69" s="132"/>
      <c r="JU69" s="132"/>
      <c r="JV69" s="132"/>
      <c r="JW69" s="132"/>
      <c r="JX69" s="132"/>
      <c r="JY69" s="132"/>
      <c r="JZ69" s="132"/>
      <c r="KA69" s="132"/>
      <c r="KB69" s="132"/>
      <c r="KC69" s="132"/>
      <c r="KD69" s="132"/>
      <c r="KE69" s="132"/>
      <c r="KF69" s="132"/>
      <c r="KG69" s="132"/>
      <c r="KH69" s="132"/>
      <c r="KI69" s="132"/>
      <c r="KJ69" s="132"/>
      <c r="KK69" s="132"/>
      <c r="KL69" s="132"/>
      <c r="KM69" s="132"/>
      <c r="KN69" s="132"/>
      <c r="KO69" s="132"/>
      <c r="KP69" s="132"/>
      <c r="KQ69" s="132"/>
      <c r="KR69" s="132"/>
      <c r="KS69" s="132"/>
      <c r="KT69" s="132"/>
      <c r="KU69" s="132"/>
      <c r="KV69" s="132"/>
      <c r="KW69" s="132"/>
      <c r="KX69" s="132"/>
      <c r="KY69" s="132"/>
      <c r="KZ69" s="132"/>
      <c r="LA69" s="132"/>
      <c r="LB69" s="132"/>
      <c r="LC69" s="132"/>
      <c r="LD69" s="132"/>
      <c r="LE69" s="132"/>
      <c r="LF69" s="132"/>
      <c r="LG69" s="132"/>
      <c r="LH69" s="132"/>
      <c r="LI69" s="132"/>
      <c r="LJ69" s="132"/>
      <c r="LK69" s="132"/>
      <c r="LL69" s="132"/>
      <c r="LM69" s="132"/>
      <c r="LN69" s="132"/>
      <c r="LO69" s="132"/>
      <c r="LP69" s="132"/>
      <c r="LQ69" s="132"/>
      <c r="LR69" s="132"/>
      <c r="LS69" s="132"/>
      <c r="LT69" s="132"/>
      <c r="LU69" s="132"/>
      <c r="LV69" s="132"/>
      <c r="LW69" s="132"/>
      <c r="LX69" s="132"/>
      <c r="LY69" s="132"/>
      <c r="LZ69" s="132"/>
      <c r="MA69" s="132"/>
      <c r="MB69" s="132"/>
      <c r="MC69" s="132"/>
      <c r="MD69" s="132"/>
      <c r="ME69" s="132"/>
      <c r="MF69" s="132"/>
      <c r="MG69" s="132"/>
      <c r="MH69" s="132"/>
      <c r="MI69" s="132"/>
      <c r="MJ69" s="132"/>
      <c r="MK69" s="132"/>
      <c r="ML69" s="132"/>
      <c r="MM69" s="132"/>
      <c r="MN69" s="132"/>
      <c r="MO69" s="132"/>
      <c r="MP69" s="132"/>
      <c r="MQ69" s="132"/>
      <c r="MR69" s="132"/>
      <c r="MS69" s="132"/>
      <c r="MT69" s="132"/>
      <c r="MU69" s="132"/>
      <c r="MV69" s="132"/>
      <c r="MW69" s="132"/>
      <c r="MX69" s="132"/>
      <c r="MY69" s="132"/>
      <c r="MZ69" s="132"/>
      <c r="NA69" s="132"/>
      <c r="NB69" s="132"/>
      <c r="NC69" s="132"/>
      <c r="ND69" s="132"/>
      <c r="NE69" s="132"/>
      <c r="NF69" s="132"/>
      <c r="NG69" s="132"/>
      <c r="NH69" s="132"/>
      <c r="NI69" s="132"/>
      <c r="NJ69" s="132"/>
      <c r="NK69" s="132"/>
      <c r="NL69" s="132"/>
      <c r="NM69" s="132"/>
      <c r="NN69" s="132"/>
      <c r="NO69" s="132"/>
      <c r="NP69" s="132"/>
      <c r="NQ69" s="132"/>
      <c r="NR69" s="132"/>
      <c r="NS69" s="132"/>
      <c r="NT69" s="132"/>
      <c r="NU69" s="132"/>
      <c r="NV69" s="132"/>
      <c r="NW69" s="132"/>
      <c r="NX69" s="132"/>
      <c r="NY69" s="132"/>
      <c r="NZ69" s="132"/>
      <c r="OA69" s="132"/>
      <c r="OB69" s="132"/>
      <c r="OC69" s="132"/>
      <c r="OD69" s="132"/>
      <c r="OE69" s="132"/>
      <c r="OF69" s="132"/>
      <c r="OG69" s="132"/>
      <c r="OH69" s="132"/>
      <c r="OI69" s="132"/>
      <c r="OJ69" s="132"/>
      <c r="OK69" s="132"/>
      <c r="OL69" s="132"/>
      <c r="OM69" s="132"/>
      <c r="ON69" s="132"/>
      <c r="OO69" s="132"/>
      <c r="OP69" s="132"/>
      <c r="OQ69" s="132"/>
      <c r="OR69" s="132"/>
      <c r="OS69" s="132"/>
      <c r="OT69" s="132"/>
      <c r="OU69" s="132"/>
      <c r="OV69" s="132"/>
      <c r="OW69" s="132"/>
      <c r="OX69" s="132"/>
      <c r="OY69" s="132"/>
      <c r="OZ69" s="132"/>
      <c r="PA69" s="132"/>
      <c r="PB69" s="132"/>
      <c r="PC69" s="132"/>
      <c r="PD69" s="132"/>
      <c r="PE69" s="132"/>
      <c r="PF69" s="132"/>
      <c r="PG69" s="132"/>
      <c r="PH69" s="132"/>
      <c r="PI69" s="132"/>
      <c r="PJ69" s="132"/>
      <c r="PK69" s="132"/>
      <c r="PL69" s="132"/>
      <c r="PM69" s="132"/>
      <c r="PN69" s="132"/>
      <c r="PO69" s="132"/>
      <c r="PP69" s="132"/>
      <c r="PQ69" s="132"/>
      <c r="PR69" s="132"/>
      <c r="PS69" s="132"/>
      <c r="PT69" s="132"/>
      <c r="PU69" s="132"/>
      <c r="PV69" s="132"/>
      <c r="PW69" s="132"/>
      <c r="PX69" s="132"/>
      <c r="PY69" s="132"/>
      <c r="PZ69" s="132"/>
      <c r="QA69" s="132"/>
      <c r="QB69" s="132"/>
      <c r="QC69" s="132"/>
      <c r="QD69" s="132"/>
      <c r="QE69" s="132"/>
      <c r="QF69" s="132"/>
      <c r="QG69" s="132"/>
      <c r="QH69" s="132"/>
      <c r="QI69" s="132"/>
      <c r="QJ69" s="132"/>
      <c r="QK69" s="132"/>
      <c r="QL69" s="132"/>
      <c r="QM69" s="132"/>
      <c r="QN69" s="132"/>
      <c r="QO69" s="132"/>
      <c r="QP69" s="132"/>
      <c r="QQ69" s="132"/>
      <c r="QR69" s="132"/>
      <c r="QS69" s="132"/>
      <c r="QT69" s="132"/>
      <c r="QU69" s="132"/>
      <c r="QV69" s="132"/>
      <c r="QW69" s="132"/>
      <c r="QX69" s="132"/>
      <c r="QY69" s="132"/>
      <c r="QZ69" s="132"/>
      <c r="RA69" s="132"/>
      <c r="RB69" s="132"/>
      <c r="RC69" s="132"/>
      <c r="RD69" s="132"/>
      <c r="RE69" s="132"/>
      <c r="RF69" s="132"/>
      <c r="RG69" s="132"/>
      <c r="RH69" s="132"/>
      <c r="RI69" s="132"/>
      <c r="RJ69" s="132"/>
      <c r="RK69" s="132"/>
      <c r="RL69" s="132"/>
      <c r="RM69" s="132"/>
      <c r="RN69" s="132"/>
      <c r="RO69" s="132"/>
      <c r="RP69" s="132"/>
      <c r="RQ69" s="132"/>
    </row>
    <row r="70" spans="1:485" ht="15.75">
      <c r="A70" s="3"/>
      <c r="B70" s="8" t="s">
        <v>702</v>
      </c>
      <c r="C70" s="9">
        <f>[1]Winn!M25</f>
        <v>1532407</v>
      </c>
      <c r="D70" s="9">
        <f>[1]Winn!M26</f>
        <v>1881436</v>
      </c>
      <c r="E70" s="9"/>
      <c r="F70" s="9"/>
      <c r="G70" s="9">
        <f t="shared" si="18"/>
        <v>3413843</v>
      </c>
      <c r="H70" s="9"/>
      <c r="I70" s="9"/>
      <c r="J70" s="9">
        <f>[1]Winn!M29</f>
        <v>1509053</v>
      </c>
      <c r="K70" s="9">
        <f>[1]Winn!M28</f>
        <v>40325</v>
      </c>
      <c r="L70" s="9">
        <f>[1]Winn!L27+[1]Winn!L30+[1]Winn!L31</f>
        <v>0</v>
      </c>
      <c r="M70" s="9">
        <f>[1]Winn!M27+[1]Winn!M30+[1]Winn!M31</f>
        <v>378898</v>
      </c>
      <c r="N70" s="9">
        <f t="shared" si="19"/>
        <v>1928276</v>
      </c>
      <c r="O70" s="9"/>
      <c r="P70" s="9">
        <f t="shared" si="23"/>
        <v>5342119</v>
      </c>
      <c r="Q70" s="118" t="str">
        <f t="shared" si="3"/>
        <v>ok</v>
      </c>
      <c r="R70" s="9">
        <f>[1]Winn!M33</f>
        <v>5342119</v>
      </c>
      <c r="S70" s="9"/>
      <c r="T70" s="9">
        <f>[1]Winn!I9</f>
        <v>-88189</v>
      </c>
      <c r="U70" s="9">
        <f>[1]Winn!I10</f>
        <v>-554766</v>
      </c>
      <c r="V70" s="9">
        <f>[1]Winn!I11</f>
        <v>-22766</v>
      </c>
      <c r="W70" s="9">
        <f>[1]Winn!I12</f>
        <v>-997608</v>
      </c>
      <c r="X70" s="9">
        <f>[1]Winn!I13</f>
        <v>-14608</v>
      </c>
      <c r="Y70" s="9">
        <f t="shared" si="20"/>
        <v>-1677937</v>
      </c>
      <c r="Z70" s="9">
        <f>[1]Winn!I14</f>
        <v>-981253</v>
      </c>
      <c r="AA70" s="9">
        <f>[1]Winn!I15</f>
        <v>-2044207</v>
      </c>
      <c r="AB70" s="9">
        <f>[1]Winn!I18</f>
        <v>-693812</v>
      </c>
      <c r="AC70" s="9">
        <f>[1]Winn!I16</f>
        <v>-494697</v>
      </c>
      <c r="AD70" s="9">
        <f>[1]Winn!I17</f>
        <v>-758426</v>
      </c>
      <c r="AE70" s="9">
        <f>[1]Winn!I19</f>
        <v>-38485</v>
      </c>
      <c r="AF70" s="9"/>
      <c r="AG70" s="9">
        <f t="shared" si="21"/>
        <v>-5010880</v>
      </c>
      <c r="AH70" s="9">
        <f t="shared" si="25"/>
        <v>-6688817</v>
      </c>
      <c r="AI70" s="118" t="str">
        <f t="shared" si="26"/>
        <v>ok</v>
      </c>
      <c r="AJ70" s="9">
        <f>[1]Winn!I21</f>
        <v>-6688817</v>
      </c>
    </row>
    <row r="71" spans="1:485" ht="15.75">
      <c r="A71" s="3"/>
      <c r="AI71" s="155"/>
    </row>
    <row r="72" spans="1:485" ht="15.75">
      <c r="A72" s="75"/>
      <c r="B72" s="76" t="s">
        <v>703</v>
      </c>
      <c r="C72" s="77">
        <f t="shared" ref="C72:P72" si="27">SUM(C7:C70)</f>
        <v>597448775.29999995</v>
      </c>
      <c r="D72" s="77">
        <f t="shared" si="27"/>
        <v>753689774.5</v>
      </c>
      <c r="E72" s="77">
        <f t="shared" si="27"/>
        <v>0</v>
      </c>
      <c r="F72" s="77">
        <f t="shared" si="27"/>
        <v>80504344.359999999</v>
      </c>
      <c r="G72" s="77">
        <f t="shared" si="27"/>
        <v>1431642894.1599998</v>
      </c>
      <c r="H72" s="77">
        <f t="shared" si="27"/>
        <v>7027728.5</v>
      </c>
      <c r="I72" s="77">
        <f t="shared" si="27"/>
        <v>33018835</v>
      </c>
      <c r="J72" s="77">
        <f t="shared" si="27"/>
        <v>11821585</v>
      </c>
      <c r="K72" s="77">
        <f t="shared" si="27"/>
        <v>1663459</v>
      </c>
      <c r="L72" s="77">
        <f t="shared" si="27"/>
        <v>20125993</v>
      </c>
      <c r="M72" s="77">
        <f t="shared" si="27"/>
        <v>74759994.700000003</v>
      </c>
      <c r="N72" s="77">
        <f t="shared" si="27"/>
        <v>148417595.19999999</v>
      </c>
      <c r="O72" s="77">
        <f t="shared" si="27"/>
        <v>0</v>
      </c>
      <c r="P72" s="77">
        <f t="shared" si="27"/>
        <v>1580060489.3600001</v>
      </c>
      <c r="Q72" s="156" t="str">
        <f>IF(P72=R72,"ok","check")</f>
        <v>ok</v>
      </c>
      <c r="R72" s="77">
        <f t="shared" ref="R72:AH72" si="28">SUM(R7:R70)</f>
        <v>1580060489.3600001</v>
      </c>
      <c r="S72" s="77">
        <f t="shared" si="28"/>
        <v>-333169515.55000001</v>
      </c>
      <c r="T72" s="77">
        <f t="shared" si="28"/>
        <v>-3220634</v>
      </c>
      <c r="U72" s="77">
        <f t="shared" si="28"/>
        <v>-25613115</v>
      </c>
      <c r="V72" s="77">
        <f t="shared" si="28"/>
        <v>-1128529</v>
      </c>
      <c r="W72" s="77">
        <f t="shared" si="28"/>
        <v>-20095534</v>
      </c>
      <c r="X72" s="77">
        <f t="shared" si="28"/>
        <v>-21556745</v>
      </c>
      <c r="Y72" s="77">
        <f t="shared" si="28"/>
        <v>-404784072.55000001</v>
      </c>
      <c r="Z72" s="77">
        <f t="shared" si="28"/>
        <v>-482340827.24000001</v>
      </c>
      <c r="AA72" s="77">
        <f t="shared" si="28"/>
        <v>-527300031.11000001</v>
      </c>
      <c r="AB72" s="77">
        <f t="shared" si="28"/>
        <v>-59805805.670000002</v>
      </c>
      <c r="AC72" s="77">
        <f t="shared" si="28"/>
        <v>-124396735.02000001</v>
      </c>
      <c r="AD72" s="77">
        <f t="shared" si="28"/>
        <v>-152192734.94</v>
      </c>
      <c r="AE72" s="77">
        <f t="shared" si="28"/>
        <v>-57176698</v>
      </c>
      <c r="AF72" s="77">
        <f t="shared" si="28"/>
        <v>-128971898</v>
      </c>
      <c r="AG72" s="77">
        <f t="shared" si="28"/>
        <v>-1532184729.98</v>
      </c>
      <c r="AH72" s="77">
        <f t="shared" si="28"/>
        <v>-1936968802.53</v>
      </c>
      <c r="AI72" s="156" t="str">
        <f>IF(AH72=AJ72,"ok","check")</f>
        <v>ok</v>
      </c>
      <c r="AJ72" s="78">
        <f>SUM(AJ7:AJ70)</f>
        <v>-1936968802.53</v>
      </c>
    </row>
    <row r="73" spans="1:485">
      <c r="AI73" s="155"/>
    </row>
    <row r="74" spans="1:485">
      <c r="AI74" s="155"/>
    </row>
    <row r="75" spans="1:485">
      <c r="AI75" s="155"/>
    </row>
    <row r="76" spans="1:485">
      <c r="AI76" s="155"/>
    </row>
    <row r="77" spans="1:485">
      <c r="AI77" s="155"/>
    </row>
    <row r="78" spans="1:485">
      <c r="AI78" s="155"/>
    </row>
    <row r="79" spans="1:485">
      <c r="AI79" s="155"/>
    </row>
    <row r="80" spans="1:485">
      <c r="AI80" s="155"/>
    </row>
    <row r="81" spans="35:35">
      <c r="AI81" s="155"/>
    </row>
    <row r="82" spans="35:35">
      <c r="AI82" s="155"/>
    </row>
    <row r="83" spans="35:35">
      <c r="AI83" s="155"/>
    </row>
    <row r="84" spans="35:35">
      <c r="AI84" s="155"/>
    </row>
    <row r="85" spans="35:35">
      <c r="AI85" s="155"/>
    </row>
    <row r="86" spans="35:35">
      <c r="AI86" s="155"/>
    </row>
    <row r="87" spans="35:35">
      <c r="AI87" s="155"/>
    </row>
    <row r="88" spans="35:35">
      <c r="AI88" s="155"/>
    </row>
    <row r="89" spans="35:35">
      <c r="AI89" s="155"/>
    </row>
    <row r="90" spans="35:35">
      <c r="AI90" s="155"/>
    </row>
    <row r="91" spans="35:35">
      <c r="AI91" s="155"/>
    </row>
    <row r="92" spans="35:35">
      <c r="AI92" s="155"/>
    </row>
    <row r="93" spans="35:35">
      <c r="AI93" s="155"/>
    </row>
    <row r="94" spans="35:35">
      <c r="AI94" s="155"/>
    </row>
    <row r="95" spans="35:35">
      <c r="AI95" s="155"/>
    </row>
    <row r="96" spans="35:35">
      <c r="AI96" s="155"/>
    </row>
    <row r="97" spans="35:35">
      <c r="AI97" s="155"/>
    </row>
    <row r="98" spans="35:35">
      <c r="AI98" s="155"/>
    </row>
    <row r="99" spans="35:35">
      <c r="AI99" s="155"/>
    </row>
    <row r="100" spans="35:35">
      <c r="AI100" s="155"/>
    </row>
    <row r="101" spans="35:35">
      <c r="AI101" s="155"/>
    </row>
    <row r="102" spans="35:35">
      <c r="AI102" s="155"/>
    </row>
    <row r="103" spans="35:35">
      <c r="AI103" s="155"/>
    </row>
    <row r="104" spans="35:35">
      <c r="AI104" s="155"/>
    </row>
    <row r="105" spans="35:35">
      <c r="AI105" s="155"/>
    </row>
    <row r="106" spans="35:35">
      <c r="AI106" s="155"/>
    </row>
    <row r="107" spans="35:35">
      <c r="AI107" s="155"/>
    </row>
    <row r="108" spans="35:35">
      <c r="AI108" s="155"/>
    </row>
    <row r="109" spans="35:35">
      <c r="AI109" s="155"/>
    </row>
    <row r="110" spans="35:35">
      <c r="AI110" s="155"/>
    </row>
    <row r="111" spans="35:35">
      <c r="AI111" s="155"/>
    </row>
    <row r="112" spans="35:35">
      <c r="AI112" s="155"/>
    </row>
    <row r="113" spans="35:35">
      <c r="AI113" s="155"/>
    </row>
    <row r="114" spans="35:35">
      <c r="AI114" s="155"/>
    </row>
    <row r="115" spans="35:35">
      <c r="AI115" s="155"/>
    </row>
    <row r="116" spans="35:35">
      <c r="AI116" s="155"/>
    </row>
    <row r="117" spans="35:35">
      <c r="AI117" s="155"/>
    </row>
    <row r="118" spans="35:35">
      <c r="AI118" s="155"/>
    </row>
  </sheetData>
  <mergeCells count="2">
    <mergeCell ref="A4:B4"/>
    <mergeCell ref="A5:B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W115"/>
  <sheetViews>
    <sheetView workbookViewId="0">
      <selection activeCell="M55" sqref="M55"/>
    </sheetView>
  </sheetViews>
  <sheetFormatPr defaultColWidth="8.85546875" defaultRowHeight="15"/>
  <cols>
    <col min="1" max="1" width="11" bestFit="1" customWidth="1"/>
    <col min="2" max="2" width="32.85546875" customWidth="1"/>
    <col min="3" max="3" width="33.140625" bestFit="1" customWidth="1"/>
    <col min="4" max="4" width="26.42578125" customWidth="1"/>
    <col min="5" max="5" width="21.140625" customWidth="1"/>
    <col min="6" max="6" width="19.28515625" customWidth="1"/>
    <col min="7" max="7" width="11.42578125" customWidth="1"/>
    <col min="8" max="8" width="16.7109375" customWidth="1"/>
    <col min="9" max="9" width="29.28515625" customWidth="1"/>
    <col min="10" max="10" width="33.140625" customWidth="1"/>
    <col min="11" max="11" width="36.85546875" customWidth="1"/>
    <col min="12" max="12" width="14" bestFit="1" customWidth="1"/>
    <col min="13" max="13" width="20.140625" bestFit="1" customWidth="1"/>
    <col min="180" max="180" width="11" bestFit="1" customWidth="1"/>
    <col min="181" max="181" width="18.42578125" bestFit="1" customWidth="1"/>
    <col min="182" max="182" width="22.28515625" bestFit="1" customWidth="1"/>
    <col min="183" max="183" width="52.7109375" bestFit="1" customWidth="1"/>
    <col min="184" max="184" width="11.42578125" bestFit="1" customWidth="1"/>
    <col min="185" max="185" width="20.140625" bestFit="1" customWidth="1"/>
    <col min="186" max="186" width="25.85546875" bestFit="1" customWidth="1"/>
    <col min="187" max="187" width="23.85546875" bestFit="1" customWidth="1"/>
    <col min="188" max="188" width="22.42578125" customWidth="1"/>
    <col min="189" max="189" width="10.85546875" bestFit="1" customWidth="1"/>
    <col min="190" max="190" width="8.42578125" bestFit="1" customWidth="1"/>
    <col min="191" max="191" width="15.7109375" bestFit="1" customWidth="1"/>
    <col min="192" max="192" width="19.28515625" bestFit="1" customWidth="1"/>
    <col min="193" max="193" width="28.140625" bestFit="1" customWidth="1"/>
    <col min="194" max="194" width="31.28515625" bestFit="1" customWidth="1"/>
    <col min="195" max="195" width="26.42578125" customWidth="1"/>
    <col min="196" max="196" width="15.28515625" customWidth="1"/>
    <col min="197" max="197" width="17.85546875" customWidth="1"/>
    <col min="198" max="198" width="36.28515625" bestFit="1" customWidth="1"/>
    <col min="199" max="199" width="24.42578125" bestFit="1" customWidth="1"/>
    <col min="200" max="200" width="11.42578125" bestFit="1" customWidth="1"/>
    <col min="201" max="201" width="10.140625" bestFit="1" customWidth="1"/>
    <col min="202" max="202" width="28.7109375" bestFit="1" customWidth="1"/>
    <col min="203" max="203" width="28.42578125" bestFit="1" customWidth="1"/>
    <col min="204" max="204" width="34.28515625" bestFit="1" customWidth="1"/>
    <col min="205" max="205" width="13.7109375" bestFit="1" customWidth="1"/>
    <col min="206" max="206" width="22.7109375" bestFit="1" customWidth="1"/>
    <col min="207" max="207" width="41.28515625" bestFit="1" customWidth="1"/>
    <col min="208" max="208" width="19.85546875" bestFit="1" customWidth="1"/>
    <col min="209" max="209" width="24.28515625" bestFit="1" customWidth="1"/>
    <col min="210" max="210" width="62.140625" bestFit="1" customWidth="1"/>
    <col min="211" max="211" width="23.85546875" bestFit="1" customWidth="1"/>
    <col min="212" max="212" width="32.85546875" bestFit="1" customWidth="1"/>
    <col min="213" max="213" width="30.42578125" bestFit="1" customWidth="1"/>
    <col min="214" max="214" width="12.28515625" bestFit="1" customWidth="1"/>
    <col min="215" max="215" width="14.42578125" bestFit="1" customWidth="1"/>
    <col min="216" max="216" width="18.85546875" customWidth="1"/>
    <col min="436" max="436" width="11" bestFit="1" customWidth="1"/>
    <col min="437" max="437" width="18.42578125" bestFit="1" customWidth="1"/>
    <col min="438" max="438" width="22.28515625" bestFit="1" customWidth="1"/>
    <col min="439" max="439" width="52.7109375" bestFit="1" customWidth="1"/>
    <col min="440" max="440" width="11.42578125" bestFit="1" customWidth="1"/>
    <col min="441" max="441" width="20.140625" bestFit="1" customWidth="1"/>
    <col min="442" max="442" width="25.85546875" bestFit="1" customWidth="1"/>
    <col min="443" max="443" width="23.85546875" bestFit="1" customWidth="1"/>
    <col min="444" max="444" width="22.42578125" customWidth="1"/>
    <col min="445" max="445" width="10.85546875" bestFit="1" customWidth="1"/>
    <col min="446" max="446" width="8.42578125" bestFit="1" customWidth="1"/>
    <col min="447" max="447" width="15.7109375" bestFit="1" customWidth="1"/>
    <col min="448" max="448" width="19.28515625" bestFit="1" customWidth="1"/>
    <col min="449" max="449" width="28.140625" bestFit="1" customWidth="1"/>
    <col min="450" max="450" width="31.28515625" bestFit="1" customWidth="1"/>
    <col min="451" max="451" width="26.42578125" customWidth="1"/>
    <col min="452" max="452" width="15.28515625" customWidth="1"/>
    <col min="453" max="453" width="17.85546875" customWidth="1"/>
    <col min="454" max="454" width="36.28515625" bestFit="1" customWidth="1"/>
    <col min="455" max="455" width="24.42578125" bestFit="1" customWidth="1"/>
    <col min="456" max="456" width="11.42578125" bestFit="1" customWidth="1"/>
    <col min="457" max="457" width="10.140625" bestFit="1" customWidth="1"/>
    <col min="458" max="458" width="28.7109375" bestFit="1" customWidth="1"/>
    <col min="459" max="459" width="28.42578125" bestFit="1" customWidth="1"/>
    <col min="460" max="460" width="34.28515625" bestFit="1" customWidth="1"/>
    <col min="461" max="461" width="13.7109375" bestFit="1" customWidth="1"/>
    <col min="462" max="462" width="22.7109375" bestFit="1" customWidth="1"/>
    <col min="463" max="463" width="41.28515625" bestFit="1" customWidth="1"/>
    <col min="464" max="464" width="19.85546875" bestFit="1" customWidth="1"/>
    <col min="465" max="465" width="24.28515625" bestFit="1" customWidth="1"/>
    <col min="466" max="466" width="62.140625" bestFit="1" customWidth="1"/>
    <col min="467" max="467" width="23.85546875" bestFit="1" customWidth="1"/>
    <col min="468" max="468" width="32.85546875" bestFit="1" customWidth="1"/>
    <col min="469" max="469" width="30.42578125" bestFit="1" customWidth="1"/>
    <col min="470" max="470" width="12.28515625" bestFit="1" customWidth="1"/>
    <col min="471" max="471" width="14.42578125" bestFit="1" customWidth="1"/>
    <col min="472" max="472" width="18.85546875" customWidth="1"/>
    <col min="692" max="692" width="11" bestFit="1" customWidth="1"/>
    <col min="693" max="693" width="18.42578125" bestFit="1" customWidth="1"/>
    <col min="694" max="694" width="22.28515625" bestFit="1" customWidth="1"/>
    <col min="695" max="695" width="52.7109375" bestFit="1" customWidth="1"/>
    <col min="696" max="696" width="11.42578125" bestFit="1" customWidth="1"/>
    <col min="697" max="697" width="20.140625" bestFit="1" customWidth="1"/>
    <col min="698" max="698" width="25.85546875" bestFit="1" customWidth="1"/>
    <col min="699" max="699" width="23.85546875" bestFit="1" customWidth="1"/>
    <col min="700" max="700" width="22.42578125" customWidth="1"/>
    <col min="701" max="701" width="10.85546875" bestFit="1" customWidth="1"/>
    <col min="702" max="702" width="8.42578125" bestFit="1" customWidth="1"/>
    <col min="703" max="703" width="15.7109375" bestFit="1" customWidth="1"/>
    <col min="704" max="704" width="19.28515625" bestFit="1" customWidth="1"/>
    <col min="705" max="705" width="28.140625" bestFit="1" customWidth="1"/>
    <col min="706" max="706" width="31.28515625" bestFit="1" customWidth="1"/>
    <col min="707" max="707" width="26.42578125" customWidth="1"/>
    <col min="708" max="708" width="15.28515625" customWidth="1"/>
    <col min="709" max="709" width="17.85546875" customWidth="1"/>
    <col min="710" max="710" width="36.28515625" bestFit="1" customWidth="1"/>
    <col min="711" max="711" width="24.42578125" bestFit="1" customWidth="1"/>
    <col min="712" max="712" width="11.42578125" bestFit="1" customWidth="1"/>
    <col min="713" max="713" width="10.140625" bestFit="1" customWidth="1"/>
    <col min="714" max="714" width="28.7109375" bestFit="1" customWidth="1"/>
    <col min="715" max="715" width="28.42578125" bestFit="1" customWidth="1"/>
    <col min="716" max="716" width="34.28515625" bestFit="1" customWidth="1"/>
    <col min="717" max="717" width="13.7109375" bestFit="1" customWidth="1"/>
    <col min="718" max="718" width="22.7109375" bestFit="1" customWidth="1"/>
    <col min="719" max="719" width="41.28515625" bestFit="1" customWidth="1"/>
    <col min="720" max="720" width="19.85546875" bestFit="1" customWidth="1"/>
    <col min="721" max="721" width="24.28515625" bestFit="1" customWidth="1"/>
    <col min="722" max="722" width="62.140625" bestFit="1" customWidth="1"/>
    <col min="723" max="723" width="23.85546875" bestFit="1" customWidth="1"/>
    <col min="724" max="724" width="32.85546875" bestFit="1" customWidth="1"/>
    <col min="725" max="725" width="30.42578125" bestFit="1" customWidth="1"/>
    <col min="726" max="726" width="12.28515625" bestFit="1" customWidth="1"/>
    <col min="727" max="727" width="14.42578125" bestFit="1" customWidth="1"/>
    <col min="728" max="728" width="18.85546875" customWidth="1"/>
    <col min="948" max="948" width="11" bestFit="1" customWidth="1"/>
    <col min="949" max="949" width="18.42578125" bestFit="1" customWidth="1"/>
    <col min="950" max="950" width="22.28515625" bestFit="1" customWidth="1"/>
    <col min="951" max="951" width="52.7109375" bestFit="1" customWidth="1"/>
    <col min="952" max="952" width="11.42578125" bestFit="1" customWidth="1"/>
    <col min="953" max="953" width="20.140625" bestFit="1" customWidth="1"/>
    <col min="954" max="954" width="25.85546875" bestFit="1" customWidth="1"/>
    <col min="955" max="955" width="23.85546875" bestFit="1" customWidth="1"/>
    <col min="956" max="956" width="22.42578125" customWidth="1"/>
    <col min="957" max="957" width="10.85546875" bestFit="1" customWidth="1"/>
    <col min="958" max="958" width="8.42578125" bestFit="1" customWidth="1"/>
    <col min="959" max="959" width="15.7109375" bestFit="1" customWidth="1"/>
    <col min="960" max="960" width="19.28515625" bestFit="1" customWidth="1"/>
    <col min="961" max="961" width="28.140625" bestFit="1" customWidth="1"/>
    <col min="962" max="962" width="31.28515625" bestFit="1" customWidth="1"/>
    <col min="963" max="963" width="26.42578125" customWidth="1"/>
    <col min="964" max="964" width="15.28515625" customWidth="1"/>
    <col min="965" max="965" width="17.85546875" customWidth="1"/>
    <col min="966" max="966" width="36.28515625" bestFit="1" customWidth="1"/>
    <col min="967" max="967" width="24.42578125" bestFit="1" customWidth="1"/>
    <col min="968" max="968" width="11.42578125" bestFit="1" customWidth="1"/>
    <col min="969" max="969" width="10.140625" bestFit="1" customWidth="1"/>
    <col min="970" max="970" width="28.7109375" bestFit="1" customWidth="1"/>
    <col min="971" max="971" width="28.42578125" bestFit="1" customWidth="1"/>
    <col min="972" max="972" width="34.28515625" bestFit="1" customWidth="1"/>
    <col min="973" max="973" width="13.7109375" bestFit="1" customWidth="1"/>
    <col min="974" max="974" width="22.7109375" bestFit="1" customWidth="1"/>
    <col min="975" max="975" width="41.28515625" bestFit="1" customWidth="1"/>
    <col min="976" max="976" width="19.85546875" bestFit="1" customWidth="1"/>
    <col min="977" max="977" width="24.28515625" bestFit="1" customWidth="1"/>
    <col min="978" max="978" width="62.140625" bestFit="1" customWidth="1"/>
    <col min="979" max="979" width="23.85546875" bestFit="1" customWidth="1"/>
    <col min="980" max="980" width="32.85546875" bestFit="1" customWidth="1"/>
    <col min="981" max="981" width="30.42578125" bestFit="1" customWidth="1"/>
    <col min="982" max="982" width="12.28515625" bestFit="1" customWidth="1"/>
    <col min="983" max="983" width="14.42578125" bestFit="1" customWidth="1"/>
    <col min="984" max="984" width="18.85546875" customWidth="1"/>
    <col min="1204" max="1204" width="11" bestFit="1" customWidth="1"/>
    <col min="1205" max="1205" width="18.42578125" bestFit="1" customWidth="1"/>
    <col min="1206" max="1206" width="22.28515625" bestFit="1" customWidth="1"/>
    <col min="1207" max="1207" width="52.7109375" bestFit="1" customWidth="1"/>
    <col min="1208" max="1208" width="11.42578125" bestFit="1" customWidth="1"/>
    <col min="1209" max="1209" width="20.140625" bestFit="1" customWidth="1"/>
    <col min="1210" max="1210" width="25.85546875" bestFit="1" customWidth="1"/>
    <col min="1211" max="1211" width="23.85546875" bestFit="1" customWidth="1"/>
    <col min="1212" max="1212" width="22.42578125" customWidth="1"/>
    <col min="1213" max="1213" width="10.85546875" bestFit="1" customWidth="1"/>
    <col min="1214" max="1214" width="8.42578125" bestFit="1" customWidth="1"/>
    <col min="1215" max="1215" width="15.7109375" bestFit="1" customWidth="1"/>
    <col min="1216" max="1216" width="19.28515625" bestFit="1" customWidth="1"/>
    <col min="1217" max="1217" width="28.140625" bestFit="1" customWidth="1"/>
    <col min="1218" max="1218" width="31.28515625" bestFit="1" customWidth="1"/>
    <col min="1219" max="1219" width="26.42578125" customWidth="1"/>
    <col min="1220" max="1220" width="15.28515625" customWidth="1"/>
    <col min="1221" max="1221" width="17.85546875" customWidth="1"/>
    <col min="1222" max="1222" width="36.28515625" bestFit="1" customWidth="1"/>
    <col min="1223" max="1223" width="24.42578125" bestFit="1" customWidth="1"/>
    <col min="1224" max="1224" width="11.42578125" bestFit="1" customWidth="1"/>
    <col min="1225" max="1225" width="10.140625" bestFit="1" customWidth="1"/>
    <col min="1226" max="1226" width="28.7109375" bestFit="1" customWidth="1"/>
    <col min="1227" max="1227" width="28.42578125" bestFit="1" customWidth="1"/>
    <col min="1228" max="1228" width="34.28515625" bestFit="1" customWidth="1"/>
    <col min="1229" max="1229" width="13.7109375" bestFit="1" customWidth="1"/>
    <col min="1230" max="1230" width="22.7109375" bestFit="1" customWidth="1"/>
    <col min="1231" max="1231" width="41.28515625" bestFit="1" customWidth="1"/>
    <col min="1232" max="1232" width="19.85546875" bestFit="1" customWidth="1"/>
    <col min="1233" max="1233" width="24.28515625" bestFit="1" customWidth="1"/>
    <col min="1234" max="1234" width="62.140625" bestFit="1" customWidth="1"/>
    <col min="1235" max="1235" width="23.85546875" bestFit="1" customWidth="1"/>
    <col min="1236" max="1236" width="32.85546875" bestFit="1" customWidth="1"/>
    <col min="1237" max="1237" width="30.42578125" bestFit="1" customWidth="1"/>
    <col min="1238" max="1238" width="12.28515625" bestFit="1" customWidth="1"/>
    <col min="1239" max="1239" width="14.42578125" bestFit="1" customWidth="1"/>
    <col min="1240" max="1240" width="18.85546875" customWidth="1"/>
    <col min="1460" max="1460" width="11" bestFit="1" customWidth="1"/>
    <col min="1461" max="1461" width="18.42578125" bestFit="1" customWidth="1"/>
    <col min="1462" max="1462" width="22.28515625" bestFit="1" customWidth="1"/>
    <col min="1463" max="1463" width="52.7109375" bestFit="1" customWidth="1"/>
    <col min="1464" max="1464" width="11.42578125" bestFit="1" customWidth="1"/>
    <col min="1465" max="1465" width="20.140625" bestFit="1" customWidth="1"/>
    <col min="1466" max="1466" width="25.85546875" bestFit="1" customWidth="1"/>
    <col min="1467" max="1467" width="23.85546875" bestFit="1" customWidth="1"/>
    <col min="1468" max="1468" width="22.42578125" customWidth="1"/>
    <col min="1469" max="1469" width="10.85546875" bestFit="1" customWidth="1"/>
    <col min="1470" max="1470" width="8.42578125" bestFit="1" customWidth="1"/>
    <col min="1471" max="1471" width="15.7109375" bestFit="1" customWidth="1"/>
    <col min="1472" max="1472" width="19.28515625" bestFit="1" customWidth="1"/>
    <col min="1473" max="1473" width="28.140625" bestFit="1" customWidth="1"/>
    <col min="1474" max="1474" width="31.28515625" bestFit="1" customWidth="1"/>
    <col min="1475" max="1475" width="26.42578125" customWidth="1"/>
    <col min="1476" max="1476" width="15.28515625" customWidth="1"/>
    <col min="1477" max="1477" width="17.85546875" customWidth="1"/>
    <col min="1478" max="1478" width="36.28515625" bestFit="1" customWidth="1"/>
    <col min="1479" max="1479" width="24.42578125" bestFit="1" customWidth="1"/>
    <col min="1480" max="1480" width="11.42578125" bestFit="1" customWidth="1"/>
    <col min="1481" max="1481" width="10.140625" bestFit="1" customWidth="1"/>
    <col min="1482" max="1482" width="28.7109375" bestFit="1" customWidth="1"/>
    <col min="1483" max="1483" width="28.42578125" bestFit="1" customWidth="1"/>
    <col min="1484" max="1484" width="34.28515625" bestFit="1" customWidth="1"/>
    <col min="1485" max="1485" width="13.7109375" bestFit="1" customWidth="1"/>
    <col min="1486" max="1486" width="22.7109375" bestFit="1" customWidth="1"/>
    <col min="1487" max="1487" width="41.28515625" bestFit="1" customWidth="1"/>
    <col min="1488" max="1488" width="19.85546875" bestFit="1" customWidth="1"/>
    <col min="1489" max="1489" width="24.28515625" bestFit="1" customWidth="1"/>
    <col min="1490" max="1490" width="62.140625" bestFit="1" customWidth="1"/>
    <col min="1491" max="1491" width="23.85546875" bestFit="1" customWidth="1"/>
    <col min="1492" max="1492" width="32.85546875" bestFit="1" customWidth="1"/>
    <col min="1493" max="1493" width="30.42578125" bestFit="1" customWidth="1"/>
    <col min="1494" max="1494" width="12.28515625" bestFit="1" customWidth="1"/>
    <col min="1495" max="1495" width="14.42578125" bestFit="1" customWidth="1"/>
    <col min="1496" max="1496" width="18.85546875" customWidth="1"/>
    <col min="1716" max="1716" width="11" bestFit="1" customWidth="1"/>
    <col min="1717" max="1717" width="18.42578125" bestFit="1" customWidth="1"/>
    <col min="1718" max="1718" width="22.28515625" bestFit="1" customWidth="1"/>
    <col min="1719" max="1719" width="52.7109375" bestFit="1" customWidth="1"/>
    <col min="1720" max="1720" width="11.42578125" bestFit="1" customWidth="1"/>
    <col min="1721" max="1721" width="20.140625" bestFit="1" customWidth="1"/>
    <col min="1722" max="1722" width="25.85546875" bestFit="1" customWidth="1"/>
    <col min="1723" max="1723" width="23.85546875" bestFit="1" customWidth="1"/>
    <col min="1724" max="1724" width="22.42578125" customWidth="1"/>
    <col min="1725" max="1725" width="10.85546875" bestFit="1" customWidth="1"/>
    <col min="1726" max="1726" width="8.42578125" bestFit="1" customWidth="1"/>
    <col min="1727" max="1727" width="15.7109375" bestFit="1" customWidth="1"/>
    <col min="1728" max="1728" width="19.28515625" bestFit="1" customWidth="1"/>
    <col min="1729" max="1729" width="28.140625" bestFit="1" customWidth="1"/>
    <col min="1730" max="1730" width="31.28515625" bestFit="1" customWidth="1"/>
    <col min="1731" max="1731" width="26.42578125" customWidth="1"/>
    <col min="1732" max="1732" width="15.28515625" customWidth="1"/>
    <col min="1733" max="1733" width="17.85546875" customWidth="1"/>
    <col min="1734" max="1734" width="36.28515625" bestFit="1" customWidth="1"/>
    <col min="1735" max="1735" width="24.42578125" bestFit="1" customWidth="1"/>
    <col min="1736" max="1736" width="11.42578125" bestFit="1" customWidth="1"/>
    <col min="1737" max="1737" width="10.140625" bestFit="1" customWidth="1"/>
    <col min="1738" max="1738" width="28.7109375" bestFit="1" customWidth="1"/>
    <col min="1739" max="1739" width="28.42578125" bestFit="1" customWidth="1"/>
    <col min="1740" max="1740" width="34.28515625" bestFit="1" customWidth="1"/>
    <col min="1741" max="1741" width="13.7109375" bestFit="1" customWidth="1"/>
    <col min="1742" max="1742" width="22.7109375" bestFit="1" customWidth="1"/>
    <col min="1743" max="1743" width="41.28515625" bestFit="1" customWidth="1"/>
    <col min="1744" max="1744" width="19.85546875" bestFit="1" customWidth="1"/>
    <col min="1745" max="1745" width="24.28515625" bestFit="1" customWidth="1"/>
    <col min="1746" max="1746" width="62.140625" bestFit="1" customWidth="1"/>
    <col min="1747" max="1747" width="23.85546875" bestFit="1" customWidth="1"/>
    <col min="1748" max="1748" width="32.85546875" bestFit="1" customWidth="1"/>
    <col min="1749" max="1749" width="30.42578125" bestFit="1" customWidth="1"/>
    <col min="1750" max="1750" width="12.28515625" bestFit="1" customWidth="1"/>
    <col min="1751" max="1751" width="14.42578125" bestFit="1" customWidth="1"/>
    <col min="1752" max="1752" width="18.85546875" customWidth="1"/>
    <col min="1972" max="1972" width="11" bestFit="1" customWidth="1"/>
    <col min="1973" max="1973" width="18.42578125" bestFit="1" customWidth="1"/>
    <col min="1974" max="1974" width="22.28515625" bestFit="1" customWidth="1"/>
    <col min="1975" max="1975" width="52.7109375" bestFit="1" customWidth="1"/>
    <col min="1976" max="1976" width="11.42578125" bestFit="1" customWidth="1"/>
    <col min="1977" max="1977" width="20.140625" bestFit="1" customWidth="1"/>
    <col min="1978" max="1978" width="25.85546875" bestFit="1" customWidth="1"/>
    <col min="1979" max="1979" width="23.85546875" bestFit="1" customWidth="1"/>
    <col min="1980" max="1980" width="22.42578125" customWidth="1"/>
    <col min="1981" max="1981" width="10.85546875" bestFit="1" customWidth="1"/>
    <col min="1982" max="1982" width="8.42578125" bestFit="1" customWidth="1"/>
    <col min="1983" max="1983" width="15.7109375" bestFit="1" customWidth="1"/>
    <col min="1984" max="1984" width="19.28515625" bestFit="1" customWidth="1"/>
    <col min="1985" max="1985" width="28.140625" bestFit="1" customWidth="1"/>
    <col min="1986" max="1986" width="31.28515625" bestFit="1" customWidth="1"/>
    <col min="1987" max="1987" width="26.42578125" customWidth="1"/>
    <col min="1988" max="1988" width="15.28515625" customWidth="1"/>
    <col min="1989" max="1989" width="17.85546875" customWidth="1"/>
    <col min="1990" max="1990" width="36.28515625" bestFit="1" customWidth="1"/>
    <col min="1991" max="1991" width="24.42578125" bestFit="1" customWidth="1"/>
    <col min="1992" max="1992" width="11.42578125" bestFit="1" customWidth="1"/>
    <col min="1993" max="1993" width="10.140625" bestFit="1" customWidth="1"/>
    <col min="1994" max="1994" width="28.7109375" bestFit="1" customWidth="1"/>
    <col min="1995" max="1995" width="28.42578125" bestFit="1" customWidth="1"/>
    <col min="1996" max="1996" width="34.28515625" bestFit="1" customWidth="1"/>
    <col min="1997" max="1997" width="13.7109375" bestFit="1" customWidth="1"/>
    <col min="1998" max="1998" width="22.7109375" bestFit="1" customWidth="1"/>
    <col min="1999" max="1999" width="41.28515625" bestFit="1" customWidth="1"/>
    <col min="2000" max="2000" width="19.85546875" bestFit="1" customWidth="1"/>
    <col min="2001" max="2001" width="24.28515625" bestFit="1" customWidth="1"/>
    <col min="2002" max="2002" width="62.140625" bestFit="1" customWidth="1"/>
    <col min="2003" max="2003" width="23.85546875" bestFit="1" customWidth="1"/>
    <col min="2004" max="2004" width="32.85546875" bestFit="1" customWidth="1"/>
    <col min="2005" max="2005" width="30.42578125" bestFit="1" customWidth="1"/>
    <col min="2006" max="2006" width="12.28515625" bestFit="1" customWidth="1"/>
    <col min="2007" max="2007" width="14.42578125" bestFit="1" customWidth="1"/>
    <col min="2008" max="2008" width="18.85546875" customWidth="1"/>
    <col min="2228" max="2228" width="11" bestFit="1" customWidth="1"/>
    <col min="2229" max="2229" width="18.42578125" bestFit="1" customWidth="1"/>
    <col min="2230" max="2230" width="22.28515625" bestFit="1" customWidth="1"/>
    <col min="2231" max="2231" width="52.7109375" bestFit="1" customWidth="1"/>
    <col min="2232" max="2232" width="11.42578125" bestFit="1" customWidth="1"/>
    <col min="2233" max="2233" width="20.140625" bestFit="1" customWidth="1"/>
    <col min="2234" max="2234" width="25.85546875" bestFit="1" customWidth="1"/>
    <col min="2235" max="2235" width="23.85546875" bestFit="1" customWidth="1"/>
    <col min="2236" max="2236" width="22.42578125" customWidth="1"/>
    <col min="2237" max="2237" width="10.85546875" bestFit="1" customWidth="1"/>
    <col min="2238" max="2238" width="8.42578125" bestFit="1" customWidth="1"/>
    <col min="2239" max="2239" width="15.7109375" bestFit="1" customWidth="1"/>
    <col min="2240" max="2240" width="19.28515625" bestFit="1" customWidth="1"/>
    <col min="2241" max="2241" width="28.140625" bestFit="1" customWidth="1"/>
    <col min="2242" max="2242" width="31.28515625" bestFit="1" customWidth="1"/>
    <col min="2243" max="2243" width="26.42578125" customWidth="1"/>
    <col min="2244" max="2244" width="15.28515625" customWidth="1"/>
    <col min="2245" max="2245" width="17.85546875" customWidth="1"/>
    <col min="2246" max="2246" width="36.28515625" bestFit="1" customWidth="1"/>
    <col min="2247" max="2247" width="24.42578125" bestFit="1" customWidth="1"/>
    <col min="2248" max="2248" width="11.42578125" bestFit="1" customWidth="1"/>
    <col min="2249" max="2249" width="10.140625" bestFit="1" customWidth="1"/>
    <col min="2250" max="2250" width="28.7109375" bestFit="1" customWidth="1"/>
    <col min="2251" max="2251" width="28.42578125" bestFit="1" customWidth="1"/>
    <col min="2252" max="2252" width="34.28515625" bestFit="1" customWidth="1"/>
    <col min="2253" max="2253" width="13.7109375" bestFit="1" customWidth="1"/>
    <col min="2254" max="2254" width="22.7109375" bestFit="1" customWidth="1"/>
    <col min="2255" max="2255" width="41.28515625" bestFit="1" customWidth="1"/>
    <col min="2256" max="2256" width="19.85546875" bestFit="1" customWidth="1"/>
    <col min="2257" max="2257" width="24.28515625" bestFit="1" customWidth="1"/>
    <col min="2258" max="2258" width="62.140625" bestFit="1" customWidth="1"/>
    <col min="2259" max="2259" width="23.85546875" bestFit="1" customWidth="1"/>
    <col min="2260" max="2260" width="32.85546875" bestFit="1" customWidth="1"/>
    <col min="2261" max="2261" width="30.42578125" bestFit="1" customWidth="1"/>
    <col min="2262" max="2262" width="12.28515625" bestFit="1" customWidth="1"/>
    <col min="2263" max="2263" width="14.42578125" bestFit="1" customWidth="1"/>
    <col min="2264" max="2264" width="18.85546875" customWidth="1"/>
    <col min="2484" max="2484" width="11" bestFit="1" customWidth="1"/>
    <col min="2485" max="2485" width="18.42578125" bestFit="1" customWidth="1"/>
    <col min="2486" max="2486" width="22.28515625" bestFit="1" customWidth="1"/>
    <col min="2487" max="2487" width="52.7109375" bestFit="1" customWidth="1"/>
    <col min="2488" max="2488" width="11.42578125" bestFit="1" customWidth="1"/>
    <col min="2489" max="2489" width="20.140625" bestFit="1" customWidth="1"/>
    <col min="2490" max="2490" width="25.85546875" bestFit="1" customWidth="1"/>
    <col min="2491" max="2491" width="23.85546875" bestFit="1" customWidth="1"/>
    <col min="2492" max="2492" width="22.42578125" customWidth="1"/>
    <col min="2493" max="2493" width="10.85546875" bestFit="1" customWidth="1"/>
    <col min="2494" max="2494" width="8.42578125" bestFit="1" customWidth="1"/>
    <col min="2495" max="2495" width="15.7109375" bestFit="1" customWidth="1"/>
    <col min="2496" max="2496" width="19.28515625" bestFit="1" customWidth="1"/>
    <col min="2497" max="2497" width="28.140625" bestFit="1" customWidth="1"/>
    <col min="2498" max="2498" width="31.28515625" bestFit="1" customWidth="1"/>
    <col min="2499" max="2499" width="26.42578125" customWidth="1"/>
    <col min="2500" max="2500" width="15.28515625" customWidth="1"/>
    <col min="2501" max="2501" width="17.85546875" customWidth="1"/>
    <col min="2502" max="2502" width="36.28515625" bestFit="1" customWidth="1"/>
    <col min="2503" max="2503" width="24.42578125" bestFit="1" customWidth="1"/>
    <col min="2504" max="2504" width="11.42578125" bestFit="1" customWidth="1"/>
    <col min="2505" max="2505" width="10.140625" bestFit="1" customWidth="1"/>
    <col min="2506" max="2506" width="28.7109375" bestFit="1" customWidth="1"/>
    <col min="2507" max="2507" width="28.42578125" bestFit="1" customWidth="1"/>
    <col min="2508" max="2508" width="34.28515625" bestFit="1" customWidth="1"/>
    <col min="2509" max="2509" width="13.7109375" bestFit="1" customWidth="1"/>
    <col min="2510" max="2510" width="22.7109375" bestFit="1" customWidth="1"/>
    <col min="2511" max="2511" width="41.28515625" bestFit="1" customWidth="1"/>
    <col min="2512" max="2512" width="19.85546875" bestFit="1" customWidth="1"/>
    <col min="2513" max="2513" width="24.28515625" bestFit="1" customWidth="1"/>
    <col min="2514" max="2514" width="62.140625" bestFit="1" customWidth="1"/>
    <col min="2515" max="2515" width="23.85546875" bestFit="1" customWidth="1"/>
    <col min="2516" max="2516" width="32.85546875" bestFit="1" customWidth="1"/>
    <col min="2517" max="2517" width="30.42578125" bestFit="1" customWidth="1"/>
    <col min="2518" max="2518" width="12.28515625" bestFit="1" customWidth="1"/>
    <col min="2519" max="2519" width="14.42578125" bestFit="1" customWidth="1"/>
    <col min="2520" max="2520" width="18.85546875" customWidth="1"/>
    <col min="2740" max="2740" width="11" bestFit="1" customWidth="1"/>
    <col min="2741" max="2741" width="18.42578125" bestFit="1" customWidth="1"/>
    <col min="2742" max="2742" width="22.28515625" bestFit="1" customWidth="1"/>
    <col min="2743" max="2743" width="52.7109375" bestFit="1" customWidth="1"/>
    <col min="2744" max="2744" width="11.42578125" bestFit="1" customWidth="1"/>
    <col min="2745" max="2745" width="20.140625" bestFit="1" customWidth="1"/>
    <col min="2746" max="2746" width="25.85546875" bestFit="1" customWidth="1"/>
    <col min="2747" max="2747" width="23.85546875" bestFit="1" customWidth="1"/>
    <col min="2748" max="2748" width="22.42578125" customWidth="1"/>
    <col min="2749" max="2749" width="10.85546875" bestFit="1" customWidth="1"/>
    <col min="2750" max="2750" width="8.42578125" bestFit="1" customWidth="1"/>
    <col min="2751" max="2751" width="15.7109375" bestFit="1" customWidth="1"/>
    <col min="2752" max="2752" width="19.28515625" bestFit="1" customWidth="1"/>
    <col min="2753" max="2753" width="28.140625" bestFit="1" customWidth="1"/>
    <col min="2754" max="2754" width="31.28515625" bestFit="1" customWidth="1"/>
    <col min="2755" max="2755" width="26.42578125" customWidth="1"/>
    <col min="2756" max="2756" width="15.28515625" customWidth="1"/>
    <col min="2757" max="2757" width="17.85546875" customWidth="1"/>
    <col min="2758" max="2758" width="36.28515625" bestFit="1" customWidth="1"/>
    <col min="2759" max="2759" width="24.42578125" bestFit="1" customWidth="1"/>
    <col min="2760" max="2760" width="11.42578125" bestFit="1" customWidth="1"/>
    <col min="2761" max="2761" width="10.140625" bestFit="1" customWidth="1"/>
    <col min="2762" max="2762" width="28.7109375" bestFit="1" customWidth="1"/>
    <col min="2763" max="2763" width="28.42578125" bestFit="1" customWidth="1"/>
    <col min="2764" max="2764" width="34.28515625" bestFit="1" customWidth="1"/>
    <col min="2765" max="2765" width="13.7109375" bestFit="1" customWidth="1"/>
    <col min="2766" max="2766" width="22.7109375" bestFit="1" customWidth="1"/>
    <col min="2767" max="2767" width="41.28515625" bestFit="1" customWidth="1"/>
    <col min="2768" max="2768" width="19.85546875" bestFit="1" customWidth="1"/>
    <col min="2769" max="2769" width="24.28515625" bestFit="1" customWidth="1"/>
    <col min="2770" max="2770" width="62.140625" bestFit="1" customWidth="1"/>
    <col min="2771" max="2771" width="23.85546875" bestFit="1" customWidth="1"/>
    <col min="2772" max="2772" width="32.85546875" bestFit="1" customWidth="1"/>
    <col min="2773" max="2773" width="30.42578125" bestFit="1" customWidth="1"/>
    <col min="2774" max="2774" width="12.28515625" bestFit="1" customWidth="1"/>
    <col min="2775" max="2775" width="14.42578125" bestFit="1" customWidth="1"/>
    <col min="2776" max="2776" width="18.85546875" customWidth="1"/>
    <col min="2996" max="2996" width="11" bestFit="1" customWidth="1"/>
    <col min="2997" max="2997" width="18.42578125" bestFit="1" customWidth="1"/>
    <col min="2998" max="2998" width="22.28515625" bestFit="1" customWidth="1"/>
    <col min="2999" max="2999" width="52.7109375" bestFit="1" customWidth="1"/>
    <col min="3000" max="3000" width="11.42578125" bestFit="1" customWidth="1"/>
    <col min="3001" max="3001" width="20.140625" bestFit="1" customWidth="1"/>
    <col min="3002" max="3002" width="25.85546875" bestFit="1" customWidth="1"/>
    <col min="3003" max="3003" width="23.85546875" bestFit="1" customWidth="1"/>
    <col min="3004" max="3004" width="22.42578125" customWidth="1"/>
    <col min="3005" max="3005" width="10.85546875" bestFit="1" customWidth="1"/>
    <col min="3006" max="3006" width="8.42578125" bestFit="1" customWidth="1"/>
    <col min="3007" max="3007" width="15.7109375" bestFit="1" customWidth="1"/>
    <col min="3008" max="3008" width="19.28515625" bestFit="1" customWidth="1"/>
    <col min="3009" max="3009" width="28.140625" bestFit="1" customWidth="1"/>
    <col min="3010" max="3010" width="31.28515625" bestFit="1" customWidth="1"/>
    <col min="3011" max="3011" width="26.42578125" customWidth="1"/>
    <col min="3012" max="3012" width="15.28515625" customWidth="1"/>
    <col min="3013" max="3013" width="17.85546875" customWidth="1"/>
    <col min="3014" max="3014" width="36.28515625" bestFit="1" customWidth="1"/>
    <col min="3015" max="3015" width="24.42578125" bestFit="1" customWidth="1"/>
    <col min="3016" max="3016" width="11.42578125" bestFit="1" customWidth="1"/>
    <col min="3017" max="3017" width="10.140625" bestFit="1" customWidth="1"/>
    <col min="3018" max="3018" width="28.7109375" bestFit="1" customWidth="1"/>
    <col min="3019" max="3019" width="28.42578125" bestFit="1" customWidth="1"/>
    <col min="3020" max="3020" width="34.28515625" bestFit="1" customWidth="1"/>
    <col min="3021" max="3021" width="13.7109375" bestFit="1" customWidth="1"/>
    <col min="3022" max="3022" width="22.7109375" bestFit="1" customWidth="1"/>
    <col min="3023" max="3023" width="41.28515625" bestFit="1" customWidth="1"/>
    <col min="3024" max="3024" width="19.85546875" bestFit="1" customWidth="1"/>
    <col min="3025" max="3025" width="24.28515625" bestFit="1" customWidth="1"/>
    <col min="3026" max="3026" width="62.140625" bestFit="1" customWidth="1"/>
    <col min="3027" max="3027" width="23.85546875" bestFit="1" customWidth="1"/>
    <col min="3028" max="3028" width="32.85546875" bestFit="1" customWidth="1"/>
    <col min="3029" max="3029" width="30.42578125" bestFit="1" customWidth="1"/>
    <col min="3030" max="3030" width="12.28515625" bestFit="1" customWidth="1"/>
    <col min="3031" max="3031" width="14.42578125" bestFit="1" customWidth="1"/>
    <col min="3032" max="3032" width="18.85546875" customWidth="1"/>
    <col min="3252" max="3252" width="11" bestFit="1" customWidth="1"/>
    <col min="3253" max="3253" width="18.42578125" bestFit="1" customWidth="1"/>
    <col min="3254" max="3254" width="22.28515625" bestFit="1" customWidth="1"/>
    <col min="3255" max="3255" width="52.7109375" bestFit="1" customWidth="1"/>
    <col min="3256" max="3256" width="11.42578125" bestFit="1" customWidth="1"/>
    <col min="3257" max="3257" width="20.140625" bestFit="1" customWidth="1"/>
    <col min="3258" max="3258" width="25.85546875" bestFit="1" customWidth="1"/>
    <col min="3259" max="3259" width="23.85546875" bestFit="1" customWidth="1"/>
    <col min="3260" max="3260" width="22.42578125" customWidth="1"/>
    <col min="3261" max="3261" width="10.85546875" bestFit="1" customWidth="1"/>
    <col min="3262" max="3262" width="8.42578125" bestFit="1" customWidth="1"/>
    <col min="3263" max="3263" width="15.7109375" bestFit="1" customWidth="1"/>
    <col min="3264" max="3264" width="19.28515625" bestFit="1" customWidth="1"/>
    <col min="3265" max="3265" width="28.140625" bestFit="1" customWidth="1"/>
    <col min="3266" max="3266" width="31.28515625" bestFit="1" customWidth="1"/>
    <col min="3267" max="3267" width="26.42578125" customWidth="1"/>
    <col min="3268" max="3268" width="15.28515625" customWidth="1"/>
    <col min="3269" max="3269" width="17.85546875" customWidth="1"/>
    <col min="3270" max="3270" width="36.28515625" bestFit="1" customWidth="1"/>
    <col min="3271" max="3271" width="24.42578125" bestFit="1" customWidth="1"/>
    <col min="3272" max="3272" width="11.42578125" bestFit="1" customWidth="1"/>
    <col min="3273" max="3273" width="10.140625" bestFit="1" customWidth="1"/>
    <col min="3274" max="3274" width="28.7109375" bestFit="1" customWidth="1"/>
    <col min="3275" max="3275" width="28.42578125" bestFit="1" customWidth="1"/>
    <col min="3276" max="3276" width="34.28515625" bestFit="1" customWidth="1"/>
    <col min="3277" max="3277" width="13.7109375" bestFit="1" customWidth="1"/>
    <col min="3278" max="3278" width="22.7109375" bestFit="1" customWidth="1"/>
    <col min="3279" max="3279" width="41.28515625" bestFit="1" customWidth="1"/>
    <col min="3280" max="3280" width="19.85546875" bestFit="1" customWidth="1"/>
    <col min="3281" max="3281" width="24.28515625" bestFit="1" customWidth="1"/>
    <col min="3282" max="3282" width="62.140625" bestFit="1" customWidth="1"/>
    <col min="3283" max="3283" width="23.85546875" bestFit="1" customWidth="1"/>
    <col min="3284" max="3284" width="32.85546875" bestFit="1" customWidth="1"/>
    <col min="3285" max="3285" width="30.42578125" bestFit="1" customWidth="1"/>
    <col min="3286" max="3286" width="12.28515625" bestFit="1" customWidth="1"/>
    <col min="3287" max="3287" width="14.42578125" bestFit="1" customWidth="1"/>
    <col min="3288" max="3288" width="18.85546875" customWidth="1"/>
    <col min="3508" max="3508" width="11" bestFit="1" customWidth="1"/>
    <col min="3509" max="3509" width="18.42578125" bestFit="1" customWidth="1"/>
    <col min="3510" max="3510" width="22.28515625" bestFit="1" customWidth="1"/>
    <col min="3511" max="3511" width="52.7109375" bestFit="1" customWidth="1"/>
    <col min="3512" max="3512" width="11.42578125" bestFit="1" customWidth="1"/>
    <col min="3513" max="3513" width="20.140625" bestFit="1" customWidth="1"/>
    <col min="3514" max="3514" width="25.85546875" bestFit="1" customWidth="1"/>
    <col min="3515" max="3515" width="23.85546875" bestFit="1" customWidth="1"/>
    <col min="3516" max="3516" width="22.42578125" customWidth="1"/>
    <col min="3517" max="3517" width="10.85546875" bestFit="1" customWidth="1"/>
    <col min="3518" max="3518" width="8.42578125" bestFit="1" customWidth="1"/>
    <col min="3519" max="3519" width="15.7109375" bestFit="1" customWidth="1"/>
    <col min="3520" max="3520" width="19.28515625" bestFit="1" customWidth="1"/>
    <col min="3521" max="3521" width="28.140625" bestFit="1" customWidth="1"/>
    <col min="3522" max="3522" width="31.28515625" bestFit="1" customWidth="1"/>
    <col min="3523" max="3523" width="26.42578125" customWidth="1"/>
    <col min="3524" max="3524" width="15.28515625" customWidth="1"/>
    <col min="3525" max="3525" width="17.85546875" customWidth="1"/>
    <col min="3526" max="3526" width="36.28515625" bestFit="1" customWidth="1"/>
    <col min="3527" max="3527" width="24.42578125" bestFit="1" customWidth="1"/>
    <col min="3528" max="3528" width="11.42578125" bestFit="1" customWidth="1"/>
    <col min="3529" max="3529" width="10.140625" bestFit="1" customWidth="1"/>
    <col min="3530" max="3530" width="28.7109375" bestFit="1" customWidth="1"/>
    <col min="3531" max="3531" width="28.42578125" bestFit="1" customWidth="1"/>
    <col min="3532" max="3532" width="34.28515625" bestFit="1" customWidth="1"/>
    <col min="3533" max="3533" width="13.7109375" bestFit="1" customWidth="1"/>
    <col min="3534" max="3534" width="22.7109375" bestFit="1" customWidth="1"/>
    <col min="3535" max="3535" width="41.28515625" bestFit="1" customWidth="1"/>
    <col min="3536" max="3536" width="19.85546875" bestFit="1" customWidth="1"/>
    <col min="3537" max="3537" width="24.28515625" bestFit="1" customWidth="1"/>
    <col min="3538" max="3538" width="62.140625" bestFit="1" customWidth="1"/>
    <col min="3539" max="3539" width="23.85546875" bestFit="1" customWidth="1"/>
    <col min="3540" max="3540" width="32.85546875" bestFit="1" customWidth="1"/>
    <col min="3541" max="3541" width="30.42578125" bestFit="1" customWidth="1"/>
    <col min="3542" max="3542" width="12.28515625" bestFit="1" customWidth="1"/>
    <col min="3543" max="3543" width="14.42578125" bestFit="1" customWidth="1"/>
    <col min="3544" max="3544" width="18.85546875" customWidth="1"/>
    <col min="3764" max="3764" width="11" bestFit="1" customWidth="1"/>
    <col min="3765" max="3765" width="18.42578125" bestFit="1" customWidth="1"/>
    <col min="3766" max="3766" width="22.28515625" bestFit="1" customWidth="1"/>
    <col min="3767" max="3767" width="52.7109375" bestFit="1" customWidth="1"/>
    <col min="3768" max="3768" width="11.42578125" bestFit="1" customWidth="1"/>
    <col min="3769" max="3769" width="20.140625" bestFit="1" customWidth="1"/>
    <col min="3770" max="3770" width="25.85546875" bestFit="1" customWidth="1"/>
    <col min="3771" max="3771" width="23.85546875" bestFit="1" customWidth="1"/>
    <col min="3772" max="3772" width="22.42578125" customWidth="1"/>
    <col min="3773" max="3773" width="10.85546875" bestFit="1" customWidth="1"/>
    <col min="3774" max="3774" width="8.42578125" bestFit="1" customWidth="1"/>
    <col min="3775" max="3775" width="15.7109375" bestFit="1" customWidth="1"/>
    <col min="3776" max="3776" width="19.28515625" bestFit="1" customWidth="1"/>
    <col min="3777" max="3777" width="28.140625" bestFit="1" customWidth="1"/>
    <col min="3778" max="3778" width="31.28515625" bestFit="1" customWidth="1"/>
    <col min="3779" max="3779" width="26.42578125" customWidth="1"/>
    <col min="3780" max="3780" width="15.28515625" customWidth="1"/>
    <col min="3781" max="3781" width="17.85546875" customWidth="1"/>
    <col min="3782" max="3782" width="36.28515625" bestFit="1" customWidth="1"/>
    <col min="3783" max="3783" width="24.42578125" bestFit="1" customWidth="1"/>
    <col min="3784" max="3784" width="11.42578125" bestFit="1" customWidth="1"/>
    <col min="3785" max="3785" width="10.140625" bestFit="1" customWidth="1"/>
    <col min="3786" max="3786" width="28.7109375" bestFit="1" customWidth="1"/>
    <col min="3787" max="3787" width="28.42578125" bestFit="1" customWidth="1"/>
    <col min="3788" max="3788" width="34.28515625" bestFit="1" customWidth="1"/>
    <col min="3789" max="3789" width="13.7109375" bestFit="1" customWidth="1"/>
    <col min="3790" max="3790" width="22.7109375" bestFit="1" customWidth="1"/>
    <col min="3791" max="3791" width="41.28515625" bestFit="1" customWidth="1"/>
    <col min="3792" max="3792" width="19.85546875" bestFit="1" customWidth="1"/>
    <col min="3793" max="3793" width="24.28515625" bestFit="1" customWidth="1"/>
    <col min="3794" max="3794" width="62.140625" bestFit="1" customWidth="1"/>
    <col min="3795" max="3795" width="23.85546875" bestFit="1" customWidth="1"/>
    <col min="3796" max="3796" width="32.85546875" bestFit="1" customWidth="1"/>
    <col min="3797" max="3797" width="30.42578125" bestFit="1" customWidth="1"/>
    <col min="3798" max="3798" width="12.28515625" bestFit="1" customWidth="1"/>
    <col min="3799" max="3799" width="14.42578125" bestFit="1" customWidth="1"/>
    <col min="3800" max="3800" width="18.85546875" customWidth="1"/>
    <col min="4020" max="4020" width="11" bestFit="1" customWidth="1"/>
    <col min="4021" max="4021" width="18.42578125" bestFit="1" customWidth="1"/>
    <col min="4022" max="4022" width="22.28515625" bestFit="1" customWidth="1"/>
    <col min="4023" max="4023" width="52.7109375" bestFit="1" customWidth="1"/>
    <col min="4024" max="4024" width="11.42578125" bestFit="1" customWidth="1"/>
    <col min="4025" max="4025" width="20.140625" bestFit="1" customWidth="1"/>
    <col min="4026" max="4026" width="25.85546875" bestFit="1" customWidth="1"/>
    <col min="4027" max="4027" width="23.85546875" bestFit="1" customWidth="1"/>
    <col min="4028" max="4028" width="22.42578125" customWidth="1"/>
    <col min="4029" max="4029" width="10.85546875" bestFit="1" customWidth="1"/>
    <col min="4030" max="4030" width="8.42578125" bestFit="1" customWidth="1"/>
    <col min="4031" max="4031" width="15.7109375" bestFit="1" customWidth="1"/>
    <col min="4032" max="4032" width="19.28515625" bestFit="1" customWidth="1"/>
    <col min="4033" max="4033" width="28.140625" bestFit="1" customWidth="1"/>
    <col min="4034" max="4034" width="31.28515625" bestFit="1" customWidth="1"/>
    <col min="4035" max="4035" width="26.42578125" customWidth="1"/>
    <col min="4036" max="4036" width="15.28515625" customWidth="1"/>
    <col min="4037" max="4037" width="17.85546875" customWidth="1"/>
    <col min="4038" max="4038" width="36.28515625" bestFit="1" customWidth="1"/>
    <col min="4039" max="4039" width="24.42578125" bestFit="1" customWidth="1"/>
    <col min="4040" max="4040" width="11.42578125" bestFit="1" customWidth="1"/>
    <col min="4041" max="4041" width="10.140625" bestFit="1" customWidth="1"/>
    <col min="4042" max="4042" width="28.7109375" bestFit="1" customWidth="1"/>
    <col min="4043" max="4043" width="28.42578125" bestFit="1" customWidth="1"/>
    <col min="4044" max="4044" width="34.28515625" bestFit="1" customWidth="1"/>
    <col min="4045" max="4045" width="13.7109375" bestFit="1" customWidth="1"/>
    <col min="4046" max="4046" width="22.7109375" bestFit="1" customWidth="1"/>
    <col min="4047" max="4047" width="41.28515625" bestFit="1" customWidth="1"/>
    <col min="4048" max="4048" width="19.85546875" bestFit="1" customWidth="1"/>
    <col min="4049" max="4049" width="24.28515625" bestFit="1" customWidth="1"/>
    <col min="4050" max="4050" width="62.140625" bestFit="1" customWidth="1"/>
    <col min="4051" max="4051" width="23.85546875" bestFit="1" customWidth="1"/>
    <col min="4052" max="4052" width="32.85546875" bestFit="1" customWidth="1"/>
    <col min="4053" max="4053" width="30.42578125" bestFit="1" customWidth="1"/>
    <col min="4054" max="4054" width="12.28515625" bestFit="1" customWidth="1"/>
    <col min="4055" max="4055" width="14.42578125" bestFit="1" customWidth="1"/>
    <col min="4056" max="4056" width="18.85546875" customWidth="1"/>
    <col min="4276" max="4276" width="11" bestFit="1" customWidth="1"/>
    <col min="4277" max="4277" width="18.42578125" bestFit="1" customWidth="1"/>
    <col min="4278" max="4278" width="22.28515625" bestFit="1" customWidth="1"/>
    <col min="4279" max="4279" width="52.7109375" bestFit="1" customWidth="1"/>
    <col min="4280" max="4280" width="11.42578125" bestFit="1" customWidth="1"/>
    <col min="4281" max="4281" width="20.140625" bestFit="1" customWidth="1"/>
    <col min="4282" max="4282" width="25.85546875" bestFit="1" customWidth="1"/>
    <col min="4283" max="4283" width="23.85546875" bestFit="1" customWidth="1"/>
    <col min="4284" max="4284" width="22.42578125" customWidth="1"/>
    <col min="4285" max="4285" width="10.85546875" bestFit="1" customWidth="1"/>
    <col min="4286" max="4286" width="8.42578125" bestFit="1" customWidth="1"/>
    <col min="4287" max="4287" width="15.7109375" bestFit="1" customWidth="1"/>
    <col min="4288" max="4288" width="19.28515625" bestFit="1" customWidth="1"/>
    <col min="4289" max="4289" width="28.140625" bestFit="1" customWidth="1"/>
    <col min="4290" max="4290" width="31.28515625" bestFit="1" customWidth="1"/>
    <col min="4291" max="4291" width="26.42578125" customWidth="1"/>
    <col min="4292" max="4292" width="15.28515625" customWidth="1"/>
    <col min="4293" max="4293" width="17.85546875" customWidth="1"/>
    <col min="4294" max="4294" width="36.28515625" bestFit="1" customWidth="1"/>
    <col min="4295" max="4295" width="24.42578125" bestFit="1" customWidth="1"/>
    <col min="4296" max="4296" width="11.42578125" bestFit="1" customWidth="1"/>
    <col min="4297" max="4297" width="10.140625" bestFit="1" customWidth="1"/>
    <col min="4298" max="4298" width="28.7109375" bestFit="1" customWidth="1"/>
    <col min="4299" max="4299" width="28.42578125" bestFit="1" customWidth="1"/>
    <col min="4300" max="4300" width="34.28515625" bestFit="1" customWidth="1"/>
    <col min="4301" max="4301" width="13.7109375" bestFit="1" customWidth="1"/>
    <col min="4302" max="4302" width="22.7109375" bestFit="1" customWidth="1"/>
    <col min="4303" max="4303" width="41.28515625" bestFit="1" customWidth="1"/>
    <col min="4304" max="4304" width="19.85546875" bestFit="1" customWidth="1"/>
    <col min="4305" max="4305" width="24.28515625" bestFit="1" customWidth="1"/>
    <col min="4306" max="4306" width="62.140625" bestFit="1" customWidth="1"/>
    <col min="4307" max="4307" width="23.85546875" bestFit="1" customWidth="1"/>
    <col min="4308" max="4308" width="32.85546875" bestFit="1" customWidth="1"/>
    <col min="4309" max="4309" width="30.42578125" bestFit="1" customWidth="1"/>
    <col min="4310" max="4310" width="12.28515625" bestFit="1" customWidth="1"/>
    <col min="4311" max="4311" width="14.42578125" bestFit="1" customWidth="1"/>
    <col min="4312" max="4312" width="18.85546875" customWidth="1"/>
    <col min="4532" max="4532" width="11" bestFit="1" customWidth="1"/>
    <col min="4533" max="4533" width="18.42578125" bestFit="1" customWidth="1"/>
    <col min="4534" max="4534" width="22.28515625" bestFit="1" customWidth="1"/>
    <col min="4535" max="4535" width="52.7109375" bestFit="1" customWidth="1"/>
    <col min="4536" max="4536" width="11.42578125" bestFit="1" customWidth="1"/>
    <col min="4537" max="4537" width="20.140625" bestFit="1" customWidth="1"/>
    <col min="4538" max="4538" width="25.85546875" bestFit="1" customWidth="1"/>
    <col min="4539" max="4539" width="23.85546875" bestFit="1" customWidth="1"/>
    <col min="4540" max="4540" width="22.42578125" customWidth="1"/>
    <col min="4541" max="4541" width="10.85546875" bestFit="1" customWidth="1"/>
    <col min="4542" max="4542" width="8.42578125" bestFit="1" customWidth="1"/>
    <col min="4543" max="4543" width="15.7109375" bestFit="1" customWidth="1"/>
    <col min="4544" max="4544" width="19.28515625" bestFit="1" customWidth="1"/>
    <col min="4545" max="4545" width="28.140625" bestFit="1" customWidth="1"/>
    <col min="4546" max="4546" width="31.28515625" bestFit="1" customWidth="1"/>
    <col min="4547" max="4547" width="26.42578125" customWidth="1"/>
    <col min="4548" max="4548" width="15.28515625" customWidth="1"/>
    <col min="4549" max="4549" width="17.85546875" customWidth="1"/>
    <col min="4550" max="4550" width="36.28515625" bestFit="1" customWidth="1"/>
    <col min="4551" max="4551" width="24.42578125" bestFit="1" customWidth="1"/>
    <col min="4552" max="4552" width="11.42578125" bestFit="1" customWidth="1"/>
    <col min="4553" max="4553" width="10.140625" bestFit="1" customWidth="1"/>
    <col min="4554" max="4554" width="28.7109375" bestFit="1" customWidth="1"/>
    <col min="4555" max="4555" width="28.42578125" bestFit="1" customWidth="1"/>
    <col min="4556" max="4556" width="34.28515625" bestFit="1" customWidth="1"/>
    <col min="4557" max="4557" width="13.7109375" bestFit="1" customWidth="1"/>
    <col min="4558" max="4558" width="22.7109375" bestFit="1" customWidth="1"/>
    <col min="4559" max="4559" width="41.28515625" bestFit="1" customWidth="1"/>
    <col min="4560" max="4560" width="19.85546875" bestFit="1" customWidth="1"/>
    <col min="4561" max="4561" width="24.28515625" bestFit="1" customWidth="1"/>
    <col min="4562" max="4562" width="62.140625" bestFit="1" customWidth="1"/>
    <col min="4563" max="4563" width="23.85546875" bestFit="1" customWidth="1"/>
    <col min="4564" max="4564" width="32.85546875" bestFit="1" customWidth="1"/>
    <col min="4565" max="4565" width="30.42578125" bestFit="1" customWidth="1"/>
    <col min="4566" max="4566" width="12.28515625" bestFit="1" customWidth="1"/>
    <col min="4567" max="4567" width="14.42578125" bestFit="1" customWidth="1"/>
    <col min="4568" max="4568" width="18.85546875" customWidth="1"/>
    <col min="4788" max="4788" width="11" bestFit="1" customWidth="1"/>
    <col min="4789" max="4789" width="18.42578125" bestFit="1" customWidth="1"/>
    <col min="4790" max="4790" width="22.28515625" bestFit="1" customWidth="1"/>
    <col min="4791" max="4791" width="52.7109375" bestFit="1" customWidth="1"/>
    <col min="4792" max="4792" width="11.42578125" bestFit="1" customWidth="1"/>
    <col min="4793" max="4793" width="20.140625" bestFit="1" customWidth="1"/>
    <col min="4794" max="4794" width="25.85546875" bestFit="1" customWidth="1"/>
    <col min="4795" max="4795" width="23.85546875" bestFit="1" customWidth="1"/>
    <col min="4796" max="4796" width="22.42578125" customWidth="1"/>
    <col min="4797" max="4797" width="10.85546875" bestFit="1" customWidth="1"/>
    <col min="4798" max="4798" width="8.42578125" bestFit="1" customWidth="1"/>
    <col min="4799" max="4799" width="15.7109375" bestFit="1" customWidth="1"/>
    <col min="4800" max="4800" width="19.28515625" bestFit="1" customWidth="1"/>
    <col min="4801" max="4801" width="28.140625" bestFit="1" customWidth="1"/>
    <col min="4802" max="4802" width="31.28515625" bestFit="1" customWidth="1"/>
    <col min="4803" max="4803" width="26.42578125" customWidth="1"/>
    <col min="4804" max="4804" width="15.28515625" customWidth="1"/>
    <col min="4805" max="4805" width="17.85546875" customWidth="1"/>
    <col min="4806" max="4806" width="36.28515625" bestFit="1" customWidth="1"/>
    <col min="4807" max="4807" width="24.42578125" bestFit="1" customWidth="1"/>
    <col min="4808" max="4808" width="11.42578125" bestFit="1" customWidth="1"/>
    <col min="4809" max="4809" width="10.140625" bestFit="1" customWidth="1"/>
    <col min="4810" max="4810" width="28.7109375" bestFit="1" customWidth="1"/>
    <col min="4811" max="4811" width="28.42578125" bestFit="1" customWidth="1"/>
    <col min="4812" max="4812" width="34.28515625" bestFit="1" customWidth="1"/>
    <col min="4813" max="4813" width="13.7109375" bestFit="1" customWidth="1"/>
    <col min="4814" max="4814" width="22.7109375" bestFit="1" customWidth="1"/>
    <col min="4815" max="4815" width="41.28515625" bestFit="1" customWidth="1"/>
    <col min="4816" max="4816" width="19.85546875" bestFit="1" customWidth="1"/>
    <col min="4817" max="4817" width="24.28515625" bestFit="1" customWidth="1"/>
    <col min="4818" max="4818" width="62.140625" bestFit="1" customWidth="1"/>
    <col min="4819" max="4819" width="23.85546875" bestFit="1" customWidth="1"/>
    <col min="4820" max="4820" width="32.85546875" bestFit="1" customWidth="1"/>
    <col min="4821" max="4821" width="30.42578125" bestFit="1" customWidth="1"/>
    <col min="4822" max="4822" width="12.28515625" bestFit="1" customWidth="1"/>
    <col min="4823" max="4823" width="14.42578125" bestFit="1" customWidth="1"/>
    <col min="4824" max="4824" width="18.85546875" customWidth="1"/>
    <col min="5044" max="5044" width="11" bestFit="1" customWidth="1"/>
    <col min="5045" max="5045" width="18.42578125" bestFit="1" customWidth="1"/>
    <col min="5046" max="5046" width="22.28515625" bestFit="1" customWidth="1"/>
    <col min="5047" max="5047" width="52.7109375" bestFit="1" customWidth="1"/>
    <col min="5048" max="5048" width="11.42578125" bestFit="1" customWidth="1"/>
    <col min="5049" max="5049" width="20.140625" bestFit="1" customWidth="1"/>
    <col min="5050" max="5050" width="25.85546875" bestFit="1" customWidth="1"/>
    <col min="5051" max="5051" width="23.85546875" bestFit="1" customWidth="1"/>
    <col min="5052" max="5052" width="22.42578125" customWidth="1"/>
    <col min="5053" max="5053" width="10.85546875" bestFit="1" customWidth="1"/>
    <col min="5054" max="5054" width="8.42578125" bestFit="1" customWidth="1"/>
    <col min="5055" max="5055" width="15.7109375" bestFit="1" customWidth="1"/>
    <col min="5056" max="5056" width="19.28515625" bestFit="1" customWidth="1"/>
    <col min="5057" max="5057" width="28.140625" bestFit="1" customWidth="1"/>
    <col min="5058" max="5058" width="31.28515625" bestFit="1" customWidth="1"/>
    <col min="5059" max="5059" width="26.42578125" customWidth="1"/>
    <col min="5060" max="5060" width="15.28515625" customWidth="1"/>
    <col min="5061" max="5061" width="17.85546875" customWidth="1"/>
    <col min="5062" max="5062" width="36.28515625" bestFit="1" customWidth="1"/>
    <col min="5063" max="5063" width="24.42578125" bestFit="1" customWidth="1"/>
    <col min="5064" max="5064" width="11.42578125" bestFit="1" customWidth="1"/>
    <col min="5065" max="5065" width="10.140625" bestFit="1" customWidth="1"/>
    <col min="5066" max="5066" width="28.7109375" bestFit="1" customWidth="1"/>
    <col min="5067" max="5067" width="28.42578125" bestFit="1" customWidth="1"/>
    <col min="5068" max="5068" width="34.28515625" bestFit="1" customWidth="1"/>
    <col min="5069" max="5069" width="13.7109375" bestFit="1" customWidth="1"/>
    <col min="5070" max="5070" width="22.7109375" bestFit="1" customWidth="1"/>
    <col min="5071" max="5071" width="41.28515625" bestFit="1" customWidth="1"/>
    <col min="5072" max="5072" width="19.85546875" bestFit="1" customWidth="1"/>
    <col min="5073" max="5073" width="24.28515625" bestFit="1" customWidth="1"/>
    <col min="5074" max="5074" width="62.140625" bestFit="1" customWidth="1"/>
    <col min="5075" max="5075" width="23.85546875" bestFit="1" customWidth="1"/>
    <col min="5076" max="5076" width="32.85546875" bestFit="1" customWidth="1"/>
    <col min="5077" max="5077" width="30.42578125" bestFit="1" customWidth="1"/>
    <col min="5078" max="5078" width="12.28515625" bestFit="1" customWidth="1"/>
    <col min="5079" max="5079" width="14.42578125" bestFit="1" customWidth="1"/>
    <col min="5080" max="5080" width="18.85546875" customWidth="1"/>
    <col min="5300" max="5300" width="11" bestFit="1" customWidth="1"/>
    <col min="5301" max="5301" width="18.42578125" bestFit="1" customWidth="1"/>
    <col min="5302" max="5302" width="22.28515625" bestFit="1" customWidth="1"/>
    <col min="5303" max="5303" width="52.7109375" bestFit="1" customWidth="1"/>
    <col min="5304" max="5304" width="11.42578125" bestFit="1" customWidth="1"/>
    <col min="5305" max="5305" width="20.140625" bestFit="1" customWidth="1"/>
    <col min="5306" max="5306" width="25.85546875" bestFit="1" customWidth="1"/>
    <col min="5307" max="5307" width="23.85546875" bestFit="1" customWidth="1"/>
    <col min="5308" max="5308" width="22.42578125" customWidth="1"/>
    <col min="5309" max="5309" width="10.85546875" bestFit="1" customWidth="1"/>
    <col min="5310" max="5310" width="8.42578125" bestFit="1" customWidth="1"/>
    <col min="5311" max="5311" width="15.7109375" bestFit="1" customWidth="1"/>
    <col min="5312" max="5312" width="19.28515625" bestFit="1" customWidth="1"/>
    <col min="5313" max="5313" width="28.140625" bestFit="1" customWidth="1"/>
    <col min="5314" max="5314" width="31.28515625" bestFit="1" customWidth="1"/>
    <col min="5315" max="5315" width="26.42578125" customWidth="1"/>
    <col min="5316" max="5316" width="15.28515625" customWidth="1"/>
    <col min="5317" max="5317" width="17.85546875" customWidth="1"/>
    <col min="5318" max="5318" width="36.28515625" bestFit="1" customWidth="1"/>
    <col min="5319" max="5319" width="24.42578125" bestFit="1" customWidth="1"/>
    <col min="5320" max="5320" width="11.42578125" bestFit="1" customWidth="1"/>
    <col min="5321" max="5321" width="10.140625" bestFit="1" customWidth="1"/>
    <col min="5322" max="5322" width="28.7109375" bestFit="1" customWidth="1"/>
    <col min="5323" max="5323" width="28.42578125" bestFit="1" customWidth="1"/>
    <col min="5324" max="5324" width="34.28515625" bestFit="1" customWidth="1"/>
    <col min="5325" max="5325" width="13.7109375" bestFit="1" customWidth="1"/>
    <col min="5326" max="5326" width="22.7109375" bestFit="1" customWidth="1"/>
    <col min="5327" max="5327" width="41.28515625" bestFit="1" customWidth="1"/>
    <col min="5328" max="5328" width="19.85546875" bestFit="1" customWidth="1"/>
    <col min="5329" max="5329" width="24.28515625" bestFit="1" customWidth="1"/>
    <col min="5330" max="5330" width="62.140625" bestFit="1" customWidth="1"/>
    <col min="5331" max="5331" width="23.85546875" bestFit="1" customWidth="1"/>
    <col min="5332" max="5332" width="32.85546875" bestFit="1" customWidth="1"/>
    <col min="5333" max="5333" width="30.42578125" bestFit="1" customWidth="1"/>
    <col min="5334" max="5334" width="12.28515625" bestFit="1" customWidth="1"/>
    <col min="5335" max="5335" width="14.42578125" bestFit="1" customWidth="1"/>
    <col min="5336" max="5336" width="18.85546875" customWidth="1"/>
    <col min="5556" max="5556" width="11" bestFit="1" customWidth="1"/>
    <col min="5557" max="5557" width="18.42578125" bestFit="1" customWidth="1"/>
    <col min="5558" max="5558" width="22.28515625" bestFit="1" customWidth="1"/>
    <col min="5559" max="5559" width="52.7109375" bestFit="1" customWidth="1"/>
    <col min="5560" max="5560" width="11.42578125" bestFit="1" customWidth="1"/>
    <col min="5561" max="5561" width="20.140625" bestFit="1" customWidth="1"/>
    <col min="5562" max="5562" width="25.85546875" bestFit="1" customWidth="1"/>
    <col min="5563" max="5563" width="23.85546875" bestFit="1" customWidth="1"/>
    <col min="5564" max="5564" width="22.42578125" customWidth="1"/>
    <col min="5565" max="5565" width="10.85546875" bestFit="1" customWidth="1"/>
    <col min="5566" max="5566" width="8.42578125" bestFit="1" customWidth="1"/>
    <col min="5567" max="5567" width="15.7109375" bestFit="1" customWidth="1"/>
    <col min="5568" max="5568" width="19.28515625" bestFit="1" customWidth="1"/>
    <col min="5569" max="5569" width="28.140625" bestFit="1" customWidth="1"/>
    <col min="5570" max="5570" width="31.28515625" bestFit="1" customWidth="1"/>
    <col min="5571" max="5571" width="26.42578125" customWidth="1"/>
    <col min="5572" max="5572" width="15.28515625" customWidth="1"/>
    <col min="5573" max="5573" width="17.85546875" customWidth="1"/>
    <col min="5574" max="5574" width="36.28515625" bestFit="1" customWidth="1"/>
    <col min="5575" max="5575" width="24.42578125" bestFit="1" customWidth="1"/>
    <col min="5576" max="5576" width="11.42578125" bestFit="1" customWidth="1"/>
    <col min="5577" max="5577" width="10.140625" bestFit="1" customWidth="1"/>
    <col min="5578" max="5578" width="28.7109375" bestFit="1" customWidth="1"/>
    <col min="5579" max="5579" width="28.42578125" bestFit="1" customWidth="1"/>
    <col min="5580" max="5580" width="34.28515625" bestFit="1" customWidth="1"/>
    <col min="5581" max="5581" width="13.7109375" bestFit="1" customWidth="1"/>
    <col min="5582" max="5582" width="22.7109375" bestFit="1" customWidth="1"/>
    <col min="5583" max="5583" width="41.28515625" bestFit="1" customWidth="1"/>
    <col min="5584" max="5584" width="19.85546875" bestFit="1" customWidth="1"/>
    <col min="5585" max="5585" width="24.28515625" bestFit="1" customWidth="1"/>
    <col min="5586" max="5586" width="62.140625" bestFit="1" customWidth="1"/>
    <col min="5587" max="5587" width="23.85546875" bestFit="1" customWidth="1"/>
    <col min="5588" max="5588" width="32.85546875" bestFit="1" customWidth="1"/>
    <col min="5589" max="5589" width="30.42578125" bestFit="1" customWidth="1"/>
    <col min="5590" max="5590" width="12.28515625" bestFit="1" customWidth="1"/>
    <col min="5591" max="5591" width="14.42578125" bestFit="1" customWidth="1"/>
    <col min="5592" max="5592" width="18.85546875" customWidth="1"/>
    <col min="5812" max="5812" width="11" bestFit="1" customWidth="1"/>
    <col min="5813" max="5813" width="18.42578125" bestFit="1" customWidth="1"/>
    <col min="5814" max="5814" width="22.28515625" bestFit="1" customWidth="1"/>
    <col min="5815" max="5815" width="52.7109375" bestFit="1" customWidth="1"/>
    <col min="5816" max="5816" width="11.42578125" bestFit="1" customWidth="1"/>
    <col min="5817" max="5817" width="20.140625" bestFit="1" customWidth="1"/>
    <col min="5818" max="5818" width="25.85546875" bestFit="1" customWidth="1"/>
    <col min="5819" max="5819" width="23.85546875" bestFit="1" customWidth="1"/>
    <col min="5820" max="5820" width="22.42578125" customWidth="1"/>
    <col min="5821" max="5821" width="10.85546875" bestFit="1" customWidth="1"/>
    <col min="5822" max="5822" width="8.42578125" bestFit="1" customWidth="1"/>
    <col min="5823" max="5823" width="15.7109375" bestFit="1" customWidth="1"/>
    <col min="5824" max="5824" width="19.28515625" bestFit="1" customWidth="1"/>
    <col min="5825" max="5825" width="28.140625" bestFit="1" customWidth="1"/>
    <col min="5826" max="5826" width="31.28515625" bestFit="1" customWidth="1"/>
    <col min="5827" max="5827" width="26.42578125" customWidth="1"/>
    <col min="5828" max="5828" width="15.28515625" customWidth="1"/>
    <col min="5829" max="5829" width="17.85546875" customWidth="1"/>
    <col min="5830" max="5830" width="36.28515625" bestFit="1" customWidth="1"/>
    <col min="5831" max="5831" width="24.42578125" bestFit="1" customWidth="1"/>
    <col min="5832" max="5832" width="11.42578125" bestFit="1" customWidth="1"/>
    <col min="5833" max="5833" width="10.140625" bestFit="1" customWidth="1"/>
    <col min="5834" max="5834" width="28.7109375" bestFit="1" customWidth="1"/>
    <col min="5835" max="5835" width="28.42578125" bestFit="1" customWidth="1"/>
    <col min="5836" max="5836" width="34.28515625" bestFit="1" customWidth="1"/>
    <col min="5837" max="5837" width="13.7109375" bestFit="1" customWidth="1"/>
    <col min="5838" max="5838" width="22.7109375" bestFit="1" customWidth="1"/>
    <col min="5839" max="5839" width="41.28515625" bestFit="1" customWidth="1"/>
    <col min="5840" max="5840" width="19.85546875" bestFit="1" customWidth="1"/>
    <col min="5841" max="5841" width="24.28515625" bestFit="1" customWidth="1"/>
    <col min="5842" max="5842" width="62.140625" bestFit="1" customWidth="1"/>
    <col min="5843" max="5843" width="23.85546875" bestFit="1" customWidth="1"/>
    <col min="5844" max="5844" width="32.85546875" bestFit="1" customWidth="1"/>
    <col min="5845" max="5845" width="30.42578125" bestFit="1" customWidth="1"/>
    <col min="5846" max="5846" width="12.28515625" bestFit="1" customWidth="1"/>
    <col min="5847" max="5847" width="14.42578125" bestFit="1" customWidth="1"/>
    <col min="5848" max="5848" width="18.85546875" customWidth="1"/>
    <col min="6068" max="6068" width="11" bestFit="1" customWidth="1"/>
    <col min="6069" max="6069" width="18.42578125" bestFit="1" customWidth="1"/>
    <col min="6070" max="6070" width="22.28515625" bestFit="1" customWidth="1"/>
    <col min="6071" max="6071" width="52.7109375" bestFit="1" customWidth="1"/>
    <col min="6072" max="6072" width="11.42578125" bestFit="1" customWidth="1"/>
    <col min="6073" max="6073" width="20.140625" bestFit="1" customWidth="1"/>
    <col min="6074" max="6074" width="25.85546875" bestFit="1" customWidth="1"/>
    <col min="6075" max="6075" width="23.85546875" bestFit="1" customWidth="1"/>
    <col min="6076" max="6076" width="22.42578125" customWidth="1"/>
    <col min="6077" max="6077" width="10.85546875" bestFit="1" customWidth="1"/>
    <col min="6078" max="6078" width="8.42578125" bestFit="1" customWidth="1"/>
    <col min="6079" max="6079" width="15.7109375" bestFit="1" customWidth="1"/>
    <col min="6080" max="6080" width="19.28515625" bestFit="1" customWidth="1"/>
    <col min="6081" max="6081" width="28.140625" bestFit="1" customWidth="1"/>
    <col min="6082" max="6082" width="31.28515625" bestFit="1" customWidth="1"/>
    <col min="6083" max="6083" width="26.42578125" customWidth="1"/>
    <col min="6084" max="6084" width="15.28515625" customWidth="1"/>
    <col min="6085" max="6085" width="17.85546875" customWidth="1"/>
    <col min="6086" max="6086" width="36.28515625" bestFit="1" customWidth="1"/>
    <col min="6087" max="6087" width="24.42578125" bestFit="1" customWidth="1"/>
    <col min="6088" max="6088" width="11.42578125" bestFit="1" customWidth="1"/>
    <col min="6089" max="6089" width="10.140625" bestFit="1" customWidth="1"/>
    <col min="6090" max="6090" width="28.7109375" bestFit="1" customWidth="1"/>
    <col min="6091" max="6091" width="28.42578125" bestFit="1" customWidth="1"/>
    <col min="6092" max="6092" width="34.28515625" bestFit="1" customWidth="1"/>
    <col min="6093" max="6093" width="13.7109375" bestFit="1" customWidth="1"/>
    <col min="6094" max="6094" width="22.7109375" bestFit="1" customWidth="1"/>
    <col min="6095" max="6095" width="41.28515625" bestFit="1" customWidth="1"/>
    <col min="6096" max="6096" width="19.85546875" bestFit="1" customWidth="1"/>
    <col min="6097" max="6097" width="24.28515625" bestFit="1" customWidth="1"/>
    <col min="6098" max="6098" width="62.140625" bestFit="1" customWidth="1"/>
    <col min="6099" max="6099" width="23.85546875" bestFit="1" customWidth="1"/>
    <col min="6100" max="6100" width="32.85546875" bestFit="1" customWidth="1"/>
    <col min="6101" max="6101" width="30.42578125" bestFit="1" customWidth="1"/>
    <col min="6102" max="6102" width="12.28515625" bestFit="1" customWidth="1"/>
    <col min="6103" max="6103" width="14.42578125" bestFit="1" customWidth="1"/>
    <col min="6104" max="6104" width="18.85546875" customWidth="1"/>
    <col min="6324" max="6324" width="11" bestFit="1" customWidth="1"/>
    <col min="6325" max="6325" width="18.42578125" bestFit="1" customWidth="1"/>
    <col min="6326" max="6326" width="22.28515625" bestFit="1" customWidth="1"/>
    <col min="6327" max="6327" width="52.7109375" bestFit="1" customWidth="1"/>
    <col min="6328" max="6328" width="11.42578125" bestFit="1" customWidth="1"/>
    <col min="6329" max="6329" width="20.140625" bestFit="1" customWidth="1"/>
    <col min="6330" max="6330" width="25.85546875" bestFit="1" customWidth="1"/>
    <col min="6331" max="6331" width="23.85546875" bestFit="1" customWidth="1"/>
    <col min="6332" max="6332" width="22.42578125" customWidth="1"/>
    <col min="6333" max="6333" width="10.85546875" bestFit="1" customWidth="1"/>
    <col min="6334" max="6334" width="8.42578125" bestFit="1" customWidth="1"/>
    <col min="6335" max="6335" width="15.7109375" bestFit="1" customWidth="1"/>
    <col min="6336" max="6336" width="19.28515625" bestFit="1" customWidth="1"/>
    <col min="6337" max="6337" width="28.140625" bestFit="1" customWidth="1"/>
    <col min="6338" max="6338" width="31.28515625" bestFit="1" customWidth="1"/>
    <col min="6339" max="6339" width="26.42578125" customWidth="1"/>
    <col min="6340" max="6340" width="15.28515625" customWidth="1"/>
    <col min="6341" max="6341" width="17.85546875" customWidth="1"/>
    <col min="6342" max="6342" width="36.28515625" bestFit="1" customWidth="1"/>
    <col min="6343" max="6343" width="24.42578125" bestFit="1" customWidth="1"/>
    <col min="6344" max="6344" width="11.42578125" bestFit="1" customWidth="1"/>
    <col min="6345" max="6345" width="10.140625" bestFit="1" customWidth="1"/>
    <col min="6346" max="6346" width="28.7109375" bestFit="1" customWidth="1"/>
    <col min="6347" max="6347" width="28.42578125" bestFit="1" customWidth="1"/>
    <col min="6348" max="6348" width="34.28515625" bestFit="1" customWidth="1"/>
    <col min="6349" max="6349" width="13.7109375" bestFit="1" customWidth="1"/>
    <col min="6350" max="6350" width="22.7109375" bestFit="1" customWidth="1"/>
    <col min="6351" max="6351" width="41.28515625" bestFit="1" customWidth="1"/>
    <col min="6352" max="6352" width="19.85546875" bestFit="1" customWidth="1"/>
    <col min="6353" max="6353" width="24.28515625" bestFit="1" customWidth="1"/>
    <col min="6354" max="6354" width="62.140625" bestFit="1" customWidth="1"/>
    <col min="6355" max="6355" width="23.85546875" bestFit="1" customWidth="1"/>
    <col min="6356" max="6356" width="32.85546875" bestFit="1" customWidth="1"/>
    <col min="6357" max="6357" width="30.42578125" bestFit="1" customWidth="1"/>
    <col min="6358" max="6358" width="12.28515625" bestFit="1" customWidth="1"/>
    <col min="6359" max="6359" width="14.42578125" bestFit="1" customWidth="1"/>
    <col min="6360" max="6360" width="18.85546875" customWidth="1"/>
    <col min="6580" max="6580" width="11" bestFit="1" customWidth="1"/>
    <col min="6581" max="6581" width="18.42578125" bestFit="1" customWidth="1"/>
    <col min="6582" max="6582" width="22.28515625" bestFit="1" customWidth="1"/>
    <col min="6583" max="6583" width="52.7109375" bestFit="1" customWidth="1"/>
    <col min="6584" max="6584" width="11.42578125" bestFit="1" customWidth="1"/>
    <col min="6585" max="6585" width="20.140625" bestFit="1" customWidth="1"/>
    <col min="6586" max="6586" width="25.85546875" bestFit="1" customWidth="1"/>
    <col min="6587" max="6587" width="23.85546875" bestFit="1" customWidth="1"/>
    <col min="6588" max="6588" width="22.42578125" customWidth="1"/>
    <col min="6589" max="6589" width="10.85546875" bestFit="1" customWidth="1"/>
    <col min="6590" max="6590" width="8.42578125" bestFit="1" customWidth="1"/>
    <col min="6591" max="6591" width="15.7109375" bestFit="1" customWidth="1"/>
    <col min="6592" max="6592" width="19.28515625" bestFit="1" customWidth="1"/>
    <col min="6593" max="6593" width="28.140625" bestFit="1" customWidth="1"/>
    <col min="6594" max="6594" width="31.28515625" bestFit="1" customWidth="1"/>
    <col min="6595" max="6595" width="26.42578125" customWidth="1"/>
    <col min="6596" max="6596" width="15.28515625" customWidth="1"/>
    <col min="6597" max="6597" width="17.85546875" customWidth="1"/>
    <col min="6598" max="6598" width="36.28515625" bestFit="1" customWidth="1"/>
    <col min="6599" max="6599" width="24.42578125" bestFit="1" customWidth="1"/>
    <col min="6600" max="6600" width="11.42578125" bestFit="1" customWidth="1"/>
    <col min="6601" max="6601" width="10.140625" bestFit="1" customWidth="1"/>
    <col min="6602" max="6602" width="28.7109375" bestFit="1" customWidth="1"/>
    <col min="6603" max="6603" width="28.42578125" bestFit="1" customWidth="1"/>
    <col min="6604" max="6604" width="34.28515625" bestFit="1" customWidth="1"/>
    <col min="6605" max="6605" width="13.7109375" bestFit="1" customWidth="1"/>
    <col min="6606" max="6606" width="22.7109375" bestFit="1" customWidth="1"/>
    <col min="6607" max="6607" width="41.28515625" bestFit="1" customWidth="1"/>
    <col min="6608" max="6608" width="19.85546875" bestFit="1" customWidth="1"/>
    <col min="6609" max="6609" width="24.28515625" bestFit="1" customWidth="1"/>
    <col min="6610" max="6610" width="62.140625" bestFit="1" customWidth="1"/>
    <col min="6611" max="6611" width="23.85546875" bestFit="1" customWidth="1"/>
    <col min="6612" max="6612" width="32.85546875" bestFit="1" customWidth="1"/>
    <col min="6613" max="6613" width="30.42578125" bestFit="1" customWidth="1"/>
    <col min="6614" max="6614" width="12.28515625" bestFit="1" customWidth="1"/>
    <col min="6615" max="6615" width="14.42578125" bestFit="1" customWidth="1"/>
    <col min="6616" max="6616" width="18.85546875" customWidth="1"/>
    <col min="6836" max="6836" width="11" bestFit="1" customWidth="1"/>
    <col min="6837" max="6837" width="18.42578125" bestFit="1" customWidth="1"/>
    <col min="6838" max="6838" width="22.28515625" bestFit="1" customWidth="1"/>
    <col min="6839" max="6839" width="52.7109375" bestFit="1" customWidth="1"/>
    <col min="6840" max="6840" width="11.42578125" bestFit="1" customWidth="1"/>
    <col min="6841" max="6841" width="20.140625" bestFit="1" customWidth="1"/>
    <col min="6842" max="6842" width="25.85546875" bestFit="1" customWidth="1"/>
    <col min="6843" max="6843" width="23.85546875" bestFit="1" customWidth="1"/>
    <col min="6844" max="6844" width="22.42578125" customWidth="1"/>
    <col min="6845" max="6845" width="10.85546875" bestFit="1" customWidth="1"/>
    <col min="6846" max="6846" width="8.42578125" bestFit="1" customWidth="1"/>
    <col min="6847" max="6847" width="15.7109375" bestFit="1" customWidth="1"/>
    <col min="6848" max="6848" width="19.28515625" bestFit="1" customWidth="1"/>
    <col min="6849" max="6849" width="28.140625" bestFit="1" customWidth="1"/>
    <col min="6850" max="6850" width="31.28515625" bestFit="1" customWidth="1"/>
    <col min="6851" max="6851" width="26.42578125" customWidth="1"/>
    <col min="6852" max="6852" width="15.28515625" customWidth="1"/>
    <col min="6853" max="6853" width="17.85546875" customWidth="1"/>
    <col min="6854" max="6854" width="36.28515625" bestFit="1" customWidth="1"/>
    <col min="6855" max="6855" width="24.42578125" bestFit="1" customWidth="1"/>
    <col min="6856" max="6856" width="11.42578125" bestFit="1" customWidth="1"/>
    <col min="6857" max="6857" width="10.140625" bestFit="1" customWidth="1"/>
    <col min="6858" max="6858" width="28.7109375" bestFit="1" customWidth="1"/>
    <col min="6859" max="6859" width="28.42578125" bestFit="1" customWidth="1"/>
    <col min="6860" max="6860" width="34.28515625" bestFit="1" customWidth="1"/>
    <col min="6861" max="6861" width="13.7109375" bestFit="1" customWidth="1"/>
    <col min="6862" max="6862" width="22.7109375" bestFit="1" customWidth="1"/>
    <col min="6863" max="6863" width="41.28515625" bestFit="1" customWidth="1"/>
    <col min="6864" max="6864" width="19.85546875" bestFit="1" customWidth="1"/>
    <col min="6865" max="6865" width="24.28515625" bestFit="1" customWidth="1"/>
    <col min="6866" max="6866" width="62.140625" bestFit="1" customWidth="1"/>
    <col min="6867" max="6867" width="23.85546875" bestFit="1" customWidth="1"/>
    <col min="6868" max="6868" width="32.85546875" bestFit="1" customWidth="1"/>
    <col min="6869" max="6869" width="30.42578125" bestFit="1" customWidth="1"/>
    <col min="6870" max="6870" width="12.28515625" bestFit="1" customWidth="1"/>
    <col min="6871" max="6871" width="14.42578125" bestFit="1" customWidth="1"/>
    <col min="6872" max="6872" width="18.85546875" customWidth="1"/>
    <col min="7092" max="7092" width="11" bestFit="1" customWidth="1"/>
    <col min="7093" max="7093" width="18.42578125" bestFit="1" customWidth="1"/>
    <col min="7094" max="7094" width="22.28515625" bestFit="1" customWidth="1"/>
    <col min="7095" max="7095" width="52.7109375" bestFit="1" customWidth="1"/>
    <col min="7096" max="7096" width="11.42578125" bestFit="1" customWidth="1"/>
    <col min="7097" max="7097" width="20.140625" bestFit="1" customWidth="1"/>
    <col min="7098" max="7098" width="25.85546875" bestFit="1" customWidth="1"/>
    <col min="7099" max="7099" width="23.85546875" bestFit="1" customWidth="1"/>
    <col min="7100" max="7100" width="22.42578125" customWidth="1"/>
    <col min="7101" max="7101" width="10.85546875" bestFit="1" customWidth="1"/>
    <col min="7102" max="7102" width="8.42578125" bestFit="1" customWidth="1"/>
    <col min="7103" max="7103" width="15.7109375" bestFit="1" customWidth="1"/>
    <col min="7104" max="7104" width="19.28515625" bestFit="1" customWidth="1"/>
    <col min="7105" max="7105" width="28.140625" bestFit="1" customWidth="1"/>
    <col min="7106" max="7106" width="31.28515625" bestFit="1" customWidth="1"/>
    <col min="7107" max="7107" width="26.42578125" customWidth="1"/>
    <col min="7108" max="7108" width="15.28515625" customWidth="1"/>
    <col min="7109" max="7109" width="17.85546875" customWidth="1"/>
    <col min="7110" max="7110" width="36.28515625" bestFit="1" customWidth="1"/>
    <col min="7111" max="7111" width="24.42578125" bestFit="1" customWidth="1"/>
    <col min="7112" max="7112" width="11.42578125" bestFit="1" customWidth="1"/>
    <col min="7113" max="7113" width="10.140625" bestFit="1" customWidth="1"/>
    <col min="7114" max="7114" width="28.7109375" bestFit="1" customWidth="1"/>
    <col min="7115" max="7115" width="28.42578125" bestFit="1" customWidth="1"/>
    <col min="7116" max="7116" width="34.28515625" bestFit="1" customWidth="1"/>
    <col min="7117" max="7117" width="13.7109375" bestFit="1" customWidth="1"/>
    <col min="7118" max="7118" width="22.7109375" bestFit="1" customWidth="1"/>
    <col min="7119" max="7119" width="41.28515625" bestFit="1" customWidth="1"/>
    <col min="7120" max="7120" width="19.85546875" bestFit="1" customWidth="1"/>
    <col min="7121" max="7121" width="24.28515625" bestFit="1" customWidth="1"/>
    <col min="7122" max="7122" width="62.140625" bestFit="1" customWidth="1"/>
    <col min="7123" max="7123" width="23.85546875" bestFit="1" customWidth="1"/>
    <col min="7124" max="7124" width="32.85546875" bestFit="1" customWidth="1"/>
    <col min="7125" max="7125" width="30.42578125" bestFit="1" customWidth="1"/>
    <col min="7126" max="7126" width="12.28515625" bestFit="1" customWidth="1"/>
    <col min="7127" max="7127" width="14.42578125" bestFit="1" customWidth="1"/>
    <col min="7128" max="7128" width="18.85546875" customWidth="1"/>
    <col min="7348" max="7348" width="11" bestFit="1" customWidth="1"/>
    <col min="7349" max="7349" width="18.42578125" bestFit="1" customWidth="1"/>
    <col min="7350" max="7350" width="22.28515625" bestFit="1" customWidth="1"/>
    <col min="7351" max="7351" width="52.7109375" bestFit="1" customWidth="1"/>
    <col min="7352" max="7352" width="11.42578125" bestFit="1" customWidth="1"/>
    <col min="7353" max="7353" width="20.140625" bestFit="1" customWidth="1"/>
    <col min="7354" max="7354" width="25.85546875" bestFit="1" customWidth="1"/>
    <col min="7355" max="7355" width="23.85546875" bestFit="1" customWidth="1"/>
    <col min="7356" max="7356" width="22.42578125" customWidth="1"/>
    <col min="7357" max="7357" width="10.85546875" bestFit="1" customWidth="1"/>
    <col min="7358" max="7358" width="8.42578125" bestFit="1" customWidth="1"/>
    <col min="7359" max="7359" width="15.7109375" bestFit="1" customWidth="1"/>
    <col min="7360" max="7360" width="19.28515625" bestFit="1" customWidth="1"/>
    <col min="7361" max="7361" width="28.140625" bestFit="1" customWidth="1"/>
    <col min="7362" max="7362" width="31.28515625" bestFit="1" customWidth="1"/>
    <col min="7363" max="7363" width="26.42578125" customWidth="1"/>
    <col min="7364" max="7364" width="15.28515625" customWidth="1"/>
    <col min="7365" max="7365" width="17.85546875" customWidth="1"/>
    <col min="7366" max="7366" width="36.28515625" bestFit="1" customWidth="1"/>
    <col min="7367" max="7367" width="24.42578125" bestFit="1" customWidth="1"/>
    <col min="7368" max="7368" width="11.42578125" bestFit="1" customWidth="1"/>
    <col min="7369" max="7369" width="10.140625" bestFit="1" customWidth="1"/>
    <col min="7370" max="7370" width="28.7109375" bestFit="1" customWidth="1"/>
    <col min="7371" max="7371" width="28.42578125" bestFit="1" customWidth="1"/>
    <col min="7372" max="7372" width="34.28515625" bestFit="1" customWidth="1"/>
    <col min="7373" max="7373" width="13.7109375" bestFit="1" customWidth="1"/>
    <col min="7374" max="7374" width="22.7109375" bestFit="1" customWidth="1"/>
    <col min="7375" max="7375" width="41.28515625" bestFit="1" customWidth="1"/>
    <col min="7376" max="7376" width="19.85546875" bestFit="1" customWidth="1"/>
    <col min="7377" max="7377" width="24.28515625" bestFit="1" customWidth="1"/>
    <col min="7378" max="7378" width="62.140625" bestFit="1" customWidth="1"/>
    <col min="7379" max="7379" width="23.85546875" bestFit="1" customWidth="1"/>
    <col min="7380" max="7380" width="32.85546875" bestFit="1" customWidth="1"/>
    <col min="7381" max="7381" width="30.42578125" bestFit="1" customWidth="1"/>
    <col min="7382" max="7382" width="12.28515625" bestFit="1" customWidth="1"/>
    <col min="7383" max="7383" width="14.42578125" bestFit="1" customWidth="1"/>
    <col min="7384" max="7384" width="18.85546875" customWidth="1"/>
    <col min="7604" max="7604" width="11" bestFit="1" customWidth="1"/>
    <col min="7605" max="7605" width="18.42578125" bestFit="1" customWidth="1"/>
    <col min="7606" max="7606" width="22.28515625" bestFit="1" customWidth="1"/>
    <col min="7607" max="7607" width="52.7109375" bestFit="1" customWidth="1"/>
    <col min="7608" max="7608" width="11.42578125" bestFit="1" customWidth="1"/>
    <col min="7609" max="7609" width="20.140625" bestFit="1" customWidth="1"/>
    <col min="7610" max="7610" width="25.85546875" bestFit="1" customWidth="1"/>
    <col min="7611" max="7611" width="23.85546875" bestFit="1" customWidth="1"/>
    <col min="7612" max="7612" width="22.42578125" customWidth="1"/>
    <col min="7613" max="7613" width="10.85546875" bestFit="1" customWidth="1"/>
    <col min="7614" max="7614" width="8.42578125" bestFit="1" customWidth="1"/>
    <col min="7615" max="7615" width="15.7109375" bestFit="1" customWidth="1"/>
    <col min="7616" max="7616" width="19.28515625" bestFit="1" customWidth="1"/>
    <col min="7617" max="7617" width="28.140625" bestFit="1" customWidth="1"/>
    <col min="7618" max="7618" width="31.28515625" bestFit="1" customWidth="1"/>
    <col min="7619" max="7619" width="26.42578125" customWidth="1"/>
    <col min="7620" max="7620" width="15.28515625" customWidth="1"/>
    <col min="7621" max="7621" width="17.85546875" customWidth="1"/>
    <col min="7622" max="7622" width="36.28515625" bestFit="1" customWidth="1"/>
    <col min="7623" max="7623" width="24.42578125" bestFit="1" customWidth="1"/>
    <col min="7624" max="7624" width="11.42578125" bestFit="1" customWidth="1"/>
    <col min="7625" max="7625" width="10.140625" bestFit="1" customWidth="1"/>
    <col min="7626" max="7626" width="28.7109375" bestFit="1" customWidth="1"/>
    <col min="7627" max="7627" width="28.42578125" bestFit="1" customWidth="1"/>
    <col min="7628" max="7628" width="34.28515625" bestFit="1" customWidth="1"/>
    <col min="7629" max="7629" width="13.7109375" bestFit="1" customWidth="1"/>
    <col min="7630" max="7630" width="22.7109375" bestFit="1" customWidth="1"/>
    <col min="7631" max="7631" width="41.28515625" bestFit="1" customWidth="1"/>
    <col min="7632" max="7632" width="19.85546875" bestFit="1" customWidth="1"/>
    <col min="7633" max="7633" width="24.28515625" bestFit="1" customWidth="1"/>
    <col min="7634" max="7634" width="62.140625" bestFit="1" customWidth="1"/>
    <col min="7635" max="7635" width="23.85546875" bestFit="1" customWidth="1"/>
    <col min="7636" max="7636" width="32.85546875" bestFit="1" customWidth="1"/>
    <col min="7637" max="7637" width="30.42578125" bestFit="1" customWidth="1"/>
    <col min="7638" max="7638" width="12.28515625" bestFit="1" customWidth="1"/>
    <col min="7639" max="7639" width="14.42578125" bestFit="1" customWidth="1"/>
    <col min="7640" max="7640" width="18.85546875" customWidth="1"/>
    <col min="7860" max="7860" width="11" bestFit="1" customWidth="1"/>
    <col min="7861" max="7861" width="18.42578125" bestFit="1" customWidth="1"/>
    <col min="7862" max="7862" width="22.28515625" bestFit="1" customWidth="1"/>
    <col min="7863" max="7863" width="52.7109375" bestFit="1" customWidth="1"/>
    <col min="7864" max="7864" width="11.42578125" bestFit="1" customWidth="1"/>
    <col min="7865" max="7865" width="20.140625" bestFit="1" customWidth="1"/>
    <col min="7866" max="7866" width="25.85546875" bestFit="1" customWidth="1"/>
    <col min="7867" max="7867" width="23.85546875" bestFit="1" customWidth="1"/>
    <col min="7868" max="7868" width="22.42578125" customWidth="1"/>
    <col min="7869" max="7869" width="10.85546875" bestFit="1" customWidth="1"/>
    <col min="7870" max="7870" width="8.42578125" bestFit="1" customWidth="1"/>
    <col min="7871" max="7871" width="15.7109375" bestFit="1" customWidth="1"/>
    <col min="7872" max="7872" width="19.28515625" bestFit="1" customWidth="1"/>
    <col min="7873" max="7873" width="28.140625" bestFit="1" customWidth="1"/>
    <col min="7874" max="7874" width="31.28515625" bestFit="1" customWidth="1"/>
    <col min="7875" max="7875" width="26.42578125" customWidth="1"/>
    <col min="7876" max="7876" width="15.28515625" customWidth="1"/>
    <col min="7877" max="7877" width="17.85546875" customWidth="1"/>
    <col min="7878" max="7878" width="36.28515625" bestFit="1" customWidth="1"/>
    <col min="7879" max="7879" width="24.42578125" bestFit="1" customWidth="1"/>
    <col min="7880" max="7880" width="11.42578125" bestFit="1" customWidth="1"/>
    <col min="7881" max="7881" width="10.140625" bestFit="1" customWidth="1"/>
    <col min="7882" max="7882" width="28.7109375" bestFit="1" customWidth="1"/>
    <col min="7883" max="7883" width="28.42578125" bestFit="1" customWidth="1"/>
    <col min="7884" max="7884" width="34.28515625" bestFit="1" customWidth="1"/>
    <col min="7885" max="7885" width="13.7109375" bestFit="1" customWidth="1"/>
    <col min="7886" max="7886" width="22.7109375" bestFit="1" customWidth="1"/>
    <col min="7887" max="7887" width="41.28515625" bestFit="1" customWidth="1"/>
    <col min="7888" max="7888" width="19.85546875" bestFit="1" customWidth="1"/>
    <col min="7889" max="7889" width="24.28515625" bestFit="1" customWidth="1"/>
    <col min="7890" max="7890" width="62.140625" bestFit="1" customWidth="1"/>
    <col min="7891" max="7891" width="23.85546875" bestFit="1" customWidth="1"/>
    <col min="7892" max="7892" width="32.85546875" bestFit="1" customWidth="1"/>
    <col min="7893" max="7893" width="30.42578125" bestFit="1" customWidth="1"/>
    <col min="7894" max="7894" width="12.28515625" bestFit="1" customWidth="1"/>
    <col min="7895" max="7895" width="14.42578125" bestFit="1" customWidth="1"/>
    <col min="7896" max="7896" width="18.85546875" customWidth="1"/>
    <col min="8116" max="8116" width="11" bestFit="1" customWidth="1"/>
    <col min="8117" max="8117" width="18.42578125" bestFit="1" customWidth="1"/>
    <col min="8118" max="8118" width="22.28515625" bestFit="1" customWidth="1"/>
    <col min="8119" max="8119" width="52.7109375" bestFit="1" customWidth="1"/>
    <col min="8120" max="8120" width="11.42578125" bestFit="1" customWidth="1"/>
    <col min="8121" max="8121" width="20.140625" bestFit="1" customWidth="1"/>
    <col min="8122" max="8122" width="25.85546875" bestFit="1" customWidth="1"/>
    <col min="8123" max="8123" width="23.85546875" bestFit="1" customWidth="1"/>
    <col min="8124" max="8124" width="22.42578125" customWidth="1"/>
    <col min="8125" max="8125" width="10.85546875" bestFit="1" customWidth="1"/>
    <col min="8126" max="8126" width="8.42578125" bestFit="1" customWidth="1"/>
    <col min="8127" max="8127" width="15.7109375" bestFit="1" customWidth="1"/>
    <col min="8128" max="8128" width="19.28515625" bestFit="1" customWidth="1"/>
    <col min="8129" max="8129" width="28.140625" bestFit="1" customWidth="1"/>
    <col min="8130" max="8130" width="31.28515625" bestFit="1" customWidth="1"/>
    <col min="8131" max="8131" width="26.42578125" customWidth="1"/>
    <col min="8132" max="8132" width="15.28515625" customWidth="1"/>
    <col min="8133" max="8133" width="17.85546875" customWidth="1"/>
    <col min="8134" max="8134" width="36.28515625" bestFit="1" customWidth="1"/>
    <col min="8135" max="8135" width="24.42578125" bestFit="1" customWidth="1"/>
    <col min="8136" max="8136" width="11.42578125" bestFit="1" customWidth="1"/>
    <col min="8137" max="8137" width="10.140625" bestFit="1" customWidth="1"/>
    <col min="8138" max="8138" width="28.7109375" bestFit="1" customWidth="1"/>
    <col min="8139" max="8139" width="28.42578125" bestFit="1" customWidth="1"/>
    <col min="8140" max="8140" width="34.28515625" bestFit="1" customWidth="1"/>
    <col min="8141" max="8141" width="13.7109375" bestFit="1" customWidth="1"/>
    <col min="8142" max="8142" width="22.7109375" bestFit="1" customWidth="1"/>
    <col min="8143" max="8143" width="41.28515625" bestFit="1" customWidth="1"/>
    <col min="8144" max="8144" width="19.85546875" bestFit="1" customWidth="1"/>
    <col min="8145" max="8145" width="24.28515625" bestFit="1" customWidth="1"/>
    <col min="8146" max="8146" width="62.140625" bestFit="1" customWidth="1"/>
    <col min="8147" max="8147" width="23.85546875" bestFit="1" customWidth="1"/>
    <col min="8148" max="8148" width="32.85546875" bestFit="1" customWidth="1"/>
    <col min="8149" max="8149" width="30.42578125" bestFit="1" customWidth="1"/>
    <col min="8150" max="8150" width="12.28515625" bestFit="1" customWidth="1"/>
    <col min="8151" max="8151" width="14.42578125" bestFit="1" customWidth="1"/>
    <col min="8152" max="8152" width="18.85546875" customWidth="1"/>
    <col min="8372" max="8372" width="11" bestFit="1" customWidth="1"/>
    <col min="8373" max="8373" width="18.42578125" bestFit="1" customWidth="1"/>
    <col min="8374" max="8374" width="22.28515625" bestFit="1" customWidth="1"/>
    <col min="8375" max="8375" width="52.7109375" bestFit="1" customWidth="1"/>
    <col min="8376" max="8376" width="11.42578125" bestFit="1" customWidth="1"/>
    <col min="8377" max="8377" width="20.140625" bestFit="1" customWidth="1"/>
    <col min="8378" max="8378" width="25.85546875" bestFit="1" customWidth="1"/>
    <col min="8379" max="8379" width="23.85546875" bestFit="1" customWidth="1"/>
    <col min="8380" max="8380" width="22.42578125" customWidth="1"/>
    <col min="8381" max="8381" width="10.85546875" bestFit="1" customWidth="1"/>
    <col min="8382" max="8382" width="8.42578125" bestFit="1" customWidth="1"/>
    <col min="8383" max="8383" width="15.7109375" bestFit="1" customWidth="1"/>
    <col min="8384" max="8384" width="19.28515625" bestFit="1" customWidth="1"/>
    <col min="8385" max="8385" width="28.140625" bestFit="1" customWidth="1"/>
    <col min="8386" max="8386" width="31.28515625" bestFit="1" customWidth="1"/>
    <col min="8387" max="8387" width="26.42578125" customWidth="1"/>
    <col min="8388" max="8388" width="15.28515625" customWidth="1"/>
    <col min="8389" max="8389" width="17.85546875" customWidth="1"/>
    <col min="8390" max="8390" width="36.28515625" bestFit="1" customWidth="1"/>
    <col min="8391" max="8391" width="24.42578125" bestFit="1" customWidth="1"/>
    <col min="8392" max="8392" width="11.42578125" bestFit="1" customWidth="1"/>
    <col min="8393" max="8393" width="10.140625" bestFit="1" customWidth="1"/>
    <col min="8394" max="8394" width="28.7109375" bestFit="1" customWidth="1"/>
    <col min="8395" max="8395" width="28.42578125" bestFit="1" customWidth="1"/>
    <col min="8396" max="8396" width="34.28515625" bestFit="1" customWidth="1"/>
    <col min="8397" max="8397" width="13.7109375" bestFit="1" customWidth="1"/>
    <col min="8398" max="8398" width="22.7109375" bestFit="1" customWidth="1"/>
    <col min="8399" max="8399" width="41.28515625" bestFit="1" customWidth="1"/>
    <col min="8400" max="8400" width="19.85546875" bestFit="1" customWidth="1"/>
    <col min="8401" max="8401" width="24.28515625" bestFit="1" customWidth="1"/>
    <col min="8402" max="8402" width="62.140625" bestFit="1" customWidth="1"/>
    <col min="8403" max="8403" width="23.85546875" bestFit="1" customWidth="1"/>
    <col min="8404" max="8404" width="32.85546875" bestFit="1" customWidth="1"/>
    <col min="8405" max="8405" width="30.42578125" bestFit="1" customWidth="1"/>
    <col min="8406" max="8406" width="12.28515625" bestFit="1" customWidth="1"/>
    <col min="8407" max="8407" width="14.42578125" bestFit="1" customWidth="1"/>
    <col min="8408" max="8408" width="18.85546875" customWidth="1"/>
    <col min="8628" max="8628" width="11" bestFit="1" customWidth="1"/>
    <col min="8629" max="8629" width="18.42578125" bestFit="1" customWidth="1"/>
    <col min="8630" max="8630" width="22.28515625" bestFit="1" customWidth="1"/>
    <col min="8631" max="8631" width="52.7109375" bestFit="1" customWidth="1"/>
    <col min="8632" max="8632" width="11.42578125" bestFit="1" customWidth="1"/>
    <col min="8633" max="8633" width="20.140625" bestFit="1" customWidth="1"/>
    <col min="8634" max="8634" width="25.85546875" bestFit="1" customWidth="1"/>
    <col min="8635" max="8635" width="23.85546875" bestFit="1" customWidth="1"/>
    <col min="8636" max="8636" width="22.42578125" customWidth="1"/>
    <col min="8637" max="8637" width="10.85546875" bestFit="1" customWidth="1"/>
    <col min="8638" max="8638" width="8.42578125" bestFit="1" customWidth="1"/>
    <col min="8639" max="8639" width="15.7109375" bestFit="1" customWidth="1"/>
    <col min="8640" max="8640" width="19.28515625" bestFit="1" customWidth="1"/>
    <col min="8641" max="8641" width="28.140625" bestFit="1" customWidth="1"/>
    <col min="8642" max="8642" width="31.28515625" bestFit="1" customWidth="1"/>
    <col min="8643" max="8643" width="26.42578125" customWidth="1"/>
    <col min="8644" max="8644" width="15.28515625" customWidth="1"/>
    <col min="8645" max="8645" width="17.85546875" customWidth="1"/>
    <col min="8646" max="8646" width="36.28515625" bestFit="1" customWidth="1"/>
    <col min="8647" max="8647" width="24.42578125" bestFit="1" customWidth="1"/>
    <col min="8648" max="8648" width="11.42578125" bestFit="1" customWidth="1"/>
    <col min="8649" max="8649" width="10.140625" bestFit="1" customWidth="1"/>
    <col min="8650" max="8650" width="28.7109375" bestFit="1" customWidth="1"/>
    <col min="8651" max="8651" width="28.42578125" bestFit="1" customWidth="1"/>
    <col min="8652" max="8652" width="34.28515625" bestFit="1" customWidth="1"/>
    <col min="8653" max="8653" width="13.7109375" bestFit="1" customWidth="1"/>
    <col min="8654" max="8654" width="22.7109375" bestFit="1" customWidth="1"/>
    <col min="8655" max="8655" width="41.28515625" bestFit="1" customWidth="1"/>
    <col min="8656" max="8656" width="19.85546875" bestFit="1" customWidth="1"/>
    <col min="8657" max="8657" width="24.28515625" bestFit="1" customWidth="1"/>
    <col min="8658" max="8658" width="62.140625" bestFit="1" customWidth="1"/>
    <col min="8659" max="8659" width="23.85546875" bestFit="1" customWidth="1"/>
    <col min="8660" max="8660" width="32.85546875" bestFit="1" customWidth="1"/>
    <col min="8661" max="8661" width="30.42578125" bestFit="1" customWidth="1"/>
    <col min="8662" max="8662" width="12.28515625" bestFit="1" customWidth="1"/>
    <col min="8663" max="8663" width="14.42578125" bestFit="1" customWidth="1"/>
    <col min="8664" max="8664" width="18.85546875" customWidth="1"/>
    <col min="8884" max="8884" width="11" bestFit="1" customWidth="1"/>
    <col min="8885" max="8885" width="18.42578125" bestFit="1" customWidth="1"/>
    <col min="8886" max="8886" width="22.28515625" bestFit="1" customWidth="1"/>
    <col min="8887" max="8887" width="52.7109375" bestFit="1" customWidth="1"/>
    <col min="8888" max="8888" width="11.42578125" bestFit="1" customWidth="1"/>
    <col min="8889" max="8889" width="20.140625" bestFit="1" customWidth="1"/>
    <col min="8890" max="8890" width="25.85546875" bestFit="1" customWidth="1"/>
    <col min="8891" max="8891" width="23.85546875" bestFit="1" customWidth="1"/>
    <col min="8892" max="8892" width="22.42578125" customWidth="1"/>
    <col min="8893" max="8893" width="10.85546875" bestFit="1" customWidth="1"/>
    <col min="8894" max="8894" width="8.42578125" bestFit="1" customWidth="1"/>
    <col min="8895" max="8895" width="15.7109375" bestFit="1" customWidth="1"/>
    <col min="8896" max="8896" width="19.28515625" bestFit="1" customWidth="1"/>
    <col min="8897" max="8897" width="28.140625" bestFit="1" customWidth="1"/>
    <col min="8898" max="8898" width="31.28515625" bestFit="1" customWidth="1"/>
    <col min="8899" max="8899" width="26.42578125" customWidth="1"/>
    <col min="8900" max="8900" width="15.28515625" customWidth="1"/>
    <col min="8901" max="8901" width="17.85546875" customWidth="1"/>
    <col min="8902" max="8902" width="36.28515625" bestFit="1" customWidth="1"/>
    <col min="8903" max="8903" width="24.42578125" bestFit="1" customWidth="1"/>
    <col min="8904" max="8904" width="11.42578125" bestFit="1" customWidth="1"/>
    <col min="8905" max="8905" width="10.140625" bestFit="1" customWidth="1"/>
    <col min="8906" max="8906" width="28.7109375" bestFit="1" customWidth="1"/>
    <col min="8907" max="8907" width="28.42578125" bestFit="1" customWidth="1"/>
    <col min="8908" max="8908" width="34.28515625" bestFit="1" customWidth="1"/>
    <col min="8909" max="8909" width="13.7109375" bestFit="1" customWidth="1"/>
    <col min="8910" max="8910" width="22.7109375" bestFit="1" customWidth="1"/>
    <col min="8911" max="8911" width="41.28515625" bestFit="1" customWidth="1"/>
    <col min="8912" max="8912" width="19.85546875" bestFit="1" customWidth="1"/>
    <col min="8913" max="8913" width="24.28515625" bestFit="1" customWidth="1"/>
    <col min="8914" max="8914" width="62.140625" bestFit="1" customWidth="1"/>
    <col min="8915" max="8915" width="23.85546875" bestFit="1" customWidth="1"/>
    <col min="8916" max="8916" width="32.85546875" bestFit="1" customWidth="1"/>
    <col min="8917" max="8917" width="30.42578125" bestFit="1" customWidth="1"/>
    <col min="8918" max="8918" width="12.28515625" bestFit="1" customWidth="1"/>
    <col min="8919" max="8919" width="14.42578125" bestFit="1" customWidth="1"/>
    <col min="8920" max="8920" width="18.85546875" customWidth="1"/>
    <col min="9140" max="9140" width="11" bestFit="1" customWidth="1"/>
    <col min="9141" max="9141" width="18.42578125" bestFit="1" customWidth="1"/>
    <col min="9142" max="9142" width="22.28515625" bestFit="1" customWidth="1"/>
    <col min="9143" max="9143" width="52.7109375" bestFit="1" customWidth="1"/>
    <col min="9144" max="9144" width="11.42578125" bestFit="1" customWidth="1"/>
    <col min="9145" max="9145" width="20.140625" bestFit="1" customWidth="1"/>
    <col min="9146" max="9146" width="25.85546875" bestFit="1" customWidth="1"/>
    <col min="9147" max="9147" width="23.85546875" bestFit="1" customWidth="1"/>
    <col min="9148" max="9148" width="22.42578125" customWidth="1"/>
    <col min="9149" max="9149" width="10.85546875" bestFit="1" customWidth="1"/>
    <col min="9150" max="9150" width="8.42578125" bestFit="1" customWidth="1"/>
    <col min="9151" max="9151" width="15.7109375" bestFit="1" customWidth="1"/>
    <col min="9152" max="9152" width="19.28515625" bestFit="1" customWidth="1"/>
    <col min="9153" max="9153" width="28.140625" bestFit="1" customWidth="1"/>
    <col min="9154" max="9154" width="31.28515625" bestFit="1" customWidth="1"/>
    <col min="9155" max="9155" width="26.42578125" customWidth="1"/>
    <col min="9156" max="9156" width="15.28515625" customWidth="1"/>
    <col min="9157" max="9157" width="17.85546875" customWidth="1"/>
    <col min="9158" max="9158" width="36.28515625" bestFit="1" customWidth="1"/>
    <col min="9159" max="9159" width="24.42578125" bestFit="1" customWidth="1"/>
    <col min="9160" max="9160" width="11.42578125" bestFit="1" customWidth="1"/>
    <col min="9161" max="9161" width="10.140625" bestFit="1" customWidth="1"/>
    <col min="9162" max="9162" width="28.7109375" bestFit="1" customWidth="1"/>
    <col min="9163" max="9163" width="28.42578125" bestFit="1" customWidth="1"/>
    <col min="9164" max="9164" width="34.28515625" bestFit="1" customWidth="1"/>
    <col min="9165" max="9165" width="13.7109375" bestFit="1" customWidth="1"/>
    <col min="9166" max="9166" width="22.7109375" bestFit="1" customWidth="1"/>
    <col min="9167" max="9167" width="41.28515625" bestFit="1" customWidth="1"/>
    <col min="9168" max="9168" width="19.85546875" bestFit="1" customWidth="1"/>
    <col min="9169" max="9169" width="24.28515625" bestFit="1" customWidth="1"/>
    <col min="9170" max="9170" width="62.140625" bestFit="1" customWidth="1"/>
    <col min="9171" max="9171" width="23.85546875" bestFit="1" customWidth="1"/>
    <col min="9172" max="9172" width="32.85546875" bestFit="1" customWidth="1"/>
    <col min="9173" max="9173" width="30.42578125" bestFit="1" customWidth="1"/>
    <col min="9174" max="9174" width="12.28515625" bestFit="1" customWidth="1"/>
    <col min="9175" max="9175" width="14.42578125" bestFit="1" customWidth="1"/>
    <col min="9176" max="9176" width="18.85546875" customWidth="1"/>
    <col min="9396" max="9396" width="11" bestFit="1" customWidth="1"/>
    <col min="9397" max="9397" width="18.42578125" bestFit="1" customWidth="1"/>
    <col min="9398" max="9398" width="22.28515625" bestFit="1" customWidth="1"/>
    <col min="9399" max="9399" width="52.7109375" bestFit="1" customWidth="1"/>
    <col min="9400" max="9400" width="11.42578125" bestFit="1" customWidth="1"/>
    <col min="9401" max="9401" width="20.140625" bestFit="1" customWidth="1"/>
    <col min="9402" max="9402" width="25.85546875" bestFit="1" customWidth="1"/>
    <col min="9403" max="9403" width="23.85546875" bestFit="1" customWidth="1"/>
    <col min="9404" max="9404" width="22.42578125" customWidth="1"/>
    <col min="9405" max="9405" width="10.85546875" bestFit="1" customWidth="1"/>
    <col min="9406" max="9406" width="8.42578125" bestFit="1" customWidth="1"/>
    <col min="9407" max="9407" width="15.7109375" bestFit="1" customWidth="1"/>
    <col min="9408" max="9408" width="19.28515625" bestFit="1" customWidth="1"/>
    <col min="9409" max="9409" width="28.140625" bestFit="1" customWidth="1"/>
    <col min="9410" max="9410" width="31.28515625" bestFit="1" customWidth="1"/>
    <col min="9411" max="9411" width="26.42578125" customWidth="1"/>
    <col min="9412" max="9412" width="15.28515625" customWidth="1"/>
    <col min="9413" max="9413" width="17.85546875" customWidth="1"/>
    <col min="9414" max="9414" width="36.28515625" bestFit="1" customWidth="1"/>
    <col min="9415" max="9415" width="24.42578125" bestFit="1" customWidth="1"/>
    <col min="9416" max="9416" width="11.42578125" bestFit="1" customWidth="1"/>
    <col min="9417" max="9417" width="10.140625" bestFit="1" customWidth="1"/>
    <col min="9418" max="9418" width="28.7109375" bestFit="1" customWidth="1"/>
    <col min="9419" max="9419" width="28.42578125" bestFit="1" customWidth="1"/>
    <col min="9420" max="9420" width="34.28515625" bestFit="1" customWidth="1"/>
    <col min="9421" max="9421" width="13.7109375" bestFit="1" customWidth="1"/>
    <col min="9422" max="9422" width="22.7109375" bestFit="1" customWidth="1"/>
    <col min="9423" max="9423" width="41.28515625" bestFit="1" customWidth="1"/>
    <col min="9424" max="9424" width="19.85546875" bestFit="1" customWidth="1"/>
    <col min="9425" max="9425" width="24.28515625" bestFit="1" customWidth="1"/>
    <col min="9426" max="9426" width="62.140625" bestFit="1" customWidth="1"/>
    <col min="9427" max="9427" width="23.85546875" bestFit="1" customWidth="1"/>
    <col min="9428" max="9428" width="32.85546875" bestFit="1" customWidth="1"/>
    <col min="9429" max="9429" width="30.42578125" bestFit="1" customWidth="1"/>
    <col min="9430" max="9430" width="12.28515625" bestFit="1" customWidth="1"/>
    <col min="9431" max="9431" width="14.42578125" bestFit="1" customWidth="1"/>
    <col min="9432" max="9432" width="18.85546875" customWidth="1"/>
    <col min="9652" max="9652" width="11" bestFit="1" customWidth="1"/>
    <col min="9653" max="9653" width="18.42578125" bestFit="1" customWidth="1"/>
    <col min="9654" max="9654" width="22.28515625" bestFit="1" customWidth="1"/>
    <col min="9655" max="9655" width="52.7109375" bestFit="1" customWidth="1"/>
    <col min="9656" max="9656" width="11.42578125" bestFit="1" customWidth="1"/>
    <col min="9657" max="9657" width="20.140625" bestFit="1" customWidth="1"/>
    <col min="9658" max="9658" width="25.85546875" bestFit="1" customWidth="1"/>
    <col min="9659" max="9659" width="23.85546875" bestFit="1" customWidth="1"/>
    <col min="9660" max="9660" width="22.42578125" customWidth="1"/>
    <col min="9661" max="9661" width="10.85546875" bestFit="1" customWidth="1"/>
    <col min="9662" max="9662" width="8.42578125" bestFit="1" customWidth="1"/>
    <col min="9663" max="9663" width="15.7109375" bestFit="1" customWidth="1"/>
    <col min="9664" max="9664" width="19.28515625" bestFit="1" customWidth="1"/>
    <col min="9665" max="9665" width="28.140625" bestFit="1" customWidth="1"/>
    <col min="9666" max="9666" width="31.28515625" bestFit="1" customWidth="1"/>
    <col min="9667" max="9667" width="26.42578125" customWidth="1"/>
    <col min="9668" max="9668" width="15.28515625" customWidth="1"/>
    <col min="9669" max="9669" width="17.85546875" customWidth="1"/>
    <col min="9670" max="9670" width="36.28515625" bestFit="1" customWidth="1"/>
    <col min="9671" max="9671" width="24.42578125" bestFit="1" customWidth="1"/>
    <col min="9672" max="9672" width="11.42578125" bestFit="1" customWidth="1"/>
    <col min="9673" max="9673" width="10.140625" bestFit="1" customWidth="1"/>
    <col min="9674" max="9674" width="28.7109375" bestFit="1" customWidth="1"/>
    <col min="9675" max="9675" width="28.42578125" bestFit="1" customWidth="1"/>
    <col min="9676" max="9676" width="34.28515625" bestFit="1" customWidth="1"/>
    <col min="9677" max="9677" width="13.7109375" bestFit="1" customWidth="1"/>
    <col min="9678" max="9678" width="22.7109375" bestFit="1" customWidth="1"/>
    <col min="9679" max="9679" width="41.28515625" bestFit="1" customWidth="1"/>
    <col min="9680" max="9680" width="19.85546875" bestFit="1" customWidth="1"/>
    <col min="9681" max="9681" width="24.28515625" bestFit="1" customWidth="1"/>
    <col min="9682" max="9682" width="62.140625" bestFit="1" customWidth="1"/>
    <col min="9683" max="9683" width="23.85546875" bestFit="1" customWidth="1"/>
    <col min="9684" max="9684" width="32.85546875" bestFit="1" customWidth="1"/>
    <col min="9685" max="9685" width="30.42578125" bestFit="1" customWidth="1"/>
    <col min="9686" max="9686" width="12.28515625" bestFit="1" customWidth="1"/>
    <col min="9687" max="9687" width="14.42578125" bestFit="1" customWidth="1"/>
    <col min="9688" max="9688" width="18.85546875" customWidth="1"/>
    <col min="9908" max="9908" width="11" bestFit="1" customWidth="1"/>
    <col min="9909" max="9909" width="18.42578125" bestFit="1" customWidth="1"/>
    <col min="9910" max="9910" width="22.28515625" bestFit="1" customWidth="1"/>
    <col min="9911" max="9911" width="52.7109375" bestFit="1" customWidth="1"/>
    <col min="9912" max="9912" width="11.42578125" bestFit="1" customWidth="1"/>
    <col min="9913" max="9913" width="20.140625" bestFit="1" customWidth="1"/>
    <col min="9914" max="9914" width="25.85546875" bestFit="1" customWidth="1"/>
    <col min="9915" max="9915" width="23.85546875" bestFit="1" customWidth="1"/>
    <col min="9916" max="9916" width="22.42578125" customWidth="1"/>
    <col min="9917" max="9917" width="10.85546875" bestFit="1" customWidth="1"/>
    <col min="9918" max="9918" width="8.42578125" bestFit="1" customWidth="1"/>
    <col min="9919" max="9919" width="15.7109375" bestFit="1" customWidth="1"/>
    <col min="9920" max="9920" width="19.28515625" bestFit="1" customWidth="1"/>
    <col min="9921" max="9921" width="28.140625" bestFit="1" customWidth="1"/>
    <col min="9922" max="9922" width="31.28515625" bestFit="1" customWidth="1"/>
    <col min="9923" max="9923" width="26.42578125" customWidth="1"/>
    <col min="9924" max="9924" width="15.28515625" customWidth="1"/>
    <col min="9925" max="9925" width="17.85546875" customWidth="1"/>
    <col min="9926" max="9926" width="36.28515625" bestFit="1" customWidth="1"/>
    <col min="9927" max="9927" width="24.42578125" bestFit="1" customWidth="1"/>
    <col min="9928" max="9928" width="11.42578125" bestFit="1" customWidth="1"/>
    <col min="9929" max="9929" width="10.140625" bestFit="1" customWidth="1"/>
    <col min="9930" max="9930" width="28.7109375" bestFit="1" customWidth="1"/>
    <col min="9931" max="9931" width="28.42578125" bestFit="1" customWidth="1"/>
    <col min="9932" max="9932" width="34.28515625" bestFit="1" customWidth="1"/>
    <col min="9933" max="9933" width="13.7109375" bestFit="1" customWidth="1"/>
    <col min="9934" max="9934" width="22.7109375" bestFit="1" customWidth="1"/>
    <col min="9935" max="9935" width="41.28515625" bestFit="1" customWidth="1"/>
    <col min="9936" max="9936" width="19.85546875" bestFit="1" customWidth="1"/>
    <col min="9937" max="9937" width="24.28515625" bestFit="1" customWidth="1"/>
    <col min="9938" max="9938" width="62.140625" bestFit="1" customWidth="1"/>
    <col min="9939" max="9939" width="23.85546875" bestFit="1" customWidth="1"/>
    <col min="9940" max="9940" width="32.85546875" bestFit="1" customWidth="1"/>
    <col min="9941" max="9941" width="30.42578125" bestFit="1" customWidth="1"/>
    <col min="9942" max="9942" width="12.28515625" bestFit="1" customWidth="1"/>
    <col min="9943" max="9943" width="14.42578125" bestFit="1" customWidth="1"/>
    <col min="9944" max="9944" width="18.85546875" customWidth="1"/>
    <col min="10164" max="10164" width="11" bestFit="1" customWidth="1"/>
    <col min="10165" max="10165" width="18.42578125" bestFit="1" customWidth="1"/>
    <col min="10166" max="10166" width="22.28515625" bestFit="1" customWidth="1"/>
    <col min="10167" max="10167" width="52.7109375" bestFit="1" customWidth="1"/>
    <col min="10168" max="10168" width="11.42578125" bestFit="1" customWidth="1"/>
    <col min="10169" max="10169" width="20.140625" bestFit="1" customWidth="1"/>
    <col min="10170" max="10170" width="25.85546875" bestFit="1" customWidth="1"/>
    <col min="10171" max="10171" width="23.85546875" bestFit="1" customWidth="1"/>
    <col min="10172" max="10172" width="22.42578125" customWidth="1"/>
    <col min="10173" max="10173" width="10.85546875" bestFit="1" customWidth="1"/>
    <col min="10174" max="10174" width="8.42578125" bestFit="1" customWidth="1"/>
    <col min="10175" max="10175" width="15.7109375" bestFit="1" customWidth="1"/>
    <col min="10176" max="10176" width="19.28515625" bestFit="1" customWidth="1"/>
    <col min="10177" max="10177" width="28.140625" bestFit="1" customWidth="1"/>
    <col min="10178" max="10178" width="31.28515625" bestFit="1" customWidth="1"/>
    <col min="10179" max="10179" width="26.42578125" customWidth="1"/>
    <col min="10180" max="10180" width="15.28515625" customWidth="1"/>
    <col min="10181" max="10181" width="17.85546875" customWidth="1"/>
    <col min="10182" max="10182" width="36.28515625" bestFit="1" customWidth="1"/>
    <col min="10183" max="10183" width="24.42578125" bestFit="1" customWidth="1"/>
    <col min="10184" max="10184" width="11.42578125" bestFit="1" customWidth="1"/>
    <col min="10185" max="10185" width="10.140625" bestFit="1" customWidth="1"/>
    <col min="10186" max="10186" width="28.7109375" bestFit="1" customWidth="1"/>
    <col min="10187" max="10187" width="28.42578125" bestFit="1" customWidth="1"/>
    <col min="10188" max="10188" width="34.28515625" bestFit="1" customWidth="1"/>
    <col min="10189" max="10189" width="13.7109375" bestFit="1" customWidth="1"/>
    <col min="10190" max="10190" width="22.7109375" bestFit="1" customWidth="1"/>
    <col min="10191" max="10191" width="41.28515625" bestFit="1" customWidth="1"/>
    <col min="10192" max="10192" width="19.85546875" bestFit="1" customWidth="1"/>
    <col min="10193" max="10193" width="24.28515625" bestFit="1" customWidth="1"/>
    <col min="10194" max="10194" width="62.140625" bestFit="1" customWidth="1"/>
    <col min="10195" max="10195" width="23.85546875" bestFit="1" customWidth="1"/>
    <col min="10196" max="10196" width="32.85546875" bestFit="1" customWidth="1"/>
    <col min="10197" max="10197" width="30.42578125" bestFit="1" customWidth="1"/>
    <col min="10198" max="10198" width="12.28515625" bestFit="1" customWidth="1"/>
    <col min="10199" max="10199" width="14.42578125" bestFit="1" customWidth="1"/>
    <col min="10200" max="10200" width="18.85546875" customWidth="1"/>
    <col min="10420" max="10420" width="11" bestFit="1" customWidth="1"/>
    <col min="10421" max="10421" width="18.42578125" bestFit="1" customWidth="1"/>
    <col min="10422" max="10422" width="22.28515625" bestFit="1" customWidth="1"/>
    <col min="10423" max="10423" width="52.7109375" bestFit="1" customWidth="1"/>
    <col min="10424" max="10424" width="11.42578125" bestFit="1" customWidth="1"/>
    <col min="10425" max="10425" width="20.140625" bestFit="1" customWidth="1"/>
    <col min="10426" max="10426" width="25.85546875" bestFit="1" customWidth="1"/>
    <col min="10427" max="10427" width="23.85546875" bestFit="1" customWidth="1"/>
    <col min="10428" max="10428" width="22.42578125" customWidth="1"/>
    <col min="10429" max="10429" width="10.85546875" bestFit="1" customWidth="1"/>
    <col min="10430" max="10430" width="8.42578125" bestFit="1" customWidth="1"/>
    <col min="10431" max="10431" width="15.7109375" bestFit="1" customWidth="1"/>
    <col min="10432" max="10432" width="19.28515625" bestFit="1" customWidth="1"/>
    <col min="10433" max="10433" width="28.140625" bestFit="1" customWidth="1"/>
    <col min="10434" max="10434" width="31.28515625" bestFit="1" customWidth="1"/>
    <col min="10435" max="10435" width="26.42578125" customWidth="1"/>
    <col min="10436" max="10436" width="15.28515625" customWidth="1"/>
    <col min="10437" max="10437" width="17.85546875" customWidth="1"/>
    <col min="10438" max="10438" width="36.28515625" bestFit="1" customWidth="1"/>
    <col min="10439" max="10439" width="24.42578125" bestFit="1" customWidth="1"/>
    <col min="10440" max="10440" width="11.42578125" bestFit="1" customWidth="1"/>
    <col min="10441" max="10441" width="10.140625" bestFit="1" customWidth="1"/>
    <col min="10442" max="10442" width="28.7109375" bestFit="1" customWidth="1"/>
    <col min="10443" max="10443" width="28.42578125" bestFit="1" customWidth="1"/>
    <col min="10444" max="10444" width="34.28515625" bestFit="1" customWidth="1"/>
    <col min="10445" max="10445" width="13.7109375" bestFit="1" customWidth="1"/>
    <col min="10446" max="10446" width="22.7109375" bestFit="1" customWidth="1"/>
    <col min="10447" max="10447" width="41.28515625" bestFit="1" customWidth="1"/>
    <col min="10448" max="10448" width="19.85546875" bestFit="1" customWidth="1"/>
    <col min="10449" max="10449" width="24.28515625" bestFit="1" customWidth="1"/>
    <col min="10450" max="10450" width="62.140625" bestFit="1" customWidth="1"/>
    <col min="10451" max="10451" width="23.85546875" bestFit="1" customWidth="1"/>
    <col min="10452" max="10452" width="32.85546875" bestFit="1" customWidth="1"/>
    <col min="10453" max="10453" width="30.42578125" bestFit="1" customWidth="1"/>
    <col min="10454" max="10454" width="12.28515625" bestFit="1" customWidth="1"/>
    <col min="10455" max="10455" width="14.42578125" bestFit="1" customWidth="1"/>
    <col min="10456" max="10456" width="18.85546875" customWidth="1"/>
    <col min="10676" max="10676" width="11" bestFit="1" customWidth="1"/>
    <col min="10677" max="10677" width="18.42578125" bestFit="1" customWidth="1"/>
    <col min="10678" max="10678" width="22.28515625" bestFit="1" customWidth="1"/>
    <col min="10679" max="10679" width="52.7109375" bestFit="1" customWidth="1"/>
    <col min="10680" max="10680" width="11.42578125" bestFit="1" customWidth="1"/>
    <col min="10681" max="10681" width="20.140625" bestFit="1" customWidth="1"/>
    <col min="10682" max="10682" width="25.85546875" bestFit="1" customWidth="1"/>
    <col min="10683" max="10683" width="23.85546875" bestFit="1" customWidth="1"/>
    <col min="10684" max="10684" width="22.42578125" customWidth="1"/>
    <col min="10685" max="10685" width="10.85546875" bestFit="1" customWidth="1"/>
    <col min="10686" max="10686" width="8.42578125" bestFit="1" customWidth="1"/>
    <col min="10687" max="10687" width="15.7109375" bestFit="1" customWidth="1"/>
    <col min="10688" max="10688" width="19.28515625" bestFit="1" customWidth="1"/>
    <col min="10689" max="10689" width="28.140625" bestFit="1" customWidth="1"/>
    <col min="10690" max="10690" width="31.28515625" bestFit="1" customWidth="1"/>
    <col min="10691" max="10691" width="26.42578125" customWidth="1"/>
    <col min="10692" max="10692" width="15.28515625" customWidth="1"/>
    <col min="10693" max="10693" width="17.85546875" customWidth="1"/>
    <col min="10694" max="10694" width="36.28515625" bestFit="1" customWidth="1"/>
    <col min="10695" max="10695" width="24.42578125" bestFit="1" customWidth="1"/>
    <col min="10696" max="10696" width="11.42578125" bestFit="1" customWidth="1"/>
    <col min="10697" max="10697" width="10.140625" bestFit="1" customWidth="1"/>
    <col min="10698" max="10698" width="28.7109375" bestFit="1" customWidth="1"/>
    <col min="10699" max="10699" width="28.42578125" bestFit="1" customWidth="1"/>
    <col min="10700" max="10700" width="34.28515625" bestFit="1" customWidth="1"/>
    <col min="10701" max="10701" width="13.7109375" bestFit="1" customWidth="1"/>
    <col min="10702" max="10702" width="22.7109375" bestFit="1" customWidth="1"/>
    <col min="10703" max="10703" width="41.28515625" bestFit="1" customWidth="1"/>
    <col min="10704" max="10704" width="19.85546875" bestFit="1" customWidth="1"/>
    <col min="10705" max="10705" width="24.28515625" bestFit="1" customWidth="1"/>
    <col min="10706" max="10706" width="62.140625" bestFit="1" customWidth="1"/>
    <col min="10707" max="10707" width="23.85546875" bestFit="1" customWidth="1"/>
    <col min="10708" max="10708" width="32.85546875" bestFit="1" customWidth="1"/>
    <col min="10709" max="10709" width="30.42578125" bestFit="1" customWidth="1"/>
    <col min="10710" max="10710" width="12.28515625" bestFit="1" customWidth="1"/>
    <col min="10711" max="10711" width="14.42578125" bestFit="1" customWidth="1"/>
    <col min="10712" max="10712" width="18.85546875" customWidth="1"/>
    <col min="10932" max="10932" width="11" bestFit="1" customWidth="1"/>
    <col min="10933" max="10933" width="18.42578125" bestFit="1" customWidth="1"/>
    <col min="10934" max="10934" width="22.28515625" bestFit="1" customWidth="1"/>
    <col min="10935" max="10935" width="52.7109375" bestFit="1" customWidth="1"/>
    <col min="10936" max="10936" width="11.42578125" bestFit="1" customWidth="1"/>
    <col min="10937" max="10937" width="20.140625" bestFit="1" customWidth="1"/>
    <col min="10938" max="10938" width="25.85546875" bestFit="1" customWidth="1"/>
    <col min="10939" max="10939" width="23.85546875" bestFit="1" customWidth="1"/>
    <col min="10940" max="10940" width="22.42578125" customWidth="1"/>
    <col min="10941" max="10941" width="10.85546875" bestFit="1" customWidth="1"/>
    <col min="10942" max="10942" width="8.42578125" bestFit="1" customWidth="1"/>
    <col min="10943" max="10943" width="15.7109375" bestFit="1" customWidth="1"/>
    <col min="10944" max="10944" width="19.28515625" bestFit="1" customWidth="1"/>
    <col min="10945" max="10945" width="28.140625" bestFit="1" customWidth="1"/>
    <col min="10946" max="10946" width="31.28515625" bestFit="1" customWidth="1"/>
    <col min="10947" max="10947" width="26.42578125" customWidth="1"/>
    <col min="10948" max="10948" width="15.28515625" customWidth="1"/>
    <col min="10949" max="10949" width="17.85546875" customWidth="1"/>
    <col min="10950" max="10950" width="36.28515625" bestFit="1" customWidth="1"/>
    <col min="10951" max="10951" width="24.42578125" bestFit="1" customWidth="1"/>
    <col min="10952" max="10952" width="11.42578125" bestFit="1" customWidth="1"/>
    <col min="10953" max="10953" width="10.140625" bestFit="1" customWidth="1"/>
    <col min="10954" max="10954" width="28.7109375" bestFit="1" customWidth="1"/>
    <col min="10955" max="10955" width="28.42578125" bestFit="1" customWidth="1"/>
    <col min="10956" max="10956" width="34.28515625" bestFit="1" customWidth="1"/>
    <col min="10957" max="10957" width="13.7109375" bestFit="1" customWidth="1"/>
    <col min="10958" max="10958" width="22.7109375" bestFit="1" customWidth="1"/>
    <col min="10959" max="10959" width="41.28515625" bestFit="1" customWidth="1"/>
    <col min="10960" max="10960" width="19.85546875" bestFit="1" customWidth="1"/>
    <col min="10961" max="10961" width="24.28515625" bestFit="1" customWidth="1"/>
    <col min="10962" max="10962" width="62.140625" bestFit="1" customWidth="1"/>
    <col min="10963" max="10963" width="23.85546875" bestFit="1" customWidth="1"/>
    <col min="10964" max="10964" width="32.85546875" bestFit="1" customWidth="1"/>
    <col min="10965" max="10965" width="30.42578125" bestFit="1" customWidth="1"/>
    <col min="10966" max="10966" width="12.28515625" bestFit="1" customWidth="1"/>
    <col min="10967" max="10967" width="14.42578125" bestFit="1" customWidth="1"/>
    <col min="10968" max="10968" width="18.85546875" customWidth="1"/>
    <col min="11188" max="11188" width="11" bestFit="1" customWidth="1"/>
    <col min="11189" max="11189" width="18.42578125" bestFit="1" customWidth="1"/>
    <col min="11190" max="11190" width="22.28515625" bestFit="1" customWidth="1"/>
    <col min="11191" max="11191" width="52.7109375" bestFit="1" customWidth="1"/>
    <col min="11192" max="11192" width="11.42578125" bestFit="1" customWidth="1"/>
    <col min="11193" max="11193" width="20.140625" bestFit="1" customWidth="1"/>
    <col min="11194" max="11194" width="25.85546875" bestFit="1" customWidth="1"/>
    <col min="11195" max="11195" width="23.85546875" bestFit="1" customWidth="1"/>
    <col min="11196" max="11196" width="22.42578125" customWidth="1"/>
    <col min="11197" max="11197" width="10.85546875" bestFit="1" customWidth="1"/>
    <col min="11198" max="11198" width="8.42578125" bestFit="1" customWidth="1"/>
    <col min="11199" max="11199" width="15.7109375" bestFit="1" customWidth="1"/>
    <col min="11200" max="11200" width="19.28515625" bestFit="1" customWidth="1"/>
    <col min="11201" max="11201" width="28.140625" bestFit="1" customWidth="1"/>
    <col min="11202" max="11202" width="31.28515625" bestFit="1" customWidth="1"/>
    <col min="11203" max="11203" width="26.42578125" customWidth="1"/>
    <col min="11204" max="11204" width="15.28515625" customWidth="1"/>
    <col min="11205" max="11205" width="17.85546875" customWidth="1"/>
    <col min="11206" max="11206" width="36.28515625" bestFit="1" customWidth="1"/>
    <col min="11207" max="11207" width="24.42578125" bestFit="1" customWidth="1"/>
    <col min="11208" max="11208" width="11.42578125" bestFit="1" customWidth="1"/>
    <col min="11209" max="11209" width="10.140625" bestFit="1" customWidth="1"/>
    <col min="11210" max="11210" width="28.7109375" bestFit="1" customWidth="1"/>
    <col min="11211" max="11211" width="28.42578125" bestFit="1" customWidth="1"/>
    <col min="11212" max="11212" width="34.28515625" bestFit="1" customWidth="1"/>
    <col min="11213" max="11213" width="13.7109375" bestFit="1" customWidth="1"/>
    <col min="11214" max="11214" width="22.7109375" bestFit="1" customWidth="1"/>
    <col min="11215" max="11215" width="41.28515625" bestFit="1" customWidth="1"/>
    <col min="11216" max="11216" width="19.85546875" bestFit="1" customWidth="1"/>
    <col min="11217" max="11217" width="24.28515625" bestFit="1" customWidth="1"/>
    <col min="11218" max="11218" width="62.140625" bestFit="1" customWidth="1"/>
    <col min="11219" max="11219" width="23.85546875" bestFit="1" customWidth="1"/>
    <col min="11220" max="11220" width="32.85546875" bestFit="1" customWidth="1"/>
    <col min="11221" max="11221" width="30.42578125" bestFit="1" customWidth="1"/>
    <col min="11222" max="11222" width="12.28515625" bestFit="1" customWidth="1"/>
    <col min="11223" max="11223" width="14.42578125" bestFit="1" customWidth="1"/>
    <col min="11224" max="11224" width="18.85546875" customWidth="1"/>
    <col min="11444" max="11444" width="11" bestFit="1" customWidth="1"/>
    <col min="11445" max="11445" width="18.42578125" bestFit="1" customWidth="1"/>
    <col min="11446" max="11446" width="22.28515625" bestFit="1" customWidth="1"/>
    <col min="11447" max="11447" width="52.7109375" bestFit="1" customWidth="1"/>
    <col min="11448" max="11448" width="11.42578125" bestFit="1" customWidth="1"/>
    <col min="11449" max="11449" width="20.140625" bestFit="1" customWidth="1"/>
    <col min="11450" max="11450" width="25.85546875" bestFit="1" customWidth="1"/>
    <col min="11451" max="11451" width="23.85546875" bestFit="1" customWidth="1"/>
    <col min="11452" max="11452" width="22.42578125" customWidth="1"/>
    <col min="11453" max="11453" width="10.85546875" bestFit="1" customWidth="1"/>
    <col min="11454" max="11454" width="8.42578125" bestFit="1" customWidth="1"/>
    <col min="11455" max="11455" width="15.7109375" bestFit="1" customWidth="1"/>
    <col min="11456" max="11456" width="19.28515625" bestFit="1" customWidth="1"/>
    <col min="11457" max="11457" width="28.140625" bestFit="1" customWidth="1"/>
    <col min="11458" max="11458" width="31.28515625" bestFit="1" customWidth="1"/>
    <col min="11459" max="11459" width="26.42578125" customWidth="1"/>
    <col min="11460" max="11460" width="15.28515625" customWidth="1"/>
    <col min="11461" max="11461" width="17.85546875" customWidth="1"/>
    <col min="11462" max="11462" width="36.28515625" bestFit="1" customWidth="1"/>
    <col min="11463" max="11463" width="24.42578125" bestFit="1" customWidth="1"/>
    <col min="11464" max="11464" width="11.42578125" bestFit="1" customWidth="1"/>
    <col min="11465" max="11465" width="10.140625" bestFit="1" customWidth="1"/>
    <col min="11466" max="11466" width="28.7109375" bestFit="1" customWidth="1"/>
    <col min="11467" max="11467" width="28.42578125" bestFit="1" customWidth="1"/>
    <col min="11468" max="11468" width="34.28515625" bestFit="1" customWidth="1"/>
    <col min="11469" max="11469" width="13.7109375" bestFit="1" customWidth="1"/>
    <col min="11470" max="11470" width="22.7109375" bestFit="1" customWidth="1"/>
    <col min="11471" max="11471" width="41.28515625" bestFit="1" customWidth="1"/>
    <col min="11472" max="11472" width="19.85546875" bestFit="1" customWidth="1"/>
    <col min="11473" max="11473" width="24.28515625" bestFit="1" customWidth="1"/>
    <col min="11474" max="11474" width="62.140625" bestFit="1" customWidth="1"/>
    <col min="11475" max="11475" width="23.85546875" bestFit="1" customWidth="1"/>
    <col min="11476" max="11476" width="32.85546875" bestFit="1" customWidth="1"/>
    <col min="11477" max="11477" width="30.42578125" bestFit="1" customWidth="1"/>
    <col min="11478" max="11478" width="12.28515625" bestFit="1" customWidth="1"/>
    <col min="11479" max="11479" width="14.42578125" bestFit="1" customWidth="1"/>
    <col min="11480" max="11480" width="18.85546875" customWidth="1"/>
    <col min="11700" max="11700" width="11" bestFit="1" customWidth="1"/>
    <col min="11701" max="11701" width="18.42578125" bestFit="1" customWidth="1"/>
    <col min="11702" max="11702" width="22.28515625" bestFit="1" customWidth="1"/>
    <col min="11703" max="11703" width="52.7109375" bestFit="1" customWidth="1"/>
    <col min="11704" max="11704" width="11.42578125" bestFit="1" customWidth="1"/>
    <col min="11705" max="11705" width="20.140625" bestFit="1" customWidth="1"/>
    <col min="11706" max="11706" width="25.85546875" bestFit="1" customWidth="1"/>
    <col min="11707" max="11707" width="23.85546875" bestFit="1" customWidth="1"/>
    <col min="11708" max="11708" width="22.42578125" customWidth="1"/>
    <col min="11709" max="11709" width="10.85546875" bestFit="1" customWidth="1"/>
    <col min="11710" max="11710" width="8.42578125" bestFit="1" customWidth="1"/>
    <col min="11711" max="11711" width="15.7109375" bestFit="1" customWidth="1"/>
    <col min="11712" max="11712" width="19.28515625" bestFit="1" customWidth="1"/>
    <col min="11713" max="11713" width="28.140625" bestFit="1" customWidth="1"/>
    <col min="11714" max="11714" width="31.28515625" bestFit="1" customWidth="1"/>
    <col min="11715" max="11715" width="26.42578125" customWidth="1"/>
    <col min="11716" max="11716" width="15.28515625" customWidth="1"/>
    <col min="11717" max="11717" width="17.85546875" customWidth="1"/>
    <col min="11718" max="11718" width="36.28515625" bestFit="1" customWidth="1"/>
    <col min="11719" max="11719" width="24.42578125" bestFit="1" customWidth="1"/>
    <col min="11720" max="11720" width="11.42578125" bestFit="1" customWidth="1"/>
    <col min="11721" max="11721" width="10.140625" bestFit="1" customWidth="1"/>
    <col min="11722" max="11722" width="28.7109375" bestFit="1" customWidth="1"/>
    <col min="11723" max="11723" width="28.42578125" bestFit="1" customWidth="1"/>
    <col min="11724" max="11724" width="34.28515625" bestFit="1" customWidth="1"/>
    <col min="11725" max="11725" width="13.7109375" bestFit="1" customWidth="1"/>
    <col min="11726" max="11726" width="22.7109375" bestFit="1" customWidth="1"/>
    <col min="11727" max="11727" width="41.28515625" bestFit="1" customWidth="1"/>
    <col min="11728" max="11728" width="19.85546875" bestFit="1" customWidth="1"/>
    <col min="11729" max="11729" width="24.28515625" bestFit="1" customWidth="1"/>
    <col min="11730" max="11730" width="62.140625" bestFit="1" customWidth="1"/>
    <col min="11731" max="11731" width="23.85546875" bestFit="1" customWidth="1"/>
    <col min="11732" max="11732" width="32.85546875" bestFit="1" customWidth="1"/>
    <col min="11733" max="11733" width="30.42578125" bestFit="1" customWidth="1"/>
    <col min="11734" max="11734" width="12.28515625" bestFit="1" customWidth="1"/>
    <col min="11735" max="11735" width="14.42578125" bestFit="1" customWidth="1"/>
    <col min="11736" max="11736" width="18.85546875" customWidth="1"/>
    <col min="11956" max="11956" width="11" bestFit="1" customWidth="1"/>
    <col min="11957" max="11957" width="18.42578125" bestFit="1" customWidth="1"/>
    <col min="11958" max="11958" width="22.28515625" bestFit="1" customWidth="1"/>
    <col min="11959" max="11959" width="52.7109375" bestFit="1" customWidth="1"/>
    <col min="11960" max="11960" width="11.42578125" bestFit="1" customWidth="1"/>
    <col min="11961" max="11961" width="20.140625" bestFit="1" customWidth="1"/>
    <col min="11962" max="11962" width="25.85546875" bestFit="1" customWidth="1"/>
    <col min="11963" max="11963" width="23.85546875" bestFit="1" customWidth="1"/>
    <col min="11964" max="11964" width="22.42578125" customWidth="1"/>
    <col min="11965" max="11965" width="10.85546875" bestFit="1" customWidth="1"/>
    <col min="11966" max="11966" width="8.42578125" bestFit="1" customWidth="1"/>
    <col min="11967" max="11967" width="15.7109375" bestFit="1" customWidth="1"/>
    <col min="11968" max="11968" width="19.28515625" bestFit="1" customWidth="1"/>
    <col min="11969" max="11969" width="28.140625" bestFit="1" customWidth="1"/>
    <col min="11970" max="11970" width="31.28515625" bestFit="1" customWidth="1"/>
    <col min="11971" max="11971" width="26.42578125" customWidth="1"/>
    <col min="11972" max="11972" width="15.28515625" customWidth="1"/>
    <col min="11973" max="11973" width="17.85546875" customWidth="1"/>
    <col min="11974" max="11974" width="36.28515625" bestFit="1" customWidth="1"/>
    <col min="11975" max="11975" width="24.42578125" bestFit="1" customWidth="1"/>
    <col min="11976" max="11976" width="11.42578125" bestFit="1" customWidth="1"/>
    <col min="11977" max="11977" width="10.140625" bestFit="1" customWidth="1"/>
    <col min="11978" max="11978" width="28.7109375" bestFit="1" customWidth="1"/>
    <col min="11979" max="11979" width="28.42578125" bestFit="1" customWidth="1"/>
    <col min="11980" max="11980" width="34.28515625" bestFit="1" customWidth="1"/>
    <col min="11981" max="11981" width="13.7109375" bestFit="1" customWidth="1"/>
    <col min="11982" max="11982" width="22.7109375" bestFit="1" customWidth="1"/>
    <col min="11983" max="11983" width="41.28515625" bestFit="1" customWidth="1"/>
    <col min="11984" max="11984" width="19.85546875" bestFit="1" customWidth="1"/>
    <col min="11985" max="11985" width="24.28515625" bestFit="1" customWidth="1"/>
    <col min="11986" max="11986" width="62.140625" bestFit="1" customWidth="1"/>
    <col min="11987" max="11987" width="23.85546875" bestFit="1" customWidth="1"/>
    <col min="11988" max="11988" width="32.85546875" bestFit="1" customWidth="1"/>
    <col min="11989" max="11989" width="30.42578125" bestFit="1" customWidth="1"/>
    <col min="11990" max="11990" width="12.28515625" bestFit="1" customWidth="1"/>
    <col min="11991" max="11991" width="14.42578125" bestFit="1" customWidth="1"/>
    <col min="11992" max="11992" width="18.85546875" customWidth="1"/>
    <col min="12212" max="12212" width="11" bestFit="1" customWidth="1"/>
    <col min="12213" max="12213" width="18.42578125" bestFit="1" customWidth="1"/>
    <col min="12214" max="12214" width="22.28515625" bestFit="1" customWidth="1"/>
    <col min="12215" max="12215" width="52.7109375" bestFit="1" customWidth="1"/>
    <col min="12216" max="12216" width="11.42578125" bestFit="1" customWidth="1"/>
    <col min="12217" max="12217" width="20.140625" bestFit="1" customWidth="1"/>
    <col min="12218" max="12218" width="25.85546875" bestFit="1" customWidth="1"/>
    <col min="12219" max="12219" width="23.85546875" bestFit="1" customWidth="1"/>
    <col min="12220" max="12220" width="22.42578125" customWidth="1"/>
    <col min="12221" max="12221" width="10.85546875" bestFit="1" customWidth="1"/>
    <col min="12222" max="12222" width="8.42578125" bestFit="1" customWidth="1"/>
    <col min="12223" max="12223" width="15.7109375" bestFit="1" customWidth="1"/>
    <col min="12224" max="12224" width="19.28515625" bestFit="1" customWidth="1"/>
    <col min="12225" max="12225" width="28.140625" bestFit="1" customWidth="1"/>
    <col min="12226" max="12226" width="31.28515625" bestFit="1" customWidth="1"/>
    <col min="12227" max="12227" width="26.42578125" customWidth="1"/>
    <col min="12228" max="12228" width="15.28515625" customWidth="1"/>
    <col min="12229" max="12229" width="17.85546875" customWidth="1"/>
    <col min="12230" max="12230" width="36.28515625" bestFit="1" customWidth="1"/>
    <col min="12231" max="12231" width="24.42578125" bestFit="1" customWidth="1"/>
    <col min="12232" max="12232" width="11.42578125" bestFit="1" customWidth="1"/>
    <col min="12233" max="12233" width="10.140625" bestFit="1" customWidth="1"/>
    <col min="12234" max="12234" width="28.7109375" bestFit="1" customWidth="1"/>
    <col min="12235" max="12235" width="28.42578125" bestFit="1" customWidth="1"/>
    <col min="12236" max="12236" width="34.28515625" bestFit="1" customWidth="1"/>
    <col min="12237" max="12237" width="13.7109375" bestFit="1" customWidth="1"/>
    <col min="12238" max="12238" width="22.7109375" bestFit="1" customWidth="1"/>
    <col min="12239" max="12239" width="41.28515625" bestFit="1" customWidth="1"/>
    <col min="12240" max="12240" width="19.85546875" bestFit="1" customWidth="1"/>
    <col min="12241" max="12241" width="24.28515625" bestFit="1" customWidth="1"/>
    <col min="12242" max="12242" width="62.140625" bestFit="1" customWidth="1"/>
    <col min="12243" max="12243" width="23.85546875" bestFit="1" customWidth="1"/>
    <col min="12244" max="12244" width="32.85546875" bestFit="1" customWidth="1"/>
    <col min="12245" max="12245" width="30.42578125" bestFit="1" customWidth="1"/>
    <col min="12246" max="12246" width="12.28515625" bestFit="1" customWidth="1"/>
    <col min="12247" max="12247" width="14.42578125" bestFit="1" customWidth="1"/>
    <col min="12248" max="12248" width="18.85546875" customWidth="1"/>
    <col min="12468" max="12468" width="11" bestFit="1" customWidth="1"/>
    <col min="12469" max="12469" width="18.42578125" bestFit="1" customWidth="1"/>
    <col min="12470" max="12470" width="22.28515625" bestFit="1" customWidth="1"/>
    <col min="12471" max="12471" width="52.7109375" bestFit="1" customWidth="1"/>
    <col min="12472" max="12472" width="11.42578125" bestFit="1" customWidth="1"/>
    <col min="12473" max="12473" width="20.140625" bestFit="1" customWidth="1"/>
    <col min="12474" max="12474" width="25.85546875" bestFit="1" customWidth="1"/>
    <col min="12475" max="12475" width="23.85546875" bestFit="1" customWidth="1"/>
    <col min="12476" max="12476" width="22.42578125" customWidth="1"/>
    <col min="12477" max="12477" width="10.85546875" bestFit="1" customWidth="1"/>
    <col min="12478" max="12478" width="8.42578125" bestFit="1" customWidth="1"/>
    <col min="12479" max="12479" width="15.7109375" bestFit="1" customWidth="1"/>
    <col min="12480" max="12480" width="19.28515625" bestFit="1" customWidth="1"/>
    <col min="12481" max="12481" width="28.140625" bestFit="1" customWidth="1"/>
    <col min="12482" max="12482" width="31.28515625" bestFit="1" customWidth="1"/>
    <col min="12483" max="12483" width="26.42578125" customWidth="1"/>
    <col min="12484" max="12484" width="15.28515625" customWidth="1"/>
    <col min="12485" max="12485" width="17.85546875" customWidth="1"/>
    <col min="12486" max="12486" width="36.28515625" bestFit="1" customWidth="1"/>
    <col min="12487" max="12487" width="24.42578125" bestFit="1" customWidth="1"/>
    <col min="12488" max="12488" width="11.42578125" bestFit="1" customWidth="1"/>
    <col min="12489" max="12489" width="10.140625" bestFit="1" customWidth="1"/>
    <col min="12490" max="12490" width="28.7109375" bestFit="1" customWidth="1"/>
    <col min="12491" max="12491" width="28.42578125" bestFit="1" customWidth="1"/>
    <col min="12492" max="12492" width="34.28515625" bestFit="1" customWidth="1"/>
    <col min="12493" max="12493" width="13.7109375" bestFit="1" customWidth="1"/>
    <col min="12494" max="12494" width="22.7109375" bestFit="1" customWidth="1"/>
    <col min="12495" max="12495" width="41.28515625" bestFit="1" customWidth="1"/>
    <col min="12496" max="12496" width="19.85546875" bestFit="1" customWidth="1"/>
    <col min="12497" max="12497" width="24.28515625" bestFit="1" customWidth="1"/>
    <col min="12498" max="12498" width="62.140625" bestFit="1" customWidth="1"/>
    <col min="12499" max="12499" width="23.85546875" bestFit="1" customWidth="1"/>
    <col min="12500" max="12500" width="32.85546875" bestFit="1" customWidth="1"/>
    <col min="12501" max="12501" width="30.42578125" bestFit="1" customWidth="1"/>
    <col min="12502" max="12502" width="12.28515625" bestFit="1" customWidth="1"/>
    <col min="12503" max="12503" width="14.42578125" bestFit="1" customWidth="1"/>
    <col min="12504" max="12504" width="18.85546875" customWidth="1"/>
    <col min="12724" max="12724" width="11" bestFit="1" customWidth="1"/>
    <col min="12725" max="12725" width="18.42578125" bestFit="1" customWidth="1"/>
    <col min="12726" max="12726" width="22.28515625" bestFit="1" customWidth="1"/>
    <col min="12727" max="12727" width="52.7109375" bestFit="1" customWidth="1"/>
    <col min="12728" max="12728" width="11.42578125" bestFit="1" customWidth="1"/>
    <col min="12729" max="12729" width="20.140625" bestFit="1" customWidth="1"/>
    <col min="12730" max="12730" width="25.85546875" bestFit="1" customWidth="1"/>
    <col min="12731" max="12731" width="23.85546875" bestFit="1" customWidth="1"/>
    <col min="12732" max="12732" width="22.42578125" customWidth="1"/>
    <col min="12733" max="12733" width="10.85546875" bestFit="1" customWidth="1"/>
    <col min="12734" max="12734" width="8.42578125" bestFit="1" customWidth="1"/>
    <col min="12735" max="12735" width="15.7109375" bestFit="1" customWidth="1"/>
    <col min="12736" max="12736" width="19.28515625" bestFit="1" customWidth="1"/>
    <col min="12737" max="12737" width="28.140625" bestFit="1" customWidth="1"/>
    <col min="12738" max="12738" width="31.28515625" bestFit="1" customWidth="1"/>
    <col min="12739" max="12739" width="26.42578125" customWidth="1"/>
    <col min="12740" max="12740" width="15.28515625" customWidth="1"/>
    <col min="12741" max="12741" width="17.85546875" customWidth="1"/>
    <col min="12742" max="12742" width="36.28515625" bestFit="1" customWidth="1"/>
    <col min="12743" max="12743" width="24.42578125" bestFit="1" customWidth="1"/>
    <col min="12744" max="12744" width="11.42578125" bestFit="1" customWidth="1"/>
    <col min="12745" max="12745" width="10.140625" bestFit="1" customWidth="1"/>
    <col min="12746" max="12746" width="28.7109375" bestFit="1" customWidth="1"/>
    <col min="12747" max="12747" width="28.42578125" bestFit="1" customWidth="1"/>
    <col min="12748" max="12748" width="34.28515625" bestFit="1" customWidth="1"/>
    <col min="12749" max="12749" width="13.7109375" bestFit="1" customWidth="1"/>
    <col min="12750" max="12750" width="22.7109375" bestFit="1" customWidth="1"/>
    <col min="12751" max="12751" width="41.28515625" bestFit="1" customWidth="1"/>
    <col min="12752" max="12752" width="19.85546875" bestFit="1" customWidth="1"/>
    <col min="12753" max="12753" width="24.28515625" bestFit="1" customWidth="1"/>
    <col min="12754" max="12754" width="62.140625" bestFit="1" customWidth="1"/>
    <col min="12755" max="12755" width="23.85546875" bestFit="1" customWidth="1"/>
    <col min="12756" max="12756" width="32.85546875" bestFit="1" customWidth="1"/>
    <col min="12757" max="12757" width="30.42578125" bestFit="1" customWidth="1"/>
    <col min="12758" max="12758" width="12.28515625" bestFit="1" customWidth="1"/>
    <col min="12759" max="12759" width="14.42578125" bestFit="1" customWidth="1"/>
    <col min="12760" max="12760" width="18.85546875" customWidth="1"/>
    <col min="12980" max="12980" width="11" bestFit="1" customWidth="1"/>
    <col min="12981" max="12981" width="18.42578125" bestFit="1" customWidth="1"/>
    <col min="12982" max="12982" width="22.28515625" bestFit="1" customWidth="1"/>
    <col min="12983" max="12983" width="52.7109375" bestFit="1" customWidth="1"/>
    <col min="12984" max="12984" width="11.42578125" bestFit="1" customWidth="1"/>
    <col min="12985" max="12985" width="20.140625" bestFit="1" customWidth="1"/>
    <col min="12986" max="12986" width="25.85546875" bestFit="1" customWidth="1"/>
    <col min="12987" max="12987" width="23.85546875" bestFit="1" customWidth="1"/>
    <col min="12988" max="12988" width="22.42578125" customWidth="1"/>
    <col min="12989" max="12989" width="10.85546875" bestFit="1" customWidth="1"/>
    <col min="12990" max="12990" width="8.42578125" bestFit="1" customWidth="1"/>
    <col min="12991" max="12991" width="15.7109375" bestFit="1" customWidth="1"/>
    <col min="12992" max="12992" width="19.28515625" bestFit="1" customWidth="1"/>
    <col min="12993" max="12993" width="28.140625" bestFit="1" customWidth="1"/>
    <col min="12994" max="12994" width="31.28515625" bestFit="1" customWidth="1"/>
    <col min="12995" max="12995" width="26.42578125" customWidth="1"/>
    <col min="12996" max="12996" width="15.28515625" customWidth="1"/>
    <col min="12997" max="12997" width="17.85546875" customWidth="1"/>
    <col min="12998" max="12998" width="36.28515625" bestFit="1" customWidth="1"/>
    <col min="12999" max="12999" width="24.42578125" bestFit="1" customWidth="1"/>
    <col min="13000" max="13000" width="11.42578125" bestFit="1" customWidth="1"/>
    <col min="13001" max="13001" width="10.140625" bestFit="1" customWidth="1"/>
    <col min="13002" max="13002" width="28.7109375" bestFit="1" customWidth="1"/>
    <col min="13003" max="13003" width="28.42578125" bestFit="1" customWidth="1"/>
    <col min="13004" max="13004" width="34.28515625" bestFit="1" customWidth="1"/>
    <col min="13005" max="13005" width="13.7109375" bestFit="1" customWidth="1"/>
    <col min="13006" max="13006" width="22.7109375" bestFit="1" customWidth="1"/>
    <col min="13007" max="13007" width="41.28515625" bestFit="1" customWidth="1"/>
    <col min="13008" max="13008" width="19.85546875" bestFit="1" customWidth="1"/>
    <col min="13009" max="13009" width="24.28515625" bestFit="1" customWidth="1"/>
    <col min="13010" max="13010" width="62.140625" bestFit="1" customWidth="1"/>
    <col min="13011" max="13011" width="23.85546875" bestFit="1" customWidth="1"/>
    <col min="13012" max="13012" width="32.85546875" bestFit="1" customWidth="1"/>
    <col min="13013" max="13013" width="30.42578125" bestFit="1" customWidth="1"/>
    <col min="13014" max="13014" width="12.28515625" bestFit="1" customWidth="1"/>
    <col min="13015" max="13015" width="14.42578125" bestFit="1" customWidth="1"/>
    <col min="13016" max="13016" width="18.85546875" customWidth="1"/>
    <col min="13236" max="13236" width="11" bestFit="1" customWidth="1"/>
    <col min="13237" max="13237" width="18.42578125" bestFit="1" customWidth="1"/>
    <col min="13238" max="13238" width="22.28515625" bestFit="1" customWidth="1"/>
    <col min="13239" max="13239" width="52.7109375" bestFit="1" customWidth="1"/>
    <col min="13240" max="13240" width="11.42578125" bestFit="1" customWidth="1"/>
    <col min="13241" max="13241" width="20.140625" bestFit="1" customWidth="1"/>
    <col min="13242" max="13242" width="25.85546875" bestFit="1" customWidth="1"/>
    <col min="13243" max="13243" width="23.85546875" bestFit="1" customWidth="1"/>
    <col min="13244" max="13244" width="22.42578125" customWidth="1"/>
    <col min="13245" max="13245" width="10.85546875" bestFit="1" customWidth="1"/>
    <col min="13246" max="13246" width="8.42578125" bestFit="1" customWidth="1"/>
    <col min="13247" max="13247" width="15.7109375" bestFit="1" customWidth="1"/>
    <col min="13248" max="13248" width="19.28515625" bestFit="1" customWidth="1"/>
    <col min="13249" max="13249" width="28.140625" bestFit="1" customWidth="1"/>
    <col min="13250" max="13250" width="31.28515625" bestFit="1" customWidth="1"/>
    <col min="13251" max="13251" width="26.42578125" customWidth="1"/>
    <col min="13252" max="13252" width="15.28515625" customWidth="1"/>
    <col min="13253" max="13253" width="17.85546875" customWidth="1"/>
    <col min="13254" max="13254" width="36.28515625" bestFit="1" customWidth="1"/>
    <col min="13255" max="13255" width="24.42578125" bestFit="1" customWidth="1"/>
    <col min="13256" max="13256" width="11.42578125" bestFit="1" customWidth="1"/>
    <col min="13257" max="13257" width="10.140625" bestFit="1" customWidth="1"/>
    <col min="13258" max="13258" width="28.7109375" bestFit="1" customWidth="1"/>
    <col min="13259" max="13259" width="28.42578125" bestFit="1" customWidth="1"/>
    <col min="13260" max="13260" width="34.28515625" bestFit="1" customWidth="1"/>
    <col min="13261" max="13261" width="13.7109375" bestFit="1" customWidth="1"/>
    <col min="13262" max="13262" width="22.7109375" bestFit="1" customWidth="1"/>
    <col min="13263" max="13263" width="41.28515625" bestFit="1" customWidth="1"/>
    <col min="13264" max="13264" width="19.85546875" bestFit="1" customWidth="1"/>
    <col min="13265" max="13265" width="24.28515625" bestFit="1" customWidth="1"/>
    <col min="13266" max="13266" width="62.140625" bestFit="1" customWidth="1"/>
    <col min="13267" max="13267" width="23.85546875" bestFit="1" customWidth="1"/>
    <col min="13268" max="13268" width="32.85546875" bestFit="1" customWidth="1"/>
    <col min="13269" max="13269" width="30.42578125" bestFit="1" customWidth="1"/>
    <col min="13270" max="13270" width="12.28515625" bestFit="1" customWidth="1"/>
    <col min="13271" max="13271" width="14.42578125" bestFit="1" customWidth="1"/>
    <col min="13272" max="13272" width="18.85546875" customWidth="1"/>
    <col min="13492" max="13492" width="11" bestFit="1" customWidth="1"/>
    <col min="13493" max="13493" width="18.42578125" bestFit="1" customWidth="1"/>
    <col min="13494" max="13494" width="22.28515625" bestFit="1" customWidth="1"/>
    <col min="13495" max="13495" width="52.7109375" bestFit="1" customWidth="1"/>
    <col min="13496" max="13496" width="11.42578125" bestFit="1" customWidth="1"/>
    <col min="13497" max="13497" width="20.140625" bestFit="1" customWidth="1"/>
    <col min="13498" max="13498" width="25.85546875" bestFit="1" customWidth="1"/>
    <col min="13499" max="13499" width="23.85546875" bestFit="1" customWidth="1"/>
    <col min="13500" max="13500" width="22.42578125" customWidth="1"/>
    <col min="13501" max="13501" width="10.85546875" bestFit="1" customWidth="1"/>
    <col min="13502" max="13502" width="8.42578125" bestFit="1" customWidth="1"/>
    <col min="13503" max="13503" width="15.7109375" bestFit="1" customWidth="1"/>
    <col min="13504" max="13504" width="19.28515625" bestFit="1" customWidth="1"/>
    <col min="13505" max="13505" width="28.140625" bestFit="1" customWidth="1"/>
    <col min="13506" max="13506" width="31.28515625" bestFit="1" customWidth="1"/>
    <col min="13507" max="13507" width="26.42578125" customWidth="1"/>
    <col min="13508" max="13508" width="15.28515625" customWidth="1"/>
    <col min="13509" max="13509" width="17.85546875" customWidth="1"/>
    <col min="13510" max="13510" width="36.28515625" bestFit="1" customWidth="1"/>
    <col min="13511" max="13511" width="24.42578125" bestFit="1" customWidth="1"/>
    <col min="13512" max="13512" width="11.42578125" bestFit="1" customWidth="1"/>
    <col min="13513" max="13513" width="10.140625" bestFit="1" customWidth="1"/>
    <col min="13514" max="13514" width="28.7109375" bestFit="1" customWidth="1"/>
    <col min="13515" max="13515" width="28.42578125" bestFit="1" customWidth="1"/>
    <col min="13516" max="13516" width="34.28515625" bestFit="1" customWidth="1"/>
    <col min="13517" max="13517" width="13.7109375" bestFit="1" customWidth="1"/>
    <col min="13518" max="13518" width="22.7109375" bestFit="1" customWidth="1"/>
    <col min="13519" max="13519" width="41.28515625" bestFit="1" customWidth="1"/>
    <col min="13520" max="13520" width="19.85546875" bestFit="1" customWidth="1"/>
    <col min="13521" max="13521" width="24.28515625" bestFit="1" customWidth="1"/>
    <col min="13522" max="13522" width="62.140625" bestFit="1" customWidth="1"/>
    <col min="13523" max="13523" width="23.85546875" bestFit="1" customWidth="1"/>
    <col min="13524" max="13524" width="32.85546875" bestFit="1" customWidth="1"/>
    <col min="13525" max="13525" width="30.42578125" bestFit="1" customWidth="1"/>
    <col min="13526" max="13526" width="12.28515625" bestFit="1" customWidth="1"/>
    <col min="13527" max="13527" width="14.42578125" bestFit="1" customWidth="1"/>
    <col min="13528" max="13528" width="18.85546875" customWidth="1"/>
    <col min="13748" max="13748" width="11" bestFit="1" customWidth="1"/>
    <col min="13749" max="13749" width="18.42578125" bestFit="1" customWidth="1"/>
    <col min="13750" max="13750" width="22.28515625" bestFit="1" customWidth="1"/>
    <col min="13751" max="13751" width="52.7109375" bestFit="1" customWidth="1"/>
    <col min="13752" max="13752" width="11.42578125" bestFit="1" customWidth="1"/>
    <col min="13753" max="13753" width="20.140625" bestFit="1" customWidth="1"/>
    <col min="13754" max="13754" width="25.85546875" bestFit="1" customWidth="1"/>
    <col min="13755" max="13755" width="23.85546875" bestFit="1" customWidth="1"/>
    <col min="13756" max="13756" width="22.42578125" customWidth="1"/>
    <col min="13757" max="13757" width="10.85546875" bestFit="1" customWidth="1"/>
    <col min="13758" max="13758" width="8.42578125" bestFit="1" customWidth="1"/>
    <col min="13759" max="13759" width="15.7109375" bestFit="1" customWidth="1"/>
    <col min="13760" max="13760" width="19.28515625" bestFit="1" customWidth="1"/>
    <col min="13761" max="13761" width="28.140625" bestFit="1" customWidth="1"/>
    <col min="13762" max="13762" width="31.28515625" bestFit="1" customWidth="1"/>
    <col min="13763" max="13763" width="26.42578125" customWidth="1"/>
    <col min="13764" max="13764" width="15.28515625" customWidth="1"/>
    <col min="13765" max="13765" width="17.85546875" customWidth="1"/>
    <col min="13766" max="13766" width="36.28515625" bestFit="1" customWidth="1"/>
    <col min="13767" max="13767" width="24.42578125" bestFit="1" customWidth="1"/>
    <col min="13768" max="13768" width="11.42578125" bestFit="1" customWidth="1"/>
    <col min="13769" max="13769" width="10.140625" bestFit="1" customWidth="1"/>
    <col min="13770" max="13770" width="28.7109375" bestFit="1" customWidth="1"/>
    <col min="13771" max="13771" width="28.42578125" bestFit="1" customWidth="1"/>
    <col min="13772" max="13772" width="34.28515625" bestFit="1" customWidth="1"/>
    <col min="13773" max="13773" width="13.7109375" bestFit="1" customWidth="1"/>
    <col min="13774" max="13774" width="22.7109375" bestFit="1" customWidth="1"/>
    <col min="13775" max="13775" width="41.28515625" bestFit="1" customWidth="1"/>
    <col min="13776" max="13776" width="19.85546875" bestFit="1" customWidth="1"/>
    <col min="13777" max="13777" width="24.28515625" bestFit="1" customWidth="1"/>
    <col min="13778" max="13778" width="62.140625" bestFit="1" customWidth="1"/>
    <col min="13779" max="13779" width="23.85546875" bestFit="1" customWidth="1"/>
    <col min="13780" max="13780" width="32.85546875" bestFit="1" customWidth="1"/>
    <col min="13781" max="13781" width="30.42578125" bestFit="1" customWidth="1"/>
    <col min="13782" max="13782" width="12.28515625" bestFit="1" customWidth="1"/>
    <col min="13783" max="13783" width="14.42578125" bestFit="1" customWidth="1"/>
    <col min="13784" max="13784" width="18.85546875" customWidth="1"/>
    <col min="14004" max="14004" width="11" bestFit="1" customWidth="1"/>
    <col min="14005" max="14005" width="18.42578125" bestFit="1" customWidth="1"/>
    <col min="14006" max="14006" width="22.28515625" bestFit="1" customWidth="1"/>
    <col min="14007" max="14007" width="52.7109375" bestFit="1" customWidth="1"/>
    <col min="14008" max="14008" width="11.42578125" bestFit="1" customWidth="1"/>
    <col min="14009" max="14009" width="20.140625" bestFit="1" customWidth="1"/>
    <col min="14010" max="14010" width="25.85546875" bestFit="1" customWidth="1"/>
    <col min="14011" max="14011" width="23.85546875" bestFit="1" customWidth="1"/>
    <col min="14012" max="14012" width="22.42578125" customWidth="1"/>
    <col min="14013" max="14013" width="10.85546875" bestFit="1" customWidth="1"/>
    <col min="14014" max="14014" width="8.42578125" bestFit="1" customWidth="1"/>
    <col min="14015" max="14015" width="15.7109375" bestFit="1" customWidth="1"/>
    <col min="14016" max="14016" width="19.28515625" bestFit="1" customWidth="1"/>
    <col min="14017" max="14017" width="28.140625" bestFit="1" customWidth="1"/>
    <col min="14018" max="14018" width="31.28515625" bestFit="1" customWidth="1"/>
    <col min="14019" max="14019" width="26.42578125" customWidth="1"/>
    <col min="14020" max="14020" width="15.28515625" customWidth="1"/>
    <col min="14021" max="14021" width="17.85546875" customWidth="1"/>
    <col min="14022" max="14022" width="36.28515625" bestFit="1" customWidth="1"/>
    <col min="14023" max="14023" width="24.42578125" bestFit="1" customWidth="1"/>
    <col min="14024" max="14024" width="11.42578125" bestFit="1" customWidth="1"/>
    <col min="14025" max="14025" width="10.140625" bestFit="1" customWidth="1"/>
    <col min="14026" max="14026" width="28.7109375" bestFit="1" customWidth="1"/>
    <col min="14027" max="14027" width="28.42578125" bestFit="1" customWidth="1"/>
    <col min="14028" max="14028" width="34.28515625" bestFit="1" customWidth="1"/>
    <col min="14029" max="14029" width="13.7109375" bestFit="1" customWidth="1"/>
    <col min="14030" max="14030" width="22.7109375" bestFit="1" customWidth="1"/>
    <col min="14031" max="14031" width="41.28515625" bestFit="1" customWidth="1"/>
    <col min="14032" max="14032" width="19.85546875" bestFit="1" customWidth="1"/>
    <col min="14033" max="14033" width="24.28515625" bestFit="1" customWidth="1"/>
    <col min="14034" max="14034" width="62.140625" bestFit="1" customWidth="1"/>
    <col min="14035" max="14035" width="23.85546875" bestFit="1" customWidth="1"/>
    <col min="14036" max="14036" width="32.85546875" bestFit="1" customWidth="1"/>
    <col min="14037" max="14037" width="30.42578125" bestFit="1" customWidth="1"/>
    <col min="14038" max="14038" width="12.28515625" bestFit="1" customWidth="1"/>
    <col min="14039" max="14039" width="14.42578125" bestFit="1" customWidth="1"/>
    <col min="14040" max="14040" width="18.85546875" customWidth="1"/>
    <col min="14260" max="14260" width="11" bestFit="1" customWidth="1"/>
    <col min="14261" max="14261" width="18.42578125" bestFit="1" customWidth="1"/>
    <col min="14262" max="14262" width="22.28515625" bestFit="1" customWidth="1"/>
    <col min="14263" max="14263" width="52.7109375" bestFit="1" customWidth="1"/>
    <col min="14264" max="14264" width="11.42578125" bestFit="1" customWidth="1"/>
    <col min="14265" max="14265" width="20.140625" bestFit="1" customWidth="1"/>
    <col min="14266" max="14266" width="25.85546875" bestFit="1" customWidth="1"/>
    <col min="14267" max="14267" width="23.85546875" bestFit="1" customWidth="1"/>
    <col min="14268" max="14268" width="22.42578125" customWidth="1"/>
    <col min="14269" max="14269" width="10.85546875" bestFit="1" customWidth="1"/>
    <col min="14270" max="14270" width="8.42578125" bestFit="1" customWidth="1"/>
    <col min="14271" max="14271" width="15.7109375" bestFit="1" customWidth="1"/>
    <col min="14272" max="14272" width="19.28515625" bestFit="1" customWidth="1"/>
    <col min="14273" max="14273" width="28.140625" bestFit="1" customWidth="1"/>
    <col min="14274" max="14274" width="31.28515625" bestFit="1" customWidth="1"/>
    <col min="14275" max="14275" width="26.42578125" customWidth="1"/>
    <col min="14276" max="14276" width="15.28515625" customWidth="1"/>
    <col min="14277" max="14277" width="17.85546875" customWidth="1"/>
    <col min="14278" max="14278" width="36.28515625" bestFit="1" customWidth="1"/>
    <col min="14279" max="14279" width="24.42578125" bestFit="1" customWidth="1"/>
    <col min="14280" max="14280" width="11.42578125" bestFit="1" customWidth="1"/>
    <col min="14281" max="14281" width="10.140625" bestFit="1" customWidth="1"/>
    <col min="14282" max="14282" width="28.7109375" bestFit="1" customWidth="1"/>
    <col min="14283" max="14283" width="28.42578125" bestFit="1" customWidth="1"/>
    <col min="14284" max="14284" width="34.28515625" bestFit="1" customWidth="1"/>
    <col min="14285" max="14285" width="13.7109375" bestFit="1" customWidth="1"/>
    <col min="14286" max="14286" width="22.7109375" bestFit="1" customWidth="1"/>
    <col min="14287" max="14287" width="41.28515625" bestFit="1" customWidth="1"/>
    <col min="14288" max="14288" width="19.85546875" bestFit="1" customWidth="1"/>
    <col min="14289" max="14289" width="24.28515625" bestFit="1" customWidth="1"/>
    <col min="14290" max="14290" width="62.140625" bestFit="1" customWidth="1"/>
    <col min="14291" max="14291" width="23.85546875" bestFit="1" customWidth="1"/>
    <col min="14292" max="14292" width="32.85546875" bestFit="1" customWidth="1"/>
    <col min="14293" max="14293" width="30.42578125" bestFit="1" customWidth="1"/>
    <col min="14294" max="14294" width="12.28515625" bestFit="1" customWidth="1"/>
    <col min="14295" max="14295" width="14.42578125" bestFit="1" customWidth="1"/>
    <col min="14296" max="14296" width="18.85546875" customWidth="1"/>
    <col min="14516" max="14516" width="11" bestFit="1" customWidth="1"/>
    <col min="14517" max="14517" width="18.42578125" bestFit="1" customWidth="1"/>
    <col min="14518" max="14518" width="22.28515625" bestFit="1" customWidth="1"/>
    <col min="14519" max="14519" width="52.7109375" bestFit="1" customWidth="1"/>
    <col min="14520" max="14520" width="11.42578125" bestFit="1" customWidth="1"/>
    <col min="14521" max="14521" width="20.140625" bestFit="1" customWidth="1"/>
    <col min="14522" max="14522" width="25.85546875" bestFit="1" customWidth="1"/>
    <col min="14523" max="14523" width="23.85546875" bestFit="1" customWidth="1"/>
    <col min="14524" max="14524" width="22.42578125" customWidth="1"/>
    <col min="14525" max="14525" width="10.85546875" bestFit="1" customWidth="1"/>
    <col min="14526" max="14526" width="8.42578125" bestFit="1" customWidth="1"/>
    <col min="14527" max="14527" width="15.7109375" bestFit="1" customWidth="1"/>
    <col min="14528" max="14528" width="19.28515625" bestFit="1" customWidth="1"/>
    <col min="14529" max="14529" width="28.140625" bestFit="1" customWidth="1"/>
    <col min="14530" max="14530" width="31.28515625" bestFit="1" customWidth="1"/>
    <col min="14531" max="14531" width="26.42578125" customWidth="1"/>
    <col min="14532" max="14532" width="15.28515625" customWidth="1"/>
    <col min="14533" max="14533" width="17.85546875" customWidth="1"/>
    <col min="14534" max="14534" width="36.28515625" bestFit="1" customWidth="1"/>
    <col min="14535" max="14535" width="24.42578125" bestFit="1" customWidth="1"/>
    <col min="14536" max="14536" width="11.42578125" bestFit="1" customWidth="1"/>
    <col min="14537" max="14537" width="10.140625" bestFit="1" customWidth="1"/>
    <col min="14538" max="14538" width="28.7109375" bestFit="1" customWidth="1"/>
    <col min="14539" max="14539" width="28.42578125" bestFit="1" customWidth="1"/>
    <col min="14540" max="14540" width="34.28515625" bestFit="1" customWidth="1"/>
    <col min="14541" max="14541" width="13.7109375" bestFit="1" customWidth="1"/>
    <col min="14542" max="14542" width="22.7109375" bestFit="1" customWidth="1"/>
    <col min="14543" max="14543" width="41.28515625" bestFit="1" customWidth="1"/>
    <col min="14544" max="14544" width="19.85546875" bestFit="1" customWidth="1"/>
    <col min="14545" max="14545" width="24.28515625" bestFit="1" customWidth="1"/>
    <col min="14546" max="14546" width="62.140625" bestFit="1" customWidth="1"/>
    <col min="14547" max="14547" width="23.85546875" bestFit="1" customWidth="1"/>
    <col min="14548" max="14548" width="32.85546875" bestFit="1" customWidth="1"/>
    <col min="14549" max="14549" width="30.42578125" bestFit="1" customWidth="1"/>
    <col min="14550" max="14550" width="12.28515625" bestFit="1" customWidth="1"/>
    <col min="14551" max="14551" width="14.42578125" bestFit="1" customWidth="1"/>
    <col min="14552" max="14552" width="18.85546875" customWidth="1"/>
    <col min="14772" max="14772" width="11" bestFit="1" customWidth="1"/>
    <col min="14773" max="14773" width="18.42578125" bestFit="1" customWidth="1"/>
    <col min="14774" max="14774" width="22.28515625" bestFit="1" customWidth="1"/>
    <col min="14775" max="14775" width="52.7109375" bestFit="1" customWidth="1"/>
    <col min="14776" max="14776" width="11.42578125" bestFit="1" customWidth="1"/>
    <col min="14777" max="14777" width="20.140625" bestFit="1" customWidth="1"/>
    <col min="14778" max="14778" width="25.85546875" bestFit="1" customWidth="1"/>
    <col min="14779" max="14779" width="23.85546875" bestFit="1" customWidth="1"/>
    <col min="14780" max="14780" width="22.42578125" customWidth="1"/>
    <col min="14781" max="14781" width="10.85546875" bestFit="1" customWidth="1"/>
    <col min="14782" max="14782" width="8.42578125" bestFit="1" customWidth="1"/>
    <col min="14783" max="14783" width="15.7109375" bestFit="1" customWidth="1"/>
    <col min="14784" max="14784" width="19.28515625" bestFit="1" customWidth="1"/>
    <col min="14785" max="14785" width="28.140625" bestFit="1" customWidth="1"/>
    <col min="14786" max="14786" width="31.28515625" bestFit="1" customWidth="1"/>
    <col min="14787" max="14787" width="26.42578125" customWidth="1"/>
    <col min="14788" max="14788" width="15.28515625" customWidth="1"/>
    <col min="14789" max="14789" width="17.85546875" customWidth="1"/>
    <col min="14790" max="14790" width="36.28515625" bestFit="1" customWidth="1"/>
    <col min="14791" max="14791" width="24.42578125" bestFit="1" customWidth="1"/>
    <col min="14792" max="14792" width="11.42578125" bestFit="1" customWidth="1"/>
    <col min="14793" max="14793" width="10.140625" bestFit="1" customWidth="1"/>
    <col min="14794" max="14794" width="28.7109375" bestFit="1" customWidth="1"/>
    <col min="14795" max="14795" width="28.42578125" bestFit="1" customWidth="1"/>
    <col min="14796" max="14796" width="34.28515625" bestFit="1" customWidth="1"/>
    <col min="14797" max="14797" width="13.7109375" bestFit="1" customWidth="1"/>
    <col min="14798" max="14798" width="22.7109375" bestFit="1" customWidth="1"/>
    <col min="14799" max="14799" width="41.28515625" bestFit="1" customWidth="1"/>
    <col min="14800" max="14800" width="19.85546875" bestFit="1" customWidth="1"/>
    <col min="14801" max="14801" width="24.28515625" bestFit="1" customWidth="1"/>
    <col min="14802" max="14802" width="62.140625" bestFit="1" customWidth="1"/>
    <col min="14803" max="14803" width="23.85546875" bestFit="1" customWidth="1"/>
    <col min="14804" max="14804" width="32.85546875" bestFit="1" customWidth="1"/>
    <col min="14805" max="14805" width="30.42578125" bestFit="1" customWidth="1"/>
    <col min="14806" max="14806" width="12.28515625" bestFit="1" customWidth="1"/>
    <col min="14807" max="14807" width="14.42578125" bestFit="1" customWidth="1"/>
    <col min="14808" max="14808" width="18.85546875" customWidth="1"/>
    <col min="15028" max="15028" width="11" bestFit="1" customWidth="1"/>
    <col min="15029" max="15029" width="18.42578125" bestFit="1" customWidth="1"/>
    <col min="15030" max="15030" width="22.28515625" bestFit="1" customWidth="1"/>
    <col min="15031" max="15031" width="52.7109375" bestFit="1" customWidth="1"/>
    <col min="15032" max="15032" width="11.42578125" bestFit="1" customWidth="1"/>
    <col min="15033" max="15033" width="20.140625" bestFit="1" customWidth="1"/>
    <col min="15034" max="15034" width="25.85546875" bestFit="1" customWidth="1"/>
    <col min="15035" max="15035" width="23.85546875" bestFit="1" customWidth="1"/>
    <col min="15036" max="15036" width="22.42578125" customWidth="1"/>
    <col min="15037" max="15037" width="10.85546875" bestFit="1" customWidth="1"/>
    <col min="15038" max="15038" width="8.42578125" bestFit="1" customWidth="1"/>
    <col min="15039" max="15039" width="15.7109375" bestFit="1" customWidth="1"/>
    <col min="15040" max="15040" width="19.28515625" bestFit="1" customWidth="1"/>
    <col min="15041" max="15041" width="28.140625" bestFit="1" customWidth="1"/>
    <col min="15042" max="15042" width="31.28515625" bestFit="1" customWidth="1"/>
    <col min="15043" max="15043" width="26.42578125" customWidth="1"/>
    <col min="15044" max="15044" width="15.28515625" customWidth="1"/>
    <col min="15045" max="15045" width="17.85546875" customWidth="1"/>
    <col min="15046" max="15046" width="36.28515625" bestFit="1" customWidth="1"/>
    <col min="15047" max="15047" width="24.42578125" bestFit="1" customWidth="1"/>
    <col min="15048" max="15048" width="11.42578125" bestFit="1" customWidth="1"/>
    <col min="15049" max="15049" width="10.140625" bestFit="1" customWidth="1"/>
    <col min="15050" max="15050" width="28.7109375" bestFit="1" customWidth="1"/>
    <col min="15051" max="15051" width="28.42578125" bestFit="1" customWidth="1"/>
    <col min="15052" max="15052" width="34.28515625" bestFit="1" customWidth="1"/>
    <col min="15053" max="15053" width="13.7109375" bestFit="1" customWidth="1"/>
    <col min="15054" max="15054" width="22.7109375" bestFit="1" customWidth="1"/>
    <col min="15055" max="15055" width="41.28515625" bestFit="1" customWidth="1"/>
    <col min="15056" max="15056" width="19.85546875" bestFit="1" customWidth="1"/>
    <col min="15057" max="15057" width="24.28515625" bestFit="1" customWidth="1"/>
    <col min="15058" max="15058" width="62.140625" bestFit="1" customWidth="1"/>
    <col min="15059" max="15059" width="23.85546875" bestFit="1" customWidth="1"/>
    <col min="15060" max="15060" width="32.85546875" bestFit="1" customWidth="1"/>
    <col min="15061" max="15061" width="30.42578125" bestFit="1" customWidth="1"/>
    <col min="15062" max="15062" width="12.28515625" bestFit="1" customWidth="1"/>
    <col min="15063" max="15063" width="14.42578125" bestFit="1" customWidth="1"/>
    <col min="15064" max="15064" width="18.85546875" customWidth="1"/>
    <col min="15284" max="15284" width="11" bestFit="1" customWidth="1"/>
    <col min="15285" max="15285" width="18.42578125" bestFit="1" customWidth="1"/>
    <col min="15286" max="15286" width="22.28515625" bestFit="1" customWidth="1"/>
    <col min="15287" max="15287" width="52.7109375" bestFit="1" customWidth="1"/>
    <col min="15288" max="15288" width="11.42578125" bestFit="1" customWidth="1"/>
    <col min="15289" max="15289" width="20.140625" bestFit="1" customWidth="1"/>
    <col min="15290" max="15290" width="25.85546875" bestFit="1" customWidth="1"/>
    <col min="15291" max="15291" width="23.85546875" bestFit="1" customWidth="1"/>
    <col min="15292" max="15292" width="22.42578125" customWidth="1"/>
    <col min="15293" max="15293" width="10.85546875" bestFit="1" customWidth="1"/>
    <col min="15294" max="15294" width="8.42578125" bestFit="1" customWidth="1"/>
    <col min="15295" max="15295" width="15.7109375" bestFit="1" customWidth="1"/>
    <col min="15296" max="15296" width="19.28515625" bestFit="1" customWidth="1"/>
    <col min="15297" max="15297" width="28.140625" bestFit="1" customWidth="1"/>
    <col min="15298" max="15298" width="31.28515625" bestFit="1" customWidth="1"/>
    <col min="15299" max="15299" width="26.42578125" customWidth="1"/>
    <col min="15300" max="15300" width="15.28515625" customWidth="1"/>
    <col min="15301" max="15301" width="17.85546875" customWidth="1"/>
    <col min="15302" max="15302" width="36.28515625" bestFit="1" customWidth="1"/>
    <col min="15303" max="15303" width="24.42578125" bestFit="1" customWidth="1"/>
    <col min="15304" max="15304" width="11.42578125" bestFit="1" customWidth="1"/>
    <col min="15305" max="15305" width="10.140625" bestFit="1" customWidth="1"/>
    <col min="15306" max="15306" width="28.7109375" bestFit="1" customWidth="1"/>
    <col min="15307" max="15307" width="28.42578125" bestFit="1" customWidth="1"/>
    <col min="15308" max="15308" width="34.28515625" bestFit="1" customWidth="1"/>
    <col min="15309" max="15309" width="13.7109375" bestFit="1" customWidth="1"/>
    <col min="15310" max="15310" width="22.7109375" bestFit="1" customWidth="1"/>
    <col min="15311" max="15311" width="41.28515625" bestFit="1" customWidth="1"/>
    <col min="15312" max="15312" width="19.85546875" bestFit="1" customWidth="1"/>
    <col min="15313" max="15313" width="24.28515625" bestFit="1" customWidth="1"/>
    <col min="15314" max="15314" width="62.140625" bestFit="1" customWidth="1"/>
    <col min="15315" max="15315" width="23.85546875" bestFit="1" customWidth="1"/>
    <col min="15316" max="15316" width="32.85546875" bestFit="1" customWidth="1"/>
    <col min="15317" max="15317" width="30.42578125" bestFit="1" customWidth="1"/>
    <col min="15318" max="15318" width="12.28515625" bestFit="1" customWidth="1"/>
    <col min="15319" max="15319" width="14.42578125" bestFit="1" customWidth="1"/>
    <col min="15320" max="15320" width="18.85546875" customWidth="1"/>
    <col min="15540" max="15540" width="11" bestFit="1" customWidth="1"/>
    <col min="15541" max="15541" width="18.42578125" bestFit="1" customWidth="1"/>
    <col min="15542" max="15542" width="22.28515625" bestFit="1" customWidth="1"/>
    <col min="15543" max="15543" width="52.7109375" bestFit="1" customWidth="1"/>
    <col min="15544" max="15544" width="11.42578125" bestFit="1" customWidth="1"/>
    <col min="15545" max="15545" width="20.140625" bestFit="1" customWidth="1"/>
    <col min="15546" max="15546" width="25.85546875" bestFit="1" customWidth="1"/>
    <col min="15547" max="15547" width="23.85546875" bestFit="1" customWidth="1"/>
    <col min="15548" max="15548" width="22.42578125" customWidth="1"/>
    <col min="15549" max="15549" width="10.85546875" bestFit="1" customWidth="1"/>
    <col min="15550" max="15550" width="8.42578125" bestFit="1" customWidth="1"/>
    <col min="15551" max="15551" width="15.7109375" bestFit="1" customWidth="1"/>
    <col min="15552" max="15552" width="19.28515625" bestFit="1" customWidth="1"/>
    <col min="15553" max="15553" width="28.140625" bestFit="1" customWidth="1"/>
    <col min="15554" max="15554" width="31.28515625" bestFit="1" customWidth="1"/>
    <col min="15555" max="15555" width="26.42578125" customWidth="1"/>
    <col min="15556" max="15556" width="15.28515625" customWidth="1"/>
    <col min="15557" max="15557" width="17.85546875" customWidth="1"/>
    <col min="15558" max="15558" width="36.28515625" bestFit="1" customWidth="1"/>
    <col min="15559" max="15559" width="24.42578125" bestFit="1" customWidth="1"/>
    <col min="15560" max="15560" width="11.42578125" bestFit="1" customWidth="1"/>
    <col min="15561" max="15561" width="10.140625" bestFit="1" customWidth="1"/>
    <col min="15562" max="15562" width="28.7109375" bestFit="1" customWidth="1"/>
    <col min="15563" max="15563" width="28.42578125" bestFit="1" customWidth="1"/>
    <col min="15564" max="15564" width="34.28515625" bestFit="1" customWidth="1"/>
    <col min="15565" max="15565" width="13.7109375" bestFit="1" customWidth="1"/>
    <col min="15566" max="15566" width="22.7109375" bestFit="1" customWidth="1"/>
    <col min="15567" max="15567" width="41.28515625" bestFit="1" customWidth="1"/>
    <col min="15568" max="15568" width="19.85546875" bestFit="1" customWidth="1"/>
    <col min="15569" max="15569" width="24.28515625" bestFit="1" customWidth="1"/>
    <col min="15570" max="15570" width="62.140625" bestFit="1" customWidth="1"/>
    <col min="15571" max="15571" width="23.85546875" bestFit="1" customWidth="1"/>
    <col min="15572" max="15572" width="32.85546875" bestFit="1" customWidth="1"/>
    <col min="15573" max="15573" width="30.42578125" bestFit="1" customWidth="1"/>
    <col min="15574" max="15574" width="12.28515625" bestFit="1" customWidth="1"/>
    <col min="15575" max="15575" width="14.42578125" bestFit="1" customWidth="1"/>
    <col min="15576" max="15576" width="18.85546875" customWidth="1"/>
    <col min="15796" max="15796" width="11" bestFit="1" customWidth="1"/>
    <col min="15797" max="15797" width="18.42578125" bestFit="1" customWidth="1"/>
    <col min="15798" max="15798" width="22.28515625" bestFit="1" customWidth="1"/>
    <col min="15799" max="15799" width="52.7109375" bestFit="1" customWidth="1"/>
    <col min="15800" max="15800" width="11.42578125" bestFit="1" customWidth="1"/>
    <col min="15801" max="15801" width="20.140625" bestFit="1" customWidth="1"/>
    <col min="15802" max="15802" width="25.85546875" bestFit="1" customWidth="1"/>
    <col min="15803" max="15803" width="23.85546875" bestFit="1" customWidth="1"/>
    <col min="15804" max="15804" width="22.42578125" customWidth="1"/>
    <col min="15805" max="15805" width="10.85546875" bestFit="1" customWidth="1"/>
    <col min="15806" max="15806" width="8.42578125" bestFit="1" customWidth="1"/>
    <col min="15807" max="15807" width="15.7109375" bestFit="1" customWidth="1"/>
    <col min="15808" max="15808" width="19.28515625" bestFit="1" customWidth="1"/>
    <col min="15809" max="15809" width="28.140625" bestFit="1" customWidth="1"/>
    <col min="15810" max="15810" width="31.28515625" bestFit="1" customWidth="1"/>
    <col min="15811" max="15811" width="26.42578125" customWidth="1"/>
    <col min="15812" max="15812" width="15.28515625" customWidth="1"/>
    <col min="15813" max="15813" width="17.85546875" customWidth="1"/>
    <col min="15814" max="15814" width="36.28515625" bestFit="1" customWidth="1"/>
    <col min="15815" max="15815" width="24.42578125" bestFit="1" customWidth="1"/>
    <col min="15816" max="15816" width="11.42578125" bestFit="1" customWidth="1"/>
    <col min="15817" max="15817" width="10.140625" bestFit="1" customWidth="1"/>
    <col min="15818" max="15818" width="28.7109375" bestFit="1" customWidth="1"/>
    <col min="15819" max="15819" width="28.42578125" bestFit="1" customWidth="1"/>
    <col min="15820" max="15820" width="34.28515625" bestFit="1" customWidth="1"/>
    <col min="15821" max="15821" width="13.7109375" bestFit="1" customWidth="1"/>
    <col min="15822" max="15822" width="22.7109375" bestFit="1" customWidth="1"/>
    <col min="15823" max="15823" width="41.28515625" bestFit="1" customWidth="1"/>
    <col min="15824" max="15824" width="19.85546875" bestFit="1" customWidth="1"/>
    <col min="15825" max="15825" width="24.28515625" bestFit="1" customWidth="1"/>
    <col min="15826" max="15826" width="62.140625" bestFit="1" customWidth="1"/>
    <col min="15827" max="15827" width="23.85546875" bestFit="1" customWidth="1"/>
    <col min="15828" max="15828" width="32.85546875" bestFit="1" customWidth="1"/>
    <col min="15829" max="15829" width="30.42578125" bestFit="1" customWidth="1"/>
    <col min="15830" max="15830" width="12.28515625" bestFit="1" customWidth="1"/>
    <col min="15831" max="15831" width="14.42578125" bestFit="1" customWidth="1"/>
    <col min="15832" max="15832" width="18.85546875" customWidth="1"/>
    <col min="16052" max="16052" width="11" bestFit="1" customWidth="1"/>
    <col min="16053" max="16053" width="18.42578125" bestFit="1" customWidth="1"/>
    <col min="16054" max="16054" width="22.28515625" bestFit="1" customWidth="1"/>
    <col min="16055" max="16055" width="52.7109375" bestFit="1" customWidth="1"/>
    <col min="16056" max="16056" width="11.42578125" bestFit="1" customWidth="1"/>
    <col min="16057" max="16057" width="20.140625" bestFit="1" customWidth="1"/>
    <col min="16058" max="16058" width="25.85546875" bestFit="1" customWidth="1"/>
    <col min="16059" max="16059" width="23.85546875" bestFit="1" customWidth="1"/>
    <col min="16060" max="16060" width="22.42578125" customWidth="1"/>
    <col min="16061" max="16061" width="10.85546875" bestFit="1" customWidth="1"/>
    <col min="16062" max="16062" width="8.42578125" bestFit="1" customWidth="1"/>
    <col min="16063" max="16063" width="15.7109375" bestFit="1" customWidth="1"/>
    <col min="16064" max="16064" width="19.28515625" bestFit="1" customWidth="1"/>
    <col min="16065" max="16065" width="28.140625" bestFit="1" customWidth="1"/>
    <col min="16066" max="16066" width="31.28515625" bestFit="1" customWidth="1"/>
    <col min="16067" max="16067" width="26.42578125" customWidth="1"/>
    <col min="16068" max="16068" width="15.28515625" customWidth="1"/>
    <col min="16069" max="16069" width="17.85546875" customWidth="1"/>
    <col min="16070" max="16070" width="36.28515625" bestFit="1" customWidth="1"/>
    <col min="16071" max="16071" width="24.42578125" bestFit="1" customWidth="1"/>
    <col min="16072" max="16072" width="11.42578125" bestFit="1" customWidth="1"/>
    <col min="16073" max="16073" width="10.140625" bestFit="1" customWidth="1"/>
    <col min="16074" max="16074" width="28.7109375" bestFit="1" customWidth="1"/>
    <col min="16075" max="16075" width="28.42578125" bestFit="1" customWidth="1"/>
    <col min="16076" max="16076" width="34.28515625" bestFit="1" customWidth="1"/>
    <col min="16077" max="16077" width="13.7109375" bestFit="1" customWidth="1"/>
    <col min="16078" max="16078" width="22.7109375" bestFit="1" customWidth="1"/>
    <col min="16079" max="16079" width="41.28515625" bestFit="1" customWidth="1"/>
    <col min="16080" max="16080" width="19.85546875" bestFit="1" customWidth="1"/>
    <col min="16081" max="16081" width="24.28515625" bestFit="1" customWidth="1"/>
    <col min="16082" max="16082" width="62.140625" bestFit="1" customWidth="1"/>
    <col min="16083" max="16083" width="23.85546875" bestFit="1" customWidth="1"/>
    <col min="16084" max="16084" width="32.85546875" bestFit="1" customWidth="1"/>
    <col min="16085" max="16085" width="30.42578125" bestFit="1" customWidth="1"/>
    <col min="16086" max="16086" width="12.28515625" bestFit="1" customWidth="1"/>
    <col min="16087" max="16087" width="14.42578125" bestFit="1" customWidth="1"/>
    <col min="16088" max="16088" width="18.85546875" customWidth="1"/>
  </cols>
  <sheetData>
    <row r="1" spans="1:413" ht="16.5" thickBot="1">
      <c r="A1" s="443" t="s">
        <v>602</v>
      </c>
      <c r="B1" s="444"/>
      <c r="C1" s="42" t="s">
        <v>704</v>
      </c>
      <c r="D1" s="42"/>
      <c r="E1" s="42"/>
      <c r="F1" s="42"/>
      <c r="G1" s="42"/>
      <c r="H1" s="42"/>
      <c r="I1" s="42"/>
      <c r="J1" s="42"/>
      <c r="K1" s="41"/>
      <c r="L1" s="41"/>
      <c r="M1" s="39"/>
    </row>
    <row r="2" spans="1:413" ht="19.5" thickBot="1">
      <c r="A2" s="3"/>
      <c r="B2" s="54" t="s">
        <v>608</v>
      </c>
      <c r="C2" s="54"/>
      <c r="D2" s="54"/>
      <c r="E2" s="54"/>
      <c r="F2" s="54"/>
      <c r="G2" s="54"/>
      <c r="H2" s="54"/>
      <c r="I2" s="54"/>
      <c r="J2" s="54"/>
      <c r="K2" s="58"/>
      <c r="L2" s="58"/>
      <c r="M2" s="52"/>
    </row>
    <row r="3" spans="1:413" ht="16.5" thickBot="1">
      <c r="A3" s="59" t="s">
        <v>609</v>
      </c>
      <c r="B3" s="445"/>
      <c r="C3" s="446" t="s">
        <v>705</v>
      </c>
      <c r="D3" s="447" t="s">
        <v>706</v>
      </c>
      <c r="E3" s="448" t="s">
        <v>164</v>
      </c>
      <c r="F3" s="449" t="s">
        <v>707</v>
      </c>
      <c r="G3" s="450" t="s">
        <v>27</v>
      </c>
      <c r="H3" s="451" t="s">
        <v>629</v>
      </c>
      <c r="I3" s="452" t="s">
        <v>394</v>
      </c>
      <c r="J3" s="453" t="s">
        <v>708</v>
      </c>
      <c r="K3" s="69" t="s">
        <v>635</v>
      </c>
      <c r="L3" s="65" t="s">
        <v>622</v>
      </c>
      <c r="M3" s="66" t="s">
        <v>622</v>
      </c>
    </row>
    <row r="4" spans="1:413" ht="16.5" thickBot="1">
      <c r="A4" s="545" t="s">
        <v>636</v>
      </c>
      <c r="B4" s="546"/>
      <c r="C4" s="70"/>
      <c r="D4" s="70"/>
      <c r="E4" s="70"/>
      <c r="F4" s="70"/>
      <c r="G4" s="70"/>
      <c r="H4" s="70"/>
      <c r="I4" s="70"/>
      <c r="J4" s="70"/>
      <c r="K4" s="72"/>
      <c r="L4" s="73"/>
    </row>
    <row r="5" spans="1:413" ht="16.5" thickBot="1">
      <c r="A5" s="547" t="s">
        <v>637</v>
      </c>
      <c r="B5" s="548"/>
      <c r="C5" s="70"/>
      <c r="D5" s="70"/>
      <c r="E5" s="70"/>
      <c r="F5" s="70"/>
      <c r="G5" s="70"/>
      <c r="H5" s="70"/>
      <c r="I5" s="70"/>
      <c r="J5" s="70"/>
      <c r="K5" s="72"/>
      <c r="L5" s="73"/>
    </row>
    <row r="6" spans="1:413" ht="15.75">
      <c r="A6" s="3"/>
      <c r="B6" s="74" t="s">
        <v>638</v>
      </c>
      <c r="L6" s="73"/>
    </row>
    <row r="7" spans="1:413" ht="15.75">
      <c r="A7" s="114" t="s">
        <v>709</v>
      </c>
      <c r="B7" s="115" t="s">
        <v>639</v>
      </c>
      <c r="C7" s="116"/>
      <c r="D7" s="116"/>
      <c r="E7" s="116"/>
      <c r="F7" s="116"/>
      <c r="G7" s="116"/>
      <c r="H7" s="116"/>
      <c r="I7" s="116"/>
      <c r="J7" s="116"/>
      <c r="K7" s="116">
        <f>SUM(C7:J7)</f>
        <v>0</v>
      </c>
      <c r="L7" s="118" t="str">
        <f t="shared" ref="L7:L53" si="0">IF(K7=M7,"ok","check")</f>
        <v>ok</v>
      </c>
      <c r="M7" s="116"/>
    </row>
    <row r="8" spans="1:413" ht="15.75">
      <c r="A8" s="3"/>
      <c r="B8" s="8" t="s">
        <v>640</v>
      </c>
      <c r="C8" s="9"/>
      <c r="D8" s="9"/>
      <c r="E8" s="9"/>
      <c r="F8" s="9"/>
      <c r="G8" s="9"/>
      <c r="H8" s="9"/>
      <c r="I8" s="9"/>
      <c r="J8" s="9"/>
      <c r="K8" s="9">
        <f t="shared" ref="K8:K70" si="1">SUM(C8:J8)</f>
        <v>0</v>
      </c>
      <c r="L8" s="118" t="str">
        <f t="shared" si="0"/>
        <v>ok</v>
      </c>
      <c r="M8" s="9"/>
    </row>
    <row r="9" spans="1:413" s="455" customFormat="1" ht="15.75">
      <c r="A9" s="454"/>
      <c r="B9" s="119" t="s">
        <v>641</v>
      </c>
      <c r="C9" s="117"/>
      <c r="D9" s="117"/>
      <c r="E9" s="117"/>
      <c r="F9" s="117"/>
      <c r="G9" s="117"/>
      <c r="H9" s="117"/>
      <c r="I9" s="117"/>
      <c r="J9" s="117"/>
      <c r="K9" s="117">
        <f>SUM(C9:J9)</f>
        <v>0</v>
      </c>
      <c r="L9" s="118" t="str">
        <f t="shared" si="0"/>
        <v>ok</v>
      </c>
      <c r="M9" s="117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</row>
    <row r="10" spans="1:413" ht="15.75">
      <c r="A10" s="3"/>
      <c r="B10" s="8" t="s">
        <v>642</v>
      </c>
      <c r="C10" s="9">
        <f>Assumption!I26</f>
        <v>3587268</v>
      </c>
      <c r="D10" s="9"/>
      <c r="E10" s="9"/>
      <c r="F10" s="9"/>
      <c r="G10" s="9"/>
      <c r="H10" s="9"/>
      <c r="I10" s="9"/>
      <c r="J10" s="9"/>
      <c r="K10" s="9">
        <f t="shared" si="1"/>
        <v>3587268</v>
      </c>
      <c r="L10" s="118" t="str">
        <f t="shared" si="0"/>
        <v>ok</v>
      </c>
      <c r="M10" s="9">
        <f>Assumption!I28</f>
        <v>3587268</v>
      </c>
    </row>
    <row r="11" spans="1:413" ht="15.75">
      <c r="A11" s="456"/>
      <c r="B11" s="115" t="s">
        <v>643</v>
      </c>
      <c r="C11" s="116"/>
      <c r="D11" s="116"/>
      <c r="E11" s="116"/>
      <c r="F11" s="116"/>
      <c r="G11" s="116"/>
      <c r="H11" s="116"/>
      <c r="I11" s="116"/>
      <c r="J11" s="116"/>
      <c r="K11" s="116">
        <f t="shared" si="1"/>
        <v>0</v>
      </c>
      <c r="L11" s="118" t="str">
        <f t="shared" si="0"/>
        <v>ok</v>
      </c>
      <c r="M11" s="116"/>
    </row>
    <row r="12" spans="1:413" ht="15.75">
      <c r="A12" s="3"/>
      <c r="B12" s="8" t="s">
        <v>644</v>
      </c>
      <c r="C12" s="9"/>
      <c r="D12" s="9"/>
      <c r="E12" s="9"/>
      <c r="F12" s="9"/>
      <c r="G12" s="9"/>
      <c r="H12" s="9"/>
      <c r="I12" s="9"/>
      <c r="J12" s="9"/>
      <c r="K12" s="9">
        <f t="shared" si="1"/>
        <v>0</v>
      </c>
      <c r="L12" s="118" t="str">
        <f t="shared" si="0"/>
        <v>ok</v>
      </c>
      <c r="M12" s="9"/>
    </row>
    <row r="13" spans="1:413" s="455" customFormat="1" ht="15.75">
      <c r="A13" s="454"/>
      <c r="B13" s="119" t="s">
        <v>645</v>
      </c>
      <c r="C13" s="117"/>
      <c r="D13" s="117"/>
      <c r="E13" s="117"/>
      <c r="F13" s="117"/>
      <c r="G13" s="117"/>
      <c r="H13" s="117"/>
      <c r="I13" s="117"/>
      <c r="J13" s="117"/>
      <c r="K13" s="117">
        <v>0</v>
      </c>
      <c r="L13" s="118" t="str">
        <f t="shared" si="0"/>
        <v>ok</v>
      </c>
      <c r="M13" s="117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</row>
    <row r="14" spans="1:413" ht="15.75">
      <c r="A14" s="3"/>
      <c r="B14" s="8" t="s">
        <v>646</v>
      </c>
      <c r="C14" s="9">
        <f>Bossier!I25</f>
        <v>-1116728</v>
      </c>
      <c r="D14" s="9"/>
      <c r="E14" s="9"/>
      <c r="F14" s="9"/>
      <c r="G14" s="9"/>
      <c r="H14" s="9"/>
      <c r="I14" s="9"/>
      <c r="J14" s="9"/>
      <c r="K14" s="9">
        <f t="shared" ref="K14:K29" si="2">SUM(C14:J14)</f>
        <v>-1116728</v>
      </c>
      <c r="L14" s="118" t="str">
        <f t="shared" si="0"/>
        <v>ok</v>
      </c>
      <c r="M14" s="9">
        <f>Bossier!I27</f>
        <v>-1116728</v>
      </c>
    </row>
    <row r="15" spans="1:413" s="455" customFormat="1" ht="15.75">
      <c r="A15" s="454"/>
      <c r="B15" s="119" t="s">
        <v>647</v>
      </c>
      <c r="C15" s="117"/>
      <c r="D15" s="117"/>
      <c r="E15" s="117"/>
      <c r="F15" s="117"/>
      <c r="G15" s="117"/>
      <c r="H15" s="117"/>
      <c r="I15" s="117"/>
      <c r="J15" s="117"/>
      <c r="K15" s="117">
        <f t="shared" si="2"/>
        <v>0</v>
      </c>
      <c r="L15" s="118" t="str">
        <f t="shared" si="0"/>
        <v>ok</v>
      </c>
      <c r="M15" s="117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</row>
    <row r="16" spans="1:413" ht="15.75">
      <c r="A16" s="3"/>
      <c r="B16" s="8" t="s">
        <v>648</v>
      </c>
      <c r="C16" s="9">
        <f>Calcasieu!I21+Calcasieu!I20</f>
        <v>1576725</v>
      </c>
      <c r="D16" s="9"/>
      <c r="E16" s="9"/>
      <c r="F16" s="9"/>
      <c r="G16" s="9"/>
      <c r="H16" s="9"/>
      <c r="I16" s="9"/>
      <c r="J16" s="9"/>
      <c r="K16" s="9">
        <f t="shared" si="2"/>
        <v>1576725</v>
      </c>
      <c r="L16" s="118" t="str">
        <f t="shared" si="0"/>
        <v>ok</v>
      </c>
      <c r="M16" s="9">
        <f>Calcasieu!I23</f>
        <v>1576725</v>
      </c>
    </row>
    <row r="17" spans="1:413" ht="15.75">
      <c r="A17" s="456"/>
      <c r="B17" s="115" t="s">
        <v>649</v>
      </c>
      <c r="C17" s="116"/>
      <c r="D17" s="116"/>
      <c r="E17" s="116"/>
      <c r="F17" s="116"/>
      <c r="G17" s="116"/>
      <c r="H17" s="116"/>
      <c r="I17" s="116"/>
      <c r="J17" s="116"/>
      <c r="K17" s="116">
        <f t="shared" ref="K17:K26" si="3">SUM(C17:J17)</f>
        <v>0</v>
      </c>
      <c r="L17" s="118" t="str">
        <f t="shared" si="0"/>
        <v>ok</v>
      </c>
      <c r="M17" s="116"/>
    </row>
    <row r="18" spans="1:413" s="127" customFormat="1" ht="15.75">
      <c r="A18" s="126"/>
      <c r="B18" s="130" t="s">
        <v>650</v>
      </c>
      <c r="C18" s="140"/>
      <c r="D18" s="140"/>
      <c r="E18" s="140"/>
      <c r="F18" s="140"/>
      <c r="G18" s="140"/>
      <c r="H18" s="140"/>
      <c r="I18" s="140"/>
      <c r="J18" s="140"/>
      <c r="K18" s="140">
        <f t="shared" si="3"/>
        <v>0</v>
      </c>
      <c r="L18" s="118" t="str">
        <f t="shared" si="0"/>
        <v>ok</v>
      </c>
      <c r="M18" s="140"/>
    </row>
    <row r="19" spans="1:413" s="225" customFormat="1" ht="15.75">
      <c r="A19" s="454"/>
      <c r="B19" s="119" t="s">
        <v>651</v>
      </c>
      <c r="C19" s="117"/>
      <c r="D19" s="117"/>
      <c r="E19" s="117"/>
      <c r="F19" s="117"/>
      <c r="G19" s="117"/>
      <c r="H19" s="117"/>
      <c r="I19" s="117"/>
      <c r="J19" s="117"/>
      <c r="K19" s="117">
        <f t="shared" si="3"/>
        <v>0</v>
      </c>
      <c r="L19" s="118" t="str">
        <f t="shared" si="0"/>
        <v>ok</v>
      </c>
      <c r="M19" s="117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</row>
    <row r="20" spans="1:413" ht="15.75">
      <c r="A20" s="3"/>
      <c r="B20" s="8" t="s">
        <v>652</v>
      </c>
      <c r="C20" s="9"/>
      <c r="D20" s="9"/>
      <c r="E20" s="9"/>
      <c r="F20" s="9"/>
      <c r="G20" s="9"/>
      <c r="H20" s="9"/>
      <c r="I20" s="9"/>
      <c r="J20" s="9"/>
      <c r="K20" s="9">
        <f t="shared" si="3"/>
        <v>0</v>
      </c>
      <c r="L20" s="118" t="str">
        <f t="shared" si="0"/>
        <v>ok</v>
      </c>
      <c r="M20" s="9"/>
    </row>
    <row r="21" spans="1:413" s="455" customFormat="1" ht="15.75">
      <c r="A21" s="454"/>
      <c r="B21" s="119" t="s">
        <v>653</v>
      </c>
      <c r="C21" s="117"/>
      <c r="D21" s="117"/>
      <c r="E21" s="117"/>
      <c r="F21" s="117"/>
      <c r="G21" s="117"/>
      <c r="H21" s="117"/>
      <c r="I21" s="117"/>
      <c r="J21" s="117"/>
      <c r="K21" s="117">
        <f t="shared" si="3"/>
        <v>0</v>
      </c>
      <c r="L21" s="118" t="str">
        <f t="shared" si="0"/>
        <v>ok</v>
      </c>
      <c r="M21" s="117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</row>
    <row r="22" spans="1:413" ht="15.75">
      <c r="A22" s="3"/>
      <c r="B22" s="8" t="s">
        <v>654</v>
      </c>
      <c r="C22" s="9">
        <f>DeSoto!I28</f>
        <v>-33209</v>
      </c>
      <c r="D22" s="9"/>
      <c r="E22" s="9"/>
      <c r="F22" s="9"/>
      <c r="G22" s="9"/>
      <c r="H22" s="9"/>
      <c r="I22" s="9"/>
      <c r="J22" s="9"/>
      <c r="K22" s="9">
        <f t="shared" si="3"/>
        <v>-33209</v>
      </c>
      <c r="L22" s="118" t="str">
        <f t="shared" si="0"/>
        <v>ok</v>
      </c>
      <c r="M22" s="9">
        <f>DeSoto!I28</f>
        <v>-33209</v>
      </c>
    </row>
    <row r="23" spans="1:413" ht="15.75">
      <c r="A23" s="456"/>
      <c r="B23" s="115" t="s">
        <v>655</v>
      </c>
      <c r="C23" s="116">
        <f>'East Baton Rouge'!I22</f>
        <v>-156351603</v>
      </c>
      <c r="D23" s="116">
        <f>'East Baton Rouge'!I23</f>
        <v>-40892829</v>
      </c>
      <c r="E23" s="116">
        <f>'East Baton Rouge'!I21</f>
        <v>-28541998</v>
      </c>
      <c r="F23" s="116">
        <f>'East Baton Rouge'!I24</f>
        <v>-13381809</v>
      </c>
      <c r="G23" s="116"/>
      <c r="H23" s="116"/>
      <c r="I23" s="116"/>
      <c r="J23" s="116">
        <f>'East Baton Rouge'!I25</f>
        <v>-2745073</v>
      </c>
      <c r="K23" s="116">
        <f t="shared" si="3"/>
        <v>-241913312</v>
      </c>
      <c r="L23" s="118" t="str">
        <f t="shared" si="0"/>
        <v>ok</v>
      </c>
      <c r="M23" s="116">
        <f>'East Baton Rouge'!I27</f>
        <v>-241913312</v>
      </c>
    </row>
    <row r="24" spans="1:413" s="127" customFormat="1" ht="15.75">
      <c r="A24" s="126"/>
      <c r="B24" s="130" t="s">
        <v>656</v>
      </c>
      <c r="C24" s="140"/>
      <c r="D24" s="140">
        <f>'East Carroll'!I26</f>
        <v>-630500</v>
      </c>
      <c r="E24" s="140"/>
      <c r="F24" s="140"/>
      <c r="G24" s="140"/>
      <c r="H24" s="140"/>
      <c r="I24" s="140"/>
      <c r="J24" s="140"/>
      <c r="K24" s="140">
        <f t="shared" si="3"/>
        <v>-630500</v>
      </c>
      <c r="L24" s="118" t="str">
        <f t="shared" si="0"/>
        <v>ok</v>
      </c>
      <c r="M24" s="140">
        <f>'East Carroll'!I28</f>
        <v>-630500</v>
      </c>
    </row>
    <row r="25" spans="1:413" s="225" customFormat="1" ht="15.75">
      <c r="A25" s="454"/>
      <c r="B25" s="119" t="s">
        <v>657</v>
      </c>
      <c r="C25" s="117"/>
      <c r="D25" s="117"/>
      <c r="E25" s="117"/>
      <c r="F25" s="117"/>
      <c r="G25" s="117"/>
      <c r="H25" s="117"/>
      <c r="I25" s="117"/>
      <c r="J25" s="117"/>
      <c r="K25" s="117">
        <f t="shared" si="3"/>
        <v>0</v>
      </c>
      <c r="L25" s="118" t="str">
        <f t="shared" si="0"/>
        <v>ok</v>
      </c>
      <c r="M25" s="117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</row>
    <row r="26" spans="1:413" ht="15.75">
      <c r="A26" s="3"/>
      <c r="B26" s="8" t="s">
        <v>658</v>
      </c>
      <c r="C26" s="9">
        <f>Evangeline!I19</f>
        <v>-57232</v>
      </c>
      <c r="D26" s="9"/>
      <c r="G26" s="12"/>
      <c r="H26" s="9"/>
      <c r="J26" s="9">
        <f>Evangeline!I20</f>
        <v>-554475</v>
      </c>
      <c r="K26" s="9">
        <f t="shared" si="3"/>
        <v>-611707</v>
      </c>
      <c r="L26" s="118" t="str">
        <f t="shared" si="0"/>
        <v>ok</v>
      </c>
      <c r="M26" s="9">
        <f>Evangeline!I22</f>
        <v>-611707</v>
      </c>
    </row>
    <row r="27" spans="1:413" ht="15.75">
      <c r="A27" s="456"/>
      <c r="B27" s="115" t="s">
        <v>659</v>
      </c>
      <c r="C27" s="116"/>
      <c r="D27" s="116"/>
      <c r="E27" s="116"/>
      <c r="F27" s="116"/>
      <c r="G27" s="116"/>
      <c r="H27" s="116"/>
      <c r="I27" s="116"/>
      <c r="J27" s="116"/>
      <c r="K27" s="116">
        <f t="shared" si="2"/>
        <v>0</v>
      </c>
      <c r="L27" s="118" t="str">
        <f t="shared" si="0"/>
        <v>ok</v>
      </c>
      <c r="M27" s="116"/>
    </row>
    <row r="28" spans="1:413" s="127" customFormat="1" ht="15.75">
      <c r="A28" s="126"/>
      <c r="B28" s="130" t="s">
        <v>660</v>
      </c>
      <c r="C28" s="140">
        <f>'Grant '!I27</f>
        <v>598048</v>
      </c>
      <c r="D28" s="140"/>
      <c r="E28" s="140"/>
      <c r="F28" s="140"/>
      <c r="G28" s="140"/>
      <c r="H28" s="140"/>
      <c r="I28" s="140"/>
      <c r="J28" s="140"/>
      <c r="K28" s="140">
        <f t="shared" si="2"/>
        <v>598048</v>
      </c>
      <c r="L28" s="118" t="str">
        <f t="shared" si="0"/>
        <v>ok</v>
      </c>
      <c r="M28" s="140">
        <f>'Grant '!I29</f>
        <v>598048</v>
      </c>
    </row>
    <row r="29" spans="1:413" s="225" customFormat="1" ht="15.75">
      <c r="A29" s="454"/>
      <c r="B29" s="119" t="s">
        <v>661</v>
      </c>
      <c r="C29" s="117"/>
      <c r="D29" s="117"/>
      <c r="E29" s="117"/>
      <c r="F29" s="117"/>
      <c r="G29" s="117"/>
      <c r="H29" s="117"/>
      <c r="I29" s="117"/>
      <c r="J29" s="117"/>
      <c r="K29" s="117">
        <f t="shared" si="2"/>
        <v>0</v>
      </c>
      <c r="L29" s="118" t="str">
        <f t="shared" si="0"/>
        <v>ok</v>
      </c>
      <c r="M29" s="117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</row>
    <row r="30" spans="1:413" ht="15.75">
      <c r="A30" s="3"/>
      <c r="B30" s="8" t="s">
        <v>662</v>
      </c>
      <c r="C30" s="9">
        <f>Iberville!I20</f>
        <v>-4928587</v>
      </c>
      <c r="D30" s="9"/>
      <c r="E30" s="9"/>
      <c r="F30" s="9"/>
      <c r="G30" s="9"/>
      <c r="H30" s="9"/>
      <c r="I30" s="9"/>
      <c r="J30" s="9"/>
      <c r="K30" s="9">
        <f t="shared" si="1"/>
        <v>-4928587</v>
      </c>
      <c r="L30" s="118" t="str">
        <f t="shared" si="0"/>
        <v>ok</v>
      </c>
      <c r="M30" s="9">
        <f>Iberville!I22</f>
        <v>-4928587</v>
      </c>
    </row>
    <row r="31" spans="1:413" s="455" customFormat="1" ht="15.75">
      <c r="A31" s="454"/>
      <c r="B31" s="119" t="s">
        <v>663</v>
      </c>
      <c r="C31" s="117"/>
      <c r="D31" s="117"/>
      <c r="E31" s="117"/>
      <c r="F31" s="117"/>
      <c r="G31" s="117"/>
      <c r="H31" s="117"/>
      <c r="I31" s="117"/>
      <c r="J31" s="117"/>
      <c r="K31" s="117">
        <f t="shared" si="1"/>
        <v>0</v>
      </c>
      <c r="L31" s="118" t="str">
        <f t="shared" si="0"/>
        <v>ok</v>
      </c>
      <c r="M31" s="117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</row>
    <row r="32" spans="1:413" ht="15.75">
      <c r="A32" s="3"/>
      <c r="B32" s="8" t="s">
        <v>664</v>
      </c>
      <c r="C32" s="9">
        <f>Jefferson!I23+Jefferson!I22</f>
        <v>-83233</v>
      </c>
      <c r="D32" s="9"/>
      <c r="E32" s="9"/>
      <c r="F32" s="9"/>
      <c r="G32" s="9"/>
      <c r="H32" s="9"/>
      <c r="I32" s="9"/>
      <c r="J32" s="9"/>
      <c r="K32" s="9">
        <f t="shared" si="1"/>
        <v>-83233</v>
      </c>
      <c r="L32" s="118" t="str">
        <f t="shared" si="0"/>
        <v>ok</v>
      </c>
      <c r="M32" s="9">
        <f>Jefferson!I25</f>
        <v>-83233</v>
      </c>
    </row>
    <row r="33" spans="1:413" ht="15.75">
      <c r="A33" s="456"/>
      <c r="B33" s="115" t="s">
        <v>665</v>
      </c>
      <c r="C33" s="116"/>
      <c r="D33" s="116"/>
      <c r="E33" s="116"/>
      <c r="F33" s="116"/>
      <c r="G33" s="116"/>
      <c r="H33" s="116"/>
      <c r="I33" s="116"/>
      <c r="J33" s="116"/>
      <c r="K33" s="116">
        <f t="shared" si="1"/>
        <v>0</v>
      </c>
      <c r="L33" s="118" t="str">
        <f t="shared" si="0"/>
        <v>ok</v>
      </c>
      <c r="M33" s="116"/>
    </row>
    <row r="34" spans="1:413" s="127" customFormat="1" ht="15.75">
      <c r="A34" s="126"/>
      <c r="B34" s="130" t="s">
        <v>666</v>
      </c>
      <c r="C34" s="140">
        <f>Lafayette!I26+Lafayette!I25+Lafayette!I24</f>
        <v>-206270605</v>
      </c>
      <c r="D34" s="140">
        <f>Lafayette!I29</f>
        <v>-13493413</v>
      </c>
      <c r="E34" s="140"/>
      <c r="F34" s="140"/>
      <c r="G34" s="140"/>
      <c r="H34" s="140"/>
      <c r="I34" s="140"/>
      <c r="J34" s="140">
        <f>Lafayette!I31+Lafayette!I30+Lafayette!I28+Lafayette!I27</f>
        <v>-94660322</v>
      </c>
      <c r="K34" s="140">
        <f t="shared" si="1"/>
        <v>-314424340</v>
      </c>
      <c r="L34" s="118" t="str">
        <f t="shared" si="0"/>
        <v>ok</v>
      </c>
      <c r="M34" s="140">
        <f>Lafayette!I33</f>
        <v>-314424340</v>
      </c>
    </row>
    <row r="35" spans="1:413" s="225" customFormat="1" ht="15.75">
      <c r="A35" s="454"/>
      <c r="B35" s="119" t="s">
        <v>667</v>
      </c>
      <c r="C35" s="117">
        <f>Lafourche!I19</f>
        <v>-536012</v>
      </c>
      <c r="D35" s="117"/>
      <c r="E35" s="117"/>
      <c r="F35" s="117"/>
      <c r="G35" s="117"/>
      <c r="H35" s="117"/>
      <c r="I35" s="117"/>
      <c r="J35" s="117"/>
      <c r="K35" s="117">
        <f t="shared" si="1"/>
        <v>-536012</v>
      </c>
      <c r="L35" s="118" t="str">
        <f t="shared" si="0"/>
        <v>ok</v>
      </c>
      <c r="M35" s="117">
        <f>Lafourche!I19</f>
        <v>-536012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</row>
    <row r="36" spans="1:413" ht="15.75">
      <c r="A36" s="3"/>
      <c r="B36" s="8" t="s">
        <v>668</v>
      </c>
      <c r="C36" s="9"/>
      <c r="D36" s="9"/>
      <c r="H36" s="9"/>
      <c r="J36" s="9"/>
      <c r="K36" s="9">
        <f t="shared" si="1"/>
        <v>0</v>
      </c>
      <c r="L36" s="118" t="str">
        <f t="shared" si="0"/>
        <v>ok</v>
      </c>
      <c r="M36" s="9"/>
    </row>
    <row r="37" spans="1:413" s="460" customFormat="1" ht="15.75">
      <c r="A37" s="457"/>
      <c r="B37" s="458" t="s">
        <v>669</v>
      </c>
      <c r="C37" s="459"/>
      <c r="D37" s="459"/>
      <c r="E37" s="459"/>
      <c r="F37" s="459"/>
      <c r="G37" s="459"/>
      <c r="H37" s="459"/>
      <c r="I37" s="459"/>
      <c r="J37" s="459"/>
      <c r="K37" s="459">
        <f t="shared" si="1"/>
        <v>0</v>
      </c>
      <c r="L37" s="118" t="str">
        <f t="shared" si="0"/>
        <v>ok</v>
      </c>
      <c r="M37" s="459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</row>
    <row r="38" spans="1:413" s="132" customFormat="1" ht="15.75">
      <c r="A38" s="126"/>
      <c r="B38" s="130" t="s">
        <v>670</v>
      </c>
      <c r="C38" s="131">
        <f>Livingston!I19</f>
        <v>-883938</v>
      </c>
      <c r="D38" s="131"/>
      <c r="E38" s="131"/>
      <c r="F38" s="131"/>
      <c r="G38" s="131"/>
      <c r="H38" s="131"/>
      <c r="I38" s="131"/>
      <c r="J38" s="131"/>
      <c r="K38" s="9">
        <f t="shared" si="1"/>
        <v>-883938</v>
      </c>
      <c r="L38" s="118" t="str">
        <f t="shared" si="0"/>
        <v>ok</v>
      </c>
      <c r="M38" s="131">
        <f>Livingston!I21</f>
        <v>-883938</v>
      </c>
    </row>
    <row r="39" spans="1:413" s="134" customFormat="1" ht="15.75">
      <c r="A39" s="133"/>
      <c r="B39" s="144" t="s">
        <v>671</v>
      </c>
      <c r="C39" s="145"/>
      <c r="D39" s="145"/>
      <c r="E39" s="145"/>
      <c r="F39" s="145"/>
      <c r="G39" s="145"/>
      <c r="H39" s="145"/>
      <c r="I39" s="145"/>
      <c r="J39" s="145"/>
      <c r="K39" s="145">
        <f t="shared" ref="K39:K42" si="4">SUM(C39:J39)</f>
        <v>0</v>
      </c>
      <c r="L39" s="118" t="str">
        <f t="shared" si="0"/>
        <v>ok</v>
      </c>
      <c r="M39" s="145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  <c r="CB39" s="157"/>
      <c r="CC39" s="157"/>
      <c r="CD39" s="157"/>
      <c r="CE39" s="157"/>
      <c r="CF39" s="157"/>
      <c r="CG39" s="157"/>
      <c r="CH39" s="157"/>
      <c r="CI39" s="157"/>
      <c r="CJ39" s="157"/>
      <c r="CK39" s="157"/>
      <c r="CL39" s="157"/>
      <c r="CM39" s="157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157"/>
      <c r="DR39" s="157"/>
      <c r="DS39" s="157"/>
      <c r="DT39" s="157"/>
      <c r="DU39" s="157"/>
      <c r="DV39" s="157"/>
      <c r="DW39" s="157"/>
      <c r="DX39" s="157"/>
      <c r="DY39" s="157"/>
      <c r="DZ39" s="157"/>
      <c r="EA39" s="157"/>
      <c r="EB39" s="157"/>
      <c r="EC39" s="157"/>
      <c r="ED39" s="157"/>
      <c r="EE39" s="157"/>
      <c r="EF39" s="157"/>
      <c r="EG39" s="157"/>
      <c r="EH39" s="157"/>
      <c r="EI39" s="157"/>
      <c r="EJ39" s="157"/>
      <c r="EK39" s="157"/>
      <c r="EL39" s="157"/>
      <c r="EM39" s="157"/>
      <c r="EN39" s="157"/>
      <c r="EO39" s="157"/>
      <c r="EP39" s="157"/>
      <c r="EQ39" s="157"/>
      <c r="ER39" s="157"/>
      <c r="ES39" s="157"/>
      <c r="ET39" s="157"/>
      <c r="EU39" s="157"/>
      <c r="EV39" s="157"/>
      <c r="EW39" s="157"/>
      <c r="EX39" s="157"/>
      <c r="EY39" s="157"/>
      <c r="EZ39" s="157"/>
      <c r="FA39" s="157"/>
      <c r="FB39" s="157"/>
      <c r="FC39" s="157"/>
      <c r="FD39" s="157"/>
      <c r="FE39" s="157"/>
      <c r="FF39" s="157"/>
      <c r="FG39" s="157"/>
      <c r="FH39" s="157"/>
      <c r="FI39" s="157"/>
      <c r="FJ39" s="157"/>
      <c r="FK39" s="157"/>
      <c r="FL39" s="157"/>
      <c r="FM39" s="157"/>
      <c r="FN39" s="157"/>
      <c r="FO39" s="157"/>
      <c r="FP39" s="157"/>
      <c r="FQ39" s="157"/>
      <c r="FR39" s="157"/>
      <c r="FS39" s="157"/>
      <c r="FT39" s="157"/>
      <c r="FU39" s="157"/>
      <c r="FV39" s="157"/>
      <c r="FW39" s="157"/>
      <c r="FX39" s="157"/>
      <c r="FY39" s="157"/>
      <c r="FZ39" s="157"/>
      <c r="GA39" s="157"/>
      <c r="GB39" s="157"/>
      <c r="GC39" s="157"/>
      <c r="GD39" s="157"/>
      <c r="GE39" s="157"/>
      <c r="GF39" s="157"/>
      <c r="GG39" s="157"/>
      <c r="GH39" s="157"/>
      <c r="GI39" s="157"/>
      <c r="GJ39" s="157"/>
      <c r="GK39" s="157"/>
      <c r="GL39" s="157"/>
      <c r="GM39" s="157"/>
      <c r="GN39" s="157"/>
      <c r="GO39" s="157"/>
      <c r="GP39" s="157"/>
      <c r="GQ39" s="157"/>
      <c r="GR39" s="157"/>
      <c r="GS39" s="157"/>
      <c r="GT39" s="157"/>
      <c r="GU39" s="157"/>
      <c r="GV39" s="157"/>
      <c r="GW39" s="157"/>
      <c r="GX39" s="157"/>
      <c r="GY39" s="157"/>
      <c r="GZ39" s="157"/>
      <c r="HA39" s="157"/>
      <c r="HB39" s="157"/>
      <c r="HC39" s="157"/>
      <c r="HD39" s="157"/>
      <c r="HE39" s="157"/>
      <c r="HF39" s="157"/>
      <c r="HG39" s="157"/>
      <c r="HH39" s="157"/>
      <c r="HI39" s="157"/>
      <c r="HJ39" s="157"/>
      <c r="HK39" s="157"/>
      <c r="HL39" s="157"/>
      <c r="HM39" s="157"/>
      <c r="HN39" s="157"/>
      <c r="HO39" s="157"/>
      <c r="HP39" s="157"/>
      <c r="HQ39" s="157"/>
      <c r="HR39" s="157"/>
      <c r="HS39" s="157"/>
      <c r="HT39" s="157"/>
      <c r="HU39" s="157"/>
      <c r="HV39" s="157"/>
      <c r="HW39" s="157"/>
      <c r="HX39" s="157"/>
      <c r="HY39" s="157"/>
      <c r="HZ39" s="157"/>
      <c r="IA39" s="157"/>
      <c r="IB39" s="157"/>
      <c r="IC39" s="157"/>
      <c r="ID39" s="157"/>
      <c r="IE39" s="157"/>
      <c r="IF39" s="157"/>
      <c r="IG39" s="157"/>
      <c r="IH39" s="157"/>
      <c r="II39" s="157"/>
      <c r="IJ39" s="157"/>
      <c r="IK39" s="157"/>
      <c r="IL39" s="157"/>
      <c r="IM39" s="157"/>
      <c r="IN39" s="157"/>
      <c r="IO39" s="157"/>
      <c r="IP39" s="157"/>
      <c r="IQ39" s="157"/>
      <c r="IR39" s="157"/>
      <c r="IS39" s="157"/>
      <c r="IT39" s="157"/>
      <c r="IU39" s="157"/>
      <c r="IV39" s="157"/>
      <c r="IW39" s="157"/>
      <c r="IX39" s="157"/>
      <c r="IY39" s="157"/>
      <c r="IZ39" s="157"/>
      <c r="JA39" s="157"/>
      <c r="JB39" s="157"/>
      <c r="JC39" s="157"/>
      <c r="JD39" s="157"/>
      <c r="JE39" s="157"/>
      <c r="JF39" s="157"/>
      <c r="JG39" s="157"/>
      <c r="JH39" s="157"/>
      <c r="JI39" s="157"/>
      <c r="JJ39" s="157"/>
      <c r="JK39" s="157"/>
      <c r="JL39" s="157"/>
      <c r="JM39" s="157"/>
      <c r="JN39" s="157"/>
      <c r="JO39" s="157"/>
      <c r="JP39" s="157"/>
      <c r="JQ39" s="157"/>
      <c r="JR39" s="157"/>
      <c r="JS39" s="157"/>
      <c r="JT39" s="157"/>
      <c r="JU39" s="157"/>
      <c r="JV39" s="157"/>
      <c r="JW39" s="157"/>
      <c r="JX39" s="157"/>
      <c r="JY39" s="157"/>
      <c r="JZ39" s="157"/>
      <c r="KA39" s="157"/>
      <c r="KB39" s="157"/>
      <c r="KC39" s="157"/>
      <c r="KD39" s="157"/>
      <c r="KE39" s="157"/>
      <c r="KF39" s="157"/>
      <c r="KG39" s="157"/>
      <c r="KH39" s="157"/>
      <c r="KI39" s="157"/>
      <c r="KJ39" s="157"/>
      <c r="KK39" s="157"/>
      <c r="KL39" s="157"/>
      <c r="KM39" s="157"/>
      <c r="KN39" s="157"/>
      <c r="KO39" s="157"/>
      <c r="KP39" s="157"/>
      <c r="KQ39" s="157"/>
      <c r="KR39" s="157"/>
      <c r="KS39" s="157"/>
      <c r="KT39" s="157"/>
      <c r="KU39" s="157"/>
      <c r="KV39" s="157"/>
      <c r="KW39" s="157"/>
      <c r="KX39" s="157"/>
      <c r="KY39" s="157"/>
      <c r="KZ39" s="157"/>
      <c r="LA39" s="157"/>
      <c r="LB39" s="157"/>
      <c r="LC39" s="157"/>
      <c r="LD39" s="157"/>
      <c r="LE39" s="157"/>
      <c r="LF39" s="157"/>
      <c r="LG39" s="157"/>
      <c r="LH39" s="157"/>
      <c r="LI39" s="157"/>
      <c r="LJ39" s="157"/>
      <c r="LK39" s="157"/>
      <c r="LL39" s="157"/>
      <c r="LM39" s="157"/>
      <c r="LN39" s="157"/>
      <c r="LO39" s="157"/>
      <c r="LP39" s="157"/>
      <c r="LQ39" s="157"/>
      <c r="LR39" s="157"/>
      <c r="LS39" s="157"/>
      <c r="LT39" s="157"/>
      <c r="LU39" s="157"/>
      <c r="LV39" s="157"/>
      <c r="LW39" s="157"/>
      <c r="LX39" s="157"/>
      <c r="LY39" s="157"/>
      <c r="LZ39" s="157"/>
      <c r="MA39" s="157"/>
      <c r="MB39" s="157"/>
      <c r="MC39" s="157"/>
      <c r="MD39" s="157"/>
      <c r="ME39" s="157"/>
      <c r="MF39" s="157"/>
      <c r="MG39" s="157"/>
      <c r="MH39" s="157"/>
      <c r="MI39" s="157"/>
      <c r="MJ39" s="157"/>
      <c r="MK39" s="157"/>
      <c r="ML39" s="157"/>
      <c r="MM39" s="157"/>
      <c r="MN39" s="157"/>
      <c r="MO39" s="157"/>
      <c r="MP39" s="157"/>
      <c r="MQ39" s="157"/>
      <c r="MR39" s="157"/>
      <c r="MS39" s="157"/>
      <c r="MT39" s="157"/>
      <c r="MU39" s="157"/>
      <c r="MV39" s="157"/>
      <c r="MW39" s="157"/>
      <c r="MX39" s="157"/>
      <c r="MY39" s="157"/>
      <c r="MZ39" s="157"/>
      <c r="NA39" s="157"/>
      <c r="NB39" s="157"/>
      <c r="NC39" s="157"/>
      <c r="ND39" s="157"/>
      <c r="NE39" s="157"/>
      <c r="NF39" s="157"/>
      <c r="NG39" s="157"/>
      <c r="NH39" s="157"/>
      <c r="NI39" s="157"/>
      <c r="NJ39" s="157"/>
      <c r="NK39" s="157"/>
      <c r="NL39" s="157"/>
      <c r="NM39" s="157"/>
      <c r="NN39" s="157"/>
      <c r="NO39" s="157"/>
      <c r="NP39" s="157"/>
      <c r="NQ39" s="157"/>
      <c r="NR39" s="157"/>
      <c r="NS39" s="157"/>
      <c r="NT39" s="157"/>
      <c r="NU39" s="157"/>
      <c r="NV39" s="157"/>
      <c r="NW39" s="157"/>
      <c r="NX39" s="157"/>
      <c r="NY39" s="157"/>
      <c r="NZ39" s="157"/>
      <c r="OA39" s="157"/>
      <c r="OB39" s="157"/>
      <c r="OC39" s="157"/>
      <c r="OD39" s="157"/>
      <c r="OE39" s="157"/>
      <c r="OF39" s="157"/>
      <c r="OG39" s="157"/>
      <c r="OH39" s="157"/>
      <c r="OI39" s="157"/>
      <c r="OJ39" s="157"/>
      <c r="OK39" s="157"/>
      <c r="OL39" s="157"/>
      <c r="OM39" s="157"/>
      <c r="ON39" s="157"/>
      <c r="OO39" s="157"/>
      <c r="OP39" s="157"/>
      <c r="OQ39" s="157"/>
      <c r="OR39" s="157"/>
      <c r="OS39" s="157"/>
      <c r="OT39" s="157"/>
      <c r="OU39" s="157"/>
      <c r="OV39" s="157"/>
      <c r="OW39" s="157"/>
    </row>
    <row r="40" spans="1:413" ht="15.75">
      <c r="A40" s="3"/>
      <c r="B40" s="8" t="s">
        <v>672</v>
      </c>
      <c r="C40" s="9"/>
      <c r="D40" s="9"/>
      <c r="E40" s="9"/>
      <c r="F40" s="9"/>
      <c r="G40" s="9"/>
      <c r="H40" s="9"/>
      <c r="I40" s="9"/>
      <c r="J40" s="9"/>
      <c r="K40" s="9">
        <f t="shared" si="4"/>
        <v>0</v>
      </c>
      <c r="L40" s="118" t="str">
        <f t="shared" si="0"/>
        <v>ok</v>
      </c>
      <c r="M40" s="9"/>
    </row>
    <row r="41" spans="1:413" s="137" customFormat="1" ht="15.75">
      <c r="A41" s="135"/>
      <c r="B41" s="124" t="s">
        <v>673</v>
      </c>
      <c r="C41" s="128">
        <f>Natchitoches!H22+Natchitoches!H21+Natchitoches!H20+Natchitoches!H19</f>
        <v>-29872866</v>
      </c>
      <c r="D41" s="128"/>
      <c r="E41" s="128"/>
      <c r="F41" s="128"/>
      <c r="G41" s="128"/>
      <c r="H41" s="128"/>
      <c r="I41" s="128">
        <f>Natchitoches!H24</f>
        <v>-94504</v>
      </c>
      <c r="J41" s="128">
        <f>Natchitoches!H23</f>
        <v>-274670</v>
      </c>
      <c r="K41" s="128">
        <f t="shared" si="4"/>
        <v>-30242040</v>
      </c>
      <c r="L41" s="118" t="str">
        <f t="shared" si="0"/>
        <v>ok</v>
      </c>
      <c r="M41" s="128">
        <f>Natchitoches!H26</f>
        <v>-30242040</v>
      </c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  <c r="CK41" s="132"/>
      <c r="CL41" s="132"/>
      <c r="CM41" s="132"/>
      <c r="CN41" s="132"/>
      <c r="CO41" s="132"/>
      <c r="CP41" s="132"/>
      <c r="CQ41" s="132"/>
      <c r="CR41" s="132"/>
      <c r="CS41" s="132"/>
      <c r="CT41" s="132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2"/>
      <c r="DI41" s="132"/>
      <c r="DJ41" s="132"/>
      <c r="DK41" s="132"/>
      <c r="DL41" s="132"/>
      <c r="DM41" s="132"/>
      <c r="DN41" s="132"/>
      <c r="DO41" s="132"/>
      <c r="DP41" s="132"/>
      <c r="DQ41" s="132"/>
      <c r="DR41" s="132"/>
      <c r="DS41" s="132"/>
      <c r="DT41" s="132"/>
      <c r="DU41" s="132"/>
      <c r="DV41" s="132"/>
      <c r="DW41" s="132"/>
      <c r="DX41" s="132"/>
      <c r="DY41" s="132"/>
      <c r="DZ41" s="132"/>
      <c r="EA41" s="132"/>
      <c r="EB41" s="132"/>
      <c r="EC41" s="132"/>
      <c r="ED41" s="132"/>
      <c r="EE41" s="132"/>
      <c r="EF41" s="132"/>
      <c r="EG41" s="132"/>
      <c r="EH41" s="132"/>
      <c r="EI41" s="132"/>
      <c r="EJ41" s="132"/>
      <c r="EK41" s="132"/>
      <c r="EL41" s="132"/>
      <c r="EM41" s="132"/>
      <c r="EN41" s="132"/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/>
      <c r="FB41" s="132"/>
      <c r="FC41" s="132"/>
      <c r="FD41" s="132"/>
      <c r="FE41" s="132"/>
      <c r="FF41" s="132"/>
      <c r="FG41" s="132"/>
      <c r="FH41" s="132"/>
      <c r="FI41" s="132"/>
      <c r="FJ41" s="132"/>
      <c r="FK41" s="132"/>
      <c r="FL41" s="132"/>
      <c r="FM41" s="132"/>
      <c r="FN41" s="132"/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/>
      <c r="GB41" s="132"/>
      <c r="GC41" s="132"/>
      <c r="GD41" s="132"/>
      <c r="GE41" s="132"/>
      <c r="GF41" s="132"/>
      <c r="GG41" s="132"/>
      <c r="GH41" s="132"/>
      <c r="GI41" s="132"/>
      <c r="GJ41" s="132"/>
      <c r="GK41" s="132"/>
      <c r="GL41" s="132"/>
      <c r="GM41" s="132"/>
      <c r="GN41" s="132"/>
      <c r="GO41" s="132"/>
      <c r="GP41" s="132"/>
      <c r="GQ41" s="132"/>
      <c r="GR41" s="132"/>
      <c r="GS41" s="132"/>
      <c r="GT41" s="132"/>
      <c r="GU41" s="132"/>
      <c r="GV41" s="132"/>
      <c r="GW41" s="132"/>
      <c r="GX41" s="132"/>
      <c r="GY41" s="132"/>
      <c r="GZ41" s="132"/>
      <c r="HA41" s="132"/>
      <c r="HB41" s="132"/>
      <c r="HC41" s="132"/>
      <c r="HD41" s="132"/>
      <c r="HE41" s="132"/>
      <c r="HF41" s="132"/>
      <c r="HG41" s="132"/>
      <c r="HH41" s="132"/>
      <c r="HI41" s="132"/>
      <c r="HJ41" s="132"/>
      <c r="HK41" s="132"/>
      <c r="HL41" s="132"/>
      <c r="HM41" s="132"/>
      <c r="HN41" s="132"/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/>
      <c r="IB41" s="132"/>
      <c r="IC41" s="132"/>
      <c r="ID41" s="132"/>
      <c r="IE41" s="132"/>
      <c r="IF41" s="132"/>
      <c r="IG41" s="132"/>
      <c r="IH41" s="132"/>
      <c r="II41" s="132"/>
      <c r="IJ41" s="132"/>
      <c r="IK41" s="132"/>
      <c r="IL41" s="132"/>
      <c r="IM41" s="132"/>
      <c r="IN41" s="132"/>
      <c r="IO41" s="132"/>
      <c r="IP41" s="132"/>
      <c r="IQ41" s="132"/>
      <c r="IR41" s="132"/>
      <c r="IS41" s="132"/>
      <c r="IT41" s="132"/>
      <c r="IU41" s="132"/>
      <c r="IV41" s="132"/>
      <c r="IW41" s="132"/>
      <c r="IX41" s="132"/>
      <c r="IY41" s="132"/>
      <c r="IZ41" s="132"/>
      <c r="JA41" s="132"/>
      <c r="JB41" s="132"/>
      <c r="JC41" s="132"/>
      <c r="JD41" s="132"/>
      <c r="JE41" s="132"/>
      <c r="JF41" s="132"/>
      <c r="JG41" s="132"/>
      <c r="JH41" s="132"/>
      <c r="JI41" s="132"/>
      <c r="JJ41" s="132"/>
      <c r="JK41" s="132"/>
      <c r="JL41" s="132"/>
      <c r="JM41" s="132"/>
      <c r="JN41" s="132"/>
      <c r="JO41" s="132"/>
      <c r="JP41" s="132"/>
      <c r="JQ41" s="132"/>
      <c r="JR41" s="132"/>
      <c r="JS41" s="132"/>
      <c r="JT41" s="132"/>
      <c r="JU41" s="132"/>
      <c r="JV41" s="132"/>
      <c r="JW41" s="132"/>
      <c r="JX41" s="132"/>
      <c r="JY41" s="132"/>
      <c r="JZ41" s="132"/>
      <c r="KA41" s="132"/>
      <c r="KB41" s="132"/>
      <c r="KC41" s="132"/>
      <c r="KD41" s="132"/>
      <c r="KE41" s="132"/>
      <c r="KF41" s="132"/>
      <c r="KG41" s="132"/>
      <c r="KH41" s="132"/>
      <c r="KI41" s="132"/>
      <c r="KJ41" s="132"/>
      <c r="KK41" s="132"/>
      <c r="KL41" s="132"/>
      <c r="KM41" s="132"/>
      <c r="KN41" s="132"/>
      <c r="KO41" s="132"/>
      <c r="KP41" s="132"/>
      <c r="KQ41" s="132"/>
      <c r="KR41" s="132"/>
      <c r="KS41" s="132"/>
      <c r="KT41" s="132"/>
      <c r="KU41" s="132"/>
      <c r="KV41" s="132"/>
      <c r="KW41" s="132"/>
      <c r="KX41" s="132"/>
      <c r="KY41" s="132"/>
      <c r="KZ41" s="132"/>
      <c r="LA41" s="132"/>
      <c r="LB41" s="132"/>
      <c r="LC41" s="132"/>
      <c r="LD41" s="132"/>
      <c r="LE41" s="132"/>
      <c r="LF41" s="132"/>
      <c r="LG41" s="132"/>
      <c r="LH41" s="132"/>
      <c r="LI41" s="132"/>
      <c r="LJ41" s="132"/>
      <c r="LK41" s="132"/>
      <c r="LL41" s="132"/>
      <c r="LM41" s="132"/>
      <c r="LN41" s="132"/>
      <c r="LO41" s="132"/>
      <c r="LP41" s="132"/>
      <c r="LQ41" s="132"/>
      <c r="LR41" s="132"/>
      <c r="LS41" s="132"/>
      <c r="LT41" s="132"/>
      <c r="LU41" s="132"/>
      <c r="LV41" s="132"/>
      <c r="LW41" s="132"/>
      <c r="LX41" s="132"/>
      <c r="LY41" s="132"/>
      <c r="LZ41" s="132"/>
      <c r="MA41" s="132"/>
      <c r="MB41" s="132"/>
      <c r="MC41" s="132"/>
      <c r="MD41" s="132"/>
      <c r="ME41" s="132"/>
      <c r="MF41" s="132"/>
      <c r="MG41" s="132"/>
      <c r="MH41" s="132"/>
      <c r="MI41" s="132"/>
      <c r="MJ41" s="132"/>
      <c r="MK41" s="132"/>
      <c r="ML41" s="132"/>
      <c r="MM41" s="132"/>
      <c r="MN41" s="132"/>
      <c r="MO41" s="132"/>
      <c r="MP41" s="132"/>
      <c r="MQ41" s="132"/>
      <c r="MR41" s="132"/>
      <c r="MS41" s="132"/>
      <c r="MT41" s="132"/>
      <c r="MU41" s="132"/>
      <c r="MV41" s="132"/>
      <c r="MW41" s="132"/>
      <c r="MX41" s="132"/>
      <c r="MY41" s="132"/>
      <c r="MZ41" s="132"/>
      <c r="NA41" s="132"/>
      <c r="NB41" s="132"/>
      <c r="NC41" s="132"/>
      <c r="ND41" s="132"/>
      <c r="NE41" s="132"/>
      <c r="NF41" s="132"/>
      <c r="NG41" s="132"/>
      <c r="NH41" s="132"/>
      <c r="NI41" s="132"/>
      <c r="NJ41" s="132"/>
      <c r="NK41" s="132"/>
      <c r="NL41" s="132"/>
      <c r="NM41" s="132"/>
      <c r="NN41" s="132"/>
      <c r="NO41" s="132"/>
      <c r="NP41" s="132"/>
      <c r="NQ41" s="132"/>
      <c r="NR41" s="132"/>
      <c r="NS41" s="132"/>
      <c r="NT41" s="132"/>
      <c r="NU41" s="132"/>
      <c r="NV41" s="132"/>
      <c r="NW41" s="132"/>
      <c r="NX41" s="132"/>
      <c r="NY41" s="132"/>
      <c r="NZ41" s="132"/>
      <c r="OA41" s="132"/>
      <c r="OB41" s="132"/>
      <c r="OC41" s="132"/>
      <c r="OD41" s="132"/>
      <c r="OE41" s="132"/>
      <c r="OF41" s="132"/>
      <c r="OG41" s="132"/>
      <c r="OH41" s="132"/>
      <c r="OI41" s="132"/>
      <c r="OJ41" s="132"/>
      <c r="OK41" s="132"/>
      <c r="OL41" s="132"/>
      <c r="OM41" s="132"/>
      <c r="ON41" s="132"/>
      <c r="OO41" s="132"/>
      <c r="OP41" s="132"/>
      <c r="OQ41" s="132"/>
      <c r="OR41" s="132"/>
      <c r="OS41" s="132"/>
      <c r="OT41" s="132"/>
      <c r="OU41" s="132"/>
      <c r="OV41" s="132"/>
      <c r="OW41" s="132"/>
    </row>
    <row r="42" spans="1:413" ht="15.75">
      <c r="A42" s="3"/>
      <c r="B42" s="8" t="s">
        <v>674</v>
      </c>
      <c r="C42" s="9"/>
      <c r="D42" s="9"/>
      <c r="E42" s="9"/>
      <c r="F42" s="9"/>
      <c r="G42" s="9"/>
      <c r="H42" s="9"/>
      <c r="I42" s="9"/>
      <c r="J42" s="9"/>
      <c r="K42" s="9">
        <f t="shared" si="4"/>
        <v>0</v>
      </c>
      <c r="L42" s="118" t="str">
        <f t="shared" si="0"/>
        <v>ok</v>
      </c>
      <c r="M42" s="9"/>
    </row>
    <row r="43" spans="1:413" s="134" customFormat="1" ht="15.75">
      <c r="A43" s="133"/>
      <c r="B43" s="144" t="s">
        <v>675</v>
      </c>
      <c r="C43" s="145">
        <f>Ouachita!I26</f>
        <v>-423201</v>
      </c>
      <c r="D43" s="145"/>
      <c r="E43" s="145"/>
      <c r="F43" s="145"/>
      <c r="G43" s="145"/>
      <c r="H43" s="145"/>
      <c r="I43" s="145"/>
      <c r="J43" s="145"/>
      <c r="K43" s="145">
        <f t="shared" si="1"/>
        <v>-423201</v>
      </c>
      <c r="L43" s="118" t="str">
        <f t="shared" si="0"/>
        <v>ok</v>
      </c>
      <c r="M43" s="145">
        <f>Ouachita!I28</f>
        <v>-423201</v>
      </c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157"/>
      <c r="BK43" s="157"/>
      <c r="BL43" s="157"/>
      <c r="BM43" s="157"/>
      <c r="BN43" s="157"/>
      <c r="BO43" s="157"/>
      <c r="BP43" s="157"/>
      <c r="BQ43" s="157"/>
      <c r="BR43" s="157"/>
      <c r="BS43" s="157"/>
      <c r="BT43" s="157"/>
      <c r="BU43" s="157"/>
      <c r="BV43" s="157"/>
      <c r="BW43" s="157"/>
      <c r="BX43" s="157"/>
      <c r="BY43" s="157"/>
      <c r="BZ43" s="157"/>
      <c r="CA43" s="157"/>
      <c r="CB43" s="157"/>
      <c r="CC43" s="157"/>
      <c r="CD43" s="157"/>
      <c r="CE43" s="157"/>
      <c r="CF43" s="157"/>
      <c r="CG43" s="157"/>
      <c r="CH43" s="157"/>
      <c r="CI43" s="157"/>
      <c r="CJ43" s="157"/>
      <c r="CK43" s="157"/>
      <c r="CL43" s="157"/>
      <c r="CM43" s="157"/>
      <c r="CN43" s="157"/>
      <c r="CO43" s="157"/>
      <c r="CP43" s="157"/>
      <c r="CQ43" s="157"/>
      <c r="CR43" s="157"/>
      <c r="CS43" s="157"/>
      <c r="CT43" s="157"/>
      <c r="CU43" s="157"/>
      <c r="CV43" s="157"/>
      <c r="CW43" s="157"/>
      <c r="CX43" s="157"/>
      <c r="CY43" s="157"/>
      <c r="CZ43" s="157"/>
      <c r="DA43" s="157"/>
      <c r="DB43" s="157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157"/>
      <c r="DQ43" s="157"/>
      <c r="DR43" s="157"/>
      <c r="DS43" s="157"/>
      <c r="DT43" s="157"/>
      <c r="DU43" s="157"/>
      <c r="DV43" s="157"/>
      <c r="DW43" s="157"/>
      <c r="DX43" s="157"/>
      <c r="DY43" s="157"/>
      <c r="DZ43" s="157"/>
      <c r="EA43" s="157"/>
      <c r="EB43" s="157"/>
      <c r="EC43" s="157"/>
      <c r="ED43" s="157"/>
      <c r="EE43" s="157"/>
      <c r="EF43" s="157"/>
      <c r="EG43" s="157"/>
      <c r="EH43" s="157"/>
      <c r="EI43" s="157"/>
      <c r="EJ43" s="157"/>
      <c r="EK43" s="157"/>
      <c r="EL43" s="157"/>
      <c r="EM43" s="157"/>
      <c r="EN43" s="157"/>
      <c r="EO43" s="157"/>
      <c r="EP43" s="157"/>
      <c r="EQ43" s="157"/>
      <c r="ER43" s="157"/>
      <c r="ES43" s="157"/>
      <c r="ET43" s="157"/>
      <c r="EU43" s="157"/>
      <c r="EV43" s="157"/>
      <c r="EW43" s="157"/>
      <c r="EX43" s="157"/>
      <c r="EY43" s="157"/>
      <c r="EZ43" s="157"/>
      <c r="FA43" s="157"/>
      <c r="FB43" s="157"/>
      <c r="FC43" s="157"/>
      <c r="FD43" s="157"/>
      <c r="FE43" s="157"/>
      <c r="FF43" s="157"/>
      <c r="FG43" s="157"/>
      <c r="FH43" s="157"/>
      <c r="FI43" s="157"/>
      <c r="FJ43" s="157"/>
      <c r="FK43" s="157"/>
      <c r="FL43" s="157"/>
      <c r="FM43" s="157"/>
      <c r="FN43" s="157"/>
      <c r="FO43" s="157"/>
      <c r="FP43" s="157"/>
      <c r="FQ43" s="157"/>
      <c r="FR43" s="157"/>
      <c r="FS43" s="157"/>
      <c r="FT43" s="157"/>
      <c r="FU43" s="157"/>
      <c r="FV43" s="157"/>
      <c r="FW43" s="157"/>
      <c r="FX43" s="157"/>
      <c r="FY43" s="157"/>
      <c r="FZ43" s="157"/>
      <c r="GA43" s="157"/>
      <c r="GB43" s="157"/>
      <c r="GC43" s="157"/>
      <c r="GD43" s="157"/>
      <c r="GE43" s="157"/>
      <c r="GF43" s="157"/>
      <c r="GG43" s="157"/>
      <c r="GH43" s="157"/>
      <c r="GI43" s="157"/>
      <c r="GJ43" s="157"/>
      <c r="GK43" s="157"/>
      <c r="GL43" s="157"/>
      <c r="GM43" s="157"/>
      <c r="GN43" s="157"/>
      <c r="GO43" s="157"/>
      <c r="GP43" s="157"/>
      <c r="GQ43" s="157"/>
      <c r="GR43" s="157"/>
      <c r="GS43" s="157"/>
      <c r="GT43" s="157"/>
      <c r="GU43" s="157"/>
      <c r="GV43" s="157"/>
      <c r="GW43" s="157"/>
      <c r="GX43" s="157"/>
      <c r="GY43" s="157"/>
      <c r="GZ43" s="157"/>
      <c r="HA43" s="157"/>
      <c r="HB43" s="157"/>
      <c r="HC43" s="157"/>
      <c r="HD43" s="157"/>
      <c r="HE43" s="157"/>
      <c r="HF43" s="157"/>
      <c r="HG43" s="157"/>
      <c r="HH43" s="157"/>
      <c r="HI43" s="157"/>
      <c r="HJ43" s="157"/>
      <c r="HK43" s="157"/>
      <c r="HL43" s="157"/>
      <c r="HM43" s="157"/>
      <c r="HN43" s="157"/>
      <c r="HO43" s="157"/>
      <c r="HP43" s="157"/>
      <c r="HQ43" s="157"/>
      <c r="HR43" s="157"/>
      <c r="HS43" s="157"/>
      <c r="HT43" s="157"/>
      <c r="HU43" s="157"/>
      <c r="HV43" s="157"/>
      <c r="HW43" s="157"/>
      <c r="HX43" s="157"/>
      <c r="HY43" s="157"/>
      <c r="HZ43" s="157"/>
      <c r="IA43" s="157"/>
      <c r="IB43" s="157"/>
      <c r="IC43" s="157"/>
      <c r="ID43" s="157"/>
      <c r="IE43" s="157"/>
      <c r="IF43" s="157"/>
      <c r="IG43" s="157"/>
      <c r="IH43" s="157"/>
      <c r="II43" s="157"/>
      <c r="IJ43" s="157"/>
      <c r="IK43" s="157"/>
      <c r="IL43" s="157"/>
      <c r="IM43" s="157"/>
      <c r="IN43" s="157"/>
      <c r="IO43" s="157"/>
      <c r="IP43" s="157"/>
      <c r="IQ43" s="157"/>
      <c r="IR43" s="157"/>
      <c r="IS43" s="157"/>
      <c r="IT43" s="157"/>
      <c r="IU43" s="157"/>
      <c r="IV43" s="157"/>
      <c r="IW43" s="157"/>
      <c r="IX43" s="157"/>
      <c r="IY43" s="157"/>
      <c r="IZ43" s="157"/>
      <c r="JA43" s="157"/>
      <c r="JB43" s="157"/>
      <c r="JC43" s="157"/>
      <c r="JD43" s="157"/>
      <c r="JE43" s="157"/>
      <c r="JF43" s="157"/>
      <c r="JG43" s="157"/>
      <c r="JH43" s="157"/>
      <c r="JI43" s="157"/>
      <c r="JJ43" s="157"/>
      <c r="JK43" s="157"/>
      <c r="JL43" s="157"/>
      <c r="JM43" s="157"/>
      <c r="JN43" s="157"/>
      <c r="JO43" s="157"/>
      <c r="JP43" s="157"/>
      <c r="JQ43" s="157"/>
      <c r="JR43" s="157"/>
      <c r="JS43" s="157"/>
      <c r="JT43" s="157"/>
      <c r="JU43" s="157"/>
      <c r="JV43" s="157"/>
      <c r="JW43" s="157"/>
      <c r="JX43" s="157"/>
      <c r="JY43" s="157"/>
      <c r="JZ43" s="157"/>
      <c r="KA43" s="157"/>
      <c r="KB43" s="157"/>
      <c r="KC43" s="157"/>
      <c r="KD43" s="157"/>
      <c r="KE43" s="157"/>
      <c r="KF43" s="157"/>
      <c r="KG43" s="157"/>
      <c r="KH43" s="157"/>
      <c r="KI43" s="157"/>
      <c r="KJ43" s="157"/>
      <c r="KK43" s="157"/>
      <c r="KL43" s="157"/>
      <c r="KM43" s="157"/>
      <c r="KN43" s="157"/>
      <c r="KO43" s="157"/>
      <c r="KP43" s="157"/>
      <c r="KQ43" s="157"/>
      <c r="KR43" s="157"/>
      <c r="KS43" s="157"/>
      <c r="KT43" s="157"/>
      <c r="KU43" s="157"/>
      <c r="KV43" s="157"/>
      <c r="KW43" s="157"/>
      <c r="KX43" s="157"/>
      <c r="KY43" s="157"/>
      <c r="KZ43" s="157"/>
      <c r="LA43" s="157"/>
      <c r="LB43" s="157"/>
      <c r="LC43" s="157"/>
      <c r="LD43" s="157"/>
      <c r="LE43" s="157"/>
      <c r="LF43" s="157"/>
      <c r="LG43" s="157"/>
      <c r="LH43" s="157"/>
      <c r="LI43" s="157"/>
      <c r="LJ43" s="157"/>
      <c r="LK43" s="157"/>
      <c r="LL43" s="157"/>
      <c r="LM43" s="157"/>
      <c r="LN43" s="157"/>
      <c r="LO43" s="157"/>
      <c r="LP43" s="157"/>
      <c r="LQ43" s="157"/>
      <c r="LR43" s="157"/>
      <c r="LS43" s="157"/>
      <c r="LT43" s="157"/>
      <c r="LU43" s="157"/>
      <c r="LV43" s="157"/>
      <c r="LW43" s="157"/>
      <c r="LX43" s="157"/>
      <c r="LY43" s="157"/>
      <c r="LZ43" s="157"/>
      <c r="MA43" s="157"/>
      <c r="MB43" s="157"/>
      <c r="MC43" s="157"/>
      <c r="MD43" s="157"/>
      <c r="ME43" s="157"/>
      <c r="MF43" s="157"/>
      <c r="MG43" s="157"/>
      <c r="MH43" s="157"/>
      <c r="MI43" s="157"/>
      <c r="MJ43" s="157"/>
      <c r="MK43" s="157"/>
      <c r="ML43" s="157"/>
      <c r="MM43" s="157"/>
      <c r="MN43" s="157"/>
      <c r="MO43" s="157"/>
      <c r="MP43" s="157"/>
      <c r="MQ43" s="157"/>
      <c r="MR43" s="157"/>
      <c r="MS43" s="157"/>
      <c r="MT43" s="157"/>
      <c r="MU43" s="157"/>
      <c r="MV43" s="157"/>
      <c r="MW43" s="157"/>
      <c r="MX43" s="157"/>
      <c r="MY43" s="157"/>
      <c r="MZ43" s="157"/>
      <c r="NA43" s="157"/>
      <c r="NB43" s="157"/>
      <c r="NC43" s="157"/>
      <c r="ND43" s="157"/>
      <c r="NE43" s="157"/>
      <c r="NF43" s="157"/>
      <c r="NG43" s="157"/>
      <c r="NH43" s="157"/>
      <c r="NI43" s="157"/>
      <c r="NJ43" s="157"/>
      <c r="NK43" s="157"/>
      <c r="NL43" s="157"/>
      <c r="NM43" s="157"/>
      <c r="NN43" s="157"/>
      <c r="NO43" s="157"/>
      <c r="NP43" s="157"/>
      <c r="NQ43" s="157"/>
      <c r="NR43" s="157"/>
      <c r="NS43" s="157"/>
      <c r="NT43" s="157"/>
      <c r="NU43" s="157"/>
      <c r="NV43" s="157"/>
      <c r="NW43" s="157"/>
      <c r="NX43" s="157"/>
      <c r="NY43" s="157"/>
      <c r="NZ43" s="157"/>
      <c r="OA43" s="157"/>
      <c r="OB43" s="157"/>
      <c r="OC43" s="157"/>
      <c r="OD43" s="157"/>
      <c r="OE43" s="157"/>
      <c r="OF43" s="157"/>
      <c r="OG43" s="157"/>
      <c r="OH43" s="157"/>
      <c r="OI43" s="157"/>
      <c r="OJ43" s="157"/>
      <c r="OK43" s="157"/>
      <c r="OL43" s="157"/>
      <c r="OM43" s="157"/>
      <c r="ON43" s="157"/>
      <c r="OO43" s="157"/>
      <c r="OP43" s="157"/>
      <c r="OQ43" s="157"/>
      <c r="OR43" s="157"/>
      <c r="OS43" s="157"/>
      <c r="OT43" s="157"/>
      <c r="OU43" s="157"/>
      <c r="OV43" s="157"/>
      <c r="OW43" s="157"/>
    </row>
    <row r="44" spans="1:413" ht="15.75">
      <c r="A44" s="3"/>
      <c r="B44" s="8" t="s">
        <v>676</v>
      </c>
      <c r="C44" s="9"/>
      <c r="D44" s="9"/>
      <c r="E44" s="9"/>
      <c r="F44" s="9"/>
      <c r="G44" s="9"/>
      <c r="H44" s="9"/>
      <c r="I44" s="9"/>
      <c r="J44" s="9"/>
      <c r="K44" s="9">
        <f t="shared" si="1"/>
        <v>0</v>
      </c>
      <c r="L44" s="118" t="str">
        <f t="shared" si="0"/>
        <v>ok</v>
      </c>
      <c r="M44" s="9"/>
    </row>
    <row r="45" spans="1:413" s="137" customFormat="1" ht="15.75">
      <c r="A45" s="135"/>
      <c r="B45" s="124" t="s">
        <v>677</v>
      </c>
      <c r="C45" s="128">
        <f>'Pointe Coupee'!I21+'Pointe Coupee'!I20</f>
        <v>-1849847</v>
      </c>
      <c r="D45" s="128">
        <f>'Pointe Coupee'!I22</f>
        <v>-1849034</v>
      </c>
      <c r="E45" s="128"/>
      <c r="F45" s="128">
        <f>'Pointe Coupee'!I23</f>
        <v>-205663</v>
      </c>
      <c r="G45" s="128"/>
      <c r="H45" s="128"/>
      <c r="I45" s="128"/>
      <c r="J45" s="128"/>
      <c r="K45" s="128">
        <f t="shared" si="1"/>
        <v>-3904544</v>
      </c>
      <c r="L45" s="118" t="str">
        <f t="shared" si="0"/>
        <v>ok</v>
      </c>
      <c r="M45" s="128">
        <f>'Pointe Coupee'!I25</f>
        <v>-3904544</v>
      </c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  <c r="BM45" s="132"/>
      <c r="BN45" s="132"/>
      <c r="BO45" s="132"/>
      <c r="BP45" s="132"/>
      <c r="BQ45" s="132"/>
      <c r="BR45" s="132"/>
      <c r="BS45" s="132"/>
      <c r="BT45" s="132"/>
      <c r="BU45" s="132"/>
      <c r="BV45" s="132"/>
      <c r="BW45" s="132"/>
      <c r="BX45" s="132"/>
      <c r="BY45" s="132"/>
      <c r="BZ45" s="132"/>
      <c r="CA45" s="132"/>
      <c r="CB45" s="132"/>
      <c r="CC45" s="132"/>
      <c r="CD45" s="132"/>
      <c r="CE45" s="132"/>
      <c r="CF45" s="132"/>
      <c r="CG45" s="132"/>
      <c r="CH45" s="132"/>
      <c r="CI45" s="132"/>
      <c r="CJ45" s="132"/>
      <c r="CK45" s="132"/>
      <c r="CL45" s="132"/>
      <c r="CM45" s="132"/>
      <c r="CN45" s="132"/>
      <c r="CO45" s="132"/>
      <c r="CP45" s="132"/>
      <c r="CQ45" s="132"/>
      <c r="CR45" s="132"/>
      <c r="CS45" s="132"/>
      <c r="CT45" s="132"/>
      <c r="CU45" s="132"/>
      <c r="CV45" s="132"/>
      <c r="CW45" s="132"/>
      <c r="CX45" s="132"/>
      <c r="CY45" s="132"/>
      <c r="CZ45" s="132"/>
      <c r="DA45" s="132"/>
      <c r="DB45" s="132"/>
      <c r="DC45" s="132"/>
      <c r="DD45" s="132"/>
      <c r="DE45" s="132"/>
      <c r="DF45" s="132"/>
      <c r="DG45" s="132"/>
      <c r="DH45" s="132"/>
      <c r="DI45" s="132"/>
      <c r="DJ45" s="132"/>
      <c r="DK45" s="132"/>
      <c r="DL45" s="132"/>
      <c r="DM45" s="132"/>
      <c r="DN45" s="132"/>
      <c r="DO45" s="132"/>
      <c r="DP45" s="132"/>
      <c r="DQ45" s="132"/>
      <c r="DR45" s="132"/>
      <c r="DS45" s="132"/>
      <c r="DT45" s="132"/>
      <c r="DU45" s="132"/>
      <c r="DV45" s="132"/>
      <c r="DW45" s="132"/>
      <c r="DX45" s="132"/>
      <c r="DY45" s="132"/>
      <c r="DZ45" s="132"/>
      <c r="EA45" s="132"/>
      <c r="EB45" s="132"/>
      <c r="EC45" s="132"/>
      <c r="ED45" s="132"/>
      <c r="EE45" s="132"/>
      <c r="EF45" s="132"/>
      <c r="EG45" s="132"/>
      <c r="EH45" s="132"/>
      <c r="EI45" s="132"/>
      <c r="EJ45" s="132"/>
      <c r="EK45" s="132"/>
      <c r="EL45" s="132"/>
      <c r="EM45" s="132"/>
      <c r="EN45" s="132"/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/>
      <c r="FB45" s="132"/>
      <c r="FC45" s="132"/>
      <c r="FD45" s="132"/>
      <c r="FE45" s="132"/>
      <c r="FF45" s="132"/>
      <c r="FG45" s="132"/>
      <c r="FH45" s="132"/>
      <c r="FI45" s="132"/>
      <c r="FJ45" s="132"/>
      <c r="FK45" s="132"/>
      <c r="FL45" s="132"/>
      <c r="FM45" s="132"/>
      <c r="FN45" s="132"/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/>
      <c r="GB45" s="132"/>
      <c r="GC45" s="132"/>
      <c r="GD45" s="132"/>
      <c r="GE45" s="132"/>
      <c r="GF45" s="132"/>
      <c r="GG45" s="132"/>
      <c r="GH45" s="132"/>
      <c r="GI45" s="132"/>
      <c r="GJ45" s="132"/>
      <c r="GK45" s="132"/>
      <c r="GL45" s="132"/>
      <c r="GM45" s="132"/>
      <c r="GN45" s="132"/>
      <c r="GO45" s="132"/>
      <c r="GP45" s="132"/>
      <c r="GQ45" s="132"/>
      <c r="GR45" s="132"/>
      <c r="GS45" s="132"/>
      <c r="GT45" s="132"/>
      <c r="GU45" s="132"/>
      <c r="GV45" s="132"/>
      <c r="GW45" s="132"/>
      <c r="GX45" s="132"/>
      <c r="GY45" s="132"/>
      <c r="GZ45" s="132"/>
      <c r="HA45" s="132"/>
      <c r="HB45" s="132"/>
      <c r="HC45" s="132"/>
      <c r="HD45" s="132"/>
      <c r="HE45" s="132"/>
      <c r="HF45" s="132"/>
      <c r="HG45" s="132"/>
      <c r="HH45" s="132"/>
      <c r="HI45" s="132"/>
      <c r="HJ45" s="132"/>
      <c r="HK45" s="132"/>
      <c r="HL45" s="132"/>
      <c r="HM45" s="132"/>
      <c r="HN45" s="132"/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/>
      <c r="IB45" s="132"/>
      <c r="IC45" s="132"/>
      <c r="ID45" s="132"/>
      <c r="IE45" s="132"/>
      <c r="IF45" s="132"/>
      <c r="IG45" s="132"/>
      <c r="IH45" s="132"/>
      <c r="II45" s="132"/>
      <c r="IJ45" s="132"/>
      <c r="IK45" s="132"/>
      <c r="IL45" s="132"/>
      <c r="IM45" s="132"/>
      <c r="IN45" s="132"/>
      <c r="IO45" s="132"/>
      <c r="IP45" s="132"/>
      <c r="IQ45" s="132"/>
      <c r="IR45" s="132"/>
      <c r="IS45" s="132"/>
      <c r="IT45" s="132"/>
      <c r="IU45" s="132"/>
      <c r="IV45" s="132"/>
      <c r="IW45" s="132"/>
      <c r="IX45" s="132"/>
      <c r="IY45" s="132"/>
      <c r="IZ45" s="132"/>
      <c r="JA45" s="132"/>
      <c r="JB45" s="132"/>
      <c r="JC45" s="132"/>
      <c r="JD45" s="132"/>
      <c r="JE45" s="132"/>
      <c r="JF45" s="132"/>
      <c r="JG45" s="132"/>
      <c r="JH45" s="132"/>
      <c r="JI45" s="132"/>
      <c r="JJ45" s="132"/>
      <c r="JK45" s="132"/>
      <c r="JL45" s="132"/>
      <c r="JM45" s="132"/>
      <c r="JN45" s="132"/>
      <c r="JO45" s="132"/>
      <c r="JP45" s="132"/>
      <c r="JQ45" s="132"/>
      <c r="JR45" s="132"/>
      <c r="JS45" s="132"/>
      <c r="JT45" s="132"/>
      <c r="JU45" s="132"/>
      <c r="JV45" s="132"/>
      <c r="JW45" s="132"/>
      <c r="JX45" s="132"/>
      <c r="JY45" s="132"/>
      <c r="JZ45" s="132"/>
      <c r="KA45" s="132"/>
      <c r="KB45" s="132"/>
      <c r="KC45" s="132"/>
      <c r="KD45" s="132"/>
      <c r="KE45" s="132"/>
      <c r="KF45" s="132"/>
      <c r="KG45" s="132"/>
      <c r="KH45" s="132"/>
      <c r="KI45" s="132"/>
      <c r="KJ45" s="132"/>
      <c r="KK45" s="132"/>
      <c r="KL45" s="132"/>
      <c r="KM45" s="132"/>
      <c r="KN45" s="132"/>
      <c r="KO45" s="132"/>
      <c r="KP45" s="132"/>
      <c r="KQ45" s="132"/>
      <c r="KR45" s="132"/>
      <c r="KS45" s="132"/>
      <c r="KT45" s="132"/>
      <c r="KU45" s="132"/>
      <c r="KV45" s="132"/>
      <c r="KW45" s="132"/>
      <c r="KX45" s="132"/>
      <c r="KY45" s="132"/>
      <c r="KZ45" s="132"/>
      <c r="LA45" s="132"/>
      <c r="LB45" s="132"/>
      <c r="LC45" s="132"/>
      <c r="LD45" s="132"/>
      <c r="LE45" s="132"/>
      <c r="LF45" s="132"/>
      <c r="LG45" s="132"/>
      <c r="LH45" s="132"/>
      <c r="LI45" s="132"/>
      <c r="LJ45" s="132"/>
      <c r="LK45" s="132"/>
      <c r="LL45" s="132"/>
      <c r="LM45" s="132"/>
      <c r="LN45" s="132"/>
      <c r="LO45" s="132"/>
      <c r="LP45" s="132"/>
      <c r="LQ45" s="132"/>
      <c r="LR45" s="132"/>
      <c r="LS45" s="132"/>
      <c r="LT45" s="132"/>
      <c r="LU45" s="132"/>
      <c r="LV45" s="132"/>
      <c r="LW45" s="132"/>
      <c r="LX45" s="132"/>
      <c r="LY45" s="132"/>
      <c r="LZ45" s="132"/>
      <c r="MA45" s="132"/>
      <c r="MB45" s="132"/>
      <c r="MC45" s="132"/>
      <c r="MD45" s="132"/>
      <c r="ME45" s="132"/>
      <c r="MF45" s="132"/>
      <c r="MG45" s="132"/>
      <c r="MH45" s="132"/>
      <c r="MI45" s="132"/>
      <c r="MJ45" s="132"/>
      <c r="MK45" s="132"/>
      <c r="ML45" s="132"/>
      <c r="MM45" s="132"/>
      <c r="MN45" s="132"/>
      <c r="MO45" s="132"/>
      <c r="MP45" s="132"/>
      <c r="MQ45" s="132"/>
      <c r="MR45" s="132"/>
      <c r="MS45" s="132"/>
      <c r="MT45" s="132"/>
      <c r="MU45" s="132"/>
      <c r="MV45" s="132"/>
      <c r="MW45" s="132"/>
      <c r="MX45" s="132"/>
      <c r="MY45" s="132"/>
      <c r="MZ45" s="132"/>
      <c r="NA45" s="132"/>
      <c r="NB45" s="132"/>
      <c r="NC45" s="132"/>
      <c r="ND45" s="132"/>
      <c r="NE45" s="132"/>
      <c r="NF45" s="132"/>
      <c r="NG45" s="132"/>
      <c r="NH45" s="132"/>
      <c r="NI45" s="132"/>
      <c r="NJ45" s="132"/>
      <c r="NK45" s="132"/>
      <c r="NL45" s="132"/>
      <c r="NM45" s="132"/>
      <c r="NN45" s="132"/>
      <c r="NO45" s="132"/>
      <c r="NP45" s="132"/>
      <c r="NQ45" s="132"/>
      <c r="NR45" s="132"/>
      <c r="NS45" s="132"/>
      <c r="NT45" s="132"/>
      <c r="NU45" s="132"/>
      <c r="NV45" s="132"/>
      <c r="NW45" s="132"/>
      <c r="NX45" s="132"/>
      <c r="NY45" s="132"/>
      <c r="NZ45" s="132"/>
      <c r="OA45" s="132"/>
      <c r="OB45" s="132"/>
      <c r="OC45" s="132"/>
      <c r="OD45" s="132"/>
      <c r="OE45" s="132"/>
      <c r="OF45" s="132"/>
      <c r="OG45" s="132"/>
      <c r="OH45" s="132"/>
      <c r="OI45" s="132"/>
      <c r="OJ45" s="132"/>
      <c r="OK45" s="132"/>
      <c r="OL45" s="132"/>
      <c r="OM45" s="132"/>
      <c r="ON45" s="132"/>
      <c r="OO45" s="132"/>
      <c r="OP45" s="132"/>
      <c r="OQ45" s="132"/>
      <c r="OR45" s="132"/>
      <c r="OS45" s="132"/>
      <c r="OT45" s="132"/>
      <c r="OU45" s="132"/>
      <c r="OV45" s="132"/>
      <c r="OW45" s="132"/>
    </row>
    <row r="46" spans="1:413" ht="15.75">
      <c r="A46" s="3"/>
      <c r="B46" s="8" t="s">
        <v>678</v>
      </c>
      <c r="C46" s="9"/>
      <c r="D46" s="9"/>
      <c r="E46" s="9"/>
      <c r="F46" s="9"/>
      <c r="G46" s="9"/>
      <c r="H46" s="9"/>
      <c r="I46" s="9"/>
      <c r="J46" s="9"/>
      <c r="K46" s="9">
        <f t="shared" ref="K46:K55" si="5">SUM(C46:J46)</f>
        <v>0</v>
      </c>
      <c r="L46" s="118" t="str">
        <f t="shared" si="0"/>
        <v>ok</v>
      </c>
      <c r="M46" s="9"/>
    </row>
    <row r="47" spans="1:413" ht="15.75">
      <c r="A47" s="456"/>
      <c r="B47" s="115" t="s">
        <v>679</v>
      </c>
      <c r="C47" s="116">
        <f>'Red River'!H18</f>
        <v>-159840</v>
      </c>
      <c r="D47" s="116"/>
      <c r="E47" s="116"/>
      <c r="F47" s="116"/>
      <c r="G47" s="116"/>
      <c r="H47" s="116"/>
      <c r="I47" s="116"/>
      <c r="J47" s="116"/>
      <c r="K47" s="116">
        <f t="shared" si="5"/>
        <v>-159840</v>
      </c>
      <c r="L47" s="118" t="str">
        <f t="shared" si="0"/>
        <v>ok</v>
      </c>
      <c r="M47" s="116">
        <f>'Red River'!H20</f>
        <v>-159840</v>
      </c>
    </row>
    <row r="48" spans="1:413" s="127" customFormat="1" ht="15.75">
      <c r="A48" s="126"/>
      <c r="B48" s="130" t="s">
        <v>680</v>
      </c>
      <c r="C48" s="140"/>
      <c r="D48" s="140"/>
      <c r="E48" s="140"/>
      <c r="F48" s="140"/>
      <c r="G48" s="140"/>
      <c r="H48" s="140"/>
      <c r="I48" s="140"/>
      <c r="J48" s="140"/>
      <c r="K48" s="140">
        <f t="shared" si="5"/>
        <v>0</v>
      </c>
      <c r="L48" s="118" t="str">
        <f t="shared" si="0"/>
        <v>ok</v>
      </c>
      <c r="M48" s="140"/>
    </row>
    <row r="49" spans="1:413" s="455" customFormat="1" ht="15.75">
      <c r="A49" s="454"/>
      <c r="B49" s="119" t="s">
        <v>681</v>
      </c>
      <c r="C49" s="117"/>
      <c r="D49" s="117"/>
      <c r="E49" s="117"/>
      <c r="F49" s="117"/>
      <c r="G49" s="117"/>
      <c r="H49" s="117"/>
      <c r="I49" s="117"/>
      <c r="J49" s="117"/>
      <c r="K49" s="117">
        <f t="shared" si="5"/>
        <v>0</v>
      </c>
      <c r="L49" s="118" t="str">
        <f t="shared" si="0"/>
        <v>ok</v>
      </c>
      <c r="M49" s="117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</row>
    <row r="50" spans="1:413" ht="15.75">
      <c r="A50" s="3"/>
      <c r="B50" s="8" t="s">
        <v>682</v>
      </c>
      <c r="C50" s="9"/>
      <c r="D50" s="9"/>
      <c r="E50" s="9"/>
      <c r="F50" s="9"/>
      <c r="G50" s="9"/>
      <c r="H50" s="9"/>
      <c r="I50" s="9"/>
      <c r="J50" s="9"/>
      <c r="K50" s="9">
        <f t="shared" si="5"/>
        <v>0</v>
      </c>
      <c r="L50" s="118" t="str">
        <f t="shared" si="0"/>
        <v>ok</v>
      </c>
      <c r="M50" s="9"/>
    </row>
    <row r="51" spans="1:413" s="455" customFormat="1" ht="15.75">
      <c r="A51" s="454"/>
      <c r="B51" s="119" t="s">
        <v>683</v>
      </c>
      <c r="C51" s="117">
        <f>'St. Charles'!G21+'St. Charles'!G22</f>
        <v>-23546598</v>
      </c>
      <c r="D51" s="117">
        <f>'St. Charles'!G23</f>
        <v>-3713140</v>
      </c>
      <c r="E51" s="117"/>
      <c r="F51" s="117"/>
      <c r="G51" s="117"/>
      <c r="H51" s="117"/>
      <c r="I51" s="117"/>
      <c r="J51" s="117"/>
      <c r="K51" s="117">
        <f t="shared" si="5"/>
        <v>-27259738</v>
      </c>
      <c r="L51" s="118" t="str">
        <f t="shared" si="0"/>
        <v>ok</v>
      </c>
      <c r="M51" s="117">
        <f>'St. Charles'!G25</f>
        <v>-27259738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</row>
    <row r="52" spans="1:413" ht="15.75">
      <c r="A52" s="3"/>
      <c r="B52" s="8" t="s">
        <v>684</v>
      </c>
      <c r="C52" s="9">
        <f>'St. Helena'!I21</f>
        <v>-845853</v>
      </c>
      <c r="D52" s="9"/>
      <c r="E52" s="9"/>
      <c r="F52" s="9"/>
      <c r="G52" s="9"/>
      <c r="H52" s="9"/>
      <c r="I52" s="9"/>
      <c r="J52" s="9">
        <f>'St. Helena'!I20+'St. Helena'!I22</f>
        <v>-14136645</v>
      </c>
      <c r="K52" s="9">
        <f t="shared" si="5"/>
        <v>-14982498</v>
      </c>
      <c r="L52" s="118" t="str">
        <f t="shared" si="0"/>
        <v>ok</v>
      </c>
      <c r="M52" s="9">
        <f>'St. Helena'!I24</f>
        <v>-14982498</v>
      </c>
    </row>
    <row r="53" spans="1:413" s="455" customFormat="1" ht="15.75">
      <c r="A53" s="454"/>
      <c r="B53" s="119" t="s">
        <v>685</v>
      </c>
      <c r="C53" s="117">
        <f>'St. James'!G23</f>
        <v>-4949997</v>
      </c>
      <c r="D53" s="117"/>
      <c r="E53" s="117"/>
      <c r="F53" s="117"/>
      <c r="G53" s="117"/>
      <c r="H53" s="117"/>
      <c r="I53" s="117"/>
      <c r="J53" s="117">
        <f>'St. James'!G24</f>
        <v>-443689</v>
      </c>
      <c r="K53" s="117">
        <f t="shared" si="5"/>
        <v>-5393686</v>
      </c>
      <c r="L53" s="118" t="str">
        <f t="shared" si="0"/>
        <v>ok</v>
      </c>
      <c r="M53" s="117">
        <f>'St. James'!G26</f>
        <v>-5393686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</row>
    <row r="54" spans="1:413" s="132" customFormat="1" ht="15.75">
      <c r="A54" s="126"/>
      <c r="B54" s="130" t="s">
        <v>689</v>
      </c>
      <c r="C54" s="131">
        <f>'St. Tammany'!G20</f>
        <v>0</v>
      </c>
      <c r="D54" s="131">
        <f>'St. Mary'!G23</f>
        <v>-4333311</v>
      </c>
      <c r="E54" s="131"/>
      <c r="F54" s="131"/>
      <c r="G54" s="131"/>
      <c r="H54" s="131"/>
      <c r="I54" s="131"/>
      <c r="J54" s="131">
        <f>'St. Mary'!G24+'St. Mary'!G25</f>
        <v>-1072282</v>
      </c>
      <c r="K54" s="131">
        <f t="shared" ref="K54" si="6">SUM(C54:J54)</f>
        <v>-5405593</v>
      </c>
      <c r="L54" s="118" t="str">
        <f t="shared" ref="L54:L67" si="7">IF(K54=M54,"ok","check")</f>
        <v>ok</v>
      </c>
      <c r="M54" s="131">
        <f>'St. Mary'!G27</f>
        <v>-5405593</v>
      </c>
    </row>
    <row r="55" spans="1:413" s="137" customFormat="1" ht="15.75">
      <c r="A55" s="135"/>
      <c r="B55" s="124" t="s">
        <v>690</v>
      </c>
      <c r="C55" s="128">
        <f>'St. Tammany'!G21</f>
        <v>-11610098</v>
      </c>
      <c r="D55" s="128"/>
      <c r="E55" s="128"/>
      <c r="F55" s="128"/>
      <c r="G55" s="128"/>
      <c r="H55" s="128"/>
      <c r="I55" s="128"/>
      <c r="J55" s="128"/>
      <c r="K55" s="128">
        <f t="shared" si="5"/>
        <v>-11610098</v>
      </c>
      <c r="L55" s="118" t="str">
        <f t="shared" si="7"/>
        <v>ok</v>
      </c>
      <c r="M55" s="128">
        <f>'St. Tammany'!G23</f>
        <v>-11610098</v>
      </c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2"/>
      <c r="CD55" s="132"/>
      <c r="CE55" s="132"/>
      <c r="CF55" s="132"/>
      <c r="CG55" s="132"/>
      <c r="CH55" s="132"/>
      <c r="CI55" s="132"/>
      <c r="CJ55" s="132"/>
      <c r="CK55" s="132"/>
      <c r="CL55" s="132"/>
      <c r="CM55" s="132"/>
      <c r="CN55" s="132"/>
      <c r="CO55" s="132"/>
      <c r="CP55" s="132"/>
      <c r="CQ55" s="132"/>
      <c r="CR55" s="132"/>
      <c r="CS55" s="132"/>
      <c r="CT55" s="132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32"/>
      <c r="DZ55" s="132"/>
      <c r="EA55" s="132"/>
      <c r="EB55" s="132"/>
      <c r="EC55" s="132"/>
      <c r="ED55" s="132"/>
      <c r="EE55" s="132"/>
      <c r="EF55" s="132"/>
      <c r="EG55" s="132"/>
      <c r="EH55" s="132"/>
      <c r="EI55" s="132"/>
      <c r="EJ55" s="132"/>
      <c r="EK55" s="132"/>
      <c r="EL55" s="132"/>
      <c r="EM55" s="132"/>
      <c r="EN55" s="132"/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/>
      <c r="FB55" s="132"/>
      <c r="FC55" s="132"/>
      <c r="FD55" s="132"/>
      <c r="FE55" s="132"/>
      <c r="FF55" s="132"/>
      <c r="FG55" s="132"/>
      <c r="FH55" s="132"/>
      <c r="FI55" s="132"/>
      <c r="FJ55" s="132"/>
      <c r="FK55" s="132"/>
      <c r="FL55" s="132"/>
      <c r="FM55" s="132"/>
      <c r="FN55" s="132"/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/>
      <c r="GB55" s="132"/>
      <c r="GC55" s="132"/>
      <c r="GD55" s="132"/>
      <c r="GE55" s="132"/>
      <c r="GF55" s="132"/>
      <c r="GG55" s="132"/>
      <c r="GH55" s="132"/>
      <c r="GI55" s="132"/>
      <c r="GJ55" s="132"/>
      <c r="GK55" s="132"/>
      <c r="GL55" s="132"/>
      <c r="GM55" s="132"/>
      <c r="GN55" s="132"/>
      <c r="GO55" s="132"/>
      <c r="GP55" s="132"/>
      <c r="GQ55" s="132"/>
      <c r="GR55" s="132"/>
      <c r="GS55" s="132"/>
      <c r="GT55" s="132"/>
      <c r="GU55" s="132"/>
      <c r="GV55" s="132"/>
      <c r="GW55" s="132"/>
      <c r="GX55" s="132"/>
      <c r="GY55" s="132"/>
      <c r="GZ55" s="132"/>
      <c r="HA55" s="132"/>
      <c r="HB55" s="132"/>
      <c r="HC55" s="132"/>
      <c r="HD55" s="132"/>
      <c r="HE55" s="132"/>
      <c r="HF55" s="132"/>
      <c r="HG55" s="132"/>
      <c r="HH55" s="132"/>
      <c r="HI55" s="132"/>
      <c r="HJ55" s="132"/>
      <c r="HK55" s="132"/>
      <c r="HL55" s="132"/>
      <c r="HM55" s="132"/>
      <c r="HN55" s="132"/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/>
      <c r="IB55" s="132"/>
      <c r="IC55" s="132"/>
      <c r="ID55" s="132"/>
      <c r="IE55" s="132"/>
      <c r="IF55" s="132"/>
      <c r="IG55" s="132"/>
      <c r="IH55" s="132"/>
      <c r="II55" s="132"/>
      <c r="IJ55" s="132"/>
      <c r="IK55" s="132"/>
      <c r="IL55" s="132"/>
      <c r="IM55" s="132"/>
      <c r="IN55" s="132"/>
      <c r="IO55" s="132"/>
      <c r="IP55" s="132"/>
      <c r="IQ55" s="132"/>
      <c r="IR55" s="132"/>
      <c r="IS55" s="132"/>
      <c r="IT55" s="132"/>
      <c r="IU55" s="132"/>
      <c r="IV55" s="132"/>
      <c r="IW55" s="132"/>
      <c r="IX55" s="132"/>
      <c r="IY55" s="132"/>
      <c r="IZ55" s="132"/>
      <c r="JA55" s="132"/>
      <c r="JB55" s="132"/>
      <c r="JC55" s="132"/>
      <c r="JD55" s="132"/>
      <c r="JE55" s="132"/>
      <c r="JF55" s="132"/>
      <c r="JG55" s="132"/>
      <c r="JH55" s="132"/>
      <c r="JI55" s="132"/>
      <c r="JJ55" s="132"/>
      <c r="JK55" s="132"/>
      <c r="JL55" s="132"/>
      <c r="JM55" s="132"/>
      <c r="JN55" s="132"/>
      <c r="JO55" s="132"/>
      <c r="JP55" s="132"/>
      <c r="JQ55" s="132"/>
      <c r="JR55" s="132"/>
      <c r="JS55" s="132"/>
      <c r="JT55" s="132"/>
      <c r="JU55" s="132"/>
      <c r="JV55" s="132"/>
      <c r="JW55" s="132"/>
      <c r="JX55" s="132"/>
      <c r="JY55" s="132"/>
      <c r="JZ55" s="132"/>
      <c r="KA55" s="132"/>
      <c r="KB55" s="132"/>
      <c r="KC55" s="132"/>
      <c r="KD55" s="132"/>
      <c r="KE55" s="132"/>
      <c r="KF55" s="132"/>
      <c r="KG55" s="132"/>
      <c r="KH55" s="132"/>
      <c r="KI55" s="132"/>
      <c r="KJ55" s="132"/>
      <c r="KK55" s="132"/>
      <c r="KL55" s="132"/>
      <c r="KM55" s="132"/>
      <c r="KN55" s="132"/>
      <c r="KO55" s="132"/>
      <c r="KP55" s="132"/>
      <c r="KQ55" s="132"/>
      <c r="KR55" s="132"/>
      <c r="KS55" s="132"/>
      <c r="KT55" s="132"/>
      <c r="KU55" s="132"/>
      <c r="KV55" s="132"/>
      <c r="KW55" s="132"/>
      <c r="KX55" s="132"/>
      <c r="KY55" s="132"/>
      <c r="KZ55" s="132"/>
      <c r="LA55" s="132"/>
      <c r="LB55" s="132"/>
      <c r="LC55" s="132"/>
      <c r="LD55" s="132"/>
      <c r="LE55" s="132"/>
      <c r="LF55" s="132"/>
      <c r="LG55" s="132"/>
      <c r="LH55" s="132"/>
      <c r="LI55" s="132"/>
      <c r="LJ55" s="132"/>
      <c r="LK55" s="132"/>
      <c r="LL55" s="132"/>
      <c r="LM55" s="132"/>
      <c r="LN55" s="132"/>
      <c r="LO55" s="132"/>
      <c r="LP55" s="132"/>
      <c r="LQ55" s="132"/>
      <c r="LR55" s="132"/>
      <c r="LS55" s="132"/>
      <c r="LT55" s="132"/>
      <c r="LU55" s="132"/>
      <c r="LV55" s="132"/>
      <c r="LW55" s="132"/>
      <c r="LX55" s="132"/>
      <c r="LY55" s="132"/>
      <c r="LZ55" s="132"/>
      <c r="MA55" s="132"/>
      <c r="MB55" s="132"/>
      <c r="MC55" s="132"/>
      <c r="MD55" s="132"/>
      <c r="ME55" s="132"/>
      <c r="MF55" s="132"/>
      <c r="MG55" s="132"/>
      <c r="MH55" s="132"/>
      <c r="MI55" s="132"/>
      <c r="MJ55" s="132"/>
      <c r="MK55" s="132"/>
      <c r="ML55" s="132"/>
      <c r="MM55" s="132"/>
      <c r="MN55" s="132"/>
      <c r="MO55" s="132"/>
      <c r="MP55" s="132"/>
      <c r="MQ55" s="132"/>
      <c r="MR55" s="132"/>
      <c r="MS55" s="132"/>
      <c r="MT55" s="132"/>
      <c r="MU55" s="132"/>
      <c r="MV55" s="132"/>
      <c r="MW55" s="132"/>
      <c r="MX55" s="132"/>
      <c r="MY55" s="132"/>
      <c r="MZ55" s="132"/>
      <c r="NA55" s="132"/>
      <c r="NB55" s="132"/>
      <c r="NC55" s="132"/>
      <c r="ND55" s="132"/>
      <c r="NE55" s="132"/>
      <c r="NF55" s="132"/>
      <c r="NG55" s="132"/>
      <c r="NH55" s="132"/>
      <c r="NI55" s="132"/>
      <c r="NJ55" s="132"/>
      <c r="NK55" s="132"/>
      <c r="NL55" s="132"/>
      <c r="NM55" s="132"/>
      <c r="NN55" s="132"/>
      <c r="NO55" s="132"/>
      <c r="NP55" s="132"/>
      <c r="NQ55" s="132"/>
      <c r="NR55" s="132"/>
      <c r="NS55" s="132"/>
      <c r="NT55" s="132"/>
      <c r="NU55" s="132"/>
      <c r="NV55" s="132"/>
      <c r="NW55" s="132"/>
      <c r="NX55" s="132"/>
      <c r="NY55" s="132"/>
      <c r="NZ55" s="132"/>
      <c r="OA55" s="132"/>
      <c r="OB55" s="132"/>
      <c r="OC55" s="132"/>
      <c r="OD55" s="132"/>
      <c r="OE55" s="132"/>
      <c r="OF55" s="132"/>
      <c r="OG55" s="132"/>
      <c r="OH55" s="132"/>
      <c r="OI55" s="132"/>
      <c r="OJ55" s="132"/>
      <c r="OK55" s="132"/>
      <c r="OL55" s="132"/>
      <c r="OM55" s="132"/>
      <c r="ON55" s="132"/>
      <c r="OO55" s="132"/>
      <c r="OP55" s="132"/>
      <c r="OQ55" s="132"/>
      <c r="OR55" s="132"/>
      <c r="OS55" s="132"/>
      <c r="OT55" s="132"/>
      <c r="OU55" s="132"/>
      <c r="OV55" s="132"/>
      <c r="OW55" s="132"/>
    </row>
    <row r="56" spans="1:413" ht="15.75">
      <c r="A56" s="3"/>
      <c r="B56" s="8" t="s">
        <v>691</v>
      </c>
      <c r="C56" s="9"/>
      <c r="D56" s="9"/>
      <c r="E56" s="9"/>
      <c r="F56" s="9"/>
      <c r="G56" s="9"/>
      <c r="H56" s="9"/>
      <c r="I56" s="9"/>
      <c r="J56" s="9"/>
      <c r="K56" s="9">
        <v>0</v>
      </c>
      <c r="L56" s="118" t="str">
        <f t="shared" si="7"/>
        <v>ok</v>
      </c>
      <c r="M56" s="9"/>
    </row>
    <row r="57" spans="1:413" s="123" customFormat="1" ht="15.75">
      <c r="A57" s="122"/>
      <c r="B57" s="120" t="s">
        <v>692</v>
      </c>
      <c r="C57" s="121"/>
      <c r="D57" s="121"/>
      <c r="E57" s="121"/>
      <c r="F57" s="121"/>
      <c r="G57" s="121"/>
      <c r="H57" s="121"/>
      <c r="I57" s="121"/>
      <c r="J57" s="121"/>
      <c r="K57" s="121">
        <f t="shared" si="1"/>
        <v>0</v>
      </c>
      <c r="L57" s="118" t="str">
        <f t="shared" si="7"/>
        <v>ok</v>
      </c>
      <c r="M57" s="121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</row>
    <row r="58" spans="1:413" ht="15.75">
      <c r="A58" s="3"/>
      <c r="B58" s="8" t="s">
        <v>693</v>
      </c>
      <c r="C58" s="9">
        <f>Terrebonne!I24+Terrebonne!I23</f>
        <v>-49943406</v>
      </c>
      <c r="D58" s="9">
        <f>Terrebonne!I25</f>
        <v>-13473382</v>
      </c>
      <c r="E58" s="9"/>
      <c r="F58" s="9">
        <f>Terrebonne!I26</f>
        <v>-2304351</v>
      </c>
      <c r="G58" s="9"/>
      <c r="H58" s="9"/>
      <c r="I58" s="9"/>
      <c r="J58" s="9"/>
      <c r="K58" s="9">
        <f t="shared" si="1"/>
        <v>-65721139</v>
      </c>
      <c r="L58" s="118" t="str">
        <f t="shared" si="7"/>
        <v>ok</v>
      </c>
      <c r="M58" s="9">
        <f>Terrebonne!I28</f>
        <v>-65721139</v>
      </c>
    </row>
    <row r="59" spans="1:413" s="142" customFormat="1" ht="15.75">
      <c r="A59" s="135"/>
      <c r="B59" s="124" t="s">
        <v>694</v>
      </c>
      <c r="C59" s="125"/>
      <c r="D59" s="125"/>
      <c r="E59" s="125"/>
      <c r="F59" s="125"/>
      <c r="G59" s="125"/>
      <c r="H59" s="125"/>
      <c r="I59" s="125"/>
      <c r="J59" s="125"/>
      <c r="K59" s="125">
        <f t="shared" si="1"/>
        <v>0</v>
      </c>
      <c r="L59" s="118" t="str">
        <f t="shared" si="7"/>
        <v>ok</v>
      </c>
      <c r="M59" s="125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CB59" s="127"/>
      <c r="CC59" s="127"/>
      <c r="CD59" s="127"/>
      <c r="CE59" s="127"/>
      <c r="CF59" s="127"/>
      <c r="CG59" s="127"/>
      <c r="CH59" s="127"/>
      <c r="CI59" s="127"/>
      <c r="CJ59" s="127"/>
      <c r="CK59" s="127"/>
      <c r="CL59" s="127"/>
      <c r="CM59" s="127"/>
      <c r="CN59" s="127"/>
      <c r="CO59" s="127"/>
      <c r="CP59" s="127"/>
      <c r="CQ59" s="127"/>
      <c r="CR59" s="127"/>
      <c r="CS59" s="127"/>
      <c r="CT59" s="127"/>
      <c r="CU59" s="127"/>
      <c r="CV59" s="127"/>
      <c r="CW59" s="127"/>
      <c r="CX59" s="127"/>
      <c r="CY59" s="127"/>
      <c r="CZ59" s="127"/>
      <c r="DA59" s="127"/>
      <c r="DB59" s="127"/>
      <c r="DC59" s="127"/>
      <c r="DD59" s="127"/>
      <c r="DE59" s="127"/>
      <c r="DF59" s="127"/>
      <c r="DG59" s="127"/>
      <c r="DH59" s="127"/>
      <c r="DI59" s="127"/>
      <c r="DJ59" s="127"/>
      <c r="DK59" s="127"/>
      <c r="DL59" s="127"/>
      <c r="DM59" s="127"/>
      <c r="DN59" s="127"/>
      <c r="DO59" s="127"/>
      <c r="DP59" s="127"/>
      <c r="DQ59" s="127"/>
      <c r="DR59" s="127"/>
      <c r="DS59" s="127"/>
      <c r="DT59" s="127"/>
      <c r="DU59" s="127"/>
      <c r="DV59" s="127"/>
      <c r="DW59" s="127"/>
      <c r="DX59" s="127"/>
      <c r="DY59" s="127"/>
      <c r="DZ59" s="127"/>
      <c r="EA59" s="127"/>
      <c r="EB59" s="127"/>
      <c r="EC59" s="127"/>
      <c r="ED59" s="127"/>
      <c r="EE59" s="127"/>
      <c r="EF59" s="127"/>
      <c r="EG59" s="127"/>
      <c r="EH59" s="127"/>
      <c r="EI59" s="127"/>
      <c r="EJ59" s="127"/>
      <c r="EK59" s="127"/>
      <c r="EL59" s="127"/>
      <c r="EM59" s="127"/>
      <c r="EN59" s="127"/>
      <c r="EO59" s="127"/>
      <c r="EP59" s="127"/>
      <c r="EQ59" s="127"/>
      <c r="ER59" s="127"/>
      <c r="ES59" s="127"/>
      <c r="ET59" s="127"/>
      <c r="EU59" s="127"/>
      <c r="EV59" s="127"/>
      <c r="EW59" s="127"/>
      <c r="EX59" s="127"/>
      <c r="EY59" s="127"/>
      <c r="EZ59" s="127"/>
      <c r="FA59" s="127"/>
      <c r="FB59" s="127"/>
      <c r="FC59" s="127"/>
      <c r="FD59" s="127"/>
      <c r="FE59" s="127"/>
      <c r="FF59" s="127"/>
      <c r="FG59" s="127"/>
      <c r="FH59" s="127"/>
      <c r="FI59" s="127"/>
      <c r="FJ59" s="127"/>
      <c r="FK59" s="127"/>
      <c r="FL59" s="127"/>
      <c r="FM59" s="127"/>
      <c r="FN59" s="127"/>
      <c r="FO59" s="127"/>
      <c r="FP59" s="127"/>
      <c r="FQ59" s="127"/>
      <c r="FR59" s="127"/>
      <c r="FS59" s="127"/>
      <c r="FT59" s="127"/>
      <c r="FU59" s="127"/>
      <c r="FV59" s="127"/>
      <c r="FW59" s="127"/>
      <c r="FX59" s="127"/>
      <c r="FY59" s="127"/>
      <c r="FZ59" s="127"/>
      <c r="GA59" s="127"/>
      <c r="GB59" s="127"/>
      <c r="GC59" s="127"/>
      <c r="GD59" s="127"/>
      <c r="GE59" s="127"/>
      <c r="GF59" s="127"/>
      <c r="GG59" s="127"/>
      <c r="GH59" s="127"/>
      <c r="GI59" s="127"/>
      <c r="GJ59" s="127"/>
      <c r="GK59" s="127"/>
      <c r="GL59" s="127"/>
      <c r="GM59" s="127"/>
      <c r="GN59" s="127"/>
      <c r="GO59" s="127"/>
      <c r="GP59" s="127"/>
      <c r="GQ59" s="127"/>
      <c r="GR59" s="127"/>
      <c r="GS59" s="127"/>
      <c r="GT59" s="127"/>
      <c r="GU59" s="127"/>
      <c r="GV59" s="127"/>
      <c r="GW59" s="127"/>
      <c r="GX59" s="127"/>
      <c r="GY59" s="127"/>
      <c r="GZ59" s="127"/>
      <c r="HA59" s="127"/>
      <c r="HB59" s="127"/>
      <c r="HC59" s="127"/>
      <c r="HD59" s="127"/>
      <c r="HE59" s="127"/>
      <c r="HF59" s="127"/>
      <c r="HG59" s="127"/>
      <c r="HH59" s="127"/>
      <c r="HI59" s="127"/>
      <c r="HJ59" s="127"/>
      <c r="HK59" s="127"/>
      <c r="HL59" s="127"/>
      <c r="HM59" s="127"/>
      <c r="HN59" s="127"/>
      <c r="HO59" s="127"/>
      <c r="HP59" s="127"/>
      <c r="HQ59" s="127"/>
      <c r="HR59" s="127"/>
      <c r="HS59" s="127"/>
      <c r="HT59" s="127"/>
      <c r="HU59" s="127"/>
      <c r="HV59" s="127"/>
      <c r="HW59" s="127"/>
      <c r="HX59" s="127"/>
      <c r="HY59" s="127"/>
      <c r="HZ59" s="127"/>
      <c r="IA59" s="127"/>
      <c r="IB59" s="127"/>
      <c r="IC59" s="127"/>
      <c r="ID59" s="127"/>
      <c r="IE59" s="127"/>
      <c r="IF59" s="127"/>
      <c r="IG59" s="127"/>
      <c r="IH59" s="127"/>
      <c r="II59" s="127"/>
      <c r="IJ59" s="127"/>
      <c r="IK59" s="127"/>
      <c r="IL59" s="127"/>
      <c r="IM59" s="127"/>
      <c r="IN59" s="127"/>
      <c r="IO59" s="127"/>
      <c r="IP59" s="127"/>
      <c r="IQ59" s="127"/>
      <c r="IR59" s="127"/>
      <c r="IS59" s="127"/>
      <c r="IT59" s="127"/>
      <c r="IU59" s="127"/>
      <c r="IV59" s="127"/>
      <c r="IW59" s="127"/>
      <c r="IX59" s="127"/>
      <c r="IY59" s="127"/>
      <c r="IZ59" s="127"/>
      <c r="JA59" s="127"/>
      <c r="JB59" s="127"/>
      <c r="JC59" s="127"/>
      <c r="JD59" s="127"/>
      <c r="JE59" s="127"/>
      <c r="JF59" s="127"/>
      <c r="JG59" s="127"/>
      <c r="JH59" s="127"/>
      <c r="JI59" s="127"/>
      <c r="JJ59" s="127"/>
      <c r="JK59" s="127"/>
      <c r="JL59" s="127"/>
      <c r="JM59" s="127"/>
      <c r="JN59" s="127"/>
      <c r="JO59" s="127"/>
      <c r="JP59" s="127"/>
      <c r="JQ59" s="127"/>
      <c r="JR59" s="127"/>
      <c r="JS59" s="127"/>
      <c r="JT59" s="127"/>
      <c r="JU59" s="127"/>
      <c r="JV59" s="127"/>
      <c r="JW59" s="127"/>
      <c r="JX59" s="127"/>
      <c r="JY59" s="127"/>
      <c r="JZ59" s="127"/>
      <c r="KA59" s="127"/>
      <c r="KB59" s="127"/>
      <c r="KC59" s="127"/>
      <c r="KD59" s="127"/>
      <c r="KE59" s="127"/>
      <c r="KF59" s="127"/>
      <c r="KG59" s="127"/>
      <c r="KH59" s="127"/>
      <c r="KI59" s="127"/>
      <c r="KJ59" s="127"/>
      <c r="KK59" s="127"/>
      <c r="KL59" s="127"/>
      <c r="KM59" s="127"/>
      <c r="KN59" s="127"/>
      <c r="KO59" s="127"/>
      <c r="KP59" s="127"/>
      <c r="KQ59" s="127"/>
      <c r="KR59" s="127"/>
      <c r="KS59" s="127"/>
      <c r="KT59" s="127"/>
      <c r="KU59" s="127"/>
      <c r="KV59" s="127"/>
      <c r="KW59" s="127"/>
      <c r="KX59" s="127"/>
      <c r="KY59" s="127"/>
      <c r="KZ59" s="127"/>
      <c r="LA59" s="127"/>
      <c r="LB59" s="127"/>
      <c r="LC59" s="127"/>
      <c r="LD59" s="127"/>
      <c r="LE59" s="127"/>
      <c r="LF59" s="127"/>
      <c r="LG59" s="127"/>
      <c r="LH59" s="127"/>
      <c r="LI59" s="127"/>
      <c r="LJ59" s="127"/>
      <c r="LK59" s="127"/>
      <c r="LL59" s="127"/>
      <c r="LM59" s="127"/>
      <c r="LN59" s="127"/>
      <c r="LO59" s="127"/>
      <c r="LP59" s="127"/>
      <c r="LQ59" s="127"/>
      <c r="LR59" s="127"/>
      <c r="LS59" s="127"/>
      <c r="LT59" s="127"/>
      <c r="LU59" s="127"/>
      <c r="LV59" s="127"/>
      <c r="LW59" s="127"/>
      <c r="LX59" s="127"/>
      <c r="LY59" s="127"/>
      <c r="LZ59" s="127"/>
      <c r="MA59" s="127"/>
      <c r="MB59" s="127"/>
      <c r="MC59" s="127"/>
      <c r="MD59" s="127"/>
      <c r="ME59" s="127"/>
      <c r="MF59" s="127"/>
      <c r="MG59" s="127"/>
      <c r="MH59" s="127"/>
      <c r="MI59" s="127"/>
      <c r="MJ59" s="127"/>
      <c r="MK59" s="127"/>
      <c r="ML59" s="127"/>
      <c r="MM59" s="127"/>
      <c r="MN59" s="127"/>
      <c r="MO59" s="127"/>
      <c r="MP59" s="127"/>
      <c r="MQ59" s="127"/>
      <c r="MR59" s="127"/>
      <c r="MS59" s="127"/>
      <c r="MT59" s="127"/>
      <c r="MU59" s="127"/>
      <c r="MV59" s="127"/>
      <c r="MW59" s="127"/>
      <c r="MX59" s="127"/>
      <c r="MY59" s="127"/>
      <c r="MZ59" s="127"/>
      <c r="NA59" s="127"/>
      <c r="NB59" s="127"/>
      <c r="NC59" s="127"/>
      <c r="ND59" s="127"/>
      <c r="NE59" s="127"/>
      <c r="NF59" s="127"/>
      <c r="NG59" s="127"/>
      <c r="NH59" s="127"/>
      <c r="NI59" s="127"/>
      <c r="NJ59" s="127"/>
      <c r="NK59" s="127"/>
      <c r="NL59" s="127"/>
      <c r="NM59" s="127"/>
      <c r="NN59" s="127"/>
      <c r="NO59" s="127"/>
      <c r="NP59" s="127"/>
      <c r="NQ59" s="127"/>
      <c r="NR59" s="127"/>
      <c r="NS59" s="127"/>
      <c r="NT59" s="127"/>
      <c r="NU59" s="127"/>
      <c r="NV59" s="127"/>
      <c r="NW59" s="127"/>
      <c r="NX59" s="127"/>
      <c r="NY59" s="127"/>
      <c r="NZ59" s="127"/>
      <c r="OA59" s="127"/>
      <c r="OB59" s="127"/>
      <c r="OC59" s="127"/>
      <c r="OD59" s="127"/>
      <c r="OE59" s="127"/>
      <c r="OF59" s="127"/>
      <c r="OG59" s="127"/>
      <c r="OH59" s="127"/>
      <c r="OI59" s="127"/>
      <c r="OJ59" s="127"/>
      <c r="OK59" s="127"/>
      <c r="OL59" s="127"/>
      <c r="OM59" s="127"/>
      <c r="ON59" s="127"/>
      <c r="OO59" s="127"/>
      <c r="OP59" s="127"/>
      <c r="OQ59" s="127"/>
      <c r="OR59" s="127"/>
      <c r="OS59" s="127"/>
      <c r="OT59" s="127"/>
      <c r="OU59" s="127"/>
      <c r="OV59" s="127"/>
      <c r="OW59" s="127"/>
    </row>
    <row r="60" spans="1:413" ht="15.75">
      <c r="A60" s="3"/>
      <c r="B60" s="8" t="s">
        <v>695</v>
      </c>
      <c r="C60" s="9"/>
      <c r="D60" s="9"/>
      <c r="E60" s="9"/>
      <c r="F60" s="9"/>
      <c r="G60" s="9"/>
      <c r="H60" s="9"/>
      <c r="I60" s="9"/>
      <c r="J60" s="9">
        <f>Vermilion!I23+Vermilion!I22</f>
        <v>-1461518</v>
      </c>
      <c r="K60" s="9">
        <f t="shared" si="1"/>
        <v>-1461518</v>
      </c>
      <c r="L60" s="118" t="str">
        <f t="shared" si="7"/>
        <v>ok</v>
      </c>
      <c r="M60" s="9">
        <f>Vermilion!I25</f>
        <v>-1461518</v>
      </c>
    </row>
    <row r="61" spans="1:413" s="123" customFormat="1" ht="15.75">
      <c r="A61" s="122"/>
      <c r="B61" s="120" t="s">
        <v>696</v>
      </c>
      <c r="C61" s="121"/>
      <c r="D61" s="121"/>
      <c r="E61" s="121"/>
      <c r="F61" s="121"/>
      <c r="G61" s="121"/>
      <c r="H61" s="121"/>
      <c r="I61" s="121"/>
      <c r="J61" s="121"/>
      <c r="K61" s="121">
        <f t="shared" si="1"/>
        <v>0</v>
      </c>
      <c r="L61" s="118" t="str">
        <f t="shared" si="7"/>
        <v>ok</v>
      </c>
      <c r="M61" s="12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</row>
    <row r="62" spans="1:413" ht="15.75">
      <c r="A62" s="3"/>
      <c r="B62" s="8" t="s">
        <v>697</v>
      </c>
      <c r="C62" s="9"/>
      <c r="D62" s="9"/>
      <c r="E62" s="9"/>
      <c r="F62" s="9"/>
      <c r="G62" s="9"/>
      <c r="H62" s="9"/>
      <c r="I62" s="9"/>
      <c r="J62" s="9"/>
      <c r="K62" s="9">
        <f t="shared" ref="K62:K66" si="8">SUM(C62:J62)</f>
        <v>0</v>
      </c>
      <c r="L62" s="118" t="str">
        <f t="shared" si="7"/>
        <v>ok</v>
      </c>
      <c r="M62" s="9"/>
    </row>
    <row r="63" spans="1:413" s="123" customFormat="1" ht="15.75">
      <c r="A63" s="122"/>
      <c r="B63" s="120" t="s">
        <v>698</v>
      </c>
      <c r="C63" s="121"/>
      <c r="D63" s="121"/>
      <c r="E63" s="121"/>
      <c r="F63" s="121"/>
      <c r="G63" s="121"/>
      <c r="H63" s="121"/>
      <c r="I63" s="121"/>
      <c r="J63" s="121"/>
      <c r="K63" s="121">
        <f t="shared" si="8"/>
        <v>0</v>
      </c>
      <c r="L63" s="118" t="str">
        <f t="shared" si="7"/>
        <v>ok</v>
      </c>
      <c r="M63" s="121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</row>
    <row r="64" spans="1:413" ht="15.75">
      <c r="A64" s="3"/>
      <c r="B64" s="8" t="s">
        <v>699</v>
      </c>
      <c r="C64" s="9"/>
      <c r="D64" s="9"/>
      <c r="E64" s="9"/>
      <c r="F64" s="9"/>
      <c r="G64" s="9"/>
      <c r="H64" s="9"/>
      <c r="I64" s="9"/>
      <c r="J64" s="9"/>
      <c r="K64" s="9">
        <f t="shared" si="8"/>
        <v>0</v>
      </c>
      <c r="L64" s="118" t="str">
        <f t="shared" si="7"/>
        <v>ok</v>
      </c>
      <c r="M64" s="9"/>
    </row>
    <row r="65" spans="1:413" s="137" customFormat="1" ht="15.75">
      <c r="A65" s="135"/>
      <c r="B65" s="124" t="s">
        <v>700</v>
      </c>
      <c r="C65" s="128"/>
      <c r="D65" s="128"/>
      <c r="E65" s="128"/>
      <c r="F65" s="128"/>
      <c r="G65" s="128"/>
      <c r="H65" s="128"/>
      <c r="I65" s="128"/>
      <c r="J65" s="128"/>
      <c r="K65" s="128">
        <f t="shared" si="8"/>
        <v>0</v>
      </c>
      <c r="L65" s="118" t="str">
        <f t="shared" si="7"/>
        <v>ok</v>
      </c>
      <c r="M65" s="128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2"/>
      <c r="CD65" s="132"/>
      <c r="CE65" s="132"/>
      <c r="CF65" s="132"/>
      <c r="CG65" s="132"/>
      <c r="CH65" s="132"/>
      <c r="CI65" s="132"/>
      <c r="CJ65" s="132"/>
      <c r="CK65" s="132"/>
      <c r="CL65" s="132"/>
      <c r="CM65" s="132"/>
      <c r="CN65" s="132"/>
      <c r="CO65" s="132"/>
      <c r="CP65" s="132"/>
      <c r="CQ65" s="132"/>
      <c r="CR65" s="132"/>
      <c r="CS65" s="132"/>
      <c r="CT65" s="132"/>
      <c r="CU65" s="132"/>
      <c r="CV65" s="132"/>
      <c r="CW65" s="132"/>
      <c r="CX65" s="132"/>
      <c r="CY65" s="132"/>
      <c r="CZ65" s="132"/>
      <c r="DA65" s="132"/>
      <c r="DB65" s="132"/>
      <c r="DC65" s="132"/>
      <c r="DD65" s="132"/>
      <c r="DE65" s="132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32"/>
      <c r="DZ65" s="132"/>
      <c r="EA65" s="132"/>
      <c r="EB65" s="132"/>
      <c r="EC65" s="132"/>
      <c r="ED65" s="132"/>
      <c r="EE65" s="132"/>
      <c r="EF65" s="132"/>
      <c r="EG65" s="132"/>
      <c r="EH65" s="132"/>
      <c r="EI65" s="132"/>
      <c r="EJ65" s="132"/>
      <c r="EK65" s="132"/>
      <c r="EL65" s="132"/>
      <c r="EM65" s="132"/>
      <c r="EN65" s="132"/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/>
      <c r="FB65" s="132"/>
      <c r="FC65" s="132"/>
      <c r="FD65" s="132"/>
      <c r="FE65" s="132"/>
      <c r="FF65" s="132"/>
      <c r="FG65" s="132"/>
      <c r="FH65" s="132"/>
      <c r="FI65" s="132"/>
      <c r="FJ65" s="132"/>
      <c r="FK65" s="132"/>
      <c r="FL65" s="132"/>
      <c r="FM65" s="132"/>
      <c r="FN65" s="132"/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/>
      <c r="GB65" s="132"/>
      <c r="GC65" s="132"/>
      <c r="GD65" s="132"/>
      <c r="GE65" s="132"/>
      <c r="GF65" s="132"/>
      <c r="GG65" s="132"/>
      <c r="GH65" s="132"/>
      <c r="GI65" s="132"/>
      <c r="GJ65" s="132"/>
      <c r="GK65" s="132"/>
      <c r="GL65" s="132"/>
      <c r="GM65" s="132"/>
      <c r="GN65" s="132"/>
      <c r="GO65" s="132"/>
      <c r="GP65" s="132"/>
      <c r="GQ65" s="132"/>
      <c r="GR65" s="132"/>
      <c r="GS65" s="132"/>
      <c r="GT65" s="132"/>
      <c r="GU65" s="132"/>
      <c r="GV65" s="132"/>
      <c r="GW65" s="132"/>
      <c r="GX65" s="132"/>
      <c r="GY65" s="132"/>
      <c r="GZ65" s="132"/>
      <c r="HA65" s="132"/>
      <c r="HB65" s="132"/>
      <c r="HC65" s="132"/>
      <c r="HD65" s="132"/>
      <c r="HE65" s="132"/>
      <c r="HF65" s="132"/>
      <c r="HG65" s="132"/>
      <c r="HH65" s="132"/>
      <c r="HI65" s="132"/>
      <c r="HJ65" s="132"/>
      <c r="HK65" s="132"/>
      <c r="HL65" s="132"/>
      <c r="HM65" s="132"/>
      <c r="HN65" s="132"/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/>
      <c r="IB65" s="132"/>
      <c r="IC65" s="132"/>
      <c r="ID65" s="132"/>
      <c r="IE65" s="132"/>
      <c r="IF65" s="132"/>
      <c r="IG65" s="132"/>
      <c r="IH65" s="132"/>
      <c r="II65" s="132"/>
      <c r="IJ65" s="132"/>
      <c r="IK65" s="132"/>
      <c r="IL65" s="132"/>
      <c r="IM65" s="132"/>
      <c r="IN65" s="132"/>
      <c r="IO65" s="132"/>
      <c r="IP65" s="132"/>
      <c r="IQ65" s="132"/>
      <c r="IR65" s="132"/>
      <c r="IS65" s="132"/>
      <c r="IT65" s="132"/>
      <c r="IU65" s="132"/>
      <c r="IV65" s="132"/>
      <c r="IW65" s="132"/>
      <c r="IX65" s="132"/>
      <c r="IY65" s="132"/>
      <c r="IZ65" s="132"/>
      <c r="JA65" s="132"/>
      <c r="JB65" s="132"/>
      <c r="JC65" s="132"/>
      <c r="JD65" s="132"/>
      <c r="JE65" s="132"/>
      <c r="JF65" s="132"/>
      <c r="JG65" s="132"/>
      <c r="JH65" s="132"/>
      <c r="JI65" s="132"/>
      <c r="JJ65" s="132"/>
      <c r="JK65" s="132"/>
      <c r="JL65" s="132"/>
      <c r="JM65" s="132"/>
      <c r="JN65" s="132"/>
      <c r="JO65" s="132"/>
      <c r="JP65" s="132"/>
      <c r="JQ65" s="132"/>
      <c r="JR65" s="132"/>
      <c r="JS65" s="132"/>
      <c r="JT65" s="132"/>
      <c r="JU65" s="132"/>
      <c r="JV65" s="132"/>
      <c r="JW65" s="132"/>
      <c r="JX65" s="132"/>
      <c r="JY65" s="132"/>
      <c r="JZ65" s="132"/>
      <c r="KA65" s="132"/>
      <c r="KB65" s="132"/>
      <c r="KC65" s="132"/>
      <c r="KD65" s="132"/>
      <c r="KE65" s="132"/>
      <c r="KF65" s="132"/>
      <c r="KG65" s="132"/>
      <c r="KH65" s="132"/>
      <c r="KI65" s="132"/>
      <c r="KJ65" s="132"/>
      <c r="KK65" s="132"/>
      <c r="KL65" s="132"/>
      <c r="KM65" s="132"/>
      <c r="KN65" s="132"/>
      <c r="KO65" s="132"/>
      <c r="KP65" s="132"/>
      <c r="KQ65" s="132"/>
      <c r="KR65" s="132"/>
      <c r="KS65" s="132"/>
      <c r="KT65" s="132"/>
      <c r="KU65" s="132"/>
      <c r="KV65" s="132"/>
      <c r="KW65" s="132"/>
      <c r="KX65" s="132"/>
      <c r="KY65" s="132"/>
      <c r="KZ65" s="132"/>
      <c r="LA65" s="132"/>
      <c r="LB65" s="132"/>
      <c r="LC65" s="132"/>
      <c r="LD65" s="132"/>
      <c r="LE65" s="132"/>
      <c r="LF65" s="132"/>
      <c r="LG65" s="132"/>
      <c r="LH65" s="132"/>
      <c r="LI65" s="132"/>
      <c r="LJ65" s="132"/>
      <c r="LK65" s="132"/>
      <c r="LL65" s="132"/>
      <c r="LM65" s="132"/>
      <c r="LN65" s="132"/>
      <c r="LO65" s="132"/>
      <c r="LP65" s="132"/>
      <c r="LQ65" s="132"/>
      <c r="LR65" s="132"/>
      <c r="LS65" s="132"/>
      <c r="LT65" s="132"/>
      <c r="LU65" s="132"/>
      <c r="LV65" s="132"/>
      <c r="LW65" s="132"/>
      <c r="LX65" s="132"/>
      <c r="LY65" s="132"/>
      <c r="LZ65" s="132"/>
      <c r="MA65" s="132"/>
      <c r="MB65" s="132"/>
      <c r="MC65" s="132"/>
      <c r="MD65" s="132"/>
      <c r="ME65" s="132"/>
      <c r="MF65" s="132"/>
      <c r="MG65" s="132"/>
      <c r="MH65" s="132"/>
      <c r="MI65" s="132"/>
      <c r="MJ65" s="132"/>
      <c r="MK65" s="132"/>
      <c r="ML65" s="132"/>
      <c r="MM65" s="132"/>
      <c r="MN65" s="132"/>
      <c r="MO65" s="132"/>
      <c r="MP65" s="132"/>
      <c r="MQ65" s="132"/>
      <c r="MR65" s="132"/>
      <c r="MS65" s="132"/>
      <c r="MT65" s="132"/>
      <c r="MU65" s="132"/>
      <c r="MV65" s="132"/>
      <c r="MW65" s="132"/>
      <c r="MX65" s="132"/>
      <c r="MY65" s="132"/>
      <c r="MZ65" s="132"/>
      <c r="NA65" s="132"/>
      <c r="NB65" s="132"/>
      <c r="NC65" s="132"/>
      <c r="ND65" s="132"/>
      <c r="NE65" s="132"/>
      <c r="NF65" s="132"/>
      <c r="NG65" s="132"/>
      <c r="NH65" s="132"/>
      <c r="NI65" s="132"/>
      <c r="NJ65" s="132"/>
      <c r="NK65" s="132"/>
      <c r="NL65" s="132"/>
      <c r="NM65" s="132"/>
      <c r="NN65" s="132"/>
      <c r="NO65" s="132"/>
      <c r="NP65" s="132"/>
      <c r="NQ65" s="132"/>
      <c r="NR65" s="132"/>
      <c r="NS65" s="132"/>
      <c r="NT65" s="132"/>
      <c r="NU65" s="132"/>
      <c r="NV65" s="132"/>
      <c r="NW65" s="132"/>
      <c r="NX65" s="132"/>
      <c r="NY65" s="132"/>
      <c r="NZ65" s="132"/>
      <c r="OA65" s="132"/>
      <c r="OB65" s="132"/>
      <c r="OC65" s="132"/>
      <c r="OD65" s="132"/>
      <c r="OE65" s="132"/>
      <c r="OF65" s="132"/>
      <c r="OG65" s="132"/>
      <c r="OH65" s="132"/>
      <c r="OI65" s="132"/>
      <c r="OJ65" s="132"/>
      <c r="OK65" s="132"/>
      <c r="OL65" s="132"/>
      <c r="OM65" s="132"/>
      <c r="ON65" s="132"/>
      <c r="OO65" s="132"/>
      <c r="OP65" s="132"/>
      <c r="OQ65" s="132"/>
      <c r="OR65" s="132"/>
      <c r="OS65" s="132"/>
      <c r="OT65" s="132"/>
      <c r="OU65" s="132"/>
      <c r="OV65" s="132"/>
      <c r="OW65" s="132"/>
    </row>
    <row r="66" spans="1:413" ht="15.75">
      <c r="A66" s="3"/>
      <c r="B66" s="8" t="s">
        <v>701</v>
      </c>
      <c r="C66" s="9"/>
      <c r="D66" s="9"/>
      <c r="E66" s="9"/>
      <c r="F66" s="9"/>
      <c r="G66" s="9"/>
      <c r="H66" s="9"/>
      <c r="I66" s="9"/>
      <c r="J66" s="9">
        <f>'West Feliciana'!I20+'West Feliciana'!I21+'West Feliciana'!I22+'West Feliciana'!I23+'West Feliciana'!I24</f>
        <v>-876990</v>
      </c>
      <c r="K66" s="131">
        <f t="shared" si="8"/>
        <v>-876990</v>
      </c>
      <c r="L66" s="118" t="str">
        <f t="shared" si="7"/>
        <v>ok</v>
      </c>
      <c r="M66" s="9">
        <f>'West Feliciana'!I26</f>
        <v>-876990</v>
      </c>
    </row>
    <row r="67" spans="1:413" s="123" customFormat="1" ht="15.75">
      <c r="A67" s="122"/>
      <c r="B67" s="120" t="s">
        <v>702</v>
      </c>
      <c r="C67" s="121"/>
      <c r="D67" s="121"/>
      <c r="E67" s="121"/>
      <c r="F67" s="121"/>
      <c r="G67" s="121"/>
      <c r="H67" s="121"/>
      <c r="I67" s="121"/>
      <c r="J67" s="121"/>
      <c r="K67" s="121">
        <v>0</v>
      </c>
      <c r="L67" s="118" t="str">
        <f t="shared" si="7"/>
        <v>ok</v>
      </c>
      <c r="M67" s="121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</row>
    <row r="68" spans="1:413" ht="15.75">
      <c r="A68" s="3"/>
      <c r="B68" s="8"/>
      <c r="C68" s="9"/>
      <c r="D68" s="9"/>
      <c r="E68" s="9"/>
      <c r="F68" s="9"/>
      <c r="G68" s="9"/>
      <c r="H68" s="9"/>
      <c r="I68" s="9"/>
      <c r="J68" s="9"/>
      <c r="L68" s="461"/>
    </row>
    <row r="69" spans="1:413" ht="15.75">
      <c r="A69" s="75"/>
      <c r="B69" s="76" t="s">
        <v>703</v>
      </c>
      <c r="C69" s="77">
        <f t="shared" ref="C69:J69" si="9">SUM(C7:C67)</f>
        <v>-487700812</v>
      </c>
      <c r="D69" s="77">
        <f t="shared" si="9"/>
        <v>-78385609</v>
      </c>
      <c r="E69" s="77">
        <f t="shared" si="9"/>
        <v>-28541998</v>
      </c>
      <c r="F69" s="77">
        <f t="shared" si="9"/>
        <v>-15891823</v>
      </c>
      <c r="G69" s="77">
        <f t="shared" si="9"/>
        <v>0</v>
      </c>
      <c r="H69" s="77">
        <f t="shared" si="9"/>
        <v>0</v>
      </c>
      <c r="I69" s="77">
        <f t="shared" si="9"/>
        <v>-94504</v>
      </c>
      <c r="J69" s="77">
        <f t="shared" si="9"/>
        <v>-116225664</v>
      </c>
      <c r="K69" s="77">
        <f t="shared" si="1"/>
        <v>-726840410</v>
      </c>
      <c r="L69" s="156" t="str">
        <f>IF(K69=M69,"ok","check")</f>
        <v>ok</v>
      </c>
      <c r="M69" s="78">
        <f>SUM(M7:M67)</f>
        <v>-726840410</v>
      </c>
    </row>
    <row r="70" spans="1:413" ht="15.75">
      <c r="A70" s="3"/>
      <c r="B70" s="8"/>
      <c r="C70" s="9"/>
      <c r="D70" s="9"/>
      <c r="E70" s="9"/>
      <c r="F70" s="9"/>
      <c r="G70" s="9"/>
      <c r="H70" s="9"/>
      <c r="I70" s="9"/>
      <c r="J70" s="9"/>
      <c r="K70">
        <f t="shared" si="1"/>
        <v>0</v>
      </c>
      <c r="L70" s="155"/>
    </row>
    <row r="71" spans="1:413">
      <c r="L71" s="155"/>
    </row>
    <row r="72" spans="1:413">
      <c r="L72" s="155"/>
    </row>
    <row r="73" spans="1:413">
      <c r="L73" s="155"/>
    </row>
    <row r="74" spans="1:413">
      <c r="L74" s="155"/>
    </row>
    <row r="75" spans="1:413">
      <c r="L75" s="155"/>
    </row>
    <row r="76" spans="1:413">
      <c r="L76" s="155"/>
    </row>
    <row r="77" spans="1:413">
      <c r="L77" s="155"/>
    </row>
    <row r="78" spans="1:413">
      <c r="L78" s="155"/>
    </row>
    <row r="79" spans="1:413">
      <c r="L79" s="155"/>
    </row>
    <row r="80" spans="1:413">
      <c r="L80" s="155"/>
    </row>
    <row r="81" spans="12:12">
      <c r="L81" s="155"/>
    </row>
    <row r="82" spans="12:12">
      <c r="L82" s="155"/>
    </row>
    <row r="83" spans="12:12">
      <c r="L83" s="155"/>
    </row>
    <row r="84" spans="12:12">
      <c r="L84" s="155"/>
    </row>
    <row r="85" spans="12:12">
      <c r="L85" s="155"/>
    </row>
    <row r="86" spans="12:12">
      <c r="L86" s="155"/>
    </row>
    <row r="87" spans="12:12">
      <c r="L87" s="155"/>
    </row>
    <row r="88" spans="12:12">
      <c r="L88" s="155"/>
    </row>
    <row r="89" spans="12:12">
      <c r="L89" s="155"/>
    </row>
    <row r="90" spans="12:12">
      <c r="L90" s="155"/>
    </row>
    <row r="91" spans="12:12">
      <c r="L91" s="155"/>
    </row>
    <row r="92" spans="12:12">
      <c r="L92" s="155"/>
    </row>
    <row r="93" spans="12:12">
      <c r="L93" s="155"/>
    </row>
    <row r="94" spans="12:12">
      <c r="L94" s="155"/>
    </row>
    <row r="95" spans="12:12">
      <c r="L95" s="155"/>
    </row>
    <row r="96" spans="12:12">
      <c r="L96" s="155"/>
    </row>
    <row r="97" spans="12:12">
      <c r="L97" s="155"/>
    </row>
    <row r="98" spans="12:12">
      <c r="L98" s="155"/>
    </row>
    <row r="99" spans="12:12">
      <c r="L99" s="155"/>
    </row>
    <row r="100" spans="12:12">
      <c r="L100" s="155"/>
    </row>
    <row r="101" spans="12:12">
      <c r="L101" s="155"/>
    </row>
    <row r="102" spans="12:12">
      <c r="L102" s="155"/>
    </row>
    <row r="103" spans="12:12">
      <c r="L103" s="155"/>
    </row>
    <row r="104" spans="12:12">
      <c r="L104" s="155"/>
    </row>
    <row r="105" spans="12:12">
      <c r="L105" s="155"/>
    </row>
    <row r="106" spans="12:12">
      <c r="L106" s="155"/>
    </row>
    <row r="107" spans="12:12">
      <c r="L107" s="155"/>
    </row>
    <row r="108" spans="12:12">
      <c r="L108" s="155"/>
    </row>
    <row r="109" spans="12:12">
      <c r="L109" s="155"/>
    </row>
    <row r="110" spans="12:12">
      <c r="L110" s="155"/>
    </row>
    <row r="111" spans="12:12">
      <c r="L111" s="155"/>
    </row>
    <row r="112" spans="12:12">
      <c r="L112" s="155"/>
    </row>
    <row r="113" spans="12:12">
      <c r="L113" s="155"/>
    </row>
    <row r="114" spans="12:12">
      <c r="L114" s="155"/>
    </row>
    <row r="115" spans="12:12">
      <c r="L115" s="155"/>
    </row>
  </sheetData>
  <mergeCells count="2">
    <mergeCell ref="A4:B4"/>
    <mergeCell ref="A5:B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53"/>
  <sheetViews>
    <sheetView zoomScale="75" zoomScaleNormal="75" zoomScalePageLayoutView="75" workbookViewId="0">
      <selection sqref="A1:XFD1048576"/>
    </sheetView>
  </sheetViews>
  <sheetFormatPr defaultColWidth="8.85546875" defaultRowHeight="1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9.42578125" customWidth="1"/>
    <col min="9" max="9" width="23.7109375" customWidth="1"/>
    <col min="10" max="10" width="18.85546875" bestFit="1" customWidth="1"/>
    <col min="11" max="12" width="19.28515625" customWidth="1"/>
    <col min="13" max="13" width="21.42578125" customWidth="1"/>
    <col min="14" max="14" width="19.28515625" customWidth="1"/>
    <col min="15" max="15" width="23.7109375" customWidth="1"/>
  </cols>
  <sheetData>
    <row r="1" spans="1:15" ht="30" customHeight="1">
      <c r="J1" s="520" t="s">
        <v>710</v>
      </c>
      <c r="K1" s="520"/>
      <c r="L1" s="520"/>
      <c r="M1" s="520"/>
      <c r="N1" s="520"/>
      <c r="O1" s="1"/>
    </row>
    <row r="2" spans="1:15" ht="21.75" customHeight="1">
      <c r="J2" s="521" t="s">
        <v>711</v>
      </c>
      <c r="K2" s="521"/>
      <c r="L2" s="521"/>
      <c r="M2" s="521"/>
      <c r="N2" s="521"/>
      <c r="O2" s="2"/>
    </row>
    <row r="3" spans="1:15" ht="20.25" customHeight="1">
      <c r="E3" s="3"/>
      <c r="F3" s="3"/>
      <c r="G3" s="3"/>
      <c r="H3" s="3"/>
      <c r="I3" s="3"/>
      <c r="J3" s="3"/>
      <c r="K3" s="3"/>
      <c r="L3" s="3"/>
    </row>
    <row r="4" spans="1:15" ht="34.5" customHeight="1">
      <c r="E4" s="2"/>
      <c r="M4" s="522" t="s">
        <v>712</v>
      </c>
      <c r="N4" s="522"/>
      <c r="O4" s="522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522" t="s">
        <v>4</v>
      </c>
      <c r="K5" s="522"/>
      <c r="L5" s="522"/>
      <c r="M5" s="531" t="s">
        <v>5</v>
      </c>
      <c r="N5" s="531"/>
      <c r="O5" s="531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58</v>
      </c>
      <c r="N6" s="7" t="s">
        <v>147</v>
      </c>
      <c r="O6" s="7" t="s">
        <v>59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C9" t="s">
        <v>15</v>
      </c>
      <c r="I9" s="11">
        <v>-16401980.800000001</v>
      </c>
      <c r="J9" s="12">
        <v>4333438.12</v>
      </c>
      <c r="K9" s="12">
        <v>2704791.69</v>
      </c>
      <c r="L9" s="12"/>
      <c r="M9" s="12">
        <f t="shared" ref="M9:M17" si="0">SUM(I9:L9)</f>
        <v>-9363750.9900000002</v>
      </c>
      <c r="N9" s="12"/>
      <c r="O9" s="12">
        <f>SUM(M9:N9)</f>
        <v>-9363750.9900000002</v>
      </c>
    </row>
    <row r="10" spans="1:15">
      <c r="C10" t="s">
        <v>16</v>
      </c>
      <c r="I10" s="13">
        <v>-16556688.33</v>
      </c>
      <c r="J10" s="12">
        <v>1328868.26</v>
      </c>
      <c r="K10" s="12">
        <v>3765237.84</v>
      </c>
      <c r="L10" s="12"/>
      <c r="M10" s="12">
        <f t="shared" si="0"/>
        <v>-11462582.23</v>
      </c>
      <c r="N10" s="12"/>
      <c r="O10" s="12">
        <f t="shared" ref="O10:O17" si="1">SUM(M10:N10)</f>
        <v>-11462582.23</v>
      </c>
    </row>
    <row r="11" spans="1:15">
      <c r="C11" t="s">
        <v>713</v>
      </c>
      <c r="I11" s="14">
        <v>-12309705.390000001</v>
      </c>
      <c r="J11" s="12">
        <v>133348.79999999999</v>
      </c>
      <c r="K11" s="12">
        <v>3792599.24</v>
      </c>
      <c r="L11" s="12">
        <v>55534.45</v>
      </c>
      <c r="M11" s="12">
        <f t="shared" si="0"/>
        <v>-8328222.8999999994</v>
      </c>
      <c r="N11" s="12"/>
      <c r="O11" s="12">
        <f t="shared" si="1"/>
        <v>-8328222.8999999994</v>
      </c>
    </row>
    <row r="12" spans="1:15">
      <c r="C12" t="s">
        <v>92</v>
      </c>
      <c r="I12" s="14">
        <v>-22409528.390000001</v>
      </c>
      <c r="J12" s="12"/>
      <c r="K12" s="12">
        <v>22196827.16</v>
      </c>
      <c r="L12" s="12"/>
      <c r="M12" s="12">
        <f t="shared" si="0"/>
        <v>-212701.23000000045</v>
      </c>
      <c r="N12" s="12"/>
      <c r="O12" s="12">
        <f t="shared" si="1"/>
        <v>-212701.23000000045</v>
      </c>
    </row>
    <row r="13" spans="1:15">
      <c r="C13" t="s">
        <v>714</v>
      </c>
      <c r="I13" s="15">
        <v>-384287.66</v>
      </c>
      <c r="J13" s="12">
        <v>93696</v>
      </c>
      <c r="K13" s="12">
        <v>7591.44</v>
      </c>
      <c r="L13" s="12"/>
      <c r="M13" s="12">
        <f t="shared" si="0"/>
        <v>-283000.21999999997</v>
      </c>
      <c r="N13" s="12"/>
      <c r="O13" s="12">
        <f t="shared" si="1"/>
        <v>-283000.21999999997</v>
      </c>
    </row>
    <row r="14" spans="1:15">
      <c r="C14" t="s">
        <v>715</v>
      </c>
      <c r="I14" s="15">
        <v>-115639.57</v>
      </c>
      <c r="J14" s="12"/>
      <c r="K14" s="12"/>
      <c r="L14" s="12"/>
      <c r="M14" s="12">
        <f t="shared" si="0"/>
        <v>-115639.57</v>
      </c>
      <c r="N14" s="12"/>
      <c r="O14" s="12">
        <f t="shared" si="1"/>
        <v>-115639.57</v>
      </c>
    </row>
    <row r="15" spans="1:15">
      <c r="C15" t="s">
        <v>20</v>
      </c>
      <c r="I15" s="16">
        <v>-635743.19999999995</v>
      </c>
      <c r="J15" s="12"/>
      <c r="K15" s="12"/>
      <c r="L15" s="12"/>
      <c r="M15" s="12">
        <f t="shared" si="0"/>
        <v>-635743.19999999995</v>
      </c>
      <c r="N15" s="12"/>
      <c r="O15" s="12">
        <f t="shared" si="1"/>
        <v>-635743.19999999995</v>
      </c>
    </row>
    <row r="16" spans="1:15">
      <c r="C16" t="s">
        <v>537</v>
      </c>
      <c r="I16" s="14">
        <v>-73000</v>
      </c>
      <c r="J16" s="12"/>
      <c r="K16" s="12"/>
      <c r="L16" s="12"/>
      <c r="M16" s="12">
        <f t="shared" si="0"/>
        <v>-73000</v>
      </c>
      <c r="N16" s="12"/>
      <c r="O16" s="12">
        <f t="shared" si="1"/>
        <v>-73000</v>
      </c>
    </row>
    <row r="17" spans="1:15">
      <c r="C17" t="s">
        <v>21</v>
      </c>
      <c r="I17" s="17">
        <v>-622092.61</v>
      </c>
      <c r="J17" s="18"/>
      <c r="K17" s="18"/>
      <c r="L17" s="18"/>
      <c r="M17" s="18">
        <f t="shared" si="0"/>
        <v>-622092.61</v>
      </c>
      <c r="N17" s="18"/>
      <c r="O17" s="18">
        <f t="shared" si="1"/>
        <v>-622092.61</v>
      </c>
    </row>
    <row r="18" spans="1:15">
      <c r="I18" s="12"/>
      <c r="J18" s="12"/>
      <c r="K18" s="12"/>
      <c r="L18" s="12"/>
      <c r="M18" s="12"/>
      <c r="N18" s="12"/>
      <c r="O18" s="12"/>
    </row>
    <row r="19" spans="1:15">
      <c r="E19" s="19" t="s">
        <v>22</v>
      </c>
      <c r="F19" s="19"/>
      <c r="G19" s="19"/>
      <c r="H19" s="19"/>
      <c r="I19" s="20">
        <f t="shared" ref="I19:O19" si="2">SUM(I9:I17)</f>
        <v>-69508665.949999988</v>
      </c>
      <c r="J19" s="20">
        <f t="shared" si="2"/>
        <v>5889351.1799999997</v>
      </c>
      <c r="K19" s="20">
        <f t="shared" si="2"/>
        <v>32467047.370000001</v>
      </c>
      <c r="L19" s="20">
        <f t="shared" si="2"/>
        <v>55534.45</v>
      </c>
      <c r="M19" s="20">
        <f t="shared" si="2"/>
        <v>-31096732.949999996</v>
      </c>
      <c r="N19" s="20">
        <f t="shared" si="2"/>
        <v>0</v>
      </c>
      <c r="O19" s="20">
        <f t="shared" si="2"/>
        <v>-31096732.949999996</v>
      </c>
    </row>
    <row r="20" spans="1:15">
      <c r="I20" s="12"/>
      <c r="J20" s="12"/>
      <c r="K20" s="12"/>
      <c r="L20" s="12"/>
      <c r="M20" s="12"/>
      <c r="N20" s="12"/>
      <c r="O20" s="12"/>
    </row>
    <row r="21" spans="1:15">
      <c r="B21" s="10" t="s">
        <v>716</v>
      </c>
      <c r="I21" s="12"/>
      <c r="J21" s="12"/>
      <c r="K21" s="12"/>
      <c r="L21" s="12"/>
      <c r="M21" s="12"/>
      <c r="N21" s="12"/>
      <c r="O21" s="12"/>
    </row>
    <row r="22" spans="1:15">
      <c r="C22" t="s">
        <v>717</v>
      </c>
      <c r="I22" s="79">
        <v>-1744754.24</v>
      </c>
      <c r="J22" s="18">
        <v>2172224.37</v>
      </c>
      <c r="K22" s="18"/>
      <c r="L22" s="18"/>
      <c r="M22" s="18"/>
      <c r="N22" s="18">
        <v>427470.13</v>
      </c>
      <c r="O22" s="18">
        <v>427470.13</v>
      </c>
    </row>
    <row r="23" spans="1:15">
      <c r="I23" s="12"/>
      <c r="J23" s="12"/>
      <c r="K23" s="12"/>
      <c r="L23" s="12"/>
      <c r="M23" s="12"/>
      <c r="N23" s="12"/>
      <c r="O23" s="12"/>
    </row>
    <row r="24" spans="1:15" s="10" customFormat="1">
      <c r="E24" s="21" t="s">
        <v>718</v>
      </c>
      <c r="F24" s="21"/>
      <c r="G24" s="21"/>
      <c r="H24" s="21"/>
      <c r="I24" s="22">
        <f t="shared" ref="I24:O24" si="3">SUM(I22:I22)</f>
        <v>-1744754.24</v>
      </c>
      <c r="J24" s="22">
        <f t="shared" si="3"/>
        <v>2172224.37</v>
      </c>
      <c r="K24" s="22">
        <f t="shared" si="3"/>
        <v>0</v>
      </c>
      <c r="L24" s="22">
        <f t="shared" si="3"/>
        <v>0</v>
      </c>
      <c r="M24" s="22">
        <f t="shared" si="3"/>
        <v>0</v>
      </c>
      <c r="N24" s="22">
        <f t="shared" si="3"/>
        <v>427470.13</v>
      </c>
      <c r="O24" s="22">
        <f t="shared" si="3"/>
        <v>427470.13</v>
      </c>
    </row>
    <row r="25" spans="1:15">
      <c r="I25" s="12"/>
      <c r="J25" s="12"/>
      <c r="K25" s="12"/>
      <c r="L25" s="12"/>
      <c r="M25" s="12"/>
      <c r="N25" s="12"/>
      <c r="O25" s="12"/>
    </row>
    <row r="26" spans="1:15">
      <c r="C26" s="23" t="s">
        <v>11</v>
      </c>
      <c r="D26" s="23"/>
      <c r="E26" s="24"/>
      <c r="F26" s="23"/>
      <c r="G26" s="23"/>
      <c r="H26" s="23"/>
      <c r="I26" s="25">
        <f t="shared" ref="I26:O26" si="4">SUM(I19+I24)</f>
        <v>-71253420.189999983</v>
      </c>
      <c r="J26" s="25">
        <f t="shared" si="4"/>
        <v>8061575.5499999998</v>
      </c>
      <c r="K26" s="25">
        <f t="shared" si="4"/>
        <v>32467047.370000001</v>
      </c>
      <c r="L26" s="25">
        <f t="shared" si="4"/>
        <v>55534.45</v>
      </c>
      <c r="M26" s="25">
        <f t="shared" si="4"/>
        <v>-31096732.949999996</v>
      </c>
      <c r="N26" s="25">
        <f t="shared" si="4"/>
        <v>427470.13</v>
      </c>
      <c r="O26" s="25">
        <f t="shared" si="4"/>
        <v>-30669262.819999997</v>
      </c>
    </row>
    <row r="27" spans="1:15">
      <c r="I27" s="12"/>
      <c r="J27" s="12"/>
      <c r="K27" s="12"/>
      <c r="L27" s="12"/>
      <c r="M27" s="12"/>
      <c r="N27" s="12"/>
      <c r="O27" s="12"/>
    </row>
    <row r="28" spans="1:15">
      <c r="A28" s="8"/>
      <c r="B28" s="8"/>
      <c r="C28" s="8"/>
      <c r="D28" s="8"/>
      <c r="E28" s="8"/>
      <c r="G28" s="8" t="s">
        <v>25</v>
      </c>
      <c r="H28" s="8"/>
      <c r="I28" s="26"/>
      <c r="J28" s="26"/>
      <c r="K28" s="26"/>
      <c r="L28" s="26"/>
      <c r="M28" s="12"/>
      <c r="N28" s="12"/>
      <c r="O28" s="12"/>
    </row>
    <row r="29" spans="1:15">
      <c r="A29" s="8"/>
      <c r="B29" s="8"/>
      <c r="C29" s="8"/>
      <c r="D29" s="8"/>
      <c r="E29" s="8"/>
      <c r="G29" s="8"/>
      <c r="H29" s="27" t="s">
        <v>26</v>
      </c>
      <c r="I29" s="26"/>
      <c r="J29" s="26"/>
      <c r="K29" s="26"/>
      <c r="L29" s="26"/>
      <c r="M29" s="12"/>
      <c r="N29" s="12"/>
      <c r="O29" s="12"/>
    </row>
    <row r="30" spans="1:15">
      <c r="I30" s="12" t="s">
        <v>719</v>
      </c>
      <c r="J30" s="12"/>
      <c r="K30" s="12"/>
      <c r="L30" s="12"/>
      <c r="M30" s="28">
        <v>6433134.9400000004</v>
      </c>
      <c r="N30" s="12"/>
      <c r="O30" s="12">
        <f>SUM(M30:N30)</f>
        <v>6433134.9400000004</v>
      </c>
    </row>
    <row r="31" spans="1:15">
      <c r="I31" s="12" t="s">
        <v>720</v>
      </c>
      <c r="J31" s="12"/>
      <c r="K31" s="12"/>
      <c r="L31" s="12"/>
      <c r="M31" s="28">
        <v>4562102.6500000004</v>
      </c>
      <c r="N31" s="12"/>
      <c r="O31" s="12">
        <f t="shared" ref="O31:O36" si="5">SUM(M31:N31)</f>
        <v>4562102.6500000004</v>
      </c>
    </row>
    <row r="32" spans="1:15">
      <c r="I32" s="12" t="s">
        <v>721</v>
      </c>
      <c r="J32" s="12"/>
      <c r="K32" s="12"/>
      <c r="L32" s="12"/>
      <c r="M32" s="14">
        <v>4286349.53</v>
      </c>
      <c r="N32" s="12"/>
      <c r="O32" s="12">
        <f t="shared" si="5"/>
        <v>4286349.53</v>
      </c>
    </row>
    <row r="33" spans="5:15">
      <c r="I33" s="12" t="s">
        <v>722</v>
      </c>
      <c r="J33" s="12"/>
      <c r="K33" s="12"/>
      <c r="L33" s="12"/>
      <c r="M33" s="14">
        <v>1673649.69</v>
      </c>
      <c r="N33" s="12"/>
      <c r="O33" s="12">
        <f t="shared" si="5"/>
        <v>1673649.69</v>
      </c>
    </row>
    <row r="34" spans="5:15">
      <c r="H34" t="s">
        <v>723</v>
      </c>
      <c r="I34" s="12"/>
      <c r="J34" s="12"/>
      <c r="K34" s="12"/>
      <c r="L34" s="12"/>
      <c r="M34" s="11">
        <v>850414.01</v>
      </c>
      <c r="N34" s="12"/>
      <c r="O34" s="12">
        <f t="shared" si="5"/>
        <v>850414.01</v>
      </c>
    </row>
    <row r="35" spans="5:15">
      <c r="H35" t="s">
        <v>724</v>
      </c>
      <c r="I35" s="12"/>
      <c r="J35" s="12"/>
      <c r="K35" s="12"/>
      <c r="L35" s="12"/>
      <c r="M35" s="29">
        <v>274846.25</v>
      </c>
      <c r="N35" s="12">
        <v>6565.7</v>
      </c>
      <c r="O35" s="12">
        <f t="shared" si="5"/>
        <v>281411.95</v>
      </c>
    </row>
    <row r="36" spans="5:15">
      <c r="H36" t="s">
        <v>36</v>
      </c>
      <c r="I36" s="12"/>
      <c r="J36" s="12"/>
      <c r="K36" s="12"/>
      <c r="L36" s="12"/>
      <c r="M36" s="29">
        <v>3718934.86</v>
      </c>
      <c r="N36" s="12">
        <v>64169.68</v>
      </c>
      <c r="O36" s="12">
        <f t="shared" si="5"/>
        <v>3783104.54</v>
      </c>
    </row>
    <row r="37" spans="5:15">
      <c r="H37" t="s">
        <v>37</v>
      </c>
      <c r="I37" s="12"/>
      <c r="J37" s="12"/>
      <c r="K37" s="12"/>
      <c r="L37" s="12"/>
      <c r="M37" s="30">
        <v>432773</v>
      </c>
      <c r="N37" s="18">
        <v>-432773</v>
      </c>
      <c r="O37" s="18">
        <f>SUM(M37,N37)</f>
        <v>0</v>
      </c>
    </row>
    <row r="38" spans="5:15">
      <c r="H38" t="s">
        <v>725</v>
      </c>
      <c r="I38" s="12"/>
      <c r="J38" s="12"/>
      <c r="K38" s="12"/>
      <c r="L38" s="12"/>
      <c r="M38" s="29">
        <v>-73267927.200000003</v>
      </c>
      <c r="N38" s="12"/>
      <c r="O38" s="12">
        <f>SUM(M38,N38)</f>
        <v>-73267927.200000003</v>
      </c>
    </row>
    <row r="39" spans="5:15">
      <c r="I39" s="12"/>
      <c r="J39" s="12"/>
      <c r="K39" s="12"/>
      <c r="L39" s="12"/>
      <c r="M39" s="12"/>
      <c r="N39" s="12"/>
      <c r="O39" s="12"/>
    </row>
    <row r="40" spans="5:15">
      <c r="H40" s="19" t="s">
        <v>243</v>
      </c>
      <c r="I40" s="20"/>
      <c r="J40" s="20"/>
      <c r="K40" s="20"/>
      <c r="L40" s="20"/>
      <c r="M40" s="20">
        <f>SUM(M30:M38)</f>
        <v>-51035722.269999996</v>
      </c>
      <c r="N40" s="20">
        <f>SUM(N30:N38)</f>
        <v>-362037.62</v>
      </c>
      <c r="O40" s="20">
        <f>SUM(O30:O38)</f>
        <v>-51397759.890000001</v>
      </c>
    </row>
    <row r="41" spans="5:15">
      <c r="I41" s="12"/>
      <c r="J41" s="12"/>
      <c r="K41" s="12"/>
      <c r="L41" s="12"/>
      <c r="M41" s="12"/>
      <c r="N41" s="12"/>
      <c r="O41" s="12"/>
    </row>
    <row r="42" spans="5:15">
      <c r="H42" s="19" t="s">
        <v>39</v>
      </c>
      <c r="I42" s="20"/>
      <c r="J42" s="20"/>
      <c r="K42" s="20"/>
      <c r="L42" s="20"/>
      <c r="M42" s="20">
        <f>SUM(M40,M26)</f>
        <v>-82132455.219999999</v>
      </c>
      <c r="N42" s="20">
        <f>SUM(N40,N26)</f>
        <v>65432.510000000009</v>
      </c>
      <c r="O42" s="20">
        <f>SUM(M42:N42)</f>
        <v>-82067022.709999993</v>
      </c>
    </row>
    <row r="43" spans="5:15">
      <c r="H43" s="8"/>
      <c r="I43" s="26"/>
      <c r="J43" s="26"/>
      <c r="K43" s="26"/>
      <c r="L43" s="26"/>
      <c r="M43" s="26"/>
      <c r="N43" s="26"/>
      <c r="O43" s="26"/>
    </row>
    <row r="44" spans="5:15">
      <c r="E44" s="31" t="s">
        <v>54</v>
      </c>
      <c r="F44" s="31"/>
      <c r="G44" s="31"/>
      <c r="H44" s="31"/>
      <c r="I44" s="32"/>
      <c r="J44" s="32"/>
      <c r="K44" s="32"/>
      <c r="L44" s="32"/>
      <c r="M44" s="33">
        <v>151809390.44</v>
      </c>
      <c r="N44" s="33">
        <v>2795005.38</v>
      </c>
      <c r="O44" s="33">
        <f>SUM(M44:N44)</f>
        <v>154604395.81999999</v>
      </c>
    </row>
    <row r="45" spans="5:15">
      <c r="I45" s="12"/>
      <c r="J45" s="12"/>
      <c r="K45" s="12"/>
      <c r="L45" s="12"/>
      <c r="M45" s="12"/>
      <c r="N45" s="12"/>
      <c r="O45" s="12"/>
    </row>
    <row r="46" spans="5:15">
      <c r="E46" s="34" t="s">
        <v>55</v>
      </c>
      <c r="F46" s="34"/>
      <c r="G46" s="34"/>
      <c r="H46" s="34"/>
      <c r="I46" s="35"/>
      <c r="J46" s="35"/>
      <c r="K46" s="35"/>
      <c r="L46" s="35"/>
      <c r="M46" s="35">
        <f>SUM(M42,M44)</f>
        <v>69676935.219999999</v>
      </c>
      <c r="N46" s="35">
        <f t="shared" ref="N46:O46" si="6">SUM(N42,N44)</f>
        <v>2860437.8899999997</v>
      </c>
      <c r="O46" s="35">
        <f t="shared" si="6"/>
        <v>72537373.109999999</v>
      </c>
    </row>
    <row r="53" spans="11:13">
      <c r="K53" s="9"/>
      <c r="L53" s="9"/>
      <c r="M53" s="9"/>
    </row>
  </sheetData>
  <mergeCells count="5">
    <mergeCell ref="J1:N1"/>
    <mergeCell ref="J2:N2"/>
    <mergeCell ref="M4:O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3B842F-EAC3-4973-836F-D9B8D222CDE0}"/>
</file>

<file path=customXml/itemProps2.xml><?xml version="1.0" encoding="utf-8"?>
<ds:datastoreItem xmlns:ds="http://schemas.openxmlformats.org/officeDocument/2006/customXml" ds:itemID="{22E774AF-B723-43C9-A518-783EB9C6CC36}"/>
</file>

<file path=customXml/itemProps3.xml><?xml version="1.0" encoding="utf-8"?>
<ds:datastoreItem xmlns:ds="http://schemas.openxmlformats.org/officeDocument/2006/customXml" ds:itemID="{C31B981C-0BB0-4CFC-B6F5-456F9948C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2011-10-31T16:50:21Z</dcterms:created>
  <dcterms:modified xsi:type="dcterms:W3CDTF">2025-05-19T00:27:53Z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