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12"/>
  <workbookPr autoCompressPictures="0" defaultThemeVersion="124226"/>
  <mc:AlternateContent xmlns:mc="http://schemas.openxmlformats.org/markup-compatibility/2006">
    <mc:Choice Requires="x15">
      <x15ac:absPath xmlns:x15ac="http://schemas.microsoft.com/office/spreadsheetml/2010/11/ac" url="C:\Users\ehingl4\Documents\AG CENTER WORK\"/>
    </mc:Choice>
  </mc:AlternateContent>
  <xr:revisionPtr revIDLastSave="2" documentId="11_CDD4D9AE943E60E57AF913ED93AD369570377E86" xr6:coauthVersionLast="47" xr6:coauthVersionMax="47" xr10:uidLastSave="{B5D7E145-4B0A-419B-B5EF-62877C520B59}"/>
  <bookViews>
    <workbookView xWindow="0" yWindow="0" windowWidth="28800" windowHeight="13020" tabRatio="884" firstSheet="34" activeTab="64" xr2:uid="{00000000-000D-0000-FFFF-FFFF00000000}"/>
  </bookViews>
  <sheets>
    <sheet name="Acadia" sheetId="115" r:id="rId1"/>
    <sheet name="Allen" sheetId="111" r:id="rId2"/>
    <sheet name="Ascension" sheetId="137" r:id="rId3"/>
    <sheet name="Assumption" sheetId="117" r:id="rId4"/>
    <sheet name="Avoyelles" sheetId="171" r:id="rId5"/>
    <sheet name="Beauregard" sheetId="172" r:id="rId6"/>
    <sheet name="Bienville" sheetId="118" r:id="rId7"/>
    <sheet name="Bossier" sheetId="119" r:id="rId8"/>
    <sheet name="Caddo" sheetId="173" r:id="rId9"/>
    <sheet name="Calcasieu" sheetId="120" r:id="rId10"/>
    <sheet name="Caldwell" sheetId="121" r:id="rId11"/>
    <sheet name="Cameron" sheetId="122" r:id="rId12"/>
    <sheet name="Catahoula" sheetId="123" r:id="rId13"/>
    <sheet name="Claiborne" sheetId="124" r:id="rId14"/>
    <sheet name="Concordia" sheetId="126" r:id="rId15"/>
    <sheet name="DeSoto" sheetId="129" r:id="rId16"/>
    <sheet name="East Baton Rouge" sheetId="136" r:id="rId17"/>
    <sheet name="East Carroll" sheetId="130" r:id="rId18"/>
    <sheet name="East Feliciana" sheetId="131" r:id="rId19"/>
    <sheet name="Evangeline" sheetId="132" r:id="rId20"/>
    <sheet name="Franklin" sheetId="133" r:id="rId21"/>
    <sheet name="Grant" sheetId="134" r:id="rId22"/>
    <sheet name="Iberia" sheetId="138" r:id="rId23"/>
    <sheet name="Iberville" sheetId="139" r:id="rId24"/>
    <sheet name="Jackson" sheetId="135" r:id="rId25"/>
    <sheet name="Jefferson Davis" sheetId="140" r:id="rId26"/>
    <sheet name="Jefferson" sheetId="141" r:id="rId27"/>
    <sheet name="Lafayette" sheetId="142" r:id="rId28"/>
    <sheet name="Lafourche" sheetId="143" state="hidden" r:id="rId29"/>
    <sheet name="Laforche" sheetId="170" r:id="rId30"/>
    <sheet name="LaSalle" sheetId="144" r:id="rId31"/>
    <sheet name="Livingston" sheetId="145" r:id="rId32"/>
    <sheet name="Madison" sheetId="146" r:id="rId33"/>
    <sheet name="Morehouse" sheetId="147" r:id="rId34"/>
    <sheet name="Natchitoches" sheetId="148" r:id="rId35"/>
    <sheet name="Orleans" sheetId="149" r:id="rId36"/>
    <sheet name="Ouachita" sheetId="150" r:id="rId37"/>
    <sheet name="Plaquemines" sheetId="151" r:id="rId38"/>
    <sheet name="Pointe Coupee" sheetId="174" r:id="rId39"/>
    <sheet name="Rapides" sheetId="152" r:id="rId40"/>
    <sheet name="Red River" sheetId="153" r:id="rId41"/>
    <sheet name="Richland" sheetId="154" r:id="rId42"/>
    <sheet name="Sabine" sheetId="155" r:id="rId43"/>
    <sheet name="St. Bernard" sheetId="156" r:id="rId44"/>
    <sheet name="St. Charles" sheetId="157" r:id="rId45"/>
    <sheet name="St. Helena" sheetId="175" r:id="rId46"/>
    <sheet name="St. James" sheetId="158" r:id="rId47"/>
    <sheet name="St. John the Baptist" sheetId="159" r:id="rId48"/>
    <sheet name="St. Landry" sheetId="160" r:id="rId49"/>
    <sheet name="St. Martin" sheetId="161" r:id="rId50"/>
    <sheet name="St Mary" sheetId="178" r:id="rId51"/>
    <sheet name="St. Tammany" sheetId="162" r:id="rId52"/>
    <sheet name="Tangipahoa" sheetId="163" r:id="rId53"/>
    <sheet name="Tensas" sheetId="164" r:id="rId54"/>
    <sheet name="Terrebonne" sheetId="165" r:id="rId55"/>
    <sheet name="Union" sheetId="176" r:id="rId56"/>
    <sheet name="Vermillion" sheetId="166" r:id="rId57"/>
    <sheet name="Vernon" sheetId="167" r:id="rId58"/>
    <sheet name="Washington" sheetId="168" r:id="rId59"/>
    <sheet name="Webster" sheetId="169" r:id="rId60"/>
    <sheet name="West Baton Rouge" sheetId="128" r:id="rId61"/>
    <sheet name="West Carroll" sheetId="127" r:id="rId62"/>
    <sheet name="West Feliciana" sheetId="177" r:id="rId63"/>
    <sheet name="Winn" sheetId="125" r:id="rId64"/>
    <sheet name="Cross Sectional" sheetId="109" r:id="rId65"/>
  </sheet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L73" i="148" l="1"/>
  <c r="L74" i="148"/>
  <c r="L59" i="148"/>
  <c r="L60" i="148"/>
  <c r="L61" i="148"/>
  <c r="L62" i="148"/>
  <c r="L63" i="148"/>
  <c r="L41" i="148"/>
  <c r="L42" i="148"/>
  <c r="L43" i="148"/>
  <c r="L44" i="148"/>
  <c r="L45" i="148"/>
  <c r="L46" i="148"/>
  <c r="L21" i="148"/>
  <c r="L22" i="148"/>
  <c r="L23" i="148"/>
  <c r="L24" i="148"/>
  <c r="L25" i="148"/>
  <c r="L26" i="148"/>
  <c r="L27" i="148"/>
  <c r="L75" i="148"/>
  <c r="L8" i="177"/>
  <c r="M8" i="177"/>
  <c r="L9" i="177"/>
  <c r="M9" i="177"/>
  <c r="L13" i="177"/>
  <c r="L22" i="177"/>
  <c r="M22" i="177"/>
  <c r="L14" i="177"/>
  <c r="L23" i="177"/>
  <c r="M23" i="177"/>
  <c r="L15" i="177"/>
  <c r="L24" i="177"/>
  <c r="M24" i="177"/>
  <c r="L16" i="177"/>
  <c r="L25" i="177"/>
  <c r="M25" i="177"/>
  <c r="L17" i="177"/>
  <c r="L26" i="177"/>
  <c r="M26" i="177"/>
  <c r="L18" i="177"/>
  <c r="L27" i="177"/>
  <c r="M27" i="177"/>
  <c r="M32" i="177"/>
  <c r="L38" i="177"/>
  <c r="L44" i="177"/>
  <c r="M44" i="177"/>
  <c r="L39" i="177"/>
  <c r="L45" i="177"/>
  <c r="M45" i="177"/>
  <c r="L40" i="177"/>
  <c r="L46" i="177"/>
  <c r="M46" i="177"/>
  <c r="M51" i="177"/>
  <c r="AH66" i="109"/>
  <c r="AE66" i="109"/>
  <c r="AA66" i="109"/>
  <c r="X66" i="109"/>
  <c r="W66" i="109"/>
  <c r="O66" i="109"/>
  <c r="AF65" i="109"/>
  <c r="N66" i="109"/>
  <c r="K66" i="109"/>
  <c r="J66" i="109"/>
  <c r="I66" i="109"/>
  <c r="G66" i="109"/>
  <c r="E66" i="109"/>
  <c r="C66" i="109"/>
  <c r="B66" i="109"/>
  <c r="J41" i="177"/>
  <c r="J47" i="177"/>
  <c r="J49" i="177"/>
  <c r="J51" i="177"/>
  <c r="K41" i="177"/>
  <c r="K47" i="177"/>
  <c r="K49" i="177"/>
  <c r="K51" i="177"/>
  <c r="L41" i="177"/>
  <c r="L47" i="177"/>
  <c r="L49" i="177"/>
  <c r="L51" i="177"/>
  <c r="I41" i="177"/>
  <c r="I47" i="177"/>
  <c r="I49" i="177"/>
  <c r="I51" i="177"/>
  <c r="J28" i="177"/>
  <c r="K28" i="177"/>
  <c r="L28" i="177"/>
  <c r="I28" i="177"/>
  <c r="J19" i="177"/>
  <c r="K19" i="177"/>
  <c r="L19" i="177"/>
  <c r="I19" i="177"/>
  <c r="L10" i="177"/>
  <c r="L30" i="177"/>
  <c r="L32" i="177"/>
  <c r="K30" i="177"/>
  <c r="K32" i="177"/>
  <c r="J10" i="177"/>
  <c r="J30" i="177"/>
  <c r="J32" i="177"/>
  <c r="I10" i="177"/>
  <c r="I30" i="177"/>
  <c r="I32" i="177"/>
  <c r="N10" i="162"/>
  <c r="O10" i="162"/>
  <c r="N11" i="162"/>
  <c r="O11" i="162"/>
  <c r="B55" i="109"/>
  <c r="N12" i="162"/>
  <c r="O12" i="162"/>
  <c r="C55" i="109"/>
  <c r="N16" i="162"/>
  <c r="O16" i="162"/>
  <c r="N15" i="162"/>
  <c r="O15" i="162"/>
  <c r="N14" i="162"/>
  <c r="O14" i="162"/>
  <c r="D55" i="109"/>
  <c r="N21" i="162"/>
  <c r="N33" i="162"/>
  <c r="O33" i="162"/>
  <c r="N20" i="162"/>
  <c r="N32" i="162"/>
  <c r="O32" i="162"/>
  <c r="E55" i="109"/>
  <c r="N19" i="162"/>
  <c r="N31" i="162"/>
  <c r="O31" i="162"/>
  <c r="F55" i="109"/>
  <c r="N25" i="162"/>
  <c r="N37" i="162"/>
  <c r="O37" i="162"/>
  <c r="N24" i="162"/>
  <c r="N36" i="162"/>
  <c r="O36" i="162"/>
  <c r="G55" i="109"/>
  <c r="N27" i="162"/>
  <c r="N39" i="162"/>
  <c r="O39" i="162"/>
  <c r="N28" i="162"/>
  <c r="N40" i="162"/>
  <c r="O40" i="162"/>
  <c r="N55" i="109"/>
  <c r="N22" i="162"/>
  <c r="N34" i="162"/>
  <c r="O34" i="162"/>
  <c r="N23" i="162"/>
  <c r="N35" i="162"/>
  <c r="O35" i="162"/>
  <c r="N46" i="162"/>
  <c r="O46" i="162"/>
  <c r="N49" i="162"/>
  <c r="N57" i="162"/>
  <c r="O57" i="162"/>
  <c r="N50" i="162"/>
  <c r="N58" i="162"/>
  <c r="O58" i="162"/>
  <c r="N51" i="162"/>
  <c r="N59" i="162"/>
  <c r="O59" i="162"/>
  <c r="N52" i="162"/>
  <c r="N60" i="162"/>
  <c r="O60" i="162"/>
  <c r="N53" i="162"/>
  <c r="N61" i="162"/>
  <c r="O61" i="162"/>
  <c r="N54" i="162"/>
  <c r="N62" i="162"/>
  <c r="O62" i="162"/>
  <c r="O66" i="162"/>
  <c r="O55" i="109"/>
  <c r="N31" i="178"/>
  <c r="O31" i="178"/>
  <c r="N32" i="178"/>
  <c r="O32" i="178"/>
  <c r="N33" i="178"/>
  <c r="O33" i="178"/>
  <c r="N43" i="178"/>
  <c r="N37" i="178"/>
  <c r="O43" i="178"/>
  <c r="N44" i="178"/>
  <c r="N38" i="178"/>
  <c r="O44" i="178"/>
  <c r="N45" i="178"/>
  <c r="N39" i="178"/>
  <c r="O45" i="178"/>
  <c r="O48" i="178"/>
  <c r="N9" i="178"/>
  <c r="O9" i="178"/>
  <c r="N10" i="178"/>
  <c r="O10" i="178"/>
  <c r="N14" i="178"/>
  <c r="N21" i="178"/>
  <c r="O21" i="178"/>
  <c r="N15" i="178"/>
  <c r="N22" i="178"/>
  <c r="O22" i="178"/>
  <c r="N16" i="178"/>
  <c r="N23" i="178"/>
  <c r="O23" i="178"/>
  <c r="N17" i="178"/>
  <c r="N24" i="178"/>
  <c r="O24" i="178"/>
  <c r="O27" i="178"/>
  <c r="AH54" i="109"/>
  <c r="AE54" i="109"/>
  <c r="W54" i="109"/>
  <c r="V54" i="109"/>
  <c r="U54" i="109"/>
  <c r="S54" i="109"/>
  <c r="R54" i="109"/>
  <c r="O54" i="109"/>
  <c r="N54" i="109"/>
  <c r="F54" i="109"/>
  <c r="G54" i="109"/>
  <c r="E54" i="109"/>
  <c r="C54" i="109"/>
  <c r="B54" i="109"/>
  <c r="K11" i="178"/>
  <c r="K18" i="178"/>
  <c r="K25" i="178"/>
  <c r="K26" i="178"/>
  <c r="K27" i="178"/>
  <c r="L11" i="178"/>
  <c r="L18" i="178"/>
  <c r="L25" i="178"/>
  <c r="L26" i="178"/>
  <c r="L27" i="178"/>
  <c r="M11" i="178"/>
  <c r="M18" i="178"/>
  <c r="M25" i="178"/>
  <c r="M26" i="178"/>
  <c r="M27" i="178"/>
  <c r="N11" i="178"/>
  <c r="N25" i="178"/>
  <c r="N18" i="178"/>
  <c r="N26" i="178"/>
  <c r="N27" i="178"/>
  <c r="J11" i="178"/>
  <c r="J18" i="178"/>
  <c r="J25" i="178"/>
  <c r="J26" i="178"/>
  <c r="J27" i="178"/>
  <c r="N34" i="178"/>
  <c r="N40" i="178"/>
  <c r="N46" i="178"/>
  <c r="N47" i="178"/>
  <c r="N48" i="178"/>
  <c r="M34" i="178"/>
  <c r="M40" i="178"/>
  <c r="M47" i="178"/>
  <c r="M48" i="178"/>
  <c r="L34" i="178"/>
  <c r="L40" i="178"/>
  <c r="L46" i="178"/>
  <c r="L47" i="178"/>
  <c r="L48" i="178"/>
  <c r="K34" i="178"/>
  <c r="K40" i="178"/>
  <c r="K46" i="178"/>
  <c r="K47" i="178"/>
  <c r="K48" i="178"/>
  <c r="J34" i="178"/>
  <c r="J40" i="178"/>
  <c r="J46" i="178"/>
  <c r="J47" i="178"/>
  <c r="J48" i="178"/>
  <c r="L13" i="148"/>
  <c r="M22" i="148"/>
  <c r="L35" i="148"/>
  <c r="M43" i="148"/>
  <c r="L54" i="148"/>
  <c r="M61" i="148"/>
  <c r="G38" i="109"/>
  <c r="L8" i="176"/>
  <c r="M8" i="176"/>
  <c r="L9" i="176"/>
  <c r="M9" i="176"/>
  <c r="L13" i="176"/>
  <c r="L28" i="176"/>
  <c r="M28" i="176"/>
  <c r="L14" i="176"/>
  <c r="L29" i="176"/>
  <c r="M29" i="176"/>
  <c r="L15" i="176"/>
  <c r="L30" i="176"/>
  <c r="M30" i="176"/>
  <c r="L16" i="176"/>
  <c r="L31" i="176"/>
  <c r="M31" i="176"/>
  <c r="L17" i="176"/>
  <c r="L32" i="176"/>
  <c r="M32" i="176"/>
  <c r="L18" i="176"/>
  <c r="L33" i="176"/>
  <c r="M33" i="176"/>
  <c r="L19" i="176"/>
  <c r="L34" i="176"/>
  <c r="M34" i="176"/>
  <c r="L21" i="176"/>
  <c r="L36" i="176"/>
  <c r="M36" i="176"/>
  <c r="L22" i="176"/>
  <c r="L37" i="176"/>
  <c r="M37" i="176"/>
  <c r="L23" i="176"/>
  <c r="L38" i="176"/>
  <c r="M38" i="176"/>
  <c r="L24" i="176"/>
  <c r="L39" i="176"/>
  <c r="M39" i="176"/>
  <c r="M43" i="176"/>
  <c r="AH59" i="109"/>
  <c r="I59" i="109"/>
  <c r="K59" i="109"/>
  <c r="G59" i="109"/>
  <c r="F59" i="109"/>
  <c r="O59" i="109"/>
  <c r="E59" i="109"/>
  <c r="B59" i="109"/>
  <c r="K40" i="176"/>
  <c r="J40" i="176"/>
  <c r="I40" i="176"/>
  <c r="K25" i="176"/>
  <c r="J25" i="176"/>
  <c r="I25" i="176"/>
  <c r="K10" i="176"/>
  <c r="J10" i="176"/>
  <c r="I10" i="176"/>
  <c r="M8" i="175"/>
  <c r="N8" i="175"/>
  <c r="M9" i="175"/>
  <c r="N9" i="175"/>
  <c r="M13" i="175"/>
  <c r="M19" i="175"/>
  <c r="N19" i="175"/>
  <c r="M14" i="175"/>
  <c r="M20" i="175"/>
  <c r="N20" i="175"/>
  <c r="M15" i="175"/>
  <c r="M21" i="175"/>
  <c r="N21" i="175"/>
  <c r="N25" i="175"/>
  <c r="O49" i="109"/>
  <c r="N49" i="109"/>
  <c r="G49" i="109"/>
  <c r="E49" i="109"/>
  <c r="C49" i="109"/>
  <c r="B49" i="109"/>
  <c r="L22" i="175"/>
  <c r="K22" i="175"/>
  <c r="J22" i="175"/>
  <c r="I22" i="175"/>
  <c r="L16" i="175"/>
  <c r="K16" i="175"/>
  <c r="J16" i="175"/>
  <c r="I16" i="175"/>
  <c r="L10" i="175"/>
  <c r="K10" i="175"/>
  <c r="J10" i="175"/>
  <c r="I10" i="175"/>
  <c r="L32" i="174"/>
  <c r="M32" i="174"/>
  <c r="L35" i="174"/>
  <c r="L36" i="174"/>
  <c r="M36" i="174"/>
  <c r="M40" i="174"/>
  <c r="L8" i="174"/>
  <c r="M8" i="174"/>
  <c r="L9" i="174"/>
  <c r="M9" i="174"/>
  <c r="L13" i="174"/>
  <c r="L20" i="174"/>
  <c r="M20" i="174"/>
  <c r="L14" i="174"/>
  <c r="L21" i="174"/>
  <c r="M21" i="174"/>
  <c r="L15" i="174"/>
  <c r="L22" i="174"/>
  <c r="M22" i="174"/>
  <c r="L16" i="174"/>
  <c r="L23" i="174"/>
  <c r="M23" i="174"/>
  <c r="M27" i="174"/>
  <c r="AH42" i="109"/>
  <c r="L33" i="151"/>
  <c r="M33" i="151"/>
  <c r="L34" i="151"/>
  <c r="M34" i="151"/>
  <c r="L38" i="151"/>
  <c r="L45" i="151"/>
  <c r="M45" i="151"/>
  <c r="L39" i="151"/>
  <c r="L46" i="151"/>
  <c r="M46" i="151"/>
  <c r="L40" i="151"/>
  <c r="L47" i="151"/>
  <c r="M47" i="151"/>
  <c r="L41" i="151"/>
  <c r="L48" i="151"/>
  <c r="M48" i="151"/>
  <c r="M53" i="151"/>
  <c r="L8" i="151"/>
  <c r="M8" i="151"/>
  <c r="L9" i="151"/>
  <c r="M9" i="151"/>
  <c r="L10" i="151"/>
  <c r="M10" i="151"/>
  <c r="L14" i="151"/>
  <c r="L21" i="151"/>
  <c r="M21" i="151"/>
  <c r="L15" i="151"/>
  <c r="L22" i="151"/>
  <c r="M22" i="151"/>
  <c r="L16" i="151"/>
  <c r="L23" i="151"/>
  <c r="M23" i="151"/>
  <c r="L17" i="151"/>
  <c r="L24" i="151"/>
  <c r="M24" i="151"/>
  <c r="M28" i="151"/>
  <c r="AH41" i="109"/>
  <c r="AE42" i="109"/>
  <c r="X42" i="109"/>
  <c r="R42" i="109"/>
  <c r="O42" i="109"/>
  <c r="O41" i="109"/>
  <c r="I42" i="109"/>
  <c r="N42" i="109"/>
  <c r="G42" i="109"/>
  <c r="E42" i="109"/>
  <c r="C42" i="109"/>
  <c r="B42" i="109"/>
  <c r="K38" i="174"/>
  <c r="K40" i="174"/>
  <c r="J38" i="174"/>
  <c r="J40" i="174"/>
  <c r="I38" i="174"/>
  <c r="I40" i="174"/>
  <c r="L38" i="174"/>
  <c r="L40" i="174"/>
  <c r="K24" i="174"/>
  <c r="J24" i="174"/>
  <c r="I24" i="174"/>
  <c r="K17" i="174"/>
  <c r="J17" i="174"/>
  <c r="I17" i="174"/>
  <c r="K10" i="174"/>
  <c r="J10" i="174"/>
  <c r="I10" i="174"/>
  <c r="L20" i="173"/>
  <c r="L14" i="173"/>
  <c r="M20" i="173"/>
  <c r="L21" i="173"/>
  <c r="L15" i="173"/>
  <c r="M21" i="173"/>
  <c r="L16" i="173"/>
  <c r="L22" i="173"/>
  <c r="M22" i="173"/>
  <c r="L9" i="173"/>
  <c r="M9" i="173"/>
  <c r="L10" i="173"/>
  <c r="M10" i="173"/>
  <c r="M25" i="173"/>
  <c r="AH12" i="109"/>
  <c r="O12" i="109"/>
  <c r="AI12" i="109"/>
  <c r="AJ12" i="109"/>
  <c r="AF12" i="109"/>
  <c r="B12" i="109"/>
  <c r="C12" i="109"/>
  <c r="E12" i="109"/>
  <c r="G12" i="109"/>
  <c r="N12" i="109"/>
  <c r="P12" i="109"/>
  <c r="Q12" i="109"/>
  <c r="K23" i="173"/>
  <c r="J23" i="173"/>
  <c r="I23" i="173"/>
  <c r="K17" i="173"/>
  <c r="J17" i="173"/>
  <c r="I17" i="173"/>
  <c r="K11" i="173"/>
  <c r="J11" i="173"/>
  <c r="I11" i="173"/>
  <c r="K42" i="176"/>
  <c r="K43" i="176"/>
  <c r="J42" i="176"/>
  <c r="J43" i="176"/>
  <c r="L25" i="176"/>
  <c r="L40" i="176"/>
  <c r="I42" i="176"/>
  <c r="I43" i="176"/>
  <c r="L10" i="176"/>
  <c r="K24" i="175"/>
  <c r="K25" i="175"/>
  <c r="M22" i="175"/>
  <c r="I24" i="175"/>
  <c r="I25" i="175"/>
  <c r="M16" i="175"/>
  <c r="M24" i="175"/>
  <c r="L24" i="175"/>
  <c r="L25" i="175"/>
  <c r="J24" i="175"/>
  <c r="J25" i="175"/>
  <c r="M10" i="175"/>
  <c r="K26" i="174"/>
  <c r="K27" i="174"/>
  <c r="L24" i="174"/>
  <c r="J26" i="174"/>
  <c r="J27" i="174"/>
  <c r="I26" i="174"/>
  <c r="I27" i="174"/>
  <c r="L17" i="174"/>
  <c r="L10" i="174"/>
  <c r="I24" i="173"/>
  <c r="I25" i="173"/>
  <c r="L17" i="173"/>
  <c r="L11" i="173"/>
  <c r="J24" i="173"/>
  <c r="J25" i="173"/>
  <c r="K24" i="173"/>
  <c r="K25" i="173"/>
  <c r="L23" i="173"/>
  <c r="L42" i="176"/>
  <c r="L43" i="176"/>
  <c r="M25" i="175"/>
  <c r="L26" i="174"/>
  <c r="L27" i="174"/>
  <c r="L24" i="173"/>
  <c r="L25" i="173"/>
  <c r="M20" i="172"/>
  <c r="M14" i="172"/>
  <c r="N20" i="172"/>
  <c r="E9" i="109"/>
  <c r="M21" i="172"/>
  <c r="M15" i="172"/>
  <c r="N21" i="172"/>
  <c r="M16" i="172"/>
  <c r="M22" i="172"/>
  <c r="N22" i="172"/>
  <c r="M9" i="172"/>
  <c r="N9" i="172"/>
  <c r="M10" i="172"/>
  <c r="N10" i="172"/>
  <c r="N25" i="172"/>
  <c r="J9" i="109"/>
  <c r="N9" i="109"/>
  <c r="O9" i="109"/>
  <c r="C9" i="109"/>
  <c r="B9" i="109"/>
  <c r="L23" i="172"/>
  <c r="K23" i="172"/>
  <c r="J23" i="172"/>
  <c r="I23" i="172"/>
  <c r="L17" i="172"/>
  <c r="K17" i="172"/>
  <c r="J17" i="172"/>
  <c r="I17" i="172"/>
  <c r="L11" i="172"/>
  <c r="K11" i="172"/>
  <c r="J11" i="172"/>
  <c r="I11" i="172"/>
  <c r="J15" i="171"/>
  <c r="J23" i="171"/>
  <c r="K23" i="171"/>
  <c r="J16" i="171"/>
  <c r="J24" i="171"/>
  <c r="K24" i="171"/>
  <c r="J17" i="171"/>
  <c r="J25" i="171"/>
  <c r="K25" i="171"/>
  <c r="J18" i="171"/>
  <c r="J26" i="171"/>
  <c r="K26" i="171"/>
  <c r="J9" i="171"/>
  <c r="K9" i="171"/>
  <c r="J10" i="171"/>
  <c r="K10" i="171"/>
  <c r="K30" i="171"/>
  <c r="AH8" i="109"/>
  <c r="M10" i="117"/>
  <c r="N10" i="117"/>
  <c r="N16" i="117"/>
  <c r="M25" i="117"/>
  <c r="O20" i="117"/>
  <c r="M28" i="117"/>
  <c r="N28" i="117"/>
  <c r="O21" i="117"/>
  <c r="M29" i="117"/>
  <c r="N29" i="117"/>
  <c r="O22" i="117"/>
  <c r="M30" i="117"/>
  <c r="N30" i="117"/>
  <c r="O23" i="117"/>
  <c r="M31" i="117"/>
  <c r="N31" i="117"/>
  <c r="O24" i="117"/>
  <c r="M32" i="117"/>
  <c r="N32" i="117"/>
  <c r="N36" i="117"/>
  <c r="AH7" i="109"/>
  <c r="AG8" i="109"/>
  <c r="AF8" i="109"/>
  <c r="O8" i="109"/>
  <c r="G8" i="109"/>
  <c r="N8" i="109"/>
  <c r="E8" i="109"/>
  <c r="B8" i="109"/>
  <c r="P8" i="109"/>
  <c r="H12" i="171"/>
  <c r="H20" i="171"/>
  <c r="H28" i="171"/>
  <c r="H30" i="171"/>
  <c r="I12" i="171"/>
  <c r="I20" i="171"/>
  <c r="I28" i="171"/>
  <c r="I30" i="171"/>
  <c r="J12" i="171"/>
  <c r="J20" i="171"/>
  <c r="J28" i="171"/>
  <c r="J30" i="171"/>
  <c r="G12" i="171"/>
  <c r="G20" i="171"/>
  <c r="G28" i="171"/>
  <c r="G30" i="171"/>
  <c r="I17" i="125"/>
  <c r="I22" i="125"/>
  <c r="I30" i="125"/>
  <c r="I35" i="125"/>
  <c r="I37" i="125"/>
  <c r="P9" i="109"/>
  <c r="Q9" i="109"/>
  <c r="Q8" i="109"/>
  <c r="AI8" i="109"/>
  <c r="AJ8" i="109"/>
  <c r="K24" i="172"/>
  <c r="K25" i="172"/>
  <c r="I24" i="172"/>
  <c r="I25" i="172"/>
  <c r="M17" i="172"/>
  <c r="M23" i="172"/>
  <c r="J24" i="172"/>
  <c r="J25" i="172"/>
  <c r="L24" i="172"/>
  <c r="L25" i="172"/>
  <c r="M11" i="172"/>
  <c r="M24" i="172"/>
  <c r="M25" i="172"/>
  <c r="J70" i="148"/>
  <c r="J56" i="148"/>
  <c r="J38" i="148"/>
  <c r="J18" i="148"/>
  <c r="J92" i="148"/>
  <c r="J74" i="148"/>
  <c r="J63" i="148"/>
  <c r="J46" i="148"/>
  <c r="J27" i="148"/>
  <c r="J93" i="148"/>
  <c r="J94" i="148"/>
  <c r="K70" i="148"/>
  <c r="K56" i="148"/>
  <c r="K38" i="148"/>
  <c r="K18" i="148"/>
  <c r="K92" i="148"/>
  <c r="K74" i="148"/>
  <c r="K63" i="148"/>
  <c r="K46" i="148"/>
  <c r="K27" i="148"/>
  <c r="K93" i="148"/>
  <c r="K94" i="148"/>
  <c r="L90" i="148"/>
  <c r="L88" i="148"/>
  <c r="L86" i="148"/>
  <c r="L82" i="148"/>
  <c r="L80" i="148"/>
  <c r="L78" i="148"/>
  <c r="L67" i="148"/>
  <c r="L69" i="148"/>
  <c r="L70" i="148"/>
  <c r="L50" i="148"/>
  <c r="L52" i="148"/>
  <c r="L53" i="148"/>
  <c r="L55" i="148"/>
  <c r="L56" i="148"/>
  <c r="L84" i="148"/>
  <c r="L31" i="148"/>
  <c r="L33" i="148"/>
  <c r="L34" i="148"/>
  <c r="L36" i="148"/>
  <c r="L37" i="148"/>
  <c r="L38" i="148"/>
  <c r="L10" i="148"/>
  <c r="L12" i="148"/>
  <c r="L14" i="148"/>
  <c r="L15" i="148"/>
  <c r="L16" i="148"/>
  <c r="L17" i="148"/>
  <c r="L18" i="148"/>
  <c r="L92" i="148"/>
  <c r="L93" i="148"/>
  <c r="L94" i="148"/>
  <c r="I70" i="148"/>
  <c r="I56" i="148"/>
  <c r="I38" i="148"/>
  <c r="I18" i="148"/>
  <c r="I92" i="148"/>
  <c r="I74" i="148"/>
  <c r="I63" i="148"/>
  <c r="I46" i="148"/>
  <c r="I27" i="148"/>
  <c r="I93" i="148"/>
  <c r="I94" i="148"/>
  <c r="M10" i="148"/>
  <c r="M21" i="148"/>
  <c r="M23" i="148"/>
  <c r="M24" i="148"/>
  <c r="M25" i="148"/>
  <c r="M26" i="148"/>
  <c r="M31" i="148"/>
  <c r="M41" i="148"/>
  <c r="M42" i="148"/>
  <c r="M44" i="148"/>
  <c r="M45" i="148"/>
  <c r="M50" i="148"/>
  <c r="M59" i="148"/>
  <c r="M60" i="148"/>
  <c r="M62" i="148"/>
  <c r="M67" i="148"/>
  <c r="M73" i="148"/>
  <c r="M78" i="148"/>
  <c r="L79" i="148"/>
  <c r="M79" i="148"/>
  <c r="M80" i="148"/>
  <c r="L81" i="148"/>
  <c r="M81" i="148"/>
  <c r="M82" i="148"/>
  <c r="L83" i="148"/>
  <c r="M83" i="148"/>
  <c r="M84" i="148"/>
  <c r="L85" i="148"/>
  <c r="M85" i="148"/>
  <c r="M86" i="148"/>
  <c r="L87" i="148"/>
  <c r="M87" i="148"/>
  <c r="M88" i="148"/>
  <c r="L89" i="148"/>
  <c r="M89" i="148"/>
  <c r="M90" i="148"/>
  <c r="M94" i="148"/>
  <c r="I19" i="156"/>
  <c r="I28" i="156"/>
  <c r="L26" i="156"/>
  <c r="L13" i="156"/>
  <c r="L14" i="156"/>
  <c r="L15" i="156"/>
  <c r="L16" i="156"/>
  <c r="L17" i="156"/>
  <c r="L18" i="156"/>
  <c r="L19" i="156"/>
  <c r="L28" i="156"/>
  <c r="L9" i="156"/>
  <c r="L10" i="156"/>
  <c r="L29" i="156"/>
  <c r="L50" i="156"/>
  <c r="L25" i="153"/>
  <c r="L26" i="153"/>
  <c r="M26" i="153"/>
  <c r="I44" i="109"/>
  <c r="H33" i="139"/>
  <c r="H42" i="139"/>
  <c r="I29" i="139"/>
  <c r="I30" i="139"/>
  <c r="I33" i="139"/>
  <c r="I37" i="139"/>
  <c r="I38" i="139"/>
  <c r="I42" i="139"/>
  <c r="E33" i="139"/>
  <c r="E42" i="139"/>
  <c r="E46" i="139"/>
  <c r="E49" i="139"/>
  <c r="R27" i="109"/>
  <c r="F33" i="139"/>
  <c r="F42" i="139"/>
  <c r="F46" i="139"/>
  <c r="F49" i="139"/>
  <c r="S27" i="109"/>
  <c r="G33" i="139"/>
  <c r="G42" i="139"/>
  <c r="G46" i="139"/>
  <c r="G49" i="139"/>
  <c r="U27" i="109"/>
  <c r="F10" i="139"/>
  <c r="F25" i="139"/>
  <c r="E10" i="139"/>
  <c r="E25" i="139"/>
  <c r="J7" i="139"/>
  <c r="J8" i="139"/>
  <c r="J9" i="139"/>
  <c r="J10" i="139"/>
  <c r="J18" i="139"/>
  <c r="J23" i="139"/>
  <c r="J25" i="139"/>
  <c r="I10" i="139"/>
  <c r="I18" i="139"/>
  <c r="I23" i="139"/>
  <c r="I25" i="139"/>
  <c r="J27" i="109"/>
  <c r="H10" i="139"/>
  <c r="H18" i="139"/>
  <c r="H23" i="139"/>
  <c r="H25" i="139"/>
  <c r="G10" i="139"/>
  <c r="G18" i="139"/>
  <c r="G23" i="139"/>
  <c r="G25" i="139"/>
  <c r="L9" i="130"/>
  <c r="L10" i="131"/>
  <c r="L24" i="131"/>
  <c r="L25" i="131"/>
  <c r="K30" i="170"/>
  <c r="J30" i="170"/>
  <c r="I30" i="170"/>
  <c r="L29" i="170"/>
  <c r="L28" i="170"/>
  <c r="L27" i="170"/>
  <c r="L24" i="170"/>
  <c r="L25" i="170"/>
  <c r="L26" i="170"/>
  <c r="L30" i="170"/>
  <c r="K19" i="170"/>
  <c r="K10" i="170"/>
  <c r="K21" i="170"/>
  <c r="J19" i="170"/>
  <c r="I19" i="170"/>
  <c r="I10" i="170"/>
  <c r="I21" i="170"/>
  <c r="L18" i="170"/>
  <c r="M29" i="170"/>
  <c r="L17" i="170"/>
  <c r="L16" i="170"/>
  <c r="L15" i="170"/>
  <c r="M26" i="170"/>
  <c r="L14" i="170"/>
  <c r="M25" i="170"/>
  <c r="L13" i="170"/>
  <c r="J10" i="170"/>
  <c r="L9" i="170"/>
  <c r="M9" i="170"/>
  <c r="L8" i="170"/>
  <c r="I32" i="170"/>
  <c r="J21" i="170"/>
  <c r="J75" i="148"/>
  <c r="N90" i="162"/>
  <c r="N80" i="162"/>
  <c r="O90" i="162"/>
  <c r="N91" i="162"/>
  <c r="N81" i="162"/>
  <c r="O91" i="162"/>
  <c r="L35" i="153"/>
  <c r="L36" i="153"/>
  <c r="M36" i="153"/>
  <c r="M39" i="153"/>
  <c r="AE44" i="109"/>
  <c r="I19" i="168"/>
  <c r="I27" i="168"/>
  <c r="I28" i="168"/>
  <c r="I10" i="168"/>
  <c r="I29" i="168"/>
  <c r="K36" i="165"/>
  <c r="K44" i="165"/>
  <c r="K45" i="165"/>
  <c r="J29" i="162"/>
  <c r="J11" i="160"/>
  <c r="K11" i="160"/>
  <c r="I11" i="160"/>
  <c r="J40" i="157"/>
  <c r="J45" i="157"/>
  <c r="J47" i="157"/>
  <c r="K40" i="157"/>
  <c r="K45" i="157"/>
  <c r="K47" i="157"/>
  <c r="L22" i="153"/>
  <c r="L8" i="153"/>
  <c r="L9" i="153"/>
  <c r="M9" i="153"/>
  <c r="C44" i="109"/>
  <c r="J10" i="153"/>
  <c r="J15" i="153"/>
  <c r="J19" i="153"/>
  <c r="J23" i="153"/>
  <c r="J27" i="153"/>
  <c r="J29" i="153"/>
  <c r="J31" i="153"/>
  <c r="J37" i="153"/>
  <c r="J39" i="153"/>
  <c r="J42" i="153"/>
  <c r="J44" i="153"/>
  <c r="K10" i="153"/>
  <c r="K23" i="153"/>
  <c r="L13" i="153"/>
  <c r="L14" i="153"/>
  <c r="L17" i="153"/>
  <c r="L18" i="153"/>
  <c r="M18" i="153"/>
  <c r="F44" i="109"/>
  <c r="L19" i="153"/>
  <c r="L21" i="153"/>
  <c r="L23" i="153"/>
  <c r="L27" i="153"/>
  <c r="I10" i="153"/>
  <c r="I15" i="153"/>
  <c r="I19" i="153"/>
  <c r="I23" i="153"/>
  <c r="I27" i="153"/>
  <c r="L55" i="162"/>
  <c r="L63" i="162"/>
  <c r="L65" i="162"/>
  <c r="K55" i="162"/>
  <c r="K63" i="162"/>
  <c r="K64" i="162"/>
  <c r="L64" i="162"/>
  <c r="J55" i="162"/>
  <c r="J63" i="162"/>
  <c r="J64" i="162"/>
  <c r="M29" i="162"/>
  <c r="M41" i="162"/>
  <c r="M42" i="162"/>
  <c r="J17" i="162"/>
  <c r="J41" i="162"/>
  <c r="I35" i="158"/>
  <c r="I43" i="158"/>
  <c r="I51" i="158"/>
  <c r="I53" i="158"/>
  <c r="I55" i="158"/>
  <c r="L18" i="166"/>
  <c r="L27" i="166"/>
  <c r="M27" i="166"/>
  <c r="L19" i="166"/>
  <c r="L28" i="166"/>
  <c r="M28" i="166"/>
  <c r="N60" i="109"/>
  <c r="L15" i="166"/>
  <c r="L24" i="166"/>
  <c r="M24" i="166"/>
  <c r="E60" i="109"/>
  <c r="L38" i="158"/>
  <c r="L46" i="158"/>
  <c r="M46" i="158"/>
  <c r="U50" i="109"/>
  <c r="L33" i="158"/>
  <c r="M33" i="158"/>
  <c r="R50" i="109"/>
  <c r="N13" i="156"/>
  <c r="O47" i="109"/>
  <c r="K37" i="153"/>
  <c r="K39" i="153"/>
  <c r="K42" i="153"/>
  <c r="L37" i="153"/>
  <c r="L39" i="153"/>
  <c r="L42" i="153"/>
  <c r="I37" i="153"/>
  <c r="I39" i="153"/>
  <c r="I42" i="153"/>
  <c r="H10" i="152"/>
  <c r="H16" i="152"/>
  <c r="H20" i="152"/>
  <c r="J43" i="109"/>
  <c r="G41" i="109"/>
  <c r="AH34" i="109"/>
  <c r="AI34" i="109"/>
  <c r="AJ34" i="109"/>
  <c r="L9" i="155"/>
  <c r="L16" i="155"/>
  <c r="M16" i="155"/>
  <c r="L10" i="155"/>
  <c r="L17" i="155"/>
  <c r="M17" i="155"/>
  <c r="AI42" i="109"/>
  <c r="AI49" i="109"/>
  <c r="AI54" i="109"/>
  <c r="AI59" i="109"/>
  <c r="AJ42" i="109"/>
  <c r="AJ49" i="109"/>
  <c r="AJ54" i="109"/>
  <c r="AJ59" i="109"/>
  <c r="AI66" i="109"/>
  <c r="AJ66" i="109"/>
  <c r="AG14" i="109"/>
  <c r="AG15" i="109"/>
  <c r="AG16" i="109"/>
  <c r="AG17" i="109"/>
  <c r="AG18" i="109"/>
  <c r="AG22" i="109"/>
  <c r="AG24" i="109"/>
  <c r="AG26" i="109"/>
  <c r="AG28" i="109"/>
  <c r="AG30" i="109"/>
  <c r="AG32" i="109"/>
  <c r="AG33" i="109"/>
  <c r="AG34" i="109"/>
  <c r="AG36" i="109"/>
  <c r="AG37" i="109"/>
  <c r="AG39" i="109"/>
  <c r="AG40" i="109"/>
  <c r="AF42" i="109"/>
  <c r="AG42" i="109"/>
  <c r="AG43" i="109"/>
  <c r="AG45" i="109"/>
  <c r="AG46" i="109"/>
  <c r="AG49" i="109"/>
  <c r="AG52" i="109"/>
  <c r="AG53" i="109"/>
  <c r="AF54" i="109"/>
  <c r="AG54" i="109"/>
  <c r="AG56" i="109"/>
  <c r="AG57" i="109"/>
  <c r="AG59" i="109"/>
  <c r="AG60" i="109"/>
  <c r="AG61" i="109"/>
  <c r="AG62" i="109"/>
  <c r="AG63" i="109"/>
  <c r="L8" i="128"/>
  <c r="M8" i="128"/>
  <c r="B64" i="109"/>
  <c r="L18" i="168"/>
  <c r="L26" i="168"/>
  <c r="M26" i="168"/>
  <c r="L62" i="109"/>
  <c r="L13" i="168"/>
  <c r="L21" i="168"/>
  <c r="M21" i="168"/>
  <c r="E62" i="109"/>
  <c r="L8" i="163"/>
  <c r="M8" i="163"/>
  <c r="B56" i="109"/>
  <c r="L17" i="161"/>
  <c r="L24" i="161"/>
  <c r="M24" i="161"/>
  <c r="L53" i="109"/>
  <c r="L15" i="161"/>
  <c r="L22" i="161"/>
  <c r="M22" i="161"/>
  <c r="G53" i="109"/>
  <c r="J51" i="158"/>
  <c r="K51" i="158"/>
  <c r="L47" i="158"/>
  <c r="L48" i="158"/>
  <c r="L49" i="158"/>
  <c r="L50" i="158"/>
  <c r="L51" i="158"/>
  <c r="J43" i="158"/>
  <c r="K43" i="158"/>
  <c r="K53" i="158"/>
  <c r="K35" i="158"/>
  <c r="K55" i="158"/>
  <c r="L39" i="158"/>
  <c r="M47" i="158"/>
  <c r="L40" i="158"/>
  <c r="M48" i="158"/>
  <c r="X50" i="109"/>
  <c r="L41" i="158"/>
  <c r="M49" i="158"/>
  <c r="Z50" i="109"/>
  <c r="L42" i="158"/>
  <c r="J35" i="158"/>
  <c r="L34" i="158"/>
  <c r="M34" i="158"/>
  <c r="S50" i="109"/>
  <c r="AD47" i="109"/>
  <c r="W47" i="109"/>
  <c r="Z47" i="109"/>
  <c r="U47" i="109"/>
  <c r="D47" i="109"/>
  <c r="L47" i="109"/>
  <c r="G47" i="109"/>
  <c r="J47" i="109"/>
  <c r="E47" i="109"/>
  <c r="G46" i="109"/>
  <c r="J46" i="109"/>
  <c r="S41" i="109"/>
  <c r="L14" i="150"/>
  <c r="L26" i="150"/>
  <c r="M26" i="150"/>
  <c r="E40" i="109"/>
  <c r="K22" i="128"/>
  <c r="J22" i="128"/>
  <c r="I22" i="128"/>
  <c r="I16" i="128"/>
  <c r="I24" i="128"/>
  <c r="L21" i="128"/>
  <c r="L20" i="128"/>
  <c r="L19" i="128"/>
  <c r="L22" i="128"/>
  <c r="K16" i="128"/>
  <c r="J16" i="128"/>
  <c r="J24" i="128"/>
  <c r="L15" i="128"/>
  <c r="L14" i="128"/>
  <c r="L13" i="128"/>
  <c r="K10" i="128"/>
  <c r="J10" i="128"/>
  <c r="J25" i="128"/>
  <c r="I10" i="128"/>
  <c r="I25" i="128"/>
  <c r="L9" i="128"/>
  <c r="M9" i="128"/>
  <c r="C64" i="109"/>
  <c r="I24" i="169"/>
  <c r="K24" i="169"/>
  <c r="J24" i="169"/>
  <c r="J17" i="169"/>
  <c r="J26" i="169"/>
  <c r="L23" i="169"/>
  <c r="L22" i="169"/>
  <c r="L21" i="169"/>
  <c r="L20" i="169"/>
  <c r="K17" i="169"/>
  <c r="K26" i="169"/>
  <c r="I17" i="169"/>
  <c r="L16" i="169"/>
  <c r="L15" i="169"/>
  <c r="M22" i="169"/>
  <c r="J63" i="109"/>
  <c r="L14" i="169"/>
  <c r="L13" i="169"/>
  <c r="M20" i="169"/>
  <c r="E63" i="109"/>
  <c r="K10" i="169"/>
  <c r="J10" i="169"/>
  <c r="I10" i="169"/>
  <c r="L9" i="169"/>
  <c r="M9" i="169"/>
  <c r="C63" i="109"/>
  <c r="L8" i="169"/>
  <c r="K10" i="168"/>
  <c r="J10" i="168"/>
  <c r="L9" i="168"/>
  <c r="M9" i="168"/>
  <c r="C62" i="109"/>
  <c r="L8" i="168"/>
  <c r="M8" i="168"/>
  <c r="M20" i="128"/>
  <c r="G64" i="109"/>
  <c r="M21" i="128"/>
  <c r="N64" i="109"/>
  <c r="L16" i="128"/>
  <c r="L24" i="128"/>
  <c r="M19" i="128"/>
  <c r="E64" i="109"/>
  <c r="I26" i="169"/>
  <c r="I27" i="169"/>
  <c r="K27" i="169"/>
  <c r="K27" i="168"/>
  <c r="J27" i="168"/>
  <c r="L25" i="168"/>
  <c r="L24" i="168"/>
  <c r="L23" i="168"/>
  <c r="L22" i="168"/>
  <c r="K19" i="168"/>
  <c r="J19" i="168"/>
  <c r="L17" i="168"/>
  <c r="M25" i="168"/>
  <c r="L16" i="168"/>
  <c r="L15" i="168"/>
  <c r="L14" i="168"/>
  <c r="M22" i="168"/>
  <c r="G62" i="109"/>
  <c r="D10" i="167"/>
  <c r="I12" i="167"/>
  <c r="H10" i="167"/>
  <c r="G10" i="167"/>
  <c r="G14" i="167"/>
  <c r="F10" i="167"/>
  <c r="F14" i="167"/>
  <c r="E10" i="167"/>
  <c r="C10" i="167"/>
  <c r="I10" i="167"/>
  <c r="I16" i="167"/>
  <c r="C14" i="167"/>
  <c r="I9" i="167"/>
  <c r="I8" i="167"/>
  <c r="I7" i="167"/>
  <c r="L10" i="166"/>
  <c r="M10" i="166"/>
  <c r="C60" i="109"/>
  <c r="K29" i="166"/>
  <c r="J29" i="166"/>
  <c r="I29" i="166"/>
  <c r="L25" i="166"/>
  <c r="K20" i="166"/>
  <c r="K31" i="166"/>
  <c r="K11" i="166"/>
  <c r="K32" i="166"/>
  <c r="J20" i="166"/>
  <c r="I20" i="166"/>
  <c r="I31" i="166"/>
  <c r="L16" i="166"/>
  <c r="J11" i="166"/>
  <c r="I11" i="166"/>
  <c r="I32" i="166"/>
  <c r="L9" i="166"/>
  <c r="M9" i="166"/>
  <c r="L44" i="165"/>
  <c r="J44" i="165"/>
  <c r="M43" i="165"/>
  <c r="M42" i="165"/>
  <c r="M41" i="165"/>
  <c r="M33" i="165"/>
  <c r="N41" i="165"/>
  <c r="M40" i="165"/>
  <c r="M39" i="165"/>
  <c r="M38" i="165"/>
  <c r="L36" i="165"/>
  <c r="J36" i="165"/>
  <c r="J45" i="165"/>
  <c r="M35" i="165"/>
  <c r="M30" i="165"/>
  <c r="M31" i="165"/>
  <c r="M32" i="165"/>
  <c r="M34" i="165"/>
  <c r="M36" i="165"/>
  <c r="L28" i="165"/>
  <c r="L46" i="165"/>
  <c r="K28" i="165"/>
  <c r="K46" i="165"/>
  <c r="J28" i="165"/>
  <c r="M27" i="165"/>
  <c r="N27" i="165"/>
  <c r="S58" i="109"/>
  <c r="M26" i="165"/>
  <c r="N26" i="165"/>
  <c r="L19" i="165"/>
  <c r="K19" i="165"/>
  <c r="J19" i="165"/>
  <c r="J9" i="165"/>
  <c r="J14" i="165"/>
  <c r="J21" i="165"/>
  <c r="M18" i="165"/>
  <c r="M16" i="165"/>
  <c r="M17" i="165"/>
  <c r="M19" i="165"/>
  <c r="L14" i="165"/>
  <c r="L20" i="165"/>
  <c r="K14" i="165"/>
  <c r="J20" i="165"/>
  <c r="M13" i="165"/>
  <c r="N18" i="165"/>
  <c r="N58" i="109"/>
  <c r="M12" i="165"/>
  <c r="N17" i="165"/>
  <c r="G58" i="109"/>
  <c r="M11" i="165"/>
  <c r="L9" i="165"/>
  <c r="L21" i="165"/>
  <c r="K9" i="165"/>
  <c r="M8" i="165"/>
  <c r="N8" i="165"/>
  <c r="C58" i="109"/>
  <c r="M7" i="165"/>
  <c r="M9" i="165"/>
  <c r="K19" i="164"/>
  <c r="J19" i="164"/>
  <c r="I19" i="164"/>
  <c r="L18" i="164"/>
  <c r="L17" i="164"/>
  <c r="K13" i="164"/>
  <c r="K21" i="164"/>
  <c r="K23" i="164"/>
  <c r="J13" i="164"/>
  <c r="J21" i="164"/>
  <c r="J23" i="164"/>
  <c r="I13" i="164"/>
  <c r="L12" i="164"/>
  <c r="L11" i="164"/>
  <c r="M17" i="164"/>
  <c r="E57" i="109"/>
  <c r="L8" i="164"/>
  <c r="M8" i="164"/>
  <c r="L22" i="163"/>
  <c r="L21" i="163"/>
  <c r="L15" i="163"/>
  <c r="M21" i="163"/>
  <c r="N56" i="109"/>
  <c r="K23" i="163"/>
  <c r="J23" i="163"/>
  <c r="I23" i="163"/>
  <c r="L20" i="163"/>
  <c r="K17" i="163"/>
  <c r="J17" i="163"/>
  <c r="I17" i="163"/>
  <c r="I25" i="163"/>
  <c r="I11" i="163"/>
  <c r="I26" i="163"/>
  <c r="L16" i="163"/>
  <c r="M22" i="163"/>
  <c r="G56" i="109"/>
  <c r="L14" i="163"/>
  <c r="K11" i="163"/>
  <c r="J11" i="163"/>
  <c r="L10" i="163"/>
  <c r="M10" i="163"/>
  <c r="C56" i="109"/>
  <c r="L9" i="163"/>
  <c r="L11" i="163"/>
  <c r="K92" i="162"/>
  <c r="L92" i="162"/>
  <c r="J92" i="162"/>
  <c r="N85" i="162"/>
  <c r="N75" i="162"/>
  <c r="O85" i="162"/>
  <c r="U55" i="109"/>
  <c r="N86" i="162"/>
  <c r="N87" i="162"/>
  <c r="N77" i="162"/>
  <c r="O87" i="162"/>
  <c r="N88" i="162"/>
  <c r="N78" i="162"/>
  <c r="O88" i="162"/>
  <c r="W55" i="109"/>
  <c r="N84" i="162"/>
  <c r="K82" i="162"/>
  <c r="K93" i="162"/>
  <c r="L82" i="162"/>
  <c r="L93" i="162"/>
  <c r="M82" i="162"/>
  <c r="M93" i="162"/>
  <c r="J82" i="162"/>
  <c r="J93" i="162"/>
  <c r="N76" i="162"/>
  <c r="N79" i="162"/>
  <c r="O89" i="162"/>
  <c r="N74" i="162"/>
  <c r="N82" i="162"/>
  <c r="N70" i="162"/>
  <c r="N71" i="162"/>
  <c r="N72" i="162"/>
  <c r="K72" i="162"/>
  <c r="K94" i="162"/>
  <c r="L72" i="162"/>
  <c r="M72" i="162"/>
  <c r="M94" i="162"/>
  <c r="J72" i="162"/>
  <c r="O71" i="162"/>
  <c r="O70" i="162"/>
  <c r="R55" i="109"/>
  <c r="I18" i="161"/>
  <c r="I25" i="161"/>
  <c r="I27" i="161"/>
  <c r="I11" i="161"/>
  <c r="I28" i="161"/>
  <c r="M63" i="162"/>
  <c r="L17" i="162"/>
  <c r="M55" i="162"/>
  <c r="M64" i="162"/>
  <c r="M47" i="162"/>
  <c r="M65" i="162"/>
  <c r="K47" i="162"/>
  <c r="K65" i="162"/>
  <c r="J47" i="162"/>
  <c r="J65" i="162"/>
  <c r="L41" i="162"/>
  <c r="K41" i="162"/>
  <c r="N41" i="162"/>
  <c r="L29" i="162"/>
  <c r="K29" i="162"/>
  <c r="K55" i="109"/>
  <c r="M17" i="162"/>
  <c r="K17" i="162"/>
  <c r="K25" i="161"/>
  <c r="J25" i="161"/>
  <c r="L23" i="161"/>
  <c r="L21" i="161"/>
  <c r="K18" i="161"/>
  <c r="K27" i="161"/>
  <c r="J18" i="161"/>
  <c r="J27" i="161"/>
  <c r="L16" i="161"/>
  <c r="M23" i="161"/>
  <c r="F53" i="109"/>
  <c r="L14" i="161"/>
  <c r="K11" i="161"/>
  <c r="J11" i="161"/>
  <c r="L10" i="161"/>
  <c r="M10" i="161"/>
  <c r="C53" i="109"/>
  <c r="L9" i="161"/>
  <c r="M9" i="161"/>
  <c r="B53" i="109"/>
  <c r="L10" i="160"/>
  <c r="M10" i="160"/>
  <c r="C52" i="109"/>
  <c r="K23" i="160"/>
  <c r="J23" i="160"/>
  <c r="I23" i="160"/>
  <c r="L22" i="160"/>
  <c r="L21" i="160"/>
  <c r="L20" i="160"/>
  <c r="L19" i="160"/>
  <c r="K17" i="160"/>
  <c r="J17" i="160"/>
  <c r="I17" i="160"/>
  <c r="L16" i="160"/>
  <c r="L15" i="160"/>
  <c r="L14" i="160"/>
  <c r="L13" i="160"/>
  <c r="L9" i="160"/>
  <c r="M9" i="160"/>
  <c r="J26" i="159"/>
  <c r="K26" i="159"/>
  <c r="I26" i="159"/>
  <c r="K49" i="159"/>
  <c r="J49" i="159"/>
  <c r="I49" i="159"/>
  <c r="L48" i="159"/>
  <c r="L41" i="159"/>
  <c r="M48" i="159"/>
  <c r="AA51" i="109"/>
  <c r="L47" i="159"/>
  <c r="L46" i="159"/>
  <c r="L45" i="159"/>
  <c r="K42" i="159"/>
  <c r="K50" i="159"/>
  <c r="J42" i="159"/>
  <c r="J50" i="159"/>
  <c r="I42" i="159"/>
  <c r="I50" i="159"/>
  <c r="I35" i="159"/>
  <c r="I51" i="159"/>
  <c r="L40" i="159"/>
  <c r="L39" i="159"/>
  <c r="M46" i="159"/>
  <c r="X51" i="109"/>
  <c r="L38" i="159"/>
  <c r="M45" i="159"/>
  <c r="U51" i="109"/>
  <c r="K35" i="159"/>
  <c r="K51" i="159"/>
  <c r="J35" i="159"/>
  <c r="J51" i="159"/>
  <c r="L34" i="159"/>
  <c r="M34" i="159"/>
  <c r="S51" i="109"/>
  <c r="L33" i="159"/>
  <c r="L35" i="159"/>
  <c r="M33" i="159"/>
  <c r="L25" i="159"/>
  <c r="L24" i="159"/>
  <c r="L23" i="159"/>
  <c r="L22" i="159"/>
  <c r="L21" i="159"/>
  <c r="K18" i="159"/>
  <c r="J18" i="159"/>
  <c r="I18" i="159"/>
  <c r="I27" i="159"/>
  <c r="L17" i="159"/>
  <c r="L16" i="159"/>
  <c r="L15" i="159"/>
  <c r="L14" i="159"/>
  <c r="L13" i="159"/>
  <c r="K10" i="159"/>
  <c r="J10" i="159"/>
  <c r="I10" i="159"/>
  <c r="I28" i="159"/>
  <c r="L9" i="159"/>
  <c r="L8" i="159"/>
  <c r="M8" i="159"/>
  <c r="I10" i="158"/>
  <c r="I18" i="158"/>
  <c r="I26" i="158"/>
  <c r="I29" i="158"/>
  <c r="J26" i="158"/>
  <c r="K26" i="158"/>
  <c r="I28" i="158"/>
  <c r="J18" i="158"/>
  <c r="J28" i="158"/>
  <c r="K18" i="158"/>
  <c r="J14" i="167"/>
  <c r="J31" i="166"/>
  <c r="J32" i="166"/>
  <c r="L20" i="166"/>
  <c r="L29" i="166"/>
  <c r="M25" i="166"/>
  <c r="J60" i="109"/>
  <c r="L11" i="166"/>
  <c r="L31" i="166"/>
  <c r="L32" i="166"/>
  <c r="N42" i="165"/>
  <c r="M44" i="165"/>
  <c r="N39" i="165"/>
  <c r="N38" i="165"/>
  <c r="N40" i="165"/>
  <c r="N16" i="165"/>
  <c r="E58" i="109"/>
  <c r="N7" i="165"/>
  <c r="B58" i="109"/>
  <c r="L19" i="164"/>
  <c r="M18" i="164"/>
  <c r="J57" i="109"/>
  <c r="M20" i="163"/>
  <c r="E56" i="109"/>
  <c r="J25" i="163"/>
  <c r="J26" i="163"/>
  <c r="L17" i="163"/>
  <c r="N47" i="162"/>
  <c r="L25" i="161"/>
  <c r="L11" i="161"/>
  <c r="J28" i="161"/>
  <c r="M22" i="160"/>
  <c r="F52" i="109"/>
  <c r="L23" i="160"/>
  <c r="M20" i="160"/>
  <c r="K52" i="109"/>
  <c r="M19" i="160"/>
  <c r="E52" i="109"/>
  <c r="M21" i="160"/>
  <c r="J52" i="109"/>
  <c r="L49" i="159"/>
  <c r="L42" i="159"/>
  <c r="L50" i="159"/>
  <c r="M23" i="159"/>
  <c r="H51" i="109"/>
  <c r="M22" i="159"/>
  <c r="N51" i="109"/>
  <c r="M21" i="159"/>
  <c r="E51" i="109"/>
  <c r="M24" i="159"/>
  <c r="J51" i="109"/>
  <c r="L24" i="158"/>
  <c r="L23" i="158"/>
  <c r="L22" i="158"/>
  <c r="L21" i="158"/>
  <c r="L13" i="158"/>
  <c r="M21" i="158"/>
  <c r="E50" i="109"/>
  <c r="L17" i="158"/>
  <c r="L16" i="158"/>
  <c r="L15" i="158"/>
  <c r="L14" i="158"/>
  <c r="K10" i="158"/>
  <c r="J10" i="158"/>
  <c r="L9" i="158"/>
  <c r="M9" i="158"/>
  <c r="C50" i="109"/>
  <c r="L8" i="158"/>
  <c r="L45" i="157"/>
  <c r="I45" i="157"/>
  <c r="M44" i="157"/>
  <c r="M39" i="157"/>
  <c r="N44" i="157"/>
  <c r="W48" i="109"/>
  <c r="M43" i="157"/>
  <c r="L40" i="157"/>
  <c r="L47" i="157"/>
  <c r="I40" i="157"/>
  <c r="I47" i="157"/>
  <c r="M38" i="157"/>
  <c r="L35" i="157"/>
  <c r="K35" i="157"/>
  <c r="K49" i="157"/>
  <c r="J35" i="157"/>
  <c r="J49" i="157"/>
  <c r="I35" i="157"/>
  <c r="I49" i="157"/>
  <c r="M34" i="157"/>
  <c r="N34" i="157"/>
  <c r="S48" i="109"/>
  <c r="M33" i="157"/>
  <c r="N33" i="157"/>
  <c r="R48" i="109"/>
  <c r="L25" i="157"/>
  <c r="K25" i="157"/>
  <c r="J25" i="157"/>
  <c r="I25" i="157"/>
  <c r="M24" i="157"/>
  <c r="M23" i="157"/>
  <c r="M22" i="157"/>
  <c r="M21" i="157"/>
  <c r="L18" i="157"/>
  <c r="L27" i="157"/>
  <c r="K18" i="157"/>
  <c r="K27" i="157"/>
  <c r="J18" i="157"/>
  <c r="J27" i="157"/>
  <c r="I18" i="157"/>
  <c r="I27" i="157"/>
  <c r="M17" i="157"/>
  <c r="M16" i="157"/>
  <c r="M15" i="157"/>
  <c r="N22" i="157"/>
  <c r="F48" i="109"/>
  <c r="M14" i="157"/>
  <c r="L11" i="157"/>
  <c r="L29" i="157"/>
  <c r="K11" i="157"/>
  <c r="K29" i="157"/>
  <c r="J11" i="157"/>
  <c r="J29" i="157"/>
  <c r="I11" i="157"/>
  <c r="I29" i="157"/>
  <c r="M10" i="157"/>
  <c r="N10" i="157"/>
  <c r="C48" i="109"/>
  <c r="M9" i="157"/>
  <c r="N9" i="157"/>
  <c r="D48" i="109"/>
  <c r="M8" i="157"/>
  <c r="K43" i="156"/>
  <c r="K52" i="156"/>
  <c r="K36" i="156"/>
  <c r="K53" i="156"/>
  <c r="J43" i="156"/>
  <c r="J52" i="156"/>
  <c r="I43" i="156"/>
  <c r="I52" i="156"/>
  <c r="L42" i="156"/>
  <c r="L41" i="156"/>
  <c r="L40" i="156"/>
  <c r="L39" i="156"/>
  <c r="J36" i="156"/>
  <c r="J53" i="156"/>
  <c r="I36" i="156"/>
  <c r="I53" i="156"/>
  <c r="L35" i="156"/>
  <c r="M35" i="156"/>
  <c r="L34" i="156"/>
  <c r="L36" i="156"/>
  <c r="K19" i="156"/>
  <c r="K28" i="156"/>
  <c r="J19" i="156"/>
  <c r="J28" i="156"/>
  <c r="K10" i="156"/>
  <c r="J10" i="156"/>
  <c r="I10" i="156"/>
  <c r="M9" i="156"/>
  <c r="M8" i="156"/>
  <c r="J19" i="155"/>
  <c r="K19" i="155"/>
  <c r="I19" i="155"/>
  <c r="J12" i="155"/>
  <c r="J21" i="155"/>
  <c r="K12" i="155"/>
  <c r="K21" i="155"/>
  <c r="I12" i="155"/>
  <c r="I21" i="155"/>
  <c r="L18" i="155"/>
  <c r="L15" i="155"/>
  <c r="M15" i="155"/>
  <c r="E46" i="109"/>
  <c r="L11" i="155"/>
  <c r="L7" i="155"/>
  <c r="M7" i="155"/>
  <c r="C46" i="109"/>
  <c r="L6" i="155"/>
  <c r="K19" i="154"/>
  <c r="J19" i="154"/>
  <c r="I19" i="154"/>
  <c r="L18" i="154"/>
  <c r="L17" i="154"/>
  <c r="L19" i="154"/>
  <c r="K14" i="154"/>
  <c r="K21" i="154"/>
  <c r="K23" i="154"/>
  <c r="J14" i="154"/>
  <c r="I14" i="154"/>
  <c r="L13" i="154"/>
  <c r="L12" i="154"/>
  <c r="L9" i="154"/>
  <c r="L49" i="151"/>
  <c r="J49" i="151"/>
  <c r="J42" i="151"/>
  <c r="J51" i="151"/>
  <c r="J35" i="151"/>
  <c r="J53" i="151"/>
  <c r="C41" i="109"/>
  <c r="K11" i="150"/>
  <c r="K27" i="153"/>
  <c r="K19" i="153"/>
  <c r="K15" i="153"/>
  <c r="K29" i="153"/>
  <c r="K31" i="153"/>
  <c r="K44" i="153"/>
  <c r="I16" i="152"/>
  <c r="G16" i="152"/>
  <c r="G10" i="152"/>
  <c r="G18" i="152"/>
  <c r="F16" i="152"/>
  <c r="E16" i="152"/>
  <c r="J15" i="152"/>
  <c r="J14" i="152"/>
  <c r="J13" i="152"/>
  <c r="I10" i="152"/>
  <c r="I20" i="152"/>
  <c r="N43" i="109"/>
  <c r="F10" i="152"/>
  <c r="E10" i="152"/>
  <c r="E20" i="152"/>
  <c r="B43" i="109"/>
  <c r="J9" i="152"/>
  <c r="J8" i="152"/>
  <c r="J7" i="152"/>
  <c r="K49" i="151"/>
  <c r="I49" i="151"/>
  <c r="K42" i="151"/>
  <c r="I42" i="151"/>
  <c r="W41" i="109"/>
  <c r="U41" i="109"/>
  <c r="K35" i="151"/>
  <c r="I35" i="151"/>
  <c r="K25" i="151"/>
  <c r="K18" i="151"/>
  <c r="K27" i="151"/>
  <c r="J25" i="151"/>
  <c r="I25" i="151"/>
  <c r="E41" i="109"/>
  <c r="J18" i="151"/>
  <c r="I18" i="151"/>
  <c r="N41" i="109"/>
  <c r="F41" i="109"/>
  <c r="K11" i="151"/>
  <c r="J11" i="151"/>
  <c r="I11" i="151"/>
  <c r="I27" i="151"/>
  <c r="I28" i="151"/>
  <c r="K33" i="150"/>
  <c r="J33" i="150"/>
  <c r="I33" i="150"/>
  <c r="L32" i="150"/>
  <c r="L31" i="150"/>
  <c r="L30" i="150"/>
  <c r="L18" i="150"/>
  <c r="M30" i="150"/>
  <c r="L28" i="150"/>
  <c r="L27" i="150"/>
  <c r="K21" i="150"/>
  <c r="J21" i="150"/>
  <c r="J11" i="150"/>
  <c r="J34" i="150"/>
  <c r="I21" i="150"/>
  <c r="I11" i="150"/>
  <c r="I34" i="150"/>
  <c r="L20" i="150"/>
  <c r="L19" i="150"/>
  <c r="L15" i="150"/>
  <c r="L16" i="150"/>
  <c r="L21" i="150"/>
  <c r="L10" i="150"/>
  <c r="M10" i="150"/>
  <c r="C40" i="109"/>
  <c r="M22" i="158"/>
  <c r="F50" i="109"/>
  <c r="M8" i="158"/>
  <c r="L10" i="158"/>
  <c r="M24" i="158"/>
  <c r="I50" i="109"/>
  <c r="M23" i="158"/>
  <c r="G50" i="109"/>
  <c r="M40" i="157"/>
  <c r="N24" i="157"/>
  <c r="N48" i="109"/>
  <c r="N23" i="157"/>
  <c r="G48" i="109"/>
  <c r="M11" i="157"/>
  <c r="M25" i="157"/>
  <c r="M35" i="157"/>
  <c r="N8" i="157"/>
  <c r="B48" i="109"/>
  <c r="M34" i="156"/>
  <c r="M53" i="156"/>
  <c r="I21" i="154"/>
  <c r="I23" i="154"/>
  <c r="M18" i="154"/>
  <c r="G45" i="109"/>
  <c r="J21" i="154"/>
  <c r="J23" i="154"/>
  <c r="M9" i="154"/>
  <c r="B45" i="109"/>
  <c r="H18" i="152"/>
  <c r="J16" i="152"/>
  <c r="E18" i="152"/>
  <c r="K51" i="151"/>
  <c r="K53" i="151"/>
  <c r="L42" i="151"/>
  <c r="L25" i="151"/>
  <c r="K28" i="151"/>
  <c r="J27" i="151"/>
  <c r="J28" i="151"/>
  <c r="L18" i="151"/>
  <c r="L27" i="151"/>
  <c r="L11" i="151"/>
  <c r="L28" i="151"/>
  <c r="B41" i="109"/>
  <c r="M32" i="150"/>
  <c r="M27" i="150"/>
  <c r="J40" i="109"/>
  <c r="L33" i="150"/>
  <c r="M28" i="150"/>
  <c r="I40" i="109"/>
  <c r="L9" i="150"/>
  <c r="M9" i="150"/>
  <c r="B40" i="109"/>
  <c r="I18" i="152"/>
  <c r="L35" i="151"/>
  <c r="L11" i="150"/>
  <c r="L24" i="149"/>
  <c r="K24" i="149"/>
  <c r="J24" i="149"/>
  <c r="I24" i="149"/>
  <c r="M23" i="149"/>
  <c r="M22" i="149"/>
  <c r="M21" i="149"/>
  <c r="M20" i="149"/>
  <c r="L17" i="149"/>
  <c r="L25" i="149"/>
  <c r="L10" i="149"/>
  <c r="L26" i="149"/>
  <c r="K17" i="149"/>
  <c r="J17" i="149"/>
  <c r="I17" i="149"/>
  <c r="M16" i="149"/>
  <c r="M15" i="149"/>
  <c r="M14" i="149"/>
  <c r="N21" i="149"/>
  <c r="E39" i="109"/>
  <c r="M13" i="149"/>
  <c r="K10" i="149"/>
  <c r="J10" i="149"/>
  <c r="I10" i="149"/>
  <c r="M9" i="149"/>
  <c r="N9" i="149"/>
  <c r="C39" i="109"/>
  <c r="M8" i="149"/>
  <c r="M10" i="149"/>
  <c r="J12" i="147"/>
  <c r="J18" i="147"/>
  <c r="J20" i="147"/>
  <c r="K12" i="147"/>
  <c r="K16" i="147"/>
  <c r="K18" i="147"/>
  <c r="K20" i="147"/>
  <c r="I12" i="147"/>
  <c r="I18" i="147"/>
  <c r="I20" i="147"/>
  <c r="I22" i="140"/>
  <c r="M16" i="147"/>
  <c r="M15" i="147"/>
  <c r="M11" i="147"/>
  <c r="N15" i="147"/>
  <c r="G37" i="109"/>
  <c r="M14" i="147"/>
  <c r="M10" i="147"/>
  <c r="N14" i="147"/>
  <c r="E37" i="109"/>
  <c r="L12" i="147"/>
  <c r="L18" i="147"/>
  <c r="L20" i="147"/>
  <c r="M8" i="147"/>
  <c r="J16" i="146"/>
  <c r="J21" i="146"/>
  <c r="J22" i="146"/>
  <c r="K16" i="146"/>
  <c r="K21" i="146"/>
  <c r="K22" i="146"/>
  <c r="I16" i="146"/>
  <c r="L13" i="146"/>
  <c r="I21" i="146"/>
  <c r="I22" i="146"/>
  <c r="L20" i="146"/>
  <c r="L15" i="146"/>
  <c r="M20" i="146"/>
  <c r="I36" i="109"/>
  <c r="L19" i="146"/>
  <c r="L14" i="146"/>
  <c r="M19" i="146"/>
  <c r="J36" i="109"/>
  <c r="L18" i="146"/>
  <c r="L12" i="146"/>
  <c r="M12" i="146"/>
  <c r="H36" i="109"/>
  <c r="L10" i="146"/>
  <c r="M10" i="146"/>
  <c r="D36" i="109"/>
  <c r="L9" i="146"/>
  <c r="I27" i="145"/>
  <c r="I19" i="145"/>
  <c r="I28" i="145"/>
  <c r="J27" i="145"/>
  <c r="J19" i="145"/>
  <c r="J28" i="145"/>
  <c r="K42" i="145"/>
  <c r="J42" i="145"/>
  <c r="I42" i="145"/>
  <c r="L41" i="145"/>
  <c r="L42" i="145"/>
  <c r="K39" i="145"/>
  <c r="K43" i="145"/>
  <c r="J39" i="145"/>
  <c r="J43" i="145"/>
  <c r="J36" i="145"/>
  <c r="J44" i="145"/>
  <c r="I39" i="145"/>
  <c r="I43" i="145"/>
  <c r="L38" i="145"/>
  <c r="L39" i="145"/>
  <c r="K36" i="145"/>
  <c r="K44" i="145"/>
  <c r="I36" i="145"/>
  <c r="I44" i="145"/>
  <c r="M35" i="145"/>
  <c r="S35" i="109"/>
  <c r="L34" i="145"/>
  <c r="K27" i="145"/>
  <c r="K19" i="145"/>
  <c r="K28" i="145"/>
  <c r="L26" i="145"/>
  <c r="L25" i="145"/>
  <c r="L24" i="145"/>
  <c r="L23" i="145"/>
  <c r="L22" i="145"/>
  <c r="L21" i="145"/>
  <c r="L13" i="145"/>
  <c r="M21" i="145"/>
  <c r="E35" i="109"/>
  <c r="L18" i="145"/>
  <c r="M26" i="145"/>
  <c r="J35" i="109"/>
  <c r="L17" i="145"/>
  <c r="L16" i="145"/>
  <c r="L15" i="145"/>
  <c r="L14" i="145"/>
  <c r="K11" i="145"/>
  <c r="K29" i="145"/>
  <c r="J11" i="145"/>
  <c r="I11" i="145"/>
  <c r="I29" i="145"/>
  <c r="L10" i="145"/>
  <c r="M10" i="145"/>
  <c r="C35" i="109"/>
  <c r="L9" i="145"/>
  <c r="K25" i="149"/>
  <c r="K26" i="149"/>
  <c r="J25" i="149"/>
  <c r="J26" i="149"/>
  <c r="N22" i="149"/>
  <c r="K39" i="109"/>
  <c r="M24" i="149"/>
  <c r="I25" i="149"/>
  <c r="I26" i="149"/>
  <c r="N23" i="149"/>
  <c r="H39" i="109"/>
  <c r="M12" i="147"/>
  <c r="M18" i="147"/>
  <c r="L21" i="146"/>
  <c r="M41" i="145"/>
  <c r="L36" i="145"/>
  <c r="L11" i="145"/>
  <c r="M24" i="145"/>
  <c r="M34" i="145"/>
  <c r="R35" i="109"/>
  <c r="M9" i="145"/>
  <c r="B35" i="109"/>
  <c r="B7" i="109"/>
  <c r="L25" i="144"/>
  <c r="M25" i="144"/>
  <c r="L47" i="144"/>
  <c r="L19" i="144"/>
  <c r="M47" i="144"/>
  <c r="J20" i="144"/>
  <c r="I20" i="144"/>
  <c r="I10" i="144"/>
  <c r="I21" i="144"/>
  <c r="L32" i="144"/>
  <c r="M32" i="144"/>
  <c r="L33" i="144"/>
  <c r="M33" i="144"/>
  <c r="L44" i="144"/>
  <c r="L16" i="144"/>
  <c r="M44" i="144"/>
  <c r="L45" i="144"/>
  <c r="L17" i="144"/>
  <c r="M45" i="144"/>
  <c r="G33" i="109"/>
  <c r="L18" i="143"/>
  <c r="L29" i="143"/>
  <c r="M29" i="143"/>
  <c r="L19" i="143"/>
  <c r="L30" i="143"/>
  <c r="M30" i="143"/>
  <c r="G32" i="109"/>
  <c r="J48" i="144"/>
  <c r="J50" i="144"/>
  <c r="K48" i="144"/>
  <c r="K50" i="144"/>
  <c r="L46" i="144"/>
  <c r="L18" i="144"/>
  <c r="M46" i="144"/>
  <c r="I48" i="144"/>
  <c r="I50" i="144"/>
  <c r="L30" i="144"/>
  <c r="L31" i="144"/>
  <c r="M31" i="144"/>
  <c r="L29" i="144"/>
  <c r="J34" i="144"/>
  <c r="K34" i="144"/>
  <c r="I34" i="144"/>
  <c r="I27" i="144"/>
  <c r="I35" i="144"/>
  <c r="J27" i="144"/>
  <c r="J35" i="144"/>
  <c r="K27" i="144"/>
  <c r="L26" i="144"/>
  <c r="L27" i="144"/>
  <c r="J10" i="144"/>
  <c r="J21" i="144"/>
  <c r="K20" i="144"/>
  <c r="K10" i="144"/>
  <c r="K21" i="144"/>
  <c r="L43" i="144"/>
  <c r="L41" i="144"/>
  <c r="L42" i="144"/>
  <c r="L15" i="144"/>
  <c r="M43" i="144"/>
  <c r="L14" i="144"/>
  <c r="M42" i="144"/>
  <c r="E33" i="109"/>
  <c r="L13" i="144"/>
  <c r="L9" i="144"/>
  <c r="M9" i="144"/>
  <c r="C33" i="109"/>
  <c r="L8" i="144"/>
  <c r="J20" i="111"/>
  <c r="J29" i="111"/>
  <c r="K29" i="111"/>
  <c r="N6" i="109"/>
  <c r="J19" i="111"/>
  <c r="J28" i="111"/>
  <c r="K28" i="111"/>
  <c r="G6" i="109"/>
  <c r="J18" i="111"/>
  <c r="J27" i="111"/>
  <c r="K27" i="111"/>
  <c r="K6" i="109"/>
  <c r="J17" i="111"/>
  <c r="J26" i="111"/>
  <c r="K26" i="111"/>
  <c r="J6" i="109"/>
  <c r="J16" i="111"/>
  <c r="J25" i="111"/>
  <c r="K25" i="111"/>
  <c r="F6" i="109"/>
  <c r="J15" i="111"/>
  <c r="J24" i="111"/>
  <c r="L29" i="134"/>
  <c r="L30" i="134"/>
  <c r="L31" i="134"/>
  <c r="N27" i="134"/>
  <c r="L32" i="134"/>
  <c r="M32" i="134"/>
  <c r="N31" i="134"/>
  <c r="O31" i="134"/>
  <c r="L37" i="134"/>
  <c r="L14" i="134"/>
  <c r="L18" i="134"/>
  <c r="L15" i="134"/>
  <c r="L16" i="134"/>
  <c r="L17" i="134"/>
  <c r="N12" i="134"/>
  <c r="N14" i="134"/>
  <c r="L11" i="134"/>
  <c r="M11" i="134"/>
  <c r="B25" i="109"/>
  <c r="L10" i="134"/>
  <c r="M10" i="134"/>
  <c r="C25" i="109"/>
  <c r="L9" i="126"/>
  <c r="M9" i="126"/>
  <c r="M11" i="126"/>
  <c r="M12" i="126"/>
  <c r="M18" i="126"/>
  <c r="L13" i="126"/>
  <c r="M22" i="126"/>
  <c r="L14" i="126"/>
  <c r="M23" i="126"/>
  <c r="L15" i="126"/>
  <c r="L16" i="126"/>
  <c r="L17" i="126"/>
  <c r="L19" i="126"/>
  <c r="O24" i="126"/>
  <c r="P24" i="126"/>
  <c r="M24" i="126"/>
  <c r="M25" i="126"/>
  <c r="G18" i="109"/>
  <c r="M26" i="126"/>
  <c r="L39" i="142"/>
  <c r="L40" i="142"/>
  <c r="L41" i="142"/>
  <c r="M40" i="142"/>
  <c r="L44" i="142"/>
  <c r="L53" i="142"/>
  <c r="M53" i="142"/>
  <c r="U31" i="109"/>
  <c r="L45" i="142"/>
  <c r="L54" i="142"/>
  <c r="M54" i="142"/>
  <c r="L46" i="142"/>
  <c r="L55" i="142"/>
  <c r="M55" i="142"/>
  <c r="L47" i="142"/>
  <c r="L56" i="142"/>
  <c r="M56" i="142"/>
  <c r="L48" i="142"/>
  <c r="L57" i="142"/>
  <c r="L49" i="142"/>
  <c r="L58" i="142"/>
  <c r="M58" i="142"/>
  <c r="W31" i="109"/>
  <c r="L10" i="142"/>
  <c r="M10" i="142"/>
  <c r="L11" i="142"/>
  <c r="M11" i="142"/>
  <c r="C31" i="109"/>
  <c r="L15" i="142"/>
  <c r="L23" i="142"/>
  <c r="M23" i="142"/>
  <c r="F31" i="109"/>
  <c r="L16" i="142"/>
  <c r="L24" i="142"/>
  <c r="M24" i="142"/>
  <c r="E31" i="109"/>
  <c r="L17" i="142"/>
  <c r="L25" i="142"/>
  <c r="M25" i="142"/>
  <c r="K31" i="109"/>
  <c r="L18" i="142"/>
  <c r="L26" i="142"/>
  <c r="M26" i="142"/>
  <c r="J31" i="109"/>
  <c r="L19" i="142"/>
  <c r="L27" i="142"/>
  <c r="M27" i="142"/>
  <c r="N31" i="109"/>
  <c r="S31" i="109"/>
  <c r="AF33" i="109"/>
  <c r="L16" i="143"/>
  <c r="L27" i="143"/>
  <c r="M27" i="143"/>
  <c r="L17" i="143"/>
  <c r="L28" i="143"/>
  <c r="L20" i="143"/>
  <c r="L31" i="143"/>
  <c r="M31" i="143"/>
  <c r="K32" i="109"/>
  <c r="L15" i="143"/>
  <c r="L21" i="143"/>
  <c r="L26" i="143"/>
  <c r="L32" i="143"/>
  <c r="L10" i="143"/>
  <c r="L11" i="143"/>
  <c r="M11" i="143"/>
  <c r="C32" i="109"/>
  <c r="I21" i="143"/>
  <c r="I32" i="143"/>
  <c r="I34" i="143"/>
  <c r="K21" i="143"/>
  <c r="K12" i="143"/>
  <c r="K23" i="143"/>
  <c r="J21" i="143"/>
  <c r="J12" i="143"/>
  <c r="J23" i="143"/>
  <c r="I12" i="143"/>
  <c r="I23" i="143"/>
  <c r="J32" i="143"/>
  <c r="K32" i="143"/>
  <c r="J41" i="142"/>
  <c r="J50" i="142"/>
  <c r="J59" i="142"/>
  <c r="J61" i="142"/>
  <c r="K41" i="142"/>
  <c r="K50" i="142"/>
  <c r="L50" i="142"/>
  <c r="I41" i="142"/>
  <c r="I50" i="142"/>
  <c r="I59" i="142"/>
  <c r="I61" i="142"/>
  <c r="J12" i="142"/>
  <c r="J20" i="142"/>
  <c r="J28" i="142"/>
  <c r="J30" i="142"/>
  <c r="K12" i="142"/>
  <c r="K20" i="142"/>
  <c r="I12" i="142"/>
  <c r="I20" i="142"/>
  <c r="I28" i="142"/>
  <c r="I30" i="142"/>
  <c r="K59" i="142"/>
  <c r="K61" i="142"/>
  <c r="K28" i="142"/>
  <c r="K30" i="142"/>
  <c r="N23" i="141"/>
  <c r="N15" i="141"/>
  <c r="N16" i="141"/>
  <c r="N17" i="141"/>
  <c r="N18" i="141"/>
  <c r="N19" i="141"/>
  <c r="N20" i="141"/>
  <c r="N24" i="141"/>
  <c r="N25" i="141"/>
  <c r="O25" i="141"/>
  <c r="N26" i="141"/>
  <c r="O26" i="141"/>
  <c r="G29" i="109"/>
  <c r="N27" i="141"/>
  <c r="O27" i="141"/>
  <c r="N29" i="109"/>
  <c r="N10" i="141"/>
  <c r="O10" i="141"/>
  <c r="B29" i="109"/>
  <c r="N11" i="141"/>
  <c r="N12" i="141"/>
  <c r="N40" i="141"/>
  <c r="O40" i="141"/>
  <c r="R29" i="109"/>
  <c r="N41" i="141"/>
  <c r="O41" i="141"/>
  <c r="N45" i="141"/>
  <c r="N54" i="141"/>
  <c r="O54" i="141"/>
  <c r="N46" i="141"/>
  <c r="N55" i="141"/>
  <c r="N47" i="141"/>
  <c r="N56" i="141"/>
  <c r="O56" i="141"/>
  <c r="AD29" i="109"/>
  <c r="N48" i="141"/>
  <c r="N57" i="141"/>
  <c r="O57" i="141"/>
  <c r="V29" i="109"/>
  <c r="N49" i="141"/>
  <c r="N58" i="141"/>
  <c r="O58" i="141"/>
  <c r="W29" i="109"/>
  <c r="N50" i="141"/>
  <c r="N59" i="141"/>
  <c r="O59" i="141"/>
  <c r="AA29" i="109"/>
  <c r="S29" i="109"/>
  <c r="K29" i="109"/>
  <c r="M15" i="140"/>
  <c r="M25" i="140"/>
  <c r="N25" i="140"/>
  <c r="M16" i="140"/>
  <c r="M26" i="140"/>
  <c r="M27" i="140"/>
  <c r="M28" i="140"/>
  <c r="M29" i="140"/>
  <c r="M30" i="140"/>
  <c r="M31" i="140"/>
  <c r="M32" i="140"/>
  <c r="M17" i="140"/>
  <c r="N27" i="140"/>
  <c r="M18" i="140"/>
  <c r="N28" i="140"/>
  <c r="M19" i="140"/>
  <c r="N29" i="140"/>
  <c r="J30" i="109"/>
  <c r="M20" i="140"/>
  <c r="N30" i="140"/>
  <c r="M21" i="140"/>
  <c r="N31" i="140"/>
  <c r="M10" i="140"/>
  <c r="N10" i="140"/>
  <c r="M11" i="140"/>
  <c r="N11" i="140"/>
  <c r="C30" i="109"/>
  <c r="N30" i="109"/>
  <c r="O27" i="109"/>
  <c r="N27" i="109"/>
  <c r="E27" i="109"/>
  <c r="F18" i="139"/>
  <c r="C27" i="109"/>
  <c r="E18" i="139"/>
  <c r="B27" i="109"/>
  <c r="B30" i="109"/>
  <c r="L42" i="141"/>
  <c r="M42" i="141"/>
  <c r="J51" i="141"/>
  <c r="J60" i="141"/>
  <c r="J62" i="141"/>
  <c r="J42" i="141"/>
  <c r="J63" i="141"/>
  <c r="K51" i="141"/>
  <c r="K60" i="141"/>
  <c r="K62" i="141"/>
  <c r="K42" i="141"/>
  <c r="K63" i="141"/>
  <c r="L51" i="141"/>
  <c r="L60" i="141"/>
  <c r="L62" i="141"/>
  <c r="L63" i="141"/>
  <c r="M51" i="141"/>
  <c r="M60" i="141"/>
  <c r="M62" i="141"/>
  <c r="M63" i="141"/>
  <c r="N42" i="141"/>
  <c r="I51" i="141"/>
  <c r="I60" i="141"/>
  <c r="I62" i="141"/>
  <c r="I42" i="141"/>
  <c r="I63" i="141"/>
  <c r="L12" i="141"/>
  <c r="M12" i="141"/>
  <c r="L28" i="141"/>
  <c r="L20" i="141"/>
  <c r="L30" i="141"/>
  <c r="L32" i="141"/>
  <c r="M28" i="141"/>
  <c r="M20" i="141"/>
  <c r="M30" i="141"/>
  <c r="K28" i="141"/>
  <c r="J28" i="141"/>
  <c r="I28" i="141"/>
  <c r="K20" i="141"/>
  <c r="K30" i="141"/>
  <c r="K12" i="141"/>
  <c r="K32" i="141"/>
  <c r="J20" i="141"/>
  <c r="J30" i="141"/>
  <c r="J12" i="141"/>
  <c r="J32" i="141"/>
  <c r="I20" i="141"/>
  <c r="I30" i="141"/>
  <c r="I12" i="141"/>
  <c r="I32" i="141"/>
  <c r="K12" i="140"/>
  <c r="L32" i="140"/>
  <c r="K32" i="140"/>
  <c r="K22" i="140"/>
  <c r="K34" i="140"/>
  <c r="K36" i="140"/>
  <c r="J32" i="140"/>
  <c r="J22" i="140"/>
  <c r="J34" i="140"/>
  <c r="J12" i="140"/>
  <c r="J36" i="140"/>
  <c r="I32" i="140"/>
  <c r="I34" i="140"/>
  <c r="L22" i="140"/>
  <c r="L12" i="140"/>
  <c r="L34" i="140"/>
  <c r="L36" i="140"/>
  <c r="I12" i="140"/>
  <c r="I36" i="140"/>
  <c r="M32" i="141"/>
  <c r="M12" i="140"/>
  <c r="L16" i="138"/>
  <c r="L23" i="138"/>
  <c r="M23" i="138"/>
  <c r="L17" i="138"/>
  <c r="L24" i="138"/>
  <c r="M24" i="138"/>
  <c r="J26" i="109"/>
  <c r="L18" i="138"/>
  <c r="L25" i="138"/>
  <c r="M25" i="138"/>
  <c r="N26" i="109"/>
  <c r="L15" i="138"/>
  <c r="L22" i="138"/>
  <c r="M22" i="138"/>
  <c r="F26" i="109"/>
  <c r="L10" i="138"/>
  <c r="M10" i="138"/>
  <c r="L11" i="138"/>
  <c r="M11" i="138"/>
  <c r="C26" i="109"/>
  <c r="E26" i="109"/>
  <c r="L13" i="134"/>
  <c r="M13" i="134"/>
  <c r="M10" i="136"/>
  <c r="N10" i="136"/>
  <c r="B20" i="109"/>
  <c r="M11" i="136"/>
  <c r="N11" i="136"/>
  <c r="C20" i="109"/>
  <c r="M22" i="136"/>
  <c r="M15" i="136"/>
  <c r="N22" i="136"/>
  <c r="E20" i="109"/>
  <c r="M24" i="136"/>
  <c r="M17" i="136"/>
  <c r="N24" i="136"/>
  <c r="F20" i="109"/>
  <c r="M18" i="136"/>
  <c r="M25" i="136"/>
  <c r="N25" i="136"/>
  <c r="G20" i="109"/>
  <c r="M50" i="136"/>
  <c r="M43" i="136"/>
  <c r="M51" i="136"/>
  <c r="M44" i="136"/>
  <c r="N51" i="136"/>
  <c r="M37" i="136"/>
  <c r="N37" i="136"/>
  <c r="R20" i="109"/>
  <c r="M38" i="136"/>
  <c r="N38" i="136"/>
  <c r="T20" i="109"/>
  <c r="M39" i="136"/>
  <c r="N39" i="136"/>
  <c r="S20" i="109"/>
  <c r="V20" i="109"/>
  <c r="L13" i="132"/>
  <c r="L20" i="132"/>
  <c r="M20" i="132"/>
  <c r="E23" i="109"/>
  <c r="L14" i="132"/>
  <c r="L21" i="132"/>
  <c r="L15" i="132"/>
  <c r="L22" i="132"/>
  <c r="M22" i="132"/>
  <c r="K23" i="109"/>
  <c r="L16" i="132"/>
  <c r="L23" i="132"/>
  <c r="M23" i="132"/>
  <c r="G23" i="109"/>
  <c r="L24" i="132"/>
  <c r="L10" i="132"/>
  <c r="M10" i="132"/>
  <c r="L11" i="132"/>
  <c r="M11" i="132"/>
  <c r="L12" i="132"/>
  <c r="M12" i="132"/>
  <c r="L33" i="132"/>
  <c r="L34" i="132"/>
  <c r="M39" i="132"/>
  <c r="W23" i="109"/>
  <c r="C23" i="109"/>
  <c r="B23" i="109"/>
  <c r="L18" i="109"/>
  <c r="J18" i="109"/>
  <c r="E18" i="109"/>
  <c r="B18" i="109"/>
  <c r="O22" i="126"/>
  <c r="P22" i="126"/>
  <c r="L10" i="126"/>
  <c r="J12" i="138"/>
  <c r="J19" i="138"/>
  <c r="J26" i="138"/>
  <c r="J28" i="138"/>
  <c r="K12" i="138"/>
  <c r="K19" i="138"/>
  <c r="K26" i="138"/>
  <c r="K28" i="138"/>
  <c r="L12" i="138"/>
  <c r="L19" i="138"/>
  <c r="I12" i="138"/>
  <c r="I19" i="138"/>
  <c r="L26" i="138"/>
  <c r="L28" i="138"/>
  <c r="I26" i="138"/>
  <c r="I28" i="138"/>
  <c r="L58" i="137"/>
  <c r="L50" i="137"/>
  <c r="M58" i="137"/>
  <c r="L56" i="137"/>
  <c r="L48" i="137"/>
  <c r="L57" i="137"/>
  <c r="L49" i="137"/>
  <c r="M57" i="137"/>
  <c r="L59" i="137"/>
  <c r="L51" i="137"/>
  <c r="M59" i="137"/>
  <c r="L42" i="137"/>
  <c r="M42" i="137"/>
  <c r="L43" i="137"/>
  <c r="L45" i="137"/>
  <c r="M43" i="137"/>
  <c r="L53" i="137"/>
  <c r="K53" i="137"/>
  <c r="K61" i="137"/>
  <c r="K63" i="137"/>
  <c r="K45" i="137"/>
  <c r="K65" i="137"/>
  <c r="J53" i="137"/>
  <c r="J61" i="137"/>
  <c r="J63" i="137"/>
  <c r="J45" i="137"/>
  <c r="J65" i="137"/>
  <c r="I53" i="137"/>
  <c r="I61" i="137"/>
  <c r="I63" i="137"/>
  <c r="I45" i="137"/>
  <c r="I65" i="137"/>
  <c r="L25" i="137"/>
  <c r="L15" i="137"/>
  <c r="M25" i="137"/>
  <c r="L26" i="137"/>
  <c r="L16" i="137"/>
  <c r="M26" i="137"/>
  <c r="L27" i="137"/>
  <c r="L17" i="137"/>
  <c r="M27" i="137"/>
  <c r="L28" i="137"/>
  <c r="L18" i="137"/>
  <c r="M28" i="137"/>
  <c r="L29" i="137"/>
  <c r="L19" i="137"/>
  <c r="M29" i="137"/>
  <c r="L30" i="137"/>
  <c r="L20" i="137"/>
  <c r="M30" i="137"/>
  <c r="L9" i="137"/>
  <c r="L10" i="137"/>
  <c r="L12" i="137"/>
  <c r="M9" i="137"/>
  <c r="M10" i="137"/>
  <c r="K32" i="137"/>
  <c r="K22" i="137"/>
  <c r="K12" i="137"/>
  <c r="J32" i="137"/>
  <c r="J22" i="137"/>
  <c r="J34" i="137"/>
  <c r="J12" i="137"/>
  <c r="I32" i="137"/>
  <c r="I22" i="137"/>
  <c r="I34" i="137"/>
  <c r="I12" i="137"/>
  <c r="I36" i="137"/>
  <c r="M40" i="136"/>
  <c r="M47" i="136"/>
  <c r="L40" i="136"/>
  <c r="L54" i="136"/>
  <c r="L47" i="136"/>
  <c r="L56" i="136"/>
  <c r="L58" i="136"/>
  <c r="K40" i="136"/>
  <c r="K54" i="136"/>
  <c r="K47" i="136"/>
  <c r="K56" i="136"/>
  <c r="K58" i="136"/>
  <c r="J40" i="136"/>
  <c r="J54" i="136"/>
  <c r="J47" i="136"/>
  <c r="J56" i="136"/>
  <c r="J58" i="136"/>
  <c r="I40" i="136"/>
  <c r="I54" i="136"/>
  <c r="I47" i="136"/>
  <c r="I56" i="136"/>
  <c r="I58" i="136"/>
  <c r="M12" i="136"/>
  <c r="M26" i="136"/>
  <c r="M19" i="136"/>
  <c r="L12" i="136"/>
  <c r="L26" i="136"/>
  <c r="L19" i="136"/>
  <c r="L28" i="136"/>
  <c r="L30" i="136"/>
  <c r="K12" i="136"/>
  <c r="K26" i="136"/>
  <c r="K19" i="136"/>
  <c r="K28" i="136"/>
  <c r="J12" i="136"/>
  <c r="J26" i="136"/>
  <c r="J19" i="136"/>
  <c r="J28" i="136"/>
  <c r="I12" i="136"/>
  <c r="I26" i="136"/>
  <c r="I19" i="136"/>
  <c r="I28" i="136"/>
  <c r="I30" i="136"/>
  <c r="I39" i="134"/>
  <c r="L35" i="132"/>
  <c r="L43" i="132"/>
  <c r="L10" i="135"/>
  <c r="L11" i="135"/>
  <c r="M11" i="135"/>
  <c r="C28" i="109"/>
  <c r="L15" i="135"/>
  <c r="L22" i="135"/>
  <c r="M22" i="135"/>
  <c r="E28" i="109"/>
  <c r="L16" i="135"/>
  <c r="L23" i="135"/>
  <c r="L24" i="135"/>
  <c r="L25" i="135"/>
  <c r="L26" i="135"/>
  <c r="L17" i="135"/>
  <c r="M24" i="135"/>
  <c r="G28" i="109"/>
  <c r="L18" i="135"/>
  <c r="M25" i="135"/>
  <c r="N28" i="109"/>
  <c r="L23" i="133"/>
  <c r="L34" i="133"/>
  <c r="M34" i="133"/>
  <c r="K24" i="109"/>
  <c r="L20" i="133"/>
  <c r="L31" i="133"/>
  <c r="L21" i="133"/>
  <c r="L32" i="133"/>
  <c r="M32" i="133"/>
  <c r="L22" i="133"/>
  <c r="L33" i="133"/>
  <c r="M33" i="133"/>
  <c r="L19" i="133"/>
  <c r="L30" i="133"/>
  <c r="M30" i="133"/>
  <c r="F24" i="109"/>
  <c r="L18" i="133"/>
  <c r="L29" i="133"/>
  <c r="L10" i="133"/>
  <c r="M10" i="133"/>
  <c r="L11" i="133"/>
  <c r="M11" i="133"/>
  <c r="M12" i="133"/>
  <c r="L16" i="133"/>
  <c r="L27" i="133"/>
  <c r="L17" i="133"/>
  <c r="L28" i="133"/>
  <c r="M28" i="133"/>
  <c r="D24" i="109"/>
  <c r="C24" i="109"/>
  <c r="J19" i="135"/>
  <c r="J26" i="135"/>
  <c r="J27" i="135"/>
  <c r="K19" i="135"/>
  <c r="K26" i="135"/>
  <c r="K27" i="135"/>
  <c r="K12" i="135"/>
  <c r="K29" i="135"/>
  <c r="I19" i="135"/>
  <c r="I26" i="135"/>
  <c r="I27" i="135"/>
  <c r="J12" i="135"/>
  <c r="J29" i="135"/>
  <c r="I12" i="135"/>
  <c r="I29" i="135"/>
  <c r="J32" i="134"/>
  <c r="J40" i="134"/>
  <c r="K32" i="134"/>
  <c r="K40" i="134"/>
  <c r="L40" i="134"/>
  <c r="I32" i="134"/>
  <c r="I40" i="134"/>
  <c r="K39" i="134"/>
  <c r="L39" i="134"/>
  <c r="I19" i="134"/>
  <c r="J19" i="134"/>
  <c r="K19" i="134"/>
  <c r="K12" i="134"/>
  <c r="K22" i="134"/>
  <c r="L21" i="131"/>
  <c r="L22" i="131"/>
  <c r="L17" i="131"/>
  <c r="L18" i="131"/>
  <c r="M19" i="131"/>
  <c r="M21" i="124"/>
  <c r="M47" i="124"/>
  <c r="N47" i="124"/>
  <c r="M22" i="124"/>
  <c r="M48" i="124"/>
  <c r="N48" i="124"/>
  <c r="M23" i="124"/>
  <c r="M49" i="124"/>
  <c r="N49" i="124"/>
  <c r="M24" i="124"/>
  <c r="M50" i="124"/>
  <c r="N50" i="124"/>
  <c r="M25" i="124"/>
  <c r="M51" i="124"/>
  <c r="N51" i="124"/>
  <c r="G17" i="109"/>
  <c r="M26" i="124"/>
  <c r="M52" i="124"/>
  <c r="N52" i="124"/>
  <c r="M29" i="124"/>
  <c r="M55" i="124"/>
  <c r="N55" i="124"/>
  <c r="M35" i="124"/>
  <c r="M61" i="124"/>
  <c r="N61" i="124"/>
  <c r="M39" i="124"/>
  <c r="M65" i="124"/>
  <c r="N65" i="124"/>
  <c r="K17" i="109"/>
  <c r="M27" i="124"/>
  <c r="M53" i="124"/>
  <c r="N53" i="124"/>
  <c r="M28" i="124"/>
  <c r="M54" i="124"/>
  <c r="N54" i="124"/>
  <c r="M20" i="124"/>
  <c r="M30" i="124"/>
  <c r="M31" i="124"/>
  <c r="M32" i="124"/>
  <c r="M33" i="124"/>
  <c r="M34" i="124"/>
  <c r="M36" i="124"/>
  <c r="M37" i="124"/>
  <c r="M38" i="124"/>
  <c r="M40" i="124"/>
  <c r="M41" i="124"/>
  <c r="M42" i="124"/>
  <c r="M56" i="124"/>
  <c r="N56" i="124"/>
  <c r="M57" i="124"/>
  <c r="N57" i="124"/>
  <c r="M58" i="124"/>
  <c r="M59" i="124"/>
  <c r="N59" i="124"/>
  <c r="M60" i="124"/>
  <c r="N60" i="124"/>
  <c r="M64" i="124"/>
  <c r="N64" i="124"/>
  <c r="E17" i="109"/>
  <c r="M62" i="124"/>
  <c r="N62" i="124"/>
  <c r="M63" i="124"/>
  <c r="N63" i="124"/>
  <c r="M66" i="124"/>
  <c r="N66" i="124"/>
  <c r="M67" i="124"/>
  <c r="N67" i="124"/>
  <c r="I17" i="109"/>
  <c r="M46" i="124"/>
  <c r="N46" i="124"/>
  <c r="M16" i="123"/>
  <c r="M26" i="123"/>
  <c r="N26" i="123"/>
  <c r="M17" i="123"/>
  <c r="M27" i="123"/>
  <c r="N27" i="123"/>
  <c r="M15" i="123"/>
  <c r="M25" i="123"/>
  <c r="N25" i="123"/>
  <c r="M18" i="123"/>
  <c r="M28" i="123"/>
  <c r="N28" i="123"/>
  <c r="M19" i="123"/>
  <c r="M29" i="123"/>
  <c r="N29" i="123"/>
  <c r="G16" i="109"/>
  <c r="M20" i="123"/>
  <c r="M30" i="123"/>
  <c r="M21" i="123"/>
  <c r="M31" i="123"/>
  <c r="N31" i="123"/>
  <c r="I16" i="109"/>
  <c r="M10" i="123"/>
  <c r="M11" i="123"/>
  <c r="M12" i="123"/>
  <c r="N10" i="123"/>
  <c r="N11" i="123"/>
  <c r="L45" i="129"/>
  <c r="L39" i="129"/>
  <c r="L38" i="129"/>
  <c r="L41" i="129"/>
  <c r="L35" i="129"/>
  <c r="M35" i="129"/>
  <c r="L44" i="129"/>
  <c r="M44" i="129"/>
  <c r="L50" i="130"/>
  <c r="L56" i="130"/>
  <c r="L51" i="130"/>
  <c r="L52" i="130"/>
  <c r="L57" i="130"/>
  <c r="M57" i="130"/>
  <c r="Z21" i="109"/>
  <c r="L58" i="130"/>
  <c r="M58" i="130"/>
  <c r="AA21" i="109"/>
  <c r="L28" i="130"/>
  <c r="L29" i="130"/>
  <c r="L14" i="130"/>
  <c r="M29" i="130"/>
  <c r="L16" i="130"/>
  <c r="L31" i="130"/>
  <c r="M31" i="130"/>
  <c r="G21" i="109"/>
  <c r="L30" i="130"/>
  <c r="L15" i="130"/>
  <c r="M30" i="130"/>
  <c r="J21" i="109"/>
  <c r="L32" i="130"/>
  <c r="L33" i="130"/>
  <c r="L34" i="130"/>
  <c r="L35" i="130"/>
  <c r="L20" i="130"/>
  <c r="M35" i="130"/>
  <c r="L36" i="130"/>
  <c r="L37" i="130"/>
  <c r="L38" i="130"/>
  <c r="L23" i="130"/>
  <c r="M38" i="130"/>
  <c r="L13" i="130"/>
  <c r="L17" i="130"/>
  <c r="M32" i="130"/>
  <c r="L18" i="130"/>
  <c r="M33" i="130"/>
  <c r="I21" i="109"/>
  <c r="L19" i="130"/>
  <c r="M34" i="130"/>
  <c r="L21" i="130"/>
  <c r="M36" i="130"/>
  <c r="L22" i="130"/>
  <c r="M37" i="130"/>
  <c r="N21" i="109"/>
  <c r="L7" i="130"/>
  <c r="L8" i="130"/>
  <c r="L10" i="130"/>
  <c r="L24" i="130"/>
  <c r="M7" i="130"/>
  <c r="B21" i="109"/>
  <c r="M8" i="130"/>
  <c r="M9" i="130"/>
  <c r="I35" i="132"/>
  <c r="I43" i="132"/>
  <c r="L10" i="129"/>
  <c r="L11" i="129"/>
  <c r="M11" i="129"/>
  <c r="C19" i="109"/>
  <c r="L15" i="129"/>
  <c r="L22" i="129"/>
  <c r="M22" i="129"/>
  <c r="L16" i="129"/>
  <c r="L23" i="129"/>
  <c r="L17" i="129"/>
  <c r="L24" i="129"/>
  <c r="M24" i="129"/>
  <c r="J19" i="109"/>
  <c r="L18" i="129"/>
  <c r="L25" i="129"/>
  <c r="L9" i="118"/>
  <c r="M9" i="118"/>
  <c r="M12" i="118"/>
  <c r="M13" i="118"/>
  <c r="M14" i="118"/>
  <c r="L27" i="118"/>
  <c r="L15" i="118"/>
  <c r="M27" i="118"/>
  <c r="L28" i="118"/>
  <c r="L16" i="118"/>
  <c r="M28" i="118"/>
  <c r="L29" i="118"/>
  <c r="L17" i="118"/>
  <c r="M29" i="118"/>
  <c r="L30" i="118"/>
  <c r="L18" i="118"/>
  <c r="M30" i="118"/>
  <c r="L19" i="118"/>
  <c r="M31" i="118"/>
  <c r="L20" i="118"/>
  <c r="M32" i="118"/>
  <c r="L21" i="118"/>
  <c r="M33" i="118"/>
  <c r="K10" i="111"/>
  <c r="K9" i="111"/>
  <c r="C6" i="109"/>
  <c r="J12" i="134"/>
  <c r="J22" i="134"/>
  <c r="I12" i="134"/>
  <c r="I22" i="134"/>
  <c r="J24" i="133"/>
  <c r="J35" i="133"/>
  <c r="J36" i="133"/>
  <c r="J13" i="133"/>
  <c r="J38" i="133"/>
  <c r="K24" i="133"/>
  <c r="K35" i="133"/>
  <c r="K36" i="133"/>
  <c r="I24" i="133"/>
  <c r="I35" i="133"/>
  <c r="I36" i="133"/>
  <c r="I13" i="133"/>
  <c r="I38" i="133"/>
  <c r="K13" i="133"/>
  <c r="L13" i="133"/>
  <c r="K38" i="133"/>
  <c r="L13" i="131"/>
  <c r="L14" i="131"/>
  <c r="M15" i="131"/>
  <c r="R19" i="109"/>
  <c r="I41" i="129"/>
  <c r="I47" i="129"/>
  <c r="I49" i="129"/>
  <c r="I51" i="129"/>
  <c r="J47" i="129"/>
  <c r="J41" i="129"/>
  <c r="J49" i="129"/>
  <c r="J51" i="129"/>
  <c r="K41" i="129"/>
  <c r="K47" i="129"/>
  <c r="K49" i="129"/>
  <c r="K51" i="129"/>
  <c r="X23" i="109"/>
  <c r="J17" i="132"/>
  <c r="J24" i="132"/>
  <c r="K17" i="132"/>
  <c r="K24" i="132"/>
  <c r="I17" i="132"/>
  <c r="I24" i="132"/>
  <c r="K35" i="132"/>
  <c r="K43" i="132"/>
  <c r="J35" i="132"/>
  <c r="J43" i="132"/>
  <c r="K21" i="109"/>
  <c r="D21" i="109"/>
  <c r="G22" i="109"/>
  <c r="J10" i="131"/>
  <c r="J25" i="131"/>
  <c r="K10" i="131"/>
  <c r="K25" i="131"/>
  <c r="J23" i="131"/>
  <c r="K23" i="131"/>
  <c r="J19" i="131"/>
  <c r="K19" i="131"/>
  <c r="L19" i="131"/>
  <c r="J15" i="131"/>
  <c r="K15" i="131"/>
  <c r="I10" i="131"/>
  <c r="I25" i="131"/>
  <c r="I15" i="131"/>
  <c r="I19" i="131"/>
  <c r="I23" i="131"/>
  <c r="J59" i="130"/>
  <c r="J53" i="130"/>
  <c r="J62" i="130"/>
  <c r="K59" i="130"/>
  <c r="K53" i="130"/>
  <c r="K62" i="130"/>
  <c r="I59" i="130"/>
  <c r="I53" i="130"/>
  <c r="I62" i="130"/>
  <c r="I25" i="130"/>
  <c r="I39" i="130"/>
  <c r="I41" i="130"/>
  <c r="J25" i="130"/>
  <c r="J39" i="130"/>
  <c r="J41" i="130"/>
  <c r="K25" i="130"/>
  <c r="K39" i="130"/>
  <c r="K41" i="130"/>
  <c r="K10" i="130"/>
  <c r="K43" i="130"/>
  <c r="J10" i="130"/>
  <c r="I10" i="130"/>
  <c r="I43" i="130"/>
  <c r="E19" i="109"/>
  <c r="J19" i="129"/>
  <c r="J26" i="129"/>
  <c r="J28" i="129"/>
  <c r="K12" i="129"/>
  <c r="K19" i="129"/>
  <c r="K26" i="129"/>
  <c r="K28" i="129"/>
  <c r="J12" i="129"/>
  <c r="I12" i="129"/>
  <c r="I19" i="129"/>
  <c r="I26" i="129"/>
  <c r="I28" i="129"/>
  <c r="K19" i="126"/>
  <c r="K10" i="126"/>
  <c r="K32" i="126"/>
  <c r="J19" i="126"/>
  <c r="J10" i="126"/>
  <c r="I19" i="126"/>
  <c r="I10" i="126"/>
  <c r="I32" i="126"/>
  <c r="M29" i="126"/>
  <c r="M11" i="124"/>
  <c r="N11" i="124"/>
  <c r="M12" i="124"/>
  <c r="N12" i="124"/>
  <c r="M13" i="124"/>
  <c r="N13" i="124"/>
  <c r="M14" i="124"/>
  <c r="N14" i="124"/>
  <c r="M15" i="124"/>
  <c r="N15" i="124"/>
  <c r="C17" i="109"/>
  <c r="H12" i="111"/>
  <c r="H35" i="111"/>
  <c r="I12" i="111"/>
  <c r="I35" i="111"/>
  <c r="J12" i="111"/>
  <c r="J35" i="111"/>
  <c r="G12" i="111"/>
  <c r="G35" i="111"/>
  <c r="M8" i="127"/>
  <c r="N8" i="127"/>
  <c r="M9" i="127"/>
  <c r="N9" i="127"/>
  <c r="M10" i="127"/>
  <c r="N10" i="127"/>
  <c r="D65" i="109"/>
  <c r="C65" i="109"/>
  <c r="M15" i="127"/>
  <c r="M27" i="127"/>
  <c r="N27" i="127"/>
  <c r="M16" i="127"/>
  <c r="M28" i="127"/>
  <c r="N28" i="127"/>
  <c r="N65" i="109"/>
  <c r="M29" i="127"/>
  <c r="M30" i="127"/>
  <c r="M31" i="127"/>
  <c r="M32" i="127"/>
  <c r="M33" i="127"/>
  <c r="M34" i="127"/>
  <c r="M35" i="127"/>
  <c r="M19" i="127"/>
  <c r="N31" i="127"/>
  <c r="M17" i="127"/>
  <c r="N29" i="127"/>
  <c r="E65" i="109"/>
  <c r="M18" i="127"/>
  <c r="N30" i="127"/>
  <c r="F65" i="109"/>
  <c r="M20" i="127"/>
  <c r="N32" i="127"/>
  <c r="M21" i="127"/>
  <c r="N33" i="127"/>
  <c r="M22" i="127"/>
  <c r="N34" i="127"/>
  <c r="K65" i="109"/>
  <c r="L10" i="125"/>
  <c r="M10" i="125"/>
  <c r="L16" i="125"/>
  <c r="M16" i="125"/>
  <c r="C67" i="109"/>
  <c r="L11" i="125"/>
  <c r="L25" i="125"/>
  <c r="L12" i="125"/>
  <c r="L26" i="125"/>
  <c r="M26" i="125"/>
  <c r="G67" i="109"/>
  <c r="L13" i="125"/>
  <c r="L27" i="125"/>
  <c r="L14" i="125"/>
  <c r="L28" i="125"/>
  <c r="M28" i="125"/>
  <c r="J67" i="109"/>
  <c r="L15" i="125"/>
  <c r="L29" i="125"/>
  <c r="M29" i="125"/>
  <c r="I67" i="109"/>
  <c r="L20" i="125"/>
  <c r="M33" i="125"/>
  <c r="N67" i="109"/>
  <c r="I23" i="127"/>
  <c r="I35" i="127"/>
  <c r="J23" i="127"/>
  <c r="J35" i="127"/>
  <c r="K23" i="127"/>
  <c r="K35" i="127"/>
  <c r="K37" i="127"/>
  <c r="K11" i="127"/>
  <c r="K39" i="127"/>
  <c r="L23" i="127"/>
  <c r="L35" i="127"/>
  <c r="H30" i="111"/>
  <c r="I30" i="111"/>
  <c r="G30" i="111"/>
  <c r="H21" i="111"/>
  <c r="I21" i="111"/>
  <c r="G21" i="111"/>
  <c r="J11" i="127"/>
  <c r="I11" i="127"/>
  <c r="J17" i="125"/>
  <c r="J22" i="125"/>
  <c r="J30" i="125"/>
  <c r="J35" i="125"/>
  <c r="J37" i="125"/>
  <c r="K17" i="125"/>
  <c r="K22" i="125"/>
  <c r="K30" i="125"/>
  <c r="K35" i="125"/>
  <c r="K37" i="125"/>
  <c r="J68" i="124"/>
  <c r="K68" i="124"/>
  <c r="K42" i="124"/>
  <c r="K70" i="124"/>
  <c r="K16" i="124"/>
  <c r="K72" i="124"/>
  <c r="L68" i="124"/>
  <c r="L42" i="124"/>
  <c r="L70" i="124"/>
  <c r="L16" i="124"/>
  <c r="I68" i="124"/>
  <c r="I42" i="124"/>
  <c r="I70" i="124"/>
  <c r="I16" i="124"/>
  <c r="I72" i="124"/>
  <c r="J42" i="124"/>
  <c r="J70" i="124"/>
  <c r="J16" i="124"/>
  <c r="L10" i="122"/>
  <c r="M10" i="122"/>
  <c r="B15" i="109"/>
  <c r="L11" i="122"/>
  <c r="M11" i="122"/>
  <c r="C15" i="109"/>
  <c r="L19" i="122"/>
  <c r="M26" i="122"/>
  <c r="E15" i="109"/>
  <c r="L20" i="122"/>
  <c r="L21" i="122"/>
  <c r="M28" i="122"/>
  <c r="J15" i="109"/>
  <c r="L22" i="122"/>
  <c r="L23" i="122"/>
  <c r="M29" i="122"/>
  <c r="N15" i="109"/>
  <c r="C16" i="109"/>
  <c r="B16" i="109"/>
  <c r="J22" i="123"/>
  <c r="J32" i="123"/>
  <c r="J34" i="123"/>
  <c r="K22" i="123"/>
  <c r="K32" i="123"/>
  <c r="K34" i="123"/>
  <c r="K12" i="123"/>
  <c r="K36" i="123"/>
  <c r="L22" i="123"/>
  <c r="L32" i="123"/>
  <c r="L34" i="123"/>
  <c r="L12" i="123"/>
  <c r="L36" i="123"/>
  <c r="I22" i="123"/>
  <c r="I32" i="123"/>
  <c r="I34" i="123"/>
  <c r="J12" i="123"/>
  <c r="I12" i="123"/>
  <c r="I36" i="123"/>
  <c r="C7" i="109"/>
  <c r="N7" i="109"/>
  <c r="L30" i="122"/>
  <c r="K23" i="122"/>
  <c r="J23" i="122"/>
  <c r="I23" i="122"/>
  <c r="K16" i="122"/>
  <c r="K34" i="122"/>
  <c r="J16" i="122"/>
  <c r="I16" i="122"/>
  <c r="L12" i="122"/>
  <c r="L13" i="122"/>
  <c r="L14" i="122"/>
  <c r="L15" i="122"/>
  <c r="J34" i="122"/>
  <c r="I34" i="122"/>
  <c r="M28" i="121"/>
  <c r="M16" i="121"/>
  <c r="N28" i="121"/>
  <c r="M29" i="121"/>
  <c r="M17" i="121"/>
  <c r="M30" i="121"/>
  <c r="M18" i="121"/>
  <c r="N30" i="121"/>
  <c r="E14" i="109"/>
  <c r="M31" i="121"/>
  <c r="M19" i="121"/>
  <c r="M20" i="121"/>
  <c r="M21" i="121"/>
  <c r="M22" i="121"/>
  <c r="M23" i="121"/>
  <c r="M24" i="121"/>
  <c r="N31" i="121"/>
  <c r="F14" i="109"/>
  <c r="M32" i="121"/>
  <c r="N32" i="121"/>
  <c r="M33" i="121"/>
  <c r="N33" i="121"/>
  <c r="K14" i="109"/>
  <c r="M34" i="121"/>
  <c r="M35" i="121"/>
  <c r="M10" i="121"/>
  <c r="M11" i="121"/>
  <c r="N11" i="121"/>
  <c r="C14" i="109"/>
  <c r="J24" i="121"/>
  <c r="J36" i="121"/>
  <c r="J38" i="121"/>
  <c r="J12" i="121"/>
  <c r="J40" i="121"/>
  <c r="K24" i="121"/>
  <c r="L24" i="121"/>
  <c r="L36" i="121"/>
  <c r="L38" i="121"/>
  <c r="I24" i="121"/>
  <c r="I36" i="121"/>
  <c r="I38" i="121"/>
  <c r="I40" i="121"/>
  <c r="K36" i="121"/>
  <c r="L12" i="121"/>
  <c r="K12" i="121"/>
  <c r="K38" i="121"/>
  <c r="K40" i="121"/>
  <c r="L53" i="120"/>
  <c r="L45" i="120"/>
  <c r="M53" i="120"/>
  <c r="L54" i="120"/>
  <c r="L46" i="120"/>
  <c r="L47" i="120"/>
  <c r="L50" i="120"/>
  <c r="L55" i="120"/>
  <c r="L58" i="120"/>
  <c r="L60" i="120"/>
  <c r="L39" i="120"/>
  <c r="L40" i="120"/>
  <c r="L42" i="120"/>
  <c r="L62" i="120"/>
  <c r="M54" i="120"/>
  <c r="U13" i="109"/>
  <c r="M56" i="120"/>
  <c r="M40" i="120"/>
  <c r="S13" i="109"/>
  <c r="L23" i="120"/>
  <c r="L24" i="120"/>
  <c r="L17" i="120"/>
  <c r="M24" i="120"/>
  <c r="G13" i="109"/>
  <c r="L25" i="120"/>
  <c r="L18" i="120"/>
  <c r="M25" i="120"/>
  <c r="L13" i="109"/>
  <c r="L16" i="120"/>
  <c r="L20" i="120"/>
  <c r="L9" i="120"/>
  <c r="M9" i="120"/>
  <c r="B13" i="109"/>
  <c r="L10" i="120"/>
  <c r="W13" i="109"/>
  <c r="M11" i="120"/>
  <c r="D13" i="109"/>
  <c r="J58" i="120"/>
  <c r="K58" i="120"/>
  <c r="K50" i="120"/>
  <c r="K60" i="120"/>
  <c r="K42" i="120"/>
  <c r="K62" i="120"/>
  <c r="I58" i="120"/>
  <c r="I50" i="120"/>
  <c r="I60" i="120"/>
  <c r="I42" i="120"/>
  <c r="I62" i="120"/>
  <c r="J50" i="120"/>
  <c r="J60" i="120"/>
  <c r="J42" i="120"/>
  <c r="J62" i="120"/>
  <c r="M10" i="120"/>
  <c r="C13" i="109"/>
  <c r="K27" i="120"/>
  <c r="K20" i="120"/>
  <c r="K13" i="120"/>
  <c r="J27" i="120"/>
  <c r="J20" i="120"/>
  <c r="J29" i="120"/>
  <c r="J13" i="120"/>
  <c r="I27" i="120"/>
  <c r="I20" i="120"/>
  <c r="I13" i="120"/>
  <c r="I31" i="120"/>
  <c r="M22" i="119"/>
  <c r="M23" i="119"/>
  <c r="M24" i="119"/>
  <c r="M25" i="119"/>
  <c r="M26" i="119"/>
  <c r="M15" i="119"/>
  <c r="N22" i="119"/>
  <c r="E11" i="109"/>
  <c r="M16" i="119"/>
  <c r="N23" i="119"/>
  <c r="N11" i="109"/>
  <c r="M17" i="119"/>
  <c r="N24" i="119"/>
  <c r="J11" i="109"/>
  <c r="M18" i="119"/>
  <c r="N25" i="119"/>
  <c r="I11" i="109"/>
  <c r="M10" i="119"/>
  <c r="N10" i="119"/>
  <c r="B11" i="109"/>
  <c r="M11" i="119"/>
  <c r="M12" i="119"/>
  <c r="M48" i="119"/>
  <c r="M49" i="119"/>
  <c r="M50" i="119"/>
  <c r="M43" i="119"/>
  <c r="M44" i="119"/>
  <c r="M45" i="119"/>
  <c r="M52" i="119"/>
  <c r="M37" i="119"/>
  <c r="M38" i="119"/>
  <c r="M39" i="119"/>
  <c r="M40" i="119"/>
  <c r="N39" i="119"/>
  <c r="S11" i="109"/>
  <c r="N48" i="119"/>
  <c r="Z11" i="109"/>
  <c r="N49" i="119"/>
  <c r="N38" i="119"/>
  <c r="T11" i="109"/>
  <c r="I50" i="119"/>
  <c r="I45" i="119"/>
  <c r="I52" i="119"/>
  <c r="J50" i="119"/>
  <c r="J45" i="119"/>
  <c r="J52" i="119"/>
  <c r="K50" i="119"/>
  <c r="K45" i="119"/>
  <c r="K52" i="119"/>
  <c r="K40" i="119"/>
  <c r="K54" i="119"/>
  <c r="L50" i="119"/>
  <c r="L45" i="119"/>
  <c r="L52" i="119"/>
  <c r="L40" i="119"/>
  <c r="J40" i="119"/>
  <c r="J54" i="119"/>
  <c r="I40" i="119"/>
  <c r="M19" i="119"/>
  <c r="L12" i="119"/>
  <c r="L26" i="119"/>
  <c r="L19" i="119"/>
  <c r="L28" i="119"/>
  <c r="K12" i="119"/>
  <c r="K26" i="119"/>
  <c r="K19" i="119"/>
  <c r="J12" i="119"/>
  <c r="J26" i="119"/>
  <c r="J19" i="119"/>
  <c r="J28" i="119"/>
  <c r="I12" i="119"/>
  <c r="I26" i="119"/>
  <c r="I19" i="119"/>
  <c r="I28" i="119"/>
  <c r="L35" i="118"/>
  <c r="L23" i="118"/>
  <c r="L11" i="118"/>
  <c r="K10" i="109"/>
  <c r="G10" i="109"/>
  <c r="E10" i="109"/>
  <c r="B10" i="109"/>
  <c r="M34" i="118"/>
  <c r="M38" i="118"/>
  <c r="I35" i="118"/>
  <c r="I23" i="118"/>
  <c r="I37" i="118"/>
  <c r="J35" i="118"/>
  <c r="J23" i="118"/>
  <c r="J37" i="118"/>
  <c r="K35" i="118"/>
  <c r="K23" i="118"/>
  <c r="K11" i="118"/>
  <c r="J11" i="118"/>
  <c r="I11" i="118"/>
  <c r="J17" i="117"/>
  <c r="J36" i="117"/>
  <c r="K17" i="117"/>
  <c r="K36" i="117"/>
  <c r="L17" i="117"/>
  <c r="L36" i="117"/>
  <c r="I17" i="117"/>
  <c r="I36" i="117"/>
  <c r="B6" i="109"/>
  <c r="J15" i="115"/>
  <c r="J23" i="115"/>
  <c r="J24" i="115"/>
  <c r="J25" i="115"/>
  <c r="J26" i="115"/>
  <c r="J28" i="115"/>
  <c r="J16" i="115"/>
  <c r="J17" i="115"/>
  <c r="K25" i="115"/>
  <c r="F5" i="109"/>
  <c r="J18" i="115"/>
  <c r="J9" i="115"/>
  <c r="J10" i="115"/>
  <c r="K10" i="115"/>
  <c r="C5" i="109"/>
  <c r="H20" i="115"/>
  <c r="H28" i="115"/>
  <c r="I20" i="115"/>
  <c r="I28" i="115"/>
  <c r="I30" i="115"/>
  <c r="I12" i="115"/>
  <c r="I32" i="115"/>
  <c r="G20" i="115"/>
  <c r="G28" i="115"/>
  <c r="G30" i="115"/>
  <c r="G12" i="115"/>
  <c r="G32" i="115"/>
  <c r="H12" i="115"/>
  <c r="AF10" i="109"/>
  <c r="AF66" i="109"/>
  <c r="P66" i="109"/>
  <c r="AF22" i="109"/>
  <c r="AG66" i="109"/>
  <c r="AF15" i="109"/>
  <c r="AF18" i="109"/>
  <c r="AF40" i="109"/>
  <c r="AF67" i="109"/>
  <c r="AG65" i="109"/>
  <c r="AF63" i="109"/>
  <c r="AF59" i="109"/>
  <c r="AF57" i="109"/>
  <c r="AF53" i="109"/>
  <c r="AF46" i="109"/>
  <c r="AF43" i="109"/>
  <c r="P34" i="109"/>
  <c r="AF34" i="109"/>
  <c r="AF30" i="109"/>
  <c r="AF26" i="109"/>
  <c r="AF24" i="109"/>
  <c r="AF17" i="109"/>
  <c r="AF16" i="109"/>
  <c r="AF6" i="109"/>
  <c r="AG6" i="109"/>
  <c r="AF5" i="109"/>
  <c r="AG5" i="109"/>
  <c r="AF62" i="109"/>
  <c r="P49" i="109"/>
  <c r="Q49" i="109"/>
  <c r="P42" i="109"/>
  <c r="Q42" i="109"/>
  <c r="AF37" i="109"/>
  <c r="AF56" i="109"/>
  <c r="AF52" i="109"/>
  <c r="AF49" i="109"/>
  <c r="AF39" i="109"/>
  <c r="AF32" i="109"/>
  <c r="AF7" i="109"/>
  <c r="AG7" i="109"/>
  <c r="AF28" i="109"/>
  <c r="AF14" i="109"/>
  <c r="AF45" i="109"/>
  <c r="AG10" i="109"/>
  <c r="AF61" i="109"/>
  <c r="AG67" i="109"/>
  <c r="P54" i="109"/>
  <c r="AF64" i="109"/>
  <c r="AG64" i="109"/>
  <c r="Q66" i="109"/>
  <c r="P59" i="109"/>
  <c r="Q59" i="109"/>
  <c r="Q54" i="109"/>
  <c r="Q34" i="109"/>
  <c r="M55" i="120"/>
  <c r="AD13" i="109"/>
  <c r="N22" i="122"/>
  <c r="N19" i="122"/>
  <c r="N20" i="122"/>
  <c r="O20" i="122"/>
  <c r="L13" i="120"/>
  <c r="F16" i="109"/>
  <c r="T23" i="109"/>
  <c r="N10" i="121"/>
  <c r="B14" i="109"/>
  <c r="M12" i="121"/>
  <c r="K9" i="115"/>
  <c r="B5" i="109"/>
  <c r="J12" i="115"/>
  <c r="L37" i="118"/>
  <c r="L39" i="118"/>
  <c r="I30" i="126"/>
  <c r="V13" i="109"/>
  <c r="M39" i="120"/>
  <c r="R13" i="109"/>
  <c r="L15" i="131"/>
  <c r="K26" i="132"/>
  <c r="I29" i="120"/>
  <c r="K31" i="120"/>
  <c r="J36" i="123"/>
  <c r="M27" i="122"/>
  <c r="I15" i="109"/>
  <c r="J30" i="111"/>
  <c r="L17" i="125"/>
  <c r="L22" i="125"/>
  <c r="L30" i="125"/>
  <c r="L35" i="125"/>
  <c r="L37" i="125"/>
  <c r="J17" i="109"/>
  <c r="M34" i="122"/>
  <c r="K29" i="120"/>
  <c r="N35" i="121"/>
  <c r="N21" i="122"/>
  <c r="O21" i="122"/>
  <c r="L37" i="127"/>
  <c r="L39" i="127"/>
  <c r="E16" i="109"/>
  <c r="J32" i="126"/>
  <c r="J30" i="126"/>
  <c r="J26" i="132"/>
  <c r="I26" i="132"/>
  <c r="K24" i="115"/>
  <c r="G5" i="109"/>
  <c r="E22" i="109"/>
  <c r="O19" i="122"/>
  <c r="M17" i="117"/>
  <c r="M36" i="117"/>
  <c r="L12" i="134"/>
  <c r="M23" i="127"/>
  <c r="M37" i="127"/>
  <c r="B65" i="109"/>
  <c r="I38" i="144"/>
  <c r="I52" i="144"/>
  <c r="J33" i="109"/>
  <c r="L20" i="144"/>
  <c r="M30" i="144"/>
  <c r="K33" i="109"/>
  <c r="C21" i="109"/>
  <c r="J43" i="130"/>
  <c r="N38" i="109"/>
  <c r="K38" i="109"/>
  <c r="J38" i="109"/>
  <c r="AF13" i="109"/>
  <c r="P41" i="109"/>
  <c r="AF21" i="109"/>
  <c r="P27" i="109"/>
  <c r="Q27" i="109"/>
  <c r="P58" i="109"/>
  <c r="P64" i="109"/>
  <c r="P20" i="109"/>
  <c r="P18" i="109"/>
  <c r="N58" i="124"/>
  <c r="N72" i="124"/>
  <c r="N17" i="109"/>
  <c r="N16" i="109"/>
  <c r="N15" i="134"/>
  <c r="O15" i="134"/>
  <c r="P15" i="134"/>
  <c r="J25" i="109"/>
  <c r="N16" i="134"/>
  <c r="O16" i="134"/>
  <c r="P16" i="134"/>
  <c r="P17" i="134"/>
  <c r="N25" i="109"/>
  <c r="J39" i="118"/>
  <c r="K23" i="115"/>
  <c r="K28" i="119"/>
  <c r="K30" i="119"/>
  <c r="L54" i="119"/>
  <c r="U11" i="109"/>
  <c r="M28" i="119"/>
  <c r="N29" i="121"/>
  <c r="N34" i="121"/>
  <c r="N40" i="121"/>
  <c r="N14" i="109"/>
  <c r="K34" i="137"/>
  <c r="K36" i="137"/>
  <c r="L40" i="121"/>
  <c r="M36" i="137"/>
  <c r="K24" i="160"/>
  <c r="K25" i="160"/>
  <c r="L30" i="119"/>
  <c r="N11" i="119"/>
  <c r="C11" i="109"/>
  <c r="P11" i="109"/>
  <c r="G14" i="109"/>
  <c r="L16" i="122"/>
  <c r="L34" i="122"/>
  <c r="M45" i="129"/>
  <c r="M51" i="129"/>
  <c r="J30" i="136"/>
  <c r="M56" i="137"/>
  <c r="M65" i="137"/>
  <c r="L61" i="137"/>
  <c r="L63" i="137"/>
  <c r="L65" i="137"/>
  <c r="AH15" i="109"/>
  <c r="O15" i="109"/>
  <c r="O22" i="122"/>
  <c r="O23" i="122"/>
  <c r="I30" i="119"/>
  <c r="M30" i="119"/>
  <c r="M62" i="120"/>
  <c r="AE13" i="109"/>
  <c r="AG13" i="109"/>
  <c r="P15" i="109"/>
  <c r="M23" i="131"/>
  <c r="L22" i="109"/>
  <c r="P22" i="109"/>
  <c r="M25" i="129"/>
  <c r="N19" i="109"/>
  <c r="L26" i="129"/>
  <c r="L25" i="130"/>
  <c r="L47" i="129"/>
  <c r="L49" i="129"/>
  <c r="L51" i="129"/>
  <c r="M32" i="123"/>
  <c r="M68" i="124"/>
  <c r="M70" i="124"/>
  <c r="J20" i="115"/>
  <c r="J30" i="115"/>
  <c r="J32" i="115"/>
  <c r="K26" i="115"/>
  <c r="N5" i="109"/>
  <c r="N30" i="136"/>
  <c r="M9" i="159"/>
  <c r="C51" i="109"/>
  <c r="L10" i="159"/>
  <c r="M25" i="160"/>
  <c r="B52" i="109"/>
  <c r="P52" i="109"/>
  <c r="E7" i="109"/>
  <c r="N23" i="122"/>
  <c r="M54" i="119"/>
  <c r="I54" i="119"/>
  <c r="N30" i="119"/>
  <c r="AD19" i="109"/>
  <c r="AF19" i="109"/>
  <c r="M29" i="133"/>
  <c r="E24" i="109"/>
  <c r="L34" i="143"/>
  <c r="L43" i="145"/>
  <c r="L44" i="145"/>
  <c r="K37" i="118"/>
  <c r="K39" i="118"/>
  <c r="L27" i="120"/>
  <c r="L31" i="120"/>
  <c r="M31" i="120"/>
  <c r="M23" i="120"/>
  <c r="E13" i="109"/>
  <c r="P13" i="109"/>
  <c r="N50" i="136"/>
  <c r="M54" i="136"/>
  <c r="M56" i="136"/>
  <c r="L18" i="159"/>
  <c r="M25" i="159"/>
  <c r="K51" i="109"/>
  <c r="J30" i="119"/>
  <c r="H30" i="115"/>
  <c r="H32" i="115"/>
  <c r="N37" i="119"/>
  <c r="R11" i="109"/>
  <c r="J31" i="120"/>
  <c r="M36" i="121"/>
  <c r="M38" i="121"/>
  <c r="M40" i="121"/>
  <c r="N10" i="109"/>
  <c r="P10" i="109"/>
  <c r="L35" i="133"/>
  <c r="M44" i="145"/>
  <c r="AE35" i="109"/>
  <c r="W35" i="109"/>
  <c r="AF35" i="109"/>
  <c r="M22" i="123"/>
  <c r="M34" i="123"/>
  <c r="M36" i="123"/>
  <c r="AF47" i="109"/>
  <c r="L72" i="124"/>
  <c r="J37" i="127"/>
  <c r="J39" i="127"/>
  <c r="I30" i="129"/>
  <c r="M28" i="130"/>
  <c r="L39" i="130"/>
  <c r="F17" i="109"/>
  <c r="L23" i="131"/>
  <c r="M31" i="133"/>
  <c r="J24" i="109"/>
  <c r="K30" i="136"/>
  <c r="L22" i="137"/>
  <c r="L32" i="137"/>
  <c r="L34" i="137"/>
  <c r="U29" i="109"/>
  <c r="O55" i="141"/>
  <c r="O63" i="141"/>
  <c r="AE29" i="109"/>
  <c r="M30" i="142"/>
  <c r="O31" i="109"/>
  <c r="B31" i="109"/>
  <c r="P31" i="109"/>
  <c r="M29" i="144"/>
  <c r="I33" i="109"/>
  <c r="L34" i="144"/>
  <c r="L35" i="144"/>
  <c r="N43" i="165"/>
  <c r="N46" i="165"/>
  <c r="AE58" i="109"/>
  <c r="R58" i="109"/>
  <c r="AH61" i="109"/>
  <c r="O61" i="109"/>
  <c r="I39" i="118"/>
  <c r="G7" i="109"/>
  <c r="J72" i="124"/>
  <c r="I37" i="127"/>
  <c r="I39" i="127"/>
  <c r="J30" i="129"/>
  <c r="M25" i="131"/>
  <c r="M39" i="118"/>
  <c r="L59" i="130"/>
  <c r="M21" i="132"/>
  <c r="N23" i="109"/>
  <c r="P23" i="109"/>
  <c r="L17" i="132"/>
  <c r="L26" i="132"/>
  <c r="N28" i="141"/>
  <c r="N30" i="141"/>
  <c r="N32" i="141"/>
  <c r="O24" i="141"/>
  <c r="F29" i="109"/>
  <c r="J38" i="144"/>
  <c r="J52" i="144"/>
  <c r="K75" i="148"/>
  <c r="M56" i="130"/>
  <c r="M62" i="130"/>
  <c r="AE21" i="109"/>
  <c r="AG21" i="109"/>
  <c r="L53" i="130"/>
  <c r="M28" i="136"/>
  <c r="M30" i="136"/>
  <c r="M25" i="125"/>
  <c r="E67" i="109"/>
  <c r="L19" i="129"/>
  <c r="L28" i="129"/>
  <c r="M23" i="129"/>
  <c r="F19" i="109"/>
  <c r="G30" i="109"/>
  <c r="O23" i="141"/>
  <c r="AD55" i="109"/>
  <c r="L24" i="133"/>
  <c r="L36" i="133"/>
  <c r="L38" i="133"/>
  <c r="M27" i="133"/>
  <c r="N24" i="109"/>
  <c r="L19" i="135"/>
  <c r="L27" i="135"/>
  <c r="M23" i="135"/>
  <c r="K28" i="109"/>
  <c r="L30" i="126"/>
  <c r="L32" i="126"/>
  <c r="O25" i="126"/>
  <c r="P25" i="126"/>
  <c r="O23" i="126"/>
  <c r="L19" i="134"/>
  <c r="M19" i="134"/>
  <c r="N17" i="134"/>
  <c r="O17" i="134"/>
  <c r="L7" i="109"/>
  <c r="G65" i="109"/>
  <c r="P65" i="109"/>
  <c r="M16" i="124"/>
  <c r="M72" i="124"/>
  <c r="B24" i="109"/>
  <c r="O26" i="126"/>
  <c r="P26" i="126"/>
  <c r="M38" i="132"/>
  <c r="N33" i="132"/>
  <c r="AD31" i="109"/>
  <c r="M8" i="144"/>
  <c r="L10" i="144"/>
  <c r="L21" i="144"/>
  <c r="L38" i="144"/>
  <c r="L27" i="145"/>
  <c r="L19" i="145"/>
  <c r="L28" i="145"/>
  <c r="L29" i="145"/>
  <c r="M23" i="145"/>
  <c r="G35" i="109"/>
  <c r="L10" i="169"/>
  <c r="M8" i="169"/>
  <c r="L12" i="129"/>
  <c r="L30" i="129"/>
  <c r="M10" i="129"/>
  <c r="N30" i="123"/>
  <c r="K16" i="109"/>
  <c r="P16" i="109"/>
  <c r="B67" i="109"/>
  <c r="B17" i="109"/>
  <c r="K30" i="129"/>
  <c r="G24" i="109"/>
  <c r="L12" i="135"/>
  <c r="L29" i="135"/>
  <c r="M10" i="135"/>
  <c r="M58" i="136"/>
  <c r="M26" i="132"/>
  <c r="M10" i="143"/>
  <c r="L12" i="143"/>
  <c r="L23" i="143"/>
  <c r="L36" i="143"/>
  <c r="K24" i="111"/>
  <c r="J21" i="111"/>
  <c r="M23" i="169"/>
  <c r="I63" i="109"/>
  <c r="K30" i="126"/>
  <c r="J39" i="134"/>
  <c r="M57" i="142"/>
  <c r="Z31" i="109"/>
  <c r="M31" i="150"/>
  <c r="N40" i="109"/>
  <c r="P40" i="109"/>
  <c r="B51" i="109"/>
  <c r="J24" i="160"/>
  <c r="M21" i="169"/>
  <c r="N63" i="109"/>
  <c r="L17" i="169"/>
  <c r="L24" i="169"/>
  <c r="L26" i="169"/>
  <c r="N26" i="140"/>
  <c r="K30" i="109"/>
  <c r="M22" i="140"/>
  <c r="M34" i="140"/>
  <c r="M36" i="140"/>
  <c r="X29" i="109"/>
  <c r="N51" i="141"/>
  <c r="N60" i="141"/>
  <c r="N62" i="141"/>
  <c r="N63" i="141"/>
  <c r="M26" i="143"/>
  <c r="E32" i="109"/>
  <c r="M28" i="143"/>
  <c r="F32" i="109"/>
  <c r="L12" i="142"/>
  <c r="L20" i="142"/>
  <c r="M32" i="126"/>
  <c r="M9" i="146"/>
  <c r="L16" i="146"/>
  <c r="L22" i="146"/>
  <c r="M20" i="147"/>
  <c r="N8" i="147"/>
  <c r="N20" i="149"/>
  <c r="N39" i="109"/>
  <c r="M17" i="149"/>
  <c r="M25" i="149"/>
  <c r="M26" i="149"/>
  <c r="B50" i="109"/>
  <c r="L43" i="156"/>
  <c r="L52" i="156"/>
  <c r="L53" i="156"/>
  <c r="M23" i="164"/>
  <c r="B57" i="109"/>
  <c r="P57" i="109"/>
  <c r="L10" i="153"/>
  <c r="M8" i="153"/>
  <c r="J25" i="160"/>
  <c r="M27" i="125"/>
  <c r="K67" i="109"/>
  <c r="J36" i="137"/>
  <c r="B26" i="109"/>
  <c r="P26" i="109"/>
  <c r="M28" i="138"/>
  <c r="E30" i="109"/>
  <c r="N36" i="140"/>
  <c r="O11" i="141"/>
  <c r="C29" i="109"/>
  <c r="M39" i="142"/>
  <c r="P31" i="134"/>
  <c r="W25" i="109"/>
  <c r="J29" i="145"/>
  <c r="M25" i="145"/>
  <c r="N35" i="109"/>
  <c r="N8" i="149"/>
  <c r="M18" i="157"/>
  <c r="M27" i="157"/>
  <c r="M29" i="157"/>
  <c r="F20" i="152"/>
  <c r="C43" i="109"/>
  <c r="J10" i="152"/>
  <c r="J20" i="152"/>
  <c r="F18" i="152"/>
  <c r="M24" i="168"/>
  <c r="H62" i="109"/>
  <c r="L19" i="168"/>
  <c r="L27" i="168"/>
  <c r="L28" i="168"/>
  <c r="M11" i="127"/>
  <c r="M39" i="127"/>
  <c r="N34" i="132"/>
  <c r="O34" i="132"/>
  <c r="N32" i="109"/>
  <c r="L28" i="142"/>
  <c r="O14" i="134"/>
  <c r="L48" i="144"/>
  <c r="M41" i="144"/>
  <c r="N33" i="109"/>
  <c r="L51" i="151"/>
  <c r="L53" i="151"/>
  <c r="L34" i="150"/>
  <c r="N55" i="162"/>
  <c r="N63" i="162"/>
  <c r="N64" i="162"/>
  <c r="N39" i="127"/>
  <c r="L59" i="142"/>
  <c r="L61" i="142"/>
  <c r="N29" i="134"/>
  <c r="N30" i="134"/>
  <c r="O30" i="134"/>
  <c r="K35" i="144"/>
  <c r="K38" i="144"/>
  <c r="K52" i="144"/>
  <c r="R41" i="109"/>
  <c r="L18" i="158"/>
  <c r="M25" i="158"/>
  <c r="N50" i="109"/>
  <c r="N21" i="165"/>
  <c r="I24" i="160"/>
  <c r="L17" i="160"/>
  <c r="L24" i="160"/>
  <c r="M21" i="161"/>
  <c r="L18" i="161"/>
  <c r="L27" i="161"/>
  <c r="L28" i="161"/>
  <c r="H55" i="109"/>
  <c r="N29" i="162"/>
  <c r="N42" i="162"/>
  <c r="O84" i="162"/>
  <c r="O86" i="162"/>
  <c r="O94" i="162"/>
  <c r="S55" i="109"/>
  <c r="I14" i="167"/>
  <c r="V41" i="109"/>
  <c r="G20" i="152"/>
  <c r="E43" i="109"/>
  <c r="M45" i="157"/>
  <c r="M47" i="157"/>
  <c r="M49" i="157"/>
  <c r="N43" i="157"/>
  <c r="L26" i="158"/>
  <c r="L28" i="158"/>
  <c r="R51" i="109"/>
  <c r="M47" i="159"/>
  <c r="Z51" i="109"/>
  <c r="L11" i="160"/>
  <c r="L25" i="160"/>
  <c r="J94" i="162"/>
  <c r="L13" i="164"/>
  <c r="L21" i="164"/>
  <c r="L23" i="164"/>
  <c r="I21" i="164"/>
  <c r="I23" i="164"/>
  <c r="D14" i="167"/>
  <c r="D16" i="167"/>
  <c r="C61" i="109"/>
  <c r="J53" i="158"/>
  <c r="J55" i="158"/>
  <c r="N14" i="156"/>
  <c r="N15" i="156"/>
  <c r="N16" i="156"/>
  <c r="N17" i="156"/>
  <c r="N18" i="156"/>
  <c r="N21" i="156"/>
  <c r="N21" i="157"/>
  <c r="N29" i="157"/>
  <c r="I75" i="148"/>
  <c r="M18" i="146"/>
  <c r="E36" i="109"/>
  <c r="J29" i="156"/>
  <c r="E48" i="109"/>
  <c r="P48" i="109"/>
  <c r="L49" i="157"/>
  <c r="J29" i="158"/>
  <c r="K28" i="158"/>
  <c r="J27" i="159"/>
  <c r="J28" i="159"/>
  <c r="L51" i="159"/>
  <c r="K66" i="162"/>
  <c r="K95" i="162"/>
  <c r="V55" i="109"/>
  <c r="M32" i="166"/>
  <c r="B60" i="109"/>
  <c r="P60" i="109"/>
  <c r="X44" i="109"/>
  <c r="AF44" i="109"/>
  <c r="AG44" i="109"/>
  <c r="K29" i="158"/>
  <c r="K27" i="159"/>
  <c r="K28" i="159"/>
  <c r="M9" i="163"/>
  <c r="D56" i="109"/>
  <c r="P56" i="109"/>
  <c r="K25" i="163"/>
  <c r="K26" i="163"/>
  <c r="L23" i="163"/>
  <c r="L25" i="163"/>
  <c r="L26" i="163"/>
  <c r="M28" i="165"/>
  <c r="M46" i="165"/>
  <c r="W58" i="109"/>
  <c r="E14" i="167"/>
  <c r="E16" i="167"/>
  <c r="E61" i="109"/>
  <c r="J27" i="169"/>
  <c r="M25" i="128"/>
  <c r="O64" i="109"/>
  <c r="M50" i="158"/>
  <c r="L43" i="158"/>
  <c r="L53" i="158"/>
  <c r="J46" i="165"/>
  <c r="L19" i="170"/>
  <c r="M24" i="170"/>
  <c r="M22" i="145"/>
  <c r="M29" i="145"/>
  <c r="M34" i="150"/>
  <c r="K34" i="150"/>
  <c r="M6" i="155"/>
  <c r="L12" i="155"/>
  <c r="X58" i="109"/>
  <c r="L26" i="159"/>
  <c r="N17" i="162"/>
  <c r="L66" i="162"/>
  <c r="L94" i="162"/>
  <c r="L95" i="162"/>
  <c r="M14" i="165"/>
  <c r="M21" i="165"/>
  <c r="M45" i="165"/>
  <c r="H35" i="109"/>
  <c r="U58" i="109"/>
  <c r="K28" i="161"/>
  <c r="L42" i="162"/>
  <c r="AA55" i="109"/>
  <c r="M20" i="165"/>
  <c r="K24" i="128"/>
  <c r="K25" i="128"/>
  <c r="J66" i="162"/>
  <c r="AD41" i="109"/>
  <c r="M14" i="153"/>
  <c r="E44" i="109"/>
  <c r="L15" i="153"/>
  <c r="L29" i="153"/>
  <c r="L31" i="153"/>
  <c r="L44" i="153"/>
  <c r="H38" i="109"/>
  <c r="I51" i="151"/>
  <c r="I53" i="151"/>
  <c r="L14" i="154"/>
  <c r="L21" i="154"/>
  <c r="L23" i="154"/>
  <c r="M17" i="154"/>
  <c r="K29" i="156"/>
  <c r="M66" i="162"/>
  <c r="M95" i="162"/>
  <c r="K20" i="165"/>
  <c r="L45" i="165"/>
  <c r="J28" i="168"/>
  <c r="J29" i="168"/>
  <c r="L10" i="128"/>
  <c r="L25" i="128"/>
  <c r="B62" i="109"/>
  <c r="M23" i="168"/>
  <c r="M29" i="168"/>
  <c r="L35" i="158"/>
  <c r="J42" i="162"/>
  <c r="L10" i="170"/>
  <c r="M8" i="170"/>
  <c r="M27" i="170"/>
  <c r="M28" i="170"/>
  <c r="M34" i="170"/>
  <c r="I46" i="139"/>
  <c r="I49" i="139"/>
  <c r="AE38" i="109"/>
  <c r="M18" i="155"/>
  <c r="N46" i="109"/>
  <c r="N65" i="162"/>
  <c r="K42" i="162"/>
  <c r="K21" i="165"/>
  <c r="K28" i="168"/>
  <c r="K29" i="168"/>
  <c r="N92" i="162"/>
  <c r="N93" i="162"/>
  <c r="N94" i="162"/>
  <c r="C16" i="167"/>
  <c r="B61" i="109"/>
  <c r="S38" i="109"/>
  <c r="AF38" i="109"/>
  <c r="I29" i="156"/>
  <c r="N42" i="156"/>
  <c r="F16" i="167"/>
  <c r="G61" i="109"/>
  <c r="I25" i="160"/>
  <c r="B38" i="109"/>
  <c r="L19" i="155"/>
  <c r="H14" i="167"/>
  <c r="H16" i="167"/>
  <c r="I61" i="109"/>
  <c r="I62" i="109"/>
  <c r="L10" i="168"/>
  <c r="P47" i="109"/>
  <c r="Q47" i="109"/>
  <c r="G16" i="167"/>
  <c r="N61" i="109"/>
  <c r="I29" i="153"/>
  <c r="I31" i="153"/>
  <c r="I44" i="153"/>
  <c r="H46" i="139"/>
  <c r="H49" i="139"/>
  <c r="W27" i="109"/>
  <c r="AF27" i="109"/>
  <c r="M22" i="153"/>
  <c r="J44" i="109"/>
  <c r="E38" i="109"/>
  <c r="AG47" i="109"/>
  <c r="AI47" i="109"/>
  <c r="AJ47" i="109"/>
  <c r="AF41" i="109"/>
  <c r="P43" i="109"/>
  <c r="P14" i="109"/>
  <c r="AF55" i="109"/>
  <c r="AF11" i="109"/>
  <c r="AG38" i="109"/>
  <c r="P62" i="109"/>
  <c r="AF51" i="109"/>
  <c r="P51" i="109"/>
  <c r="AH55" i="109"/>
  <c r="AE55" i="109"/>
  <c r="B28" i="109"/>
  <c r="P28" i="109"/>
  <c r="M29" i="135"/>
  <c r="N58" i="136"/>
  <c r="AE20" i="109"/>
  <c r="U20" i="109"/>
  <c r="AF20" i="109"/>
  <c r="O38" i="109"/>
  <c r="O60" i="109"/>
  <c r="AH60" i="109"/>
  <c r="M28" i="159"/>
  <c r="AH38" i="109"/>
  <c r="U48" i="109"/>
  <c r="AF48" i="109"/>
  <c r="N49" i="157"/>
  <c r="AE48" i="109"/>
  <c r="AH14" i="109"/>
  <c r="O14" i="109"/>
  <c r="O62" i="109"/>
  <c r="AH62" i="109"/>
  <c r="O40" i="109"/>
  <c r="AH40" i="109"/>
  <c r="J18" i="152"/>
  <c r="P30" i="134"/>
  <c r="U25" i="109"/>
  <c r="L36" i="134"/>
  <c r="L36" i="137"/>
  <c r="M37" i="125"/>
  <c r="P55" i="109"/>
  <c r="Q55" i="109"/>
  <c r="AE27" i="109"/>
  <c r="AH27" i="109"/>
  <c r="N66" i="162"/>
  <c r="N95" i="162"/>
  <c r="W50" i="109"/>
  <c r="AF50" i="109"/>
  <c r="M55" i="158"/>
  <c r="M44" i="153"/>
  <c r="AH44" i="109"/>
  <c r="M51" i="159"/>
  <c r="AE51" i="109"/>
  <c r="O58" i="109"/>
  <c r="AH58" i="109"/>
  <c r="O29" i="134"/>
  <c r="N32" i="134"/>
  <c r="O57" i="109"/>
  <c r="AH57" i="109"/>
  <c r="N20" i="147"/>
  <c r="B37" i="109"/>
  <c r="P37" i="109"/>
  <c r="B33" i="109"/>
  <c r="P33" i="109"/>
  <c r="M52" i="144"/>
  <c r="O10" i="109"/>
  <c r="AH10" i="109"/>
  <c r="Q31" i="109"/>
  <c r="N36" i="123"/>
  <c r="O33" i="132"/>
  <c r="O35" i="132"/>
  <c r="N35" i="132"/>
  <c r="AH17" i="109"/>
  <c r="O17" i="109"/>
  <c r="M26" i="163"/>
  <c r="AH13" i="109"/>
  <c r="O13" i="109"/>
  <c r="P38" i="109"/>
  <c r="O22" i="109"/>
  <c r="AH22" i="109"/>
  <c r="E5" i="109"/>
  <c r="P5" i="109"/>
  <c r="K32" i="115"/>
  <c r="L29" i="158"/>
  <c r="R31" i="109"/>
  <c r="AF31" i="109"/>
  <c r="M61" i="142"/>
  <c r="AH20" i="109"/>
  <c r="O20" i="109"/>
  <c r="O48" i="109"/>
  <c r="O65" i="109"/>
  <c r="AH65" i="109"/>
  <c r="B36" i="109"/>
  <c r="P36" i="109"/>
  <c r="M22" i="146"/>
  <c r="M43" i="132"/>
  <c r="AE23" i="109"/>
  <c r="AD23" i="109"/>
  <c r="AF23" i="109"/>
  <c r="AF58" i="109"/>
  <c r="AG58" i="109"/>
  <c r="AG35" i="109"/>
  <c r="L41" i="130"/>
  <c r="L43" i="130"/>
  <c r="B46" i="109"/>
  <c r="P46" i="109"/>
  <c r="M21" i="155"/>
  <c r="AH46" i="109"/>
  <c r="N41" i="156"/>
  <c r="O30" i="109"/>
  <c r="AH30" i="109"/>
  <c r="M31" i="153"/>
  <c r="O44" i="109"/>
  <c r="B44" i="109"/>
  <c r="P44" i="109"/>
  <c r="M29" i="158"/>
  <c r="O50" i="109"/>
  <c r="E6" i="109"/>
  <c r="P6" i="109"/>
  <c r="K35" i="111"/>
  <c r="L27" i="169"/>
  <c r="P61" i="109"/>
  <c r="L55" i="158"/>
  <c r="N39" i="156"/>
  <c r="L32" i="170"/>
  <c r="L21" i="170"/>
  <c r="L34" i="170"/>
  <c r="J95" i="162"/>
  <c r="E53" i="109"/>
  <c r="P53" i="109"/>
  <c r="M28" i="161"/>
  <c r="L52" i="144"/>
  <c r="L50" i="144"/>
  <c r="N26" i="149"/>
  <c r="B39" i="109"/>
  <c r="P39" i="109"/>
  <c r="P30" i="109"/>
  <c r="P50" i="109"/>
  <c r="AH18" i="109"/>
  <c r="O18" i="109"/>
  <c r="P17" i="109"/>
  <c r="P35" i="109"/>
  <c r="P24" i="109"/>
  <c r="AI15" i="109"/>
  <c r="AJ15" i="109"/>
  <c r="Q15" i="109"/>
  <c r="L29" i="120"/>
  <c r="AI64" i="109"/>
  <c r="AH64" i="109"/>
  <c r="Q64" i="109"/>
  <c r="Q41" i="109"/>
  <c r="AF29" i="109"/>
  <c r="AG29" i="109"/>
  <c r="AE19" i="109"/>
  <c r="AG19" i="109"/>
  <c r="M27" i="169"/>
  <c r="B63" i="109"/>
  <c r="P63" i="109"/>
  <c r="E45" i="109"/>
  <c r="P45" i="109"/>
  <c r="M23" i="154"/>
  <c r="N40" i="156"/>
  <c r="P14" i="134"/>
  <c r="O18" i="134"/>
  <c r="L29" i="168"/>
  <c r="AH26" i="109"/>
  <c r="O26" i="109"/>
  <c r="L30" i="142"/>
  <c r="M36" i="143"/>
  <c r="B32" i="109"/>
  <c r="P32" i="109"/>
  <c r="P67" i="109"/>
  <c r="M38" i="133"/>
  <c r="P23" i="126"/>
  <c r="P28" i="126"/>
  <c r="O28" i="126"/>
  <c r="L27" i="159"/>
  <c r="L28" i="159"/>
  <c r="N54" i="119"/>
  <c r="AE11" i="109"/>
  <c r="N18" i="134"/>
  <c r="AH35" i="109"/>
  <c r="O35" i="109"/>
  <c r="B19" i="109"/>
  <c r="P19" i="109"/>
  <c r="M30" i="129"/>
  <c r="O19" i="109"/>
  <c r="O25" i="117"/>
  <c r="AI61" i="109"/>
  <c r="AJ61" i="109"/>
  <c r="Q61" i="109"/>
  <c r="AH43" i="109"/>
  <c r="O43" i="109"/>
  <c r="L21" i="155"/>
  <c r="O46" i="109"/>
  <c r="E21" i="109"/>
  <c r="P21" i="109"/>
  <c r="M43" i="130"/>
  <c r="O23" i="109"/>
  <c r="O32" i="141"/>
  <c r="E29" i="109"/>
  <c r="P29" i="109"/>
  <c r="L62" i="130"/>
  <c r="O11" i="109"/>
  <c r="AH11" i="109"/>
  <c r="AH52" i="109"/>
  <c r="O52" i="109"/>
  <c r="AG48" i="109"/>
  <c r="AG11" i="109"/>
  <c r="AJ64" i="109"/>
  <c r="AG23" i="109"/>
  <c r="AG51" i="109"/>
  <c r="AI20" i="109"/>
  <c r="AJ20" i="109"/>
  <c r="Q20" i="109"/>
  <c r="O36" i="109"/>
  <c r="AH36" i="109"/>
  <c r="R36" i="109"/>
  <c r="AF36" i="109"/>
  <c r="AG20" i="109"/>
  <c r="AI11" i="109"/>
  <c r="AJ11" i="109"/>
  <c r="Q11" i="109"/>
  <c r="O29" i="109"/>
  <c r="AH29" i="109"/>
  <c r="N45" i="156"/>
  <c r="AH48" i="109"/>
  <c r="AI23" i="109"/>
  <c r="Q23" i="109"/>
  <c r="AH32" i="109"/>
  <c r="O32" i="109"/>
  <c r="AH45" i="109"/>
  <c r="O45" i="109"/>
  <c r="AI48" i="109"/>
  <c r="Q48" i="109"/>
  <c r="AI13" i="109"/>
  <c r="AJ13" i="109"/>
  <c r="Q13" i="109"/>
  <c r="AH37" i="109"/>
  <c r="O37" i="109"/>
  <c r="AI14" i="109"/>
  <c r="Q14" i="109"/>
  <c r="AI60" i="109"/>
  <c r="Q60" i="109"/>
  <c r="AI52" i="109"/>
  <c r="AJ52" i="109"/>
  <c r="Q52" i="109"/>
  <c r="AH23" i="109"/>
  <c r="AI30" i="109"/>
  <c r="AJ30" i="109"/>
  <c r="Q30" i="109"/>
  <c r="O5" i="109"/>
  <c r="AH5" i="109"/>
  <c r="AH50" i="109"/>
  <c r="AE50" i="109"/>
  <c r="AG50" i="109"/>
  <c r="AJ14" i="109"/>
  <c r="AI38" i="109"/>
  <c r="AJ38" i="109"/>
  <c r="Q38" i="109"/>
  <c r="AI26" i="109"/>
  <c r="AJ26" i="109"/>
  <c r="Q26" i="109"/>
  <c r="AI57" i="109"/>
  <c r="AJ57" i="109"/>
  <c r="Q57" i="109"/>
  <c r="AH21" i="109"/>
  <c r="O21" i="109"/>
  <c r="AI18" i="109"/>
  <c r="AJ18" i="109"/>
  <c r="Q18" i="109"/>
  <c r="AE41" i="109"/>
  <c r="AH56" i="109"/>
  <c r="O56" i="109"/>
  <c r="Q19" i="109"/>
  <c r="AI19" i="109"/>
  <c r="AH63" i="109"/>
  <c r="O63" i="109"/>
  <c r="AH19" i="109"/>
  <c r="AH31" i="109"/>
  <c r="AE31" i="109"/>
  <c r="AI22" i="109"/>
  <c r="AJ22" i="109"/>
  <c r="Q22" i="109"/>
  <c r="AI10" i="109"/>
  <c r="AJ10" i="109"/>
  <c r="Q10" i="109"/>
  <c r="P29" i="134"/>
  <c r="O32" i="134"/>
  <c r="M40" i="134"/>
  <c r="L35" i="134"/>
  <c r="AI43" i="109"/>
  <c r="AJ43" i="109"/>
  <c r="Q43" i="109"/>
  <c r="AI35" i="109"/>
  <c r="AJ35" i="109"/>
  <c r="Q35" i="109"/>
  <c r="AH24" i="109"/>
  <c r="O24" i="109"/>
  <c r="Q50" i="109"/>
  <c r="AH33" i="109"/>
  <c r="O33" i="109"/>
  <c r="AG27" i="109"/>
  <c r="AI27" i="109"/>
  <c r="AJ27" i="109"/>
  <c r="AI40" i="109"/>
  <c r="AJ40" i="109"/>
  <c r="Q40" i="109"/>
  <c r="O28" i="109"/>
  <c r="AH28" i="109"/>
  <c r="P18" i="134"/>
  <c r="E25" i="109"/>
  <c r="P25" i="109"/>
  <c r="AI65" i="109"/>
  <c r="AJ65" i="109"/>
  <c r="Q65" i="109"/>
  <c r="AI58" i="109"/>
  <c r="AJ58" i="109"/>
  <c r="Q58" i="109"/>
  <c r="O51" i="109"/>
  <c r="AH51" i="109"/>
  <c r="M33" i="117"/>
  <c r="AH53" i="109"/>
  <c r="O53" i="109"/>
  <c r="AH6" i="109"/>
  <c r="O6" i="109"/>
  <c r="AI17" i="109"/>
  <c r="AJ17" i="109"/>
  <c r="Q17" i="109"/>
  <c r="AH39" i="109"/>
  <c r="O39" i="109"/>
  <c r="AH16" i="109"/>
  <c r="O16" i="109"/>
  <c r="O67" i="109"/>
  <c r="AH67" i="109"/>
  <c r="AI62" i="109"/>
  <c r="AJ62" i="109"/>
  <c r="Q62" i="109"/>
  <c r="AJ60" i="109"/>
  <c r="AG55" i="109"/>
  <c r="AI55" i="109"/>
  <c r="AJ55" i="109"/>
  <c r="AI46" i="109"/>
  <c r="AJ46" i="109"/>
  <c r="Q46" i="109"/>
  <c r="Q44" i="109"/>
  <c r="AI44" i="109"/>
  <c r="AJ44" i="109"/>
  <c r="AI50" i="109"/>
  <c r="Q21" i="109"/>
  <c r="AI21" i="109"/>
  <c r="AG31" i="109"/>
  <c r="AI31" i="109"/>
  <c r="AJ31" i="109"/>
  <c r="AI56" i="109"/>
  <c r="AJ56" i="109"/>
  <c r="Q56" i="109"/>
  <c r="P32" i="134"/>
  <c r="AE25" i="109"/>
  <c r="X25" i="109"/>
  <c r="AF25" i="109"/>
  <c r="AJ48" i="109"/>
  <c r="AI51" i="109"/>
  <c r="AJ51" i="109"/>
  <c r="Q51" i="109"/>
  <c r="AI36" i="109"/>
  <c r="AJ36" i="109"/>
  <c r="Q36" i="109"/>
  <c r="F7" i="109"/>
  <c r="P7" i="109"/>
  <c r="AI24" i="109"/>
  <c r="AJ24" i="109"/>
  <c r="Q24" i="109"/>
  <c r="AJ21" i="109"/>
  <c r="L22" i="134"/>
  <c r="M22" i="134"/>
  <c r="O25" i="109"/>
  <c r="Q5" i="109"/>
  <c r="AI5" i="109"/>
  <c r="AJ5" i="109"/>
  <c r="AI6" i="109"/>
  <c r="AJ6" i="109"/>
  <c r="Q6" i="109"/>
  <c r="AJ19" i="109"/>
  <c r="Q67" i="109"/>
  <c r="AI67" i="109"/>
  <c r="AJ67" i="109"/>
  <c r="AI33" i="109"/>
  <c r="AJ33" i="109"/>
  <c r="Q33" i="109"/>
  <c r="AG41" i="109"/>
  <c r="AI41" i="109"/>
  <c r="AJ41" i="109"/>
  <c r="AI16" i="109"/>
  <c r="AJ16" i="109"/>
  <c r="Q16" i="109"/>
  <c r="AJ23" i="109"/>
  <c r="AI45" i="109"/>
  <c r="AJ45" i="109"/>
  <c r="Q45" i="109"/>
  <c r="AH25" i="109"/>
  <c r="AI53" i="109"/>
  <c r="AJ53" i="109"/>
  <c r="Q53" i="109"/>
  <c r="AI28" i="109"/>
  <c r="AJ28" i="109"/>
  <c r="Q28" i="109"/>
  <c r="AI63" i="109"/>
  <c r="AJ63" i="109"/>
  <c r="Q63" i="109"/>
  <c r="AJ50" i="109"/>
  <c r="AI37" i="109"/>
  <c r="AJ37" i="109"/>
  <c r="Q37" i="109"/>
  <c r="AI29" i="109"/>
  <c r="AJ29" i="109"/>
  <c r="Q29" i="109"/>
  <c r="AI39" i="109"/>
  <c r="AJ39" i="109"/>
  <c r="Q39" i="109"/>
  <c r="AI32" i="109"/>
  <c r="AJ32" i="109"/>
  <c r="Q32" i="109"/>
  <c r="AG25" i="109"/>
  <c r="O7" i="109"/>
  <c r="AI25" i="109"/>
  <c r="AJ25" i="109"/>
  <c r="Q25" i="109"/>
  <c r="AI7" i="109"/>
  <c r="AJ7" i="109"/>
  <c r="Q7" i="109"/>
</calcChain>
</file>

<file path=xl/sharedStrings.xml><?xml version="1.0" encoding="utf-8"?>
<sst xmlns="http://schemas.openxmlformats.org/spreadsheetml/2006/main" count="2593" uniqueCount="607">
  <si>
    <t>Acadia PARISH POLICE JURY</t>
  </si>
  <si>
    <t>Capital Assets</t>
  </si>
  <si>
    <t>For the Year Ended December 31, 2014</t>
  </si>
  <si>
    <t>Beginning Balance</t>
  </si>
  <si>
    <t>Increases</t>
  </si>
  <si>
    <t>Decreases</t>
  </si>
  <si>
    <t>Ending Balance</t>
  </si>
  <si>
    <t>Cross Sectional</t>
  </si>
  <si>
    <t>Governmental Activities:</t>
  </si>
  <si>
    <t>Capital assets, not being depreciated:</t>
  </si>
  <si>
    <t>Land</t>
  </si>
  <si>
    <t>Construction in progress</t>
  </si>
  <si>
    <t>Total capital assets, not being depreciated</t>
  </si>
  <si>
    <t>Capital assets being depreciated:</t>
  </si>
  <si>
    <t>Buildings and improvements</t>
  </si>
  <si>
    <t>Machinery and equipment</t>
  </si>
  <si>
    <t>Improvements, other than buildings</t>
  </si>
  <si>
    <t>Infrastructure</t>
  </si>
  <si>
    <t>Total capital assets being depreciated</t>
  </si>
  <si>
    <t>Less accumulated depreciation for:</t>
  </si>
  <si>
    <t>Total accumulated depreciation</t>
  </si>
  <si>
    <t>Total capital assets being depreciated, net</t>
  </si>
  <si>
    <t>Governmental activities capital assets, net</t>
  </si>
  <si>
    <t xml:space="preserve"> Beginning Balance </t>
  </si>
  <si>
    <t xml:space="preserve"> Increases </t>
  </si>
  <si>
    <t xml:space="preserve"> Decreases </t>
  </si>
  <si>
    <t xml:space="preserve"> Ending Balance </t>
  </si>
  <si>
    <t xml:space="preserve"> Cross Sectional </t>
  </si>
  <si>
    <t xml:space="preserve">Buildings  </t>
  </si>
  <si>
    <t>Furniture and fixtures</t>
  </si>
  <si>
    <t>Vehicles</t>
  </si>
  <si>
    <t>ASCENSION PARISH POLICE JURY</t>
  </si>
  <si>
    <t>Buildings</t>
  </si>
  <si>
    <t>Equipment</t>
  </si>
  <si>
    <t>Library materials</t>
  </si>
  <si>
    <t>Business-Type Activities:</t>
  </si>
  <si>
    <t>Capital assets, depreciable:</t>
  </si>
  <si>
    <t>Sewer systems</t>
  </si>
  <si>
    <t>Water systems</t>
  </si>
  <si>
    <t xml:space="preserve">Machinery &amp; Equipment </t>
  </si>
  <si>
    <t>Lamar Dixon Expo Center</t>
  </si>
  <si>
    <t>Total capital assets, depreciable</t>
  </si>
  <si>
    <t>Total capital assets, depreciable, net</t>
  </si>
  <si>
    <t>Business-type activities capital assets, net</t>
  </si>
  <si>
    <t>Assumption PARISH POLICE JURY</t>
  </si>
  <si>
    <t>Additions</t>
  </si>
  <si>
    <t>Deletions</t>
  </si>
  <si>
    <t>Reclassifications</t>
  </si>
  <si>
    <t>Balance</t>
  </si>
  <si>
    <t>Primary Government</t>
  </si>
  <si>
    <t>Government Activities:</t>
  </si>
  <si>
    <t>Capital assets</t>
  </si>
  <si>
    <t>Improvements other than buildings</t>
  </si>
  <si>
    <t>Roads</t>
  </si>
  <si>
    <t>Bridges</t>
  </si>
  <si>
    <t>Equipments &amp; other</t>
  </si>
  <si>
    <t>Total capital assets</t>
  </si>
  <si>
    <t>Capital Assets being Depreciated</t>
  </si>
  <si>
    <t>% of capital assets being depreciated</t>
  </si>
  <si>
    <t>Total capital assets being Depreciated</t>
  </si>
  <si>
    <t>Accumulated Depreciation</t>
  </si>
  <si>
    <t>AVOYELLES PARISH POLICE JURY</t>
  </si>
  <si>
    <t>Balance 01/01/14</t>
  </si>
  <si>
    <t>Balance 12/31/14</t>
  </si>
  <si>
    <t>Equipment, furniture and fixtures</t>
  </si>
  <si>
    <t>Heavy equipment</t>
  </si>
  <si>
    <t>BEAUREGARD PARISH POLICE JURY</t>
  </si>
  <si>
    <t>Transfers</t>
  </si>
  <si>
    <t>Total assets not being depreciated</t>
  </si>
  <si>
    <t>Furniture and equipment</t>
  </si>
  <si>
    <t>BIENVILLE PARISH POLICE JURY</t>
  </si>
  <si>
    <t>Buildings and Improvements</t>
  </si>
  <si>
    <t>Office furniture and equipment</t>
  </si>
  <si>
    <t>Heavy Equipment</t>
  </si>
  <si>
    <t>Miscellaneous equipment</t>
  </si>
  <si>
    <t>Total capital assets (net)</t>
  </si>
  <si>
    <t>BOSSIER PARISH POLICE JURY</t>
  </si>
  <si>
    <t>Furniture, equipment and vehicles</t>
  </si>
  <si>
    <t>Library books and information material</t>
  </si>
  <si>
    <t>Business-type Activities:</t>
  </si>
  <si>
    <t>Capital assets not being depreciated:</t>
  </si>
  <si>
    <t>Goodwill</t>
  </si>
  <si>
    <t>CADDO PARISH POLICE JURY</t>
  </si>
  <si>
    <t>Balance December 31, 2013</t>
  </si>
  <si>
    <t>Reductions</t>
  </si>
  <si>
    <t>Balance December 31, 2014</t>
  </si>
  <si>
    <t>Land and land improvements</t>
  </si>
  <si>
    <t xml:space="preserve">Construction in progress </t>
  </si>
  <si>
    <t>Total capital assets not being depreciated</t>
  </si>
  <si>
    <t>Buildings and structures</t>
  </si>
  <si>
    <t>Equipment and vehicles</t>
  </si>
  <si>
    <t>Capital assets, net</t>
  </si>
  <si>
    <t>CALCASIEU PARISH POLICE JURY</t>
  </si>
  <si>
    <t>Land and Right of Ways</t>
  </si>
  <si>
    <t>Roads **</t>
  </si>
  <si>
    <t xml:space="preserve">Machinery and Equipment </t>
  </si>
  <si>
    <t>Bridges ++</t>
  </si>
  <si>
    <t>** As further discussed in Note 1-C, the Parish has adopted the modified approach for valuing its infiastructure of road
systems.</t>
  </si>
  <si>
    <t>(++) The beginning balance of $510,443,445 was restated to $511,034,199 to properly reflect the following: (1) Land and
Right of Ways beginning balance of$ 17,544,546 was increased by $5,639 to $17,550,185 to correct a formula error; (2)
Construction in Progress beginning balance of $16,852,520 was increased by $977,366 to $17,829,886 to properly state
five construction in progress projects fiom the prior year; (3) Buildings and Improvement beginning balance of
$127,781,779 was decreased by $146,983 to $127,634,796 in order to remove the effects of a duplicate asset reporting
while Accumulated Depreciation for Buildings and Improvements beginning balance of $55,102,925 was also reduced
by $14,625 to $55,088,300 for the same reason; (4) Machinery and Equipment beginning balance of $33,068,532 was
decreased by $550,570 to $32,517,962 in order to reclassify the assets of two discretely presented component units while
Accumulated Depreciation for Machinery and Equipment beginning balance of $20,952,735 was decreased by $309,484
to $20,643,251 for the same reason; and (5) Bridges beginning balance of $11,887,348 was reduced by $74,706 to
$11,812,642 to remove the costs of an intersection that is considered a State asset while Accumulated Depreciation for
Bridges beginning balance of $3,952,903 was also reduced by $55,900 to $3,897,003 for the same reason. In2014, the Parish completed construction of a water and sewer collection system on an Interstate 10 frontage road in the
amount of $1,857,735. Upon completion of that project and in accordance with a cooperative endeavor agreement
executed with the City of Sulphur, the construction in progress amount was deleted and the asset was transferred to the
City of Sulphur who will own and maintain the system.</t>
  </si>
  <si>
    <t>Non-Building Improvements</t>
  </si>
  <si>
    <t>Building and Improvements</t>
  </si>
  <si>
    <t>Machinery and Equipment</t>
  </si>
  <si>
    <t>CALDWELL PARISH POLICE JURY</t>
  </si>
  <si>
    <t>Land improvements</t>
  </si>
  <si>
    <t>Public works equipment</t>
  </si>
  <si>
    <t>Cameron PARISH POLICE JURY</t>
  </si>
  <si>
    <t>Building and improvements</t>
  </si>
  <si>
    <t>Books and videos</t>
  </si>
  <si>
    <t>Equipment and furniture</t>
  </si>
  <si>
    <t>Total  capital assets at historical costs</t>
  </si>
  <si>
    <t>% of Capital Assets being Depreciated</t>
  </si>
  <si>
    <t>Total Capital being Depreciated</t>
  </si>
  <si>
    <t>Total Accumulated Depreciation</t>
  </si>
  <si>
    <t xml:space="preserve">Less accumulated depreciation </t>
  </si>
  <si>
    <t>Total capital assets, net</t>
  </si>
  <si>
    <t>CATAHOULA PARISH POLICE JURY</t>
  </si>
  <si>
    <t>Buildings </t>
  </si>
  <si>
    <t>Improvements</t>
  </si>
  <si>
    <t xml:space="preserve">Equipment </t>
  </si>
  <si>
    <t xml:space="preserve">Heavy equipment </t>
  </si>
  <si>
    <t>Books and periodicals</t>
  </si>
  <si>
    <t>Infrastructure - roads and bridges</t>
  </si>
  <si>
    <t xml:space="preserve">Buildings </t>
  </si>
  <si>
    <t>CLAIBORNE PARISH POLICE JURY</t>
  </si>
  <si>
    <t>Police Jury</t>
  </si>
  <si>
    <t>Library</t>
  </si>
  <si>
    <t>Office of Community Service</t>
  </si>
  <si>
    <t>Adjudicated property</t>
  </si>
  <si>
    <t>Public works heavy equipment</t>
  </si>
  <si>
    <t>Public works other equipment</t>
  </si>
  <si>
    <t>Other furniture and equipment</t>
  </si>
  <si>
    <t>Office of Emergency Preparedness and Homeland Security:</t>
  </si>
  <si>
    <t xml:space="preserve">Office furniture and equipment </t>
  </si>
  <si>
    <t xml:space="preserve">Library </t>
  </si>
  <si>
    <t xml:space="preserve">Building and improvement </t>
  </si>
  <si>
    <t xml:space="preserve">Infrastructure </t>
  </si>
  <si>
    <t>Office of Emergency Preparedness and Homeland Security</t>
  </si>
  <si>
    <t>Office of Community services</t>
  </si>
  <si>
    <t>Concordia PARISH POLICE JURY</t>
  </si>
  <si>
    <t xml:space="preserve">Transportation equipment </t>
  </si>
  <si>
    <t>Roads and bridges</t>
  </si>
  <si>
    <t>% of Total CA being Depreciated</t>
  </si>
  <si>
    <t xml:space="preserve"> </t>
  </si>
  <si>
    <t>DeSoto PARISH POLICE JURY</t>
  </si>
  <si>
    <t>Land improvements - structures</t>
  </si>
  <si>
    <t xml:space="preserve">Infrastructure  </t>
  </si>
  <si>
    <t>Sewer system</t>
  </si>
  <si>
    <t>Treatment plant</t>
  </si>
  <si>
    <t>East Baton Rouge PARISH POLICE JURY</t>
  </si>
  <si>
    <t xml:space="preserve">Increases </t>
  </si>
  <si>
    <t>Adjustments</t>
  </si>
  <si>
    <t>Land and right-of-way</t>
  </si>
  <si>
    <t>Construction work in progress</t>
  </si>
  <si>
    <t>Improvements (other than buildings)</t>
  </si>
  <si>
    <t xml:space="preserve">and infrastructure </t>
  </si>
  <si>
    <t>Equipment and equipment under lease</t>
  </si>
  <si>
    <t>Noise mitigation</t>
  </si>
  <si>
    <t xml:space="preserve">Equipment  </t>
  </si>
  <si>
    <t>East Carroll PARISH POLICE JURY</t>
  </si>
  <si>
    <t>Airport Land</t>
  </si>
  <si>
    <t>Office equipment</t>
  </si>
  <si>
    <t>Furniture &amp; fixtures</t>
  </si>
  <si>
    <t>Construction equipment</t>
  </si>
  <si>
    <t>Books, periodicals &amp; law books</t>
  </si>
  <si>
    <t>Airport hangars</t>
  </si>
  <si>
    <t>Airport runway</t>
  </si>
  <si>
    <t>Road right-of-way</t>
  </si>
  <si>
    <t>Road surface</t>
  </si>
  <si>
    <t>EAST FELICIANA PARISH POLICE JURY</t>
  </si>
  <si>
    <t> For the Year Ended December 31, 2014 </t>
  </si>
  <si>
    <t>Less: accumulated depreciation</t>
  </si>
  <si>
    <t>Net Buildings</t>
  </si>
  <si>
    <t>Equipment/Vehicles</t>
  </si>
  <si>
    <t>Net Equipment/vehicles</t>
  </si>
  <si>
    <t>Streets/Bridges</t>
  </si>
  <si>
    <t>Net Furniture and fixtures</t>
  </si>
  <si>
    <t>Capital assets, being depreciated, net</t>
  </si>
  <si>
    <t>Evangeline PARISH POLICE JURY</t>
  </si>
  <si>
    <t>Other capital assets:</t>
  </si>
  <si>
    <t>% of CA being depreciated</t>
  </si>
  <si>
    <t>Sewer System</t>
  </si>
  <si>
    <t>Franklin PARISH POLICE JURY</t>
  </si>
  <si>
    <t>Ending balance</t>
  </si>
  <si>
    <t>Construction in progess</t>
  </si>
  <si>
    <t>Assets under Capital Lease</t>
  </si>
  <si>
    <t>Infrastructure - roads</t>
  </si>
  <si>
    <t>Infrastructure - bridges</t>
  </si>
  <si>
    <t>Other equipment</t>
  </si>
  <si>
    <t xml:space="preserve"> - </t>
  </si>
  <si>
    <t>Grant PARISH POLICE JURY</t>
  </si>
  <si>
    <t>Total CA not being depreciated</t>
  </si>
  <si>
    <t>Total</t>
  </si>
  <si>
    <t>Depreciable Capital Assets</t>
  </si>
  <si>
    <t>% of CA</t>
  </si>
  <si>
    <t>Accumulayed Depreciation</t>
  </si>
  <si>
    <t>CA less Depreciation</t>
  </si>
  <si>
    <t>Furniture, fixtures and equipment</t>
  </si>
  <si>
    <t>Solid Waste Station</t>
  </si>
  <si>
    <t>Distribution System</t>
  </si>
  <si>
    <t>Total assets being depreciated</t>
  </si>
  <si>
    <t>Iberia PARISH POLICE JURY</t>
  </si>
  <si>
    <t>Land Improvements</t>
  </si>
  <si>
    <t>IBERVILLE PARISH POLICE JURY</t>
  </si>
  <si>
    <t>Primary Government - Governmental Activities:</t>
  </si>
  <si>
    <t>Construction               in Progress</t>
  </si>
  <si>
    <t>Buildings and Improvement</t>
  </si>
  <si>
    <t>Furniture and Equipment</t>
  </si>
  <si>
    <t>Cost at December 31, 2013</t>
  </si>
  <si>
    <t>Cost at December 31, 2014</t>
  </si>
  <si>
    <t xml:space="preserve">   </t>
  </si>
  <si>
    <t>Depreciation:</t>
  </si>
  <si>
    <t xml:space="preserve">Accumulated Depreciation </t>
  </si>
  <si>
    <t xml:space="preserve">     at December 31, 2013</t>
  </si>
  <si>
    <t xml:space="preserve">     at December 31, 2014</t>
  </si>
  <si>
    <t>Capital Assets net of</t>
  </si>
  <si>
    <t xml:space="preserve">     Accumulated Depreciation</t>
  </si>
  <si>
    <t>Primary Government - Business Type Activities:</t>
  </si>
  <si>
    <t>Transfer</t>
  </si>
  <si>
    <t xml:space="preserve">     at December 31, 2012</t>
  </si>
  <si>
    <t xml:space="preserve">Capital Assets net of </t>
  </si>
  <si>
    <t xml:space="preserve">     Accumulated Depreciation </t>
  </si>
  <si>
    <t xml:space="preserve">Cross Sectional </t>
  </si>
  <si>
    <t>Jackson PARISH POLICE JURY</t>
  </si>
  <si>
    <t>Equipment/machinery/furniture</t>
  </si>
  <si>
    <t>Infrastructure/Roads</t>
  </si>
  <si>
    <t>Jefferson Davis PARISH POLICE JURY</t>
  </si>
  <si>
    <t xml:space="preserve">Maintenance equipment </t>
  </si>
  <si>
    <t xml:space="preserve">Machinery and equipment </t>
  </si>
  <si>
    <t xml:space="preserve">Sewer and sewer improvements </t>
  </si>
  <si>
    <t>Maintenance equipment</t>
  </si>
  <si>
    <t xml:space="preserve">Infrastrucuture </t>
  </si>
  <si>
    <t>Jefferson PARISH POLICE JURY</t>
  </si>
  <si>
    <t>Completed Construction</t>
  </si>
  <si>
    <t>Transfers (To) From Other Funds</t>
  </si>
  <si>
    <t xml:space="preserve">Improvements other than buildings </t>
  </si>
  <si>
    <t xml:space="preserve">Machinery &amp; equipment </t>
  </si>
  <si>
    <t>Land and Land improvements</t>
  </si>
  <si>
    <t>Collection and distribution systems</t>
  </si>
  <si>
    <t>Plants</t>
  </si>
  <si>
    <t xml:space="preserve">Plant </t>
  </si>
  <si>
    <t xml:space="preserve">Machiney &amp; equipment </t>
  </si>
  <si>
    <t xml:space="preserve">Vehicles </t>
  </si>
  <si>
    <t>Total capital assets bring depreciated, net</t>
  </si>
  <si>
    <t>Lafayette PARISH POLICE JURY</t>
  </si>
  <si>
    <t>Governmental activities:</t>
  </si>
  <si>
    <t>Movables</t>
  </si>
  <si>
    <t>Moveables</t>
  </si>
  <si>
    <t>Electric plant</t>
  </si>
  <si>
    <t>Water plant</t>
  </si>
  <si>
    <t>Sewer plant</t>
  </si>
  <si>
    <t>Fiber optics</t>
  </si>
  <si>
    <t xml:space="preserve">Water plant </t>
  </si>
  <si>
    <t>Laforche PARISH POLICE JURY</t>
  </si>
  <si>
    <t>Deletions &amp; Adjustments</t>
  </si>
  <si>
    <t>Drainage &amp; Other Improvements</t>
  </si>
  <si>
    <t>Pumps &amp; Sewage</t>
  </si>
  <si>
    <t>Equipment &amp; Furniture</t>
  </si>
  <si>
    <t>Vehicles &amp; Equipment</t>
  </si>
  <si>
    <t>Total Cost of Capital Assets</t>
  </si>
  <si>
    <t>Net Depreciable Capital Assets</t>
  </si>
  <si>
    <t>Net Capital Assets</t>
  </si>
  <si>
    <t>LaSalle  PARISH POLICE JURY</t>
  </si>
  <si>
    <t xml:space="preserve">Police Jury: </t>
  </si>
  <si>
    <t>Books</t>
  </si>
  <si>
    <t>Total police jury capital assets</t>
  </si>
  <si>
    <t>Library:</t>
  </si>
  <si>
    <t xml:space="preserve">Land  </t>
  </si>
  <si>
    <t>Capital assets not being depreciated:</t>
  </si>
  <si>
    <t>Furniture</t>
  </si>
  <si>
    <t>Total library assets being depreciated</t>
  </si>
  <si>
    <t>Total library capital assets</t>
  </si>
  <si>
    <t xml:space="preserve">Total capital assets bring depreciated </t>
  </si>
  <si>
    <t xml:space="preserve">Total capital assets  </t>
  </si>
  <si>
    <t>Total capital assets being depreciated (net)</t>
  </si>
  <si>
    <t>LIVINGSTON PARISH POLICE JURY</t>
  </si>
  <si>
    <t>Balance January 1, 2014</t>
  </si>
  <si>
    <t>Governmental Activities</t>
  </si>
  <si>
    <t>Capital Assets Not Being Depreciated</t>
  </si>
  <si>
    <t>Total Capital assets not being depreciated</t>
  </si>
  <si>
    <t>Capital Assets Being Depreciated</t>
  </si>
  <si>
    <t>Recreational Facilities</t>
  </si>
  <si>
    <t>Furniture and Fixtures</t>
  </si>
  <si>
    <t>Total Capital Assets Being Depreciated</t>
  </si>
  <si>
    <t>Total Capital Assets Being Depreciated, Net</t>
  </si>
  <si>
    <t>Capital Assets, net</t>
  </si>
  <si>
    <t>Business-Type activities</t>
  </si>
  <si>
    <t>Utility system</t>
  </si>
  <si>
    <t>Total Capital Assets being Depreciated</t>
  </si>
  <si>
    <t>Utility System</t>
  </si>
  <si>
    <t>Total depreciable capital assets, net</t>
  </si>
  <si>
    <t>MADISON PARISH POLICE JURY</t>
  </si>
  <si>
    <t>Balance Beginning</t>
  </si>
  <si>
    <t>Balance Ending</t>
  </si>
  <si>
    <t>Not subject to depreciation</t>
  </si>
  <si>
    <t>Quebec road</t>
  </si>
  <si>
    <t>Depreciable capital assets</t>
  </si>
  <si>
    <t>Health unit</t>
  </si>
  <si>
    <t xml:space="preserve">Total </t>
  </si>
  <si>
    <t>Less accumulated depreciation</t>
  </si>
  <si>
    <t>MOREHOUSE PARISH POLICE JURY</t>
    <phoneticPr fontId="13" type="noConversion"/>
  </si>
  <si>
    <t>Capital Assets</t>
    <phoneticPr fontId="13" type="noConversion"/>
  </si>
  <si>
    <t xml:space="preserve">Additions </t>
    <phoneticPr fontId="13" type="noConversion"/>
  </si>
  <si>
    <t xml:space="preserve">Deletions </t>
    <phoneticPr fontId="13" type="noConversion"/>
  </si>
  <si>
    <t>Prior Period Adjustment</t>
    <phoneticPr fontId="13" type="noConversion"/>
  </si>
  <si>
    <t>Balance December, 31, 2014</t>
  </si>
  <si>
    <t>Cross sectional</t>
  </si>
  <si>
    <t>Capital assets, not being depreciated</t>
  </si>
  <si>
    <t>Capital assets being depreciated</t>
  </si>
  <si>
    <t>Buildings and improvements</t>
    <phoneticPr fontId="13" type="noConversion"/>
  </si>
  <si>
    <t>Machinery and equipment</t>
    <phoneticPr fontId="13" type="noConversion"/>
  </si>
  <si>
    <t>Total capital assets, being depreciated</t>
  </si>
  <si>
    <t>Total Capital Assets</t>
  </si>
  <si>
    <t>NATCHITOCHES PARISH POLICE JURY</t>
  </si>
  <si>
    <t>General Fund:</t>
  </si>
  <si>
    <t>Capital assets; not depreciated</t>
  </si>
  <si>
    <t>Capital assets; depreciated</t>
  </si>
  <si>
    <t>Building</t>
  </si>
  <si>
    <t>Machinery &amp; Equipment</t>
  </si>
  <si>
    <t>Other Assets</t>
  </si>
  <si>
    <t>Streets</t>
  </si>
  <si>
    <t>Other Infrastructure</t>
  </si>
  <si>
    <t>Total assets</t>
  </si>
  <si>
    <t>Accumulated depreciation:</t>
  </si>
  <si>
    <t>Airport Fund</t>
  </si>
  <si>
    <t>Capital assets; not depreciated-</t>
  </si>
  <si>
    <t>Capital assets; depreciated-</t>
  </si>
  <si>
    <t>Machinery &amp; Equiptment</t>
  </si>
  <si>
    <t>Furniture &amp; Fixtures</t>
  </si>
  <si>
    <t>Convention Center Fund-</t>
  </si>
  <si>
    <t>Capital Assets; depreciated</t>
  </si>
  <si>
    <t>Sabine Bank/Industrial Park/Pilgrim's-</t>
  </si>
  <si>
    <t>Capital assets; not depreciated:</t>
  </si>
  <si>
    <t>Other infrastructure</t>
  </si>
  <si>
    <t xml:space="preserve">Total governmental activites </t>
  </si>
  <si>
    <t>Rehab Water Treatment Plant- Constructure in Progress</t>
  </si>
  <si>
    <t>Central Fire Station Bay Renovation-Construction in Progress</t>
  </si>
  <si>
    <t>Airport Taxiway &amp; Apron- Construction in Progress</t>
  </si>
  <si>
    <t>Hotel Land Development- Construction in Progress</t>
  </si>
  <si>
    <t>Old Public Works Rehab-Construction in Progress</t>
  </si>
  <si>
    <t>Sampite Park Rehab- Construction in Progress</t>
  </si>
  <si>
    <t>Tennis Courts- Construction in Progress</t>
  </si>
  <si>
    <t>Total Assets- Governmental Funds</t>
  </si>
  <si>
    <t>Total Accumulated Depn.</t>
  </si>
  <si>
    <t>Total Net Assets</t>
  </si>
  <si>
    <t>ORLEANS PARISH POLICE JURY</t>
    <phoneticPr fontId="13" type="noConversion"/>
  </si>
  <si>
    <t>Deletions and adjustments</t>
    <phoneticPr fontId="13" type="noConversion"/>
  </si>
  <si>
    <t>Transfers</t>
    <phoneticPr fontId="13" type="noConversion"/>
  </si>
  <si>
    <t>Nondepreciable capital assets</t>
  </si>
  <si>
    <t>Total nondepreciable capital assets</t>
  </si>
  <si>
    <t>Infrastructure</t>
    <phoneticPr fontId="13" type="noConversion"/>
  </si>
  <si>
    <t>Buildings and Improvements</t>
    <phoneticPr fontId="13" type="noConversion"/>
  </si>
  <si>
    <t>Equipment and vehicles</t>
    <phoneticPr fontId="13" type="noConversion"/>
  </si>
  <si>
    <t>Other</t>
    <phoneticPr fontId="13" type="noConversion"/>
  </si>
  <si>
    <t>Total depreciable capital assets</t>
  </si>
  <si>
    <t xml:space="preserve">Total </t>
    <phoneticPr fontId="13" type="noConversion"/>
  </si>
  <si>
    <t>OUACHITA PARISH POLICE JURY</t>
  </si>
  <si>
    <t>Balance January 1, 2013</t>
  </si>
  <si>
    <t>Additions and Transfers</t>
  </si>
  <si>
    <t>Deletions and Transfers</t>
  </si>
  <si>
    <t>Total Capital assets, not being depreciated</t>
  </si>
  <si>
    <t>Infrastructure:</t>
  </si>
  <si>
    <t>Drainage</t>
  </si>
  <si>
    <t>Total capital assets before being accumulated depreciated</t>
  </si>
  <si>
    <t>Beginning capital assets were adjusted by $259,155 to reflect land that had been</t>
  </si>
  <si>
    <t>previously omitted.</t>
  </si>
  <si>
    <t>PLAQUEMINES PARISH POLICE JURY</t>
    <phoneticPr fontId="13" type="noConversion"/>
  </si>
  <si>
    <t>Deductions</t>
  </si>
  <si>
    <t>Governmental-Type Activities:</t>
  </si>
  <si>
    <t>Construction in progress</t>
    <phoneticPr fontId="13" type="noConversion"/>
  </si>
  <si>
    <t>Construction in progress-FEMA Projects</t>
    <phoneticPr fontId="13" type="noConversion"/>
  </si>
  <si>
    <t>Total capital assets not being depreciated</t>
    <phoneticPr fontId="13" type="noConversion"/>
  </si>
  <si>
    <t>Capital assets, being depreciated:</t>
  </si>
  <si>
    <r>
      <t>Buildings</t>
    </r>
    <r>
      <rPr>
        <sz val="14"/>
        <color indexed="8"/>
        <rFont val="Calibri"/>
        <family val="2"/>
      </rPr>
      <t xml:space="preserve"> and improvements</t>
    </r>
  </si>
  <si>
    <t>Total Capital Assets, being depreciated, net</t>
  </si>
  <si>
    <t>Governmental Activities, net</t>
  </si>
  <si>
    <t>Construction in Progress</t>
  </si>
  <si>
    <t>Less accumulated depreciation for</t>
  </si>
  <si>
    <t>Business-type activities, net</t>
  </si>
  <si>
    <t>POINTE COUPEE PARISH POLICE JURY</t>
  </si>
  <si>
    <t>Construction in progress</t>
    <phoneticPr fontId="14" type="noConversion"/>
  </si>
  <si>
    <t>Total capital assets not being depreciated</t>
    <phoneticPr fontId="14" type="noConversion"/>
  </si>
  <si>
    <t>Library collection</t>
  </si>
  <si>
    <t>Equipment, furnishings, and vehicles</t>
  </si>
  <si>
    <t>Governmental Activities capital assets, net</t>
  </si>
  <si>
    <t>Utility systems and related equipment</t>
  </si>
  <si>
    <t>RAPIDES PARISH POLICE JURY</t>
  </si>
  <si>
    <t>Beginning balance</t>
  </si>
  <si>
    <t>Ending balance, net</t>
  </si>
  <si>
    <t>RED RIVER PARISH POLICE JURY</t>
  </si>
  <si>
    <t>Balance at December 31, 2013</t>
  </si>
  <si>
    <t>Retirements</t>
  </si>
  <si>
    <t>Balance at December 31, 2014</t>
  </si>
  <si>
    <t>Buildings and building improvements</t>
  </si>
  <si>
    <t>Total buildings and building improvements</t>
  </si>
  <si>
    <t>Streets, parking lots and other improvements</t>
  </si>
  <si>
    <t>Total streets, parking lots and other improvements</t>
  </si>
  <si>
    <t>Furniture, equipment, and vehicles</t>
  </si>
  <si>
    <t>Total furniture, equipment, and vehicles</t>
  </si>
  <si>
    <t>Library books and information materials</t>
  </si>
  <si>
    <t>Total library books and information materials</t>
  </si>
  <si>
    <t>The difference between the numbers here and the unmbers was reported to have been a typo by Tommy Naquin with Postlewaithe &amp; Netterville (225-408-4710) on 03/04/2015.</t>
  </si>
  <si>
    <t>Governmental activities total capital assets, net</t>
  </si>
  <si>
    <t>Business-type Activities</t>
  </si>
  <si>
    <t>Capital assets, being depreciated</t>
  </si>
  <si>
    <t>Less accumulated depreciated</t>
  </si>
  <si>
    <t>Total Sewer system</t>
  </si>
  <si>
    <t>Business-type activities</t>
  </si>
  <si>
    <t>Primary government</t>
  </si>
  <si>
    <t>RICHLAND PARISH POLICE JURY</t>
  </si>
  <si>
    <t>Beginning, January 1, 2014</t>
  </si>
  <si>
    <t>Balance- Deceomber 31, 2014</t>
  </si>
  <si>
    <t>Total Capital Assets, being depreciated</t>
  </si>
  <si>
    <t>Total Capital Assets, net</t>
  </si>
  <si>
    <t>SABINE PARISH POLICE JURY</t>
  </si>
  <si>
    <r>
      <t>I</t>
    </r>
    <r>
      <rPr>
        <sz val="14"/>
        <color indexed="8"/>
        <rFont val="Calibri"/>
        <family val="2"/>
      </rPr>
      <t>nfrastructure</t>
    </r>
  </si>
  <si>
    <t>Depreciation</t>
  </si>
  <si>
    <t>Net capital assets</t>
  </si>
  <si>
    <t>ST. BERNARD PARISH POLICE JURY</t>
  </si>
  <si>
    <t>Deletions and adjustments</t>
  </si>
  <si>
    <t>Furniture, fixtures, and equipment</t>
  </si>
  <si>
    <t>Road system</t>
  </si>
  <si>
    <t>Total governmental activities capital assets, net</t>
  </si>
  <si>
    <t>Total business-type activities capital assets, net</t>
  </si>
  <si>
    <t>ST. CHARLES PARISH</t>
  </si>
  <si>
    <t xml:space="preserve">Buildings and improvements </t>
  </si>
  <si>
    <t>Total business type  activities capital assets, net</t>
  </si>
  <si>
    <t>ST. HELENA PARISH POLICE JURY</t>
  </si>
  <si>
    <t>Governmental Activities Capital Assets:</t>
  </si>
  <si>
    <t>Machinery and Improvements</t>
  </si>
  <si>
    <t>Total Governmental activities capital assets, net</t>
  </si>
  <si>
    <t>ST. JAMES PARISH POLICE JURY</t>
  </si>
  <si>
    <t>Total capital assets, being depreciated, net</t>
  </si>
  <si>
    <t>Business-type activities:</t>
  </si>
  <si>
    <t>Gas distribution system</t>
  </si>
  <si>
    <t>Water distribution system</t>
  </si>
  <si>
    <t>Office furniture, fixtures, and equipment</t>
  </si>
  <si>
    <t>Transportation equipment</t>
  </si>
  <si>
    <t>Total capital assets, being depcreciated</t>
  </si>
  <si>
    <t>ST. JOHN THE BAPTIST PARISH POLICE JURY</t>
  </si>
  <si>
    <t>Decmber 31, 2013</t>
  </si>
  <si>
    <t>Drainage system</t>
  </si>
  <si>
    <t>Systems-water and sewer</t>
  </si>
  <si>
    <r>
      <t>Buildings</t>
    </r>
    <r>
      <rPr>
        <sz val="14"/>
        <color indexed="8"/>
        <rFont val="Calibri"/>
        <family val="2"/>
      </rPr>
      <t xml:space="preserve"> and building improvements</t>
    </r>
  </si>
  <si>
    <t>ST. LANDRY PARISH POLICE JURY</t>
  </si>
  <si>
    <t>Construction in progress- infrastructure</t>
  </si>
  <si>
    <t>Total Capital Assets being depreciated, net</t>
  </si>
  <si>
    <t>ST. MARTIN PARISH POLICE JURY</t>
  </si>
  <si>
    <t>Acquisitions</t>
  </si>
  <si>
    <t>Dispositions</t>
  </si>
  <si>
    <t>ST. TAMMANY PARISH POLICE JURY</t>
  </si>
  <si>
    <t>Other capital assets, net</t>
  </si>
  <si>
    <t>Governmental capital assets, net</t>
  </si>
  <si>
    <t xml:space="preserve">Business-type Activities </t>
  </si>
  <si>
    <t>Other capital asets:</t>
  </si>
  <si>
    <t>Re-classes</t>
  </si>
  <si>
    <t>Land improvements-non-exhaustible</t>
  </si>
  <si>
    <t>Land Improvements-non-exhaustible</t>
  </si>
  <si>
    <t>Building improvements</t>
  </si>
  <si>
    <t>Water and sewer systems</t>
  </si>
  <si>
    <t>Office/other equipment</t>
  </si>
  <si>
    <t>Other</t>
  </si>
  <si>
    <t xml:space="preserve">Roads </t>
  </si>
  <si>
    <t>Internal Service Fund</t>
  </si>
  <si>
    <t>Building Improvements</t>
  </si>
  <si>
    <t>Office/Other Equipment</t>
  </si>
  <si>
    <t>Toal accumulated depreciation</t>
  </si>
  <si>
    <t>Total Capital Assets Internal Service Funds, net</t>
  </si>
  <si>
    <t>Total Capital Assets Governmental Activities, net</t>
  </si>
  <si>
    <t xml:space="preserve">Land Improvements </t>
  </si>
  <si>
    <t>Sewer equipment, lines and pumps</t>
  </si>
  <si>
    <t>Water equipment, lines and wells</t>
  </si>
  <si>
    <t>Total capital assets business-type activities, net</t>
  </si>
  <si>
    <t>Total capital assets- primary government, net</t>
  </si>
  <si>
    <t>TANGIPAHOA PARISH POLICE JURY</t>
  </si>
  <si>
    <t>Balance 12/31/13</t>
  </si>
  <si>
    <t>Increase</t>
  </si>
  <si>
    <t>Infrastructure (Land and Base)</t>
  </si>
  <si>
    <t>Total Governmental activities, capital assets, net</t>
  </si>
  <si>
    <t>TENSAS PARISH POLICE JURY</t>
  </si>
  <si>
    <t>Balance, beginning</t>
  </si>
  <si>
    <t>Balance, ending</t>
  </si>
  <si>
    <t>Governmental activities, capital assets, net</t>
  </si>
  <si>
    <t>TERREBONNE PARISH POLICE JURY</t>
  </si>
  <si>
    <t>Adjustments and Deletions</t>
  </si>
  <si>
    <t>Electric system and buildings</t>
  </si>
  <si>
    <t>Gas distributions system and buildings</t>
  </si>
  <si>
    <t>Sewer system and buildings</t>
  </si>
  <si>
    <t>Sanitation and buildings</t>
  </si>
  <si>
    <t>Civic center buildings and equipment</t>
  </si>
  <si>
    <t xml:space="preserve">Sanitation  </t>
  </si>
  <si>
    <t>Total capital assets being depreciated, net being depreciated, net</t>
  </si>
  <si>
    <t>UNION PARISH POLICE JURY</t>
  </si>
  <si>
    <t>Other improvements</t>
  </si>
  <si>
    <t>Fire, sewer and water system improvements</t>
  </si>
  <si>
    <t>Vehicle</t>
  </si>
  <si>
    <t>VERMILLION PARISH POLICE JURY</t>
  </si>
  <si>
    <t xml:space="preserve"> Balance 01/01/14</t>
  </si>
  <si>
    <t xml:space="preserve"> Balance 12/31/14</t>
  </si>
  <si>
    <t>Governmental activities</t>
  </si>
  <si>
    <t>Polic Jury:</t>
  </si>
  <si>
    <t>Police Jury:</t>
  </si>
  <si>
    <t>Road surfaces</t>
  </si>
  <si>
    <t>Bridges and drainage improvements</t>
  </si>
  <si>
    <t>VERNON PARISH POLICE JURY</t>
  </si>
  <si>
    <t>Library Book Collections</t>
  </si>
  <si>
    <t>WASHINGTON PARISH POLICE JURY</t>
  </si>
  <si>
    <t>Asphalt roads</t>
  </si>
  <si>
    <t>3-shot roads</t>
  </si>
  <si>
    <t>Bridges and culvets</t>
  </si>
  <si>
    <t>Bridges and culverts</t>
  </si>
  <si>
    <t>Totals</t>
  </si>
  <si>
    <t>WEBSTER PARISH POLICE JURY</t>
  </si>
  <si>
    <t>Balance at Ending</t>
  </si>
  <si>
    <t>Total Capital Assets being depreciated</t>
  </si>
  <si>
    <t>WEST BATON ROUGE PARISH POLICE JURY</t>
  </si>
  <si>
    <t>West Carroll PARISH POLICE JURY</t>
  </si>
  <si>
    <t>Assets under capital lease</t>
  </si>
  <si>
    <t>Capital assets not being depreciated</t>
  </si>
  <si>
    <t>West Feliciana Parish Government</t>
  </si>
  <si>
    <t>Balance 12/31/2013</t>
  </si>
  <si>
    <t xml:space="preserve"> Balance 06/30/2014</t>
  </si>
  <si>
    <t>Cost</t>
  </si>
  <si>
    <t>Depreciable</t>
  </si>
  <si>
    <t xml:space="preserve">Library collection </t>
  </si>
  <si>
    <t>Net capital assets being depreciated</t>
  </si>
  <si>
    <t>Depreciated</t>
  </si>
  <si>
    <t>Utility systems</t>
  </si>
  <si>
    <t>Winn PARISH POLICE JURY</t>
  </si>
  <si>
    <t>Buildings and improvements</t>
  </si>
  <si>
    <t>Vehicles and trucks</t>
  </si>
  <si>
    <t>Office furniture</t>
  </si>
  <si>
    <t>Library books</t>
  </si>
  <si>
    <t>Louisiana Counties</t>
  </si>
  <si>
    <t>2014 Capital Assets, Net of Accumulated Depreciation</t>
  </si>
  <si>
    <t>Business-Type Activities</t>
  </si>
  <si>
    <t>Grand Total</t>
  </si>
  <si>
    <t>(Governmental + Business)</t>
  </si>
  <si>
    <t>Other non-depreciable</t>
  </si>
  <si>
    <t xml:space="preserve"> Buildings and improvements</t>
  </si>
  <si>
    <t>Other depreciable</t>
  </si>
  <si>
    <t>Leased Property Under Capital Leases</t>
  </si>
  <si>
    <t>Total (Net)</t>
  </si>
  <si>
    <t>Check</t>
  </si>
  <si>
    <t>Okay?</t>
  </si>
  <si>
    <t>Acadia</t>
  </si>
  <si>
    <t>Allen</t>
  </si>
  <si>
    <t>Assumption</t>
  </si>
  <si>
    <t>Avoyelles</t>
  </si>
  <si>
    <t>Beauregard</t>
  </si>
  <si>
    <t>Bienville</t>
  </si>
  <si>
    <t>Bossier</t>
  </si>
  <si>
    <t>Caddo</t>
  </si>
  <si>
    <t>Calcasieu</t>
  </si>
  <si>
    <t>Caldwell</t>
  </si>
  <si>
    <t>Cameron</t>
  </si>
  <si>
    <t>Catahoula</t>
  </si>
  <si>
    <t>Claiborne</t>
  </si>
  <si>
    <t>Concordia</t>
  </si>
  <si>
    <t>DeSoto</t>
  </si>
  <si>
    <t>East Baton Rouge</t>
  </si>
  <si>
    <t>East Carroll</t>
  </si>
  <si>
    <t>East Feliciana</t>
  </si>
  <si>
    <t>Evangeline</t>
  </si>
  <si>
    <t>Franklin</t>
  </si>
  <si>
    <t>Grant</t>
  </si>
  <si>
    <t>Iberia</t>
  </si>
  <si>
    <t>Iberville</t>
  </si>
  <si>
    <t>Jackson</t>
  </si>
  <si>
    <t>Jefferson</t>
  </si>
  <si>
    <t>Jefferson Davis</t>
  </si>
  <si>
    <t>Lafayette</t>
  </si>
  <si>
    <t>LaFourche</t>
  </si>
  <si>
    <t>LaSalle</t>
  </si>
  <si>
    <t>Lincoln</t>
  </si>
  <si>
    <t>Livingston</t>
  </si>
  <si>
    <t>Madison</t>
  </si>
  <si>
    <t>Morehouse</t>
  </si>
  <si>
    <t>Natchitoches</t>
  </si>
  <si>
    <t>Orleans</t>
  </si>
  <si>
    <t>Ouachita</t>
  </si>
  <si>
    <t>Plaquemines</t>
  </si>
  <si>
    <t>Pointe Coupee</t>
  </si>
  <si>
    <t>Rapides</t>
  </si>
  <si>
    <t>Red River</t>
  </si>
  <si>
    <t>Richland</t>
  </si>
  <si>
    <t>Sabine</t>
  </si>
  <si>
    <t>St. Bernard</t>
  </si>
  <si>
    <t>St. Charles</t>
  </si>
  <si>
    <t>St. Helena</t>
  </si>
  <si>
    <t>St. James</t>
  </si>
  <si>
    <t>St. John the Baptist</t>
  </si>
  <si>
    <t>St. Landry</t>
  </si>
  <si>
    <t>St. Martin</t>
  </si>
  <si>
    <t>St. Mary</t>
  </si>
  <si>
    <t>St. Tammany</t>
  </si>
  <si>
    <t>Tangipahoa</t>
  </si>
  <si>
    <t>Tensas</t>
  </si>
  <si>
    <t>Terrebonne</t>
  </si>
  <si>
    <t>Union</t>
  </si>
  <si>
    <t>Vermillion</t>
  </si>
  <si>
    <t>Vernon</t>
  </si>
  <si>
    <t>Washington</t>
  </si>
  <si>
    <t>Webster</t>
  </si>
  <si>
    <t>West Baton Rouge</t>
  </si>
  <si>
    <t>West Carroll</t>
  </si>
  <si>
    <t>West Feliciana</t>
  </si>
  <si>
    <t>Winn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</si>
</sst>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_(* \(#,##0\);_(* &quot;-&quot;_);_(@_)"/>
    <numFmt numFmtId="43" formatCode="_(* #,##0.00_);_(* \(#,##0.00\);_(* &quot;-&quot;??_);_(@_)"/>
    <numFmt numFmtId="164" formatCode="_(* #,##0_);_(* \(#,##0\);_(* &quot;-&quot;??_);_(@_)"/>
  </numFmts>
  <fonts count="21">
    <font>
      <sz val="11"/>
      <color theme="1"/>
      <name val="Calibri"/>
      <family val="2"/>
      <scheme val="minor"/>
    </font>
    <font>
      <sz val="11"/>
      <color theme="1"/>
      <name val="Calibri"/>
      <family val="2"/>
      <scheme val="minor"/>
    </font>
    <font>
      <b/>
      <sz val="14"/>
      <color indexed="8"/>
      <name val="Calibri"/>
      <family val="2"/>
    </font>
    <font>
      <u/>
      <sz val="11"/>
      <color theme="10"/>
      <name val="Calibri"/>
      <family val="2"/>
      <scheme val="minor"/>
    </font>
    <font>
      <u/>
      <sz val="11"/>
      <color theme="11"/>
      <name val="Calibri"/>
      <family val="2"/>
      <scheme val="minor"/>
    </font>
    <font>
      <sz val="14"/>
      <color indexed="8"/>
      <name val="Calibri"/>
      <family val="2"/>
    </font>
    <font>
      <u/>
      <sz val="14"/>
      <color indexed="8"/>
      <name val="Calibri"/>
      <family val="2"/>
    </font>
    <font>
      <b/>
      <u/>
      <sz val="14"/>
      <color indexed="8"/>
      <name val="Calibri"/>
      <family val="2"/>
    </font>
    <font>
      <b/>
      <sz val="11"/>
      <color theme="1"/>
      <name val="Calibri"/>
      <family val="2"/>
      <scheme val="minor"/>
    </font>
    <font>
      <b/>
      <sz val="11"/>
      <name val="Calibri"/>
      <family val="2"/>
      <scheme val="minor"/>
    </font>
    <font>
      <sz val="14"/>
      <color theme="1"/>
      <name val="Calibri"/>
      <family val="2"/>
      <scheme val="minor"/>
    </font>
    <font>
      <b/>
      <sz val="14"/>
      <color theme="1"/>
      <name val="Calibri"/>
      <family val="2"/>
      <scheme val="minor"/>
    </font>
    <font>
      <b/>
      <u/>
      <sz val="11"/>
      <color theme="1"/>
      <name val="Calibri"/>
      <family val="2"/>
      <scheme val="minor"/>
    </font>
    <font>
      <b/>
      <sz val="12"/>
      <color theme="1"/>
      <name val="Calibri"/>
      <family val="2"/>
      <scheme val="minor"/>
    </font>
    <font>
      <i/>
      <sz val="14"/>
      <color indexed="8"/>
      <name val="Calibri"/>
      <family val="2"/>
    </font>
    <font>
      <b/>
      <i/>
      <u/>
      <sz val="14"/>
      <color indexed="8"/>
      <name val="Calibri"/>
      <family val="2"/>
    </font>
    <font>
      <b/>
      <i/>
      <sz val="14"/>
      <color indexed="8"/>
      <name val="Calibri"/>
      <family val="2"/>
    </font>
    <font>
      <sz val="11"/>
      <name val="Calibri"/>
      <family val="2"/>
      <scheme val="minor"/>
    </font>
    <font>
      <sz val="11"/>
      <color rgb="FF00B0F0"/>
      <name val="Calibri"/>
      <family val="2"/>
      <scheme val="minor"/>
    </font>
    <font>
      <sz val="14"/>
      <color rgb="FF00B0F0"/>
      <name val="Calibri"/>
      <family val="2"/>
      <scheme val="minor"/>
    </font>
    <font>
      <sz val="14"/>
      <name val="Calibri"/>
      <family val="2"/>
      <scheme val="minor"/>
    </font>
  </fonts>
  <fills count="5">
    <fill>
      <patternFill patternType="none"/>
    </fill>
    <fill>
      <patternFill patternType="gray125"/>
    </fill>
    <fill>
      <patternFill patternType="solid">
        <fgColor theme="0"/>
        <bgColor indexed="64"/>
      </patternFill>
    </fill>
    <fill>
      <patternFill patternType="solid">
        <fgColor rgb="FF92D050"/>
        <bgColor indexed="64"/>
      </patternFill>
    </fill>
    <fill>
      <patternFill patternType="solid">
        <fgColor rgb="FFFFFF00"/>
        <bgColor indexed="64"/>
      </patternFill>
    </fill>
  </fills>
  <borders count="9">
    <border>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right/>
      <top style="thin">
        <color auto="1"/>
      </top>
      <bottom style="medium">
        <color auto="1"/>
      </bottom>
      <diagonal/>
    </border>
    <border>
      <left/>
      <right/>
      <top/>
      <bottom style="double">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bottom style="medium">
        <color auto="1"/>
      </bottom>
      <diagonal/>
    </border>
  </borders>
  <cellStyleXfs count="92">
    <xf numFmtId="0" fontId="0" fillId="0" borderId="0"/>
    <xf numFmtId="43" fontId="1" fillId="0" borderId="0" applyFon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142">
    <xf numFmtId="0" fontId="0" fillId="0" borderId="0" xfId="0"/>
    <xf numFmtId="0" fontId="2" fillId="0" borderId="0" xfId="0" applyFont="1"/>
    <xf numFmtId="0" fontId="5" fillId="0" borderId="0" xfId="0" applyFont="1"/>
    <xf numFmtId="41" fontId="5" fillId="0" borderId="0" xfId="0" applyNumberFormat="1" applyFont="1"/>
    <xf numFmtId="41" fontId="2" fillId="0" borderId="0" xfId="0" applyNumberFormat="1" applyFont="1" applyAlignment="1">
      <alignment horizontal="center"/>
    </xf>
    <xf numFmtId="41" fontId="6" fillId="0" borderId="0" xfId="0" applyNumberFormat="1" applyFont="1" applyAlignment="1">
      <alignment horizontal="center" wrapText="1"/>
    </xf>
    <xf numFmtId="41" fontId="5" fillId="0" borderId="1" xfId="0" applyNumberFormat="1" applyFont="1" applyBorder="1"/>
    <xf numFmtId="41" fontId="2" fillId="0" borderId="1" xfId="1" applyNumberFormat="1" applyFont="1" applyFill="1" applyBorder="1"/>
    <xf numFmtId="41" fontId="2" fillId="0" borderId="1" xfId="0" applyNumberFormat="1" applyFont="1" applyBorder="1"/>
    <xf numFmtId="41" fontId="2" fillId="0" borderId="5" xfId="0" applyNumberFormat="1" applyFont="1" applyBorder="1"/>
    <xf numFmtId="41" fontId="2" fillId="0" borderId="2" xfId="1" applyNumberFormat="1" applyFont="1" applyFill="1" applyBorder="1"/>
    <xf numFmtId="41" fontId="2" fillId="0" borderId="1" xfId="0" applyNumberFormat="1" applyFont="1" applyBorder="1" applyAlignment="1">
      <alignment horizontal="center" wrapText="1"/>
    </xf>
    <xf numFmtId="41" fontId="2" fillId="0" borderId="2" xfId="0" applyNumberFormat="1" applyFont="1" applyBorder="1"/>
    <xf numFmtId="41" fontId="2" fillId="0" borderId="3" xfId="0" applyNumberFormat="1" applyFont="1" applyBorder="1"/>
    <xf numFmtId="41" fontId="2" fillId="0" borderId="4" xfId="0" applyNumberFormat="1" applyFont="1" applyBorder="1"/>
    <xf numFmtId="41" fontId="2" fillId="0" borderId="0" xfId="0" applyNumberFormat="1" applyFont="1"/>
    <xf numFmtId="41" fontId="5" fillId="0" borderId="0" xfId="0" applyNumberFormat="1" applyFont="1" applyAlignment="1">
      <alignment horizontal="center" wrapText="1"/>
    </xf>
    <xf numFmtId="41" fontId="7" fillId="0" borderId="0" xfId="0" applyNumberFormat="1" applyFont="1" applyAlignment="1">
      <alignment horizontal="center" wrapText="1"/>
    </xf>
    <xf numFmtId="37" fontId="8" fillId="0" borderId="0" xfId="0" applyNumberFormat="1" applyFont="1"/>
    <xf numFmtId="37" fontId="0" fillId="0" borderId="0" xfId="0" applyNumberFormat="1"/>
    <xf numFmtId="37" fontId="8" fillId="0" borderId="0" xfId="0" applyNumberFormat="1" applyFont="1" applyAlignment="1">
      <alignment horizontal="center"/>
    </xf>
    <xf numFmtId="37" fontId="8" fillId="0" borderId="6" xfId="0" applyNumberFormat="1" applyFont="1" applyBorder="1"/>
    <xf numFmtId="37" fontId="0" fillId="0" borderId="2" xfId="0" applyNumberFormat="1" applyBorder="1"/>
    <xf numFmtId="37" fontId="8" fillId="0" borderId="2" xfId="0" applyNumberFormat="1" applyFont="1" applyBorder="1" applyAlignment="1">
      <alignment horizontal="center"/>
    </xf>
    <xf numFmtId="37" fontId="0" fillId="0" borderId="7" xfId="0" applyNumberFormat="1" applyBorder="1"/>
    <xf numFmtId="37" fontId="0" fillId="0" borderId="0" xfId="0" applyNumberFormat="1" applyAlignment="1">
      <alignment wrapText="1"/>
    </xf>
    <xf numFmtId="37" fontId="0" fillId="0" borderId="0" xfId="0" applyNumberFormat="1" applyAlignment="1">
      <alignment horizontal="right" wrapText="1"/>
    </xf>
    <xf numFmtId="37" fontId="0" fillId="0" borderId="0" xfId="1" applyNumberFormat="1" applyFont="1" applyFill="1"/>
    <xf numFmtId="37" fontId="9" fillId="0" borderId="0" xfId="0" applyNumberFormat="1" applyFont="1"/>
    <xf numFmtId="37" fontId="0" fillId="0" borderId="0" xfId="1" applyNumberFormat="1" applyFont="1"/>
    <xf numFmtId="41" fontId="5" fillId="0" borderId="3" xfId="0" applyNumberFormat="1" applyFont="1" applyBorder="1"/>
    <xf numFmtId="41" fontId="2" fillId="0" borderId="3" xfId="1" applyNumberFormat="1" applyFont="1" applyFill="1" applyBorder="1"/>
    <xf numFmtId="41" fontId="2" fillId="0" borderId="0" xfId="1" applyNumberFormat="1" applyFont="1" applyFill="1" applyBorder="1"/>
    <xf numFmtId="164" fontId="5" fillId="0" borderId="0" xfId="0" applyNumberFormat="1" applyFont="1"/>
    <xf numFmtId="0" fontId="10" fillId="0" borderId="0" xfId="0" applyFont="1"/>
    <xf numFmtId="41" fontId="10" fillId="0" borderId="0" xfId="0" applyNumberFormat="1" applyFont="1"/>
    <xf numFmtId="164" fontId="10" fillId="0" borderId="0" xfId="0" applyNumberFormat="1" applyFont="1"/>
    <xf numFmtId="41" fontId="10" fillId="0" borderId="1" xfId="0" applyNumberFormat="1" applyFont="1" applyBorder="1"/>
    <xf numFmtId="164" fontId="2" fillId="0" borderId="0" xfId="0" applyNumberFormat="1" applyFont="1"/>
    <xf numFmtId="0" fontId="8" fillId="0" borderId="0" xfId="0" applyFont="1"/>
    <xf numFmtId="3" fontId="5" fillId="0" borderId="0" xfId="0" applyNumberFormat="1" applyFont="1"/>
    <xf numFmtId="0" fontId="10" fillId="0" borderId="3" xfId="0" applyFont="1" applyBorder="1"/>
    <xf numFmtId="41" fontId="11" fillId="0" borderId="1" xfId="0" applyNumberFormat="1" applyFont="1" applyBorder="1"/>
    <xf numFmtId="43" fontId="10" fillId="0" borderId="0" xfId="0" applyNumberFormat="1" applyFont="1"/>
    <xf numFmtId="43" fontId="11" fillId="0" borderId="0" xfId="0" applyNumberFormat="1" applyFont="1" applyAlignment="1">
      <alignment horizontal="center"/>
    </xf>
    <xf numFmtId="43" fontId="11" fillId="0" borderId="0" xfId="0" applyNumberFormat="1" applyFont="1" applyAlignment="1">
      <alignment horizontal="center" vertical="center"/>
    </xf>
    <xf numFmtId="43" fontId="11" fillId="0" borderId="0" xfId="0" applyNumberFormat="1" applyFont="1"/>
    <xf numFmtId="43" fontId="11" fillId="0" borderId="3" xfId="0" applyNumberFormat="1" applyFont="1" applyBorder="1"/>
    <xf numFmtId="43" fontId="10" fillId="0" borderId="3" xfId="0" applyNumberFormat="1" applyFont="1" applyBorder="1"/>
    <xf numFmtId="43" fontId="10" fillId="0" borderId="3" xfId="0" applyNumberFormat="1" applyFont="1" applyBorder="1" applyAlignment="1">
      <alignment horizontal="center"/>
    </xf>
    <xf numFmtId="164" fontId="2" fillId="0" borderId="3" xfId="0" applyNumberFormat="1" applyFont="1" applyBorder="1"/>
    <xf numFmtId="3" fontId="10" fillId="0" borderId="0" xfId="0" applyNumberFormat="1" applyFont="1"/>
    <xf numFmtId="164" fontId="2" fillId="0" borderId="2" xfId="0" applyNumberFormat="1" applyFont="1" applyBorder="1"/>
    <xf numFmtId="41" fontId="5" fillId="0" borderId="2" xfId="0" applyNumberFormat="1" applyFont="1" applyBorder="1"/>
    <xf numFmtId="164" fontId="5" fillId="0" borderId="2" xfId="0" applyNumberFormat="1" applyFont="1" applyBorder="1"/>
    <xf numFmtId="41" fontId="11" fillId="0" borderId="0" xfId="0" applyNumberFormat="1" applyFont="1"/>
    <xf numFmtId="164" fontId="11" fillId="0" borderId="0" xfId="0" applyNumberFormat="1" applyFont="1"/>
    <xf numFmtId="0" fontId="11" fillId="0" borderId="0" xfId="0" applyFont="1"/>
    <xf numFmtId="3" fontId="0" fillId="0" borderId="0" xfId="0" applyNumberFormat="1"/>
    <xf numFmtId="3" fontId="0" fillId="0" borderId="2" xfId="0" applyNumberFormat="1" applyBorder="1"/>
    <xf numFmtId="0" fontId="12" fillId="0" borderId="0" xfId="0" applyFont="1" applyAlignment="1">
      <alignment vertical="center" wrapText="1"/>
    </xf>
    <xf numFmtId="0" fontId="12" fillId="0" borderId="0" xfId="0" applyFont="1" applyAlignment="1">
      <alignment horizontal="center" vertical="center" wrapText="1"/>
    </xf>
    <xf numFmtId="15" fontId="8" fillId="0" borderId="0" xfId="0" applyNumberFormat="1" applyFont="1" applyAlignment="1">
      <alignment horizontal="left"/>
    </xf>
    <xf numFmtId="0" fontId="0" fillId="0" borderId="0" xfId="0" applyAlignment="1">
      <alignment horizontal="center" vertical="center" wrapText="1"/>
    </xf>
    <xf numFmtId="0" fontId="0" fillId="0" borderId="1" xfId="0" applyBorder="1"/>
    <xf numFmtId="3" fontId="0" fillId="0" borderId="1" xfId="0" applyNumberFormat="1" applyBorder="1"/>
    <xf numFmtId="3" fontId="8" fillId="0" borderId="2" xfId="0" applyNumberFormat="1" applyFont="1" applyBorder="1"/>
    <xf numFmtId="41" fontId="5" fillId="2" borderId="0" xfId="0" applyNumberFormat="1" applyFont="1" applyFill="1"/>
    <xf numFmtId="41" fontId="2" fillId="3" borderId="3" xfId="0" applyNumberFormat="1" applyFont="1" applyFill="1" applyBorder="1"/>
    <xf numFmtId="0" fontId="2" fillId="0" borderId="0" xfId="0" applyFont="1" applyAlignment="1">
      <alignment horizontal="center"/>
    </xf>
    <xf numFmtId="41" fontId="0" fillId="0" borderId="0" xfId="0" applyNumberFormat="1"/>
    <xf numFmtId="0" fontId="7" fillId="0" borderId="0" xfId="0" applyFont="1" applyAlignment="1">
      <alignment horizontal="center" wrapText="1"/>
    </xf>
    <xf numFmtId="0" fontId="5" fillId="0" borderId="0" xfId="0" applyFont="1" applyAlignment="1">
      <alignment horizontal="center"/>
    </xf>
    <xf numFmtId="3" fontId="5" fillId="0" borderId="1" xfId="0" applyNumberFormat="1" applyFont="1" applyBorder="1"/>
    <xf numFmtId="0" fontId="5" fillId="0" borderId="1" xfId="0" applyFont="1" applyBorder="1"/>
    <xf numFmtId="0" fontId="2" fillId="0" borderId="2" xfId="0" applyFont="1" applyBorder="1"/>
    <xf numFmtId="3" fontId="2" fillId="0" borderId="2" xfId="0" applyNumberFormat="1" applyFont="1" applyBorder="1"/>
    <xf numFmtId="3" fontId="11" fillId="0" borderId="1" xfId="0" applyNumberFormat="1" applyFont="1" applyBorder="1"/>
    <xf numFmtId="3" fontId="11" fillId="0" borderId="0" xfId="0" applyNumberFormat="1" applyFont="1"/>
    <xf numFmtId="0" fontId="6" fillId="0" borderId="0" xfId="0" applyFont="1" applyAlignment="1">
      <alignment horizontal="center" wrapText="1"/>
    </xf>
    <xf numFmtId="3" fontId="2" fillId="0" borderId="2" xfId="1" applyNumberFormat="1" applyFont="1" applyFill="1" applyBorder="1"/>
    <xf numFmtId="3" fontId="2" fillId="0" borderId="0" xfId="1" applyNumberFormat="1" applyFont="1" applyFill="1" applyBorder="1"/>
    <xf numFmtId="3" fontId="2" fillId="0" borderId="4" xfId="0" applyNumberFormat="1" applyFont="1" applyBorder="1"/>
    <xf numFmtId="0" fontId="8" fillId="4" borderId="0" xfId="0" applyFont="1" applyFill="1"/>
    <xf numFmtId="0" fontId="0" fillId="4" borderId="0" xfId="0" applyFill="1"/>
    <xf numFmtId="3" fontId="2" fillId="0" borderId="3" xfId="1" applyNumberFormat="1" applyFont="1" applyFill="1" applyBorder="1"/>
    <xf numFmtId="3" fontId="2" fillId="0" borderId="3" xfId="0" applyNumberFormat="1" applyFont="1" applyBorder="1"/>
    <xf numFmtId="3" fontId="2" fillId="0" borderId="0" xfId="0" applyNumberFormat="1" applyFont="1"/>
    <xf numFmtId="3" fontId="11" fillId="0" borderId="2" xfId="0" applyNumberFormat="1" applyFont="1" applyBorder="1"/>
    <xf numFmtId="3" fontId="11" fillId="0" borderId="8" xfId="0" applyNumberFormat="1" applyFont="1" applyBorder="1"/>
    <xf numFmtId="0" fontId="2" fillId="0" borderId="1" xfId="0" applyFont="1" applyBorder="1" applyAlignment="1">
      <alignment horizontal="center"/>
    </xf>
    <xf numFmtId="0" fontId="2" fillId="0" borderId="1" xfId="0" applyFont="1" applyBorder="1" applyAlignment="1">
      <alignment horizontal="center" wrapText="1"/>
    </xf>
    <xf numFmtId="0" fontId="5" fillId="0" borderId="0" xfId="0" applyFont="1" applyAlignment="1">
      <alignment wrapText="1"/>
    </xf>
    <xf numFmtId="0" fontId="14" fillId="0" borderId="0" xfId="0" applyFont="1"/>
    <xf numFmtId="0" fontId="15" fillId="0" borderId="0" xfId="0" applyFont="1" applyAlignment="1">
      <alignment horizontal="center"/>
    </xf>
    <xf numFmtId="3" fontId="10" fillId="0" borderId="1" xfId="0" applyNumberFormat="1" applyFont="1" applyBorder="1"/>
    <xf numFmtId="41" fontId="7" fillId="0" borderId="1" xfId="0" applyNumberFormat="1" applyFont="1" applyBorder="1" applyAlignment="1">
      <alignment wrapText="1"/>
    </xf>
    <xf numFmtId="15" fontId="7" fillId="0" borderId="0" xfId="0" applyNumberFormat="1" applyFont="1" applyAlignment="1">
      <alignment horizontal="center" wrapText="1"/>
    </xf>
    <xf numFmtId="0" fontId="16" fillId="0" borderId="0" xfId="0" applyFont="1"/>
    <xf numFmtId="0" fontId="11" fillId="0" borderId="2" xfId="0" applyFont="1" applyBorder="1"/>
    <xf numFmtId="3" fontId="11" fillId="0" borderId="4" xfId="0" applyNumberFormat="1" applyFont="1" applyBorder="1"/>
    <xf numFmtId="0" fontId="7" fillId="0" borderId="0" xfId="0" applyFont="1"/>
    <xf numFmtId="0" fontId="5" fillId="0" borderId="2" xfId="0" applyFont="1" applyBorder="1"/>
    <xf numFmtId="3" fontId="5" fillId="0" borderId="2" xfId="0" applyNumberFormat="1" applyFont="1" applyBorder="1"/>
    <xf numFmtId="37" fontId="8" fillId="0" borderId="0" xfId="0" applyNumberFormat="1" applyFont="1" applyAlignment="1">
      <alignment wrapText="1"/>
    </xf>
    <xf numFmtId="37" fontId="8" fillId="0" borderId="0" xfId="0" applyNumberFormat="1" applyFont="1" applyAlignment="1">
      <alignment horizontal="left" wrapText="1"/>
    </xf>
    <xf numFmtId="3" fontId="17" fillId="0" borderId="0" xfId="0" applyNumberFormat="1" applyFont="1"/>
    <xf numFmtId="37" fontId="17" fillId="0" borderId="0" xfId="0" applyNumberFormat="1" applyFont="1"/>
    <xf numFmtId="41" fontId="5" fillId="0" borderId="2" xfId="0" applyNumberFormat="1" applyFont="1" applyBorder="1" applyAlignment="1">
      <alignment horizontal="center"/>
    </xf>
    <xf numFmtId="3" fontId="10" fillId="0" borderId="2" xfId="0" applyNumberFormat="1" applyFont="1" applyBorder="1"/>
    <xf numFmtId="0" fontId="7" fillId="0" borderId="0" xfId="0" applyFont="1" applyAlignment="1">
      <alignment vertical="center"/>
    </xf>
    <xf numFmtId="0" fontId="18" fillId="0" borderId="0" xfId="0" applyFont="1"/>
    <xf numFmtId="3" fontId="19" fillId="0" borderId="0" xfId="0" applyNumberFormat="1" applyFont="1"/>
    <xf numFmtId="164" fontId="5" fillId="0" borderId="0" xfId="1" applyNumberFormat="1" applyFont="1"/>
    <xf numFmtId="164" fontId="5" fillId="0" borderId="0" xfId="1" applyNumberFormat="1" applyFont="1" applyFill="1"/>
    <xf numFmtId="164" fontId="5" fillId="0" borderId="1" xfId="1" applyNumberFormat="1" applyFont="1" applyBorder="1"/>
    <xf numFmtId="164" fontId="5" fillId="0" borderId="1" xfId="1" applyNumberFormat="1" applyFont="1" applyFill="1" applyBorder="1"/>
    <xf numFmtId="3" fontId="20" fillId="0" borderId="0" xfId="0" applyNumberFormat="1" applyFont="1"/>
    <xf numFmtId="0" fontId="7" fillId="0" borderId="0" xfId="0" applyFont="1" applyAlignment="1">
      <alignment horizontal="center"/>
    </xf>
    <xf numFmtId="41" fontId="2" fillId="0" borderId="0" xfId="0" applyNumberFormat="1" applyFont="1" applyAlignment="1">
      <alignment horizontal="center" wrapText="1"/>
    </xf>
    <xf numFmtId="0" fontId="13" fillId="0" borderId="0" xfId="0" applyFont="1"/>
    <xf numFmtId="3" fontId="13" fillId="0" borderId="0" xfId="0" applyNumberFormat="1" applyFont="1"/>
    <xf numFmtId="0" fontId="2" fillId="0" borderId="0" xfId="0" applyFont="1" applyAlignment="1">
      <alignment horizontal="center" vertical="center"/>
    </xf>
    <xf numFmtId="3" fontId="11" fillId="0" borderId="3" xfId="0" applyNumberFormat="1" applyFont="1" applyBorder="1"/>
    <xf numFmtId="3" fontId="2" fillId="0" borderId="1" xfId="0" applyNumberFormat="1" applyFont="1" applyBorder="1"/>
    <xf numFmtId="164" fontId="10" fillId="0" borderId="0" xfId="1" applyNumberFormat="1" applyFont="1"/>
    <xf numFmtId="164" fontId="5" fillId="0" borderId="2" xfId="1" applyNumberFormat="1" applyFont="1" applyFill="1" applyBorder="1"/>
    <xf numFmtId="164" fontId="5" fillId="0" borderId="0" xfId="1" applyNumberFormat="1" applyFont="1" applyFill="1" applyBorder="1"/>
    <xf numFmtId="164" fontId="5" fillId="0" borderId="0" xfId="1" applyNumberFormat="1" applyFont="1" applyBorder="1"/>
    <xf numFmtId="164" fontId="20" fillId="0" borderId="0" xfId="1" applyNumberFormat="1" applyFont="1"/>
    <xf numFmtId="164" fontId="10" fillId="0" borderId="0" xfId="1" applyNumberFormat="1" applyFont="1" applyBorder="1"/>
    <xf numFmtId="164" fontId="10" fillId="0" borderId="1" xfId="1" applyNumberFormat="1" applyFont="1" applyFill="1" applyBorder="1"/>
    <xf numFmtId="164" fontId="0" fillId="0" borderId="0" xfId="1" applyNumberFormat="1" applyFont="1"/>
    <xf numFmtId="41" fontId="5" fillId="0" borderId="2" xfId="1" applyNumberFormat="1" applyFont="1" applyFill="1" applyBorder="1"/>
    <xf numFmtId="41" fontId="5" fillId="0" borderId="3" xfId="1" applyNumberFormat="1" applyFont="1" applyFill="1" applyBorder="1"/>
    <xf numFmtId="41" fontId="5" fillId="0" borderId="4" xfId="0" applyNumberFormat="1" applyFont="1" applyBorder="1"/>
    <xf numFmtId="0" fontId="2" fillId="0" borderId="0" xfId="0" applyFont="1" applyAlignment="1">
      <alignment horizontal="center"/>
    </xf>
    <xf numFmtId="0" fontId="5" fillId="0" borderId="0" xfId="0" applyFont="1" applyAlignment="1">
      <alignment horizontal="left" vertical="top" wrapText="1"/>
    </xf>
    <xf numFmtId="0" fontId="5" fillId="0" borderId="0" xfId="0" applyFont="1" applyAlignment="1">
      <alignment horizontal="left" wrapText="1"/>
    </xf>
    <xf numFmtId="0" fontId="11" fillId="0" borderId="0" xfId="0" applyFont="1" applyAlignment="1">
      <alignment horizontal="center" vertical="center" wrapText="1"/>
    </xf>
    <xf numFmtId="41" fontId="7" fillId="0" borderId="0" xfId="0" applyNumberFormat="1" applyFont="1" applyAlignment="1">
      <alignment horizontal="center" wrapText="1"/>
    </xf>
    <xf numFmtId="41" fontId="2" fillId="0" borderId="1" xfId="0" applyNumberFormat="1" applyFont="1" applyBorder="1" applyAlignment="1">
      <alignment horizontal="center" vertical="center" wrapText="1"/>
    </xf>
  </cellXfs>
  <cellStyles count="92">
    <cellStyle name="Comma" xfId="1" builtinId="3"/>
    <cellStyle name="Followed Hyperlink" xfId="69" builtinId="9" hidden="1"/>
    <cellStyle name="Followed Hyperlink" xfId="73" builtinId="9" hidden="1"/>
    <cellStyle name="Followed Hyperlink" xfId="77" builtinId="9" hidden="1"/>
    <cellStyle name="Followed Hyperlink" xfId="81" builtinId="9" hidden="1"/>
    <cellStyle name="Followed Hyperlink" xfId="85" builtinId="9" hidden="1"/>
    <cellStyle name="Followed Hyperlink" xfId="89" builtinId="9" hidden="1"/>
    <cellStyle name="Followed Hyperlink" xfId="91" builtinId="9" hidden="1"/>
    <cellStyle name="Followed Hyperlink" xfId="87" builtinId="9" hidden="1"/>
    <cellStyle name="Followed Hyperlink" xfId="83" builtinId="9" hidden="1"/>
    <cellStyle name="Followed Hyperlink" xfId="79" builtinId="9" hidden="1"/>
    <cellStyle name="Followed Hyperlink" xfId="75" builtinId="9" hidden="1"/>
    <cellStyle name="Followed Hyperlink" xfId="71" builtinId="9" hidden="1"/>
    <cellStyle name="Followed Hyperlink" xfId="67" builtinId="9" hidden="1"/>
    <cellStyle name="Followed Hyperlink" xfId="7" builtinId="9" hidden="1"/>
    <cellStyle name="Followed Hyperlink" xfId="11" builtinId="9" hidden="1"/>
    <cellStyle name="Followed Hyperlink" xfId="5" builtinId="9" hidden="1"/>
    <cellStyle name="Followed Hyperlink" xfId="19" builtinId="9" hidden="1"/>
    <cellStyle name="Followed Hyperlink" xfId="17" builtinId="9" hidden="1"/>
    <cellStyle name="Followed Hyperlink" xfId="15" builtinId="9" hidden="1"/>
    <cellStyle name="Followed Hyperlink" xfId="2" builtinId="9" hidden="1"/>
    <cellStyle name="Followed Hyperlink" xfId="13" builtinId="9" hidden="1"/>
    <cellStyle name="Followed Hyperlink" xfId="45" builtinId="9" hidden="1"/>
    <cellStyle name="Followed Hyperlink" xfId="49" builtinId="9" hidden="1"/>
    <cellStyle name="Followed Hyperlink" xfId="51" builtinId="9" hidden="1"/>
    <cellStyle name="Followed Hyperlink" xfId="53" builtinId="9" hidden="1"/>
    <cellStyle name="Followed Hyperlink" xfId="57" builtinId="9" hidden="1"/>
    <cellStyle name="Followed Hyperlink" xfId="59" builtinId="9" hidden="1"/>
    <cellStyle name="Followed Hyperlink" xfId="61" builtinId="9" hidden="1"/>
    <cellStyle name="Followed Hyperlink" xfId="65" builtinId="9" hidden="1"/>
    <cellStyle name="Followed Hyperlink" xfId="63" builtinId="9" hidden="1"/>
    <cellStyle name="Followed Hyperlink" xfId="55" builtinId="9" hidden="1"/>
    <cellStyle name="Followed Hyperlink" xfId="47" builtinId="9" hidden="1"/>
    <cellStyle name="Followed Hyperlink" xfId="21" builtinId="9" hidden="1"/>
    <cellStyle name="Followed Hyperlink" xfId="9" builtinId="9" hidden="1"/>
    <cellStyle name="Followed Hyperlink" xfId="23" builtinId="9" hidden="1"/>
    <cellStyle name="Followed Hyperlink" xfId="29" builtinId="9" hidden="1"/>
    <cellStyle name="Followed Hyperlink" xfId="35" builtinId="9" hidden="1"/>
    <cellStyle name="Followed Hyperlink" xfId="27" builtinId="9" hidden="1"/>
    <cellStyle name="Followed Hyperlink" xfId="33" builtinId="9" hidden="1"/>
    <cellStyle name="Followed Hyperlink" xfId="39" builtinId="9" hidden="1"/>
    <cellStyle name="Followed Hyperlink" xfId="43" builtinId="9" hidden="1"/>
    <cellStyle name="Followed Hyperlink" xfId="41" builtinId="9" hidden="1"/>
    <cellStyle name="Followed Hyperlink" xfId="31" builtinId="9" hidden="1"/>
    <cellStyle name="Followed Hyperlink" xfId="25" builtinId="9" hidden="1"/>
    <cellStyle name="Followed Hyperlink" xfId="37" builtinId="9" hidden="1"/>
    <cellStyle name="Hyperlink" xfId="58" builtinId="8" hidden="1"/>
    <cellStyle name="Hyperlink" xfId="60" builtinId="8" hidden="1"/>
    <cellStyle name="Hyperlink" xfId="62" builtinId="8" hidden="1"/>
    <cellStyle name="Hyperlink" xfId="66" builtinId="8" hidden="1"/>
    <cellStyle name="Hyperlink" xfId="68" builtinId="8" hidden="1"/>
    <cellStyle name="Hyperlink" xfId="70" builtinId="8" hidden="1"/>
    <cellStyle name="Hyperlink" xfId="74" builtinId="8" hidden="1"/>
    <cellStyle name="Hyperlink" xfId="76" builtinId="8" hidden="1"/>
    <cellStyle name="Hyperlink" xfId="78" builtinId="8" hidden="1"/>
    <cellStyle name="Hyperlink" xfId="82" builtinId="8" hidden="1"/>
    <cellStyle name="Hyperlink" xfId="84" builtinId="8" hidden="1"/>
    <cellStyle name="Hyperlink" xfId="86" builtinId="8" hidden="1"/>
    <cellStyle name="Hyperlink" xfId="90" builtinId="8" hidden="1"/>
    <cellStyle name="Hyperlink" xfId="88" builtinId="8" hidden="1"/>
    <cellStyle name="Hyperlink" xfId="80" builtinId="8" hidden="1"/>
    <cellStyle name="Hyperlink" xfId="72" builtinId="8" hidden="1"/>
    <cellStyle name="Hyperlink" xfId="64" builtinId="8" hidden="1"/>
    <cellStyle name="Hyperlink" xfId="56" builtinId="8" hidden="1"/>
    <cellStyle name="Hyperlink" xfId="16" builtinId="8" hidden="1"/>
    <cellStyle name="Hyperlink" xfId="42" builtinId="8" hidden="1"/>
    <cellStyle name="Hyperlink" xfId="20" builtinId="8" hidden="1"/>
    <cellStyle name="Hyperlink" xfId="38" builtinId="8" hidden="1"/>
    <cellStyle name="Hyperlink" xfId="28" builtinId="8" hidden="1"/>
    <cellStyle name="Hyperlink" xfId="40" builtinId="8" hidden="1"/>
    <cellStyle name="Hyperlink" xfId="36" builtinId="8" hidden="1"/>
    <cellStyle name="Hyperlink" xfId="3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22" builtinId="8" hidden="1"/>
    <cellStyle name="Hyperlink" xfId="30" builtinId="8" hidden="1"/>
    <cellStyle name="Hyperlink" xfId="34" builtinId="8" hidden="1"/>
    <cellStyle name="Hyperlink" xfId="4" builtinId="8" hidden="1"/>
    <cellStyle name="Hyperlink" xfId="8" builtinId="8" hidden="1"/>
    <cellStyle name="Hyperlink" xfId="24" builtinId="8" hidden="1"/>
    <cellStyle name="Hyperlink" xfId="18" builtinId="8" hidden="1"/>
    <cellStyle name="Hyperlink" xfId="26" builtinId="8" hidden="1"/>
    <cellStyle name="Hyperlink" xfId="12" builtinId="8" hidden="1"/>
    <cellStyle name="Hyperlink" xfId="6" builtinId="8" hidden="1"/>
    <cellStyle name="Hyperlink" xfId="3" builtinId="8" hidden="1"/>
    <cellStyle name="Hyperlink" xfId="10" builtinId="8" hidden="1"/>
    <cellStyle name="Hyperlink" xfId="14" builtinId="8" hidden="1"/>
    <cellStyle name="Normal" xfId="0" builtinId="0"/>
  </cellStyles>
  <dxfs count="0"/>
  <tableStyles count="0" defaultTableStyle="TableStyleMedium9" defaultPivotStyle="PivotStyleMedium4"/>
  <colors>
    <mruColors>
      <color rgb="FF660066"/>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3"/>
  <sheetViews>
    <sheetView zoomScale="85" zoomScaleNormal="85" zoomScalePageLayoutView="85" workbookViewId="0">
      <selection activeCell="K34" sqref="K34"/>
    </sheetView>
  </sheetViews>
  <sheetFormatPr defaultColWidth="15.85546875" defaultRowHeight="18.75"/>
  <cols>
    <col min="1" max="1" width="7.85546875" style="2" customWidth="1"/>
    <col min="2" max="2" width="15.85546875" style="2"/>
    <col min="3" max="3" width="5.28515625" style="2" customWidth="1"/>
    <col min="4" max="4" width="15.85546875" style="2" customWidth="1"/>
    <col min="5" max="6" width="15.85546875" style="2"/>
    <col min="7" max="7" width="18.42578125" style="3" bestFit="1" customWidth="1"/>
    <col min="8" max="9" width="16.85546875" style="3" bestFit="1" customWidth="1"/>
    <col min="10" max="10" width="18.42578125" style="3" bestFit="1" customWidth="1"/>
    <col min="11" max="11" width="17.42578125" style="2" bestFit="1" customWidth="1"/>
    <col min="12" max="16384" width="15.85546875" style="2"/>
  </cols>
  <sheetData>
    <row r="1" spans="1:11">
      <c r="D1" s="136" t="s">
        <v>0</v>
      </c>
      <c r="E1" s="136"/>
      <c r="F1" s="136"/>
      <c r="G1" s="136"/>
    </row>
    <row r="2" spans="1:11">
      <c r="D2" s="136" t="s">
        <v>1</v>
      </c>
      <c r="E2" s="136"/>
      <c r="F2" s="136"/>
      <c r="G2" s="136"/>
    </row>
    <row r="3" spans="1:11">
      <c r="D3" s="136" t="s">
        <v>2</v>
      </c>
      <c r="E3" s="136"/>
      <c r="F3" s="136"/>
      <c r="G3" s="136"/>
    </row>
    <row r="4" spans="1:11">
      <c r="D4" s="69"/>
      <c r="E4" s="69"/>
      <c r="F4" s="69"/>
      <c r="G4" s="4"/>
    </row>
    <row r="5" spans="1:11" ht="37.5">
      <c r="G5" s="17" t="s">
        <v>3</v>
      </c>
      <c r="H5" s="17" t="s">
        <v>4</v>
      </c>
      <c r="I5" s="17" t="s">
        <v>5</v>
      </c>
      <c r="J5" s="17" t="s">
        <v>6</v>
      </c>
      <c r="K5" s="17" t="s">
        <v>7</v>
      </c>
    </row>
    <row r="6" spans="1:11">
      <c r="G6" s="5"/>
      <c r="H6" s="5"/>
      <c r="I6" s="5"/>
      <c r="J6" s="5"/>
    </row>
    <row r="7" spans="1:11">
      <c r="A7" s="1" t="s">
        <v>8</v>
      </c>
      <c r="B7" s="1"/>
      <c r="C7" s="1"/>
      <c r="D7" s="1"/>
      <c r="E7" s="1"/>
      <c r="F7" s="1"/>
    </row>
    <row r="8" spans="1:11">
      <c r="A8" s="1"/>
      <c r="B8" s="1" t="s">
        <v>9</v>
      </c>
      <c r="C8" s="1"/>
      <c r="D8" s="1"/>
      <c r="E8" s="1"/>
      <c r="F8" s="1"/>
    </row>
    <row r="9" spans="1:11">
      <c r="C9" s="2" t="s">
        <v>10</v>
      </c>
      <c r="G9" s="3">
        <v>1329008</v>
      </c>
      <c r="J9" s="3">
        <f>SUM(G9:I9)</f>
        <v>1329008</v>
      </c>
      <c r="K9" s="3">
        <f>SUM(J9)</f>
        <v>1329008</v>
      </c>
    </row>
    <row r="10" spans="1:11">
      <c r="C10" s="2" t="s">
        <v>11</v>
      </c>
      <c r="G10" s="6">
        <v>10247945</v>
      </c>
      <c r="H10" s="6">
        <v>1234905</v>
      </c>
      <c r="I10" s="6">
        <v>-10866347</v>
      </c>
      <c r="J10" s="6">
        <f>SUM(G10:I10)</f>
        <v>616503</v>
      </c>
      <c r="K10" s="3">
        <f>SUM(J10)</f>
        <v>616503</v>
      </c>
    </row>
    <row r="12" spans="1:11">
      <c r="A12" s="1"/>
      <c r="B12" s="1"/>
      <c r="C12" s="1"/>
      <c r="D12" s="1" t="s">
        <v>12</v>
      </c>
      <c r="E12" s="1"/>
      <c r="F12" s="1"/>
      <c r="G12" s="7">
        <f>SUM(G8:G11)</f>
        <v>11576953</v>
      </c>
      <c r="H12" s="7">
        <f>SUM(H8:H11)</f>
        <v>1234905</v>
      </c>
      <c r="I12" s="7">
        <f>SUM(I8:I11)</f>
        <v>-10866347</v>
      </c>
      <c r="J12" s="7">
        <f>SUM(J8:J11)</f>
        <v>1945511</v>
      </c>
      <c r="K12" s="1"/>
    </row>
    <row r="14" spans="1:11">
      <c r="A14" s="1" t="s">
        <v>13</v>
      </c>
    </row>
    <row r="15" spans="1:11">
      <c r="B15" s="2" t="s">
        <v>14</v>
      </c>
      <c r="G15" s="3">
        <v>24424668</v>
      </c>
      <c r="H15" s="3">
        <v>334646</v>
      </c>
      <c r="I15" s="3">
        <v>-3155</v>
      </c>
      <c r="J15" s="3">
        <f>SUM(G15:I15)</f>
        <v>24756159</v>
      </c>
    </row>
    <row r="16" spans="1:11">
      <c r="B16" s="2" t="s">
        <v>15</v>
      </c>
      <c r="G16" s="3">
        <v>12027545</v>
      </c>
      <c r="H16" s="3">
        <v>319975</v>
      </c>
      <c r="I16" s="3">
        <v>-267123</v>
      </c>
      <c r="J16" s="3">
        <f t="shared" ref="J16:J18" si="0">SUM(G16:I16)</f>
        <v>12080397</v>
      </c>
    </row>
    <row r="17" spans="1:11">
      <c r="B17" s="2" t="s">
        <v>16</v>
      </c>
      <c r="G17" s="3">
        <v>764577</v>
      </c>
      <c r="H17" s="3">
        <v>9334</v>
      </c>
      <c r="J17" s="3">
        <f t="shared" si="0"/>
        <v>773911</v>
      </c>
    </row>
    <row r="18" spans="1:11">
      <c r="B18" s="2" t="s">
        <v>17</v>
      </c>
      <c r="G18" s="3">
        <v>37801628</v>
      </c>
      <c r="H18" s="3">
        <v>10763793</v>
      </c>
      <c r="I18" s="3">
        <v>-139702</v>
      </c>
      <c r="J18" s="3">
        <f t="shared" si="0"/>
        <v>48425719</v>
      </c>
    </row>
    <row r="19" spans="1:11">
      <c r="G19" s="30"/>
      <c r="H19" s="30"/>
      <c r="I19" s="30"/>
      <c r="J19" s="30"/>
    </row>
    <row r="20" spans="1:11">
      <c r="A20" s="1"/>
      <c r="B20" s="1"/>
      <c r="C20" s="1"/>
      <c r="D20" s="1" t="s">
        <v>18</v>
      </c>
      <c r="E20" s="1"/>
      <c r="F20" s="1"/>
      <c r="G20" s="7">
        <f>SUM(G15:G19)</f>
        <v>75018418</v>
      </c>
      <c r="H20" s="7">
        <f t="shared" ref="H20:I20" si="1">SUM(H15:H19)</f>
        <v>11427748</v>
      </c>
      <c r="I20" s="7">
        <f t="shared" si="1"/>
        <v>-409980</v>
      </c>
      <c r="J20" s="7">
        <f>SUM(J15:J19)</f>
        <v>86036186</v>
      </c>
      <c r="K20" s="1"/>
    </row>
    <row r="22" spans="1:11">
      <c r="A22" s="1" t="s">
        <v>19</v>
      </c>
    </row>
    <row r="23" spans="1:11">
      <c r="B23" s="2" t="s">
        <v>14</v>
      </c>
      <c r="G23" s="3">
        <v>-6749388</v>
      </c>
      <c r="H23" s="3">
        <v>-794092</v>
      </c>
      <c r="I23" s="3">
        <v>3155</v>
      </c>
      <c r="J23" s="3">
        <f>SUM(G23:I23)</f>
        <v>-7540325</v>
      </c>
      <c r="K23" s="3">
        <f>J15+J23</f>
        <v>17215834</v>
      </c>
    </row>
    <row r="24" spans="1:11">
      <c r="B24" s="2" t="s">
        <v>15</v>
      </c>
      <c r="G24" s="3">
        <v>-6555117</v>
      </c>
      <c r="H24" s="3">
        <v>-803154</v>
      </c>
      <c r="I24" s="3">
        <v>229407</v>
      </c>
      <c r="J24" s="3">
        <f t="shared" ref="J24:J26" si="2">SUM(G24:I24)</f>
        <v>-7128864</v>
      </c>
      <c r="K24" s="3">
        <f>J16+J24</f>
        <v>4951533</v>
      </c>
    </row>
    <row r="25" spans="1:11">
      <c r="B25" s="2" t="s">
        <v>16</v>
      </c>
      <c r="G25" s="3">
        <v>-405220</v>
      </c>
      <c r="H25" s="3">
        <v>-9435</v>
      </c>
      <c r="J25" s="3">
        <f t="shared" si="2"/>
        <v>-414655</v>
      </c>
      <c r="K25" s="3">
        <f t="shared" ref="K25:K26" si="3">J17+J25</f>
        <v>359256</v>
      </c>
    </row>
    <row r="26" spans="1:11">
      <c r="B26" s="2" t="s">
        <v>17</v>
      </c>
      <c r="G26" s="3">
        <v>-18415360</v>
      </c>
      <c r="H26" s="3">
        <v>-1606267</v>
      </c>
      <c r="I26" s="3">
        <v>116485</v>
      </c>
      <c r="J26" s="3">
        <f t="shared" si="2"/>
        <v>-19905142</v>
      </c>
      <c r="K26" s="3">
        <f t="shared" si="3"/>
        <v>28520577</v>
      </c>
    </row>
    <row r="27" spans="1:11">
      <c r="G27" s="30"/>
      <c r="H27" s="30"/>
      <c r="I27" s="30"/>
      <c r="J27" s="30"/>
    </row>
    <row r="28" spans="1:11">
      <c r="A28" s="1"/>
      <c r="B28" s="1"/>
      <c r="C28" s="1"/>
      <c r="D28" s="1" t="s">
        <v>20</v>
      </c>
      <c r="E28" s="1"/>
      <c r="F28" s="1"/>
      <c r="G28" s="7">
        <f>SUM(G23:G27)</f>
        <v>-32125085</v>
      </c>
      <c r="H28" s="7">
        <f>SUM(H23:H27)</f>
        <v>-3212948</v>
      </c>
      <c r="I28" s="7">
        <f>SUM(I23:I27)</f>
        <v>349047</v>
      </c>
      <c r="J28" s="7">
        <f>SUM(J23:J27)</f>
        <v>-34988986</v>
      </c>
      <c r="K28" s="1"/>
    </row>
    <row r="30" spans="1:11">
      <c r="A30" s="1"/>
      <c r="B30" s="1" t="s">
        <v>21</v>
      </c>
      <c r="C30" s="1"/>
      <c r="D30" s="1"/>
      <c r="E30" s="1"/>
      <c r="F30" s="1"/>
      <c r="G30" s="7">
        <f>G20+G28</f>
        <v>42893333</v>
      </c>
      <c r="H30" s="7">
        <f t="shared" ref="H30:J30" si="4">H20+H28</f>
        <v>8214800</v>
      </c>
      <c r="I30" s="7">
        <f t="shared" si="4"/>
        <v>-60933</v>
      </c>
      <c r="J30" s="7">
        <f t="shared" si="4"/>
        <v>51047200</v>
      </c>
      <c r="K30" s="1"/>
    </row>
    <row r="32" spans="1:11" ht="19.5" thickBot="1">
      <c r="B32" s="1" t="s">
        <v>22</v>
      </c>
      <c r="G32" s="9">
        <f>G30+G12</f>
        <v>54470286</v>
      </c>
      <c r="H32" s="9">
        <f>H30+H12</f>
        <v>9449705</v>
      </c>
      <c r="I32" s="9">
        <f>I30+I12</f>
        <v>-10927280</v>
      </c>
      <c r="J32" s="9">
        <f>J30+J12</f>
        <v>52992711</v>
      </c>
      <c r="K32" s="3">
        <f>SUM(K23:K26,K9:K10)</f>
        <v>52992711</v>
      </c>
    </row>
    <row r="33" ht="19.5" thickTop="1"/>
  </sheetData>
  <mergeCells count="3">
    <mergeCell ref="D1:G1"/>
    <mergeCell ref="D2:G2"/>
    <mergeCell ref="D3:G3"/>
  </mergeCells>
  <pageMargins left="0.7" right="0.7" top="0.75" bottom="0.75" header="0.3" footer="0.3"/>
  <pageSetup orientation="portrait" horizontalDpi="1200" verticalDpi="1200"/>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6"/>
  <sheetViews>
    <sheetView zoomScale="85" zoomScaleNormal="85" zoomScalePageLayoutView="85" workbookViewId="0">
      <selection activeCell="M14" sqref="M14"/>
    </sheetView>
  </sheetViews>
  <sheetFormatPr defaultColWidth="15.85546875" defaultRowHeight="18.75"/>
  <cols>
    <col min="1" max="1" width="7.85546875" style="2" customWidth="1"/>
    <col min="2" max="2" width="15.85546875" style="2"/>
    <col min="3" max="3" width="5.28515625" style="2" customWidth="1"/>
    <col min="4" max="4" width="15.85546875" style="2" customWidth="1"/>
    <col min="5" max="6" width="15.85546875" style="2"/>
    <col min="7" max="7" width="18.42578125" style="3" bestFit="1" customWidth="1"/>
    <col min="8" max="8" width="16.85546875" style="3" bestFit="1" customWidth="1"/>
    <col min="9" max="9" width="18.7109375" style="3" customWidth="1"/>
    <col min="10" max="10" width="18.42578125" style="3" bestFit="1" customWidth="1"/>
    <col min="11" max="16384" width="15.85546875" style="2"/>
  </cols>
  <sheetData>
    <row r="1" spans="1:11">
      <c r="D1" s="136" t="s">
        <v>0</v>
      </c>
      <c r="E1" s="136"/>
      <c r="F1" s="136"/>
      <c r="G1" s="136"/>
    </row>
    <row r="2" spans="1:11">
      <c r="D2" s="136" t="s">
        <v>1</v>
      </c>
      <c r="E2" s="136"/>
      <c r="F2" s="136"/>
      <c r="G2" s="136"/>
    </row>
    <row r="3" spans="1:11">
      <c r="D3" s="136" t="s">
        <v>2</v>
      </c>
      <c r="E3" s="136"/>
      <c r="F3" s="136"/>
      <c r="G3" s="136"/>
    </row>
    <row r="4" spans="1:11">
      <c r="D4" s="69"/>
      <c r="E4" s="69"/>
      <c r="F4" s="69"/>
      <c r="G4" s="4"/>
    </row>
    <row r="5" spans="1:11" ht="37.5">
      <c r="G5" s="17" t="s">
        <v>23</v>
      </c>
      <c r="H5" s="17" t="s">
        <v>24</v>
      </c>
      <c r="I5" s="17" t="s">
        <v>25</v>
      </c>
      <c r="J5" s="17" t="s">
        <v>26</v>
      </c>
      <c r="K5" s="17" t="s">
        <v>27</v>
      </c>
    </row>
    <row r="6" spans="1:11">
      <c r="G6" s="5"/>
      <c r="H6" s="5"/>
      <c r="I6" s="5"/>
      <c r="J6" s="5"/>
    </row>
    <row r="7" spans="1:11">
      <c r="A7" s="1" t="s">
        <v>8</v>
      </c>
      <c r="B7" s="1"/>
      <c r="C7" s="1"/>
      <c r="D7" s="1"/>
      <c r="E7" s="1"/>
      <c r="F7" s="1"/>
    </row>
    <row r="8" spans="1:11">
      <c r="A8" s="1"/>
      <c r="B8" s="1" t="s">
        <v>9</v>
      </c>
      <c r="C8" s="1"/>
      <c r="D8" s="1"/>
      <c r="E8" s="1"/>
      <c r="F8" s="1"/>
    </row>
    <row r="9" spans="1:11">
      <c r="C9" s="2" t="s">
        <v>11</v>
      </c>
      <c r="H9" s="3">
        <v>98703</v>
      </c>
      <c r="J9" s="3">
        <v>98703</v>
      </c>
      <c r="K9" s="3">
        <f>J9</f>
        <v>98703</v>
      </c>
    </row>
    <row r="10" spans="1:11">
      <c r="C10" s="2" t="s">
        <v>10</v>
      </c>
      <c r="G10" s="6">
        <v>572300</v>
      </c>
      <c r="H10" s="6"/>
      <c r="I10" s="6"/>
      <c r="J10" s="6">
        <v>572300</v>
      </c>
      <c r="K10" s="3">
        <f>J10</f>
        <v>572300</v>
      </c>
    </row>
    <row r="12" spans="1:11">
      <c r="A12" s="1"/>
      <c r="B12" s="1"/>
      <c r="C12" s="1"/>
      <c r="D12" s="1" t="s">
        <v>12</v>
      </c>
      <c r="E12" s="1"/>
      <c r="F12" s="1"/>
      <c r="G12" s="7">
        <f>SUM(G9:G10)</f>
        <v>572300</v>
      </c>
      <c r="H12" s="7">
        <f t="shared" ref="H12:J12" si="0">SUM(H9:H10)</f>
        <v>98703</v>
      </c>
      <c r="I12" s="7">
        <f t="shared" si="0"/>
        <v>0</v>
      </c>
      <c r="J12" s="7">
        <f t="shared" si="0"/>
        <v>671003</v>
      </c>
      <c r="K12" s="1"/>
    </row>
    <row r="14" spans="1:11">
      <c r="A14" s="1" t="s">
        <v>13</v>
      </c>
    </row>
    <row r="15" spans="1:11">
      <c r="B15" s="2" t="s">
        <v>28</v>
      </c>
      <c r="G15" s="3">
        <v>4547339</v>
      </c>
      <c r="H15" s="3">
        <v>48000</v>
      </c>
      <c r="J15" s="3">
        <f>SUM(G15:I15)</f>
        <v>4595339</v>
      </c>
    </row>
    <row r="16" spans="1:11">
      <c r="B16" s="2" t="s">
        <v>16</v>
      </c>
      <c r="G16" s="3">
        <v>5853055</v>
      </c>
      <c r="H16" s="3">
        <v>2530</v>
      </c>
      <c r="J16" s="3">
        <f t="shared" ref="J16:J20" si="1">SUM(G16:I16)</f>
        <v>5855585</v>
      </c>
    </row>
    <row r="17" spans="1:11">
      <c r="B17" s="2" t="s">
        <v>29</v>
      </c>
      <c r="G17" s="3">
        <v>390033</v>
      </c>
      <c r="H17" s="3">
        <v>41803</v>
      </c>
      <c r="J17" s="3">
        <f t="shared" si="1"/>
        <v>431836</v>
      </c>
    </row>
    <row r="18" spans="1:11">
      <c r="B18" s="2" t="s">
        <v>30</v>
      </c>
      <c r="G18" s="3">
        <v>819449</v>
      </c>
      <c r="H18" s="3">
        <v>4800</v>
      </c>
      <c r="J18" s="3">
        <f t="shared" si="1"/>
        <v>824249</v>
      </c>
    </row>
    <row r="19" spans="1:11">
      <c r="B19" s="2" t="s">
        <v>15</v>
      </c>
      <c r="G19" s="3">
        <v>3254223</v>
      </c>
      <c r="H19" s="3">
        <v>266982</v>
      </c>
      <c r="I19" s="3">
        <v>-39000</v>
      </c>
      <c r="J19" s="3">
        <f t="shared" si="1"/>
        <v>3482205</v>
      </c>
    </row>
    <row r="20" spans="1:11">
      <c r="B20" s="2" t="s">
        <v>17</v>
      </c>
      <c r="G20" s="3">
        <v>28219912</v>
      </c>
      <c r="J20" s="3">
        <f t="shared" si="1"/>
        <v>28219912</v>
      </c>
    </row>
    <row r="21" spans="1:11">
      <c r="D21" s="1" t="s">
        <v>18</v>
      </c>
      <c r="G21" s="8">
        <f>SUM(G15:G20)</f>
        <v>43084011</v>
      </c>
      <c r="H21" s="8">
        <f t="shared" ref="H21:J21" si="2">SUM(H15:H20)</f>
        <v>364115</v>
      </c>
      <c r="I21" s="8">
        <f t="shared" si="2"/>
        <v>-39000</v>
      </c>
      <c r="J21" s="8">
        <f t="shared" si="2"/>
        <v>43409126</v>
      </c>
    </row>
    <row r="23" spans="1:11">
      <c r="A23" s="1" t="s">
        <v>19</v>
      </c>
      <c r="B23" s="1"/>
      <c r="C23" s="1"/>
      <c r="D23" s="1"/>
      <c r="E23" s="1"/>
      <c r="F23" s="1"/>
      <c r="G23" s="32"/>
      <c r="H23" s="32"/>
      <c r="I23" s="32"/>
      <c r="J23" s="32"/>
      <c r="K23" s="1"/>
    </row>
    <row r="24" spans="1:11">
      <c r="B24" s="2" t="s">
        <v>28</v>
      </c>
      <c r="G24" s="3">
        <v>1787109</v>
      </c>
      <c r="H24" s="3">
        <v>102409</v>
      </c>
      <c r="J24" s="3">
        <f>SUM(G24:I24)</f>
        <v>1889518</v>
      </c>
      <c r="K24" s="40">
        <f>SUM(J15-J24)</f>
        <v>2705821</v>
      </c>
    </row>
    <row r="25" spans="1:11">
      <c r="B25" s="2" t="s">
        <v>16</v>
      </c>
      <c r="G25" s="3">
        <v>2181213</v>
      </c>
      <c r="H25" s="3">
        <v>195592</v>
      </c>
      <c r="J25" s="3">
        <f t="shared" ref="J25:J29" si="3">SUM(G25:I25)</f>
        <v>2376805</v>
      </c>
      <c r="K25" s="40">
        <f t="shared" ref="K25:K29" si="4">SUM(J16-J25)</f>
        <v>3478780</v>
      </c>
    </row>
    <row r="26" spans="1:11">
      <c r="B26" s="2" t="s">
        <v>29</v>
      </c>
      <c r="G26" s="3">
        <v>311630</v>
      </c>
      <c r="H26" s="3">
        <v>31795</v>
      </c>
      <c r="J26" s="3">
        <f t="shared" si="3"/>
        <v>343425</v>
      </c>
      <c r="K26" s="40">
        <f t="shared" si="4"/>
        <v>88411</v>
      </c>
    </row>
    <row r="27" spans="1:11">
      <c r="B27" s="2" t="s">
        <v>30</v>
      </c>
      <c r="G27" s="3">
        <v>618959</v>
      </c>
      <c r="H27" s="3">
        <v>48526</v>
      </c>
      <c r="J27" s="3">
        <f t="shared" si="3"/>
        <v>667485</v>
      </c>
      <c r="K27" s="40">
        <f t="shared" si="4"/>
        <v>156764</v>
      </c>
    </row>
    <row r="28" spans="1:11">
      <c r="B28" s="2" t="s">
        <v>15</v>
      </c>
      <c r="G28" s="3">
        <v>2229894</v>
      </c>
      <c r="H28" s="3">
        <v>192008</v>
      </c>
      <c r="I28" s="3">
        <v>-39000</v>
      </c>
      <c r="J28" s="3">
        <f t="shared" si="3"/>
        <v>2382902</v>
      </c>
      <c r="K28" s="40">
        <f t="shared" si="4"/>
        <v>1099303</v>
      </c>
    </row>
    <row r="29" spans="1:11">
      <c r="B29" s="2" t="s">
        <v>17</v>
      </c>
      <c r="G29" s="6">
        <v>11861750</v>
      </c>
      <c r="H29" s="6">
        <v>584415</v>
      </c>
      <c r="I29" s="6"/>
      <c r="J29" s="3">
        <f t="shared" si="3"/>
        <v>12446165</v>
      </c>
      <c r="K29" s="40">
        <f t="shared" si="4"/>
        <v>15773747</v>
      </c>
    </row>
    <row r="30" spans="1:11">
      <c r="D30" s="2" t="s">
        <v>20</v>
      </c>
      <c r="G30" s="3">
        <f>SUM(G24:G29)</f>
        <v>18990555</v>
      </c>
      <c r="H30" s="3">
        <f t="shared" ref="H30:J30" si="5">SUM(H24:H29)</f>
        <v>1154745</v>
      </c>
      <c r="I30" s="3">
        <f t="shared" si="5"/>
        <v>-39000</v>
      </c>
      <c r="J30" s="30">
        <f t="shared" si="5"/>
        <v>20106300</v>
      </c>
      <c r="K30" s="40"/>
    </row>
    <row r="31" spans="1:11">
      <c r="K31" s="3"/>
    </row>
    <row r="32" spans="1:11">
      <c r="B32" s="1" t="s">
        <v>21</v>
      </c>
      <c r="G32" s="8">
        <v>24093456</v>
      </c>
      <c r="H32" s="8">
        <v>-790630</v>
      </c>
      <c r="I32" s="6"/>
      <c r="J32" s="8">
        <v>23302826</v>
      </c>
      <c r="K32" s="3"/>
    </row>
    <row r="35" spans="2:11" ht="19.5" thickBot="1">
      <c r="B35" s="1" t="s">
        <v>22</v>
      </c>
      <c r="G35" s="9">
        <f>SUM(G32+G12)</f>
        <v>24665756</v>
      </c>
      <c r="H35" s="9">
        <f t="shared" ref="H35:J35" si="6">SUM(H32+H12)</f>
        <v>-691927</v>
      </c>
      <c r="I35" s="9">
        <f t="shared" si="6"/>
        <v>0</v>
      </c>
      <c r="J35" s="9">
        <f t="shared" si="6"/>
        <v>23973829</v>
      </c>
      <c r="K35" s="3">
        <f>SUM(K9:K29)</f>
        <v>23973829</v>
      </c>
    </row>
    <row r="36" spans="2:11" ht="19.5" thickTop="1"/>
  </sheetData>
  <mergeCells count="3">
    <mergeCell ref="D1:G1"/>
    <mergeCell ref="D2:G2"/>
    <mergeCell ref="D3:G3"/>
  </mergeCells>
  <pageMargins left="0.7" right="0.7" top="0.75" bottom="0.75" header="0.3" footer="0.3"/>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66"/>
  <sheetViews>
    <sheetView topLeftCell="A37" workbookViewId="0"/>
  </sheetViews>
  <sheetFormatPr defaultColWidth="8.85546875" defaultRowHeight="15"/>
  <cols>
    <col min="9" max="9" width="15.42578125" customWidth="1"/>
    <col min="10" max="10" width="15" customWidth="1"/>
    <col min="11" max="11" width="15.140625" customWidth="1"/>
    <col min="12" max="12" width="16.140625" customWidth="1"/>
    <col min="13" max="13" width="14.140625" customWidth="1"/>
  </cols>
  <sheetData>
    <row r="1" spans="1:14" ht="18.75">
      <c r="A1" s="2"/>
      <c r="B1" s="2"/>
      <c r="C1" s="2"/>
      <c r="D1" s="136" t="s">
        <v>31</v>
      </c>
      <c r="E1" s="136"/>
      <c r="F1" s="136"/>
      <c r="G1" s="136"/>
      <c r="H1" s="136"/>
      <c r="I1" s="136"/>
      <c r="J1" s="3"/>
      <c r="K1" s="3"/>
      <c r="L1" s="3"/>
      <c r="M1" s="2"/>
      <c r="N1" s="2"/>
    </row>
    <row r="2" spans="1:14" ht="18.75">
      <c r="A2" s="2"/>
      <c r="B2" s="2"/>
      <c r="C2" s="2"/>
      <c r="D2" s="136" t="s">
        <v>1</v>
      </c>
      <c r="E2" s="136"/>
      <c r="F2" s="136"/>
      <c r="G2" s="136"/>
      <c r="H2" s="136"/>
      <c r="I2" s="136"/>
      <c r="J2" s="3"/>
      <c r="K2" s="3"/>
      <c r="L2" s="3"/>
      <c r="M2" s="2"/>
      <c r="N2" s="2"/>
    </row>
    <row r="3" spans="1:14" ht="18.75">
      <c r="A3" s="2"/>
      <c r="B3" s="2"/>
      <c r="C3" s="2"/>
      <c r="D3" s="136" t="s">
        <v>2</v>
      </c>
      <c r="E3" s="136"/>
      <c r="F3" s="136"/>
      <c r="G3" s="136"/>
      <c r="H3" s="136"/>
      <c r="I3" s="136"/>
      <c r="J3" s="3"/>
      <c r="K3" s="3"/>
      <c r="L3" s="3"/>
      <c r="M3" s="2"/>
      <c r="N3" s="2"/>
    </row>
    <row r="4" spans="1:14" ht="18.75">
      <c r="A4" s="2"/>
      <c r="B4" s="2"/>
      <c r="C4" s="2"/>
      <c r="D4" s="69"/>
      <c r="E4" s="69"/>
      <c r="F4" s="69"/>
      <c r="G4" s="69"/>
      <c r="H4" s="69"/>
      <c r="I4" s="4"/>
      <c r="J4" s="3"/>
      <c r="K4" s="3"/>
      <c r="L4" s="3"/>
      <c r="M4" s="2"/>
      <c r="N4" s="2"/>
    </row>
    <row r="5" spans="1:14" ht="37.5">
      <c r="A5" s="2"/>
      <c r="B5" s="2"/>
      <c r="C5" s="2"/>
      <c r="D5" s="2"/>
      <c r="E5" s="2"/>
      <c r="F5" s="2"/>
      <c r="G5" s="2"/>
      <c r="H5" s="2"/>
      <c r="I5" s="17" t="s">
        <v>3</v>
      </c>
      <c r="J5" s="17" t="s">
        <v>4</v>
      </c>
      <c r="K5" s="17" t="s">
        <v>5</v>
      </c>
      <c r="L5" s="17" t="s">
        <v>6</v>
      </c>
      <c r="M5" s="17" t="s">
        <v>7</v>
      </c>
      <c r="N5" s="2"/>
    </row>
    <row r="6" spans="1:14" ht="18.75">
      <c r="A6" s="2"/>
      <c r="B6" s="2"/>
      <c r="C6" s="2"/>
      <c r="D6" s="2"/>
      <c r="E6" s="2"/>
      <c r="F6" s="2"/>
      <c r="G6" s="2"/>
      <c r="H6" s="2"/>
      <c r="I6" s="5"/>
      <c r="J6" s="5"/>
      <c r="K6" s="5"/>
      <c r="L6" s="5"/>
      <c r="M6" s="2"/>
      <c r="N6" s="2"/>
    </row>
    <row r="7" spans="1:14" ht="18.75">
      <c r="A7" s="1" t="s">
        <v>8</v>
      </c>
      <c r="B7" s="1"/>
      <c r="C7" s="1"/>
      <c r="D7" s="1"/>
      <c r="E7" s="1"/>
      <c r="F7" s="1"/>
      <c r="G7" s="2"/>
      <c r="H7" s="2"/>
      <c r="I7" s="3"/>
      <c r="J7" s="3"/>
      <c r="K7" s="3"/>
      <c r="L7" s="3"/>
      <c r="M7" s="2"/>
      <c r="N7" s="2"/>
    </row>
    <row r="8" spans="1:14" ht="18.75">
      <c r="A8" s="1"/>
      <c r="B8" s="1" t="s">
        <v>9</v>
      </c>
      <c r="C8" s="1"/>
      <c r="D8" s="1"/>
      <c r="E8" s="1"/>
      <c r="F8" s="1"/>
      <c r="G8" s="2"/>
      <c r="H8" s="2"/>
      <c r="I8" s="3"/>
      <c r="J8" s="3"/>
      <c r="K8" s="3"/>
      <c r="L8" s="3"/>
      <c r="M8" s="2"/>
      <c r="N8" s="2"/>
    </row>
    <row r="9" spans="1:14" ht="18.75">
      <c r="A9" s="2"/>
      <c r="B9" s="2"/>
      <c r="C9" s="2" t="s">
        <v>10</v>
      </c>
      <c r="D9" s="2"/>
      <c r="E9" s="2"/>
      <c r="F9" s="2"/>
      <c r="G9" s="2"/>
      <c r="H9" s="2"/>
      <c r="I9" s="3">
        <v>17314</v>
      </c>
      <c r="J9" s="3">
        <v>54</v>
      </c>
      <c r="K9" s="3">
        <v>-41</v>
      </c>
      <c r="L9" s="3">
        <f>SUM(I9:K9)</f>
        <v>17327</v>
      </c>
      <c r="M9" s="3">
        <f>SUM(L9)</f>
        <v>17327</v>
      </c>
      <c r="N9" s="2"/>
    </row>
    <row r="10" spans="1:14" ht="18.75">
      <c r="A10" s="2"/>
      <c r="B10" s="2"/>
      <c r="C10" s="2" t="s">
        <v>11</v>
      </c>
      <c r="D10" s="2"/>
      <c r="E10" s="2"/>
      <c r="F10" s="2"/>
      <c r="G10" s="2"/>
      <c r="H10" s="2"/>
      <c r="I10" s="6">
        <v>55786</v>
      </c>
      <c r="J10" s="6">
        <v>9349</v>
      </c>
      <c r="K10" s="6">
        <v>-49635</v>
      </c>
      <c r="L10" s="6">
        <f>SUM(I10:K10)</f>
        <v>15500</v>
      </c>
      <c r="M10" s="3">
        <f>SUM(L10)</f>
        <v>15500</v>
      </c>
      <c r="N10" s="2"/>
    </row>
    <row r="11" spans="1:14" ht="18.75">
      <c r="A11" s="2"/>
      <c r="B11" s="2"/>
      <c r="C11" s="2"/>
      <c r="D11" s="2"/>
      <c r="E11" s="2"/>
      <c r="F11" s="2"/>
      <c r="G11" s="2"/>
      <c r="H11" s="2"/>
      <c r="I11" s="3"/>
      <c r="J11" s="3"/>
      <c r="K11" s="3"/>
      <c r="L11" s="3"/>
      <c r="M11" s="2"/>
      <c r="N11" s="2"/>
    </row>
    <row r="12" spans="1:14" ht="18.75">
      <c r="A12" s="1"/>
      <c r="B12" s="1"/>
      <c r="C12" s="1"/>
      <c r="D12" s="1" t="s">
        <v>12</v>
      </c>
      <c r="E12" s="1"/>
      <c r="F12" s="1"/>
      <c r="G12" s="1"/>
      <c r="H12" s="1"/>
      <c r="I12" s="7">
        <f>SUM(I8:I11)</f>
        <v>73100</v>
      </c>
      <c r="J12" s="7">
        <f>SUM(J8:J11)</f>
        <v>9403</v>
      </c>
      <c r="K12" s="7">
        <f>SUM(K8:K11)</f>
        <v>-49676</v>
      </c>
      <c r="L12" s="7">
        <f>SUM(L8:L11)</f>
        <v>32827</v>
      </c>
      <c r="M12" s="1"/>
      <c r="N12" s="2"/>
    </row>
    <row r="13" spans="1:14" ht="18.75">
      <c r="A13" s="2"/>
      <c r="B13" s="2"/>
      <c r="C13" s="2"/>
      <c r="D13" s="2"/>
      <c r="E13" s="2"/>
      <c r="F13" s="2"/>
      <c r="G13" s="2"/>
      <c r="H13" s="2"/>
      <c r="I13" s="3"/>
      <c r="J13" s="3"/>
      <c r="K13" s="3"/>
      <c r="L13" s="3"/>
      <c r="M13" s="2"/>
      <c r="N13" s="2"/>
    </row>
    <row r="14" spans="1:14" ht="18.75">
      <c r="A14" s="1" t="s">
        <v>13</v>
      </c>
      <c r="B14" s="2"/>
      <c r="C14" s="2"/>
      <c r="D14" s="2"/>
      <c r="E14" s="2"/>
      <c r="F14" s="2"/>
      <c r="G14" s="2"/>
      <c r="H14" s="2"/>
      <c r="I14" s="3"/>
      <c r="J14" s="3"/>
      <c r="K14" s="3"/>
      <c r="L14" s="3"/>
      <c r="M14" s="2"/>
      <c r="N14" s="2"/>
    </row>
    <row r="15" spans="1:14" ht="18.75">
      <c r="A15" s="2"/>
      <c r="B15" s="2" t="s">
        <v>32</v>
      </c>
      <c r="C15" s="2"/>
      <c r="D15" s="2"/>
      <c r="E15" s="2"/>
      <c r="F15" s="2"/>
      <c r="G15" s="2"/>
      <c r="H15" s="2"/>
      <c r="I15" s="3">
        <v>62699</v>
      </c>
      <c r="J15" s="3">
        <v>41022</v>
      </c>
      <c r="K15" s="3">
        <v>-491</v>
      </c>
      <c r="L15" s="3">
        <f>SUM(I15:K15)</f>
        <v>103230</v>
      </c>
      <c r="M15" s="2"/>
      <c r="N15" s="2"/>
    </row>
    <row r="16" spans="1:14" ht="18.75">
      <c r="A16" s="2"/>
      <c r="B16" s="2" t="s">
        <v>30</v>
      </c>
      <c r="C16" s="2"/>
      <c r="D16" s="2"/>
      <c r="E16" s="2"/>
      <c r="F16" s="2"/>
      <c r="G16" s="2"/>
      <c r="H16" s="2"/>
      <c r="I16" s="3">
        <v>13162</v>
      </c>
      <c r="J16" s="3">
        <v>1566</v>
      </c>
      <c r="K16" s="3">
        <v>-884</v>
      </c>
      <c r="L16" s="3">
        <f t="shared" ref="L16:L20" si="0">SUM(I16:K16)</f>
        <v>13844</v>
      </c>
      <c r="M16" s="2"/>
      <c r="N16" s="2"/>
    </row>
    <row r="17" spans="1:14" ht="18.75">
      <c r="A17" s="2"/>
      <c r="B17" s="2" t="s">
        <v>33</v>
      </c>
      <c r="C17" s="2"/>
      <c r="D17" s="2"/>
      <c r="E17" s="2"/>
      <c r="F17" s="2"/>
      <c r="G17" s="2"/>
      <c r="H17" s="2"/>
      <c r="I17" s="3">
        <v>12086</v>
      </c>
      <c r="J17" s="3">
        <v>1795</v>
      </c>
      <c r="K17" s="3">
        <v>-440</v>
      </c>
      <c r="L17" s="3">
        <f t="shared" si="0"/>
        <v>13441</v>
      </c>
      <c r="M17" s="2"/>
      <c r="N17" s="2"/>
    </row>
    <row r="18" spans="1:14" ht="18.75">
      <c r="A18" s="2"/>
      <c r="B18" s="2" t="s">
        <v>29</v>
      </c>
      <c r="C18" s="2"/>
      <c r="D18" s="2"/>
      <c r="E18" s="2"/>
      <c r="F18" s="2"/>
      <c r="G18" s="2"/>
      <c r="H18" s="2"/>
      <c r="I18" s="3">
        <v>1127</v>
      </c>
      <c r="J18" s="3"/>
      <c r="K18" s="3">
        <v>-6</v>
      </c>
      <c r="L18" s="3">
        <f t="shared" si="0"/>
        <v>1121</v>
      </c>
      <c r="M18" s="2"/>
      <c r="N18" s="2"/>
    </row>
    <row r="19" spans="1:14" ht="18.75">
      <c r="A19" s="2"/>
      <c r="B19" s="2" t="s">
        <v>34</v>
      </c>
      <c r="C19" s="2"/>
      <c r="D19" s="2"/>
      <c r="E19" s="2"/>
      <c r="F19" s="2"/>
      <c r="G19" s="2"/>
      <c r="H19" s="2"/>
      <c r="I19" s="3">
        <v>2791</v>
      </c>
      <c r="J19" s="3">
        <v>453</v>
      </c>
      <c r="K19" s="3">
        <v>-766</v>
      </c>
      <c r="L19" s="3">
        <f t="shared" si="0"/>
        <v>2478</v>
      </c>
      <c r="M19" s="2"/>
      <c r="N19" s="2"/>
    </row>
    <row r="20" spans="1:14" ht="18.75">
      <c r="A20" s="2"/>
      <c r="B20" s="2" t="s">
        <v>17</v>
      </c>
      <c r="C20" s="2"/>
      <c r="D20" s="2"/>
      <c r="E20" s="2"/>
      <c r="F20" s="2"/>
      <c r="G20" s="2"/>
      <c r="H20" s="2"/>
      <c r="I20" s="6">
        <v>216285</v>
      </c>
      <c r="J20" s="6">
        <v>16109</v>
      </c>
      <c r="K20" s="6">
        <v>-3671</v>
      </c>
      <c r="L20" s="6">
        <f t="shared" si="0"/>
        <v>228723</v>
      </c>
      <c r="M20" s="2"/>
      <c r="N20" s="2"/>
    </row>
    <row r="21" spans="1:14" ht="18.75">
      <c r="A21" s="2"/>
      <c r="B21" s="2"/>
      <c r="C21" s="2"/>
      <c r="D21" s="2"/>
      <c r="E21" s="2"/>
      <c r="F21" s="2"/>
      <c r="G21" s="2"/>
      <c r="H21" s="2"/>
      <c r="I21" s="3"/>
      <c r="J21" s="3"/>
      <c r="K21" s="3"/>
      <c r="L21" s="3"/>
      <c r="M21" s="2"/>
      <c r="N21" s="2"/>
    </row>
    <row r="22" spans="1:14" ht="18.75">
      <c r="A22" s="1"/>
      <c r="B22" s="1"/>
      <c r="C22" s="1"/>
      <c r="D22" s="1" t="s">
        <v>18</v>
      </c>
      <c r="E22" s="1"/>
      <c r="F22" s="1"/>
      <c r="G22" s="1"/>
      <c r="H22" s="1"/>
      <c r="I22" s="7">
        <f>SUM(I15:I21)</f>
        <v>308150</v>
      </c>
      <c r="J22" s="7">
        <f>SUM(J15:J21)</f>
        <v>60945</v>
      </c>
      <c r="K22" s="7">
        <f>SUM(K15:K21)</f>
        <v>-6258</v>
      </c>
      <c r="L22" s="7">
        <f>SUM(L15:L20)</f>
        <v>362837</v>
      </c>
      <c r="M22" s="1"/>
      <c r="N22" s="2"/>
    </row>
    <row r="23" spans="1:14" ht="18.75">
      <c r="A23" s="2"/>
      <c r="B23" s="2"/>
      <c r="C23" s="2"/>
      <c r="D23" s="2"/>
      <c r="E23" s="2"/>
      <c r="F23" s="2"/>
      <c r="G23" s="2"/>
      <c r="H23" s="2"/>
      <c r="I23" s="3"/>
      <c r="J23" s="3"/>
      <c r="K23" s="3"/>
      <c r="L23" s="3"/>
      <c r="M23" s="2"/>
      <c r="N23" s="2"/>
    </row>
    <row r="24" spans="1:14" ht="18.75">
      <c r="A24" s="2" t="s">
        <v>19</v>
      </c>
      <c r="B24" s="2"/>
      <c r="C24" s="2"/>
      <c r="D24" s="2"/>
      <c r="E24" s="2"/>
      <c r="F24" s="2"/>
      <c r="G24" s="2"/>
      <c r="H24" s="2"/>
      <c r="I24" s="3"/>
      <c r="J24" s="3"/>
      <c r="K24" s="3"/>
      <c r="L24" s="3"/>
      <c r="M24" s="2"/>
      <c r="N24" s="2"/>
    </row>
    <row r="25" spans="1:14" ht="18.75">
      <c r="A25" s="2"/>
      <c r="B25" s="2" t="s">
        <v>32</v>
      </c>
      <c r="C25" s="2"/>
      <c r="D25" s="2"/>
      <c r="E25" s="2"/>
      <c r="F25" s="2"/>
      <c r="G25" s="2"/>
      <c r="H25" s="2"/>
      <c r="I25" s="3">
        <v>-20896</v>
      </c>
      <c r="J25" s="3">
        <v>-2642</v>
      </c>
      <c r="K25" s="3">
        <v>0</v>
      </c>
      <c r="L25" s="3">
        <f>SUM(I25:K25)</f>
        <v>-23538</v>
      </c>
      <c r="M25" s="3">
        <f>SUM(L25,L15)</f>
        <v>79692</v>
      </c>
      <c r="N25" s="2"/>
    </row>
    <row r="26" spans="1:14" ht="18.75">
      <c r="A26" s="2"/>
      <c r="B26" s="2" t="s">
        <v>30</v>
      </c>
      <c r="C26" s="2"/>
      <c r="D26" s="2"/>
      <c r="E26" s="2"/>
      <c r="F26" s="2"/>
      <c r="G26" s="2"/>
      <c r="H26" s="2"/>
      <c r="I26" s="3">
        <v>-8988</v>
      </c>
      <c r="J26" s="3">
        <v>-691</v>
      </c>
      <c r="K26" s="3">
        <v>826</v>
      </c>
      <c r="L26" s="3">
        <f t="shared" ref="L26:L30" si="1">SUM(I26:K26)</f>
        <v>-8853</v>
      </c>
      <c r="M26" s="3">
        <f t="shared" ref="M26:M30" si="2">SUM(L26,L16)</f>
        <v>4991</v>
      </c>
      <c r="N26" s="2"/>
    </row>
    <row r="27" spans="1:14" ht="18.75">
      <c r="A27" s="2"/>
      <c r="B27" s="2" t="s">
        <v>33</v>
      </c>
      <c r="C27" s="2"/>
      <c r="D27" s="2"/>
      <c r="E27" s="2"/>
      <c r="F27" s="2"/>
      <c r="G27" s="2"/>
      <c r="H27" s="2"/>
      <c r="I27" s="3">
        <v>-9409</v>
      </c>
      <c r="J27" s="3">
        <v>-939</v>
      </c>
      <c r="K27" s="3">
        <v>415</v>
      </c>
      <c r="L27" s="3">
        <f t="shared" si="1"/>
        <v>-9933</v>
      </c>
      <c r="M27" s="3">
        <f t="shared" si="2"/>
        <v>3508</v>
      </c>
      <c r="N27" s="2"/>
    </row>
    <row r="28" spans="1:14" ht="18.75">
      <c r="A28" s="2"/>
      <c r="B28" s="2" t="s">
        <v>29</v>
      </c>
      <c r="C28" s="2"/>
      <c r="D28" s="2"/>
      <c r="E28" s="2"/>
      <c r="F28" s="2"/>
      <c r="G28" s="2"/>
      <c r="H28" s="2"/>
      <c r="I28" s="3">
        <v>-645</v>
      </c>
      <c r="J28" s="3">
        <v>-85</v>
      </c>
      <c r="K28" s="3">
        <v>6</v>
      </c>
      <c r="L28" s="3">
        <f t="shared" si="1"/>
        <v>-724</v>
      </c>
      <c r="M28" s="3">
        <f t="shared" si="2"/>
        <v>397</v>
      </c>
      <c r="N28" s="2"/>
    </row>
    <row r="29" spans="1:14" ht="18.75">
      <c r="A29" s="2"/>
      <c r="B29" s="2" t="s">
        <v>34</v>
      </c>
      <c r="C29" s="2"/>
      <c r="D29" s="2"/>
      <c r="E29" s="2"/>
      <c r="F29" s="2"/>
      <c r="G29" s="2"/>
      <c r="H29" s="2"/>
      <c r="I29" s="3">
        <v>-1825</v>
      </c>
      <c r="J29" s="3">
        <v>-496</v>
      </c>
      <c r="K29" s="3">
        <v>766</v>
      </c>
      <c r="L29" s="3">
        <f t="shared" si="1"/>
        <v>-1555</v>
      </c>
      <c r="M29" s="3">
        <f t="shared" si="2"/>
        <v>923</v>
      </c>
      <c r="N29" s="2"/>
    </row>
    <row r="30" spans="1:14" ht="18.75">
      <c r="A30" s="2"/>
      <c r="B30" s="2" t="s">
        <v>17</v>
      </c>
      <c r="C30" s="2"/>
      <c r="D30" s="2"/>
      <c r="E30" s="2"/>
      <c r="F30" s="2"/>
      <c r="G30" s="2"/>
      <c r="H30" s="2"/>
      <c r="I30" s="6">
        <v>-129923</v>
      </c>
      <c r="J30" s="6">
        <v>-10934</v>
      </c>
      <c r="K30" s="6">
        <v>3602</v>
      </c>
      <c r="L30" s="6">
        <f t="shared" si="1"/>
        <v>-137255</v>
      </c>
      <c r="M30" s="3">
        <f t="shared" si="2"/>
        <v>91468</v>
      </c>
      <c r="N30" s="2"/>
    </row>
    <row r="31" spans="1:14" ht="18.75">
      <c r="A31" s="2"/>
      <c r="B31" s="2"/>
      <c r="C31" s="2"/>
      <c r="D31" s="2"/>
      <c r="E31" s="2"/>
      <c r="F31" s="2"/>
      <c r="G31" s="2"/>
      <c r="H31" s="2"/>
      <c r="I31" s="3"/>
      <c r="J31" s="3"/>
      <c r="K31" s="3"/>
      <c r="L31" s="3"/>
      <c r="M31" s="2"/>
      <c r="N31" s="2"/>
    </row>
    <row r="32" spans="1:14" ht="18.75">
      <c r="A32" s="1"/>
      <c r="B32" s="1"/>
      <c r="C32" s="1"/>
      <c r="D32" s="1" t="s">
        <v>20</v>
      </c>
      <c r="E32" s="1"/>
      <c r="F32" s="1"/>
      <c r="G32" s="1"/>
      <c r="H32" s="1"/>
      <c r="I32" s="7">
        <f>SUM(I25:I31)</f>
        <v>-171686</v>
      </c>
      <c r="J32" s="7">
        <f>SUM(J25:J31)</f>
        <v>-15787</v>
      </c>
      <c r="K32" s="7">
        <f>SUM(K25:K31)</f>
        <v>5615</v>
      </c>
      <c r="L32" s="7">
        <f>SUM(L25:L31)</f>
        <v>-181858</v>
      </c>
      <c r="M32" s="1"/>
      <c r="N32" s="2"/>
    </row>
    <row r="33" spans="1:14" ht="18.75">
      <c r="A33" s="2"/>
      <c r="B33" s="2"/>
      <c r="C33" s="2"/>
      <c r="D33" s="2"/>
      <c r="E33" s="2"/>
      <c r="F33" s="2"/>
      <c r="G33" s="2"/>
      <c r="H33" s="2"/>
      <c r="I33" s="3"/>
      <c r="J33" s="3"/>
      <c r="K33" s="3"/>
      <c r="L33" s="3"/>
      <c r="M33" s="2"/>
      <c r="N33" s="2"/>
    </row>
    <row r="34" spans="1:14" ht="18.75">
      <c r="A34" s="1"/>
      <c r="B34" s="1" t="s">
        <v>21</v>
      </c>
      <c r="C34" s="1"/>
      <c r="D34" s="1"/>
      <c r="E34" s="1"/>
      <c r="F34" s="1"/>
      <c r="G34" s="1"/>
      <c r="H34" s="1"/>
      <c r="I34" s="7">
        <f>I22+I32</f>
        <v>136464</v>
      </c>
      <c r="J34" s="7">
        <f t="shared" ref="J34:L34" si="3">J22+J32</f>
        <v>45158</v>
      </c>
      <c r="K34" s="7">
        <f>K22+K32</f>
        <v>-643</v>
      </c>
      <c r="L34" s="7">
        <f t="shared" si="3"/>
        <v>180979</v>
      </c>
      <c r="M34" s="1"/>
      <c r="N34" s="2"/>
    </row>
    <row r="35" spans="1:14" ht="18.75">
      <c r="A35" s="2"/>
      <c r="B35" s="2"/>
      <c r="C35" s="2"/>
      <c r="D35" s="2"/>
      <c r="E35" s="2"/>
      <c r="F35" s="2"/>
      <c r="G35" s="2"/>
      <c r="H35" s="2"/>
      <c r="I35" s="3"/>
      <c r="J35" s="3"/>
      <c r="K35" s="3"/>
      <c r="L35" s="3"/>
      <c r="M35" s="2"/>
      <c r="N35" s="2"/>
    </row>
    <row r="36" spans="1:14" ht="18.75">
      <c r="A36" s="2"/>
      <c r="B36" s="1" t="s">
        <v>22</v>
      </c>
      <c r="C36" s="2"/>
      <c r="D36" s="2"/>
      <c r="E36" s="2"/>
      <c r="F36" s="2"/>
      <c r="G36" s="2"/>
      <c r="H36" s="2"/>
      <c r="I36" s="9">
        <f>I32+I22+I12</f>
        <v>209564</v>
      </c>
      <c r="J36" s="9">
        <f>J32+J22+J12</f>
        <v>54561</v>
      </c>
      <c r="K36" s="9">
        <f>K32+K22+K12</f>
        <v>-50319</v>
      </c>
      <c r="L36" s="9">
        <f>L32+L22+L12</f>
        <v>213806</v>
      </c>
      <c r="M36" s="3">
        <f>SUM(M25:M30,M9:M10)</f>
        <v>213806</v>
      </c>
      <c r="N36" s="2"/>
    </row>
    <row r="37" spans="1:14" ht="18.75">
      <c r="A37" s="2"/>
      <c r="B37" s="2"/>
      <c r="C37" s="2"/>
      <c r="D37" s="2"/>
      <c r="E37" s="2"/>
      <c r="F37" s="2"/>
      <c r="G37" s="2"/>
      <c r="H37" s="2"/>
      <c r="I37" s="3"/>
      <c r="J37" s="3"/>
      <c r="K37" s="3"/>
      <c r="L37" s="3"/>
      <c r="M37" s="2"/>
      <c r="N37" s="2"/>
    </row>
    <row r="38" spans="1:14" ht="18.75">
      <c r="A38" s="2"/>
      <c r="B38" s="2"/>
      <c r="C38" s="2"/>
      <c r="D38" s="2"/>
      <c r="E38" s="2"/>
      <c r="F38" s="2"/>
      <c r="G38" s="2"/>
      <c r="H38" s="2"/>
      <c r="I38" s="3"/>
      <c r="J38" s="3"/>
      <c r="K38" s="3"/>
      <c r="L38" s="3"/>
      <c r="M38" s="2"/>
      <c r="N38" s="2"/>
    </row>
    <row r="39" spans="1:14" ht="37.5">
      <c r="A39" s="2"/>
      <c r="B39" s="2"/>
      <c r="C39" s="2"/>
      <c r="D39" s="2"/>
      <c r="E39" s="2"/>
      <c r="F39" s="2"/>
      <c r="G39" s="2"/>
      <c r="H39" s="2"/>
      <c r="I39" s="17" t="s">
        <v>3</v>
      </c>
      <c r="J39" s="17" t="s">
        <v>4</v>
      </c>
      <c r="K39" s="17" t="s">
        <v>5</v>
      </c>
      <c r="L39" s="17" t="s">
        <v>6</v>
      </c>
      <c r="M39" s="2"/>
      <c r="N39" s="2"/>
    </row>
    <row r="40" spans="1:14" ht="18.75">
      <c r="A40" s="1" t="s">
        <v>35</v>
      </c>
      <c r="B40" s="1"/>
      <c r="C40" s="1"/>
      <c r="D40" s="1"/>
      <c r="E40" s="1"/>
      <c r="F40" s="1"/>
      <c r="G40" s="2"/>
      <c r="H40" s="2"/>
      <c r="I40" s="3"/>
      <c r="J40" s="3"/>
      <c r="K40" s="3"/>
      <c r="L40" s="3"/>
      <c r="M40" s="2"/>
      <c r="N40" s="2"/>
    </row>
    <row r="41" spans="1:14" ht="18.75">
      <c r="A41" s="1"/>
      <c r="B41" s="1" t="s">
        <v>9</v>
      </c>
      <c r="C41" s="1"/>
      <c r="D41" s="1"/>
      <c r="E41" s="1"/>
      <c r="F41" s="1"/>
      <c r="G41" s="2"/>
      <c r="H41" s="2"/>
      <c r="I41" s="3"/>
      <c r="J41" s="3"/>
      <c r="K41" s="3"/>
      <c r="L41" s="3"/>
      <c r="M41" s="2"/>
      <c r="N41" s="2"/>
    </row>
    <row r="42" spans="1:14" ht="18.75">
      <c r="A42" s="2"/>
      <c r="B42" s="2"/>
      <c r="C42" s="2" t="s">
        <v>10</v>
      </c>
      <c r="D42" s="2"/>
      <c r="E42" s="2"/>
      <c r="F42" s="2"/>
      <c r="G42" s="2"/>
      <c r="H42" s="2"/>
      <c r="I42" s="3">
        <v>670</v>
      </c>
      <c r="J42" s="3">
        <v>0</v>
      </c>
      <c r="K42" s="3">
        <v>0</v>
      </c>
      <c r="L42" s="3">
        <f>SUM(I42:K42)</f>
        <v>670</v>
      </c>
      <c r="M42" s="3">
        <f>SUM(L42)</f>
        <v>670</v>
      </c>
      <c r="N42" s="2"/>
    </row>
    <row r="43" spans="1:14" ht="18.75">
      <c r="A43" s="2"/>
      <c r="B43" s="2"/>
      <c r="C43" s="2" t="s">
        <v>11</v>
      </c>
      <c r="D43" s="2"/>
      <c r="E43" s="2"/>
      <c r="F43" s="2"/>
      <c r="G43" s="2"/>
      <c r="H43" s="2"/>
      <c r="I43" s="6">
        <v>271</v>
      </c>
      <c r="J43" s="6">
        <v>736</v>
      </c>
      <c r="K43" s="6">
        <v>0</v>
      </c>
      <c r="L43" s="6">
        <f>SUM(I43:K43)</f>
        <v>1007</v>
      </c>
      <c r="M43" s="3">
        <f>SUM(L43)</f>
        <v>1007</v>
      </c>
      <c r="N43" s="2"/>
    </row>
    <row r="44" spans="1:14" ht="18.75">
      <c r="A44" s="2"/>
      <c r="B44" s="2"/>
      <c r="C44" s="2"/>
      <c r="D44" s="2"/>
      <c r="E44" s="2"/>
      <c r="F44" s="2"/>
      <c r="G44" s="2"/>
      <c r="H44" s="2"/>
      <c r="I44" s="3"/>
      <c r="J44" s="3"/>
      <c r="K44" s="3"/>
      <c r="L44" s="3"/>
      <c r="M44" s="2"/>
      <c r="N44" s="2"/>
    </row>
    <row r="45" spans="1:14" ht="18.75">
      <c r="A45" s="1"/>
      <c r="B45" s="1"/>
      <c r="C45" s="1"/>
      <c r="D45" s="1" t="s">
        <v>12</v>
      </c>
      <c r="E45" s="1"/>
      <c r="F45" s="1"/>
      <c r="G45" s="1"/>
      <c r="H45" s="1"/>
      <c r="I45" s="7">
        <f>SUM(I41:I44)</f>
        <v>941</v>
      </c>
      <c r="J45" s="7">
        <f>SUM(J41:J44)</f>
        <v>736</v>
      </c>
      <c r="K45" s="7">
        <f>SUM(K41:K44)</f>
        <v>0</v>
      </c>
      <c r="L45" s="7">
        <f>SUM(L41:L44)</f>
        <v>1677</v>
      </c>
      <c r="M45" s="2"/>
      <c r="N45" s="2"/>
    </row>
    <row r="46" spans="1:14" ht="18.75">
      <c r="A46" s="2"/>
      <c r="B46" s="2"/>
      <c r="C46" s="2"/>
      <c r="D46" s="2"/>
      <c r="E46" s="2"/>
      <c r="F46" s="2"/>
      <c r="G46" s="2"/>
      <c r="H46" s="2"/>
      <c r="I46" s="3"/>
      <c r="J46" s="3"/>
      <c r="K46" s="3"/>
      <c r="L46" s="3"/>
      <c r="M46" s="2"/>
      <c r="N46" s="2"/>
    </row>
    <row r="47" spans="1:14" ht="18.75">
      <c r="A47" s="2"/>
      <c r="B47" s="1" t="s">
        <v>36</v>
      </c>
      <c r="C47" s="2"/>
      <c r="D47" s="2"/>
      <c r="E47" s="2"/>
      <c r="F47" s="2"/>
      <c r="G47" s="2"/>
      <c r="H47" s="2"/>
      <c r="I47" s="3"/>
      <c r="J47" s="3"/>
      <c r="K47" s="3"/>
      <c r="L47" s="3"/>
      <c r="M47" s="2"/>
      <c r="N47" s="2"/>
    </row>
    <row r="48" spans="1:14" ht="18.75">
      <c r="A48" s="2"/>
      <c r="B48" s="2"/>
      <c r="C48" s="2" t="s">
        <v>37</v>
      </c>
      <c r="D48" s="2"/>
      <c r="E48" s="2"/>
      <c r="F48" s="2"/>
      <c r="G48" s="2"/>
      <c r="H48" s="2"/>
      <c r="I48" s="3">
        <v>5779</v>
      </c>
      <c r="J48" s="3">
        <v>0</v>
      </c>
      <c r="K48" s="3">
        <v>0</v>
      </c>
      <c r="L48" s="3">
        <f>SUM(I48:K48)</f>
        <v>5779</v>
      </c>
      <c r="M48" s="2"/>
      <c r="N48" s="2"/>
    </row>
    <row r="49" spans="1:14" ht="18.75">
      <c r="A49" s="2"/>
      <c r="B49" s="2"/>
      <c r="C49" s="2" t="s">
        <v>38</v>
      </c>
      <c r="D49" s="2"/>
      <c r="E49" s="2"/>
      <c r="F49" s="2"/>
      <c r="G49" s="2"/>
      <c r="H49" s="2"/>
      <c r="I49" s="3">
        <v>765</v>
      </c>
      <c r="J49" s="3"/>
      <c r="K49" s="3">
        <v>0</v>
      </c>
      <c r="L49" s="3">
        <f t="shared" ref="L49:L51" si="4">SUM(I49:K49)</f>
        <v>765</v>
      </c>
      <c r="M49" s="2"/>
      <c r="N49" s="2"/>
    </row>
    <row r="50" spans="1:14" ht="18.75">
      <c r="A50" s="2"/>
      <c r="B50" s="2"/>
      <c r="C50" s="2" t="s">
        <v>39</v>
      </c>
      <c r="D50" s="2"/>
      <c r="E50" s="2"/>
      <c r="F50" s="2"/>
      <c r="G50" s="2"/>
      <c r="H50" s="2"/>
      <c r="I50" s="3">
        <v>141</v>
      </c>
      <c r="J50" s="3">
        <v>40</v>
      </c>
      <c r="K50" s="3"/>
      <c r="L50" s="3">
        <f t="shared" si="4"/>
        <v>181</v>
      </c>
      <c r="M50" s="2"/>
      <c r="N50" s="2"/>
    </row>
    <row r="51" spans="1:14" ht="18.75">
      <c r="A51" s="2"/>
      <c r="B51" s="2"/>
      <c r="C51" s="2" t="s">
        <v>40</v>
      </c>
      <c r="D51" s="2"/>
      <c r="E51" s="2"/>
      <c r="F51" s="2"/>
      <c r="G51" s="2"/>
      <c r="H51" s="2"/>
      <c r="I51" s="6">
        <v>7299</v>
      </c>
      <c r="J51" s="6">
        <v>832</v>
      </c>
      <c r="K51" s="6">
        <v>-24</v>
      </c>
      <c r="L51" s="6">
        <f t="shared" si="4"/>
        <v>8107</v>
      </c>
      <c r="M51" s="2"/>
      <c r="N51" s="2"/>
    </row>
    <row r="52" spans="1:14" ht="18.75">
      <c r="A52" s="2"/>
      <c r="B52" s="2"/>
      <c r="C52" s="2"/>
      <c r="D52" s="2"/>
      <c r="E52" s="2"/>
      <c r="F52" s="2"/>
      <c r="G52" s="2"/>
      <c r="H52" s="2"/>
      <c r="I52" s="3"/>
      <c r="J52" s="3"/>
      <c r="K52" s="3"/>
      <c r="L52" s="3"/>
      <c r="M52" s="2"/>
      <c r="N52" s="2"/>
    </row>
    <row r="53" spans="1:14" ht="18.75">
      <c r="A53" s="2"/>
      <c r="B53" s="2"/>
      <c r="C53" s="2"/>
      <c r="D53" s="1" t="s">
        <v>41</v>
      </c>
      <c r="E53" s="1"/>
      <c r="F53" s="1"/>
      <c r="G53" s="1"/>
      <c r="H53" s="2"/>
      <c r="I53" s="8">
        <f>SUM(I47:I51)</f>
        <v>13984</v>
      </c>
      <c r="J53" s="8">
        <f t="shared" ref="J53:L53" si="5">SUM(J47:J51)</f>
        <v>872</v>
      </c>
      <c r="K53" s="8">
        <f t="shared" si="5"/>
        <v>-24</v>
      </c>
      <c r="L53" s="8">
        <f t="shared" si="5"/>
        <v>14832</v>
      </c>
      <c r="M53" s="2"/>
      <c r="N53" s="2"/>
    </row>
    <row r="54" spans="1:14" ht="18.75">
      <c r="A54" s="2"/>
      <c r="B54" s="2"/>
      <c r="C54" s="2"/>
      <c r="D54" s="2"/>
      <c r="E54" s="2"/>
      <c r="F54" s="2"/>
      <c r="G54" s="2"/>
      <c r="H54" s="2"/>
      <c r="I54" s="3"/>
      <c r="J54" s="3"/>
      <c r="K54" s="3"/>
      <c r="L54" s="3"/>
      <c r="M54" s="2"/>
      <c r="N54" s="2"/>
    </row>
    <row r="55" spans="1:14" ht="18.75">
      <c r="A55" s="2"/>
      <c r="B55" s="2" t="s">
        <v>19</v>
      </c>
      <c r="C55" s="2"/>
      <c r="D55" s="2"/>
      <c r="E55" s="2"/>
      <c r="F55" s="2"/>
      <c r="G55" s="2"/>
      <c r="H55" s="2"/>
      <c r="I55" s="3"/>
      <c r="J55" s="3"/>
      <c r="K55" s="3"/>
      <c r="L55" s="3"/>
      <c r="M55" s="2"/>
      <c r="N55" s="2"/>
    </row>
    <row r="56" spans="1:14" ht="18.75">
      <c r="A56" s="2"/>
      <c r="B56" s="2"/>
      <c r="C56" s="2" t="s">
        <v>37</v>
      </c>
      <c r="D56" s="2"/>
      <c r="E56" s="2"/>
      <c r="F56" s="2"/>
      <c r="G56" s="2"/>
      <c r="H56" s="2"/>
      <c r="I56" s="3">
        <v>-2053</v>
      </c>
      <c r="J56" s="3">
        <v>-289</v>
      </c>
      <c r="K56" s="3"/>
      <c r="L56" s="3">
        <f>SUM(I56:K56)</f>
        <v>-2342</v>
      </c>
      <c r="M56" s="3">
        <f>SUM(L56,L48)</f>
        <v>3437</v>
      </c>
      <c r="N56" s="2"/>
    </row>
    <row r="57" spans="1:14" ht="18.75">
      <c r="A57" s="2"/>
      <c r="B57" s="2"/>
      <c r="C57" s="2" t="s">
        <v>38</v>
      </c>
      <c r="D57" s="2"/>
      <c r="E57" s="2"/>
      <c r="F57" s="2"/>
      <c r="G57" s="2"/>
      <c r="H57" s="2"/>
      <c r="I57" s="3">
        <v>-401</v>
      </c>
      <c r="J57" s="3">
        <v>-14</v>
      </c>
      <c r="K57" s="3"/>
      <c r="L57" s="3">
        <f t="shared" ref="L57:L59" si="6">SUM(I57:K57)</f>
        <v>-415</v>
      </c>
      <c r="M57" s="3">
        <f>SUM(L57,L49)</f>
        <v>350</v>
      </c>
      <c r="N57" s="2"/>
    </row>
    <row r="58" spans="1:14" ht="18.75">
      <c r="A58" s="2"/>
      <c r="B58" s="2"/>
      <c r="C58" s="2" t="s">
        <v>39</v>
      </c>
      <c r="D58" s="2"/>
      <c r="E58" s="2"/>
      <c r="F58" s="2"/>
      <c r="G58" s="2"/>
      <c r="H58" s="2"/>
      <c r="I58" s="3">
        <v>-43</v>
      </c>
      <c r="J58" s="3">
        <v>-47</v>
      </c>
      <c r="K58" s="3"/>
      <c r="L58" s="3">
        <f t="shared" si="6"/>
        <v>-90</v>
      </c>
      <c r="M58" s="3">
        <f>SUM(L58,L50)</f>
        <v>91</v>
      </c>
      <c r="N58" s="2"/>
    </row>
    <row r="59" spans="1:14" ht="18.75">
      <c r="A59" s="2"/>
      <c r="B59" s="2"/>
      <c r="C59" s="2" t="s">
        <v>40</v>
      </c>
      <c r="D59" s="2"/>
      <c r="E59" s="2"/>
      <c r="F59" s="2"/>
      <c r="G59" s="2"/>
      <c r="H59" s="2"/>
      <c r="I59" s="6">
        <v>-1535</v>
      </c>
      <c r="J59" s="6">
        <v>-358</v>
      </c>
      <c r="K59" s="6"/>
      <c r="L59" s="6">
        <f t="shared" si="6"/>
        <v>-1893</v>
      </c>
      <c r="M59" s="3">
        <f t="shared" ref="M59" si="7">SUM(L59,L51)</f>
        <v>6214</v>
      </c>
      <c r="N59" s="2"/>
    </row>
    <row r="60" spans="1:14" ht="18.75">
      <c r="A60" s="2"/>
      <c r="B60" s="2"/>
      <c r="C60" s="2"/>
      <c r="D60" s="2"/>
      <c r="E60" s="2"/>
      <c r="F60" s="2"/>
      <c r="G60" s="2"/>
      <c r="H60" s="2"/>
      <c r="I60" s="3"/>
      <c r="J60" s="3"/>
      <c r="K60" s="3"/>
      <c r="L60" s="3"/>
      <c r="M60" s="2"/>
      <c r="N60" s="2"/>
    </row>
    <row r="61" spans="1:14" ht="18.75">
      <c r="A61" s="2"/>
      <c r="B61" s="2"/>
      <c r="C61" s="2"/>
      <c r="D61" s="1" t="s">
        <v>20</v>
      </c>
      <c r="E61" s="1"/>
      <c r="F61" s="1"/>
      <c r="G61" s="1"/>
      <c r="H61" s="2"/>
      <c r="I61" s="8">
        <f>SUM(I56:I59)</f>
        <v>-4032</v>
      </c>
      <c r="J61" s="8">
        <f t="shared" ref="J61:L61" si="8">SUM(J56:J59)</f>
        <v>-708</v>
      </c>
      <c r="K61" s="8">
        <f t="shared" si="8"/>
        <v>0</v>
      </c>
      <c r="L61" s="8">
        <f t="shared" si="8"/>
        <v>-4740</v>
      </c>
      <c r="M61" s="2"/>
      <c r="N61" s="2"/>
    </row>
    <row r="62" spans="1:14" ht="18.75">
      <c r="A62" s="2"/>
      <c r="B62" s="2"/>
      <c r="C62" s="2"/>
      <c r="D62" s="1"/>
      <c r="E62" s="1"/>
      <c r="F62" s="1"/>
      <c r="G62" s="1"/>
      <c r="H62" s="2"/>
      <c r="I62" s="3"/>
      <c r="J62" s="3"/>
      <c r="K62" s="3"/>
      <c r="L62" s="3"/>
      <c r="M62" s="2"/>
      <c r="N62" s="2"/>
    </row>
    <row r="63" spans="1:14" ht="18.75">
      <c r="A63" s="2"/>
      <c r="B63" s="2"/>
      <c r="C63" s="2"/>
      <c r="D63" s="1" t="s">
        <v>42</v>
      </c>
      <c r="E63" s="1"/>
      <c r="F63" s="1"/>
      <c r="G63" s="1"/>
      <c r="H63" s="2"/>
      <c r="I63" s="8">
        <f>I53+I61</f>
        <v>9952</v>
      </c>
      <c r="J63" s="8">
        <f t="shared" ref="J63:L63" si="9">J53+J61</f>
        <v>164</v>
      </c>
      <c r="K63" s="8">
        <f t="shared" si="9"/>
        <v>-24</v>
      </c>
      <c r="L63" s="8">
        <f t="shared" si="9"/>
        <v>10092</v>
      </c>
      <c r="M63" s="2"/>
      <c r="N63" s="2"/>
    </row>
    <row r="64" spans="1:14" ht="18.75">
      <c r="A64" s="2"/>
      <c r="B64" s="2"/>
      <c r="C64" s="2"/>
      <c r="D64" s="1"/>
      <c r="E64" s="1"/>
      <c r="F64" s="1"/>
      <c r="G64" s="1"/>
      <c r="H64" s="2"/>
      <c r="I64" s="3"/>
      <c r="J64" s="3"/>
      <c r="K64" s="3"/>
      <c r="L64" s="3"/>
      <c r="M64" s="2"/>
      <c r="N64" s="2"/>
    </row>
    <row r="65" spans="1:14" ht="18.75">
      <c r="A65" s="2"/>
      <c r="B65" s="2"/>
      <c r="C65" s="2"/>
      <c r="D65" s="1" t="s">
        <v>43</v>
      </c>
      <c r="E65" s="1"/>
      <c r="F65" s="1"/>
      <c r="G65" s="1"/>
      <c r="H65" s="2"/>
      <c r="I65" s="9">
        <f>I63+I45</f>
        <v>10893</v>
      </c>
      <c r="J65" s="9">
        <f t="shared" ref="J65:L65" si="10">J63+J45</f>
        <v>900</v>
      </c>
      <c r="K65" s="9">
        <f t="shared" si="10"/>
        <v>-24</v>
      </c>
      <c r="L65" s="9">
        <f t="shared" si="10"/>
        <v>11769</v>
      </c>
      <c r="M65" s="3">
        <f>SUM(M56:M59,M42:M43)</f>
        <v>11769</v>
      </c>
      <c r="N65" s="2"/>
    </row>
    <row r="66" spans="1:14" ht="18.75">
      <c r="A66" s="2"/>
      <c r="B66" s="2"/>
      <c r="C66" s="2"/>
      <c r="D66" s="2"/>
      <c r="E66" s="2"/>
      <c r="F66" s="2"/>
      <c r="G66" s="2"/>
      <c r="H66" s="2"/>
      <c r="I66" s="3"/>
      <c r="J66" s="3"/>
      <c r="K66" s="3"/>
      <c r="L66" s="3"/>
      <c r="M66" s="2"/>
      <c r="N66" s="2"/>
    </row>
  </sheetData>
  <mergeCells count="3">
    <mergeCell ref="D1:I1"/>
    <mergeCell ref="D2:I2"/>
    <mergeCell ref="D3:I3"/>
  </mergeCells>
  <pageMargins left="0.7" right="0.7" top="0.75" bottom="0.75" header="0.3" footer="0.3"/>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36"/>
  <sheetViews>
    <sheetView zoomScale="70" zoomScaleNormal="70" zoomScalePageLayoutView="70" workbookViewId="0">
      <selection activeCell="N37" sqref="N37"/>
    </sheetView>
  </sheetViews>
  <sheetFormatPr defaultColWidth="8.85546875" defaultRowHeight="18.75"/>
  <cols>
    <col min="1" max="1" width="4.42578125" style="2" customWidth="1"/>
    <col min="2" max="3" width="4.7109375" style="2" customWidth="1"/>
    <col min="4" max="6" width="8.85546875" style="2"/>
    <col min="7" max="7" width="14.28515625" style="2" bestFit="1" customWidth="1"/>
    <col min="8" max="8" width="12.7109375" style="2" bestFit="1" customWidth="1"/>
    <col min="9" max="9" width="20.42578125" style="3" bestFit="1" customWidth="1"/>
    <col min="10" max="11" width="16.85546875" style="3" customWidth="1"/>
    <col min="12" max="12" width="21.28515625" style="3" customWidth="1"/>
    <col min="13" max="13" width="19" style="2" customWidth="1"/>
    <col min="14" max="14" width="26.42578125" style="2" customWidth="1"/>
    <col min="15" max="15" width="38.85546875" style="2" customWidth="1"/>
    <col min="16" max="16" width="12.28515625" style="2" customWidth="1"/>
    <col min="17" max="16384" width="8.85546875" style="2"/>
  </cols>
  <sheetData>
    <row r="1" spans="1:14">
      <c r="D1" s="136" t="s">
        <v>44</v>
      </c>
      <c r="E1" s="136"/>
      <c r="F1" s="136"/>
      <c r="G1" s="136"/>
      <c r="H1" s="136"/>
      <c r="I1" s="136"/>
    </row>
    <row r="2" spans="1:14">
      <c r="D2" s="136" t="s">
        <v>1</v>
      </c>
      <c r="E2" s="136"/>
      <c r="F2" s="136"/>
      <c r="G2" s="136"/>
      <c r="H2" s="136"/>
      <c r="I2" s="136"/>
    </row>
    <row r="3" spans="1:14">
      <c r="D3" s="136" t="s">
        <v>2</v>
      </c>
      <c r="E3" s="136"/>
      <c r="F3" s="136"/>
      <c r="G3" s="136"/>
      <c r="H3" s="136"/>
      <c r="I3" s="136"/>
    </row>
    <row r="4" spans="1:14" ht="14.25" customHeight="1">
      <c r="D4" s="69"/>
      <c r="E4" s="69"/>
      <c r="F4" s="69"/>
      <c r="G4" s="69"/>
      <c r="H4" s="69"/>
      <c r="I4" s="4"/>
    </row>
    <row r="5" spans="1:14" ht="60.75" customHeight="1">
      <c r="I5" s="11" t="s">
        <v>3</v>
      </c>
      <c r="J5" s="11" t="s">
        <v>45</v>
      </c>
      <c r="K5" s="11" t="s">
        <v>46</v>
      </c>
      <c r="L5" s="11" t="s">
        <v>47</v>
      </c>
      <c r="M5" s="69" t="s">
        <v>48</v>
      </c>
      <c r="N5" s="11" t="s">
        <v>7</v>
      </c>
    </row>
    <row r="6" spans="1:14">
      <c r="I6" s="16"/>
      <c r="J6" s="16"/>
      <c r="K6" s="16"/>
      <c r="L6" s="16"/>
    </row>
    <row r="7" spans="1:14">
      <c r="A7" s="1" t="s">
        <v>49</v>
      </c>
      <c r="B7" s="1"/>
      <c r="C7" s="1"/>
      <c r="D7" s="1"/>
      <c r="E7" s="1"/>
      <c r="F7" s="1"/>
    </row>
    <row r="8" spans="1:14">
      <c r="A8" s="1" t="s">
        <v>50</v>
      </c>
      <c r="B8" s="1"/>
      <c r="C8" s="1"/>
      <c r="D8" s="1"/>
      <c r="E8" s="1"/>
      <c r="F8" s="1"/>
    </row>
    <row r="9" spans="1:14">
      <c r="A9" s="1" t="s">
        <v>51</v>
      </c>
      <c r="B9" s="1"/>
      <c r="C9" s="1"/>
      <c r="D9" s="1"/>
      <c r="E9" s="1"/>
      <c r="F9" s="1"/>
    </row>
    <row r="10" spans="1:14">
      <c r="B10" s="2" t="s">
        <v>10</v>
      </c>
      <c r="I10" s="3">
        <v>2213381</v>
      </c>
      <c r="J10" s="3">
        <v>120812</v>
      </c>
      <c r="L10" s="3">
        <v>0</v>
      </c>
      <c r="M10" s="3">
        <f>SUM(I10:L10)</f>
        <v>2334193</v>
      </c>
      <c r="N10" s="3">
        <f>M10</f>
        <v>2334193</v>
      </c>
    </row>
    <row r="11" spans="1:14">
      <c r="B11" s="2" t="s">
        <v>32</v>
      </c>
      <c r="I11" s="3">
        <v>20795365</v>
      </c>
      <c r="J11" s="3">
        <v>17305421</v>
      </c>
      <c r="K11" s="3">
        <v>11888135</v>
      </c>
      <c r="L11" s="3">
        <v>8283</v>
      </c>
      <c r="M11" s="33">
        <v>23864600</v>
      </c>
    </row>
    <row r="12" spans="1:14">
      <c r="B12" s="2" t="s">
        <v>52</v>
      </c>
      <c r="I12" s="3">
        <v>11684883</v>
      </c>
      <c r="J12" s="3">
        <v>72243</v>
      </c>
      <c r="M12" s="3">
        <v>11757126</v>
      </c>
    </row>
    <row r="13" spans="1:14">
      <c r="B13" s="2" t="s">
        <v>53</v>
      </c>
      <c r="I13" s="3">
        <v>16109402</v>
      </c>
      <c r="J13" s="3">
        <v>116674</v>
      </c>
      <c r="M13" s="3">
        <v>16226076</v>
      </c>
    </row>
    <row r="14" spans="1:14">
      <c r="B14" s="2" t="s">
        <v>54</v>
      </c>
      <c r="I14" s="3">
        <v>588844</v>
      </c>
      <c r="M14" s="3">
        <v>588844</v>
      </c>
    </row>
    <row r="15" spans="1:14">
      <c r="B15" s="2" t="s">
        <v>55</v>
      </c>
      <c r="I15" s="3">
        <v>7250922</v>
      </c>
      <c r="J15" s="3">
        <v>369706</v>
      </c>
      <c r="K15" s="3">
        <v>-314616</v>
      </c>
      <c r="M15" s="3">
        <v>7306012</v>
      </c>
    </row>
    <row r="16" spans="1:14">
      <c r="B16" s="2" t="s">
        <v>11</v>
      </c>
      <c r="I16" s="3">
        <v>488571</v>
      </c>
      <c r="J16" s="3">
        <v>245918</v>
      </c>
      <c r="K16" s="3">
        <v>-24425</v>
      </c>
      <c r="L16" s="3">
        <v>-8283</v>
      </c>
      <c r="M16" s="3">
        <v>701781</v>
      </c>
      <c r="N16" s="3">
        <f>M16</f>
        <v>701781</v>
      </c>
    </row>
    <row r="17" spans="1:15">
      <c r="A17" s="1"/>
      <c r="B17" s="1"/>
      <c r="C17" s="1" t="s">
        <v>56</v>
      </c>
      <c r="D17" s="1"/>
      <c r="E17" s="1"/>
      <c r="F17" s="1"/>
      <c r="G17" s="1"/>
      <c r="H17" s="1"/>
      <c r="I17" s="12">
        <f>SUM(I10:I16)</f>
        <v>59131368</v>
      </c>
      <c r="J17" s="12">
        <f t="shared" ref="J17:M17" si="0">SUM(J10:J16)</f>
        <v>18230774</v>
      </c>
      <c r="K17" s="12">
        <f t="shared" si="0"/>
        <v>11549094</v>
      </c>
      <c r="L17" s="12">
        <f t="shared" si="0"/>
        <v>0</v>
      </c>
      <c r="M17" s="12">
        <f t="shared" si="0"/>
        <v>62778632</v>
      </c>
    </row>
    <row r="18" spans="1:15">
      <c r="A18" s="1"/>
      <c r="B18" s="1"/>
      <c r="C18" s="1"/>
      <c r="D18" s="1"/>
      <c r="E18" s="1"/>
      <c r="F18" s="1"/>
      <c r="G18" s="1"/>
      <c r="H18" s="1"/>
      <c r="I18" s="15"/>
      <c r="J18" s="15"/>
      <c r="K18" s="15"/>
      <c r="L18" s="15"/>
      <c r="M18" s="1"/>
    </row>
    <row r="19" spans="1:15">
      <c r="A19" s="1" t="s">
        <v>57</v>
      </c>
      <c r="B19" s="1"/>
      <c r="C19" s="1"/>
      <c r="D19" s="1"/>
      <c r="E19" s="1"/>
      <c r="F19" s="1"/>
      <c r="G19" s="1"/>
      <c r="H19" s="1"/>
      <c r="I19" s="15"/>
      <c r="J19" s="15"/>
      <c r="K19" s="15"/>
      <c r="L19" s="15"/>
      <c r="M19" s="1"/>
      <c r="O19" s="2" t="s">
        <v>58</v>
      </c>
    </row>
    <row r="20" spans="1:15">
      <c r="A20" s="1"/>
      <c r="B20" s="2" t="s">
        <v>32</v>
      </c>
      <c r="C20" s="1"/>
      <c r="D20" s="1"/>
      <c r="E20" s="1"/>
      <c r="F20" s="1"/>
      <c r="G20" s="1"/>
      <c r="H20" s="1"/>
      <c r="I20" s="3">
        <v>20795365</v>
      </c>
      <c r="J20" s="3">
        <v>17305421</v>
      </c>
      <c r="K20" s="3">
        <v>11888135</v>
      </c>
      <c r="L20" s="3">
        <v>8283</v>
      </c>
      <c r="M20" s="33">
        <v>23864600</v>
      </c>
      <c r="N20" s="33"/>
      <c r="O20" s="2">
        <f>M20/M25</f>
        <v>0.39945661607489913</v>
      </c>
    </row>
    <row r="21" spans="1:15">
      <c r="A21" s="1"/>
      <c r="B21" s="2" t="s">
        <v>52</v>
      </c>
      <c r="C21" s="1"/>
      <c r="D21" s="1"/>
      <c r="E21" s="1"/>
      <c r="F21" s="1"/>
      <c r="G21" s="1"/>
      <c r="H21" s="1"/>
      <c r="I21" s="3">
        <v>11684883</v>
      </c>
      <c r="J21" s="3">
        <v>72243</v>
      </c>
      <c r="M21" s="3">
        <v>11757126</v>
      </c>
      <c r="N21" s="33"/>
      <c r="O21" s="2">
        <f>M21/M25</f>
        <v>0.1967961653128992</v>
      </c>
    </row>
    <row r="22" spans="1:15">
      <c r="A22" s="1"/>
      <c r="B22" s="2" t="s">
        <v>53</v>
      </c>
      <c r="C22" s="1"/>
      <c r="D22" s="1"/>
      <c r="E22" s="1"/>
      <c r="F22" s="1"/>
      <c r="G22" s="1"/>
      <c r="H22" s="1"/>
      <c r="I22" s="3">
        <v>16109402</v>
      </c>
      <c r="J22" s="3">
        <v>116674</v>
      </c>
      <c r="M22" s="3">
        <v>16226076</v>
      </c>
      <c r="N22" s="33"/>
      <c r="O22" s="2">
        <f>M22/M25</f>
        <v>0.27159949930583938</v>
      </c>
    </row>
    <row r="23" spans="1:15">
      <c r="A23" s="1"/>
      <c r="B23" s="2" t="s">
        <v>54</v>
      </c>
      <c r="C23" s="1"/>
      <c r="D23" s="1"/>
      <c r="E23" s="1"/>
      <c r="F23" s="1"/>
      <c r="G23" s="1"/>
      <c r="H23" s="1"/>
      <c r="I23" s="3">
        <v>588844</v>
      </c>
      <c r="M23" s="3">
        <v>588844</v>
      </c>
      <c r="N23" s="33"/>
      <c r="O23" s="2">
        <f>M23/M25</f>
        <v>9.8563408410787482E-3</v>
      </c>
    </row>
    <row r="24" spans="1:15">
      <c r="A24" s="1"/>
      <c r="B24" s="2" t="s">
        <v>55</v>
      </c>
      <c r="C24" s="1"/>
      <c r="D24" s="1"/>
      <c r="E24" s="1"/>
      <c r="F24" s="1"/>
      <c r="G24" s="1"/>
      <c r="H24" s="1"/>
      <c r="I24" s="3">
        <v>7250922</v>
      </c>
      <c r="J24" s="3">
        <v>369706</v>
      </c>
      <c r="K24" s="3">
        <v>-314616</v>
      </c>
      <c r="M24" s="3">
        <v>7306012</v>
      </c>
      <c r="N24" s="33"/>
      <c r="O24" s="2">
        <f>M24/M25</f>
        <v>0.12229137846528355</v>
      </c>
    </row>
    <row r="25" spans="1:15">
      <c r="A25" s="1"/>
      <c r="B25" s="1"/>
      <c r="C25" s="1" t="s">
        <v>59</v>
      </c>
      <c r="D25" s="1"/>
      <c r="E25" s="1"/>
      <c r="F25" s="1"/>
      <c r="G25" s="1"/>
      <c r="H25" s="1"/>
      <c r="I25" s="12"/>
      <c r="J25" s="12"/>
      <c r="K25" s="12"/>
      <c r="L25" s="12"/>
      <c r="M25" s="52">
        <f>SUM(M20:M24)</f>
        <v>59742658</v>
      </c>
      <c r="O25" s="2">
        <f>SUM(O20:O24)</f>
        <v>1</v>
      </c>
    </row>
    <row r="26" spans="1:15">
      <c r="A26" s="1"/>
      <c r="B26" s="1"/>
      <c r="C26" s="1"/>
      <c r="D26" s="1"/>
      <c r="E26" s="1"/>
      <c r="F26" s="1"/>
      <c r="G26" s="1"/>
      <c r="H26" s="1"/>
      <c r="I26" s="15"/>
      <c r="J26" s="15"/>
      <c r="K26" s="15"/>
      <c r="L26" s="15"/>
      <c r="M26" s="1"/>
    </row>
    <row r="27" spans="1:15">
      <c r="A27" s="1" t="s">
        <v>60</v>
      </c>
      <c r="B27" s="1"/>
      <c r="C27" s="1"/>
      <c r="D27" s="1"/>
      <c r="E27" s="1"/>
      <c r="F27" s="1"/>
      <c r="G27" s="1"/>
      <c r="H27" s="1"/>
      <c r="I27" s="15"/>
      <c r="J27" s="15"/>
      <c r="K27" s="15"/>
      <c r="L27" s="15"/>
      <c r="M27" s="1"/>
    </row>
    <row r="28" spans="1:15">
      <c r="A28" s="1"/>
      <c r="B28" s="2" t="s">
        <v>32</v>
      </c>
      <c r="C28" s="1"/>
      <c r="D28" s="1"/>
      <c r="E28" s="1"/>
      <c r="F28" s="1"/>
      <c r="G28" s="1"/>
      <c r="H28" s="1"/>
      <c r="I28" s="15"/>
      <c r="J28" s="15"/>
      <c r="K28" s="15"/>
      <c r="L28" s="15"/>
      <c r="M28" s="38">
        <f>M34*O20</f>
        <v>-8182736.1606977722</v>
      </c>
      <c r="N28" s="33">
        <f>M20+M28</f>
        <v>15681863.839302227</v>
      </c>
    </row>
    <row r="29" spans="1:15">
      <c r="A29" s="1"/>
      <c r="B29" s="2" t="s">
        <v>52</v>
      </c>
      <c r="C29" s="1"/>
      <c r="D29" s="1"/>
      <c r="E29" s="1"/>
      <c r="F29" s="1"/>
      <c r="G29" s="1"/>
      <c r="H29" s="1"/>
      <c r="I29" s="15"/>
      <c r="J29" s="15"/>
      <c r="K29" s="15"/>
      <c r="L29" s="15"/>
      <c r="M29" s="38">
        <f>M34*O21</f>
        <v>-4031304.1101078563</v>
      </c>
      <c r="N29" s="33">
        <f>M21+M29</f>
        <v>7725821.8898921441</v>
      </c>
    </row>
    <row r="30" spans="1:15">
      <c r="A30" s="1"/>
      <c r="B30" s="2" t="s">
        <v>53</v>
      </c>
      <c r="C30" s="1"/>
      <c r="D30" s="1"/>
      <c r="E30" s="1"/>
      <c r="F30" s="1"/>
      <c r="G30" s="1"/>
      <c r="H30" s="1"/>
      <c r="I30" s="15"/>
      <c r="J30" s="15"/>
      <c r="K30" s="15"/>
      <c r="L30" s="15"/>
      <c r="M30" s="38">
        <f>M34*O22</f>
        <v>-5563625.5722463503</v>
      </c>
      <c r="N30" s="33">
        <f>M22+M30</f>
        <v>10662450.42775365</v>
      </c>
    </row>
    <row r="31" spans="1:15">
      <c r="A31" s="1"/>
      <c r="B31" s="2" t="s">
        <v>54</v>
      </c>
      <c r="C31" s="1"/>
      <c r="D31" s="1"/>
      <c r="E31" s="1"/>
      <c r="F31" s="1"/>
      <c r="G31" s="1"/>
      <c r="H31" s="1"/>
      <c r="I31" s="15"/>
      <c r="J31" s="15"/>
      <c r="K31" s="15"/>
      <c r="L31" s="15"/>
      <c r="M31" s="38">
        <f>M34*O23</f>
        <v>-201903.86982433891</v>
      </c>
      <c r="N31" s="33">
        <f>M23+M31</f>
        <v>386940.13017566106</v>
      </c>
    </row>
    <row r="32" spans="1:15">
      <c r="A32" s="1"/>
      <c r="B32" s="2" t="s">
        <v>55</v>
      </c>
      <c r="C32" s="1"/>
      <c r="D32" s="1"/>
      <c r="E32" s="1"/>
      <c r="F32" s="1"/>
      <c r="G32" s="1"/>
      <c r="H32" s="1"/>
      <c r="I32" s="15"/>
      <c r="J32" s="15"/>
      <c r="K32" s="15"/>
      <c r="L32" s="15"/>
      <c r="M32" s="38">
        <f>M34*O24</f>
        <v>-2505098.2871236829</v>
      </c>
      <c r="N32" s="33">
        <f>M24+M32</f>
        <v>4800913.7128763171</v>
      </c>
    </row>
    <row r="33" spans="1:14">
      <c r="A33" s="1" t="s">
        <v>60</v>
      </c>
      <c r="B33" s="1"/>
      <c r="C33" s="1"/>
      <c r="D33" s="1"/>
      <c r="E33" s="1"/>
      <c r="F33" s="1"/>
      <c r="G33" s="1"/>
      <c r="H33" s="1"/>
      <c r="I33" s="13"/>
      <c r="J33" s="13"/>
      <c r="K33" s="13"/>
      <c r="L33" s="13"/>
      <c r="M33" s="50">
        <f>SUM(M28:M32)</f>
        <v>-20484668</v>
      </c>
      <c r="N33" s="33"/>
    </row>
    <row r="34" spans="1:14">
      <c r="A34" s="1" t="s">
        <v>60</v>
      </c>
      <c r="I34" s="53">
        <v>-18320031</v>
      </c>
      <c r="J34" s="53">
        <v>-2384701</v>
      </c>
      <c r="K34" s="53">
        <v>220064</v>
      </c>
      <c r="L34" s="53"/>
      <c r="M34" s="54">
        <v>-20484668</v>
      </c>
    </row>
    <row r="35" spans="1:14">
      <c r="A35" s="1"/>
    </row>
    <row r="36" spans="1:14">
      <c r="I36" s="5">
        <f>SUM(I17+I34)</f>
        <v>40811337</v>
      </c>
      <c r="J36" s="5">
        <f>SUM(J17+J34)</f>
        <v>15846073</v>
      </c>
      <c r="K36" s="5">
        <f>SUM(K17+K34)</f>
        <v>11769158</v>
      </c>
      <c r="L36" s="5">
        <f>SUM(L17+L34)</f>
        <v>0</v>
      </c>
      <c r="M36" s="5">
        <f>SUM(M17+M34)</f>
        <v>42293964</v>
      </c>
      <c r="N36" s="3">
        <f>SUM(N10:N32)</f>
        <v>42293964</v>
      </c>
    </row>
  </sheetData>
  <mergeCells count="3">
    <mergeCell ref="D1:I1"/>
    <mergeCell ref="D2:I2"/>
    <mergeCell ref="D3:I3"/>
  </mergeCells>
  <pageMargins left="0.7" right="0.7" top="0.75" bottom="0.75" header="0.3" footer="0.3"/>
  <pageSetup orientation="portrait"/>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31"/>
  <sheetViews>
    <sheetView zoomScale="90" zoomScaleNormal="90" zoomScalePageLayoutView="90" workbookViewId="0">
      <selection activeCell="J35" sqref="J35"/>
    </sheetView>
  </sheetViews>
  <sheetFormatPr defaultColWidth="15.85546875" defaultRowHeight="18.75"/>
  <cols>
    <col min="1" max="1" width="7.85546875" style="2" customWidth="1"/>
    <col min="2" max="2" width="15.85546875" style="2"/>
    <col min="3" max="3" width="5.28515625" style="2" customWidth="1"/>
    <col min="4" max="4" width="15.85546875" style="2" customWidth="1"/>
    <col min="5" max="6" width="15.85546875" style="2"/>
    <col min="7" max="7" width="18.42578125" style="3" bestFit="1" customWidth="1"/>
    <col min="8" max="8" width="16.85546875" style="3" bestFit="1" customWidth="1"/>
    <col min="9" max="9" width="16" style="3" bestFit="1" customWidth="1"/>
    <col min="10" max="10" width="18.42578125" style="3" bestFit="1" customWidth="1"/>
    <col min="11" max="16384" width="15.85546875" style="2"/>
  </cols>
  <sheetData>
    <row r="1" spans="1:11">
      <c r="D1" s="136" t="s">
        <v>61</v>
      </c>
      <c r="E1" s="136"/>
      <c r="F1" s="136"/>
      <c r="G1" s="136"/>
    </row>
    <row r="2" spans="1:11">
      <c r="D2" s="136" t="s">
        <v>1</v>
      </c>
      <c r="E2" s="136"/>
      <c r="F2" s="136"/>
      <c r="G2" s="136"/>
    </row>
    <row r="3" spans="1:11">
      <c r="D3" s="136" t="s">
        <v>2</v>
      </c>
      <c r="E3" s="136"/>
      <c r="F3" s="136"/>
      <c r="G3" s="136"/>
    </row>
    <row r="4" spans="1:11">
      <c r="D4" s="69"/>
      <c r="E4" s="69"/>
      <c r="F4" s="69"/>
      <c r="G4" s="4"/>
    </row>
    <row r="5" spans="1:11" ht="37.5">
      <c r="G5" s="17" t="s">
        <v>62</v>
      </c>
      <c r="H5" s="17" t="s">
        <v>45</v>
      </c>
      <c r="I5" s="17" t="s">
        <v>5</v>
      </c>
      <c r="J5" s="17" t="s">
        <v>63</v>
      </c>
      <c r="K5" s="17" t="s">
        <v>7</v>
      </c>
    </row>
    <row r="6" spans="1:11">
      <c r="G6" s="5"/>
      <c r="H6" s="5"/>
      <c r="I6" s="5"/>
      <c r="J6" s="5"/>
    </row>
    <row r="7" spans="1:11">
      <c r="A7" s="1" t="s">
        <v>8</v>
      </c>
      <c r="B7" s="1"/>
      <c r="C7" s="1"/>
      <c r="D7" s="1"/>
      <c r="E7" s="1"/>
      <c r="F7" s="1"/>
    </row>
    <row r="8" spans="1:11">
      <c r="A8" s="1"/>
      <c r="B8" s="1" t="s">
        <v>9</v>
      </c>
      <c r="C8" s="1"/>
      <c r="D8" s="1"/>
      <c r="E8" s="1"/>
      <c r="F8" s="1"/>
    </row>
    <row r="9" spans="1:11">
      <c r="C9" s="2" t="s">
        <v>10</v>
      </c>
      <c r="G9" s="3">
        <v>584787</v>
      </c>
      <c r="H9" s="3">
        <v>29761</v>
      </c>
      <c r="I9" s="3">
        <v>-24000</v>
      </c>
      <c r="J9" s="3">
        <f>SUM(G9:I9)</f>
        <v>590548</v>
      </c>
      <c r="K9" s="3">
        <f>SUM(J9)</f>
        <v>590548</v>
      </c>
    </row>
    <row r="10" spans="1:11">
      <c r="C10" s="2" t="s">
        <v>11</v>
      </c>
      <c r="G10" s="6">
        <v>1083069</v>
      </c>
      <c r="H10" s="6"/>
      <c r="I10" s="6">
        <v>-1083069</v>
      </c>
      <c r="J10" s="6">
        <f>SUM(G10:I10)</f>
        <v>0</v>
      </c>
      <c r="K10" s="3">
        <f>SUM(J10)</f>
        <v>0</v>
      </c>
    </row>
    <row r="12" spans="1:11">
      <c r="A12" s="1"/>
      <c r="B12" s="1"/>
      <c r="C12" s="1"/>
      <c r="D12" s="1" t="s">
        <v>12</v>
      </c>
      <c r="E12" s="1"/>
      <c r="F12" s="1"/>
      <c r="G12" s="7">
        <f>SUM(G8:G11)</f>
        <v>1667856</v>
      </c>
      <c r="H12" s="7">
        <f>SUM(H8:H11)</f>
        <v>29761</v>
      </c>
      <c r="I12" s="7">
        <f>SUM(I8:I11)</f>
        <v>-1107069</v>
      </c>
      <c r="J12" s="7">
        <f>SUM(J8:J11)</f>
        <v>590548</v>
      </c>
      <c r="K12" s="1"/>
    </row>
    <row r="14" spans="1:11">
      <c r="A14" s="1" t="s">
        <v>13</v>
      </c>
    </row>
    <row r="15" spans="1:11">
      <c r="B15" s="2" t="s">
        <v>14</v>
      </c>
      <c r="G15" s="3">
        <v>4177096</v>
      </c>
      <c r="H15" s="3">
        <v>1192787</v>
      </c>
      <c r="I15" s="3">
        <v>0</v>
      </c>
      <c r="J15" s="3">
        <f>SUM(G15:I15)</f>
        <v>5369883</v>
      </c>
    </row>
    <row r="16" spans="1:11">
      <c r="B16" s="2" t="s">
        <v>64</v>
      </c>
      <c r="G16" s="3">
        <v>644791</v>
      </c>
      <c r="I16" s="3">
        <v>-19970</v>
      </c>
      <c r="J16" s="3">
        <f t="shared" ref="J16:J18" si="0">SUM(G16:I16)</f>
        <v>624821</v>
      </c>
    </row>
    <row r="17" spans="1:11">
      <c r="B17" s="2" t="s">
        <v>17</v>
      </c>
      <c r="G17" s="3">
        <v>75128</v>
      </c>
      <c r="H17" s="3">
        <v>3012</v>
      </c>
      <c r="J17" s="3">
        <f t="shared" si="0"/>
        <v>78140</v>
      </c>
    </row>
    <row r="18" spans="1:11">
      <c r="B18" s="2" t="s">
        <v>65</v>
      </c>
      <c r="G18" s="6">
        <v>3265524</v>
      </c>
      <c r="H18" s="6">
        <v>177984</v>
      </c>
      <c r="I18" s="6">
        <v>-7500</v>
      </c>
      <c r="J18" s="6">
        <f t="shared" si="0"/>
        <v>3436008</v>
      </c>
    </row>
    <row r="20" spans="1:11">
      <c r="A20" s="1"/>
      <c r="B20" s="1"/>
      <c r="C20" s="1"/>
      <c r="D20" s="1" t="s">
        <v>18</v>
      </c>
      <c r="E20" s="1"/>
      <c r="F20" s="1"/>
      <c r="G20" s="7">
        <f>SUM(G18+G17+G16+G15+G12)</f>
        <v>9830395</v>
      </c>
      <c r="H20" s="7">
        <f t="shared" ref="H20:J20" si="1">SUM(H18+H17+H16+H15+H12)</f>
        <v>1403544</v>
      </c>
      <c r="I20" s="7">
        <f t="shared" si="1"/>
        <v>-1134539</v>
      </c>
      <c r="J20" s="7">
        <f t="shared" si="1"/>
        <v>10099400</v>
      </c>
      <c r="K20" s="1"/>
    </row>
    <row r="22" spans="1:11">
      <c r="A22" s="2" t="s">
        <v>19</v>
      </c>
    </row>
    <row r="23" spans="1:11">
      <c r="B23" s="2" t="s">
        <v>14</v>
      </c>
      <c r="G23" s="3">
        <v>1448131</v>
      </c>
      <c r="H23" s="3">
        <v>189004</v>
      </c>
      <c r="I23" s="3">
        <v>0</v>
      </c>
      <c r="J23" s="3">
        <f>SUM(G23:I23)</f>
        <v>1637135</v>
      </c>
      <c r="K23" s="3">
        <f>J15-J23</f>
        <v>3732748</v>
      </c>
    </row>
    <row r="24" spans="1:11">
      <c r="B24" s="2" t="s">
        <v>64</v>
      </c>
      <c r="G24" s="3">
        <v>548224</v>
      </c>
      <c r="H24" s="3">
        <v>22478</v>
      </c>
      <c r="I24" s="3">
        <v>-19970</v>
      </c>
      <c r="J24" s="3">
        <f t="shared" ref="J24:J26" si="2">SUM(G24:I24)</f>
        <v>550732</v>
      </c>
      <c r="K24" s="3">
        <f>J16-J24</f>
        <v>74089</v>
      </c>
    </row>
    <row r="25" spans="1:11">
      <c r="B25" s="2" t="s">
        <v>17</v>
      </c>
      <c r="G25" s="3">
        <v>31327</v>
      </c>
      <c r="H25" s="3">
        <v>9371</v>
      </c>
      <c r="J25" s="3">
        <f t="shared" si="2"/>
        <v>40698</v>
      </c>
      <c r="K25" s="3">
        <f>J17-J25</f>
        <v>37442</v>
      </c>
    </row>
    <row r="26" spans="1:11">
      <c r="B26" s="2" t="s">
        <v>65</v>
      </c>
      <c r="G26" s="6">
        <v>2545493</v>
      </c>
      <c r="H26" s="6">
        <v>142982</v>
      </c>
      <c r="I26" s="6">
        <v>-7500</v>
      </c>
      <c r="J26" s="6">
        <f t="shared" si="2"/>
        <v>2680975</v>
      </c>
      <c r="K26" s="3">
        <f>J18-J26</f>
        <v>755033</v>
      </c>
    </row>
    <row r="28" spans="1:11">
      <c r="A28" s="1"/>
      <c r="B28" s="1"/>
      <c r="C28" s="1"/>
      <c r="D28" s="1" t="s">
        <v>20</v>
      </c>
      <c r="E28" s="1"/>
      <c r="F28" s="1"/>
      <c r="G28" s="7">
        <f>SUM(G23:G27)</f>
        <v>4573175</v>
      </c>
      <c r="H28" s="7">
        <f>SUM(H23:H27)</f>
        <v>363835</v>
      </c>
      <c r="I28" s="7">
        <f>SUM(I23:I27)</f>
        <v>-27470</v>
      </c>
      <c r="J28" s="7">
        <f>SUM(J23:J27)</f>
        <v>4909540</v>
      </c>
      <c r="K28" s="1"/>
    </row>
    <row r="30" spans="1:11" ht="19.5" thickBot="1">
      <c r="B30" s="1" t="s">
        <v>22</v>
      </c>
      <c r="G30" s="9">
        <f>SUM(G20-G28)</f>
        <v>5257220</v>
      </c>
      <c r="H30" s="9">
        <f t="shared" ref="H30:J30" si="3">SUM(H20-H28)</f>
        <v>1039709</v>
      </c>
      <c r="I30" s="9">
        <f t="shared" si="3"/>
        <v>-1107069</v>
      </c>
      <c r="J30" s="9">
        <f t="shared" si="3"/>
        <v>5189860</v>
      </c>
      <c r="K30" s="3">
        <f>SUM(K23:K26,K9:K10)</f>
        <v>5189860</v>
      </c>
    </row>
    <row r="31" spans="1:11" ht="19.5" thickTop="1">
      <c r="G31" s="2"/>
      <c r="H31" s="2"/>
      <c r="I31" s="2"/>
      <c r="J31" s="2"/>
    </row>
  </sheetData>
  <mergeCells count="3">
    <mergeCell ref="D1:G1"/>
    <mergeCell ref="D2:G2"/>
    <mergeCell ref="D3:G3"/>
  </mergeCells>
  <pageMargins left="0.7" right="0.7" top="0.75" bottom="0.75" header="0.3" footer="0.3"/>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26"/>
  <sheetViews>
    <sheetView zoomScale="90" zoomScaleNormal="90" zoomScalePageLayoutView="90" workbookViewId="0">
      <selection activeCell="J30" sqref="J30"/>
    </sheetView>
  </sheetViews>
  <sheetFormatPr defaultColWidth="8.85546875" defaultRowHeight="18.75"/>
  <cols>
    <col min="1" max="1" width="4.42578125" style="2" customWidth="1"/>
    <col min="2" max="3" width="4.7109375" style="2" customWidth="1"/>
    <col min="4" max="6" width="8.85546875" style="2"/>
    <col min="7" max="7" width="14.28515625" style="2" bestFit="1" customWidth="1"/>
    <col min="8" max="8" width="12.7109375" style="2" bestFit="1" customWidth="1"/>
    <col min="9" max="9" width="20.42578125" style="3" bestFit="1" customWidth="1"/>
    <col min="10" max="10" width="17.42578125" style="3" bestFit="1" customWidth="1"/>
    <col min="11" max="12" width="16.85546875" style="3" customWidth="1"/>
    <col min="13" max="13" width="17.85546875" style="3" customWidth="1"/>
    <col min="14" max="14" width="18.140625" style="2" customWidth="1"/>
    <col min="15" max="16384" width="8.85546875" style="2"/>
  </cols>
  <sheetData>
    <row r="1" spans="1:14">
      <c r="D1" s="136" t="s">
        <v>66</v>
      </c>
      <c r="E1" s="136"/>
      <c r="F1" s="136"/>
      <c r="G1" s="136"/>
      <c r="H1" s="136"/>
      <c r="I1" s="136"/>
    </row>
    <row r="2" spans="1:14">
      <c r="D2" s="136" t="s">
        <v>1</v>
      </c>
      <c r="E2" s="136"/>
      <c r="F2" s="136"/>
      <c r="G2" s="136"/>
      <c r="H2" s="136"/>
      <c r="I2" s="136"/>
    </row>
    <row r="3" spans="1:14">
      <c r="D3" s="136" t="s">
        <v>2</v>
      </c>
      <c r="E3" s="136"/>
      <c r="F3" s="136"/>
      <c r="G3" s="136"/>
      <c r="H3" s="136"/>
      <c r="I3" s="136"/>
    </row>
    <row r="4" spans="1:14">
      <c r="D4" s="69"/>
      <c r="E4" s="69"/>
      <c r="F4" s="69"/>
      <c r="G4" s="69"/>
      <c r="H4" s="69"/>
      <c r="I4" s="4"/>
    </row>
    <row r="5" spans="1:14" ht="37.5">
      <c r="I5" s="11" t="s">
        <v>3</v>
      </c>
      <c r="J5" s="11" t="s">
        <v>45</v>
      </c>
      <c r="K5" s="11" t="s">
        <v>46</v>
      </c>
      <c r="L5" s="11" t="s">
        <v>67</v>
      </c>
      <c r="M5" s="11" t="s">
        <v>6</v>
      </c>
      <c r="N5" s="11" t="s">
        <v>7</v>
      </c>
    </row>
    <row r="6" spans="1:14">
      <c r="I6" s="16"/>
      <c r="J6" s="16"/>
      <c r="K6" s="16"/>
      <c r="L6" s="16"/>
      <c r="M6" s="16"/>
    </row>
    <row r="7" spans="1:14">
      <c r="A7" s="1" t="s">
        <v>50</v>
      </c>
      <c r="B7" s="1"/>
      <c r="C7" s="1"/>
      <c r="D7" s="1"/>
      <c r="E7" s="1"/>
      <c r="F7" s="1"/>
    </row>
    <row r="8" spans="1:14">
      <c r="A8" s="1" t="s">
        <v>9</v>
      </c>
      <c r="B8" s="1"/>
      <c r="C8" s="1"/>
      <c r="D8" s="1"/>
      <c r="E8" s="1"/>
      <c r="F8" s="1"/>
    </row>
    <row r="9" spans="1:14">
      <c r="B9" s="2" t="s">
        <v>10</v>
      </c>
      <c r="I9" s="3">
        <v>688379</v>
      </c>
      <c r="M9" s="3">
        <f>SUM(I9:L9)</f>
        <v>688379</v>
      </c>
      <c r="N9" s="3">
        <f>SUM(M9)</f>
        <v>688379</v>
      </c>
    </row>
    <row r="10" spans="1:14">
      <c r="B10" s="2" t="s">
        <v>11</v>
      </c>
      <c r="I10" s="3">
        <v>790379</v>
      </c>
      <c r="J10" s="3">
        <v>2045679</v>
      </c>
      <c r="L10" s="3">
        <v>-660829</v>
      </c>
      <c r="M10" s="3">
        <f>SUM(I10:L10)</f>
        <v>2175229</v>
      </c>
      <c r="N10" s="6">
        <f>SUM(M10)</f>
        <v>2175229</v>
      </c>
    </row>
    <row r="11" spans="1:14">
      <c r="A11" s="1"/>
      <c r="B11" s="1"/>
      <c r="C11" s="1" t="s">
        <v>68</v>
      </c>
      <c r="D11" s="1"/>
      <c r="E11" s="1"/>
      <c r="F11" s="1"/>
      <c r="G11" s="1"/>
      <c r="H11" s="1"/>
      <c r="I11" s="12">
        <f>SUM(I9:I10)</f>
        <v>1478758</v>
      </c>
      <c r="J11" s="12">
        <f>SUM(J9:J10)</f>
        <v>2045679</v>
      </c>
      <c r="K11" s="12">
        <f>SUM(K9:K10)</f>
        <v>0</v>
      </c>
      <c r="L11" s="12">
        <f>SUM(L9:L10)</f>
        <v>-660829</v>
      </c>
      <c r="M11" s="12">
        <f>SUM(M9:M10)</f>
        <v>2863608</v>
      </c>
      <c r="N11" s="1"/>
    </row>
    <row r="13" spans="1:14">
      <c r="A13" s="1" t="s">
        <v>13</v>
      </c>
    </row>
    <row r="14" spans="1:14">
      <c r="A14" s="1"/>
      <c r="B14" s="2" t="s">
        <v>14</v>
      </c>
      <c r="I14" s="3">
        <v>17159998</v>
      </c>
      <c r="L14" s="3">
        <v>660829</v>
      </c>
      <c r="M14" s="3">
        <f>SUM(I14:L14)</f>
        <v>17820827</v>
      </c>
    </row>
    <row r="15" spans="1:14">
      <c r="A15" s="1"/>
      <c r="B15" s="2" t="s">
        <v>17</v>
      </c>
      <c r="I15" s="3">
        <v>42862850</v>
      </c>
      <c r="M15" s="3">
        <f>SUM(I15:L15)</f>
        <v>42862850</v>
      </c>
    </row>
    <row r="16" spans="1:14">
      <c r="B16" s="2" t="s">
        <v>69</v>
      </c>
      <c r="I16" s="3">
        <v>11863318</v>
      </c>
      <c r="J16" s="3">
        <v>1053553</v>
      </c>
      <c r="K16" s="3">
        <v>-405195</v>
      </c>
      <c r="M16" s="3">
        <f>SUM(I16:L16)</f>
        <v>12511676</v>
      </c>
    </row>
    <row r="17" spans="1:14">
      <c r="C17" s="1" t="s">
        <v>18</v>
      </c>
      <c r="I17" s="12">
        <f>SUM(I14:I16)</f>
        <v>71886166</v>
      </c>
      <c r="J17" s="12">
        <f>SUM(J14:J16)</f>
        <v>1053553</v>
      </c>
      <c r="K17" s="12">
        <f>SUM(K14:K16)</f>
        <v>-405195</v>
      </c>
      <c r="L17" s="12">
        <f>SUM(L14:L16)</f>
        <v>660829</v>
      </c>
      <c r="M17" s="12">
        <f>SUM(M14:M16)</f>
        <v>73195353</v>
      </c>
    </row>
    <row r="18" spans="1:14">
      <c r="C18" s="1"/>
      <c r="I18" s="15"/>
      <c r="J18" s="15"/>
      <c r="K18" s="15"/>
      <c r="L18" s="15"/>
      <c r="M18" s="15"/>
    </row>
    <row r="19" spans="1:14">
      <c r="A19" s="2" t="s">
        <v>19</v>
      </c>
    </row>
    <row r="20" spans="1:14">
      <c r="B20" s="2" t="s">
        <v>14</v>
      </c>
      <c r="I20" s="3">
        <v>-8136454</v>
      </c>
      <c r="J20" s="3">
        <v>-498528</v>
      </c>
      <c r="M20" s="3">
        <f>SUM(I20:L20)</f>
        <v>-8634982</v>
      </c>
      <c r="N20" s="3">
        <f>SUM(M20,M14)</f>
        <v>9185845</v>
      </c>
    </row>
    <row r="21" spans="1:14">
      <c r="B21" s="2" t="s">
        <v>17</v>
      </c>
      <c r="I21" s="3">
        <v>-25807309</v>
      </c>
      <c r="J21" s="3">
        <v>-1664107</v>
      </c>
      <c r="M21" s="3">
        <f>SUM(I21:L21)</f>
        <v>-27471416</v>
      </c>
      <c r="N21" s="3">
        <f>SUM(M21,M15)</f>
        <v>15391434</v>
      </c>
    </row>
    <row r="22" spans="1:14">
      <c r="B22" s="2" t="s">
        <v>69</v>
      </c>
      <c r="I22" s="3">
        <v>-7914003</v>
      </c>
      <c r="J22" s="3">
        <v>-800319</v>
      </c>
      <c r="K22" s="3">
        <v>298985</v>
      </c>
      <c r="L22" s="3">
        <v>0</v>
      </c>
      <c r="M22" s="3">
        <f>SUM(I22:L22)</f>
        <v>-8415337</v>
      </c>
      <c r="N22" s="6">
        <f>M16+M22</f>
        <v>4096339</v>
      </c>
    </row>
    <row r="23" spans="1:14">
      <c r="A23" s="1"/>
      <c r="B23" s="1"/>
      <c r="C23" s="1" t="s">
        <v>20</v>
      </c>
      <c r="D23" s="1"/>
      <c r="E23" s="1"/>
      <c r="F23" s="1"/>
      <c r="G23" s="1"/>
      <c r="H23" s="1"/>
      <c r="I23" s="10">
        <f>SUM(I20:I22)</f>
        <v>-41857766</v>
      </c>
      <c r="J23" s="10">
        <f>SUM(J20:J22)</f>
        <v>-2962954</v>
      </c>
      <c r="K23" s="10">
        <f>SUM(K20:K22)</f>
        <v>298985</v>
      </c>
      <c r="L23" s="10">
        <f>SUM(L20:L22)</f>
        <v>0</v>
      </c>
      <c r="M23" s="10">
        <f>SUM(M20:M22)</f>
        <v>-44521735</v>
      </c>
      <c r="N23" s="1"/>
    </row>
    <row r="24" spans="1:14">
      <c r="A24" s="1"/>
      <c r="B24" s="1" t="s">
        <v>21</v>
      </c>
      <c r="C24" s="1"/>
      <c r="D24" s="1"/>
      <c r="E24" s="1"/>
      <c r="F24" s="1"/>
      <c r="G24" s="1"/>
      <c r="H24" s="1"/>
      <c r="I24" s="10">
        <f>I23+I17</f>
        <v>30028400</v>
      </c>
      <c r="J24" s="10">
        <f>J23+J17</f>
        <v>-1909401</v>
      </c>
      <c r="K24" s="10">
        <f>K23+K17</f>
        <v>-106210</v>
      </c>
      <c r="L24" s="10">
        <f>L23+L17</f>
        <v>660829</v>
      </c>
      <c r="M24" s="10">
        <f>M23+M17</f>
        <v>28673618</v>
      </c>
      <c r="N24" s="1"/>
    </row>
    <row r="25" spans="1:14" ht="19.5" thickBot="1">
      <c r="B25" s="1" t="s">
        <v>22</v>
      </c>
      <c r="I25" s="14">
        <f>I11+I24</f>
        <v>31507158</v>
      </c>
      <c r="J25" s="14">
        <f>J11+J24</f>
        <v>136278</v>
      </c>
      <c r="K25" s="14">
        <f>K11+K24</f>
        <v>-106210</v>
      </c>
      <c r="L25" s="14">
        <f>L11+L24</f>
        <v>0</v>
      </c>
      <c r="M25" s="14">
        <f>M11+M24</f>
        <v>31537226</v>
      </c>
      <c r="N25" s="6">
        <f>SUM(N20:N22,N9:N10)</f>
        <v>31537226</v>
      </c>
    </row>
    <row r="26" spans="1:14">
      <c r="B26" s="1"/>
      <c r="I26" s="15"/>
      <c r="J26" s="15"/>
      <c r="K26" s="15"/>
      <c r="L26" s="15"/>
      <c r="M26" s="15"/>
    </row>
  </sheetData>
  <mergeCells count="3">
    <mergeCell ref="D1:I1"/>
    <mergeCell ref="D2:I2"/>
    <mergeCell ref="D3:I3"/>
  </mergeCells>
  <pageMargins left="0.7" right="0.7" top="0.75" bottom="0.75" header="0.3" footer="0.3"/>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40"/>
  <sheetViews>
    <sheetView zoomScale="70" zoomScaleNormal="70" zoomScalePageLayoutView="70" workbookViewId="0">
      <selection activeCell="I9" sqref="I9"/>
    </sheetView>
  </sheetViews>
  <sheetFormatPr defaultColWidth="8.85546875" defaultRowHeight="18.75"/>
  <cols>
    <col min="1" max="1" width="7.85546875" style="2" customWidth="1"/>
    <col min="2" max="2" width="9.7109375" style="2" customWidth="1"/>
    <col min="3" max="3" width="9.28515625" style="2" customWidth="1"/>
    <col min="4" max="4" width="15.85546875" style="2" customWidth="1"/>
    <col min="5" max="7" width="8.85546875" style="2"/>
    <col min="8" max="8" width="8.42578125" style="2" customWidth="1"/>
    <col min="9" max="9" width="18.42578125" style="3" bestFit="1" customWidth="1"/>
    <col min="10" max="10" width="16.85546875" style="3" bestFit="1" customWidth="1"/>
    <col min="11" max="11" width="16" style="3" bestFit="1" customWidth="1"/>
    <col min="12" max="12" width="18.42578125" style="3" bestFit="1" customWidth="1"/>
    <col min="13" max="13" width="16.85546875" style="2" customWidth="1"/>
    <col min="14" max="14" width="8.85546875" style="2"/>
  </cols>
  <sheetData>
    <row r="1" spans="1:13">
      <c r="D1" s="136" t="s">
        <v>70</v>
      </c>
      <c r="E1" s="136"/>
      <c r="F1" s="136"/>
      <c r="G1" s="136"/>
      <c r="H1" s="136"/>
      <c r="I1" s="136"/>
    </row>
    <row r="2" spans="1:13">
      <c r="D2" s="136" t="s">
        <v>1</v>
      </c>
      <c r="E2" s="136"/>
      <c r="F2" s="136"/>
      <c r="G2" s="136"/>
      <c r="H2" s="136"/>
      <c r="I2" s="136"/>
    </row>
    <row r="3" spans="1:13">
      <c r="D3" s="136" t="s">
        <v>2</v>
      </c>
      <c r="E3" s="136"/>
      <c r="F3" s="136"/>
      <c r="G3" s="136"/>
      <c r="H3" s="136"/>
      <c r="I3" s="136"/>
    </row>
    <row r="4" spans="1:13">
      <c r="D4" s="69"/>
      <c r="E4" s="69"/>
      <c r="F4" s="69"/>
      <c r="G4" s="69"/>
      <c r="H4" s="69"/>
      <c r="I4" s="4"/>
    </row>
    <row r="5" spans="1:13" ht="37.5">
      <c r="I5" s="17" t="s">
        <v>3</v>
      </c>
      <c r="J5" s="17" t="s">
        <v>4</v>
      </c>
      <c r="K5" s="17" t="s">
        <v>5</v>
      </c>
      <c r="L5" s="17" t="s">
        <v>6</v>
      </c>
      <c r="M5" s="17" t="s">
        <v>7</v>
      </c>
    </row>
    <row r="6" spans="1:13">
      <c r="I6" s="5"/>
      <c r="J6" s="5"/>
      <c r="K6" s="5"/>
      <c r="L6" s="5"/>
    </row>
    <row r="7" spans="1:13">
      <c r="A7" s="1" t="s">
        <v>8</v>
      </c>
      <c r="B7" s="1"/>
      <c r="C7" s="1"/>
      <c r="D7" s="1"/>
      <c r="E7" s="1"/>
      <c r="F7" s="1"/>
    </row>
    <row r="8" spans="1:13">
      <c r="A8" s="1"/>
      <c r="B8" s="1" t="s">
        <v>9</v>
      </c>
      <c r="C8" s="1"/>
      <c r="D8" s="1"/>
      <c r="E8" s="1"/>
      <c r="F8" s="1"/>
    </row>
    <row r="9" spans="1:13">
      <c r="C9" s="2" t="s">
        <v>10</v>
      </c>
      <c r="I9" s="3">
        <v>660250</v>
      </c>
      <c r="K9" s="3">
        <v>0</v>
      </c>
      <c r="L9" s="3">
        <f>SUM(I9:K9)</f>
        <v>660250</v>
      </c>
      <c r="M9" s="3">
        <f>SUM(L9)</f>
        <v>660250</v>
      </c>
    </row>
    <row r="10" spans="1:13">
      <c r="I10" s="30"/>
      <c r="J10" s="30"/>
      <c r="K10" s="30"/>
      <c r="L10" s="30"/>
      <c r="M10" s="3"/>
    </row>
    <row r="11" spans="1:13">
      <c r="A11" s="1"/>
      <c r="B11" s="1"/>
      <c r="C11" s="1"/>
      <c r="D11" s="1" t="s">
        <v>12</v>
      </c>
      <c r="E11" s="1"/>
      <c r="F11" s="1"/>
      <c r="G11" s="1"/>
      <c r="H11" s="1"/>
      <c r="I11" s="7">
        <f>SUM(I8:I9)</f>
        <v>660250</v>
      </c>
      <c r="J11" s="7">
        <f>SUM(J8:J9)</f>
        <v>0</v>
      </c>
      <c r="K11" s="7">
        <f>SUM(K8:K9)</f>
        <v>0</v>
      </c>
      <c r="L11" s="7">
        <f>SUM(L8:L9)</f>
        <v>660250</v>
      </c>
      <c r="M11" s="3"/>
    </row>
    <row r="12" spans="1:13">
      <c r="M12" s="3">
        <f t="shared" ref="M12:M14" si="0">SUM(L12)</f>
        <v>0</v>
      </c>
    </row>
    <row r="13" spans="1:13">
      <c r="A13" s="1" t="s">
        <v>13</v>
      </c>
      <c r="M13" s="3">
        <f t="shared" si="0"/>
        <v>0</v>
      </c>
    </row>
    <row r="14" spans="1:13">
      <c r="B14" s="2" t="s">
        <v>17</v>
      </c>
      <c r="M14" s="3">
        <f t="shared" si="0"/>
        <v>0</v>
      </c>
    </row>
    <row r="15" spans="1:13">
      <c r="C15" s="2" t="s">
        <v>53</v>
      </c>
      <c r="I15" s="3">
        <v>21024140</v>
      </c>
      <c r="J15" s="3">
        <v>1168532</v>
      </c>
      <c r="L15" s="3">
        <f t="shared" ref="L15:L21" si="1">SUM(I15:K15)</f>
        <v>22192672</v>
      </c>
      <c r="M15" s="3"/>
    </row>
    <row r="16" spans="1:13">
      <c r="C16" s="2" t="s">
        <v>54</v>
      </c>
      <c r="I16" s="3">
        <v>2537698</v>
      </c>
      <c r="L16" s="3">
        <f t="shared" si="1"/>
        <v>2537698</v>
      </c>
      <c r="M16" s="3"/>
    </row>
    <row r="17" spans="1:13">
      <c r="B17" s="2" t="s">
        <v>71</v>
      </c>
      <c r="I17" s="3">
        <v>16851833</v>
      </c>
      <c r="L17" s="3">
        <f t="shared" si="1"/>
        <v>16851833</v>
      </c>
      <c r="M17" s="3"/>
    </row>
    <row r="18" spans="1:13">
      <c r="B18" s="2" t="s">
        <v>72</v>
      </c>
      <c r="I18" s="3">
        <v>541664</v>
      </c>
      <c r="L18" s="3">
        <f t="shared" si="1"/>
        <v>541664</v>
      </c>
      <c r="M18" s="3"/>
    </row>
    <row r="19" spans="1:13">
      <c r="B19" s="2" t="s">
        <v>73</v>
      </c>
      <c r="I19" s="3">
        <v>1577996</v>
      </c>
      <c r="J19" s="3">
        <v>232345</v>
      </c>
      <c r="K19" s="3">
        <v>-37073</v>
      </c>
      <c r="L19" s="3">
        <f t="shared" si="1"/>
        <v>1773268</v>
      </c>
      <c r="M19" s="3"/>
    </row>
    <row r="20" spans="1:13">
      <c r="B20" s="2" t="s">
        <v>30</v>
      </c>
      <c r="I20" s="3">
        <v>1394770</v>
      </c>
      <c r="K20" s="3">
        <v>-93323</v>
      </c>
      <c r="L20" s="3">
        <f t="shared" si="1"/>
        <v>1301447</v>
      </c>
      <c r="M20" s="3"/>
    </row>
    <row r="21" spans="1:13">
      <c r="B21" s="2" t="s">
        <v>74</v>
      </c>
      <c r="I21" s="3">
        <v>514738</v>
      </c>
      <c r="L21" s="3">
        <f t="shared" si="1"/>
        <v>514738</v>
      </c>
      <c r="M21" s="3"/>
    </row>
    <row r="22" spans="1:13">
      <c r="I22" s="30"/>
      <c r="J22" s="30"/>
      <c r="K22" s="30"/>
      <c r="L22" s="30"/>
      <c r="M22" s="3"/>
    </row>
    <row r="23" spans="1:13">
      <c r="A23" s="1"/>
      <c r="B23" s="1"/>
      <c r="C23" s="1"/>
      <c r="D23" s="1" t="s">
        <v>18</v>
      </c>
      <c r="E23" s="1"/>
      <c r="F23" s="1"/>
      <c r="G23" s="1"/>
      <c r="H23" s="1"/>
      <c r="I23" s="7">
        <f>SUM(I14:I21)</f>
        <v>44442839</v>
      </c>
      <c r="J23" s="7">
        <f>SUM(J14:J21)</f>
        <v>1400877</v>
      </c>
      <c r="K23" s="7">
        <f>SUM(K14:K21)</f>
        <v>-130396</v>
      </c>
      <c r="L23" s="7">
        <f>SUM(L14:L21)</f>
        <v>45713320</v>
      </c>
      <c r="M23" s="3"/>
    </row>
    <row r="25" spans="1:13">
      <c r="A25" s="1" t="s">
        <v>19</v>
      </c>
    </row>
    <row r="26" spans="1:13">
      <c r="B26" s="2" t="s">
        <v>17</v>
      </c>
      <c r="M26" s="3"/>
    </row>
    <row r="27" spans="1:13">
      <c r="C27" s="2" t="s">
        <v>53</v>
      </c>
      <c r="I27" s="3">
        <v>-15685746</v>
      </c>
      <c r="J27" s="3">
        <v>-991200</v>
      </c>
      <c r="L27" s="3">
        <f t="shared" ref="L27:L30" si="2">SUM(I27:K27)</f>
        <v>-16676946</v>
      </c>
      <c r="M27" s="3">
        <f>SUM(L27,L15)</f>
        <v>5515726</v>
      </c>
    </row>
    <row r="28" spans="1:13">
      <c r="C28" s="2" t="s">
        <v>54</v>
      </c>
      <c r="I28" s="3">
        <v>-1318814</v>
      </c>
      <c r="J28" s="3">
        <v>-39480</v>
      </c>
      <c r="L28" s="3">
        <f t="shared" si="2"/>
        <v>-1358294</v>
      </c>
      <c r="M28" s="3">
        <f>SUM(L28,L16)</f>
        <v>1179404</v>
      </c>
    </row>
    <row r="29" spans="1:13">
      <c r="B29" s="2" t="s">
        <v>71</v>
      </c>
      <c r="I29" s="3">
        <v>-2930993</v>
      </c>
      <c r="J29" s="3">
        <v>-365514</v>
      </c>
      <c r="L29" s="3">
        <f t="shared" si="2"/>
        <v>-3296507</v>
      </c>
      <c r="M29" s="3">
        <f>SUM(L29,L17)</f>
        <v>13555326</v>
      </c>
    </row>
    <row r="30" spans="1:13">
      <c r="B30" s="2" t="s">
        <v>72</v>
      </c>
      <c r="I30" s="3">
        <v>-126348</v>
      </c>
      <c r="J30" s="3">
        <v>-103829</v>
      </c>
      <c r="L30" s="3">
        <f t="shared" si="2"/>
        <v>-230177</v>
      </c>
      <c r="M30" s="3">
        <f>SUM(L30,L18)</f>
        <v>311487</v>
      </c>
    </row>
    <row r="31" spans="1:13">
      <c r="B31" s="2" t="s">
        <v>73</v>
      </c>
      <c r="I31" s="3">
        <v>-1150004</v>
      </c>
      <c r="J31" s="3">
        <v>-95068</v>
      </c>
      <c r="K31" s="3">
        <v>37073</v>
      </c>
      <c r="L31" s="3">
        <v>-1207999</v>
      </c>
      <c r="M31" s="3">
        <f>SUM(L31,L19)</f>
        <v>565269</v>
      </c>
    </row>
    <row r="32" spans="1:13">
      <c r="B32" s="2" t="s">
        <v>30</v>
      </c>
      <c r="I32" s="3">
        <v>-709926</v>
      </c>
      <c r="J32" s="3">
        <v>-92978</v>
      </c>
      <c r="K32" s="3">
        <v>93323</v>
      </c>
      <c r="L32" s="3">
        <v>-709581</v>
      </c>
      <c r="M32" s="3">
        <f t="shared" ref="M32:M38" si="3">SUM(L32,L20)</f>
        <v>591866</v>
      </c>
    </row>
    <row r="33" spans="1:13">
      <c r="B33" s="2" t="s">
        <v>74</v>
      </c>
      <c r="I33" s="3">
        <v>-367092</v>
      </c>
      <c r="J33" s="3">
        <v>-22367</v>
      </c>
      <c r="L33" s="3">
        <v>-389459</v>
      </c>
      <c r="M33" s="3">
        <f t="shared" si="3"/>
        <v>125279</v>
      </c>
    </row>
    <row r="34" spans="1:13">
      <c r="I34" s="30"/>
      <c r="J34" s="30"/>
      <c r="K34" s="30"/>
      <c r="L34" s="30"/>
      <c r="M34" s="3">
        <f t="shared" si="3"/>
        <v>0</v>
      </c>
    </row>
    <row r="35" spans="1:13">
      <c r="A35" s="1"/>
      <c r="B35" s="1"/>
      <c r="C35" s="1"/>
      <c r="D35" s="1" t="s">
        <v>20</v>
      </c>
      <c r="E35" s="1"/>
      <c r="F35" s="1"/>
      <c r="G35" s="1"/>
      <c r="H35" s="1"/>
      <c r="I35" s="7">
        <f>SUM(I26:I33)</f>
        <v>-22288923</v>
      </c>
      <c r="J35" s="7">
        <f>SUM(J26:J33)</f>
        <v>-1710436</v>
      </c>
      <c r="K35" s="7">
        <f>SUM(K26:K33)</f>
        <v>130396</v>
      </c>
      <c r="L35" s="7">
        <f>SUM(L27:L33)</f>
        <v>-23868963</v>
      </c>
      <c r="M35" s="3"/>
    </row>
    <row r="36" spans="1:13">
      <c r="M36" s="3"/>
    </row>
    <row r="37" spans="1:13">
      <c r="A37" s="1"/>
      <c r="B37" s="1" t="s">
        <v>21</v>
      </c>
      <c r="C37" s="1"/>
      <c r="D37" s="1"/>
      <c r="E37" s="1"/>
      <c r="F37" s="1"/>
      <c r="G37" s="1"/>
      <c r="H37" s="1"/>
      <c r="I37" s="7">
        <f>I23+I35</f>
        <v>22153916</v>
      </c>
      <c r="J37" s="7">
        <f t="shared" ref="J37:L37" si="4">J23+J35</f>
        <v>-309559</v>
      </c>
      <c r="K37" s="7">
        <f>K23+K35</f>
        <v>0</v>
      </c>
      <c r="L37" s="7">
        <f t="shared" si="4"/>
        <v>21844357</v>
      </c>
      <c r="M37" s="3"/>
    </row>
    <row r="38" spans="1:13">
      <c r="M38" s="3">
        <f t="shared" si="3"/>
        <v>0</v>
      </c>
    </row>
    <row r="39" spans="1:13">
      <c r="B39" s="1" t="s">
        <v>75</v>
      </c>
      <c r="I39" s="9">
        <f>I35+I23+I11</f>
        <v>22814166</v>
      </c>
      <c r="J39" s="9">
        <f>J35+J23+J11</f>
        <v>-309559</v>
      </c>
      <c r="K39" s="9">
        <f>K35+K23+K11</f>
        <v>0</v>
      </c>
      <c r="L39" s="9">
        <f>L35+L23+L11</f>
        <v>22504607</v>
      </c>
      <c r="M39" s="3">
        <f>SUM(M9:M33)</f>
        <v>22504607</v>
      </c>
    </row>
    <row r="40" spans="1:13">
      <c r="L40" s="2"/>
    </row>
  </sheetData>
  <mergeCells count="3">
    <mergeCell ref="D1:I1"/>
    <mergeCell ref="D2:I2"/>
    <mergeCell ref="D3:I3"/>
  </mergeCells>
  <pageMargins left="0.7" right="0.7" top="0.75" bottom="0.75" header="0.3" footer="0.3"/>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56"/>
  <sheetViews>
    <sheetView topLeftCell="A31" zoomScale="85" zoomScaleNormal="85" zoomScalePageLayoutView="85" workbookViewId="0">
      <selection activeCell="M31" sqref="M31"/>
    </sheetView>
  </sheetViews>
  <sheetFormatPr defaultColWidth="8.85546875" defaultRowHeight="15"/>
  <cols>
    <col min="9" max="9" width="19.42578125" customWidth="1"/>
    <col min="10" max="10" width="15.28515625" customWidth="1"/>
    <col min="11" max="11" width="18.85546875" customWidth="1"/>
    <col min="12" max="12" width="18.7109375" customWidth="1"/>
    <col min="13" max="13" width="17.140625" customWidth="1"/>
    <col min="14" max="14" width="20.140625" customWidth="1"/>
  </cols>
  <sheetData>
    <row r="1" spans="1:14" ht="18.75">
      <c r="A1" s="2"/>
      <c r="B1" s="2"/>
      <c r="C1" s="2"/>
      <c r="D1" s="136" t="s">
        <v>76</v>
      </c>
      <c r="E1" s="136"/>
      <c r="F1" s="136"/>
      <c r="G1" s="136"/>
      <c r="H1" s="136"/>
      <c r="I1" s="136"/>
      <c r="J1" s="3"/>
      <c r="K1" s="3"/>
      <c r="L1" s="3"/>
      <c r="M1" s="3"/>
      <c r="N1" s="2"/>
    </row>
    <row r="2" spans="1:14" ht="18.75">
      <c r="A2" s="2"/>
      <c r="B2" s="2"/>
      <c r="C2" s="2"/>
      <c r="D2" s="136" t="s">
        <v>1</v>
      </c>
      <c r="E2" s="136"/>
      <c r="F2" s="136"/>
      <c r="G2" s="136"/>
      <c r="H2" s="136"/>
      <c r="I2" s="136"/>
      <c r="J2" s="3"/>
      <c r="K2" s="3"/>
      <c r="L2" s="3"/>
      <c r="M2" s="3"/>
      <c r="N2" s="2"/>
    </row>
    <row r="3" spans="1:14" ht="18.75">
      <c r="A3" s="2"/>
      <c r="B3" s="2"/>
      <c r="C3" s="2"/>
      <c r="D3" s="136" t="s">
        <v>2</v>
      </c>
      <c r="E3" s="136"/>
      <c r="F3" s="136"/>
      <c r="G3" s="136"/>
      <c r="H3" s="136"/>
      <c r="I3" s="136"/>
      <c r="J3" s="3"/>
      <c r="K3" s="3"/>
      <c r="L3" s="3"/>
      <c r="M3" s="3"/>
      <c r="N3" s="2"/>
    </row>
    <row r="4" spans="1:14" ht="18.75">
      <c r="A4" s="2"/>
      <c r="B4" s="2"/>
      <c r="C4" s="2"/>
      <c r="D4" s="69"/>
      <c r="E4" s="69"/>
      <c r="F4" s="69"/>
      <c r="G4" s="69"/>
      <c r="H4" s="69"/>
      <c r="I4" s="4"/>
      <c r="J4" s="3"/>
      <c r="K4" s="3"/>
      <c r="L4" s="3"/>
      <c r="M4" s="3"/>
      <c r="N4" s="2"/>
    </row>
    <row r="5" spans="1:14" ht="37.5">
      <c r="A5" s="2"/>
      <c r="B5" s="2"/>
      <c r="C5" s="2"/>
      <c r="D5" s="2"/>
      <c r="E5" s="2"/>
      <c r="F5" s="2"/>
      <c r="G5" s="2"/>
      <c r="H5" s="2"/>
      <c r="I5" s="11" t="s">
        <v>3</v>
      </c>
      <c r="J5" s="11" t="s">
        <v>67</v>
      </c>
      <c r="K5" s="11" t="s">
        <v>45</v>
      </c>
      <c r="L5" s="11" t="s">
        <v>46</v>
      </c>
      <c r="M5" s="11" t="s">
        <v>6</v>
      </c>
      <c r="N5" s="11" t="s">
        <v>7</v>
      </c>
    </row>
    <row r="6" spans="1:14" ht="18.75">
      <c r="A6" s="2"/>
      <c r="B6" s="2"/>
      <c r="C6" s="2"/>
      <c r="D6" s="2"/>
      <c r="E6" s="2"/>
      <c r="F6" s="2"/>
      <c r="G6" s="2"/>
      <c r="H6" s="2"/>
      <c r="I6" s="16"/>
      <c r="J6" s="16"/>
      <c r="K6" s="16"/>
      <c r="L6" s="16"/>
      <c r="M6" s="16"/>
      <c r="N6" s="2"/>
    </row>
    <row r="7" spans="1:14" ht="18.75">
      <c r="A7" s="1" t="s">
        <v>49</v>
      </c>
      <c r="B7" s="1"/>
      <c r="C7" s="1"/>
      <c r="D7" s="1"/>
      <c r="E7" s="1"/>
      <c r="F7" s="1"/>
      <c r="G7" s="2"/>
      <c r="H7" s="2"/>
      <c r="I7" s="3"/>
      <c r="J7" s="3"/>
      <c r="K7" s="3"/>
      <c r="L7" s="3"/>
      <c r="M7" s="3"/>
      <c r="N7" s="2"/>
    </row>
    <row r="8" spans="1:14" ht="18.75">
      <c r="A8" s="1" t="s">
        <v>50</v>
      </c>
      <c r="B8" s="1"/>
      <c r="C8" s="1"/>
      <c r="D8" s="1"/>
      <c r="E8" s="1"/>
      <c r="F8" s="1"/>
      <c r="G8" s="2"/>
      <c r="H8" s="2"/>
      <c r="I8" s="3"/>
      <c r="J8" s="3"/>
      <c r="K8" s="3"/>
      <c r="L8" s="3"/>
      <c r="M8" s="3"/>
      <c r="N8" s="2"/>
    </row>
    <row r="9" spans="1:14" ht="18.75">
      <c r="A9" s="1" t="s">
        <v>9</v>
      </c>
      <c r="B9" s="1"/>
      <c r="C9" s="1"/>
      <c r="D9" s="1"/>
      <c r="E9" s="1"/>
      <c r="F9" s="1"/>
      <c r="G9" s="2"/>
      <c r="H9" s="2"/>
      <c r="I9" s="3"/>
      <c r="J9" s="3"/>
      <c r="K9" s="3"/>
      <c r="L9" s="3"/>
      <c r="M9" s="3"/>
      <c r="N9" s="2"/>
    </row>
    <row r="10" spans="1:14" ht="18.75">
      <c r="A10" s="2"/>
      <c r="B10" s="2" t="s">
        <v>10</v>
      </c>
      <c r="C10" s="2"/>
      <c r="D10" s="2"/>
      <c r="E10" s="2"/>
      <c r="F10" s="2"/>
      <c r="G10" s="2"/>
      <c r="H10" s="2"/>
      <c r="I10" s="3">
        <v>12207084</v>
      </c>
      <c r="J10" s="3">
        <v>0</v>
      </c>
      <c r="K10" s="3">
        <v>805670</v>
      </c>
      <c r="L10" s="3">
        <v>-40496</v>
      </c>
      <c r="M10" s="3">
        <f>SUM(I10:L10)</f>
        <v>12972258</v>
      </c>
      <c r="N10" s="3">
        <f>SUM(M10)</f>
        <v>12972258</v>
      </c>
    </row>
    <row r="11" spans="1:14" ht="18.75">
      <c r="A11" s="2"/>
      <c r="B11" s="2" t="s">
        <v>11</v>
      </c>
      <c r="C11" s="2"/>
      <c r="D11" s="2"/>
      <c r="E11" s="2"/>
      <c r="F11" s="2"/>
      <c r="G11" s="2"/>
      <c r="H11" s="2"/>
      <c r="I11" s="3">
        <v>6042279</v>
      </c>
      <c r="J11" s="3">
        <v>-3040380</v>
      </c>
      <c r="K11" s="3">
        <v>3270200</v>
      </c>
      <c r="L11" s="3"/>
      <c r="M11" s="3">
        <f>SUM(I11:L11)</f>
        <v>6272099</v>
      </c>
      <c r="N11" s="3">
        <f>SUM(M11)</f>
        <v>6272099</v>
      </c>
    </row>
    <row r="12" spans="1:14" ht="18.75">
      <c r="A12" s="1"/>
      <c r="B12" s="1"/>
      <c r="C12" s="1" t="s">
        <v>68</v>
      </c>
      <c r="D12" s="1"/>
      <c r="E12" s="1"/>
      <c r="F12" s="1"/>
      <c r="G12" s="1"/>
      <c r="H12" s="1"/>
      <c r="I12" s="12">
        <f>SUM(I10:I11)</f>
        <v>18249363</v>
      </c>
      <c r="J12" s="12">
        <f t="shared" ref="J12:M12" si="0">SUM(J10:J11)</f>
        <v>-3040380</v>
      </c>
      <c r="K12" s="12">
        <f t="shared" si="0"/>
        <v>4075870</v>
      </c>
      <c r="L12" s="12">
        <f t="shared" si="0"/>
        <v>-40496</v>
      </c>
      <c r="M12" s="12">
        <f t="shared" si="0"/>
        <v>19244357</v>
      </c>
      <c r="N12" s="1"/>
    </row>
    <row r="13" spans="1:14" ht="18.75">
      <c r="A13" s="2"/>
      <c r="B13" s="2"/>
      <c r="C13" s="2"/>
      <c r="D13" s="2"/>
      <c r="E13" s="2"/>
      <c r="F13" s="2"/>
      <c r="G13" s="2"/>
      <c r="H13" s="2"/>
      <c r="I13" s="3"/>
      <c r="J13" s="3"/>
      <c r="K13" s="3"/>
      <c r="L13" s="3"/>
      <c r="M13" s="3"/>
      <c r="N13" s="2"/>
    </row>
    <row r="14" spans="1:14" ht="18.75">
      <c r="A14" s="1" t="s">
        <v>13</v>
      </c>
      <c r="B14" s="2"/>
      <c r="C14" s="2"/>
      <c r="D14" s="2"/>
      <c r="E14" s="2"/>
      <c r="F14" s="2"/>
      <c r="G14" s="2"/>
      <c r="H14" s="2"/>
      <c r="I14" s="3"/>
      <c r="J14" s="3"/>
      <c r="K14" s="3"/>
      <c r="L14" s="3"/>
      <c r="M14" s="3"/>
      <c r="N14" s="2"/>
    </row>
    <row r="15" spans="1:14" ht="18.75">
      <c r="A15" s="1"/>
      <c r="B15" s="2" t="s">
        <v>14</v>
      </c>
      <c r="C15" s="2"/>
      <c r="D15" s="2"/>
      <c r="E15" s="2"/>
      <c r="F15" s="2"/>
      <c r="G15" s="2"/>
      <c r="H15" s="2"/>
      <c r="I15" s="3">
        <v>108060059</v>
      </c>
      <c r="J15" s="3">
        <v>67621</v>
      </c>
      <c r="K15" s="3">
        <v>144858</v>
      </c>
      <c r="L15" s="3"/>
      <c r="M15" s="3">
        <f>SUM(I15:L15)</f>
        <v>108272538</v>
      </c>
      <c r="N15" s="2"/>
    </row>
    <row r="16" spans="1:14" ht="18.75">
      <c r="A16" s="1"/>
      <c r="B16" s="2" t="s">
        <v>17</v>
      </c>
      <c r="C16" s="2"/>
      <c r="D16" s="2"/>
      <c r="E16" s="2"/>
      <c r="F16" s="2"/>
      <c r="G16" s="2"/>
      <c r="H16" s="2"/>
      <c r="I16" s="3">
        <v>220251390</v>
      </c>
      <c r="J16" s="3">
        <v>2972759</v>
      </c>
      <c r="K16" s="3">
        <v>8222959</v>
      </c>
      <c r="L16" s="3"/>
      <c r="M16" s="3">
        <f>SUM(I16:L16)</f>
        <v>231447108</v>
      </c>
      <c r="N16" s="2"/>
    </row>
    <row r="17" spans="1:14" ht="18.75">
      <c r="A17" s="1"/>
      <c r="B17" s="2" t="s">
        <v>77</v>
      </c>
      <c r="C17" s="2"/>
      <c r="D17" s="2"/>
      <c r="E17" s="2"/>
      <c r="F17" s="2"/>
      <c r="G17" s="2"/>
      <c r="H17" s="2"/>
      <c r="I17" s="3">
        <v>10575576</v>
      </c>
      <c r="J17" s="3"/>
      <c r="K17" s="3">
        <v>357500</v>
      </c>
      <c r="L17" s="3">
        <v>-14236</v>
      </c>
      <c r="M17" s="3">
        <f>SUM(I17:L17)</f>
        <v>10918840</v>
      </c>
      <c r="N17" s="2"/>
    </row>
    <row r="18" spans="1:14" ht="18.75">
      <c r="A18" s="2"/>
      <c r="B18" s="2" t="s">
        <v>78</v>
      </c>
      <c r="C18" s="2"/>
      <c r="D18" s="2"/>
      <c r="E18" s="2"/>
      <c r="F18" s="2"/>
      <c r="G18" s="2"/>
      <c r="H18" s="2"/>
      <c r="I18" s="3">
        <v>4631676</v>
      </c>
      <c r="J18" s="3"/>
      <c r="K18" s="3">
        <v>559810</v>
      </c>
      <c r="L18" s="3"/>
      <c r="M18" s="3">
        <f>SUM(I18:L18)</f>
        <v>5191486</v>
      </c>
      <c r="N18" s="2"/>
    </row>
    <row r="19" spans="1:14" ht="18.75">
      <c r="A19" s="2"/>
      <c r="B19" s="2"/>
      <c r="C19" s="1" t="s">
        <v>18</v>
      </c>
      <c r="D19" s="2"/>
      <c r="E19" s="2"/>
      <c r="F19" s="2"/>
      <c r="G19" s="2"/>
      <c r="H19" s="2"/>
      <c r="I19" s="13">
        <f>SUM(I15:I18)</f>
        <v>343518701</v>
      </c>
      <c r="J19" s="13">
        <f>SUM(J15:J18)</f>
        <v>3040380</v>
      </c>
      <c r="K19" s="13">
        <f>SUM(K15:K18)</f>
        <v>9285127</v>
      </c>
      <c r="L19" s="13">
        <f>SUM(L15:L18)</f>
        <v>-14236</v>
      </c>
      <c r="M19" s="13">
        <f>SUM(M15:M18)</f>
        <v>355829972</v>
      </c>
      <c r="N19" s="2"/>
    </row>
    <row r="20" spans="1:14" ht="18.75">
      <c r="A20" s="2"/>
      <c r="B20" s="2"/>
      <c r="C20" s="1"/>
      <c r="D20" s="2"/>
      <c r="E20" s="2"/>
      <c r="F20" s="2"/>
      <c r="G20" s="2"/>
      <c r="H20" s="2"/>
      <c r="I20" s="15"/>
      <c r="J20" s="15"/>
      <c r="K20" s="15"/>
      <c r="L20" s="15"/>
      <c r="M20" s="15"/>
      <c r="N20" s="2"/>
    </row>
    <row r="21" spans="1:14" ht="18.75">
      <c r="A21" s="2" t="s">
        <v>19</v>
      </c>
      <c r="B21" s="2"/>
      <c r="C21" s="2"/>
      <c r="D21" s="2"/>
      <c r="E21" s="2"/>
      <c r="F21" s="2"/>
      <c r="G21" s="2"/>
      <c r="H21" s="2"/>
      <c r="I21" s="3"/>
      <c r="J21" s="3"/>
      <c r="K21" s="3"/>
      <c r="L21" s="3"/>
      <c r="M21" s="3"/>
      <c r="N21" s="2"/>
    </row>
    <row r="22" spans="1:14" ht="18.75">
      <c r="A22" s="2"/>
      <c r="B22" s="2" t="s">
        <v>14</v>
      </c>
      <c r="C22" s="2"/>
      <c r="D22" s="2"/>
      <c r="E22" s="2"/>
      <c r="F22" s="2"/>
      <c r="G22" s="2"/>
      <c r="H22" s="2"/>
      <c r="I22" s="3">
        <v>-24025483</v>
      </c>
      <c r="J22" s="3"/>
      <c r="K22" s="3">
        <v>-2644445</v>
      </c>
      <c r="L22" s="3">
        <v>0</v>
      </c>
      <c r="M22" s="3">
        <f>SUM(I22:L22)</f>
        <v>-26669928</v>
      </c>
      <c r="N22" s="3">
        <f>SUM(M22,M15)</f>
        <v>81602610</v>
      </c>
    </row>
    <row r="23" spans="1:14" ht="18.75">
      <c r="A23" s="2"/>
      <c r="B23" s="2" t="s">
        <v>17</v>
      </c>
      <c r="C23" s="2"/>
      <c r="D23" s="2"/>
      <c r="E23" s="2"/>
      <c r="F23" s="2"/>
      <c r="G23" s="2"/>
      <c r="H23" s="2"/>
      <c r="I23" s="3">
        <v>-46703687</v>
      </c>
      <c r="J23" s="3"/>
      <c r="K23" s="3">
        <v>-5702147</v>
      </c>
      <c r="L23" s="3">
        <v>0</v>
      </c>
      <c r="M23" s="3">
        <f>SUM(I23:L23)</f>
        <v>-52405834</v>
      </c>
      <c r="N23" s="3">
        <f>SUM(M23,M16)</f>
        <v>179041274</v>
      </c>
    </row>
    <row r="24" spans="1:14" ht="18.75">
      <c r="A24" s="2"/>
      <c r="B24" s="2" t="s">
        <v>77</v>
      </c>
      <c r="C24" s="2"/>
      <c r="D24" s="2"/>
      <c r="E24" s="2"/>
      <c r="F24" s="2"/>
      <c r="G24" s="2"/>
      <c r="H24" s="2"/>
      <c r="I24" s="3">
        <v>-6208523</v>
      </c>
      <c r="J24" s="3"/>
      <c r="K24" s="3">
        <v>-692827</v>
      </c>
      <c r="L24" s="3">
        <v>9965</v>
      </c>
      <c r="M24" s="3">
        <f>SUM(I24:L24)</f>
        <v>-6891385</v>
      </c>
      <c r="N24" s="3">
        <f>SUM(M24,M17)</f>
        <v>4027455</v>
      </c>
    </row>
    <row r="25" spans="1:14" ht="18.75">
      <c r="A25" s="2"/>
      <c r="B25" s="2" t="s">
        <v>78</v>
      </c>
      <c r="C25" s="2"/>
      <c r="D25" s="2"/>
      <c r="E25" s="2"/>
      <c r="F25" s="2"/>
      <c r="G25" s="2"/>
      <c r="H25" s="2"/>
      <c r="I25" s="3">
        <v>-3526904</v>
      </c>
      <c r="J25" s="3"/>
      <c r="K25" s="3">
        <v>-454178</v>
      </c>
      <c r="L25" s="3">
        <v>0</v>
      </c>
      <c r="M25" s="3">
        <f>SUM(I25:L25)</f>
        <v>-3981082</v>
      </c>
      <c r="N25" s="3">
        <f>M18+M25</f>
        <v>1210404</v>
      </c>
    </row>
    <row r="26" spans="1:14" ht="18.75">
      <c r="A26" s="1"/>
      <c r="B26" s="1"/>
      <c r="C26" s="1" t="s">
        <v>20</v>
      </c>
      <c r="D26" s="1"/>
      <c r="E26" s="1"/>
      <c r="F26" s="1"/>
      <c r="G26" s="1"/>
      <c r="H26" s="1"/>
      <c r="I26" s="10">
        <f>SUM(I22:I25)</f>
        <v>-80464597</v>
      </c>
      <c r="J26" s="10">
        <f>SUM(J22:J25)</f>
        <v>0</v>
      </c>
      <c r="K26" s="10">
        <f>SUM(K22:K25)</f>
        <v>-9493597</v>
      </c>
      <c r="L26" s="10">
        <f>SUM(L22:L25)</f>
        <v>9965</v>
      </c>
      <c r="M26" s="10">
        <f>SUM(M22:M25)</f>
        <v>-89948229</v>
      </c>
      <c r="N26" s="1"/>
    </row>
    <row r="27" spans="1:14" ht="18.75">
      <c r="A27" s="1"/>
      <c r="B27" s="1"/>
      <c r="C27" s="1"/>
      <c r="D27" s="1"/>
      <c r="E27" s="1"/>
      <c r="F27" s="1"/>
      <c r="G27" s="1"/>
      <c r="H27" s="1"/>
      <c r="I27" s="10"/>
      <c r="J27" s="10"/>
      <c r="K27" s="10"/>
      <c r="L27" s="10"/>
      <c r="M27" s="10"/>
      <c r="N27" s="1"/>
    </row>
    <row r="28" spans="1:14" ht="18.75">
      <c r="A28" s="1"/>
      <c r="B28" s="1" t="s">
        <v>21</v>
      </c>
      <c r="C28" s="1"/>
      <c r="D28" s="1"/>
      <c r="E28" s="1"/>
      <c r="F28" s="1"/>
      <c r="G28" s="1"/>
      <c r="H28" s="1"/>
      <c r="I28" s="10">
        <f>I26+I19</f>
        <v>263054104</v>
      </c>
      <c r="J28" s="10">
        <f t="shared" ref="J28:M28" si="1">J26+J19</f>
        <v>3040380</v>
      </c>
      <c r="K28" s="10">
        <f t="shared" si="1"/>
        <v>-208470</v>
      </c>
      <c r="L28" s="10">
        <f t="shared" si="1"/>
        <v>-4271</v>
      </c>
      <c r="M28" s="10">
        <f t="shared" si="1"/>
        <v>265881743</v>
      </c>
      <c r="N28" s="1"/>
    </row>
    <row r="29" spans="1:14" ht="18.75">
      <c r="A29" s="1"/>
      <c r="B29" s="1"/>
      <c r="C29" s="1"/>
      <c r="D29" s="1"/>
      <c r="E29" s="1"/>
      <c r="F29" s="1"/>
      <c r="G29" s="1"/>
      <c r="H29" s="1"/>
      <c r="I29" s="31"/>
      <c r="J29" s="31"/>
      <c r="K29" s="31"/>
      <c r="L29" s="31"/>
      <c r="M29" s="31"/>
      <c r="N29" s="1"/>
    </row>
    <row r="30" spans="1:14" ht="18.75">
      <c r="A30" s="2"/>
      <c r="B30" s="1" t="s">
        <v>22</v>
      </c>
      <c r="C30" s="2"/>
      <c r="D30" s="2"/>
      <c r="E30" s="2"/>
      <c r="F30" s="2"/>
      <c r="G30" s="2"/>
      <c r="H30" s="2"/>
      <c r="I30" s="14">
        <f>I12+I28</f>
        <v>281303467</v>
      </c>
      <c r="J30" s="14">
        <f>J12+J28</f>
        <v>0</v>
      </c>
      <c r="K30" s="14">
        <f>K12+K28</f>
        <v>3867400</v>
      </c>
      <c r="L30" s="14">
        <f>L12+L28</f>
        <v>-44767</v>
      </c>
      <c r="M30" s="14">
        <f>M12+M28</f>
        <v>285126100</v>
      </c>
      <c r="N30" s="3">
        <f>SUM(N22:N25,N10:N11)</f>
        <v>285126100</v>
      </c>
    </row>
    <row r="31" spans="1:14" ht="18.75">
      <c r="A31" s="2"/>
      <c r="B31" s="1"/>
      <c r="C31" s="2"/>
      <c r="D31" s="2"/>
      <c r="E31" s="2"/>
      <c r="F31" s="2"/>
      <c r="G31" s="2"/>
      <c r="H31" s="2"/>
      <c r="I31" s="15"/>
      <c r="J31" s="15"/>
      <c r="K31" s="15"/>
      <c r="L31" s="15"/>
      <c r="M31" s="15"/>
      <c r="N31" s="2"/>
    </row>
    <row r="32" spans="1:14" ht="18.75">
      <c r="A32" s="2"/>
      <c r="B32" s="2"/>
      <c r="C32" s="2"/>
      <c r="D32" s="2"/>
      <c r="E32" s="2"/>
      <c r="F32" s="2"/>
      <c r="G32" s="2"/>
      <c r="H32" s="2"/>
      <c r="I32" s="3"/>
      <c r="J32" s="3"/>
      <c r="K32" s="3"/>
      <c r="L32" s="3"/>
      <c r="M32" s="3"/>
      <c r="N32" s="2"/>
    </row>
    <row r="33" spans="1:14" ht="37.5">
      <c r="A33" s="2"/>
      <c r="B33" s="2"/>
      <c r="C33" s="2"/>
      <c r="D33" s="2"/>
      <c r="E33" s="2"/>
      <c r="F33" s="2"/>
      <c r="G33" s="2"/>
      <c r="H33" s="2"/>
      <c r="I33" s="17" t="s">
        <v>3</v>
      </c>
      <c r="J33" s="17" t="s">
        <v>67</v>
      </c>
      <c r="K33" s="17" t="s">
        <v>45</v>
      </c>
      <c r="L33" s="17" t="s">
        <v>46</v>
      </c>
      <c r="M33" s="17" t="s">
        <v>6</v>
      </c>
      <c r="N33" s="2"/>
    </row>
    <row r="34" spans="1:14" ht="18.75">
      <c r="A34" s="2"/>
      <c r="B34" s="2"/>
      <c r="C34" s="2"/>
      <c r="D34" s="2"/>
      <c r="E34" s="2"/>
      <c r="F34" s="2"/>
      <c r="G34" s="2"/>
      <c r="H34" s="2"/>
      <c r="I34" s="5"/>
      <c r="J34" s="5"/>
      <c r="K34" s="5"/>
      <c r="L34" s="5"/>
      <c r="M34" s="5"/>
      <c r="N34" s="2"/>
    </row>
    <row r="35" spans="1:14" ht="18.75">
      <c r="A35" s="1" t="s">
        <v>79</v>
      </c>
      <c r="B35" s="1"/>
      <c r="C35" s="1"/>
      <c r="D35" s="1"/>
      <c r="E35" s="1"/>
      <c r="F35" s="1"/>
      <c r="G35" s="2"/>
      <c r="H35" s="2"/>
      <c r="I35" s="3"/>
      <c r="J35" s="3"/>
      <c r="K35" s="3"/>
      <c r="L35" s="3"/>
      <c r="M35" s="3"/>
      <c r="N35" s="2"/>
    </row>
    <row r="36" spans="1:14" ht="18.75">
      <c r="A36" s="1" t="s">
        <v>80</v>
      </c>
      <c r="B36" s="1"/>
      <c r="C36" s="1"/>
      <c r="D36" s="1"/>
      <c r="E36" s="1"/>
      <c r="F36" s="1"/>
      <c r="G36" s="2"/>
      <c r="H36" s="2"/>
      <c r="I36" s="3"/>
      <c r="J36" s="3"/>
      <c r="K36" s="3"/>
      <c r="L36" s="3"/>
      <c r="M36" s="3"/>
      <c r="N36" s="2"/>
    </row>
    <row r="37" spans="1:14" ht="18.75">
      <c r="A37" s="2"/>
      <c r="B37" s="2" t="s">
        <v>10</v>
      </c>
      <c r="C37" s="2"/>
      <c r="D37" s="2"/>
      <c r="E37" s="2"/>
      <c r="F37" s="2"/>
      <c r="G37" s="2"/>
      <c r="H37" s="2"/>
      <c r="I37" s="3">
        <v>1301778</v>
      </c>
      <c r="J37" s="3">
        <v>0</v>
      </c>
      <c r="K37" s="3">
        <v>110034</v>
      </c>
      <c r="L37" s="3">
        <v>0</v>
      </c>
      <c r="M37" s="3">
        <f>SUM(I37:L37)</f>
        <v>1411812</v>
      </c>
      <c r="N37" s="3">
        <f>SUM(M37)</f>
        <v>1411812</v>
      </c>
    </row>
    <row r="38" spans="1:14" ht="18.75">
      <c r="A38" s="2"/>
      <c r="B38" s="2" t="s">
        <v>81</v>
      </c>
      <c r="C38" s="2"/>
      <c r="D38" s="2"/>
      <c r="E38" s="2"/>
      <c r="F38" s="2"/>
      <c r="G38" s="2"/>
      <c r="H38" s="2"/>
      <c r="I38" s="3">
        <v>1226000</v>
      </c>
      <c r="J38" s="3"/>
      <c r="K38" s="3"/>
      <c r="L38" s="3"/>
      <c r="M38" s="3">
        <f>SUM(I38:L38)</f>
        <v>1226000</v>
      </c>
      <c r="N38" s="3">
        <f>M38</f>
        <v>1226000</v>
      </c>
    </row>
    <row r="39" spans="1:14" ht="18.75">
      <c r="A39" s="2"/>
      <c r="B39" s="2" t="s">
        <v>11</v>
      </c>
      <c r="C39" s="2"/>
      <c r="D39" s="2"/>
      <c r="E39" s="2"/>
      <c r="F39" s="2"/>
      <c r="G39" s="2"/>
      <c r="H39" s="2"/>
      <c r="I39" s="3">
        <v>3279798</v>
      </c>
      <c r="J39" s="3">
        <v>-119742</v>
      </c>
      <c r="K39" s="3">
        <v>10471550</v>
      </c>
      <c r="L39" s="3"/>
      <c r="M39" s="3">
        <f>SUM(I39:L39)</f>
        <v>13631606</v>
      </c>
      <c r="N39" s="3">
        <f>SUM(M39)</f>
        <v>13631606</v>
      </c>
    </row>
    <row r="40" spans="1:14" ht="18.75">
      <c r="A40" s="1"/>
      <c r="B40" s="1"/>
      <c r="C40" s="1" t="s">
        <v>68</v>
      </c>
      <c r="D40" s="1"/>
      <c r="E40" s="1"/>
      <c r="F40" s="1"/>
      <c r="G40" s="1"/>
      <c r="H40" s="2"/>
      <c r="I40" s="12">
        <f>SUM(I37:I39)</f>
        <v>5807576</v>
      </c>
      <c r="J40" s="12">
        <f t="shared" ref="J40:M40" si="2">SUM(J37:J39)</f>
        <v>-119742</v>
      </c>
      <c r="K40" s="12">
        <f t="shared" si="2"/>
        <v>10581584</v>
      </c>
      <c r="L40" s="12">
        <f t="shared" si="2"/>
        <v>0</v>
      </c>
      <c r="M40" s="12">
        <f t="shared" si="2"/>
        <v>16269418</v>
      </c>
      <c r="N40" s="2"/>
    </row>
    <row r="41" spans="1:14" ht="18.75">
      <c r="A41" s="2"/>
      <c r="B41" s="2"/>
      <c r="C41" s="2"/>
      <c r="D41" s="2"/>
      <c r="E41" s="2"/>
      <c r="F41" s="2"/>
      <c r="G41" s="2"/>
      <c r="H41" s="2"/>
      <c r="I41" s="3"/>
      <c r="J41" s="3"/>
      <c r="K41" s="3"/>
      <c r="L41" s="3"/>
      <c r="M41" s="3"/>
      <c r="N41" s="2"/>
    </row>
    <row r="42" spans="1:14" ht="18.75">
      <c r="A42" s="1" t="s">
        <v>13</v>
      </c>
      <c r="B42" s="2"/>
      <c r="C42" s="2"/>
      <c r="D42" s="2"/>
      <c r="E42" s="2"/>
      <c r="F42" s="2"/>
      <c r="G42" s="2"/>
      <c r="H42" s="2"/>
      <c r="I42" s="3"/>
      <c r="J42" s="3"/>
      <c r="K42" s="3"/>
      <c r="L42" s="3"/>
      <c r="M42" s="3"/>
      <c r="N42" s="2"/>
    </row>
    <row r="43" spans="1:14" ht="18.75">
      <c r="A43" s="1"/>
      <c r="B43" s="2" t="s">
        <v>77</v>
      </c>
      <c r="C43" s="2"/>
      <c r="D43" s="2"/>
      <c r="E43" s="2"/>
      <c r="F43" s="2"/>
      <c r="G43" s="2"/>
      <c r="H43" s="2"/>
      <c r="I43" s="3">
        <v>34602</v>
      </c>
      <c r="J43" s="3">
        <v>119742</v>
      </c>
      <c r="K43" s="3">
        <v>43137</v>
      </c>
      <c r="L43" s="3">
        <v>0</v>
      </c>
      <c r="M43" s="3">
        <f>SUM(I43:L43)</f>
        <v>197481</v>
      </c>
      <c r="N43" s="2"/>
    </row>
    <row r="44" spans="1:14" ht="18.75">
      <c r="A44" s="2"/>
      <c r="B44" s="2" t="s">
        <v>14</v>
      </c>
      <c r="C44" s="2"/>
      <c r="D44" s="2"/>
      <c r="E44" s="2"/>
      <c r="F44" s="2"/>
      <c r="G44" s="2"/>
      <c r="H44" s="2"/>
      <c r="I44" s="3">
        <v>4953684</v>
      </c>
      <c r="J44" s="3"/>
      <c r="K44" s="3"/>
      <c r="L44" s="3">
        <v>0</v>
      </c>
      <c r="M44" s="3">
        <f>SUM(I44:L44)</f>
        <v>4953684</v>
      </c>
      <c r="N44" s="2"/>
    </row>
    <row r="45" spans="1:14" ht="18.75">
      <c r="A45" s="2"/>
      <c r="B45" s="2"/>
      <c r="C45" s="1" t="s">
        <v>18</v>
      </c>
      <c r="D45" s="2"/>
      <c r="E45" s="2"/>
      <c r="F45" s="2"/>
      <c r="G45" s="2"/>
      <c r="H45" s="2"/>
      <c r="I45" s="12">
        <f>SUM(I43:I44)</f>
        <v>4988286</v>
      </c>
      <c r="J45" s="12">
        <f>SUM(J43:J44)</f>
        <v>119742</v>
      </c>
      <c r="K45" s="12">
        <f>SUM(K43:K44)</f>
        <v>43137</v>
      </c>
      <c r="L45" s="12">
        <f>SUM(L43:L44)</f>
        <v>0</v>
      </c>
      <c r="M45" s="12">
        <f>SUM(M43:M44)</f>
        <v>5151165</v>
      </c>
      <c r="N45" s="2"/>
    </row>
    <row r="46" spans="1:14" ht="18.75">
      <c r="A46" s="2"/>
      <c r="B46" s="2"/>
      <c r="C46" s="1"/>
      <c r="D46" s="2"/>
      <c r="E46" s="2"/>
      <c r="F46" s="2"/>
      <c r="G46" s="2"/>
      <c r="H46" s="2"/>
      <c r="I46" s="15"/>
      <c r="J46" s="15"/>
      <c r="K46" s="15"/>
      <c r="L46" s="15"/>
      <c r="M46" s="15"/>
      <c r="N46" s="2"/>
    </row>
    <row r="47" spans="1:14" ht="18.75">
      <c r="A47" s="2" t="s">
        <v>19</v>
      </c>
      <c r="B47" s="2"/>
      <c r="C47" s="2"/>
      <c r="D47" s="2"/>
      <c r="E47" s="2"/>
      <c r="F47" s="2"/>
      <c r="G47" s="2"/>
      <c r="H47" s="2"/>
      <c r="I47" s="3"/>
      <c r="J47" s="3"/>
      <c r="K47" s="3"/>
      <c r="L47" s="3"/>
      <c r="M47" s="3"/>
      <c r="N47" s="2"/>
    </row>
    <row r="48" spans="1:14" ht="18.75">
      <c r="A48" s="2"/>
      <c r="B48" s="2" t="s">
        <v>77</v>
      </c>
      <c r="C48" s="2"/>
      <c r="D48" s="2"/>
      <c r="E48" s="2"/>
      <c r="F48" s="2"/>
      <c r="G48" s="2"/>
      <c r="H48" s="2"/>
      <c r="I48" s="3">
        <v>-412</v>
      </c>
      <c r="J48" s="3"/>
      <c r="K48" s="3">
        <v>-4943</v>
      </c>
      <c r="L48" s="3">
        <v>0</v>
      </c>
      <c r="M48" s="3">
        <f>SUM(I48:L48)</f>
        <v>-5355</v>
      </c>
      <c r="N48" s="3">
        <f>SUM(M48,M43)</f>
        <v>192126</v>
      </c>
    </row>
    <row r="49" spans="1:14" ht="18.75">
      <c r="A49" s="2"/>
      <c r="B49" s="2" t="s">
        <v>14</v>
      </c>
      <c r="C49" s="2"/>
      <c r="D49" s="2"/>
      <c r="E49" s="2"/>
      <c r="F49" s="2"/>
      <c r="G49" s="2"/>
      <c r="H49" s="2"/>
      <c r="I49" s="3">
        <v>-333305</v>
      </c>
      <c r="J49" s="3"/>
      <c r="K49" s="3">
        <v>-202580</v>
      </c>
      <c r="L49" s="3">
        <v>0</v>
      </c>
      <c r="M49" s="3">
        <f>SUM(I49:L49)</f>
        <v>-535885</v>
      </c>
      <c r="N49" s="3">
        <f>SUM(M49,M44)</f>
        <v>4417799</v>
      </c>
    </row>
    <row r="50" spans="1:14" ht="18.75">
      <c r="A50" s="1"/>
      <c r="B50" s="1"/>
      <c r="C50" s="1" t="s">
        <v>20</v>
      </c>
      <c r="D50" s="1"/>
      <c r="E50" s="1"/>
      <c r="F50" s="1"/>
      <c r="G50" s="1"/>
      <c r="H50" s="2"/>
      <c r="I50" s="12">
        <f>SUM(I48:I49)</f>
        <v>-333717</v>
      </c>
      <c r="J50" s="12">
        <f>SUM(J48:J49)</f>
        <v>0</v>
      </c>
      <c r="K50" s="12">
        <f>SUM(K48:K49)</f>
        <v>-207523</v>
      </c>
      <c r="L50" s="12">
        <f>SUM(L48:L49)</f>
        <v>0</v>
      </c>
      <c r="M50" s="12">
        <f>SUM(M48:M49)</f>
        <v>-541240</v>
      </c>
      <c r="N50" s="2"/>
    </row>
    <row r="51" spans="1:14" ht="18.75">
      <c r="A51" s="1"/>
      <c r="B51" s="1"/>
      <c r="C51" s="1"/>
      <c r="D51" s="1"/>
      <c r="E51" s="1"/>
      <c r="F51" s="1"/>
      <c r="G51" s="1"/>
      <c r="H51" s="2"/>
      <c r="I51" s="12"/>
      <c r="J51" s="12"/>
      <c r="K51" s="12"/>
      <c r="L51" s="12"/>
      <c r="M51" s="12"/>
      <c r="N51" s="2"/>
    </row>
    <row r="52" spans="1:14" ht="18.75">
      <c r="A52" s="1"/>
      <c r="B52" s="1" t="s">
        <v>21</v>
      </c>
      <c r="C52" s="1"/>
      <c r="D52" s="1"/>
      <c r="E52" s="1"/>
      <c r="F52" s="1"/>
      <c r="G52" s="1"/>
      <c r="H52" s="2"/>
      <c r="I52" s="12">
        <f>SUM(I50,I45)</f>
        <v>4654569</v>
      </c>
      <c r="J52" s="12">
        <f>SUM(J50,J45)</f>
        <v>119742</v>
      </c>
      <c r="K52" s="12">
        <f>SUM(K50,K45)</f>
        <v>-164386</v>
      </c>
      <c r="L52" s="12">
        <f>SUM(L50,L45)</f>
        <v>0</v>
      </c>
      <c r="M52" s="12">
        <f>SUM(M50,M45)</f>
        <v>4609925</v>
      </c>
      <c r="N52" s="2"/>
    </row>
    <row r="53" spans="1:14" ht="18.75">
      <c r="A53" s="1"/>
      <c r="B53" s="1"/>
      <c r="C53" s="1"/>
      <c r="D53" s="1"/>
      <c r="E53" s="1"/>
      <c r="F53" s="1"/>
      <c r="G53" s="1"/>
      <c r="H53" s="2"/>
      <c r="I53" s="13"/>
      <c r="J53" s="13"/>
      <c r="K53" s="13"/>
      <c r="L53" s="13"/>
      <c r="M53" s="13"/>
      <c r="N53" s="2"/>
    </row>
    <row r="54" spans="1:14" ht="18.75">
      <c r="A54" s="2"/>
      <c r="B54" s="1" t="s">
        <v>43</v>
      </c>
      <c r="C54" s="2"/>
      <c r="D54" s="2"/>
      <c r="E54" s="2"/>
      <c r="F54" s="2"/>
      <c r="G54" s="2"/>
      <c r="H54" s="2"/>
      <c r="I54" s="14">
        <f>I40+I52</f>
        <v>10462145</v>
      </c>
      <c r="J54" s="14">
        <f>J40+J52</f>
        <v>0</v>
      </c>
      <c r="K54" s="14">
        <f>K40+K52</f>
        <v>10417198</v>
      </c>
      <c r="L54" s="14">
        <f>L40+L52</f>
        <v>0</v>
      </c>
      <c r="M54" s="14">
        <f>M40+M52</f>
        <v>20879343</v>
      </c>
      <c r="N54" s="3">
        <f>SUM(N48:N49,N37:N39)</f>
        <v>20879343</v>
      </c>
    </row>
    <row r="55" spans="1:14" ht="18.75">
      <c r="A55" s="2"/>
      <c r="B55" s="2"/>
      <c r="C55" s="2"/>
      <c r="D55" s="2"/>
      <c r="E55" s="2"/>
      <c r="F55" s="2"/>
      <c r="G55" s="2"/>
      <c r="H55" s="2"/>
      <c r="I55" s="3"/>
      <c r="J55" s="3"/>
      <c r="K55" s="3"/>
      <c r="L55" s="3"/>
      <c r="M55" s="3"/>
      <c r="N55" s="2"/>
    </row>
    <row r="56" spans="1:14" ht="18.75">
      <c r="A56" s="2"/>
      <c r="B56" s="2"/>
      <c r="C56" s="2"/>
      <c r="D56" s="2"/>
      <c r="E56" s="2"/>
      <c r="F56" s="2"/>
      <c r="G56" s="2"/>
      <c r="H56" s="2"/>
      <c r="I56" s="3"/>
      <c r="J56" s="3"/>
      <c r="K56" s="3"/>
      <c r="L56" s="3"/>
      <c r="M56" s="3"/>
      <c r="N56" s="2"/>
    </row>
  </sheetData>
  <mergeCells count="3">
    <mergeCell ref="D1:I1"/>
    <mergeCell ref="D2:I2"/>
    <mergeCell ref="D3:I3"/>
  </mergeCells>
  <pageMargins left="0.7" right="0.7" top="0.75" bottom="0.75" header="0.3" footer="0.3"/>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26"/>
  <sheetViews>
    <sheetView workbookViewId="0">
      <selection activeCell="G5" sqref="G5"/>
    </sheetView>
  </sheetViews>
  <sheetFormatPr defaultColWidth="8.85546875" defaultRowHeight="18.75"/>
  <cols>
    <col min="1" max="1" width="4.42578125" style="2" customWidth="1"/>
    <col min="2" max="3" width="4.7109375" style="2" customWidth="1"/>
    <col min="4" max="6" width="8.85546875" style="2"/>
    <col min="7" max="7" width="14.28515625" style="2" bestFit="1" customWidth="1"/>
    <col min="8" max="8" width="12.7109375" style="2" bestFit="1" customWidth="1"/>
    <col min="9" max="9" width="20.42578125" style="3" bestFit="1" customWidth="1"/>
    <col min="10" max="11" width="16.85546875" style="3" customWidth="1"/>
    <col min="12" max="12" width="20.85546875" style="3" customWidth="1"/>
    <col min="13" max="13" width="18.140625" style="2" customWidth="1"/>
    <col min="14" max="16384" width="8.85546875" style="2"/>
  </cols>
  <sheetData>
    <row r="1" spans="1:13">
      <c r="D1" s="136" t="s">
        <v>82</v>
      </c>
      <c r="E1" s="136"/>
      <c r="F1" s="136"/>
      <c r="G1" s="136"/>
      <c r="H1" s="136"/>
      <c r="I1" s="136"/>
    </row>
    <row r="2" spans="1:13">
      <c r="D2" s="136" t="s">
        <v>1</v>
      </c>
      <c r="E2" s="136"/>
      <c r="F2" s="136"/>
      <c r="G2" s="136"/>
      <c r="H2" s="136"/>
      <c r="I2" s="136"/>
    </row>
    <row r="3" spans="1:13">
      <c r="D3" s="136" t="s">
        <v>2</v>
      </c>
      <c r="E3" s="136"/>
      <c r="F3" s="136"/>
      <c r="G3" s="136"/>
      <c r="H3" s="136"/>
      <c r="I3" s="136"/>
    </row>
    <row r="4" spans="1:13">
      <c r="D4" s="69"/>
      <c r="E4" s="69"/>
      <c r="F4" s="69"/>
      <c r="G4" s="69"/>
      <c r="H4" s="69"/>
      <c r="I4" s="4"/>
    </row>
    <row r="5" spans="1:13" ht="56.25">
      <c r="I5" s="11" t="s">
        <v>83</v>
      </c>
      <c r="J5" s="11" t="s">
        <v>45</v>
      </c>
      <c r="K5" s="11" t="s">
        <v>84</v>
      </c>
      <c r="L5" s="11" t="s">
        <v>85</v>
      </c>
      <c r="M5" s="11" t="s">
        <v>7</v>
      </c>
    </row>
    <row r="6" spans="1:13">
      <c r="I6" s="16"/>
      <c r="J6" s="16"/>
      <c r="K6" s="16"/>
      <c r="L6" s="16"/>
    </row>
    <row r="7" spans="1:13">
      <c r="A7" s="1" t="s">
        <v>50</v>
      </c>
      <c r="B7" s="1"/>
      <c r="C7" s="1"/>
      <c r="D7" s="1"/>
      <c r="E7" s="1"/>
      <c r="F7" s="1"/>
    </row>
    <row r="8" spans="1:13">
      <c r="A8" s="1" t="s">
        <v>9</v>
      </c>
      <c r="B8" s="1"/>
      <c r="C8" s="1"/>
      <c r="D8" s="1"/>
      <c r="E8" s="1"/>
      <c r="F8" s="1"/>
    </row>
    <row r="9" spans="1:13">
      <c r="B9" s="2" t="s">
        <v>86</v>
      </c>
      <c r="I9" s="3">
        <v>14578409</v>
      </c>
      <c r="L9" s="3">
        <f>SUM(I9:K9)</f>
        <v>14578409</v>
      </c>
      <c r="M9" s="3">
        <f>SUM(L9)</f>
        <v>14578409</v>
      </c>
    </row>
    <row r="10" spans="1:13">
      <c r="B10" s="2" t="s">
        <v>87</v>
      </c>
      <c r="I10" s="3">
        <v>13982884</v>
      </c>
      <c r="J10" s="3">
        <v>4339309</v>
      </c>
      <c r="K10" s="3">
        <v>-12386288</v>
      </c>
      <c r="L10" s="3">
        <f>SUM(I10:K10)</f>
        <v>5935905</v>
      </c>
      <c r="M10" s="3">
        <f>L10</f>
        <v>5935905</v>
      </c>
    </row>
    <row r="11" spans="1:13">
      <c r="A11" s="1"/>
      <c r="B11" s="1"/>
      <c r="C11" s="1" t="s">
        <v>88</v>
      </c>
      <c r="D11" s="1"/>
      <c r="E11" s="1"/>
      <c r="F11" s="1"/>
      <c r="G11" s="1"/>
      <c r="H11" s="1"/>
      <c r="I11" s="12">
        <f>SUM(I9:I10)</f>
        <v>28561293</v>
      </c>
      <c r="J11" s="12">
        <f>SUM(J9:J10)</f>
        <v>4339309</v>
      </c>
      <c r="K11" s="12">
        <f>SUM(K9:K10)</f>
        <v>-12386288</v>
      </c>
      <c r="L11" s="12">
        <f>SUM(L9:L10)</f>
        <v>20514314</v>
      </c>
      <c r="M11" s="1"/>
    </row>
    <row r="13" spans="1:13">
      <c r="A13" s="1" t="s">
        <v>13</v>
      </c>
    </row>
    <row r="14" spans="1:13">
      <c r="A14" s="1"/>
      <c r="B14" s="2" t="s">
        <v>89</v>
      </c>
      <c r="I14" s="3">
        <v>89865209</v>
      </c>
      <c r="J14" s="3">
        <v>11141211</v>
      </c>
      <c r="L14" s="3">
        <f>SUM(I14:K14)</f>
        <v>101006420</v>
      </c>
    </row>
    <row r="15" spans="1:13">
      <c r="A15" s="1"/>
      <c r="B15" s="2" t="s">
        <v>90</v>
      </c>
      <c r="I15" s="3">
        <v>38304592</v>
      </c>
      <c r="J15" s="3">
        <v>3248899</v>
      </c>
      <c r="K15" s="3">
        <v>-931135</v>
      </c>
      <c r="L15" s="3">
        <f>SUM(I15:K15)</f>
        <v>40622356</v>
      </c>
    </row>
    <row r="16" spans="1:13">
      <c r="B16" s="2" t="s">
        <v>17</v>
      </c>
      <c r="I16" s="3">
        <v>386642046</v>
      </c>
      <c r="J16" s="3">
        <v>3287628</v>
      </c>
      <c r="K16" s="3">
        <v>-97737</v>
      </c>
      <c r="L16" s="3">
        <f>SUM(I16:K16)</f>
        <v>389831937</v>
      </c>
    </row>
    <row r="17" spans="1:13">
      <c r="C17" s="1" t="s">
        <v>18</v>
      </c>
      <c r="I17" s="13">
        <f>SUM(I14:I16)</f>
        <v>514811847</v>
      </c>
      <c r="J17" s="13">
        <f>SUM(J14:J16)</f>
        <v>17677738</v>
      </c>
      <c r="K17" s="13">
        <f>SUM(K14:K16)</f>
        <v>-1028872</v>
      </c>
      <c r="L17" s="13">
        <f>SUM(L14:L16)</f>
        <v>531460713</v>
      </c>
    </row>
    <row r="18" spans="1:13">
      <c r="C18" s="1"/>
      <c r="I18" s="15"/>
      <c r="J18" s="15"/>
      <c r="K18" s="15"/>
      <c r="L18" s="15"/>
    </row>
    <row r="19" spans="1:13">
      <c r="A19" s="1" t="s">
        <v>19</v>
      </c>
    </row>
    <row r="20" spans="1:13">
      <c r="B20" s="2" t="s">
        <v>89</v>
      </c>
      <c r="I20" s="3">
        <v>-36975522</v>
      </c>
      <c r="J20" s="3">
        <v>-2452746</v>
      </c>
      <c r="L20" s="3">
        <f>SUM(I20:K20)</f>
        <v>-39428268</v>
      </c>
      <c r="M20" s="3">
        <f>SUM(L20,L14)</f>
        <v>61578152</v>
      </c>
    </row>
    <row r="21" spans="1:13">
      <c r="B21" s="2" t="s">
        <v>90</v>
      </c>
      <c r="I21" s="3">
        <v>-26452998</v>
      </c>
      <c r="J21" s="3">
        <v>-2802700</v>
      </c>
      <c r="K21" s="3">
        <v>921382</v>
      </c>
      <c r="L21" s="3">
        <f>SUM(I21:K21)</f>
        <v>-28334316</v>
      </c>
      <c r="M21" s="3">
        <f>SUM(L21,L15)</f>
        <v>12288040</v>
      </c>
    </row>
    <row r="22" spans="1:13">
      <c r="B22" s="2" t="s">
        <v>17</v>
      </c>
      <c r="I22" s="3">
        <v>-269675695</v>
      </c>
      <c r="J22" s="3">
        <v>-10691375</v>
      </c>
      <c r="K22" s="3">
        <v>97738</v>
      </c>
      <c r="L22" s="3">
        <f>SUM(I22:K22)</f>
        <v>-280269332</v>
      </c>
      <c r="M22" s="3">
        <f>L16+L22</f>
        <v>109562605</v>
      </c>
    </row>
    <row r="23" spans="1:13">
      <c r="A23" s="1"/>
      <c r="B23" s="1"/>
      <c r="C23" s="1" t="s">
        <v>20</v>
      </c>
      <c r="D23" s="1"/>
      <c r="E23" s="1"/>
      <c r="F23" s="1"/>
      <c r="G23" s="1"/>
      <c r="H23" s="1"/>
      <c r="I23" s="10">
        <f>SUM(I20:I22)</f>
        <v>-333104215</v>
      </c>
      <c r="J23" s="10">
        <f>SUM(J20:J22)</f>
        <v>-15946821</v>
      </c>
      <c r="K23" s="10">
        <f>SUM(K20:K22)</f>
        <v>1019120</v>
      </c>
      <c r="L23" s="10">
        <f>SUM(L20:L22)</f>
        <v>-348031916</v>
      </c>
      <c r="M23" s="1"/>
    </row>
    <row r="24" spans="1:13">
      <c r="A24" s="1"/>
      <c r="B24" s="1" t="s">
        <v>21</v>
      </c>
      <c r="C24" s="1"/>
      <c r="D24" s="1"/>
      <c r="E24" s="1"/>
      <c r="F24" s="1"/>
      <c r="G24" s="1"/>
      <c r="H24" s="1"/>
      <c r="I24" s="10">
        <f>I23+I17</f>
        <v>181707632</v>
      </c>
      <c r="J24" s="10">
        <f>J23+J17</f>
        <v>1730917</v>
      </c>
      <c r="K24" s="10">
        <f>K23+K17</f>
        <v>-9752</v>
      </c>
      <c r="L24" s="10">
        <f>L23+L17</f>
        <v>183428797</v>
      </c>
      <c r="M24" s="1"/>
    </row>
    <row r="25" spans="1:13" ht="19.5" thickBot="1">
      <c r="B25" s="1" t="s">
        <v>91</v>
      </c>
      <c r="I25" s="14">
        <f>I11+I24</f>
        <v>210268925</v>
      </c>
      <c r="J25" s="14">
        <f>J11+J24</f>
        <v>6070226</v>
      </c>
      <c r="K25" s="14">
        <f>K11+K24</f>
        <v>-12396040</v>
      </c>
      <c r="L25" s="14">
        <f>L11+L24</f>
        <v>203943111</v>
      </c>
      <c r="M25" s="3">
        <f>SUM(M20:M22,M9:M10)</f>
        <v>203943111</v>
      </c>
    </row>
    <row r="26" spans="1:13">
      <c r="B26" s="1"/>
      <c r="I26" s="15"/>
      <c r="J26" s="15"/>
      <c r="K26" s="15"/>
      <c r="L26" s="15"/>
    </row>
  </sheetData>
  <mergeCells count="3">
    <mergeCell ref="D1:I1"/>
    <mergeCell ref="D2:I2"/>
    <mergeCell ref="D3:I3"/>
  </mergeCells>
  <pageMargins left="0.7" right="0.7" top="0.75" bottom="0.75" header="0.3" footer="0.3"/>
  <pageSetup orientation="portrait"/>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63"/>
  <sheetViews>
    <sheetView topLeftCell="A46" zoomScale="85" zoomScaleNormal="85" zoomScalePageLayoutView="85" workbookViewId="0">
      <selection activeCell="M53" sqref="M53"/>
    </sheetView>
  </sheetViews>
  <sheetFormatPr defaultColWidth="8.85546875" defaultRowHeight="15"/>
  <cols>
    <col min="2" max="2" width="7.42578125" customWidth="1"/>
    <col min="8" max="8" width="14.85546875" customWidth="1"/>
    <col min="9" max="9" width="21" customWidth="1"/>
    <col min="10" max="10" width="16.42578125" customWidth="1"/>
    <col min="11" max="11" width="17.140625" customWidth="1"/>
    <col min="12" max="12" width="18.85546875" customWidth="1"/>
    <col min="13" max="13" width="17.42578125" customWidth="1"/>
  </cols>
  <sheetData>
    <row r="1" spans="1:13" ht="18.75">
      <c r="A1" s="2"/>
      <c r="B1" s="2"/>
      <c r="C1" s="2"/>
      <c r="D1" s="136" t="s">
        <v>92</v>
      </c>
      <c r="E1" s="136"/>
      <c r="F1" s="136"/>
      <c r="G1" s="136"/>
      <c r="H1" s="136"/>
      <c r="I1" s="136"/>
      <c r="J1" s="3"/>
      <c r="K1" s="3"/>
      <c r="L1" s="3"/>
      <c r="M1" s="2"/>
    </row>
    <row r="2" spans="1:13" ht="18.75">
      <c r="A2" s="2"/>
      <c r="B2" s="2"/>
      <c r="C2" s="2"/>
      <c r="D2" s="136" t="s">
        <v>1</v>
      </c>
      <c r="E2" s="136"/>
      <c r="F2" s="136"/>
      <c r="G2" s="136"/>
      <c r="H2" s="136"/>
      <c r="I2" s="136"/>
      <c r="J2" s="3"/>
      <c r="K2" s="3"/>
      <c r="L2" s="3"/>
      <c r="M2" s="2"/>
    </row>
    <row r="3" spans="1:13" ht="18.75">
      <c r="A3" s="2"/>
      <c r="B3" s="2"/>
      <c r="C3" s="2"/>
      <c r="D3" s="136" t="s">
        <v>2</v>
      </c>
      <c r="E3" s="136"/>
      <c r="F3" s="136"/>
      <c r="G3" s="136"/>
      <c r="H3" s="136"/>
      <c r="I3" s="136"/>
      <c r="J3" s="3"/>
      <c r="K3" s="3"/>
      <c r="L3" s="3"/>
      <c r="M3" s="2"/>
    </row>
    <row r="4" spans="1:13" ht="18.75">
      <c r="A4" s="2"/>
      <c r="B4" s="2"/>
      <c r="C4" s="2"/>
      <c r="D4" s="69"/>
      <c r="E4" s="69"/>
      <c r="F4" s="69"/>
      <c r="G4" s="69"/>
      <c r="H4" s="69"/>
      <c r="I4" s="4"/>
      <c r="J4" s="3"/>
      <c r="K4" s="3"/>
      <c r="L4" s="3"/>
      <c r="M4" s="2"/>
    </row>
    <row r="5" spans="1:13" ht="37.5">
      <c r="A5" s="2"/>
      <c r="B5" s="2"/>
      <c r="C5" s="2"/>
      <c r="D5" s="2"/>
      <c r="E5" s="2"/>
      <c r="F5" s="2"/>
      <c r="G5" s="2"/>
      <c r="H5" s="2"/>
      <c r="I5" s="17" t="s">
        <v>3</v>
      </c>
      <c r="J5" s="17" t="s">
        <v>4</v>
      </c>
      <c r="K5" s="17" t="s">
        <v>5</v>
      </c>
      <c r="L5" s="17" t="s">
        <v>6</v>
      </c>
      <c r="M5" s="17" t="s">
        <v>7</v>
      </c>
    </row>
    <row r="6" spans="1:13" ht="18.75">
      <c r="A6" s="2"/>
      <c r="B6" s="2"/>
      <c r="C6" s="2"/>
      <c r="D6" s="2"/>
      <c r="E6" s="2"/>
      <c r="F6" s="2"/>
      <c r="G6" s="2"/>
      <c r="H6" s="2"/>
      <c r="I6" s="5"/>
      <c r="J6" s="5"/>
      <c r="K6" s="5"/>
      <c r="L6" s="5"/>
      <c r="M6" s="2"/>
    </row>
    <row r="7" spans="1:13" ht="18.75">
      <c r="A7" s="1" t="s">
        <v>8</v>
      </c>
      <c r="B7" s="1"/>
      <c r="C7" s="1"/>
      <c r="D7" s="1"/>
      <c r="E7" s="1"/>
      <c r="F7" s="1"/>
      <c r="G7" s="2"/>
      <c r="H7" s="2"/>
      <c r="I7" s="3"/>
      <c r="J7" s="3"/>
      <c r="K7" s="3"/>
      <c r="L7" s="3"/>
      <c r="M7" s="2"/>
    </row>
    <row r="8" spans="1:13" ht="18.75">
      <c r="A8" s="1"/>
      <c r="B8" s="1" t="s">
        <v>9</v>
      </c>
      <c r="C8" s="1"/>
      <c r="D8" s="1"/>
      <c r="E8" s="1"/>
      <c r="F8" s="1"/>
      <c r="G8" s="2"/>
      <c r="H8" s="2"/>
      <c r="I8" s="3"/>
      <c r="J8" s="3"/>
      <c r="K8" s="3"/>
      <c r="L8" s="3"/>
      <c r="M8" s="2"/>
    </row>
    <row r="9" spans="1:13" ht="18.75">
      <c r="A9" s="2"/>
      <c r="B9" s="2"/>
      <c r="C9" s="2" t="s">
        <v>93</v>
      </c>
      <c r="D9" s="2"/>
      <c r="E9" s="2"/>
      <c r="F9" s="2"/>
      <c r="G9" s="2"/>
      <c r="H9" s="2"/>
      <c r="I9" s="3">
        <v>17550185</v>
      </c>
      <c r="J9" s="3">
        <v>472081</v>
      </c>
      <c r="K9" s="3">
        <v>0</v>
      </c>
      <c r="L9" s="3">
        <f>SUM(I9:K9)</f>
        <v>18022266</v>
      </c>
      <c r="M9" s="3">
        <f>SUM(L9)</f>
        <v>18022266</v>
      </c>
    </row>
    <row r="10" spans="1:13" ht="18.75">
      <c r="A10" s="2"/>
      <c r="B10" s="2"/>
      <c r="C10" s="2" t="s">
        <v>11</v>
      </c>
      <c r="D10" s="2"/>
      <c r="E10" s="2"/>
      <c r="F10" s="2"/>
      <c r="G10" s="2"/>
      <c r="H10" s="2"/>
      <c r="I10" s="3">
        <v>17829886</v>
      </c>
      <c r="J10" s="3">
        <v>10772487</v>
      </c>
      <c r="K10" s="3">
        <v>-21223434</v>
      </c>
      <c r="L10" s="3">
        <f>SUM(I10:K10)</f>
        <v>7378939</v>
      </c>
      <c r="M10" s="3">
        <f>SUM(L10)</f>
        <v>7378939</v>
      </c>
    </row>
    <row r="11" spans="1:13" ht="18.75">
      <c r="A11" s="2"/>
      <c r="B11" s="2"/>
      <c r="C11" s="2" t="s">
        <v>94</v>
      </c>
      <c r="D11" s="2"/>
      <c r="E11" s="2"/>
      <c r="F11" s="2"/>
      <c r="G11" s="2"/>
      <c r="H11" s="2"/>
      <c r="I11" s="6">
        <v>383317282</v>
      </c>
      <c r="J11" s="6">
        <v>12100142</v>
      </c>
      <c r="K11" s="6"/>
      <c r="L11" s="6">
        <v>395417424</v>
      </c>
      <c r="M11" s="3">
        <f>SUM(L11)</f>
        <v>395417424</v>
      </c>
    </row>
    <row r="12" spans="1:13" ht="18.75">
      <c r="A12" s="2"/>
      <c r="B12" s="2"/>
      <c r="C12" s="2"/>
      <c r="D12" s="2"/>
      <c r="E12" s="2"/>
      <c r="F12" s="2"/>
      <c r="G12" s="2"/>
      <c r="H12" s="2"/>
      <c r="I12" s="3"/>
      <c r="J12" s="3"/>
      <c r="K12" s="3"/>
      <c r="L12" s="3"/>
      <c r="M12" s="2"/>
    </row>
    <row r="13" spans="1:13" ht="18.75">
      <c r="A13" s="1"/>
      <c r="B13" s="1"/>
      <c r="C13" s="1"/>
      <c r="D13" s="1" t="s">
        <v>12</v>
      </c>
      <c r="E13" s="1"/>
      <c r="F13" s="1"/>
      <c r="G13" s="1"/>
      <c r="H13" s="1"/>
      <c r="I13" s="7">
        <f>SUM(I8:I11)</f>
        <v>418697353</v>
      </c>
      <c r="J13" s="7">
        <f>SUM(J8:J11)</f>
        <v>23344710</v>
      </c>
      <c r="K13" s="7">
        <f>SUM(K8:K11)</f>
        <v>-21223434</v>
      </c>
      <c r="L13" s="7">
        <f>SUM(L8:L11)</f>
        <v>420818629</v>
      </c>
      <c r="M13" s="1"/>
    </row>
    <row r="14" spans="1:13" ht="18.75">
      <c r="A14" s="2"/>
      <c r="B14" s="2"/>
      <c r="C14" s="2"/>
      <c r="D14" s="2"/>
      <c r="E14" s="2"/>
      <c r="F14" s="2"/>
      <c r="G14" s="2"/>
      <c r="H14" s="2"/>
      <c r="I14" s="3"/>
      <c r="J14" s="3"/>
      <c r="K14" s="3"/>
      <c r="L14" s="3"/>
      <c r="M14" s="2"/>
    </row>
    <row r="15" spans="1:13" ht="18.75">
      <c r="A15" s="1" t="s">
        <v>13</v>
      </c>
      <c r="B15" s="2"/>
      <c r="C15" s="2"/>
      <c r="D15" s="2"/>
      <c r="E15" s="2"/>
      <c r="F15" s="2"/>
      <c r="G15" s="2"/>
      <c r="H15" s="2"/>
      <c r="I15" s="3"/>
      <c r="J15" s="3"/>
      <c r="K15" s="3"/>
      <c r="L15" s="3"/>
      <c r="M15" s="2"/>
    </row>
    <row r="16" spans="1:13" ht="18.75">
      <c r="A16" s="2"/>
      <c r="B16" s="2" t="s">
        <v>71</v>
      </c>
      <c r="C16" s="2"/>
      <c r="D16" s="2"/>
      <c r="E16" s="2"/>
      <c r="F16" s="2"/>
      <c r="G16" s="2"/>
      <c r="H16" s="2"/>
      <c r="I16" s="3">
        <v>127634796</v>
      </c>
      <c r="J16" s="3">
        <v>5493622</v>
      </c>
      <c r="K16" s="3">
        <v>0</v>
      </c>
      <c r="L16" s="3">
        <f>SUM(I16:K16)</f>
        <v>133128418</v>
      </c>
      <c r="M16" s="2"/>
    </row>
    <row r="17" spans="1:13" ht="18.75">
      <c r="A17" s="2"/>
      <c r="B17" s="2" t="s">
        <v>95</v>
      </c>
      <c r="C17" s="2"/>
      <c r="D17" s="2"/>
      <c r="E17" s="2"/>
      <c r="F17" s="2"/>
      <c r="G17" s="2"/>
      <c r="H17" s="2"/>
      <c r="I17" s="3">
        <v>32517962</v>
      </c>
      <c r="J17" s="3">
        <v>4282860</v>
      </c>
      <c r="K17" s="3">
        <v>-2479025</v>
      </c>
      <c r="L17" s="3">
        <f t="shared" ref="L17:L18" si="0">SUM(I17:K17)</f>
        <v>34321797</v>
      </c>
      <c r="M17" s="2"/>
    </row>
    <row r="18" spans="1:13" ht="18.75">
      <c r="A18" s="2"/>
      <c r="B18" s="2" t="s">
        <v>96</v>
      </c>
      <c r="C18" s="2"/>
      <c r="D18" s="2"/>
      <c r="E18" s="2"/>
      <c r="F18" s="2"/>
      <c r="G18" s="2"/>
      <c r="H18" s="2"/>
      <c r="I18" s="6">
        <v>11812642</v>
      </c>
      <c r="J18" s="6">
        <v>2520325</v>
      </c>
      <c r="K18" s="6"/>
      <c r="L18" s="6">
        <f t="shared" si="0"/>
        <v>14332967</v>
      </c>
      <c r="M18" s="2"/>
    </row>
    <row r="19" spans="1:13" ht="18.75">
      <c r="A19" s="2"/>
      <c r="B19" s="2"/>
      <c r="C19" s="2"/>
      <c r="D19" s="2"/>
      <c r="E19" s="2"/>
      <c r="F19" s="2"/>
      <c r="G19" s="2"/>
      <c r="H19" s="2"/>
      <c r="I19" s="3"/>
      <c r="J19" s="3"/>
      <c r="K19" s="3"/>
      <c r="L19" s="3"/>
      <c r="M19" s="2"/>
    </row>
    <row r="20" spans="1:13" ht="18.75">
      <c r="A20" s="1"/>
      <c r="B20" s="1"/>
      <c r="C20" s="1"/>
      <c r="D20" s="1" t="s">
        <v>18</v>
      </c>
      <c r="E20" s="1"/>
      <c r="F20" s="1"/>
      <c r="G20" s="1"/>
      <c r="H20" s="1"/>
      <c r="I20" s="32">
        <f>SUM(I16:I19)</f>
        <v>171965400</v>
      </c>
      <c r="J20" s="32">
        <f>SUM(J16:J19)</f>
        <v>12296807</v>
      </c>
      <c r="K20" s="32">
        <f>SUM(K16:K19)</f>
        <v>-2479025</v>
      </c>
      <c r="L20" s="32">
        <f>SUM(L16:L18)</f>
        <v>181783182</v>
      </c>
      <c r="M20" s="1"/>
    </row>
    <row r="21" spans="1:13" ht="18.75">
      <c r="A21" s="2"/>
      <c r="B21" s="2"/>
      <c r="C21" s="2"/>
      <c r="D21" s="2"/>
      <c r="E21" s="2"/>
      <c r="F21" s="2"/>
      <c r="G21" s="2"/>
      <c r="H21" s="2"/>
      <c r="I21" s="3"/>
      <c r="J21" s="3"/>
      <c r="K21" s="3"/>
      <c r="L21" s="3"/>
      <c r="M21" s="2"/>
    </row>
    <row r="22" spans="1:13" ht="18.75">
      <c r="A22" s="2" t="s">
        <v>19</v>
      </c>
      <c r="B22" s="2"/>
      <c r="C22" s="2"/>
      <c r="D22" s="2"/>
      <c r="E22" s="2"/>
      <c r="F22" s="2"/>
      <c r="G22" s="2"/>
      <c r="H22" s="2"/>
      <c r="I22" s="3"/>
      <c r="J22" s="3"/>
      <c r="K22" s="3"/>
      <c r="L22" s="3"/>
      <c r="M22" s="2"/>
    </row>
    <row r="23" spans="1:13" ht="18.75">
      <c r="A23" s="2"/>
      <c r="B23" s="2" t="s">
        <v>71</v>
      </c>
      <c r="C23" s="2"/>
      <c r="D23" s="2"/>
      <c r="E23" s="2"/>
      <c r="F23" s="2"/>
      <c r="G23" s="2"/>
      <c r="H23" s="2"/>
      <c r="I23" s="3">
        <v>-55088300</v>
      </c>
      <c r="J23" s="3">
        <v>-3398276</v>
      </c>
      <c r="K23" s="3">
        <v>0</v>
      </c>
      <c r="L23" s="3">
        <f>SUM(I23:K23)</f>
        <v>-58486576</v>
      </c>
      <c r="M23" s="3">
        <f>SUM(L23,L16)</f>
        <v>74641842</v>
      </c>
    </row>
    <row r="24" spans="1:13" ht="18.75">
      <c r="A24" s="2"/>
      <c r="B24" s="2" t="s">
        <v>95</v>
      </c>
      <c r="C24" s="2"/>
      <c r="D24" s="2"/>
      <c r="E24" s="2"/>
      <c r="F24" s="2"/>
      <c r="G24" s="2"/>
      <c r="H24" s="2"/>
      <c r="I24" s="3">
        <v>-20643251</v>
      </c>
      <c r="J24" s="3">
        <v>-2810525</v>
      </c>
      <c r="K24" s="3">
        <v>2373838</v>
      </c>
      <c r="L24" s="3">
        <f t="shared" ref="L24:L25" si="1">SUM(I24:K24)</f>
        <v>-21079938</v>
      </c>
      <c r="M24" s="3">
        <f>SUM(L24,L17)</f>
        <v>13241859</v>
      </c>
    </row>
    <row r="25" spans="1:13" ht="18.75">
      <c r="A25" s="2"/>
      <c r="B25" s="2" t="s">
        <v>96</v>
      </c>
      <c r="C25" s="2"/>
      <c r="D25" s="2"/>
      <c r="E25" s="2"/>
      <c r="F25" s="2"/>
      <c r="G25" s="2"/>
      <c r="H25" s="2"/>
      <c r="I25" s="3">
        <v>-3897003</v>
      </c>
      <c r="J25" s="3">
        <v>-330103</v>
      </c>
      <c r="K25" s="3"/>
      <c r="L25" s="3">
        <f t="shared" si="1"/>
        <v>-4227106</v>
      </c>
      <c r="M25" s="3">
        <f>SUM(L25,L18)</f>
        <v>10105861</v>
      </c>
    </row>
    <row r="26" spans="1:13" ht="18.75">
      <c r="A26" s="2"/>
      <c r="B26" s="2"/>
      <c r="C26" s="2"/>
      <c r="D26" s="2"/>
      <c r="E26" s="2"/>
      <c r="F26" s="2"/>
      <c r="G26" s="2"/>
      <c r="H26" s="2"/>
      <c r="I26" s="3"/>
      <c r="J26" s="3"/>
      <c r="K26" s="3"/>
      <c r="L26" s="3"/>
      <c r="M26" s="2"/>
    </row>
    <row r="27" spans="1:13" ht="18.75">
      <c r="A27" s="1"/>
      <c r="B27" s="1"/>
      <c r="C27" s="1"/>
      <c r="D27" s="1" t="s">
        <v>20</v>
      </c>
      <c r="E27" s="1"/>
      <c r="F27" s="1"/>
      <c r="G27" s="1"/>
      <c r="H27" s="1"/>
      <c r="I27" s="7">
        <f>SUM(I23:I26)</f>
        <v>-79628554</v>
      </c>
      <c r="J27" s="7">
        <f>SUM(J23:J26)</f>
        <v>-6538904</v>
      </c>
      <c r="K27" s="7">
        <f>SUM(K23:K26)</f>
        <v>2373838</v>
      </c>
      <c r="L27" s="7">
        <f>SUM(L23:L26)</f>
        <v>-83793620</v>
      </c>
      <c r="M27" s="1"/>
    </row>
    <row r="28" spans="1:13" ht="18.75">
      <c r="A28" s="2"/>
      <c r="B28" s="2"/>
      <c r="C28" s="2"/>
      <c r="D28" s="2"/>
      <c r="E28" s="2"/>
      <c r="F28" s="2"/>
      <c r="G28" s="2"/>
      <c r="H28" s="2"/>
      <c r="I28" s="3"/>
      <c r="J28" s="3"/>
      <c r="K28" s="3"/>
      <c r="L28" s="3"/>
      <c r="M28" s="2"/>
    </row>
    <row r="29" spans="1:13" ht="18.75">
      <c r="A29" s="1"/>
      <c r="B29" s="1" t="s">
        <v>21</v>
      </c>
      <c r="C29" s="1"/>
      <c r="D29" s="1"/>
      <c r="E29" s="1"/>
      <c r="F29" s="1"/>
      <c r="G29" s="1"/>
      <c r="H29" s="1"/>
      <c r="I29" s="7">
        <f>I20+I27</f>
        <v>92336846</v>
      </c>
      <c r="J29" s="7">
        <f>J20+J27</f>
        <v>5757903</v>
      </c>
      <c r="K29" s="7">
        <f>K20+K27</f>
        <v>-105187</v>
      </c>
      <c r="L29" s="7">
        <f>L20+L27</f>
        <v>97989562</v>
      </c>
      <c r="M29" s="1"/>
    </row>
    <row r="30" spans="1:13" ht="18.75">
      <c r="A30" s="2"/>
      <c r="B30" s="2"/>
      <c r="C30" s="2"/>
      <c r="D30" s="2"/>
      <c r="E30" s="2"/>
      <c r="F30" s="2"/>
      <c r="G30" s="2"/>
      <c r="H30" s="2"/>
      <c r="I30" s="3"/>
      <c r="J30" s="3"/>
      <c r="K30" s="3"/>
      <c r="L30" s="3"/>
      <c r="M30" s="2"/>
    </row>
    <row r="31" spans="1:13" ht="18.75">
      <c r="A31" s="2"/>
      <c r="B31" s="1" t="s">
        <v>22</v>
      </c>
      <c r="C31" s="2"/>
      <c r="D31" s="2"/>
      <c r="E31" s="2"/>
      <c r="F31" s="2"/>
      <c r="G31" s="2"/>
      <c r="H31" s="2"/>
      <c r="I31" s="9">
        <f>I27+I20+I13</f>
        <v>511034199</v>
      </c>
      <c r="J31" s="9">
        <f>J27+J20+J13</f>
        <v>29102613</v>
      </c>
      <c r="K31" s="9">
        <f>K27+K20+K13</f>
        <v>-21328621</v>
      </c>
      <c r="L31" s="9">
        <f>L27+L20+L13</f>
        <v>518808191</v>
      </c>
      <c r="M31" s="3">
        <f>SUM(L31, L22)</f>
        <v>518808191</v>
      </c>
    </row>
    <row r="32" spans="1:13" ht="19.5" customHeight="1">
      <c r="A32" s="2"/>
      <c r="B32" s="2"/>
      <c r="C32" s="2"/>
      <c r="D32" s="2"/>
      <c r="E32" s="2"/>
      <c r="F32" s="2"/>
      <c r="G32" s="2"/>
      <c r="H32" s="2"/>
      <c r="I32" s="3"/>
      <c r="J32" s="3"/>
      <c r="K32" s="3"/>
      <c r="L32" s="3"/>
      <c r="M32" s="2"/>
    </row>
    <row r="33" spans="1:16" ht="51.75" customHeight="1">
      <c r="A33" s="2"/>
      <c r="B33" s="138" t="s">
        <v>97</v>
      </c>
      <c r="C33" s="138"/>
      <c r="D33" s="138"/>
      <c r="E33" s="138"/>
      <c r="F33" s="138"/>
      <c r="G33" s="138"/>
      <c r="H33" s="138"/>
      <c r="I33" s="138"/>
      <c r="J33" s="138"/>
      <c r="K33" s="138"/>
      <c r="L33" s="3"/>
      <c r="M33" s="2"/>
    </row>
    <row r="34" spans="1:16" ht="310.5" customHeight="1">
      <c r="A34" s="2"/>
      <c r="B34" s="137" t="s">
        <v>98</v>
      </c>
      <c r="C34" s="137"/>
      <c r="D34" s="137"/>
      <c r="E34" s="137"/>
      <c r="F34" s="137"/>
      <c r="G34" s="137"/>
      <c r="H34" s="137"/>
      <c r="I34" s="137"/>
      <c r="J34" s="137"/>
      <c r="K34" s="137"/>
      <c r="L34" s="137"/>
      <c r="M34" s="137"/>
      <c r="N34" s="137"/>
      <c r="O34" s="137"/>
      <c r="P34" s="137"/>
    </row>
    <row r="35" spans="1:16" ht="18.75">
      <c r="A35" s="2"/>
      <c r="B35" s="2"/>
      <c r="C35" s="2"/>
      <c r="D35" s="2"/>
      <c r="E35" s="2"/>
      <c r="F35" s="2"/>
      <c r="G35" s="2"/>
      <c r="H35" s="2"/>
      <c r="I35" s="3"/>
      <c r="J35" s="3"/>
      <c r="K35" s="3"/>
      <c r="L35" s="3"/>
      <c r="M35" s="2"/>
    </row>
    <row r="36" spans="1:16" ht="37.5">
      <c r="A36" s="2"/>
      <c r="B36" s="2"/>
      <c r="C36" s="2"/>
      <c r="D36" s="2"/>
      <c r="E36" s="2"/>
      <c r="F36" s="2"/>
      <c r="G36" s="2"/>
      <c r="H36" s="2"/>
      <c r="I36" s="17" t="s">
        <v>3</v>
      </c>
      <c r="J36" s="17" t="s">
        <v>4</v>
      </c>
      <c r="K36" s="17" t="s">
        <v>5</v>
      </c>
      <c r="L36" s="17" t="s">
        <v>6</v>
      </c>
      <c r="M36" s="2"/>
    </row>
    <row r="37" spans="1:16" ht="18.75">
      <c r="A37" s="1" t="s">
        <v>35</v>
      </c>
      <c r="B37" s="1"/>
      <c r="C37" s="1"/>
      <c r="D37" s="1"/>
      <c r="E37" s="1"/>
      <c r="F37" s="1"/>
      <c r="G37" s="2"/>
      <c r="H37" s="2"/>
      <c r="I37" s="3"/>
      <c r="J37" s="3"/>
      <c r="K37" s="3"/>
      <c r="L37" s="3"/>
      <c r="M37" s="2"/>
    </row>
    <row r="38" spans="1:16" ht="18.75">
      <c r="A38" s="1"/>
      <c r="B38" s="1" t="s">
        <v>9</v>
      </c>
      <c r="C38" s="1"/>
      <c r="D38" s="1"/>
      <c r="E38" s="1"/>
      <c r="F38" s="1"/>
      <c r="G38" s="2"/>
      <c r="H38" s="2"/>
      <c r="I38" s="3"/>
      <c r="J38" s="3"/>
      <c r="K38" s="3"/>
      <c r="L38" s="3"/>
      <c r="M38" s="2"/>
    </row>
    <row r="39" spans="1:16" ht="18.75">
      <c r="A39" s="2"/>
      <c r="B39" s="2"/>
      <c r="C39" s="2" t="s">
        <v>10</v>
      </c>
      <c r="D39" s="2"/>
      <c r="E39" s="2"/>
      <c r="F39" s="2"/>
      <c r="G39" s="2"/>
      <c r="H39" s="2"/>
      <c r="I39" s="3">
        <v>227920</v>
      </c>
      <c r="J39" s="3">
        <v>0</v>
      </c>
      <c r="K39" s="3">
        <v>0</v>
      </c>
      <c r="L39" s="3">
        <f>SUM(I39:K39)</f>
        <v>227920</v>
      </c>
      <c r="M39" s="3">
        <f>SUM(L39)</f>
        <v>227920</v>
      </c>
    </row>
    <row r="40" spans="1:16" ht="18.75">
      <c r="A40" s="2"/>
      <c r="B40" s="2"/>
      <c r="C40" s="2" t="s">
        <v>11</v>
      </c>
      <c r="D40" s="2"/>
      <c r="E40" s="2"/>
      <c r="F40" s="2"/>
      <c r="G40" s="2"/>
      <c r="H40" s="2"/>
      <c r="I40" s="6">
        <v>718820</v>
      </c>
      <c r="J40" s="6">
        <v>24850</v>
      </c>
      <c r="K40" s="6">
        <v>-718820</v>
      </c>
      <c r="L40" s="6">
        <f>SUM(I40:K40)</f>
        <v>24850</v>
      </c>
      <c r="M40" s="3">
        <f>SUM(L40)</f>
        <v>24850</v>
      </c>
    </row>
    <row r="41" spans="1:16" ht="18.75">
      <c r="A41" s="2"/>
      <c r="B41" s="2"/>
      <c r="C41" s="2"/>
      <c r="D41" s="2"/>
      <c r="E41" s="2"/>
      <c r="F41" s="2"/>
      <c r="G41" s="2"/>
      <c r="H41" s="2"/>
      <c r="I41" s="3"/>
      <c r="J41" s="3"/>
      <c r="K41" s="3"/>
      <c r="L41" s="3"/>
      <c r="M41" s="2"/>
    </row>
    <row r="42" spans="1:16" ht="18.75">
      <c r="A42" s="1"/>
      <c r="B42" s="1"/>
      <c r="C42" s="1"/>
      <c r="D42" s="1" t="s">
        <v>12</v>
      </c>
      <c r="E42" s="1"/>
      <c r="F42" s="1"/>
      <c r="G42" s="1"/>
      <c r="H42" s="1"/>
      <c r="I42" s="7">
        <f>SUM(I38:I41)</f>
        <v>946740</v>
      </c>
      <c r="J42" s="7">
        <f>SUM(J38:J41)</f>
        <v>24850</v>
      </c>
      <c r="K42" s="7">
        <f>SUM(K38:K41)</f>
        <v>-718820</v>
      </c>
      <c r="L42" s="7">
        <f>SUM(L38:L41)</f>
        <v>252770</v>
      </c>
      <c r="M42" s="2"/>
    </row>
    <row r="43" spans="1:16" ht="18.75">
      <c r="A43" s="2"/>
      <c r="B43" s="2"/>
      <c r="C43" s="2"/>
      <c r="D43" s="2"/>
      <c r="E43" s="2"/>
      <c r="F43" s="2"/>
      <c r="G43" s="2"/>
      <c r="H43" s="2"/>
      <c r="I43" s="3"/>
      <c r="J43" s="3"/>
      <c r="K43" s="3"/>
      <c r="L43" s="3"/>
      <c r="M43" s="2"/>
    </row>
    <row r="44" spans="1:16" ht="18.75">
      <c r="A44" s="2"/>
      <c r="B44" s="1" t="s">
        <v>36</v>
      </c>
      <c r="C44" s="2"/>
      <c r="D44" s="2"/>
      <c r="E44" s="2"/>
      <c r="F44" s="2"/>
      <c r="G44" s="2"/>
      <c r="H44" s="2"/>
      <c r="I44" s="3"/>
      <c r="J44" s="3"/>
      <c r="K44" s="3"/>
      <c r="L44" s="3"/>
      <c r="M44" s="2"/>
    </row>
    <row r="45" spans="1:16" ht="18.75">
      <c r="A45" s="2"/>
      <c r="B45" s="2"/>
      <c r="C45" s="2" t="s">
        <v>99</v>
      </c>
      <c r="D45" s="2"/>
      <c r="E45" s="2"/>
      <c r="F45" s="2"/>
      <c r="G45" s="2"/>
      <c r="H45" s="2"/>
      <c r="I45" s="3">
        <v>10218419</v>
      </c>
      <c r="J45" s="3">
        <v>203342</v>
      </c>
      <c r="K45" s="3">
        <v>0</v>
      </c>
      <c r="L45" s="3">
        <f>SUM(I45:K45)</f>
        <v>10421761</v>
      </c>
      <c r="M45" s="2"/>
    </row>
    <row r="46" spans="1:16" ht="18.75">
      <c r="A46" s="2"/>
      <c r="B46" s="2"/>
      <c r="C46" s="2" t="s">
        <v>100</v>
      </c>
      <c r="D46" s="2"/>
      <c r="E46" s="2"/>
      <c r="F46" s="2"/>
      <c r="G46" s="2"/>
      <c r="H46" s="2"/>
      <c r="I46" s="3">
        <v>103393</v>
      </c>
      <c r="J46" s="3"/>
      <c r="K46" s="3">
        <v>0</v>
      </c>
      <c r="L46" s="3">
        <f t="shared" ref="L46:L47" si="2">SUM(I46:K46)</f>
        <v>103393</v>
      </c>
      <c r="M46" s="2"/>
    </row>
    <row r="47" spans="1:16" ht="18.75">
      <c r="A47" s="2"/>
      <c r="B47" s="2"/>
      <c r="C47" s="2" t="s">
        <v>17</v>
      </c>
      <c r="D47" s="2"/>
      <c r="E47" s="2"/>
      <c r="F47" s="2"/>
      <c r="G47" s="2"/>
      <c r="H47" s="2"/>
      <c r="I47" s="3">
        <v>3120287</v>
      </c>
      <c r="J47" s="3">
        <v>742479</v>
      </c>
      <c r="K47" s="3">
        <v>0</v>
      </c>
      <c r="L47" s="3">
        <f t="shared" si="2"/>
        <v>3862766</v>
      </c>
      <c r="M47" s="2"/>
    </row>
    <row r="48" spans="1:16" ht="18.75">
      <c r="A48" s="2"/>
      <c r="B48" s="2"/>
      <c r="C48" s="2" t="s">
        <v>101</v>
      </c>
      <c r="D48" s="2"/>
      <c r="E48" s="2"/>
      <c r="F48" s="2"/>
      <c r="G48" s="2"/>
      <c r="H48" s="2"/>
      <c r="I48" s="3">
        <v>243565</v>
      </c>
      <c r="J48" s="3">
        <v>6451</v>
      </c>
      <c r="K48" s="3"/>
      <c r="L48" s="3">
        <v>250016</v>
      </c>
      <c r="M48" s="2"/>
    </row>
    <row r="49" spans="1:13" ht="18.75">
      <c r="A49" s="2"/>
      <c r="B49" s="2"/>
      <c r="C49" s="2"/>
      <c r="D49" s="2"/>
      <c r="E49" s="2"/>
      <c r="F49" s="2"/>
      <c r="G49" s="2"/>
      <c r="H49" s="2"/>
      <c r="I49" s="30"/>
      <c r="J49" s="30"/>
      <c r="K49" s="30"/>
      <c r="L49" s="30"/>
      <c r="M49" s="2"/>
    </row>
    <row r="50" spans="1:13" ht="18.75">
      <c r="A50" s="2"/>
      <c r="B50" s="2"/>
      <c r="C50" s="2"/>
      <c r="D50" s="1" t="s">
        <v>41</v>
      </c>
      <c r="E50" s="1"/>
      <c r="F50" s="1"/>
      <c r="G50" s="1"/>
      <c r="H50" s="2"/>
      <c r="I50" s="15">
        <f>SUM(I44:I48)</f>
        <v>13685664</v>
      </c>
      <c r="J50" s="15">
        <f>SUM(J44:J48)</f>
        <v>952272</v>
      </c>
      <c r="K50" s="15">
        <f t="shared" ref="K50" si="3">SUM(K44:K47)</f>
        <v>0</v>
      </c>
      <c r="L50" s="15">
        <f>SUM(L44:L48)</f>
        <v>14637936</v>
      </c>
      <c r="M50" s="2"/>
    </row>
    <row r="51" spans="1:13" ht="18.75">
      <c r="A51" s="2"/>
      <c r="B51" s="2"/>
      <c r="C51" s="2"/>
      <c r="D51" s="2"/>
      <c r="E51" s="2"/>
      <c r="F51" s="2"/>
      <c r="G51" s="2"/>
      <c r="H51" s="2"/>
      <c r="I51" s="3"/>
      <c r="J51" s="3"/>
      <c r="K51" s="3"/>
      <c r="L51" s="3"/>
      <c r="M51" s="2"/>
    </row>
    <row r="52" spans="1:13" ht="18.75">
      <c r="A52" s="2"/>
      <c r="B52" s="2" t="s">
        <v>19</v>
      </c>
      <c r="C52" s="2"/>
      <c r="D52" s="2"/>
      <c r="E52" s="2"/>
      <c r="F52" s="2"/>
      <c r="G52" s="2"/>
      <c r="H52" s="2"/>
      <c r="I52" s="3"/>
      <c r="J52" s="3"/>
      <c r="K52" s="3"/>
      <c r="L52" s="3"/>
      <c r="M52" s="2"/>
    </row>
    <row r="53" spans="1:13" ht="18.75">
      <c r="A53" s="2"/>
      <c r="B53" s="2"/>
      <c r="C53" s="2" t="s">
        <v>99</v>
      </c>
      <c r="D53" s="2"/>
      <c r="E53" s="2"/>
      <c r="F53" s="2"/>
      <c r="G53" s="2"/>
      <c r="H53" s="2"/>
      <c r="I53" s="3">
        <v>-3337586</v>
      </c>
      <c r="J53" s="3">
        <v>-285648</v>
      </c>
      <c r="K53" s="3"/>
      <c r="L53" s="3">
        <f>SUM(I53:K53)</f>
        <v>-3623234</v>
      </c>
      <c r="M53" s="3">
        <f>SUM(L53,L45)</f>
        <v>6798527</v>
      </c>
    </row>
    <row r="54" spans="1:13" ht="18.75">
      <c r="A54" s="2"/>
      <c r="B54" s="2"/>
      <c r="C54" s="2" t="s">
        <v>100</v>
      </c>
      <c r="D54" s="2"/>
      <c r="E54" s="2"/>
      <c r="F54" s="2"/>
      <c r="G54" s="2"/>
      <c r="H54" s="2"/>
      <c r="I54" s="3">
        <v>-83073</v>
      </c>
      <c r="J54" s="3">
        <v>-2202</v>
      </c>
      <c r="K54" s="3"/>
      <c r="L54" s="3">
        <f t="shared" ref="L54:L55" si="4">SUM(I54:K54)</f>
        <v>-85275</v>
      </c>
      <c r="M54" s="3">
        <f>SUM(L54,L46)</f>
        <v>18118</v>
      </c>
    </row>
    <row r="55" spans="1:13" ht="18.75">
      <c r="A55" s="2"/>
      <c r="B55" s="2"/>
      <c r="C55" s="2" t="s">
        <v>17</v>
      </c>
      <c r="D55" s="2"/>
      <c r="E55" s="2"/>
      <c r="F55" s="2"/>
      <c r="G55" s="2"/>
      <c r="H55" s="2"/>
      <c r="I55" s="3">
        <v>-1759643</v>
      </c>
      <c r="J55" s="3">
        <v>-139980</v>
      </c>
      <c r="K55" s="3"/>
      <c r="L55" s="3">
        <f t="shared" si="4"/>
        <v>-1899623</v>
      </c>
      <c r="M55" s="3">
        <f>SUM(L55,L47)</f>
        <v>1963143</v>
      </c>
    </row>
    <row r="56" spans="1:13" ht="18.75">
      <c r="A56" s="2"/>
      <c r="B56" s="2"/>
      <c r="C56" s="2" t="s">
        <v>101</v>
      </c>
      <c r="D56" s="2"/>
      <c r="E56" s="2"/>
      <c r="F56" s="2"/>
      <c r="G56" s="2"/>
      <c r="H56" s="2"/>
      <c r="I56" s="3">
        <v>-204843</v>
      </c>
      <c r="J56" s="3">
        <v>-5211</v>
      </c>
      <c r="K56" s="3"/>
      <c r="L56" s="3">
        <v>-210054</v>
      </c>
      <c r="M56" s="3">
        <f>SUM(L56,L48)</f>
        <v>39962</v>
      </c>
    </row>
    <row r="57" spans="1:13" ht="18.75">
      <c r="A57" s="2"/>
      <c r="B57" s="2"/>
      <c r="C57" s="2"/>
      <c r="D57" s="2"/>
      <c r="E57" s="2"/>
      <c r="F57" s="2"/>
      <c r="G57" s="2"/>
      <c r="H57" s="2"/>
      <c r="I57" s="3"/>
      <c r="J57" s="3"/>
      <c r="K57" s="3"/>
      <c r="L57" s="3"/>
      <c r="M57" s="2"/>
    </row>
    <row r="58" spans="1:13" ht="18.75">
      <c r="A58" s="2"/>
      <c r="B58" s="2"/>
      <c r="C58" s="2"/>
      <c r="D58" s="1" t="s">
        <v>20</v>
      </c>
      <c r="E58" s="1"/>
      <c r="F58" s="1"/>
      <c r="G58" s="1"/>
      <c r="H58" s="2"/>
      <c r="I58" s="8">
        <f>SUM(I53:I56)</f>
        <v>-5385145</v>
      </c>
      <c r="J58" s="8">
        <f t="shared" ref="J58:L58" si="5">SUM(J53:J56)</f>
        <v>-433041</v>
      </c>
      <c r="K58" s="8">
        <f t="shared" si="5"/>
        <v>0</v>
      </c>
      <c r="L58" s="8">
        <f t="shared" si="5"/>
        <v>-5818186</v>
      </c>
      <c r="M58" s="2"/>
    </row>
    <row r="59" spans="1:13" ht="18.75">
      <c r="A59" s="2"/>
      <c r="B59" s="2"/>
      <c r="C59" s="2"/>
      <c r="D59" s="1"/>
      <c r="E59" s="1"/>
      <c r="F59" s="1"/>
      <c r="G59" s="1"/>
      <c r="H59" s="2"/>
      <c r="I59" s="3"/>
      <c r="J59" s="3"/>
      <c r="K59" s="3"/>
      <c r="L59" s="3"/>
      <c r="M59" s="2"/>
    </row>
    <row r="60" spans="1:13" ht="18.75">
      <c r="A60" s="2"/>
      <c r="B60" s="2"/>
      <c r="C60" s="2"/>
      <c r="D60" s="1" t="s">
        <v>42</v>
      </c>
      <c r="E60" s="1"/>
      <c r="F60" s="1"/>
      <c r="G60" s="1"/>
      <c r="H60" s="2"/>
      <c r="I60" s="8">
        <f>I50+I58</f>
        <v>8300519</v>
      </c>
      <c r="J60" s="8">
        <f t="shared" ref="J60:L60" si="6">J50+J58</f>
        <v>519231</v>
      </c>
      <c r="K60" s="8">
        <f t="shared" si="6"/>
        <v>0</v>
      </c>
      <c r="L60" s="8">
        <f t="shared" si="6"/>
        <v>8819750</v>
      </c>
      <c r="M60" s="2"/>
    </row>
    <row r="61" spans="1:13" ht="18.75">
      <c r="A61" s="2"/>
      <c r="B61" s="2"/>
      <c r="C61" s="2"/>
      <c r="D61" s="1"/>
      <c r="E61" s="1"/>
      <c r="F61" s="1"/>
      <c r="G61" s="1"/>
      <c r="H61" s="2"/>
      <c r="I61" s="3"/>
      <c r="J61" s="3"/>
      <c r="K61" s="3"/>
      <c r="L61" s="3"/>
      <c r="M61" s="2"/>
    </row>
    <row r="62" spans="1:13" ht="18.75">
      <c r="A62" s="2"/>
      <c r="B62" s="2"/>
      <c r="C62" s="2"/>
      <c r="D62" s="1" t="s">
        <v>43</v>
      </c>
      <c r="E62" s="1"/>
      <c r="F62" s="1"/>
      <c r="G62" s="1"/>
      <c r="H62" s="2"/>
      <c r="I62" s="9">
        <f>I60+I42</f>
        <v>9247259</v>
      </c>
      <c r="J62" s="9">
        <f t="shared" ref="J62:L62" si="7">J60+J42</f>
        <v>544081</v>
      </c>
      <c r="K62" s="9">
        <f t="shared" si="7"/>
        <v>-718820</v>
      </c>
      <c r="L62" s="9">
        <f t="shared" si="7"/>
        <v>9072520</v>
      </c>
      <c r="M62" s="3">
        <f>SUM(M53:M56,M39:M40)</f>
        <v>9072520</v>
      </c>
    </row>
    <row r="63" spans="1:13" ht="18.75">
      <c r="A63" s="2"/>
      <c r="B63" s="2"/>
      <c r="C63" s="2"/>
      <c r="D63" s="2"/>
      <c r="E63" s="2"/>
      <c r="F63" s="2"/>
      <c r="G63" s="2"/>
      <c r="H63" s="2"/>
      <c r="I63" s="3"/>
      <c r="J63" s="3"/>
      <c r="K63" s="3"/>
      <c r="L63" s="3"/>
      <c r="M63" s="2"/>
    </row>
  </sheetData>
  <mergeCells count="5">
    <mergeCell ref="B34:P34"/>
    <mergeCell ref="D1:I1"/>
    <mergeCell ref="D2:I2"/>
    <mergeCell ref="D3:I3"/>
    <mergeCell ref="B33:K33"/>
  </mergeCells>
  <pageMargins left="0.7" right="0.7" top="0.75" bottom="0.75" header="0.3" footer="0.3"/>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40"/>
  <sheetViews>
    <sheetView topLeftCell="A7" zoomScale="85" zoomScaleNormal="85" zoomScalePageLayoutView="85" workbookViewId="0">
      <selection activeCell="N40" sqref="N40"/>
    </sheetView>
  </sheetViews>
  <sheetFormatPr defaultColWidth="8.85546875" defaultRowHeight="15"/>
  <cols>
    <col min="9" max="10" width="19.140625" customWidth="1"/>
    <col min="11" max="11" width="16.42578125" customWidth="1"/>
    <col min="12" max="12" width="16.85546875" customWidth="1"/>
    <col min="13" max="13" width="20" customWidth="1"/>
    <col min="14" max="14" width="17.140625" customWidth="1"/>
  </cols>
  <sheetData>
    <row r="1" spans="1:14" ht="18.75">
      <c r="A1" s="2"/>
      <c r="B1" s="2"/>
      <c r="C1" s="2"/>
      <c r="D1" s="136" t="s">
        <v>102</v>
      </c>
      <c r="E1" s="136"/>
      <c r="F1" s="136"/>
      <c r="G1" s="136"/>
      <c r="H1" s="136"/>
      <c r="I1" s="136"/>
      <c r="J1" s="3"/>
      <c r="K1" s="3"/>
      <c r="L1" s="3"/>
      <c r="M1" s="3"/>
      <c r="N1" s="2"/>
    </row>
    <row r="2" spans="1:14" ht="18.75">
      <c r="A2" s="2"/>
      <c r="B2" s="2"/>
      <c r="C2" s="2"/>
      <c r="D2" s="136" t="s">
        <v>1</v>
      </c>
      <c r="E2" s="136"/>
      <c r="F2" s="136"/>
      <c r="G2" s="136"/>
      <c r="H2" s="136"/>
      <c r="I2" s="136"/>
      <c r="J2" s="3"/>
      <c r="K2" s="3"/>
      <c r="L2" s="3"/>
      <c r="M2" s="3"/>
      <c r="N2" s="2"/>
    </row>
    <row r="3" spans="1:14" ht="18.75">
      <c r="A3" s="2"/>
      <c r="B3" s="2"/>
      <c r="C3" s="2"/>
      <c r="D3" s="136" t="s">
        <v>2</v>
      </c>
      <c r="E3" s="136"/>
      <c r="F3" s="136"/>
      <c r="G3" s="136"/>
      <c r="H3" s="136"/>
      <c r="I3" s="136"/>
      <c r="J3" s="3"/>
      <c r="K3" s="3"/>
      <c r="L3" s="3"/>
      <c r="M3" s="3"/>
      <c r="N3" s="2"/>
    </row>
    <row r="4" spans="1:14" ht="18.75">
      <c r="A4" s="2"/>
      <c r="B4" s="2"/>
      <c r="C4" s="2"/>
      <c r="D4" s="69"/>
      <c r="E4" s="69"/>
      <c r="F4" s="69"/>
      <c r="G4" s="69"/>
      <c r="H4" s="69"/>
      <c r="I4" s="4"/>
      <c r="J4" s="3"/>
      <c r="K4" s="3"/>
      <c r="L4" s="3"/>
      <c r="M4" s="3"/>
      <c r="N4" s="2"/>
    </row>
    <row r="5" spans="1:14" ht="37.5">
      <c r="A5" s="2"/>
      <c r="B5" s="2"/>
      <c r="C5" s="2"/>
      <c r="D5" s="2"/>
      <c r="E5" s="2"/>
      <c r="F5" s="2"/>
      <c r="G5" s="2"/>
      <c r="H5" s="2"/>
      <c r="I5" s="11" t="s">
        <v>3</v>
      </c>
      <c r="J5" s="11" t="s">
        <v>67</v>
      </c>
      <c r="K5" s="11" t="s">
        <v>45</v>
      </c>
      <c r="L5" s="11" t="s">
        <v>46</v>
      </c>
      <c r="M5" s="11" t="s">
        <v>6</v>
      </c>
      <c r="N5" s="11" t="s">
        <v>7</v>
      </c>
    </row>
    <row r="6" spans="1:14" ht="18.75">
      <c r="A6" s="2"/>
      <c r="B6" s="2"/>
      <c r="C6" s="2"/>
      <c r="D6" s="2"/>
      <c r="E6" s="2"/>
      <c r="F6" s="2"/>
      <c r="G6" s="2"/>
      <c r="H6" s="2"/>
      <c r="I6" s="16"/>
      <c r="J6" s="16"/>
      <c r="K6" s="16"/>
      <c r="L6" s="16"/>
      <c r="M6" s="16"/>
      <c r="N6" s="2"/>
    </row>
    <row r="7" spans="1:14" ht="18.75">
      <c r="A7" s="1" t="s">
        <v>49</v>
      </c>
      <c r="B7" s="1"/>
      <c r="C7" s="1"/>
      <c r="D7" s="1"/>
      <c r="E7" s="1"/>
      <c r="F7" s="1"/>
      <c r="G7" s="2"/>
      <c r="H7" s="2"/>
      <c r="I7" s="3"/>
      <c r="J7" s="3"/>
      <c r="K7" s="3"/>
      <c r="L7" s="3"/>
      <c r="M7" s="3"/>
      <c r="N7" s="2"/>
    </row>
    <row r="8" spans="1:14" ht="18.75">
      <c r="A8" s="1" t="s">
        <v>50</v>
      </c>
      <c r="B8" s="1"/>
      <c r="C8" s="1"/>
      <c r="D8" s="1"/>
      <c r="E8" s="1"/>
      <c r="F8" s="1"/>
      <c r="G8" s="2"/>
      <c r="H8" s="2"/>
      <c r="I8" s="3"/>
      <c r="J8" s="3"/>
      <c r="K8" s="3"/>
      <c r="L8" s="3"/>
      <c r="M8" s="3"/>
      <c r="N8" s="2"/>
    </row>
    <row r="9" spans="1:14" ht="18.75">
      <c r="A9" s="1" t="s">
        <v>9</v>
      </c>
      <c r="B9" s="1"/>
      <c r="C9" s="1"/>
      <c r="D9" s="1"/>
      <c r="E9" s="1"/>
      <c r="F9" s="1"/>
      <c r="G9" s="2"/>
      <c r="H9" s="2"/>
      <c r="I9" s="3"/>
      <c r="J9" s="3"/>
      <c r="K9" s="3"/>
      <c r="L9" s="3"/>
      <c r="M9" s="3"/>
      <c r="N9" s="2"/>
    </row>
    <row r="10" spans="1:14" ht="18.75">
      <c r="A10" s="2"/>
      <c r="B10" s="2" t="s">
        <v>10</v>
      </c>
      <c r="C10" s="2"/>
      <c r="D10" s="2"/>
      <c r="E10" s="2"/>
      <c r="F10" s="2"/>
      <c r="G10" s="2"/>
      <c r="H10" s="2"/>
      <c r="I10" s="3">
        <v>420095</v>
      </c>
      <c r="J10" s="3">
        <v>0</v>
      </c>
      <c r="K10" s="3"/>
      <c r="L10" s="3"/>
      <c r="M10" s="3">
        <f>SUM(I10:L10)</f>
        <v>420095</v>
      </c>
      <c r="N10" s="3">
        <f>SUM(M10)</f>
        <v>420095</v>
      </c>
    </row>
    <row r="11" spans="1:14" ht="18.75">
      <c r="A11" s="2"/>
      <c r="B11" s="2" t="s">
        <v>11</v>
      </c>
      <c r="C11" s="2"/>
      <c r="D11" s="2"/>
      <c r="E11" s="2"/>
      <c r="F11" s="2"/>
      <c r="G11" s="2"/>
      <c r="H11" s="2"/>
      <c r="I11" s="3">
        <v>7932354</v>
      </c>
      <c r="J11" s="3">
        <v>-797615</v>
      </c>
      <c r="K11" s="3">
        <v>3419059</v>
      </c>
      <c r="L11" s="3">
        <v>-17920</v>
      </c>
      <c r="M11" s="3">
        <f>SUM(I11:L11)</f>
        <v>10535878</v>
      </c>
      <c r="N11" s="3">
        <f>SUM(M11)</f>
        <v>10535878</v>
      </c>
    </row>
    <row r="12" spans="1:14" ht="18.75">
      <c r="A12" s="1"/>
      <c r="B12" s="1"/>
      <c r="C12" s="1" t="s">
        <v>68</v>
      </c>
      <c r="D12" s="1"/>
      <c r="E12" s="1"/>
      <c r="F12" s="1"/>
      <c r="G12" s="1"/>
      <c r="H12" s="1"/>
      <c r="I12" s="12">
        <v>8352449</v>
      </c>
      <c r="J12" s="12">
        <f t="shared" ref="J12:M12" si="0">SUM(J10:J11)</f>
        <v>-797615</v>
      </c>
      <c r="K12" s="12">
        <f t="shared" si="0"/>
        <v>3419059</v>
      </c>
      <c r="L12" s="12">
        <f t="shared" si="0"/>
        <v>-17920</v>
      </c>
      <c r="M12" s="12">
        <f t="shared" si="0"/>
        <v>10955973</v>
      </c>
      <c r="N12" s="1"/>
    </row>
    <row r="13" spans="1:14" ht="18.75">
      <c r="A13" s="2"/>
      <c r="B13" s="2"/>
      <c r="C13" s="2"/>
      <c r="D13" s="2"/>
      <c r="E13" s="2"/>
      <c r="F13" s="2"/>
      <c r="G13" s="2"/>
      <c r="H13" s="2"/>
      <c r="I13" s="3"/>
      <c r="J13" s="3"/>
      <c r="K13" s="3"/>
      <c r="L13" s="3"/>
      <c r="M13" s="3"/>
      <c r="N13" s="2"/>
    </row>
    <row r="14" spans="1:14" ht="18.75">
      <c r="A14" s="1" t="s">
        <v>13</v>
      </c>
      <c r="B14" s="2"/>
      <c r="C14" s="2"/>
      <c r="D14" s="2"/>
      <c r="E14" s="2"/>
      <c r="F14" s="2"/>
      <c r="G14" s="2"/>
      <c r="H14" s="2"/>
      <c r="I14" s="3"/>
      <c r="J14" s="3"/>
      <c r="K14" s="3"/>
      <c r="L14" s="3"/>
      <c r="M14" s="3"/>
      <c r="N14" s="2"/>
    </row>
    <row r="15" spans="1:14" ht="18.75">
      <c r="A15" s="1"/>
      <c r="B15" s="2" t="s">
        <v>17</v>
      </c>
      <c r="C15" s="2"/>
      <c r="D15" s="2"/>
      <c r="E15" s="2"/>
      <c r="F15" s="2"/>
      <c r="G15" s="2"/>
      <c r="H15" s="2"/>
      <c r="J15" s="3"/>
      <c r="K15" s="3"/>
      <c r="L15" s="3"/>
      <c r="M15" s="3"/>
      <c r="N15" s="2"/>
    </row>
    <row r="16" spans="1:14" ht="18.75">
      <c r="A16" s="1"/>
      <c r="B16" s="2"/>
      <c r="C16" s="2" t="s">
        <v>53</v>
      </c>
      <c r="D16" s="2"/>
      <c r="E16" s="2"/>
      <c r="F16" s="2"/>
      <c r="G16" s="2"/>
      <c r="H16" s="2"/>
      <c r="I16" s="3">
        <v>47897858</v>
      </c>
      <c r="J16" s="3"/>
      <c r="K16" s="3"/>
      <c r="L16" s="3"/>
      <c r="M16" s="3">
        <f t="shared" ref="M16:M17" si="1">SUM(I16:L16)</f>
        <v>47897858</v>
      </c>
      <c r="N16" s="2"/>
    </row>
    <row r="17" spans="1:14" ht="18.75">
      <c r="A17" s="1"/>
      <c r="B17" s="2"/>
      <c r="C17" s="2" t="s">
        <v>54</v>
      </c>
      <c r="D17" s="2"/>
      <c r="E17" s="2"/>
      <c r="F17" s="2"/>
      <c r="G17" s="2"/>
      <c r="H17" s="2"/>
      <c r="I17" s="3">
        <v>642997</v>
      </c>
      <c r="J17" s="3"/>
      <c r="K17" s="3"/>
      <c r="L17" s="3"/>
      <c r="M17" s="3">
        <f t="shared" si="1"/>
        <v>642997</v>
      </c>
      <c r="N17" s="2"/>
    </row>
    <row r="18" spans="1:14" ht="18.75">
      <c r="A18" s="1"/>
      <c r="B18" s="2" t="s">
        <v>14</v>
      </c>
      <c r="C18" s="2"/>
      <c r="D18" s="2"/>
      <c r="E18" s="2"/>
      <c r="F18" s="2"/>
      <c r="G18" s="2"/>
      <c r="H18" s="2"/>
      <c r="I18" s="3">
        <v>2977743</v>
      </c>
      <c r="J18" s="3"/>
      <c r="K18" s="3">
        <v>6162</v>
      </c>
      <c r="L18" s="3"/>
      <c r="M18" s="3">
        <f>SUM(I18:L18)</f>
        <v>2983905</v>
      </c>
      <c r="N18" s="2"/>
    </row>
    <row r="19" spans="1:14" ht="18.75">
      <c r="A19" s="1"/>
      <c r="B19" s="2" t="s">
        <v>103</v>
      </c>
      <c r="C19" s="2"/>
      <c r="D19" s="2"/>
      <c r="E19" s="2"/>
      <c r="F19" s="2"/>
      <c r="G19" s="2"/>
      <c r="H19" s="2"/>
      <c r="I19" s="3">
        <v>716214</v>
      </c>
      <c r="J19" s="3"/>
      <c r="K19" s="3"/>
      <c r="L19" s="3"/>
      <c r="M19" s="3">
        <f t="shared" ref="M19:M23" si="2">SUM(I19:L19)</f>
        <v>716214</v>
      </c>
      <c r="N19" s="2"/>
    </row>
    <row r="20" spans="1:14" ht="18.75">
      <c r="A20" s="2"/>
      <c r="B20" s="2" t="s">
        <v>65</v>
      </c>
      <c r="C20" s="2"/>
      <c r="D20" s="2"/>
      <c r="E20" s="2"/>
      <c r="F20" s="2"/>
      <c r="G20" s="2"/>
      <c r="H20" s="2"/>
      <c r="I20" s="3">
        <v>1460214</v>
      </c>
      <c r="J20" s="3"/>
      <c r="K20" s="3">
        <v>37668</v>
      </c>
      <c r="L20" s="3"/>
      <c r="M20" s="3">
        <f t="shared" si="2"/>
        <v>1497882</v>
      </c>
      <c r="N20" s="2"/>
    </row>
    <row r="21" spans="1:14" ht="18.75">
      <c r="A21" s="2"/>
      <c r="B21" s="2" t="s">
        <v>30</v>
      </c>
      <c r="C21" s="2"/>
      <c r="D21" s="2"/>
      <c r="E21" s="2"/>
      <c r="F21" s="2"/>
      <c r="G21" s="2"/>
      <c r="H21" s="2"/>
      <c r="I21" s="3">
        <v>1187227</v>
      </c>
      <c r="J21" s="3"/>
      <c r="K21" s="3"/>
      <c r="L21" s="3"/>
      <c r="M21" s="3">
        <f t="shared" si="2"/>
        <v>1187227</v>
      </c>
      <c r="N21" s="2"/>
    </row>
    <row r="22" spans="1:14" ht="18.75">
      <c r="A22" s="2"/>
      <c r="B22" s="2" t="s">
        <v>104</v>
      </c>
      <c r="C22" s="2"/>
      <c r="D22" s="2"/>
      <c r="E22" s="2"/>
      <c r="F22" s="2"/>
      <c r="G22" s="2"/>
      <c r="H22" s="2"/>
      <c r="I22" s="3">
        <v>285706</v>
      </c>
      <c r="J22" s="3"/>
      <c r="K22" s="3"/>
      <c r="L22" s="3"/>
      <c r="M22" s="3">
        <f t="shared" si="2"/>
        <v>285706</v>
      </c>
      <c r="N22" s="2"/>
    </row>
    <row r="23" spans="1:14" ht="18.75">
      <c r="A23" s="2"/>
      <c r="B23" s="2" t="s">
        <v>72</v>
      </c>
      <c r="C23" s="2"/>
      <c r="D23" s="2"/>
      <c r="E23" s="2"/>
      <c r="F23" s="2"/>
      <c r="G23" s="2"/>
      <c r="H23" s="2"/>
      <c r="I23" s="3">
        <v>577716</v>
      </c>
      <c r="J23" s="3"/>
      <c r="K23" s="3">
        <v>104432</v>
      </c>
      <c r="L23" s="3">
        <v>-1100</v>
      </c>
      <c r="M23" s="3">
        <f t="shared" si="2"/>
        <v>681048</v>
      </c>
      <c r="N23" s="2"/>
    </row>
    <row r="24" spans="1:14" ht="18.75">
      <c r="A24" s="2"/>
      <c r="B24" s="2"/>
      <c r="C24" s="1" t="s">
        <v>18</v>
      </c>
      <c r="D24" s="2"/>
      <c r="E24" s="2"/>
      <c r="F24" s="2"/>
      <c r="G24" s="2"/>
      <c r="H24" s="2"/>
      <c r="I24" s="13">
        <f>SUM(I16:I23)</f>
        <v>55745675</v>
      </c>
      <c r="J24" s="13">
        <f t="shared" ref="J24:M24" si="3">SUM(J16:J23)</f>
        <v>0</v>
      </c>
      <c r="K24" s="13">
        <f t="shared" si="3"/>
        <v>148262</v>
      </c>
      <c r="L24" s="13">
        <f t="shared" si="3"/>
        <v>-1100</v>
      </c>
      <c r="M24" s="13">
        <f t="shared" si="3"/>
        <v>55892837</v>
      </c>
      <c r="N24" s="2"/>
    </row>
    <row r="25" spans="1:14" ht="18.75">
      <c r="A25" s="2"/>
      <c r="B25" s="2"/>
      <c r="C25" s="1"/>
      <c r="D25" s="2"/>
      <c r="E25" s="2"/>
      <c r="F25" s="2"/>
      <c r="G25" s="2"/>
      <c r="H25" s="2"/>
      <c r="I25" s="15"/>
      <c r="J25" s="15"/>
      <c r="K25" s="15"/>
      <c r="L25" s="15"/>
      <c r="M25" s="15"/>
      <c r="N25" s="2"/>
    </row>
    <row r="26" spans="1:14" ht="18.75">
      <c r="A26" s="1" t="s">
        <v>19</v>
      </c>
      <c r="B26" s="2"/>
      <c r="C26" s="2"/>
      <c r="D26" s="2"/>
      <c r="E26" s="2"/>
      <c r="F26" s="2"/>
      <c r="G26" s="2"/>
      <c r="H26" s="2"/>
      <c r="I26" s="3"/>
      <c r="J26" s="3"/>
      <c r="K26" s="3"/>
      <c r="L26" s="3"/>
      <c r="M26" s="3"/>
      <c r="N26" s="2"/>
    </row>
    <row r="27" spans="1:14" ht="18.75">
      <c r="A27" s="2"/>
      <c r="B27" s="2" t="s">
        <v>17</v>
      </c>
      <c r="C27" s="2"/>
      <c r="D27" s="2"/>
      <c r="E27" s="2"/>
      <c r="F27" s="2"/>
      <c r="G27" s="2"/>
      <c r="H27" s="2"/>
      <c r="I27" s="3"/>
      <c r="J27" s="3"/>
      <c r="K27" s="3"/>
      <c r="L27" s="3"/>
      <c r="M27" s="3"/>
      <c r="N27" s="3"/>
    </row>
    <row r="28" spans="1:14" ht="18.75">
      <c r="A28" s="2"/>
      <c r="B28" s="2"/>
      <c r="C28" s="2" t="s">
        <v>53</v>
      </c>
      <c r="D28" s="2"/>
      <c r="E28" s="2"/>
      <c r="F28" s="2"/>
      <c r="G28" s="2"/>
      <c r="H28" s="2"/>
      <c r="I28" s="3">
        <v>-46151263</v>
      </c>
      <c r="J28" s="3"/>
      <c r="K28" s="3">
        <v>-149999</v>
      </c>
      <c r="L28" s="3">
        <v>0</v>
      </c>
      <c r="M28" s="3">
        <f>SUM(I28:L28)</f>
        <v>-46301262</v>
      </c>
      <c r="N28" s="3">
        <f>SUM(M28,M16)</f>
        <v>1596596</v>
      </c>
    </row>
    <row r="29" spans="1:14" ht="18.75">
      <c r="A29" s="2"/>
      <c r="B29" s="2"/>
      <c r="C29" s="2" t="s">
        <v>54</v>
      </c>
      <c r="D29" s="2"/>
      <c r="E29" s="2"/>
      <c r="F29" s="2"/>
      <c r="G29" s="2"/>
      <c r="H29" s="2"/>
      <c r="I29" s="3">
        <v>-642062</v>
      </c>
      <c r="J29" s="3"/>
      <c r="K29" s="3">
        <v>-48</v>
      </c>
      <c r="L29" s="3"/>
      <c r="M29" s="3">
        <f t="shared" ref="M29:M35" si="4">SUM(I29:L29)</f>
        <v>-642110</v>
      </c>
      <c r="N29" s="3">
        <f>SUM(M29,M17)</f>
        <v>887</v>
      </c>
    </row>
    <row r="30" spans="1:14" ht="18.75">
      <c r="A30" s="2"/>
      <c r="B30" s="2" t="s">
        <v>14</v>
      </c>
      <c r="C30" s="2"/>
      <c r="D30" s="2"/>
      <c r="E30" s="2"/>
      <c r="F30" s="2"/>
      <c r="G30" s="2"/>
      <c r="H30" s="2"/>
      <c r="I30" s="3">
        <v>-2601609</v>
      </c>
      <c r="J30" s="3"/>
      <c r="K30" s="3">
        <v>-17717</v>
      </c>
      <c r="L30" s="3">
        <v>0</v>
      </c>
      <c r="M30" s="3">
        <f t="shared" si="4"/>
        <v>-2619326</v>
      </c>
      <c r="N30" s="3">
        <f t="shared" ref="N30:N35" si="5">SUM(M30,M18)</f>
        <v>364579</v>
      </c>
    </row>
    <row r="31" spans="1:14" ht="18.75">
      <c r="A31" s="2"/>
      <c r="B31" s="2" t="s">
        <v>103</v>
      </c>
      <c r="C31" s="2"/>
      <c r="D31" s="2"/>
      <c r="E31" s="2"/>
      <c r="F31" s="2"/>
      <c r="G31" s="2"/>
      <c r="H31" s="2"/>
      <c r="I31" s="3">
        <v>-186334</v>
      </c>
      <c r="J31" s="3"/>
      <c r="K31" s="3">
        <v>-30959</v>
      </c>
      <c r="L31" s="3"/>
      <c r="M31" s="3">
        <f t="shared" si="4"/>
        <v>-217293</v>
      </c>
      <c r="N31" s="3">
        <f t="shared" si="5"/>
        <v>498921</v>
      </c>
    </row>
    <row r="32" spans="1:14" ht="18.75">
      <c r="A32" s="2"/>
      <c r="B32" s="2" t="s">
        <v>65</v>
      </c>
      <c r="C32" s="2"/>
      <c r="D32" s="2"/>
      <c r="E32" s="2"/>
      <c r="F32" s="2"/>
      <c r="G32" s="2"/>
      <c r="H32" s="2"/>
      <c r="I32" s="3">
        <v>-1169753</v>
      </c>
      <c r="J32" s="3"/>
      <c r="K32" s="3">
        <v>-53802</v>
      </c>
      <c r="L32" s="3"/>
      <c r="M32" s="3">
        <f t="shared" si="4"/>
        <v>-1223555</v>
      </c>
      <c r="N32" s="3">
        <f t="shared" si="5"/>
        <v>274327</v>
      </c>
    </row>
    <row r="33" spans="1:14" ht="18.75">
      <c r="A33" s="2"/>
      <c r="B33" s="2" t="s">
        <v>30</v>
      </c>
      <c r="C33" s="2"/>
      <c r="D33" s="2"/>
      <c r="E33" s="2"/>
      <c r="F33" s="2"/>
      <c r="G33" s="2"/>
      <c r="H33" s="2"/>
      <c r="I33" s="3">
        <v>-1073866</v>
      </c>
      <c r="J33" s="3"/>
      <c r="K33" s="3">
        <v>-41067</v>
      </c>
      <c r="L33" s="3"/>
      <c r="M33" s="3">
        <f t="shared" si="4"/>
        <v>-1114933</v>
      </c>
      <c r="N33" s="3">
        <f t="shared" si="5"/>
        <v>72294</v>
      </c>
    </row>
    <row r="34" spans="1:14" ht="18.75">
      <c r="A34" s="2"/>
      <c r="B34" s="2" t="s">
        <v>104</v>
      </c>
      <c r="C34" s="2"/>
      <c r="D34" s="2"/>
      <c r="E34" s="2"/>
      <c r="F34" s="2"/>
      <c r="G34" s="2"/>
      <c r="H34" s="2"/>
      <c r="I34" s="3">
        <v>-105510</v>
      </c>
      <c r="J34" s="3"/>
      <c r="K34" s="3">
        <v>-23681</v>
      </c>
      <c r="L34" s="3"/>
      <c r="M34" s="3">
        <f t="shared" si="4"/>
        <v>-129191</v>
      </c>
      <c r="N34" s="3">
        <f t="shared" si="5"/>
        <v>156515</v>
      </c>
    </row>
    <row r="35" spans="1:14" ht="18.75">
      <c r="A35" s="2"/>
      <c r="B35" s="2" t="s">
        <v>72</v>
      </c>
      <c r="C35" s="2"/>
      <c r="D35" s="2"/>
      <c r="E35" s="2"/>
      <c r="F35" s="2"/>
      <c r="G35" s="2"/>
      <c r="H35" s="2"/>
      <c r="I35" s="3">
        <v>-448561</v>
      </c>
      <c r="J35" s="3"/>
      <c r="K35" s="3">
        <v>-44567</v>
      </c>
      <c r="L35" s="3">
        <v>1100</v>
      </c>
      <c r="M35" s="3">
        <f t="shared" si="4"/>
        <v>-492028</v>
      </c>
      <c r="N35" s="3">
        <f t="shared" si="5"/>
        <v>189020</v>
      </c>
    </row>
    <row r="36" spans="1:14" ht="18.75">
      <c r="A36" s="1"/>
      <c r="B36" s="1"/>
      <c r="C36" s="1" t="s">
        <v>20</v>
      </c>
      <c r="D36" s="1"/>
      <c r="E36" s="1"/>
      <c r="F36" s="1"/>
      <c r="G36" s="1"/>
      <c r="H36" s="1"/>
      <c r="I36" s="10">
        <f>SUM(I27:I35)</f>
        <v>-52378958</v>
      </c>
      <c r="J36" s="10">
        <f t="shared" ref="J36:M36" si="6">SUM(J27:J35)</f>
        <v>0</v>
      </c>
      <c r="K36" s="10">
        <f t="shared" si="6"/>
        <v>-361840</v>
      </c>
      <c r="L36" s="10">
        <f t="shared" si="6"/>
        <v>1100</v>
      </c>
      <c r="M36" s="10">
        <f t="shared" si="6"/>
        <v>-52739698</v>
      </c>
      <c r="N36" s="1"/>
    </row>
    <row r="37" spans="1:14" ht="18.75">
      <c r="A37" s="1"/>
      <c r="B37" s="1"/>
      <c r="C37" s="1"/>
      <c r="D37" s="1"/>
      <c r="E37" s="1"/>
      <c r="F37" s="1"/>
      <c r="G37" s="1"/>
      <c r="H37" s="1"/>
      <c r="I37" s="10"/>
      <c r="J37" s="10"/>
      <c r="K37" s="10"/>
      <c r="L37" s="10"/>
      <c r="M37" s="10"/>
      <c r="N37" s="1"/>
    </row>
    <row r="38" spans="1:14" ht="18.75">
      <c r="A38" s="1"/>
      <c r="B38" s="1" t="s">
        <v>21</v>
      </c>
      <c r="C38" s="1"/>
      <c r="D38" s="1"/>
      <c r="E38" s="1"/>
      <c r="F38" s="1"/>
      <c r="G38" s="1"/>
      <c r="H38" s="1"/>
      <c r="I38" s="10">
        <f>I36+I24</f>
        <v>3366717</v>
      </c>
      <c r="J38" s="10">
        <f t="shared" ref="J38:M38" si="7">J36+J24</f>
        <v>0</v>
      </c>
      <c r="K38" s="10">
        <f t="shared" si="7"/>
        <v>-213578</v>
      </c>
      <c r="L38" s="10">
        <f t="shared" si="7"/>
        <v>0</v>
      </c>
      <c r="M38" s="10">
        <f t="shared" si="7"/>
        <v>3153139</v>
      </c>
      <c r="N38" s="1"/>
    </row>
    <row r="39" spans="1:14" ht="18.75">
      <c r="A39" s="1"/>
      <c r="B39" s="1"/>
      <c r="C39" s="1"/>
      <c r="D39" s="1"/>
      <c r="E39" s="1"/>
      <c r="F39" s="1"/>
      <c r="G39" s="1"/>
      <c r="H39" s="1"/>
      <c r="I39" s="31"/>
      <c r="J39" s="31"/>
      <c r="K39" s="31"/>
      <c r="L39" s="31"/>
      <c r="M39" s="31"/>
      <c r="N39" s="1"/>
    </row>
    <row r="40" spans="1:14" ht="18.75">
      <c r="A40" s="2"/>
      <c r="B40" s="1" t="s">
        <v>22</v>
      </c>
      <c r="C40" s="2"/>
      <c r="D40" s="2"/>
      <c r="E40" s="2"/>
      <c r="F40" s="2"/>
      <c r="G40" s="2"/>
      <c r="H40" s="2"/>
      <c r="I40" s="14">
        <f>I12+I38</f>
        <v>11719166</v>
      </c>
      <c r="J40" s="14">
        <f>J12+J38</f>
        <v>-797615</v>
      </c>
      <c r="K40" s="14">
        <f>K12+K38</f>
        <v>3205481</v>
      </c>
      <c r="L40" s="14">
        <f>L12+L38</f>
        <v>-17920</v>
      </c>
      <c r="M40" s="14">
        <f>M12+M38</f>
        <v>14109112</v>
      </c>
      <c r="N40" s="3">
        <f>SUM(N27:N35,N10:N11)</f>
        <v>14109112</v>
      </c>
    </row>
  </sheetData>
  <mergeCells count="3">
    <mergeCell ref="D1:I1"/>
    <mergeCell ref="D2:I2"/>
    <mergeCell ref="D3:I3"/>
  </mergeCells>
  <pageMargins left="0.7" right="0.7" top="0.75" bottom="0.75" header="0.3" footer="0.3"/>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35"/>
  <sheetViews>
    <sheetView zoomScale="85" zoomScaleNormal="85" zoomScalePageLayoutView="85" workbookViewId="0">
      <selection activeCell="H27" sqref="H27"/>
    </sheetView>
  </sheetViews>
  <sheetFormatPr defaultColWidth="8.85546875" defaultRowHeight="15"/>
  <cols>
    <col min="8" max="8" width="7.42578125" customWidth="1"/>
    <col min="9" max="9" width="20.140625" customWidth="1"/>
    <col min="10" max="10" width="17.7109375" customWidth="1"/>
    <col min="11" max="11" width="17.85546875" customWidth="1"/>
    <col min="12" max="12" width="18.7109375" customWidth="1"/>
    <col min="13" max="13" width="17.42578125" bestFit="1" customWidth="1"/>
    <col min="14" max="14" width="39.85546875" customWidth="1"/>
    <col min="15" max="15" width="29.42578125" customWidth="1"/>
  </cols>
  <sheetData>
    <row r="1" spans="1:13" ht="18.75">
      <c r="A1" s="2"/>
      <c r="B1" s="2"/>
      <c r="C1" s="2"/>
      <c r="D1" s="136" t="s">
        <v>105</v>
      </c>
      <c r="E1" s="136"/>
      <c r="F1" s="136"/>
      <c r="G1" s="136"/>
      <c r="H1" s="136"/>
      <c r="I1" s="136"/>
      <c r="J1" s="3"/>
      <c r="K1" s="3"/>
      <c r="L1" s="3"/>
      <c r="M1" s="2"/>
    </row>
    <row r="2" spans="1:13" ht="18.75">
      <c r="A2" s="2"/>
      <c r="B2" s="2"/>
      <c r="C2" s="2"/>
      <c r="D2" s="136" t="s">
        <v>1</v>
      </c>
      <c r="E2" s="136"/>
      <c r="F2" s="136"/>
      <c r="G2" s="136"/>
      <c r="H2" s="136"/>
      <c r="I2" s="136"/>
      <c r="J2" s="3"/>
      <c r="K2" s="3"/>
      <c r="L2" s="3"/>
      <c r="M2" s="2"/>
    </row>
    <row r="3" spans="1:13" ht="18.75">
      <c r="A3" s="2"/>
      <c r="B3" s="2"/>
      <c r="C3" s="2"/>
      <c r="D3" s="136" t="s">
        <v>2</v>
      </c>
      <c r="E3" s="136"/>
      <c r="F3" s="136"/>
      <c r="G3" s="136"/>
      <c r="H3" s="136"/>
      <c r="I3" s="136"/>
      <c r="J3" s="3"/>
      <c r="K3" s="3"/>
      <c r="L3" s="3"/>
      <c r="M3" s="2"/>
    </row>
    <row r="4" spans="1:13" ht="18.75">
      <c r="A4" s="2"/>
      <c r="B4" s="2"/>
      <c r="C4" s="2"/>
      <c r="D4" s="69"/>
      <c r="E4" s="69"/>
      <c r="F4" s="69"/>
      <c r="G4" s="69"/>
      <c r="H4" s="69"/>
      <c r="I4" s="4"/>
      <c r="J4" s="3"/>
      <c r="K4" s="3"/>
      <c r="L4" s="3"/>
      <c r="M4" s="2"/>
    </row>
    <row r="5" spans="1:13" ht="37.5">
      <c r="A5" s="2"/>
      <c r="B5" s="2"/>
      <c r="C5" s="2"/>
      <c r="D5" s="2"/>
      <c r="E5" s="2"/>
      <c r="F5" s="2"/>
      <c r="G5" s="2"/>
      <c r="H5" s="2"/>
      <c r="I5" s="11" t="s">
        <v>3</v>
      </c>
      <c r="J5" s="11" t="s">
        <v>45</v>
      </c>
      <c r="K5" s="11" t="s">
        <v>46</v>
      </c>
      <c r="L5" s="11" t="s">
        <v>6</v>
      </c>
      <c r="M5" s="11" t="s">
        <v>7</v>
      </c>
    </row>
    <row r="6" spans="1:13" ht="18.75">
      <c r="A6" s="2"/>
      <c r="B6" s="2"/>
      <c r="C6" s="2"/>
      <c r="D6" s="2"/>
      <c r="E6" s="2"/>
      <c r="F6" s="2"/>
      <c r="G6" s="2"/>
      <c r="H6" s="2"/>
      <c r="I6" s="16"/>
      <c r="J6" s="16"/>
      <c r="K6" s="16"/>
      <c r="L6" s="16"/>
      <c r="M6" s="2"/>
    </row>
    <row r="7" spans="1:13" ht="18.75">
      <c r="A7" s="1" t="s">
        <v>49</v>
      </c>
      <c r="B7" s="1"/>
      <c r="C7" s="1"/>
      <c r="D7" s="1"/>
      <c r="E7" s="1"/>
      <c r="F7" s="1"/>
      <c r="G7" s="2"/>
      <c r="H7" s="2"/>
      <c r="I7" s="3"/>
      <c r="J7" s="3"/>
      <c r="K7" s="3"/>
      <c r="L7" s="3"/>
      <c r="M7" s="2"/>
    </row>
    <row r="8" spans="1:13" ht="18.75">
      <c r="A8" s="1" t="s">
        <v>50</v>
      </c>
      <c r="B8" s="1"/>
      <c r="C8" s="1"/>
      <c r="D8" s="1"/>
      <c r="E8" s="1"/>
      <c r="F8" s="1"/>
      <c r="G8" s="2"/>
      <c r="H8" s="2"/>
      <c r="I8" s="3"/>
      <c r="J8" s="3"/>
      <c r="K8" s="3"/>
      <c r="L8" s="3"/>
      <c r="M8" s="2"/>
    </row>
    <row r="9" spans="1:13" ht="18.75">
      <c r="A9" s="1"/>
      <c r="B9" s="1"/>
      <c r="C9" s="1"/>
      <c r="D9" s="1"/>
      <c r="E9" s="1"/>
      <c r="F9" s="1"/>
      <c r="G9" s="2"/>
      <c r="H9" s="2"/>
      <c r="I9" s="3"/>
      <c r="J9" s="3"/>
      <c r="K9" s="3"/>
      <c r="L9" s="3"/>
      <c r="M9" s="2"/>
    </row>
    <row r="10" spans="1:13" ht="18.75">
      <c r="A10" s="2"/>
      <c r="B10" s="2" t="s">
        <v>10</v>
      </c>
      <c r="C10" s="2"/>
      <c r="D10" s="2"/>
      <c r="E10" s="2"/>
      <c r="F10" s="2"/>
      <c r="G10" s="2"/>
      <c r="H10" s="2"/>
      <c r="I10" s="3">
        <v>1381390</v>
      </c>
      <c r="J10" s="3">
        <v>28000</v>
      </c>
      <c r="K10" s="3"/>
      <c r="L10" s="3">
        <f>SUM(I10:K10)</f>
        <v>1409390</v>
      </c>
      <c r="M10" s="3">
        <f>SUM(L10)</f>
        <v>1409390</v>
      </c>
    </row>
    <row r="11" spans="1:13" ht="18.75">
      <c r="A11" s="2"/>
      <c r="B11" s="2" t="s">
        <v>11</v>
      </c>
      <c r="C11" s="2"/>
      <c r="D11" s="2"/>
      <c r="E11" s="2"/>
      <c r="F11" s="2"/>
      <c r="G11" s="2"/>
      <c r="H11" s="2"/>
      <c r="I11" s="3">
        <v>20795365</v>
      </c>
      <c r="J11" s="3">
        <v>17305421</v>
      </c>
      <c r="K11" s="3">
        <v>-11888135</v>
      </c>
      <c r="L11" s="3">
        <f>SUM(I11:K11)</f>
        <v>26212651</v>
      </c>
      <c r="M11" s="3">
        <f>SUM(L11)</f>
        <v>26212651</v>
      </c>
    </row>
    <row r="12" spans="1:13" ht="18.75">
      <c r="A12" s="2"/>
      <c r="B12" s="2" t="s">
        <v>106</v>
      </c>
      <c r="C12" s="2"/>
      <c r="D12" s="2"/>
      <c r="E12" s="2"/>
      <c r="F12" s="2"/>
      <c r="G12" s="2"/>
      <c r="H12" s="2"/>
      <c r="I12" s="3">
        <v>35436534</v>
      </c>
      <c r="J12" s="3">
        <v>5051089</v>
      </c>
      <c r="K12" s="3">
        <v>-1917928</v>
      </c>
      <c r="L12" s="3">
        <f t="shared" ref="L12:L15" si="0">SUM(I12:K12)</f>
        <v>38569695</v>
      </c>
      <c r="M12" s="3"/>
    </row>
    <row r="13" spans="1:13" ht="18.75">
      <c r="A13" s="2"/>
      <c r="B13" s="2" t="s">
        <v>107</v>
      </c>
      <c r="C13" s="2"/>
      <c r="D13" s="2"/>
      <c r="E13" s="2"/>
      <c r="F13" s="2"/>
      <c r="G13" s="2"/>
      <c r="H13" s="2"/>
      <c r="I13" s="3">
        <v>702647</v>
      </c>
      <c r="J13" s="3">
        <v>93863</v>
      </c>
      <c r="K13" s="3"/>
      <c r="L13" s="3">
        <f t="shared" si="0"/>
        <v>796510</v>
      </c>
      <c r="M13" s="3"/>
    </row>
    <row r="14" spans="1:13" ht="18.75">
      <c r="A14" s="2"/>
      <c r="B14" s="2" t="s">
        <v>108</v>
      </c>
      <c r="C14" s="2"/>
      <c r="D14" s="2"/>
      <c r="E14" s="2"/>
      <c r="F14" s="2"/>
      <c r="G14" s="2"/>
      <c r="H14" s="2"/>
      <c r="I14" s="3">
        <v>18144322</v>
      </c>
      <c r="J14" s="3">
        <v>1032315</v>
      </c>
      <c r="K14" s="3">
        <v>-850576</v>
      </c>
      <c r="L14" s="3">
        <f t="shared" si="0"/>
        <v>18326061</v>
      </c>
      <c r="M14" s="3"/>
    </row>
    <row r="15" spans="1:13" ht="18.75">
      <c r="A15" s="2"/>
      <c r="B15" s="2" t="s">
        <v>17</v>
      </c>
      <c r="C15" s="2"/>
      <c r="D15" s="2"/>
      <c r="E15" s="2"/>
      <c r="F15" s="2"/>
      <c r="G15" s="2"/>
      <c r="H15" s="2"/>
      <c r="I15" s="3">
        <v>54375215</v>
      </c>
      <c r="J15" s="3">
        <v>7071718</v>
      </c>
      <c r="K15" s="3"/>
      <c r="L15" s="3">
        <f t="shared" si="0"/>
        <v>61446933</v>
      </c>
      <c r="M15" s="3"/>
    </row>
    <row r="16" spans="1:13" ht="20.25" customHeight="1">
      <c r="A16" s="1"/>
      <c r="B16" s="1"/>
      <c r="C16" s="1" t="s">
        <v>109</v>
      </c>
      <c r="D16" s="1"/>
      <c r="E16" s="1"/>
      <c r="F16" s="1"/>
      <c r="G16" s="1"/>
      <c r="H16" s="1"/>
      <c r="I16" s="13">
        <f t="shared" ref="I16:K16" si="1">SUM(I10:I15)</f>
        <v>130835473</v>
      </c>
      <c r="J16" s="13">
        <f t="shared" si="1"/>
        <v>30582406</v>
      </c>
      <c r="K16" s="13">
        <f t="shared" si="1"/>
        <v>-14656639</v>
      </c>
      <c r="L16" s="13">
        <f>SUM(L10:L15)</f>
        <v>146761240</v>
      </c>
      <c r="M16" s="1"/>
    </row>
    <row r="17" spans="1:15" ht="20.25" customHeight="1">
      <c r="A17" s="1"/>
      <c r="B17" s="1"/>
      <c r="C17" s="1"/>
      <c r="D17" s="1"/>
      <c r="E17" s="1"/>
      <c r="F17" s="1"/>
      <c r="G17" s="1"/>
      <c r="H17" s="1"/>
      <c r="I17" s="13"/>
      <c r="J17" s="13"/>
      <c r="K17" s="13"/>
      <c r="L17" s="13"/>
      <c r="M17" s="1"/>
    </row>
    <row r="18" spans="1:15" ht="20.25" customHeight="1">
      <c r="A18" s="1" t="s">
        <v>57</v>
      </c>
      <c r="B18" s="1"/>
      <c r="C18" s="1"/>
      <c r="D18" s="1"/>
      <c r="E18" s="1"/>
      <c r="F18" s="1"/>
      <c r="G18" s="1"/>
      <c r="H18" s="1"/>
      <c r="I18" s="15"/>
      <c r="J18" s="15"/>
      <c r="K18" s="15"/>
      <c r="L18" s="15"/>
      <c r="M18" s="1"/>
      <c r="N18" s="34" t="s">
        <v>110</v>
      </c>
      <c r="O18" s="34" t="s">
        <v>60</v>
      </c>
    </row>
    <row r="19" spans="1:15" ht="20.25" customHeight="1">
      <c r="A19" s="1"/>
      <c r="B19" s="2" t="s">
        <v>106</v>
      </c>
      <c r="C19" s="2"/>
      <c r="D19" s="2"/>
      <c r="E19" s="2"/>
      <c r="F19" s="2"/>
      <c r="G19" s="2"/>
      <c r="H19" s="2"/>
      <c r="I19" s="3">
        <v>35436534</v>
      </c>
      <c r="J19" s="3">
        <v>5051089</v>
      </c>
      <c r="K19" s="3">
        <v>-1917928</v>
      </c>
      <c r="L19" s="3">
        <f t="shared" ref="L19:L22" si="2">SUM(I19:K19)</f>
        <v>38569695</v>
      </c>
      <c r="M19" s="1"/>
      <c r="N19" s="34">
        <f>L19/L23</f>
        <v>0.32373639678406768</v>
      </c>
      <c r="O19" s="35">
        <f>L32*N19</f>
        <v>-7379077.4666877268</v>
      </c>
    </row>
    <row r="20" spans="1:15" ht="20.25" customHeight="1">
      <c r="A20" s="1"/>
      <c r="B20" s="2" t="s">
        <v>107</v>
      </c>
      <c r="C20" s="2"/>
      <c r="D20" s="2"/>
      <c r="E20" s="2"/>
      <c r="F20" s="2"/>
      <c r="G20" s="2"/>
      <c r="H20" s="2"/>
      <c r="I20" s="3">
        <v>702647</v>
      </c>
      <c r="J20" s="3">
        <v>93863</v>
      </c>
      <c r="K20" s="3"/>
      <c r="L20" s="3">
        <f t="shared" si="2"/>
        <v>796510</v>
      </c>
      <c r="M20" s="1"/>
      <c r="N20" s="34">
        <f>L20/L23</f>
        <v>6.6855410031756218E-3</v>
      </c>
      <c r="O20" s="35">
        <f>L32*N20</f>
        <v>-152386.71171735847</v>
      </c>
    </row>
    <row r="21" spans="1:15" ht="20.25" customHeight="1">
      <c r="A21" s="1"/>
      <c r="B21" s="2" t="s">
        <v>108</v>
      </c>
      <c r="C21" s="2"/>
      <c r="D21" s="2"/>
      <c r="E21" s="2"/>
      <c r="F21" s="2"/>
      <c r="G21" s="2"/>
      <c r="H21" s="2"/>
      <c r="I21" s="3">
        <v>18144322</v>
      </c>
      <c r="J21" s="3">
        <v>1032315</v>
      </c>
      <c r="K21" s="3">
        <v>-850576</v>
      </c>
      <c r="L21" s="3">
        <f t="shared" si="2"/>
        <v>18326061</v>
      </c>
      <c r="M21" s="1"/>
      <c r="N21" s="34">
        <f>L21/L23</f>
        <v>0.15382058259431475</v>
      </c>
      <c r="O21" s="35">
        <f>L32*N21</f>
        <v>-3506105.6038489481</v>
      </c>
    </row>
    <row r="22" spans="1:15" ht="20.25" customHeight="1">
      <c r="A22" s="1"/>
      <c r="B22" s="2" t="s">
        <v>17</v>
      </c>
      <c r="C22" s="2"/>
      <c r="D22" s="2"/>
      <c r="E22" s="2"/>
      <c r="F22" s="2"/>
      <c r="G22" s="2"/>
      <c r="H22" s="2"/>
      <c r="I22" s="3">
        <v>54375215</v>
      </c>
      <c r="J22" s="3">
        <v>7071718</v>
      </c>
      <c r="K22" s="3"/>
      <c r="L22" s="3">
        <f t="shared" si="2"/>
        <v>61446933</v>
      </c>
      <c r="M22" s="1"/>
      <c r="N22" s="34">
        <f>L22/L23</f>
        <v>0.51575747961844198</v>
      </c>
      <c r="O22" s="35">
        <f>L32*N22</f>
        <v>-11755905.217745967</v>
      </c>
    </row>
    <row r="23" spans="1:15" ht="18.75">
      <c r="A23" s="1"/>
      <c r="B23" s="2"/>
      <c r="C23" s="2" t="s">
        <v>111</v>
      </c>
      <c r="D23" s="2"/>
      <c r="E23" s="2"/>
      <c r="F23" s="2"/>
      <c r="G23" s="2"/>
      <c r="H23" s="2"/>
      <c r="I23" s="13">
        <f t="shared" ref="I23" si="3">SUM(I17:I22)</f>
        <v>108658718</v>
      </c>
      <c r="J23" s="13">
        <f t="shared" ref="J23" si="4">SUM(J17:J22)</f>
        <v>13248985</v>
      </c>
      <c r="K23" s="13">
        <f t="shared" ref="K23" si="5">SUM(K17:K22)</f>
        <v>-2768504</v>
      </c>
      <c r="L23" s="13">
        <f>SUM(L17:L22)</f>
        <v>119139199</v>
      </c>
      <c r="M23" s="2"/>
      <c r="N23" s="34">
        <f>SUM(N19:N22)</f>
        <v>1</v>
      </c>
      <c r="O23" s="36">
        <f>SUM(O19:O22)</f>
        <v>-22793475</v>
      </c>
    </row>
    <row r="24" spans="1:15" ht="18.75">
      <c r="A24" s="1"/>
      <c r="B24" s="2"/>
      <c r="C24" s="2"/>
      <c r="D24" s="2"/>
      <c r="E24" s="2"/>
      <c r="F24" s="2"/>
      <c r="G24" s="2"/>
      <c r="H24" s="2"/>
      <c r="M24" s="2"/>
    </row>
    <row r="25" spans="1:15" ht="18.75">
      <c r="A25" s="1" t="s">
        <v>60</v>
      </c>
      <c r="B25" s="2"/>
      <c r="C25" s="2"/>
      <c r="D25" s="2"/>
      <c r="E25" s="2"/>
      <c r="F25" s="2"/>
      <c r="G25" s="2"/>
      <c r="H25" s="2"/>
      <c r="M25" s="2"/>
    </row>
    <row r="26" spans="1:15" ht="18.75">
      <c r="A26" s="1"/>
      <c r="B26" s="2" t="s">
        <v>106</v>
      </c>
      <c r="C26" s="2"/>
      <c r="D26" s="2"/>
      <c r="E26" s="2"/>
      <c r="F26" s="2"/>
      <c r="G26" s="2"/>
      <c r="H26" s="2"/>
      <c r="L26" s="35">
        <v>-7379077</v>
      </c>
      <c r="M26" s="3">
        <f>L19+L26</f>
        <v>31190618</v>
      </c>
    </row>
    <row r="27" spans="1:15" ht="18.75">
      <c r="A27" s="1"/>
      <c r="B27" s="2" t="s">
        <v>107</v>
      </c>
      <c r="C27" s="2"/>
      <c r="D27" s="2"/>
      <c r="E27" s="2"/>
      <c r="F27" s="2"/>
      <c r="G27" s="2"/>
      <c r="H27" s="2"/>
      <c r="L27" s="35">
        <v>-152387</v>
      </c>
      <c r="M27" s="3">
        <f t="shared" ref="M27:M29" si="6">L20+L27</f>
        <v>644123</v>
      </c>
    </row>
    <row r="28" spans="1:15" ht="18.75">
      <c r="A28" s="1"/>
      <c r="B28" s="2" t="s">
        <v>108</v>
      </c>
      <c r="C28" s="2"/>
      <c r="D28" s="2"/>
      <c r="E28" s="2"/>
      <c r="F28" s="2"/>
      <c r="G28" s="2"/>
      <c r="H28" s="2"/>
      <c r="L28" s="35">
        <v>-3506106</v>
      </c>
      <c r="M28" s="3">
        <f t="shared" si="6"/>
        <v>14819955</v>
      </c>
    </row>
    <row r="29" spans="1:15" ht="18.75">
      <c r="A29" s="1"/>
      <c r="B29" s="2" t="s">
        <v>17</v>
      </c>
      <c r="C29" s="2"/>
      <c r="D29" s="2"/>
      <c r="E29" s="2"/>
      <c r="F29" s="2"/>
      <c r="G29" s="2"/>
      <c r="H29" s="2"/>
      <c r="L29" s="37">
        <v>-11755905</v>
      </c>
      <c r="M29" s="3">
        <f t="shared" si="6"/>
        <v>49691028</v>
      </c>
    </row>
    <row r="30" spans="1:15" ht="18.75">
      <c r="A30" s="1"/>
      <c r="B30" s="2"/>
      <c r="C30" s="2" t="s">
        <v>112</v>
      </c>
      <c r="D30" s="2"/>
      <c r="E30" s="2"/>
      <c r="F30" s="2"/>
      <c r="G30" s="2"/>
      <c r="H30" s="2"/>
      <c r="L30" s="36">
        <f>SUM(L26:L29)</f>
        <v>-22793475</v>
      </c>
      <c r="M30" s="2"/>
    </row>
    <row r="31" spans="1:15" ht="18.75">
      <c r="A31" s="1"/>
      <c r="B31" s="2"/>
      <c r="C31" s="2"/>
      <c r="D31" s="2"/>
      <c r="E31" s="2"/>
      <c r="F31" s="2"/>
      <c r="G31" s="2"/>
      <c r="H31" s="2"/>
      <c r="M31" s="2"/>
    </row>
    <row r="32" spans="1:15" ht="18.75">
      <c r="A32" s="1"/>
      <c r="B32" s="1"/>
      <c r="C32" s="1" t="s">
        <v>113</v>
      </c>
      <c r="D32" s="1"/>
      <c r="E32" s="1"/>
      <c r="F32" s="1"/>
      <c r="G32" s="1"/>
      <c r="H32" s="1"/>
      <c r="I32" s="7">
        <v>-19081663</v>
      </c>
      <c r="J32" s="7">
        <v>-4562388</v>
      </c>
      <c r="K32" s="7">
        <v>-850576</v>
      </c>
      <c r="L32" s="7">
        <v>-22793475</v>
      </c>
      <c r="M32" s="1"/>
    </row>
    <row r="33" spans="1:14" ht="18.75">
      <c r="A33" s="1"/>
      <c r="B33" s="1"/>
      <c r="C33" s="1"/>
      <c r="D33" s="1"/>
      <c r="E33" s="1"/>
      <c r="F33" s="1"/>
      <c r="G33" s="1"/>
      <c r="H33" s="1"/>
      <c r="I33" s="7"/>
      <c r="J33" s="7"/>
      <c r="K33" s="7"/>
      <c r="L33" s="7"/>
      <c r="M33" s="1"/>
      <c r="N33" s="34"/>
    </row>
    <row r="34" spans="1:14" ht="18.75">
      <c r="A34" s="1"/>
      <c r="B34" s="1"/>
      <c r="C34" s="1" t="s">
        <v>114</v>
      </c>
      <c r="D34" s="1"/>
      <c r="E34" s="1"/>
      <c r="F34" s="1"/>
      <c r="G34" s="1"/>
      <c r="H34" s="1"/>
      <c r="I34" s="10">
        <f>SUM(I16,I32)</f>
        <v>111753810</v>
      </c>
      <c r="J34" s="10">
        <f>SUM(J16,J32)</f>
        <v>26020018</v>
      </c>
      <c r="K34" s="10">
        <f>K16-K32</f>
        <v>-13806063</v>
      </c>
      <c r="L34" s="10">
        <f>SUM(L16,L32)</f>
        <v>123967765</v>
      </c>
      <c r="M34" s="15">
        <f>SUM(M10:M29)</f>
        <v>123967765</v>
      </c>
      <c r="N34" s="35"/>
    </row>
    <row r="35" spans="1:14" ht="18.75">
      <c r="A35" s="1"/>
      <c r="B35" s="1"/>
      <c r="C35" s="1"/>
      <c r="D35" s="1"/>
      <c r="E35" s="1"/>
      <c r="F35" s="1"/>
      <c r="G35" s="1"/>
      <c r="H35" s="1"/>
      <c r="I35" s="31"/>
      <c r="J35" s="31"/>
      <c r="K35" s="31"/>
      <c r="L35" s="31"/>
      <c r="M35" s="1"/>
    </row>
  </sheetData>
  <mergeCells count="3">
    <mergeCell ref="D1:I1"/>
    <mergeCell ref="D2:I2"/>
    <mergeCell ref="D3:I3"/>
  </mergeCells>
  <pageMargins left="0.7" right="0.7" top="0.75" bottom="0.75" header="0.3" footer="0.3"/>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38"/>
  <sheetViews>
    <sheetView zoomScale="85" zoomScaleNormal="85" zoomScalePageLayoutView="85" workbookViewId="0">
      <selection activeCell="N36" sqref="N36"/>
    </sheetView>
  </sheetViews>
  <sheetFormatPr defaultColWidth="8.85546875" defaultRowHeight="15"/>
  <cols>
    <col min="9" max="9" width="16.7109375" customWidth="1"/>
    <col min="10" max="10" width="15.7109375" customWidth="1"/>
    <col min="11" max="11" width="15.28515625" customWidth="1"/>
    <col min="12" max="12" width="15.85546875" customWidth="1"/>
    <col min="13" max="13" width="17.28515625" customWidth="1"/>
    <col min="14" max="14" width="17.140625" customWidth="1"/>
  </cols>
  <sheetData>
    <row r="1" spans="1:14" ht="18.75">
      <c r="A1" s="2"/>
      <c r="B1" s="2"/>
      <c r="C1" s="2"/>
      <c r="D1" s="136" t="s">
        <v>115</v>
      </c>
      <c r="E1" s="136"/>
      <c r="F1" s="136"/>
      <c r="G1" s="136"/>
      <c r="H1" s="136"/>
      <c r="I1" s="136"/>
      <c r="J1" s="3"/>
      <c r="K1" s="3"/>
      <c r="L1" s="3"/>
      <c r="M1" s="3"/>
      <c r="N1" s="2"/>
    </row>
    <row r="2" spans="1:14" ht="18.75">
      <c r="A2" s="2"/>
      <c r="B2" s="2"/>
      <c r="C2" s="2"/>
      <c r="D2" s="136" t="s">
        <v>1</v>
      </c>
      <c r="E2" s="136"/>
      <c r="F2" s="136"/>
      <c r="G2" s="136"/>
      <c r="H2" s="136"/>
      <c r="I2" s="136"/>
      <c r="J2" s="3"/>
      <c r="K2" s="3"/>
      <c r="L2" s="3"/>
      <c r="M2" s="3"/>
      <c r="N2" s="2"/>
    </row>
    <row r="3" spans="1:14" ht="18.75">
      <c r="A3" s="2"/>
      <c r="B3" s="2"/>
      <c r="C3" s="2"/>
      <c r="D3" s="136" t="s">
        <v>2</v>
      </c>
      <c r="E3" s="136"/>
      <c r="F3" s="136"/>
      <c r="G3" s="136"/>
      <c r="H3" s="136"/>
      <c r="I3" s="136"/>
      <c r="J3" s="3"/>
      <c r="K3" s="3"/>
      <c r="L3" s="3"/>
      <c r="M3" s="3"/>
      <c r="N3" s="2"/>
    </row>
    <row r="4" spans="1:14" ht="18.75">
      <c r="A4" s="2"/>
      <c r="B4" s="2"/>
      <c r="C4" s="2"/>
      <c r="D4" s="69"/>
      <c r="E4" s="69"/>
      <c r="F4" s="69"/>
      <c r="G4" s="69"/>
      <c r="H4" s="69"/>
      <c r="I4" s="4"/>
      <c r="J4" s="3"/>
      <c r="K4" s="3"/>
      <c r="L4" s="3"/>
      <c r="M4" s="3"/>
      <c r="N4" s="2"/>
    </row>
    <row r="5" spans="1:14" ht="37.5">
      <c r="A5" s="2"/>
      <c r="B5" s="2"/>
      <c r="C5" s="2"/>
      <c r="D5" s="2"/>
      <c r="E5" s="2"/>
      <c r="F5" s="2"/>
      <c r="G5" s="2"/>
      <c r="H5" s="2"/>
      <c r="I5" s="11" t="s">
        <v>3</v>
      </c>
      <c r="J5" s="11" t="s">
        <v>67</v>
      </c>
      <c r="K5" s="11" t="s">
        <v>45</v>
      </c>
      <c r="L5" s="11" t="s">
        <v>46</v>
      </c>
      <c r="M5" s="11" t="s">
        <v>6</v>
      </c>
      <c r="N5" s="11" t="s">
        <v>7</v>
      </c>
    </row>
    <row r="6" spans="1:14" ht="18.75">
      <c r="A6" s="2"/>
      <c r="B6" s="2"/>
      <c r="C6" s="2"/>
      <c r="D6" s="2"/>
      <c r="E6" s="2"/>
      <c r="F6" s="2"/>
      <c r="G6" s="2"/>
      <c r="H6" s="2"/>
      <c r="I6" s="16"/>
      <c r="J6" s="16"/>
      <c r="K6" s="16"/>
      <c r="L6" s="16"/>
      <c r="M6" s="16"/>
      <c r="N6" s="2"/>
    </row>
    <row r="7" spans="1:14" ht="18.75">
      <c r="A7" s="1" t="s">
        <v>49</v>
      </c>
      <c r="B7" s="1"/>
      <c r="C7" s="1"/>
      <c r="D7" s="1"/>
      <c r="E7" s="1"/>
      <c r="F7" s="1"/>
      <c r="G7" s="2"/>
      <c r="H7" s="2"/>
      <c r="I7" s="3"/>
      <c r="J7" s="3"/>
      <c r="K7" s="3"/>
      <c r="L7" s="3"/>
      <c r="M7" s="3"/>
      <c r="N7" s="2"/>
    </row>
    <row r="8" spans="1:14" ht="18.75">
      <c r="A8" s="1" t="s">
        <v>50</v>
      </c>
      <c r="B8" s="1"/>
      <c r="C8" s="1"/>
      <c r="D8" s="1"/>
      <c r="E8" s="1"/>
      <c r="F8" s="1"/>
      <c r="G8" s="2"/>
      <c r="H8" s="2"/>
      <c r="I8" s="3"/>
      <c r="J8" s="3"/>
      <c r="K8" s="3"/>
      <c r="L8" s="3"/>
      <c r="M8" s="3"/>
      <c r="N8" s="2"/>
    </row>
    <row r="9" spans="1:14" ht="18.75">
      <c r="A9" s="1" t="s">
        <v>9</v>
      </c>
      <c r="B9" s="1"/>
      <c r="C9" s="1"/>
      <c r="D9" s="1"/>
      <c r="E9" s="1"/>
      <c r="F9" s="1"/>
      <c r="G9" s="2"/>
      <c r="H9" s="2"/>
      <c r="I9" s="3"/>
      <c r="J9" s="3"/>
      <c r="K9" s="3"/>
      <c r="L9" s="3"/>
      <c r="M9" s="3"/>
      <c r="N9" s="2"/>
    </row>
    <row r="10" spans="1:14" ht="18.75">
      <c r="A10" s="2"/>
      <c r="B10" s="2" t="s">
        <v>10</v>
      </c>
      <c r="C10" s="2"/>
      <c r="D10" s="2"/>
      <c r="E10" s="2"/>
      <c r="F10" s="2"/>
      <c r="G10" s="2"/>
      <c r="H10" s="2"/>
      <c r="I10" s="3">
        <v>112200</v>
      </c>
      <c r="J10" s="3">
        <v>0</v>
      </c>
      <c r="K10" s="3"/>
      <c r="L10" s="3"/>
      <c r="M10" s="3">
        <f>SUM(I10:L10)</f>
        <v>112200</v>
      </c>
      <c r="N10" s="3">
        <f>SUM(M10)</f>
        <v>112200</v>
      </c>
    </row>
    <row r="11" spans="1:14" ht="18.75">
      <c r="A11" s="2"/>
      <c r="B11" s="2" t="s">
        <v>11</v>
      </c>
      <c r="C11" s="2"/>
      <c r="D11" s="2"/>
      <c r="E11" s="2"/>
      <c r="F11" s="2"/>
      <c r="G11" s="2"/>
      <c r="H11" s="2"/>
      <c r="I11" s="3"/>
      <c r="J11" s="3"/>
      <c r="K11" s="3">
        <v>33780</v>
      </c>
      <c r="L11" s="3"/>
      <c r="M11" s="3">
        <f>SUM(I11:L11)</f>
        <v>33780</v>
      </c>
      <c r="N11" s="3">
        <f>SUM(M11)</f>
        <v>33780</v>
      </c>
    </row>
    <row r="12" spans="1:14" ht="18.75">
      <c r="A12" s="1"/>
      <c r="B12" s="1"/>
      <c r="C12" s="1" t="s">
        <v>68</v>
      </c>
      <c r="D12" s="1"/>
      <c r="E12" s="1"/>
      <c r="F12" s="1"/>
      <c r="G12" s="1"/>
      <c r="H12" s="1"/>
      <c r="I12" s="12">
        <f>SUM(I10:I11)</f>
        <v>112200</v>
      </c>
      <c r="J12" s="12">
        <f t="shared" ref="J12:M12" si="0">SUM(J10:J11)</f>
        <v>0</v>
      </c>
      <c r="K12" s="12">
        <f t="shared" si="0"/>
        <v>33780</v>
      </c>
      <c r="L12" s="12">
        <f t="shared" si="0"/>
        <v>0</v>
      </c>
      <c r="M12" s="12">
        <f t="shared" si="0"/>
        <v>145980</v>
      </c>
      <c r="N12" s="1"/>
    </row>
    <row r="13" spans="1:14" ht="18.75">
      <c r="A13" s="2"/>
      <c r="B13" s="2"/>
      <c r="C13" s="2"/>
      <c r="D13" s="2"/>
      <c r="E13" s="2"/>
      <c r="F13" s="2"/>
      <c r="G13" s="2"/>
      <c r="H13" s="2"/>
      <c r="I13" s="3"/>
      <c r="J13" s="3"/>
      <c r="K13" s="3"/>
      <c r="L13" s="3"/>
      <c r="M13" s="3"/>
      <c r="N13" s="2"/>
    </row>
    <row r="14" spans="1:14" ht="18.75">
      <c r="A14" s="1" t="s">
        <v>13</v>
      </c>
      <c r="B14" s="2"/>
      <c r="C14" s="2"/>
      <c r="D14" s="2"/>
      <c r="E14" s="2"/>
      <c r="F14" s="2"/>
      <c r="G14" s="2"/>
      <c r="H14" s="2"/>
      <c r="I14" s="3"/>
      <c r="J14" s="3"/>
      <c r="K14" s="3"/>
      <c r="L14" s="3"/>
      <c r="M14" s="3"/>
      <c r="N14" s="2"/>
    </row>
    <row r="15" spans="1:14" ht="18.75">
      <c r="A15" s="1"/>
      <c r="B15" s="2" t="s">
        <v>17</v>
      </c>
      <c r="C15" s="2"/>
      <c r="D15" s="2"/>
      <c r="E15" s="2"/>
      <c r="F15" s="2"/>
      <c r="G15" s="2"/>
      <c r="H15" s="2"/>
      <c r="I15" s="3">
        <v>11389474</v>
      </c>
      <c r="J15" s="3"/>
      <c r="K15" s="3">
        <v>125058</v>
      </c>
      <c r="L15" s="3"/>
      <c r="M15" s="3">
        <f>SUM(I15:L15)</f>
        <v>11514532</v>
      </c>
      <c r="N15" s="2"/>
    </row>
    <row r="16" spans="1:14" ht="18.75">
      <c r="A16" s="1"/>
      <c r="B16" s="2" t="s">
        <v>116</v>
      </c>
      <c r="C16" s="2"/>
      <c r="D16" s="2"/>
      <c r="E16" s="2"/>
      <c r="F16" s="2"/>
      <c r="G16" s="2"/>
      <c r="H16" s="2"/>
      <c r="I16" s="3">
        <v>2983414</v>
      </c>
      <c r="J16" s="3"/>
      <c r="K16" s="3">
        <v>13430</v>
      </c>
      <c r="L16" s="3"/>
      <c r="M16" s="3">
        <f>SUM(I16:L16)</f>
        <v>2996844</v>
      </c>
      <c r="N16" s="2"/>
    </row>
    <row r="17" spans="1:14" ht="18.75">
      <c r="A17" s="1"/>
      <c r="B17" s="2" t="s">
        <v>117</v>
      </c>
      <c r="C17" s="2"/>
      <c r="D17" s="2"/>
      <c r="E17" s="2"/>
      <c r="F17" s="2"/>
      <c r="G17" s="2"/>
      <c r="H17" s="2"/>
      <c r="I17" s="3">
        <v>1558229</v>
      </c>
      <c r="J17" s="3"/>
      <c r="K17" s="3"/>
      <c r="L17" s="3">
        <v>-14710</v>
      </c>
      <c r="M17" s="3">
        <f>SUM(I17:L17)</f>
        <v>1543519</v>
      </c>
      <c r="N17" s="2"/>
    </row>
    <row r="18" spans="1:14" ht="18.75">
      <c r="A18" s="2"/>
      <c r="B18" s="2" t="s">
        <v>118</v>
      </c>
      <c r="C18" s="2"/>
      <c r="D18" s="2"/>
      <c r="E18" s="2"/>
      <c r="F18" s="2"/>
      <c r="G18" s="2"/>
      <c r="H18" s="2"/>
      <c r="I18" s="3">
        <v>1471586</v>
      </c>
      <c r="J18" s="3"/>
      <c r="K18" s="3">
        <v>9221</v>
      </c>
      <c r="L18" s="3">
        <v>-64679</v>
      </c>
      <c r="M18" s="3">
        <f>SUM(I18:L18)</f>
        <v>1416128</v>
      </c>
      <c r="N18" s="2"/>
    </row>
    <row r="19" spans="1:14" ht="18.75">
      <c r="A19" s="2"/>
      <c r="B19" s="2" t="s">
        <v>119</v>
      </c>
      <c r="C19" s="2"/>
      <c r="D19" s="2"/>
      <c r="E19" s="2"/>
      <c r="F19" s="2"/>
      <c r="G19" s="2"/>
      <c r="H19" s="2"/>
      <c r="I19" s="3">
        <v>926073</v>
      </c>
      <c r="J19" s="3"/>
      <c r="K19" s="3">
        <v>65407</v>
      </c>
      <c r="L19" s="3"/>
      <c r="M19" s="3">
        <f t="shared" ref="M19:M21" si="1">SUM(I19:L19)</f>
        <v>991480</v>
      </c>
      <c r="N19" s="2"/>
    </row>
    <row r="20" spans="1:14" ht="18.75">
      <c r="A20" s="2"/>
      <c r="B20" s="2" t="s">
        <v>30</v>
      </c>
      <c r="C20" s="2"/>
      <c r="D20" s="2"/>
      <c r="E20" s="2"/>
      <c r="F20" s="2"/>
      <c r="G20" s="2"/>
      <c r="H20" s="2"/>
      <c r="I20" s="3">
        <v>550399</v>
      </c>
      <c r="J20" s="3"/>
      <c r="K20" s="3"/>
      <c r="L20" s="3">
        <v>-975</v>
      </c>
      <c r="M20" s="3">
        <f t="shared" si="1"/>
        <v>549424</v>
      </c>
      <c r="N20" s="2"/>
    </row>
    <row r="21" spans="1:14" ht="18.75">
      <c r="A21" s="2"/>
      <c r="B21" s="2" t="s">
        <v>120</v>
      </c>
      <c r="C21" s="2"/>
      <c r="D21" s="2"/>
      <c r="E21" s="2"/>
      <c r="F21" s="2"/>
      <c r="G21" s="2"/>
      <c r="H21" s="2"/>
      <c r="I21" s="3">
        <v>690885</v>
      </c>
      <c r="J21" s="3"/>
      <c r="K21" s="3">
        <v>35230</v>
      </c>
      <c r="L21" s="3">
        <v>-15247</v>
      </c>
      <c r="M21" s="3">
        <f t="shared" si="1"/>
        <v>710868</v>
      </c>
      <c r="N21" s="2"/>
    </row>
    <row r="22" spans="1:14" ht="18.75">
      <c r="A22" s="2"/>
      <c r="B22" s="2"/>
      <c r="C22" s="1" t="s">
        <v>18</v>
      </c>
      <c r="D22" s="2"/>
      <c r="E22" s="2"/>
      <c r="F22" s="2"/>
      <c r="G22" s="2"/>
      <c r="H22" s="2"/>
      <c r="I22" s="13">
        <f>SUM(I15:I21)</f>
        <v>19570060</v>
      </c>
      <c r="J22" s="13">
        <f t="shared" ref="J22:M22" si="2">SUM(J15:J21)</f>
        <v>0</v>
      </c>
      <c r="K22" s="13">
        <f t="shared" si="2"/>
        <v>248346</v>
      </c>
      <c r="L22" s="13">
        <f t="shared" si="2"/>
        <v>-95611</v>
      </c>
      <c r="M22" s="13">
        <f t="shared" si="2"/>
        <v>19722795</v>
      </c>
      <c r="N22" s="2"/>
    </row>
    <row r="23" spans="1:14" ht="18.75">
      <c r="A23" s="2"/>
      <c r="B23" s="2"/>
      <c r="C23" s="1"/>
      <c r="D23" s="2"/>
      <c r="E23" s="2"/>
      <c r="F23" s="2"/>
      <c r="G23" s="2"/>
      <c r="H23" s="2"/>
      <c r="I23" s="15"/>
      <c r="J23" s="15"/>
      <c r="K23" s="15"/>
      <c r="L23" s="15"/>
      <c r="M23" s="15"/>
      <c r="N23" s="2"/>
    </row>
    <row r="24" spans="1:14" ht="18.75">
      <c r="A24" s="2" t="s">
        <v>19</v>
      </c>
      <c r="B24" s="2"/>
      <c r="C24" s="2"/>
      <c r="D24" s="2"/>
      <c r="E24" s="2"/>
      <c r="F24" s="2"/>
      <c r="G24" s="2"/>
      <c r="H24" s="2"/>
      <c r="I24" s="3"/>
      <c r="J24" s="3"/>
      <c r="K24" s="3"/>
      <c r="L24" s="3"/>
      <c r="M24" s="3"/>
      <c r="N24" s="2"/>
    </row>
    <row r="25" spans="1:14" ht="18.75">
      <c r="A25" s="2"/>
      <c r="B25" s="2" t="s">
        <v>121</v>
      </c>
      <c r="C25" s="2"/>
      <c r="D25" s="2"/>
      <c r="E25" s="2"/>
      <c r="F25" s="2"/>
      <c r="G25" s="2"/>
      <c r="H25" s="2"/>
      <c r="I25" s="3">
        <v>8368120</v>
      </c>
      <c r="J25" s="3"/>
      <c r="K25" s="3">
        <v>113919</v>
      </c>
      <c r="L25" s="3">
        <v>0</v>
      </c>
      <c r="M25" s="3">
        <f>SUM(I25:L25)</f>
        <v>8482039</v>
      </c>
      <c r="N25" s="3">
        <f>M15-M25</f>
        <v>3032493</v>
      </c>
    </row>
    <row r="26" spans="1:14" ht="18.75">
      <c r="A26" s="2"/>
      <c r="B26" s="2" t="s">
        <v>122</v>
      </c>
      <c r="C26" s="2"/>
      <c r="D26" s="2"/>
      <c r="E26" s="2"/>
      <c r="F26" s="2"/>
      <c r="G26" s="2"/>
      <c r="H26" s="2"/>
      <c r="I26" s="3">
        <v>2553563</v>
      </c>
      <c r="J26" s="3"/>
      <c r="K26" s="3">
        <v>18176</v>
      </c>
      <c r="L26" s="3">
        <v>0</v>
      </c>
      <c r="M26" s="3">
        <f>SUM(I26:L26)</f>
        <v>2571739</v>
      </c>
      <c r="N26" s="3">
        <f t="shared" ref="N26:N31" si="3">M16-M26</f>
        <v>425105</v>
      </c>
    </row>
    <row r="27" spans="1:14" ht="18.75">
      <c r="A27" s="2"/>
      <c r="B27" s="2" t="s">
        <v>117</v>
      </c>
      <c r="C27" s="2"/>
      <c r="D27" s="2"/>
      <c r="E27" s="2"/>
      <c r="F27" s="2"/>
      <c r="G27" s="2"/>
      <c r="H27" s="2"/>
      <c r="I27" s="3">
        <v>214205</v>
      </c>
      <c r="J27" s="3"/>
      <c r="K27" s="3">
        <v>61531</v>
      </c>
      <c r="L27" s="3">
        <v>-12749</v>
      </c>
      <c r="M27" s="3">
        <f>SUM(I27:L27)</f>
        <v>262987</v>
      </c>
      <c r="N27" s="3">
        <f t="shared" si="3"/>
        <v>1280532</v>
      </c>
    </row>
    <row r="28" spans="1:14" ht="18.75">
      <c r="A28" s="2"/>
      <c r="B28" s="2" t="s">
        <v>118</v>
      </c>
      <c r="C28" s="2"/>
      <c r="D28" s="2"/>
      <c r="E28" s="2"/>
      <c r="F28" s="2"/>
      <c r="G28" s="2"/>
      <c r="H28" s="2"/>
      <c r="I28" s="3">
        <v>1140968</v>
      </c>
      <c r="J28" s="3">
        <v>-80</v>
      </c>
      <c r="K28" s="3">
        <v>71408</v>
      </c>
      <c r="L28" s="3">
        <v>-47474</v>
      </c>
      <c r="M28" s="3">
        <f>SUM(I28:L28)</f>
        <v>1164822</v>
      </c>
      <c r="N28" s="3">
        <f t="shared" si="3"/>
        <v>251306</v>
      </c>
    </row>
    <row r="29" spans="1:14" ht="18.75">
      <c r="A29" s="2"/>
      <c r="B29" s="2" t="s">
        <v>119</v>
      </c>
      <c r="C29" s="2"/>
      <c r="D29" s="2"/>
      <c r="E29" s="2"/>
      <c r="F29" s="2"/>
      <c r="G29" s="2"/>
      <c r="H29" s="2"/>
      <c r="I29" s="3">
        <v>630079</v>
      </c>
      <c r="J29" s="3"/>
      <c r="K29" s="3">
        <v>51388</v>
      </c>
      <c r="L29" s="3"/>
      <c r="M29" s="3">
        <f t="shared" ref="M29:M31" si="4">SUM(I29:L29)</f>
        <v>681467</v>
      </c>
      <c r="N29" s="3">
        <f t="shared" si="3"/>
        <v>310013</v>
      </c>
    </row>
    <row r="30" spans="1:14" ht="18.75">
      <c r="A30" s="2"/>
      <c r="B30" s="2" t="s">
        <v>30</v>
      </c>
      <c r="C30" s="2"/>
      <c r="D30" s="2"/>
      <c r="E30" s="2"/>
      <c r="F30" s="2"/>
      <c r="G30" s="2"/>
      <c r="H30" s="2"/>
      <c r="I30" s="3">
        <v>300201</v>
      </c>
      <c r="J30" s="3">
        <v>80</v>
      </c>
      <c r="K30" s="3">
        <v>48564</v>
      </c>
      <c r="L30" s="3">
        <v>-975</v>
      </c>
      <c r="M30" s="3">
        <f t="shared" si="4"/>
        <v>347870</v>
      </c>
      <c r="N30" s="3">
        <f t="shared" si="3"/>
        <v>201554</v>
      </c>
    </row>
    <row r="31" spans="1:14" ht="18.75">
      <c r="A31" s="2"/>
      <c r="B31" s="2" t="s">
        <v>120</v>
      </c>
      <c r="C31" s="2"/>
      <c r="D31" s="2"/>
      <c r="E31" s="2"/>
      <c r="F31" s="2"/>
      <c r="G31" s="2"/>
      <c r="H31" s="2"/>
      <c r="I31" s="3">
        <v>612308</v>
      </c>
      <c r="J31" s="3"/>
      <c r="K31" s="3">
        <v>29741</v>
      </c>
      <c r="L31" s="3">
        <v>-15247</v>
      </c>
      <c r="M31" s="3">
        <f t="shared" si="4"/>
        <v>626802</v>
      </c>
      <c r="N31" s="3">
        <f t="shared" si="3"/>
        <v>84066</v>
      </c>
    </row>
    <row r="32" spans="1:14" ht="18.75">
      <c r="A32" s="1"/>
      <c r="B32" s="1"/>
      <c r="C32" s="1" t="s">
        <v>20</v>
      </c>
      <c r="D32" s="1"/>
      <c r="E32" s="1"/>
      <c r="F32" s="1"/>
      <c r="G32" s="1"/>
      <c r="H32" s="1"/>
      <c r="I32" s="10">
        <f>SUM(I25:I31)</f>
        <v>13819444</v>
      </c>
      <c r="J32" s="10">
        <f t="shared" ref="J32:M32" si="5">SUM(J25:J31)</f>
        <v>0</v>
      </c>
      <c r="K32" s="10">
        <f t="shared" si="5"/>
        <v>394727</v>
      </c>
      <c r="L32" s="10">
        <f t="shared" si="5"/>
        <v>-76445</v>
      </c>
      <c r="M32" s="10">
        <f t="shared" si="5"/>
        <v>14137726</v>
      </c>
      <c r="N32" s="1"/>
    </row>
    <row r="33" spans="1:14" ht="18.75">
      <c r="A33" s="1"/>
      <c r="B33" s="1"/>
      <c r="C33" s="1"/>
      <c r="D33" s="1"/>
      <c r="E33" s="1"/>
      <c r="F33" s="1"/>
      <c r="G33" s="1"/>
      <c r="H33" s="1"/>
      <c r="I33" s="10"/>
      <c r="J33" s="10"/>
      <c r="K33" s="10"/>
      <c r="L33" s="10"/>
      <c r="M33" s="10"/>
      <c r="N33" s="1"/>
    </row>
    <row r="34" spans="1:14" ht="18.75">
      <c r="A34" s="1"/>
      <c r="B34" s="1" t="s">
        <v>21</v>
      </c>
      <c r="C34" s="1"/>
      <c r="D34" s="1"/>
      <c r="E34" s="1"/>
      <c r="F34" s="1"/>
      <c r="G34" s="1"/>
      <c r="H34" s="1"/>
      <c r="I34" s="10">
        <f>I22-I32</f>
        <v>5750616</v>
      </c>
      <c r="J34" s="10">
        <f t="shared" ref="J34:M34" si="6">J22-J32</f>
        <v>0</v>
      </c>
      <c r="K34" s="10">
        <f t="shared" si="6"/>
        <v>-146381</v>
      </c>
      <c r="L34" s="10">
        <f t="shared" si="6"/>
        <v>-19166</v>
      </c>
      <c r="M34" s="10">
        <f t="shared" si="6"/>
        <v>5585069</v>
      </c>
      <c r="N34" s="1"/>
    </row>
    <row r="35" spans="1:14" ht="18.75">
      <c r="A35" s="1"/>
      <c r="B35" s="1"/>
      <c r="C35" s="1"/>
      <c r="D35" s="1"/>
      <c r="E35" s="1"/>
      <c r="F35" s="1"/>
      <c r="G35" s="1"/>
      <c r="H35" s="1"/>
      <c r="I35" s="31"/>
      <c r="J35" s="31"/>
      <c r="K35" s="31"/>
      <c r="L35" s="31"/>
      <c r="M35" s="31"/>
      <c r="N35" s="1"/>
    </row>
    <row r="36" spans="1:14" ht="18.75">
      <c r="A36" s="2"/>
      <c r="B36" s="1" t="s">
        <v>22</v>
      </c>
      <c r="C36" s="2"/>
      <c r="D36" s="2"/>
      <c r="E36" s="2"/>
      <c r="F36" s="2"/>
      <c r="G36" s="2"/>
      <c r="H36" s="2"/>
      <c r="I36" s="14">
        <f>I12+I34</f>
        <v>5862816</v>
      </c>
      <c r="J36" s="14">
        <f>J12+J34</f>
        <v>0</v>
      </c>
      <c r="K36" s="14">
        <f>K12+K34</f>
        <v>-112601</v>
      </c>
      <c r="L36" s="14">
        <f>L12+L34</f>
        <v>-19166</v>
      </c>
      <c r="M36" s="14">
        <f>M12+M34</f>
        <v>5731049</v>
      </c>
      <c r="N36" s="3">
        <f>SUM(N25:N31, N10:N12)</f>
        <v>5731049</v>
      </c>
    </row>
    <row r="37" spans="1:14" ht="18.75">
      <c r="A37" s="2"/>
      <c r="B37" s="1"/>
      <c r="C37" s="2"/>
      <c r="D37" s="2"/>
      <c r="E37" s="2"/>
      <c r="F37" s="2"/>
      <c r="G37" s="2"/>
      <c r="H37" s="2"/>
      <c r="I37" s="15"/>
      <c r="J37" s="15"/>
      <c r="K37" s="15"/>
      <c r="L37" s="15"/>
      <c r="M37" s="15"/>
      <c r="N37" s="2"/>
    </row>
    <row r="38" spans="1:14" ht="18.75">
      <c r="A38" s="2"/>
      <c r="B38" s="2"/>
      <c r="C38" s="2"/>
      <c r="D38" s="2"/>
      <c r="E38" s="2"/>
      <c r="F38" s="2"/>
      <c r="G38" s="2"/>
      <c r="H38" s="2"/>
      <c r="I38" s="3"/>
      <c r="J38" s="3"/>
      <c r="K38" s="3"/>
      <c r="L38" s="3"/>
      <c r="M38" s="3"/>
      <c r="N38" s="2"/>
    </row>
  </sheetData>
  <mergeCells count="3">
    <mergeCell ref="D1:I1"/>
    <mergeCell ref="D2:I2"/>
    <mergeCell ref="D3:I3"/>
  </mergeCells>
  <pageMargins left="0.7" right="0.7" top="0.75" bottom="0.75" header="0.3" footer="0.3"/>
  <extLst>
    <ext xmlns:mx="http://schemas.microsoft.com/office/mac/excel/2008/main" uri="{64002731-A6B0-56B0-2670-7721B7C09600}">
      <mx:PLV Mode="0" OnePage="0" WScale="0"/>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73"/>
  <sheetViews>
    <sheetView topLeftCell="A28" zoomScale="70" zoomScaleNormal="70" zoomScalePageLayoutView="70" workbookViewId="0">
      <selection activeCell="R66" sqref="R66"/>
    </sheetView>
  </sheetViews>
  <sheetFormatPr defaultColWidth="8.85546875" defaultRowHeight="15"/>
  <cols>
    <col min="9" max="9" width="16.42578125" customWidth="1"/>
    <col min="10" max="10" width="15.85546875" customWidth="1"/>
    <col min="11" max="11" width="16" customWidth="1"/>
    <col min="12" max="12" width="15.140625" customWidth="1"/>
    <col min="13" max="13" width="16" customWidth="1"/>
    <col min="14" max="14" width="18.28515625" customWidth="1"/>
  </cols>
  <sheetData>
    <row r="1" spans="1:14" ht="18.75">
      <c r="A1" s="2"/>
      <c r="B1" s="2"/>
      <c r="C1" s="2"/>
      <c r="D1" s="136" t="s">
        <v>123</v>
      </c>
      <c r="E1" s="136"/>
      <c r="F1" s="136"/>
      <c r="G1" s="136"/>
      <c r="H1" s="136"/>
      <c r="I1" s="136"/>
      <c r="J1" s="3"/>
      <c r="K1" s="3"/>
      <c r="L1" s="3"/>
      <c r="M1" s="3"/>
      <c r="N1" s="2"/>
    </row>
    <row r="2" spans="1:14" ht="18.75">
      <c r="A2" s="2"/>
      <c r="B2" s="2"/>
      <c r="C2" s="2"/>
      <c r="D2" s="136" t="s">
        <v>1</v>
      </c>
      <c r="E2" s="136"/>
      <c r="F2" s="136"/>
      <c r="G2" s="136"/>
      <c r="H2" s="136"/>
      <c r="I2" s="136"/>
      <c r="J2" s="3"/>
      <c r="K2" s="3"/>
      <c r="L2" s="3"/>
      <c r="M2" s="3"/>
      <c r="N2" s="2"/>
    </row>
    <row r="3" spans="1:14" ht="18.75">
      <c r="A3" s="2"/>
      <c r="B3" s="2"/>
      <c r="C3" s="2"/>
      <c r="D3" s="136" t="s">
        <v>2</v>
      </c>
      <c r="E3" s="136"/>
      <c r="F3" s="136"/>
      <c r="G3" s="136"/>
      <c r="H3" s="136"/>
      <c r="I3" s="136"/>
      <c r="J3" s="3"/>
      <c r="K3" s="3"/>
      <c r="L3" s="3"/>
      <c r="M3" s="3"/>
      <c r="N3" s="2"/>
    </row>
    <row r="4" spans="1:14" ht="18.75">
      <c r="A4" s="2"/>
      <c r="B4" s="2"/>
      <c r="C4" s="2"/>
      <c r="D4" s="69"/>
      <c r="E4" s="69"/>
      <c r="F4" s="69"/>
      <c r="G4" s="69"/>
      <c r="H4" s="69"/>
      <c r="I4" s="4"/>
      <c r="J4" s="3"/>
      <c r="K4" s="3"/>
      <c r="L4" s="3"/>
      <c r="M4" s="3"/>
      <c r="N4" s="2"/>
    </row>
    <row r="5" spans="1:14" ht="37.5">
      <c r="A5" s="2"/>
      <c r="B5" s="2"/>
      <c r="C5" s="2"/>
      <c r="D5" s="2"/>
      <c r="E5" s="2"/>
      <c r="F5" s="2"/>
      <c r="G5" s="2"/>
      <c r="H5" s="2"/>
      <c r="I5" s="11" t="s">
        <v>3</v>
      </c>
      <c r="J5" s="11" t="s">
        <v>67</v>
      </c>
      <c r="K5" s="11" t="s">
        <v>45</v>
      </c>
      <c r="L5" s="11" t="s">
        <v>46</v>
      </c>
      <c r="M5" s="11" t="s">
        <v>6</v>
      </c>
      <c r="N5" s="11" t="s">
        <v>7</v>
      </c>
    </row>
    <row r="6" spans="1:14" ht="18.75">
      <c r="A6" s="2"/>
      <c r="B6" s="2"/>
      <c r="C6" s="2"/>
      <c r="D6" s="2"/>
      <c r="E6" s="2"/>
      <c r="F6" s="2"/>
      <c r="G6" s="2"/>
      <c r="H6" s="2"/>
      <c r="I6" s="16"/>
      <c r="J6" s="16"/>
      <c r="K6" s="16"/>
      <c r="L6" s="16"/>
      <c r="M6" s="16"/>
      <c r="N6" s="2"/>
    </row>
    <row r="7" spans="1:14" ht="18.75">
      <c r="A7" s="1" t="s">
        <v>49</v>
      </c>
      <c r="B7" s="1"/>
      <c r="C7" s="1"/>
      <c r="D7" s="1"/>
      <c r="E7" s="1"/>
      <c r="F7" s="1"/>
      <c r="G7" s="2"/>
      <c r="H7" s="2"/>
      <c r="I7" s="3"/>
      <c r="J7" s="3"/>
      <c r="K7" s="3"/>
      <c r="L7" s="3"/>
      <c r="M7" s="3"/>
      <c r="N7" s="2"/>
    </row>
    <row r="8" spans="1:14" ht="18.75">
      <c r="A8" s="1" t="s">
        <v>50</v>
      </c>
      <c r="B8" s="1"/>
      <c r="C8" s="1"/>
      <c r="D8" s="1"/>
      <c r="E8" s="1"/>
      <c r="F8" s="1"/>
      <c r="G8" s="2"/>
      <c r="H8" s="2"/>
      <c r="I8" s="3"/>
      <c r="J8" s="3"/>
      <c r="K8" s="3"/>
      <c r="L8" s="3"/>
      <c r="M8" s="3"/>
      <c r="N8" s="2"/>
    </row>
    <row r="9" spans="1:14" ht="18.75">
      <c r="A9" s="1" t="s">
        <v>9</v>
      </c>
      <c r="B9" s="1"/>
      <c r="C9" s="1"/>
      <c r="D9" s="1"/>
      <c r="E9" s="1"/>
      <c r="F9" s="1"/>
      <c r="G9" s="2"/>
      <c r="H9" s="2"/>
      <c r="I9" s="3"/>
      <c r="J9" s="3"/>
      <c r="K9" s="3"/>
      <c r="L9" s="3"/>
      <c r="M9" s="3"/>
      <c r="N9" s="2"/>
    </row>
    <row r="10" spans="1:14" ht="18.75">
      <c r="A10" s="2"/>
      <c r="B10" s="2" t="s">
        <v>10</v>
      </c>
      <c r="C10" s="2"/>
      <c r="D10" s="2"/>
      <c r="E10" s="2"/>
      <c r="F10" s="2"/>
      <c r="G10" s="2"/>
      <c r="H10" s="2"/>
      <c r="I10" s="3"/>
      <c r="J10" s="3"/>
      <c r="K10" s="3"/>
      <c r="L10" s="3"/>
      <c r="M10" s="3"/>
      <c r="N10" s="3"/>
    </row>
    <row r="11" spans="1:14" ht="18.75">
      <c r="A11" s="2"/>
      <c r="B11" s="2"/>
      <c r="C11" s="2" t="s">
        <v>124</v>
      </c>
      <c r="D11" s="2"/>
      <c r="E11" s="2"/>
      <c r="F11" s="2"/>
      <c r="G11" s="2"/>
      <c r="H11" s="2"/>
      <c r="I11" s="3">
        <v>49900</v>
      </c>
      <c r="J11" s="3"/>
      <c r="K11" s="3">
        <v>170670</v>
      </c>
      <c r="L11" s="3"/>
      <c r="M11" s="3">
        <f t="shared" ref="M11:M14" si="0">SUM(I11:L11)</f>
        <v>220570</v>
      </c>
      <c r="N11" s="3">
        <f t="shared" ref="N11:N14" si="1">SUM(M11)</f>
        <v>220570</v>
      </c>
    </row>
    <row r="12" spans="1:14" ht="18.75">
      <c r="A12" s="2"/>
      <c r="B12" s="2"/>
      <c r="C12" s="2" t="s">
        <v>125</v>
      </c>
      <c r="D12" s="2"/>
      <c r="E12" s="2"/>
      <c r="F12" s="2"/>
      <c r="G12" s="2"/>
      <c r="H12" s="2"/>
      <c r="I12" s="3">
        <v>3580</v>
      </c>
      <c r="J12" s="3"/>
      <c r="K12" s="3"/>
      <c r="L12" s="3"/>
      <c r="M12" s="3">
        <f t="shared" si="0"/>
        <v>3580</v>
      </c>
      <c r="N12" s="3">
        <f t="shared" si="1"/>
        <v>3580</v>
      </c>
    </row>
    <row r="13" spans="1:14" ht="18.75">
      <c r="A13" s="2"/>
      <c r="B13" s="2"/>
      <c r="C13" s="2" t="s">
        <v>126</v>
      </c>
      <c r="D13" s="2"/>
      <c r="E13" s="2"/>
      <c r="F13" s="2"/>
      <c r="G13" s="2"/>
      <c r="H13" s="2"/>
      <c r="I13" s="3">
        <v>30000</v>
      </c>
      <c r="J13" s="3"/>
      <c r="K13" s="3"/>
      <c r="L13" s="3"/>
      <c r="M13" s="3">
        <f t="shared" si="0"/>
        <v>30000</v>
      </c>
      <c r="N13" s="3">
        <f t="shared" si="1"/>
        <v>30000</v>
      </c>
    </row>
    <row r="14" spans="1:14" ht="18.75">
      <c r="A14" s="2"/>
      <c r="B14" s="2"/>
      <c r="C14" s="2" t="s">
        <v>127</v>
      </c>
      <c r="D14" s="2"/>
      <c r="E14" s="2"/>
      <c r="F14" s="2"/>
      <c r="G14" s="2"/>
      <c r="H14" s="2"/>
      <c r="I14" s="3">
        <v>15360</v>
      </c>
      <c r="J14" s="3">
        <v>2340</v>
      </c>
      <c r="K14" s="3">
        <v>667</v>
      </c>
      <c r="L14" s="3">
        <v>-1729</v>
      </c>
      <c r="M14" s="3">
        <f t="shared" si="0"/>
        <v>16638</v>
      </c>
      <c r="N14" s="3">
        <f t="shared" si="1"/>
        <v>16638</v>
      </c>
    </row>
    <row r="15" spans="1:14" ht="18.75">
      <c r="A15" s="2"/>
      <c r="B15" s="2" t="s">
        <v>11</v>
      </c>
      <c r="C15" s="2"/>
      <c r="D15" s="2"/>
      <c r="E15" s="2"/>
      <c r="F15" s="2"/>
      <c r="G15" s="2"/>
      <c r="H15" s="2"/>
      <c r="I15" s="3">
        <v>2341387</v>
      </c>
      <c r="J15" s="3"/>
      <c r="K15" s="3">
        <v>845221</v>
      </c>
      <c r="L15" s="3">
        <v>-3143346</v>
      </c>
      <c r="M15" s="3">
        <f>SUM(I15:L15)</f>
        <v>43262</v>
      </c>
      <c r="N15" s="3">
        <f>SUM(M15)</f>
        <v>43262</v>
      </c>
    </row>
    <row r="16" spans="1:14" ht="18.75">
      <c r="A16" s="1"/>
      <c r="B16" s="1"/>
      <c r="C16" s="1" t="s">
        <v>68</v>
      </c>
      <c r="D16" s="1"/>
      <c r="E16" s="1"/>
      <c r="F16" s="1"/>
      <c r="G16" s="1"/>
      <c r="H16" s="1"/>
      <c r="I16" s="12">
        <f>SUM(I10:I15)</f>
        <v>2440227</v>
      </c>
      <c r="J16" s="12">
        <f t="shared" ref="J16:M16" si="2">SUM(J10:J15)</f>
        <v>2340</v>
      </c>
      <c r="K16" s="12">
        <f t="shared" si="2"/>
        <v>1016558</v>
      </c>
      <c r="L16" s="12">
        <f t="shared" si="2"/>
        <v>-3145075</v>
      </c>
      <c r="M16" s="12">
        <f t="shared" si="2"/>
        <v>314050</v>
      </c>
      <c r="N16" s="1"/>
    </row>
    <row r="17" spans="1:14" ht="18.75">
      <c r="A17" s="2"/>
      <c r="B17" s="2"/>
      <c r="C17" s="2"/>
      <c r="D17" s="2"/>
      <c r="E17" s="2"/>
      <c r="F17" s="2"/>
      <c r="G17" s="2"/>
      <c r="H17" s="2"/>
      <c r="I17" s="3"/>
      <c r="J17" s="3"/>
      <c r="K17" s="3"/>
      <c r="L17" s="3"/>
      <c r="M17" s="3"/>
      <c r="N17" s="2"/>
    </row>
    <row r="18" spans="1:14" ht="18.75">
      <c r="A18" s="1" t="s">
        <v>13</v>
      </c>
      <c r="B18" s="2"/>
      <c r="C18" s="2"/>
      <c r="D18" s="2"/>
      <c r="E18" s="2"/>
      <c r="F18" s="2"/>
      <c r="G18" s="2"/>
      <c r="H18" s="2"/>
      <c r="I18" s="3"/>
      <c r="J18" s="3"/>
      <c r="K18" s="3"/>
      <c r="L18" s="3"/>
      <c r="M18" s="3"/>
      <c r="N18" s="2"/>
    </row>
    <row r="19" spans="1:14" ht="18.75">
      <c r="A19" s="1"/>
      <c r="B19" s="2" t="s">
        <v>17</v>
      </c>
      <c r="C19" s="2"/>
      <c r="D19" s="2"/>
      <c r="E19" s="2"/>
      <c r="F19" s="2"/>
      <c r="G19" s="2"/>
      <c r="H19" s="2"/>
      <c r="I19" s="3"/>
      <c r="J19" s="3"/>
      <c r="K19" s="3"/>
      <c r="L19" s="3"/>
      <c r="M19" s="3"/>
      <c r="N19" s="2"/>
    </row>
    <row r="20" spans="1:14" ht="18.75">
      <c r="A20" s="1"/>
      <c r="B20" s="2"/>
      <c r="C20" s="2" t="s">
        <v>53</v>
      </c>
      <c r="D20" s="2"/>
      <c r="E20" s="2"/>
      <c r="F20" s="2"/>
      <c r="G20" s="2"/>
      <c r="H20" s="2"/>
      <c r="I20" s="3">
        <v>15517189</v>
      </c>
      <c r="J20" s="3"/>
      <c r="K20" s="3"/>
      <c r="L20" s="3"/>
      <c r="M20" s="3">
        <f t="shared" ref="M20:M41" si="3">SUM(I20:L20)</f>
        <v>15517189</v>
      </c>
      <c r="N20" s="2"/>
    </row>
    <row r="21" spans="1:14" ht="18.75">
      <c r="A21" s="1"/>
      <c r="B21" s="2"/>
      <c r="C21" s="2" t="s">
        <v>54</v>
      </c>
      <c r="D21" s="2"/>
      <c r="E21" s="2"/>
      <c r="F21" s="2"/>
      <c r="G21" s="2"/>
      <c r="H21" s="2"/>
      <c r="I21" s="3">
        <v>1912668</v>
      </c>
      <c r="J21" s="3"/>
      <c r="K21" s="3"/>
      <c r="L21" s="3"/>
      <c r="M21" s="3">
        <f t="shared" si="3"/>
        <v>1912668</v>
      </c>
      <c r="N21" s="2"/>
    </row>
    <row r="22" spans="1:14" ht="18.75">
      <c r="A22" s="1"/>
      <c r="B22" s="2" t="s">
        <v>103</v>
      </c>
      <c r="C22" s="2"/>
      <c r="D22" s="2"/>
      <c r="E22" s="2"/>
      <c r="F22" s="2"/>
      <c r="G22" s="2"/>
      <c r="H22" s="2"/>
      <c r="I22" s="3">
        <v>15995</v>
      </c>
      <c r="J22" s="3"/>
      <c r="K22" s="3"/>
      <c r="L22" s="3"/>
      <c r="M22" s="3">
        <f>SUM(I22:L22)</f>
        <v>15995</v>
      </c>
      <c r="N22" s="2"/>
    </row>
    <row r="23" spans="1:14" ht="18.75">
      <c r="A23" s="1"/>
      <c r="B23" s="2" t="s">
        <v>14</v>
      </c>
      <c r="C23" s="2"/>
      <c r="D23" s="2"/>
      <c r="E23" s="2"/>
      <c r="F23" s="2"/>
      <c r="G23" s="2"/>
      <c r="H23" s="2"/>
      <c r="I23" s="3">
        <v>2549623</v>
      </c>
      <c r="J23" s="3"/>
      <c r="K23" s="3">
        <v>240942</v>
      </c>
      <c r="L23" s="3">
        <v>-200000</v>
      </c>
      <c r="M23" s="3">
        <f t="shared" si="3"/>
        <v>2590565</v>
      </c>
      <c r="N23" s="2"/>
    </row>
    <row r="24" spans="1:14" ht="18.75">
      <c r="A24" s="2"/>
      <c r="B24" s="2" t="s">
        <v>128</v>
      </c>
      <c r="C24" s="2"/>
      <c r="D24" s="2"/>
      <c r="E24" s="2"/>
      <c r="F24" s="2"/>
      <c r="G24" s="2"/>
      <c r="H24" s="2"/>
      <c r="I24" s="3">
        <v>2849685</v>
      </c>
      <c r="J24" s="3"/>
      <c r="K24" s="3">
        <v>289996</v>
      </c>
      <c r="L24" s="3">
        <v>-280508</v>
      </c>
      <c r="M24" s="3">
        <f t="shared" si="3"/>
        <v>2859173</v>
      </c>
      <c r="N24" s="2"/>
    </row>
    <row r="25" spans="1:14" ht="18.75">
      <c r="A25" s="2"/>
      <c r="B25" s="2" t="s">
        <v>129</v>
      </c>
      <c r="C25" s="2"/>
      <c r="D25" s="2"/>
      <c r="E25" s="2"/>
      <c r="F25" s="2"/>
      <c r="G25" s="2"/>
      <c r="H25" s="2"/>
      <c r="I25" s="3">
        <v>82575</v>
      </c>
      <c r="J25" s="3"/>
      <c r="K25" s="3"/>
      <c r="L25" s="3">
        <v>-18500</v>
      </c>
      <c r="M25" s="3">
        <f t="shared" si="3"/>
        <v>64075</v>
      </c>
      <c r="N25" s="2"/>
    </row>
    <row r="26" spans="1:14" ht="18.75">
      <c r="A26" s="2"/>
      <c r="B26" s="2" t="s">
        <v>30</v>
      </c>
      <c r="C26" s="2"/>
      <c r="D26" s="2"/>
      <c r="E26" s="2"/>
      <c r="F26" s="2"/>
      <c r="G26" s="2"/>
      <c r="H26" s="2"/>
      <c r="I26" s="3">
        <v>232447</v>
      </c>
      <c r="J26" s="3"/>
      <c r="K26" s="3"/>
      <c r="L26" s="3">
        <v>-14368</v>
      </c>
      <c r="M26" s="3">
        <f t="shared" si="3"/>
        <v>218079</v>
      </c>
      <c r="N26" s="2"/>
    </row>
    <row r="27" spans="1:14" ht="18.75">
      <c r="A27" s="2"/>
      <c r="B27" s="2" t="s">
        <v>130</v>
      </c>
      <c r="C27" s="2"/>
      <c r="D27" s="2"/>
      <c r="E27" s="2"/>
      <c r="F27" s="2"/>
      <c r="G27" s="2"/>
      <c r="H27" s="2"/>
      <c r="I27" s="3">
        <v>249691</v>
      </c>
      <c r="J27" s="3"/>
      <c r="K27" s="3">
        <v>5650</v>
      </c>
      <c r="L27" s="3">
        <v>-4500</v>
      </c>
      <c r="M27" s="3">
        <f t="shared" si="3"/>
        <v>250841</v>
      </c>
      <c r="N27" s="2"/>
    </row>
    <row r="28" spans="1:14" ht="18.75">
      <c r="A28" s="2"/>
      <c r="B28" s="2" t="s">
        <v>131</v>
      </c>
      <c r="C28" s="2"/>
      <c r="D28" s="2"/>
      <c r="E28" s="2"/>
      <c r="F28" s="2"/>
      <c r="G28" s="2"/>
      <c r="H28" s="2"/>
      <c r="I28" s="3"/>
      <c r="J28" s="3"/>
      <c r="K28" s="3"/>
      <c r="L28" s="3"/>
      <c r="M28" s="3">
        <f t="shared" si="3"/>
        <v>0</v>
      </c>
      <c r="N28" s="2"/>
    </row>
    <row r="29" spans="1:14" ht="18.75">
      <c r="A29" s="2"/>
      <c r="B29" s="2"/>
      <c r="C29" s="2" t="s">
        <v>30</v>
      </c>
      <c r="D29" s="2"/>
      <c r="E29" s="2"/>
      <c r="F29" s="2"/>
      <c r="G29" s="2"/>
      <c r="H29" s="2"/>
      <c r="I29" s="3">
        <v>45517</v>
      </c>
      <c r="J29" s="3"/>
      <c r="K29" s="3">
        <v>21514</v>
      </c>
      <c r="L29" s="3"/>
      <c r="M29" s="3">
        <f t="shared" si="3"/>
        <v>67031</v>
      </c>
      <c r="N29" s="2"/>
    </row>
    <row r="30" spans="1:14" ht="18.75">
      <c r="A30" s="2"/>
      <c r="B30" s="2"/>
      <c r="C30" s="2" t="s">
        <v>126</v>
      </c>
      <c r="D30" s="2"/>
      <c r="E30" s="2"/>
      <c r="F30" s="2"/>
      <c r="G30" s="2"/>
      <c r="H30" s="2"/>
      <c r="I30" s="3">
        <v>50506</v>
      </c>
      <c r="J30" s="3"/>
      <c r="K30" s="3"/>
      <c r="L30" s="3"/>
      <c r="M30" s="3">
        <f t="shared" si="3"/>
        <v>50506</v>
      </c>
      <c r="N30" s="2"/>
    </row>
    <row r="31" spans="1:14" ht="18.75">
      <c r="A31" s="2"/>
      <c r="B31" s="2"/>
      <c r="C31" s="2" t="s">
        <v>14</v>
      </c>
      <c r="D31" s="2"/>
      <c r="E31" s="2"/>
      <c r="F31" s="2"/>
      <c r="G31" s="2"/>
      <c r="H31" s="2"/>
      <c r="I31" s="3">
        <v>13205</v>
      </c>
      <c r="J31" s="3"/>
      <c r="K31" s="3"/>
      <c r="L31" s="3"/>
      <c r="M31" s="3">
        <f t="shared" si="3"/>
        <v>13205</v>
      </c>
      <c r="N31" s="2"/>
    </row>
    <row r="32" spans="1:14" ht="18.75">
      <c r="A32" s="2"/>
      <c r="B32" s="2" t="s">
        <v>126</v>
      </c>
      <c r="C32" s="2"/>
      <c r="D32" s="2"/>
      <c r="E32" s="2"/>
      <c r="F32" s="2"/>
      <c r="G32" s="2"/>
      <c r="H32" s="2"/>
      <c r="I32" s="3"/>
      <c r="J32" s="3"/>
      <c r="K32" s="3"/>
      <c r="L32" s="3"/>
      <c r="M32" s="3">
        <f t="shared" si="3"/>
        <v>0</v>
      </c>
      <c r="N32" s="2"/>
    </row>
    <row r="33" spans="1:14" ht="18.75">
      <c r="A33" s="2"/>
      <c r="B33" s="2"/>
      <c r="C33" s="2" t="s">
        <v>103</v>
      </c>
      <c r="D33" s="2"/>
      <c r="E33" s="2"/>
      <c r="F33" s="2"/>
      <c r="G33" s="2"/>
      <c r="H33" s="2"/>
      <c r="I33" s="3">
        <v>7800</v>
      </c>
      <c r="J33" s="3"/>
      <c r="K33" s="3"/>
      <c r="L33" s="3"/>
      <c r="M33" s="3">
        <f t="shared" si="3"/>
        <v>7800</v>
      </c>
      <c r="N33" s="2"/>
    </row>
    <row r="34" spans="1:14" ht="18.75">
      <c r="A34" s="2"/>
      <c r="B34" s="2"/>
      <c r="C34" s="2" t="s">
        <v>14</v>
      </c>
      <c r="D34" s="2"/>
      <c r="E34" s="2"/>
      <c r="F34" s="2"/>
      <c r="G34" s="2"/>
      <c r="H34" s="2"/>
      <c r="I34" s="3">
        <v>62156</v>
      </c>
      <c r="J34" s="3"/>
      <c r="K34" s="3"/>
      <c r="L34" s="3"/>
      <c r="M34" s="3">
        <f t="shared" si="3"/>
        <v>62156</v>
      </c>
      <c r="N34" s="2"/>
    </row>
    <row r="35" spans="1:14" ht="18.75">
      <c r="A35" s="2"/>
      <c r="B35" s="2"/>
      <c r="C35" s="2" t="s">
        <v>30</v>
      </c>
      <c r="D35" s="2"/>
      <c r="E35" s="2"/>
      <c r="F35" s="2"/>
      <c r="G35" s="2"/>
      <c r="H35" s="2"/>
      <c r="I35" s="3">
        <v>452963</v>
      </c>
      <c r="J35" s="3"/>
      <c r="K35" s="3"/>
      <c r="L35" s="3">
        <v>-70116</v>
      </c>
      <c r="M35" s="3">
        <f t="shared" si="3"/>
        <v>382847</v>
      </c>
      <c r="N35" s="2"/>
    </row>
    <row r="36" spans="1:14" ht="18.75">
      <c r="A36" s="2"/>
      <c r="B36" s="2"/>
      <c r="C36" s="2" t="s">
        <v>132</v>
      </c>
      <c r="D36" s="2"/>
      <c r="E36" s="2"/>
      <c r="F36" s="2"/>
      <c r="G36" s="2"/>
      <c r="H36" s="2"/>
      <c r="I36" s="3">
        <v>116327</v>
      </c>
      <c r="J36" s="3"/>
      <c r="K36" s="3"/>
      <c r="L36" s="3"/>
      <c r="M36" s="3">
        <f t="shared" si="3"/>
        <v>116327</v>
      </c>
      <c r="N36" s="2"/>
    </row>
    <row r="37" spans="1:14" ht="18.75">
      <c r="A37" s="2"/>
      <c r="B37" s="2" t="s">
        <v>133</v>
      </c>
      <c r="C37" s="2"/>
      <c r="D37" s="2"/>
      <c r="E37" s="2"/>
      <c r="F37" s="2"/>
      <c r="G37" s="2"/>
      <c r="H37" s="2"/>
      <c r="I37" s="3"/>
      <c r="J37" s="3"/>
      <c r="K37" s="3"/>
      <c r="L37" s="3"/>
      <c r="M37" s="3">
        <f t="shared" si="3"/>
        <v>0</v>
      </c>
      <c r="N37" s="2"/>
    </row>
    <row r="38" spans="1:14" ht="18.75">
      <c r="A38" s="2"/>
      <c r="B38" s="2"/>
      <c r="C38" s="2" t="s">
        <v>134</v>
      </c>
      <c r="D38" s="2"/>
      <c r="E38" s="2"/>
      <c r="F38" s="2"/>
      <c r="G38" s="2"/>
      <c r="H38" s="2"/>
      <c r="I38" s="3">
        <v>790366</v>
      </c>
      <c r="J38" s="3"/>
      <c r="K38" s="3">
        <v>3064878</v>
      </c>
      <c r="L38" s="3"/>
      <c r="M38" s="3">
        <f t="shared" si="3"/>
        <v>3855244</v>
      </c>
      <c r="N38" s="2"/>
    </row>
    <row r="39" spans="1:14" ht="18.75">
      <c r="A39" s="2"/>
      <c r="B39" s="2"/>
      <c r="C39" s="2" t="s">
        <v>30</v>
      </c>
      <c r="D39" s="2"/>
      <c r="E39" s="2"/>
      <c r="F39" s="2"/>
      <c r="G39" s="2"/>
      <c r="H39" s="2"/>
      <c r="I39" s="3">
        <v>49901</v>
      </c>
      <c r="J39" s="3"/>
      <c r="K39" s="3"/>
      <c r="L39" s="3"/>
      <c r="M39" s="3">
        <f t="shared" si="3"/>
        <v>49901</v>
      </c>
      <c r="N39" s="2"/>
    </row>
    <row r="40" spans="1:14" ht="18.75">
      <c r="A40" s="2"/>
      <c r="B40" s="2"/>
      <c r="C40" s="2" t="s">
        <v>69</v>
      </c>
      <c r="D40" s="2"/>
      <c r="E40" s="2"/>
      <c r="F40" s="2"/>
      <c r="G40" s="2"/>
      <c r="H40" s="2"/>
      <c r="I40" s="3">
        <v>96154</v>
      </c>
      <c r="J40" s="3"/>
      <c r="K40" s="3">
        <v>230967</v>
      </c>
      <c r="L40" s="3"/>
      <c r="M40" s="3">
        <f t="shared" si="3"/>
        <v>327121</v>
      </c>
      <c r="N40" s="2"/>
    </row>
    <row r="41" spans="1:14" ht="18.75">
      <c r="A41" s="2"/>
      <c r="B41" s="2"/>
      <c r="C41" s="2" t="s">
        <v>107</v>
      </c>
      <c r="D41" s="2"/>
      <c r="E41" s="2"/>
      <c r="F41" s="2"/>
      <c r="G41" s="2"/>
      <c r="H41" s="2"/>
      <c r="I41" s="3">
        <v>759823</v>
      </c>
      <c r="J41" s="3"/>
      <c r="K41" s="3">
        <v>40149</v>
      </c>
      <c r="L41" s="3">
        <v>-62768</v>
      </c>
      <c r="M41" s="3">
        <f t="shared" si="3"/>
        <v>737204</v>
      </c>
      <c r="N41" s="2"/>
    </row>
    <row r="42" spans="1:14" ht="18.75">
      <c r="A42" s="2"/>
      <c r="B42" s="2"/>
      <c r="C42" s="1" t="s">
        <v>18</v>
      </c>
      <c r="D42" s="2"/>
      <c r="E42" s="2"/>
      <c r="F42" s="2"/>
      <c r="G42" s="2"/>
      <c r="H42" s="2"/>
      <c r="I42" s="13">
        <f>SUM(I19:I41)</f>
        <v>25854591</v>
      </c>
      <c r="J42" s="13">
        <f t="shared" ref="J42:M42" si="4">SUM(J19:J41)</f>
        <v>0</v>
      </c>
      <c r="K42" s="13">
        <f t="shared" si="4"/>
        <v>3894096</v>
      </c>
      <c r="L42" s="13">
        <f t="shared" si="4"/>
        <v>-650760</v>
      </c>
      <c r="M42" s="13">
        <f t="shared" si="4"/>
        <v>29097927</v>
      </c>
      <c r="N42" s="2"/>
    </row>
    <row r="43" spans="1:14" ht="18.75">
      <c r="A43" s="2"/>
      <c r="B43" s="2"/>
      <c r="C43" s="1"/>
      <c r="D43" s="2"/>
      <c r="E43" s="2"/>
      <c r="F43" s="2"/>
      <c r="G43" s="2"/>
      <c r="H43" s="2"/>
      <c r="I43" s="15"/>
      <c r="J43" s="15"/>
      <c r="K43" s="15"/>
      <c r="L43" s="15"/>
      <c r="M43" s="15"/>
      <c r="N43" s="2"/>
    </row>
    <row r="44" spans="1:14" ht="18.75">
      <c r="A44" s="2" t="s">
        <v>19</v>
      </c>
      <c r="B44" s="2"/>
      <c r="C44" s="2"/>
      <c r="D44" s="2"/>
      <c r="E44" s="2"/>
      <c r="F44" s="2"/>
      <c r="G44" s="2"/>
      <c r="H44" s="2"/>
      <c r="I44" s="3"/>
      <c r="J44" s="3"/>
      <c r="K44" s="3"/>
      <c r="L44" s="3"/>
      <c r="M44" s="3"/>
      <c r="N44" s="2"/>
    </row>
    <row r="45" spans="1:14" ht="18.75">
      <c r="A45" s="2"/>
      <c r="B45" s="2" t="s">
        <v>135</v>
      </c>
      <c r="C45" s="2"/>
      <c r="D45" s="2"/>
      <c r="E45" s="2"/>
      <c r="F45" s="2"/>
      <c r="G45" s="2"/>
      <c r="H45" s="2"/>
      <c r="I45" s="3"/>
      <c r="J45" s="3"/>
      <c r="K45" s="3"/>
      <c r="L45" s="3"/>
      <c r="M45" s="3"/>
      <c r="N45" s="3"/>
    </row>
    <row r="46" spans="1:14" ht="18.75">
      <c r="A46" s="2"/>
      <c r="B46" s="2"/>
      <c r="C46" s="2" t="s">
        <v>53</v>
      </c>
      <c r="D46" s="2"/>
      <c r="E46" s="2"/>
      <c r="F46" s="2"/>
      <c r="G46" s="2"/>
      <c r="H46" s="2"/>
      <c r="I46" s="3">
        <v>14376010</v>
      </c>
      <c r="J46" s="3"/>
      <c r="K46" s="3">
        <v>37185</v>
      </c>
      <c r="L46" s="3"/>
      <c r="M46" s="3">
        <f t="shared" ref="M46:M67" si="5">SUM(I46:L46)</f>
        <v>14413195</v>
      </c>
      <c r="N46" s="3">
        <f>SUM(M20-M46)</f>
        <v>1103994</v>
      </c>
    </row>
    <row r="47" spans="1:14" ht="18.75">
      <c r="A47" s="2"/>
      <c r="B47" s="2"/>
      <c r="C47" s="2" t="s">
        <v>54</v>
      </c>
      <c r="D47" s="2"/>
      <c r="E47" s="2"/>
      <c r="F47" s="2"/>
      <c r="G47" s="2"/>
      <c r="H47" s="2"/>
      <c r="I47" s="3">
        <v>1214453</v>
      </c>
      <c r="J47" s="3"/>
      <c r="K47" s="3">
        <v>42681</v>
      </c>
      <c r="L47" s="3"/>
      <c r="M47" s="3">
        <f t="shared" si="5"/>
        <v>1257134</v>
      </c>
      <c r="N47" s="3">
        <f t="shared" ref="N47:N67" si="6">SUM(M21-M47)</f>
        <v>655534</v>
      </c>
    </row>
    <row r="48" spans="1:14" ht="18.75">
      <c r="A48" s="2"/>
      <c r="B48" s="2" t="s">
        <v>103</v>
      </c>
      <c r="C48" s="2"/>
      <c r="D48" s="2"/>
      <c r="E48" s="2"/>
      <c r="F48" s="2"/>
      <c r="G48" s="2"/>
      <c r="H48" s="2"/>
      <c r="I48" s="3">
        <v>14063</v>
      </c>
      <c r="J48" s="3"/>
      <c r="K48" s="3">
        <v>799</v>
      </c>
      <c r="L48" s="3">
        <v>0</v>
      </c>
      <c r="M48" s="3">
        <f>SUM(I48:L48)</f>
        <v>14862</v>
      </c>
      <c r="N48" s="3">
        <f t="shared" si="6"/>
        <v>1133</v>
      </c>
    </row>
    <row r="49" spans="1:14" ht="18.75">
      <c r="A49" s="2"/>
      <c r="B49" s="2" t="s">
        <v>14</v>
      </c>
      <c r="C49" s="2"/>
      <c r="D49" s="2"/>
      <c r="E49" s="2"/>
      <c r="F49" s="2"/>
      <c r="G49" s="2"/>
      <c r="H49" s="2"/>
      <c r="I49" s="3">
        <v>1681836</v>
      </c>
      <c r="J49" s="3">
        <v>60</v>
      </c>
      <c r="K49" s="3">
        <v>65704</v>
      </c>
      <c r="L49" s="3">
        <v>-200000</v>
      </c>
      <c r="M49" s="3">
        <f t="shared" si="5"/>
        <v>1547600</v>
      </c>
      <c r="N49" s="3">
        <f t="shared" si="6"/>
        <v>1042965</v>
      </c>
    </row>
    <row r="50" spans="1:14" ht="18.75">
      <c r="A50" s="2"/>
      <c r="B50" s="2" t="s">
        <v>128</v>
      </c>
      <c r="C50" s="2"/>
      <c r="D50" s="2"/>
      <c r="E50" s="2"/>
      <c r="F50" s="2"/>
      <c r="G50" s="2"/>
      <c r="H50" s="2"/>
      <c r="I50" s="3">
        <v>1744213</v>
      </c>
      <c r="J50" s="3"/>
      <c r="K50" s="3">
        <v>190847</v>
      </c>
      <c r="L50" s="3">
        <v>-259748</v>
      </c>
      <c r="M50" s="3">
        <f t="shared" si="5"/>
        <v>1675312</v>
      </c>
      <c r="N50" s="3">
        <f t="shared" si="6"/>
        <v>1183861</v>
      </c>
    </row>
    <row r="51" spans="1:14" ht="18.75">
      <c r="A51" s="2"/>
      <c r="B51" s="2" t="s">
        <v>129</v>
      </c>
      <c r="C51" s="2"/>
      <c r="D51" s="2"/>
      <c r="E51" s="2"/>
      <c r="F51" s="2"/>
      <c r="G51" s="2"/>
      <c r="H51" s="2"/>
      <c r="I51" s="3">
        <v>58231</v>
      </c>
      <c r="J51" s="3"/>
      <c r="K51" s="3">
        <v>3200</v>
      </c>
      <c r="L51" s="3">
        <v>-18500</v>
      </c>
      <c r="M51" s="3">
        <f t="shared" si="5"/>
        <v>42931</v>
      </c>
      <c r="N51" s="3">
        <f t="shared" si="6"/>
        <v>21144</v>
      </c>
    </row>
    <row r="52" spans="1:14" ht="18.75">
      <c r="A52" s="2"/>
      <c r="B52" s="2" t="s">
        <v>30</v>
      </c>
      <c r="C52" s="2"/>
      <c r="D52" s="2"/>
      <c r="E52" s="2"/>
      <c r="F52" s="2"/>
      <c r="G52" s="2"/>
      <c r="H52" s="2"/>
      <c r="I52" s="3">
        <v>100784</v>
      </c>
      <c r="J52" s="3"/>
      <c r="K52" s="3">
        <v>15716</v>
      </c>
      <c r="L52" s="3">
        <v>-6945</v>
      </c>
      <c r="M52" s="3">
        <f t="shared" si="5"/>
        <v>109555</v>
      </c>
      <c r="N52" s="3">
        <f t="shared" si="6"/>
        <v>108524</v>
      </c>
    </row>
    <row r="53" spans="1:14" ht="18.75">
      <c r="A53" s="2"/>
      <c r="B53" s="2" t="s">
        <v>72</v>
      </c>
      <c r="C53" s="2"/>
      <c r="D53" s="2"/>
      <c r="E53" s="2"/>
      <c r="F53" s="2"/>
      <c r="G53" s="2"/>
      <c r="H53" s="2"/>
      <c r="I53" s="3">
        <v>84918</v>
      </c>
      <c r="J53" s="3"/>
      <c r="K53" s="3">
        <v>24101</v>
      </c>
      <c r="L53" s="3">
        <v>-4500</v>
      </c>
      <c r="M53" s="3">
        <f t="shared" si="5"/>
        <v>104519</v>
      </c>
      <c r="N53" s="3">
        <f t="shared" si="6"/>
        <v>146322</v>
      </c>
    </row>
    <row r="54" spans="1:14" ht="18.75">
      <c r="A54" s="2"/>
      <c r="B54" s="2" t="s">
        <v>136</v>
      </c>
      <c r="C54" s="2"/>
      <c r="D54" s="2"/>
      <c r="E54" s="2"/>
      <c r="F54" s="2"/>
      <c r="G54" s="2"/>
      <c r="H54" s="2"/>
      <c r="I54" s="3"/>
      <c r="J54" s="3"/>
      <c r="K54" s="3"/>
      <c r="L54" s="3"/>
      <c r="M54" s="3">
        <f t="shared" si="5"/>
        <v>0</v>
      </c>
      <c r="N54" s="3">
        <f t="shared" si="6"/>
        <v>0</v>
      </c>
    </row>
    <row r="55" spans="1:14" ht="18.75">
      <c r="A55" s="2"/>
      <c r="B55" s="2"/>
      <c r="C55" s="2" t="s">
        <v>30</v>
      </c>
      <c r="D55" s="2"/>
      <c r="E55" s="2"/>
      <c r="F55" s="2"/>
      <c r="G55" s="2"/>
      <c r="H55" s="2"/>
      <c r="I55" s="3">
        <v>43676</v>
      </c>
      <c r="J55" s="3"/>
      <c r="K55" s="3">
        <v>2200</v>
      </c>
      <c r="L55" s="3"/>
      <c r="M55" s="3">
        <f t="shared" si="5"/>
        <v>45876</v>
      </c>
      <c r="N55" s="3">
        <f t="shared" si="6"/>
        <v>21155</v>
      </c>
    </row>
    <row r="56" spans="1:14" ht="18.75">
      <c r="A56" s="2"/>
      <c r="B56" s="2"/>
      <c r="C56" s="2" t="s">
        <v>132</v>
      </c>
      <c r="D56" s="2"/>
      <c r="E56" s="2"/>
      <c r="F56" s="2"/>
      <c r="G56" s="2"/>
      <c r="H56" s="2"/>
      <c r="I56" s="3">
        <v>45508</v>
      </c>
      <c r="J56" s="3"/>
      <c r="K56" s="3">
        <v>3688</v>
      </c>
      <c r="L56" s="3"/>
      <c r="M56" s="3">
        <f t="shared" si="5"/>
        <v>49196</v>
      </c>
      <c r="N56" s="3">
        <f t="shared" si="6"/>
        <v>1310</v>
      </c>
    </row>
    <row r="57" spans="1:14" ht="18.75">
      <c r="A57" s="2"/>
      <c r="B57" s="2"/>
      <c r="C57" s="2" t="s">
        <v>14</v>
      </c>
      <c r="D57" s="2"/>
      <c r="E57" s="2"/>
      <c r="F57" s="2"/>
      <c r="G57" s="2"/>
      <c r="H57" s="2"/>
      <c r="I57" s="3">
        <v>3025</v>
      </c>
      <c r="J57" s="3"/>
      <c r="K57" s="3">
        <v>660</v>
      </c>
      <c r="L57" s="3"/>
      <c r="M57" s="3">
        <f t="shared" si="5"/>
        <v>3685</v>
      </c>
      <c r="N57" s="3">
        <f t="shared" si="6"/>
        <v>9520</v>
      </c>
    </row>
    <row r="58" spans="1:14" ht="18.75">
      <c r="A58" s="2"/>
      <c r="B58" s="2" t="s">
        <v>137</v>
      </c>
      <c r="C58" s="2"/>
      <c r="D58" s="2"/>
      <c r="E58" s="2"/>
      <c r="F58" s="2"/>
      <c r="G58" s="2"/>
      <c r="H58" s="2"/>
      <c r="I58" s="3"/>
      <c r="J58" s="3"/>
      <c r="K58" s="3"/>
      <c r="L58" s="3"/>
      <c r="M58" s="3">
        <f t="shared" si="5"/>
        <v>0</v>
      </c>
      <c r="N58" s="3">
        <f t="shared" si="6"/>
        <v>0</v>
      </c>
    </row>
    <row r="59" spans="1:14" ht="18.75">
      <c r="A59" s="2"/>
      <c r="B59" s="2"/>
      <c r="C59" s="2" t="s">
        <v>103</v>
      </c>
      <c r="D59" s="2"/>
      <c r="E59" s="2"/>
      <c r="F59" s="2"/>
      <c r="G59" s="2"/>
      <c r="H59" s="2"/>
      <c r="I59" s="3">
        <v>7800</v>
      </c>
      <c r="J59" s="3"/>
      <c r="K59" s="3"/>
      <c r="L59" s="3"/>
      <c r="M59" s="3">
        <f t="shared" si="5"/>
        <v>7800</v>
      </c>
      <c r="N59" s="3">
        <f t="shared" si="6"/>
        <v>0</v>
      </c>
    </row>
    <row r="60" spans="1:14" ht="18.75">
      <c r="A60" s="2"/>
      <c r="B60" s="2"/>
      <c r="C60" s="2" t="s">
        <v>14</v>
      </c>
      <c r="D60" s="2"/>
      <c r="E60" s="2"/>
      <c r="F60" s="2"/>
      <c r="G60" s="2"/>
      <c r="H60" s="2"/>
      <c r="I60" s="3">
        <v>44719</v>
      </c>
      <c r="J60" s="3"/>
      <c r="K60" s="3">
        <v>2072</v>
      </c>
      <c r="L60" s="3"/>
      <c r="M60" s="3">
        <f t="shared" si="5"/>
        <v>46791</v>
      </c>
      <c r="N60" s="3">
        <f t="shared" si="6"/>
        <v>15365</v>
      </c>
    </row>
    <row r="61" spans="1:14" ht="18.75">
      <c r="A61" s="2"/>
      <c r="B61" s="2"/>
      <c r="C61" s="2" t="s">
        <v>30</v>
      </c>
      <c r="D61" s="2"/>
      <c r="E61" s="2"/>
      <c r="F61" s="2"/>
      <c r="G61" s="2"/>
      <c r="H61" s="2"/>
      <c r="I61" s="3">
        <v>388599</v>
      </c>
      <c r="J61" s="3">
        <v>-5619</v>
      </c>
      <c r="K61" s="3">
        <v>28996</v>
      </c>
      <c r="L61" s="3">
        <v>-68958</v>
      </c>
      <c r="M61" s="3">
        <f t="shared" si="5"/>
        <v>343018</v>
      </c>
      <c r="N61" s="3">
        <f t="shared" si="6"/>
        <v>39829</v>
      </c>
    </row>
    <row r="62" spans="1:14" ht="18.75">
      <c r="A62" s="2"/>
      <c r="B62" s="2"/>
      <c r="C62" s="2" t="s">
        <v>132</v>
      </c>
      <c r="D62" s="2"/>
      <c r="E62" s="2"/>
      <c r="F62" s="2"/>
      <c r="G62" s="2"/>
      <c r="H62" s="2"/>
      <c r="I62" s="3">
        <v>106686</v>
      </c>
      <c r="J62" s="3">
        <v>4070</v>
      </c>
      <c r="K62" s="3">
        <v>2698</v>
      </c>
      <c r="L62" s="3"/>
      <c r="M62" s="3">
        <f t="shared" si="5"/>
        <v>113454</v>
      </c>
      <c r="N62" s="3">
        <f t="shared" si="6"/>
        <v>2873</v>
      </c>
    </row>
    <row r="63" spans="1:14" ht="18.75">
      <c r="A63" s="2"/>
      <c r="B63" s="2" t="s">
        <v>133</v>
      </c>
      <c r="C63" s="2"/>
      <c r="D63" s="2"/>
      <c r="E63" s="2"/>
      <c r="F63" s="2"/>
      <c r="G63" s="2"/>
      <c r="H63" s="2"/>
      <c r="I63" s="3"/>
      <c r="J63" s="3"/>
      <c r="K63" s="3"/>
      <c r="L63" s="3"/>
      <c r="M63" s="3">
        <f t="shared" si="5"/>
        <v>0</v>
      </c>
      <c r="N63" s="3">
        <f t="shared" si="6"/>
        <v>0</v>
      </c>
    </row>
    <row r="64" spans="1:14" ht="18.75">
      <c r="A64" s="2"/>
      <c r="B64" s="2"/>
      <c r="C64" s="2" t="s">
        <v>134</v>
      </c>
      <c r="D64" s="2"/>
      <c r="E64" s="2"/>
      <c r="F64" s="2"/>
      <c r="G64" s="2"/>
      <c r="H64" s="2"/>
      <c r="I64" s="3">
        <v>459597</v>
      </c>
      <c r="J64" s="3"/>
      <c r="K64" s="3">
        <v>60398</v>
      </c>
      <c r="L64" s="3"/>
      <c r="M64" s="3">
        <f t="shared" si="5"/>
        <v>519995</v>
      </c>
      <c r="N64" s="3">
        <f t="shared" si="6"/>
        <v>3335249</v>
      </c>
    </row>
    <row r="65" spans="1:14" ht="18.75">
      <c r="A65" s="2"/>
      <c r="B65" s="2"/>
      <c r="C65" s="2" t="s">
        <v>30</v>
      </c>
      <c r="D65" s="2"/>
      <c r="E65" s="2"/>
      <c r="F65" s="2"/>
      <c r="G65" s="2"/>
      <c r="H65" s="2"/>
      <c r="I65" s="3">
        <v>49901</v>
      </c>
      <c r="J65" s="3"/>
      <c r="K65" s="3"/>
      <c r="L65" s="3"/>
      <c r="M65" s="3">
        <f t="shared" si="5"/>
        <v>49901</v>
      </c>
      <c r="N65" s="3">
        <f t="shared" si="6"/>
        <v>0</v>
      </c>
    </row>
    <row r="66" spans="1:14" ht="18.75">
      <c r="A66" s="2"/>
      <c r="B66" s="2"/>
      <c r="C66" s="2" t="s">
        <v>69</v>
      </c>
      <c r="D66" s="2"/>
      <c r="E66" s="2"/>
      <c r="F66" s="2"/>
      <c r="G66" s="2"/>
      <c r="H66" s="2"/>
      <c r="I66" s="3">
        <v>51169</v>
      </c>
      <c r="J66" s="3">
        <v>778</v>
      </c>
      <c r="K66" s="3">
        <v>19755</v>
      </c>
      <c r="L66" s="3"/>
      <c r="M66" s="3">
        <f t="shared" si="5"/>
        <v>71702</v>
      </c>
      <c r="N66" s="3">
        <f t="shared" si="6"/>
        <v>255419</v>
      </c>
    </row>
    <row r="67" spans="1:14" ht="18.75">
      <c r="A67" s="2"/>
      <c r="B67" s="2"/>
      <c r="C67" s="2" t="s">
        <v>107</v>
      </c>
      <c r="D67" s="2"/>
      <c r="E67" s="2"/>
      <c r="F67" s="2"/>
      <c r="G67" s="2"/>
      <c r="H67" s="2"/>
      <c r="I67" s="3">
        <v>759823</v>
      </c>
      <c r="J67" s="3">
        <v>7656</v>
      </c>
      <c r="K67" s="3">
        <v>71241</v>
      </c>
      <c r="L67" s="3">
        <v>-62768</v>
      </c>
      <c r="M67" s="3">
        <f t="shared" si="5"/>
        <v>775952</v>
      </c>
      <c r="N67" s="3">
        <f t="shared" si="6"/>
        <v>-38748</v>
      </c>
    </row>
    <row r="68" spans="1:14" ht="18.75">
      <c r="A68" s="1"/>
      <c r="B68" s="1"/>
      <c r="C68" s="1" t="s">
        <v>20</v>
      </c>
      <c r="D68" s="1"/>
      <c r="E68" s="1"/>
      <c r="F68" s="1"/>
      <c r="G68" s="1"/>
      <c r="H68" s="1"/>
      <c r="I68" s="10">
        <f>SUM(I45:I67)</f>
        <v>21235011</v>
      </c>
      <c r="J68" s="10">
        <f t="shared" ref="J68:M68" si="7">SUM(J45:J67)</f>
        <v>6945</v>
      </c>
      <c r="K68" s="10">
        <f t="shared" si="7"/>
        <v>571941</v>
      </c>
      <c r="L68" s="10">
        <f t="shared" si="7"/>
        <v>-621419</v>
      </c>
      <c r="M68" s="10">
        <f t="shared" si="7"/>
        <v>21192478</v>
      </c>
      <c r="N68" s="1"/>
    </row>
    <row r="69" spans="1:14" ht="18.75">
      <c r="A69" s="1"/>
      <c r="B69" s="1"/>
      <c r="C69" s="1"/>
      <c r="D69" s="1"/>
      <c r="E69" s="1"/>
      <c r="F69" s="1"/>
      <c r="G69" s="1"/>
      <c r="H69" s="1"/>
      <c r="I69" s="10"/>
      <c r="J69" s="10"/>
      <c r="K69" s="10"/>
      <c r="L69" s="10"/>
      <c r="M69" s="10"/>
      <c r="N69" s="1"/>
    </row>
    <row r="70" spans="1:14" ht="18.75">
      <c r="A70" s="1"/>
      <c r="B70" s="1" t="s">
        <v>21</v>
      </c>
      <c r="C70" s="1"/>
      <c r="D70" s="1"/>
      <c r="E70" s="1"/>
      <c r="F70" s="1"/>
      <c r="G70" s="1"/>
      <c r="H70" s="1"/>
      <c r="I70" s="10">
        <f>I42-I68</f>
        <v>4619580</v>
      </c>
      <c r="J70" s="10">
        <f>J42-J68</f>
        <v>-6945</v>
      </c>
      <c r="K70" s="10">
        <f>K42-K68</f>
        <v>3322155</v>
      </c>
      <c r="L70" s="10">
        <f>L42-L68</f>
        <v>-29341</v>
      </c>
      <c r="M70" s="10">
        <f>M42-M68</f>
        <v>7905449</v>
      </c>
      <c r="N70" s="1"/>
    </row>
    <row r="71" spans="1:14" ht="18.75">
      <c r="A71" s="1"/>
      <c r="B71" s="1"/>
      <c r="C71" s="1"/>
      <c r="D71" s="1"/>
      <c r="E71" s="1"/>
      <c r="F71" s="1"/>
      <c r="G71" s="1"/>
      <c r="H71" s="1"/>
      <c r="I71" s="31"/>
      <c r="J71" s="31"/>
      <c r="K71" s="31"/>
      <c r="L71" s="31"/>
      <c r="M71" s="31"/>
      <c r="N71" s="1"/>
    </row>
    <row r="72" spans="1:14" ht="18.75">
      <c r="A72" s="2"/>
      <c r="B72" s="1" t="s">
        <v>22</v>
      </c>
      <c r="C72" s="2"/>
      <c r="D72" s="2"/>
      <c r="E72" s="2"/>
      <c r="F72" s="2"/>
      <c r="G72" s="2"/>
      <c r="H72" s="2"/>
      <c r="I72" s="14">
        <f>I16+I70</f>
        <v>7059807</v>
      </c>
      <c r="J72" s="14">
        <f>J16+J70</f>
        <v>-4605</v>
      </c>
      <c r="K72" s="14">
        <f>K16+K70</f>
        <v>4338713</v>
      </c>
      <c r="L72" s="14">
        <f>L16+L70</f>
        <v>-3174416</v>
      </c>
      <c r="M72" s="14">
        <f>M16+M70</f>
        <v>8219499</v>
      </c>
      <c r="N72" s="3">
        <f>SUM(N45:N67,N10:N15)</f>
        <v>8219499</v>
      </c>
    </row>
    <row r="73" spans="1:14" ht="18.75">
      <c r="A73" s="2"/>
      <c r="B73" s="1"/>
      <c r="C73" s="2"/>
      <c r="D73" s="2"/>
      <c r="E73" s="2"/>
      <c r="F73" s="2"/>
      <c r="G73" s="2"/>
      <c r="H73" s="2"/>
      <c r="I73" s="15"/>
      <c r="J73" s="15"/>
      <c r="K73" s="15"/>
      <c r="L73" s="15"/>
      <c r="M73" s="15"/>
      <c r="N73" s="2"/>
    </row>
  </sheetData>
  <mergeCells count="3">
    <mergeCell ref="D1:I1"/>
    <mergeCell ref="D2:I2"/>
    <mergeCell ref="D3:I3"/>
  </mergeCells>
  <pageMargins left="0.7" right="0.7" top="0.75" bottom="0.75" header="0.3" footer="0.3"/>
  <extLst>
    <ext xmlns:mx="http://schemas.microsoft.com/office/mac/excel/2008/main" uri="{64002731-A6B0-56B0-2670-7721B7C09600}">
      <mx:PLV Mode="0" OnePage="0" WScale="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32"/>
  <sheetViews>
    <sheetView zoomScale="85" zoomScaleNormal="85" zoomScalePageLayoutView="85" workbookViewId="0"/>
  </sheetViews>
  <sheetFormatPr defaultColWidth="8.85546875" defaultRowHeight="15"/>
  <cols>
    <col min="8" max="8" width="13.28515625" customWidth="1"/>
    <col min="9" max="9" width="19.140625" customWidth="1"/>
    <col min="10" max="10" width="17.28515625" customWidth="1"/>
    <col min="11" max="11" width="14.85546875" customWidth="1"/>
    <col min="12" max="12" width="17.28515625" customWidth="1"/>
    <col min="13" max="13" width="16.42578125" customWidth="1"/>
    <col min="15" max="15" width="27.42578125" customWidth="1"/>
    <col min="16" max="16" width="28.85546875" customWidth="1"/>
    <col min="18" max="18" width="23.140625" customWidth="1"/>
  </cols>
  <sheetData>
    <row r="1" spans="1:13" ht="18.75">
      <c r="A1" s="2"/>
      <c r="B1" s="2"/>
      <c r="C1" s="2"/>
      <c r="D1" s="136" t="s">
        <v>138</v>
      </c>
      <c r="E1" s="136"/>
      <c r="F1" s="136"/>
      <c r="G1" s="136"/>
      <c r="H1" s="136"/>
      <c r="I1" s="136"/>
      <c r="J1" s="3"/>
      <c r="K1" s="3"/>
      <c r="L1" s="3"/>
      <c r="M1" s="2"/>
    </row>
    <row r="2" spans="1:13" ht="18.75">
      <c r="A2" s="2"/>
      <c r="B2" s="2"/>
      <c r="C2" s="2"/>
      <c r="D2" s="136" t="s">
        <v>1</v>
      </c>
      <c r="E2" s="136"/>
      <c r="F2" s="136"/>
      <c r="G2" s="136"/>
      <c r="H2" s="136"/>
      <c r="I2" s="136"/>
      <c r="J2" s="3"/>
      <c r="K2" s="3"/>
      <c r="L2" s="3"/>
      <c r="M2" s="2"/>
    </row>
    <row r="3" spans="1:13" ht="18.75">
      <c r="A3" s="2"/>
      <c r="B3" s="2"/>
      <c r="C3" s="2"/>
      <c r="D3" s="136" t="s">
        <v>2</v>
      </c>
      <c r="E3" s="136"/>
      <c r="F3" s="136"/>
      <c r="G3" s="136"/>
      <c r="H3" s="136"/>
      <c r="I3" s="136"/>
      <c r="J3" s="3"/>
      <c r="K3" s="3"/>
      <c r="L3" s="3"/>
      <c r="M3" s="2"/>
    </row>
    <row r="4" spans="1:13" ht="18.75">
      <c r="A4" s="2"/>
      <c r="B4" s="2"/>
      <c r="C4" s="2"/>
      <c r="D4" s="69"/>
      <c r="E4" s="69"/>
      <c r="F4" s="69"/>
      <c r="G4" s="69"/>
      <c r="H4" s="69"/>
      <c r="I4" s="4"/>
      <c r="J4" s="3"/>
      <c r="K4" s="3"/>
      <c r="L4" s="3"/>
      <c r="M4" s="2"/>
    </row>
    <row r="5" spans="1:13" ht="37.5">
      <c r="A5" s="2"/>
      <c r="B5" s="2"/>
      <c r="C5" s="2"/>
      <c r="D5" s="2"/>
      <c r="E5" s="2"/>
      <c r="F5" s="2"/>
      <c r="G5" s="2"/>
      <c r="H5" s="2"/>
      <c r="I5" s="17" t="s">
        <v>3</v>
      </c>
      <c r="J5" s="17" t="s">
        <v>4</v>
      </c>
      <c r="K5" s="17" t="s">
        <v>5</v>
      </c>
      <c r="L5" s="17" t="s">
        <v>6</v>
      </c>
      <c r="M5" s="17" t="s">
        <v>7</v>
      </c>
    </row>
    <row r="6" spans="1:13" ht="18.75">
      <c r="A6" s="2"/>
      <c r="B6" s="2"/>
      <c r="C6" s="2"/>
      <c r="D6" s="2"/>
      <c r="E6" s="2"/>
      <c r="F6" s="2"/>
      <c r="G6" s="2"/>
      <c r="H6" s="2"/>
      <c r="I6" s="5"/>
      <c r="J6" s="5"/>
      <c r="K6" s="5"/>
      <c r="L6" s="5"/>
      <c r="M6" s="2"/>
    </row>
    <row r="7" spans="1:13" ht="18.75">
      <c r="A7" s="1" t="s">
        <v>8</v>
      </c>
      <c r="B7" s="1"/>
      <c r="C7" s="1"/>
      <c r="D7" s="1"/>
      <c r="E7" s="1"/>
      <c r="F7" s="1"/>
      <c r="G7" s="2"/>
      <c r="H7" s="2"/>
      <c r="I7" s="3"/>
      <c r="J7" s="3"/>
      <c r="K7" s="3"/>
      <c r="L7" s="3"/>
      <c r="M7" s="2"/>
    </row>
    <row r="8" spans="1:13" ht="18.75">
      <c r="A8" s="1"/>
      <c r="B8" s="1" t="s">
        <v>9</v>
      </c>
      <c r="C8" s="1"/>
      <c r="D8" s="1"/>
      <c r="E8" s="1"/>
      <c r="F8" s="1"/>
      <c r="G8" s="2"/>
      <c r="H8" s="2"/>
      <c r="I8" s="3"/>
      <c r="J8" s="3"/>
      <c r="K8" s="3"/>
      <c r="L8" s="3"/>
      <c r="M8" s="2"/>
    </row>
    <row r="9" spans="1:13" ht="18.75">
      <c r="A9" s="2"/>
      <c r="B9" s="2"/>
      <c r="C9" s="2" t="s">
        <v>10</v>
      </c>
      <c r="D9" s="2"/>
      <c r="E9" s="2"/>
      <c r="F9" s="2"/>
      <c r="G9" s="2"/>
      <c r="H9" s="2"/>
      <c r="I9" s="3">
        <v>7038</v>
      </c>
      <c r="J9" s="3"/>
      <c r="K9" s="3">
        <v>0</v>
      </c>
      <c r="L9" s="3">
        <f>SUM(I9:K9)</f>
        <v>7038</v>
      </c>
      <c r="M9" s="3">
        <f>SUM(L9)</f>
        <v>7038</v>
      </c>
    </row>
    <row r="10" spans="1:13" ht="18.75">
      <c r="A10" s="1"/>
      <c r="B10" s="1"/>
      <c r="C10" s="1"/>
      <c r="D10" s="1" t="s">
        <v>12</v>
      </c>
      <c r="E10" s="1"/>
      <c r="F10" s="1"/>
      <c r="G10" s="1"/>
      <c r="H10" s="1"/>
      <c r="I10" s="10">
        <f>SUM(I8:I9)</f>
        <v>7038</v>
      </c>
      <c r="J10" s="10">
        <f>SUM(J8:J9)</f>
        <v>0</v>
      </c>
      <c r="K10" s="10">
        <f>SUM(K8:K9)</f>
        <v>0</v>
      </c>
      <c r="L10" s="10">
        <f>SUM(L8:L9)</f>
        <v>7038</v>
      </c>
      <c r="M10" s="30"/>
    </row>
    <row r="11" spans="1:13" ht="18.75">
      <c r="A11" s="2"/>
      <c r="B11" s="2"/>
      <c r="C11" s="2"/>
      <c r="D11" s="2"/>
      <c r="E11" s="2"/>
      <c r="F11" s="2"/>
      <c r="G11" s="2"/>
      <c r="H11" s="2"/>
      <c r="I11" s="3"/>
      <c r="J11" s="3"/>
      <c r="K11" s="3"/>
      <c r="L11" s="3"/>
      <c r="M11" s="3">
        <f t="shared" ref="M11:M18" si="0">SUM(L11)</f>
        <v>0</v>
      </c>
    </row>
    <row r="12" spans="1:13" ht="18.75">
      <c r="A12" s="1" t="s">
        <v>13</v>
      </c>
      <c r="B12" s="2"/>
      <c r="C12" s="2"/>
      <c r="D12" s="2"/>
      <c r="E12" s="2"/>
      <c r="F12" s="2"/>
      <c r="G12" s="2"/>
      <c r="H12" s="2"/>
      <c r="I12" s="3"/>
      <c r="J12" s="3"/>
      <c r="K12" s="3"/>
      <c r="L12" s="3"/>
      <c r="M12" s="3">
        <f t="shared" si="0"/>
        <v>0</v>
      </c>
    </row>
    <row r="13" spans="1:13" ht="18.75">
      <c r="A13" s="2"/>
      <c r="B13" s="2" t="s">
        <v>71</v>
      </c>
      <c r="C13" s="2"/>
      <c r="D13" s="2"/>
      <c r="E13" s="2"/>
      <c r="F13" s="2"/>
      <c r="G13" s="2"/>
      <c r="H13" s="2"/>
      <c r="I13" s="3">
        <v>5929150</v>
      </c>
      <c r="J13" s="3">
        <v>77290</v>
      </c>
      <c r="K13" s="3"/>
      <c r="L13" s="3">
        <f t="shared" ref="L13:L17" si="1">SUM(I13:K13)</f>
        <v>6006440</v>
      </c>
      <c r="M13" s="3"/>
    </row>
    <row r="14" spans="1:13" ht="18.75">
      <c r="A14" s="2"/>
      <c r="B14" s="2" t="s">
        <v>29</v>
      </c>
      <c r="C14" s="2"/>
      <c r="D14" s="2"/>
      <c r="E14" s="2"/>
      <c r="F14" s="2"/>
      <c r="G14" s="2"/>
      <c r="H14" s="2"/>
      <c r="I14" s="3">
        <v>441519</v>
      </c>
      <c r="J14" s="3"/>
      <c r="K14" s="3">
        <v>-4675</v>
      </c>
      <c r="L14" s="3">
        <f t="shared" si="1"/>
        <v>436844</v>
      </c>
      <c r="M14" s="3"/>
    </row>
    <row r="15" spans="1:13" ht="18.75">
      <c r="A15" s="2"/>
      <c r="B15" s="2" t="s">
        <v>15</v>
      </c>
      <c r="C15" s="2"/>
      <c r="D15" s="2"/>
      <c r="E15" s="2"/>
      <c r="F15" s="2"/>
      <c r="G15" s="2"/>
      <c r="H15" s="2"/>
      <c r="I15" s="3">
        <v>2505252</v>
      </c>
      <c r="J15" s="3">
        <v>68817</v>
      </c>
      <c r="K15" s="3">
        <v>-1375</v>
      </c>
      <c r="L15" s="3">
        <f t="shared" si="1"/>
        <v>2572694</v>
      </c>
      <c r="M15" s="3"/>
    </row>
    <row r="16" spans="1:13" ht="18.75">
      <c r="A16" s="2"/>
      <c r="B16" s="2" t="s">
        <v>139</v>
      </c>
      <c r="C16" s="2"/>
      <c r="D16" s="2"/>
      <c r="E16" s="2"/>
      <c r="F16" s="2"/>
      <c r="G16" s="2"/>
      <c r="H16" s="2"/>
      <c r="I16" s="3">
        <v>1049687</v>
      </c>
      <c r="J16" s="3"/>
      <c r="K16" s="3"/>
      <c r="L16" s="3">
        <f t="shared" si="1"/>
        <v>1049687</v>
      </c>
      <c r="M16" s="3"/>
    </row>
    <row r="17" spans="1:16" ht="18.75">
      <c r="A17" s="2"/>
      <c r="B17" s="2" t="s">
        <v>140</v>
      </c>
      <c r="C17" s="2"/>
      <c r="D17" s="2"/>
      <c r="E17" s="2"/>
      <c r="F17" s="2"/>
      <c r="G17" s="2"/>
      <c r="H17" s="2"/>
      <c r="I17" s="3">
        <v>12195458</v>
      </c>
      <c r="J17" s="3"/>
      <c r="K17" s="3"/>
      <c r="L17" s="3">
        <f t="shared" si="1"/>
        <v>12195458</v>
      </c>
      <c r="M17" s="3"/>
    </row>
    <row r="18" spans="1:16" ht="18.75">
      <c r="A18" s="2"/>
      <c r="B18" s="2"/>
      <c r="C18" s="2"/>
      <c r="D18" s="2"/>
      <c r="E18" s="2"/>
      <c r="F18" s="2"/>
      <c r="G18" s="2"/>
      <c r="H18" s="2"/>
      <c r="I18" s="30"/>
      <c r="J18" s="30"/>
      <c r="K18" s="30"/>
      <c r="L18" s="30"/>
      <c r="M18" s="3">
        <f t="shared" si="0"/>
        <v>0</v>
      </c>
    </row>
    <row r="19" spans="1:16" ht="18.75">
      <c r="A19" s="1"/>
      <c r="B19" s="1"/>
      <c r="C19" s="1"/>
      <c r="D19" s="1" t="s">
        <v>18</v>
      </c>
      <c r="E19" s="1"/>
      <c r="F19" s="1"/>
      <c r="G19" s="1"/>
      <c r="H19" s="1"/>
      <c r="I19" s="7">
        <f>SUM(I13:I17)</f>
        <v>22121066</v>
      </c>
      <c r="J19" s="7">
        <f>SUM(J13:J17)</f>
        <v>146107</v>
      </c>
      <c r="K19" s="7">
        <f>SUM(K13:K17)</f>
        <v>-6050</v>
      </c>
      <c r="L19" s="7">
        <f>SUM(L13:L17)</f>
        <v>22261123</v>
      </c>
      <c r="M19" s="3"/>
    </row>
    <row r="20" spans="1:16" ht="18.75">
      <c r="A20" s="2"/>
      <c r="B20" s="2"/>
      <c r="C20" s="2"/>
      <c r="D20" s="2"/>
      <c r="E20" s="2"/>
      <c r="F20" s="2"/>
      <c r="G20" s="2"/>
      <c r="H20" s="2"/>
      <c r="I20" s="3"/>
      <c r="J20" s="3"/>
      <c r="K20" s="3"/>
      <c r="L20" s="3"/>
      <c r="M20" s="2"/>
    </row>
    <row r="21" spans="1:16" ht="18.75">
      <c r="A21" s="1" t="s">
        <v>19</v>
      </c>
      <c r="B21" s="2"/>
      <c r="C21" s="2"/>
      <c r="D21" s="2"/>
      <c r="E21" s="2"/>
      <c r="F21" s="2"/>
      <c r="G21" s="2"/>
      <c r="H21" s="2"/>
      <c r="I21" s="3"/>
      <c r="J21" s="3"/>
      <c r="K21" s="3"/>
      <c r="L21" s="3"/>
      <c r="M21" s="2"/>
      <c r="O21" s="34" t="s">
        <v>141</v>
      </c>
      <c r="P21" s="34" t="s">
        <v>60</v>
      </c>
    </row>
    <row r="22" spans="1:16" ht="18.75">
      <c r="A22" s="2"/>
      <c r="B22" s="2" t="s">
        <v>71</v>
      </c>
      <c r="C22" s="2"/>
      <c r="D22" s="2"/>
      <c r="E22" s="2"/>
      <c r="F22" s="2"/>
      <c r="G22" s="2"/>
      <c r="H22" s="2"/>
      <c r="I22" s="3"/>
      <c r="J22" s="3"/>
      <c r="K22" s="3"/>
      <c r="L22" s="3">
        <v>-3251983.75</v>
      </c>
      <c r="M22" s="3">
        <f>L13+L22</f>
        <v>2754456.25</v>
      </c>
      <c r="O22" s="34">
        <f>L13/L19</f>
        <v>0.26981747506628484</v>
      </c>
      <c r="P22" s="43">
        <f>L28*O22</f>
        <v>-3251983.7523956001</v>
      </c>
    </row>
    <row r="23" spans="1:16" ht="18.75">
      <c r="A23" s="2"/>
      <c r="B23" s="2" t="s">
        <v>29</v>
      </c>
      <c r="C23" s="2"/>
      <c r="D23" s="2"/>
      <c r="E23" s="2"/>
      <c r="F23" s="2"/>
      <c r="G23" s="2"/>
      <c r="H23" s="2"/>
      <c r="I23" s="3"/>
      <c r="J23" s="3"/>
      <c r="K23" s="3"/>
      <c r="L23" s="3">
        <v>-236514</v>
      </c>
      <c r="M23" s="3">
        <f t="shared" ref="M23:M26" si="2">L14+L23</f>
        <v>200330</v>
      </c>
      <c r="O23" s="34">
        <f>L14/L19</f>
        <v>1.9623628152092776E-2</v>
      </c>
      <c r="P23" s="35">
        <f>L28*O23</f>
        <v>-236514.40625919905</v>
      </c>
    </row>
    <row r="24" spans="1:16" ht="18.75">
      <c r="A24" s="2"/>
      <c r="B24" s="2" t="s">
        <v>15</v>
      </c>
      <c r="C24" s="2"/>
      <c r="D24" s="2"/>
      <c r="E24" s="2"/>
      <c r="F24" s="2"/>
      <c r="G24" s="2"/>
      <c r="H24" s="2"/>
      <c r="I24" s="3"/>
      <c r="J24" s="3"/>
      <c r="K24" s="3"/>
      <c r="L24" s="3">
        <v>-1392898</v>
      </c>
      <c r="M24" s="3">
        <f t="shared" si="2"/>
        <v>1179796</v>
      </c>
      <c r="O24" s="34">
        <f>L15/L19</f>
        <v>0.11556892255615317</v>
      </c>
      <c r="P24" s="35">
        <f>L28*O24</f>
        <v>-1392898.1373135578</v>
      </c>
    </row>
    <row r="25" spans="1:16" ht="18.75">
      <c r="A25" s="2"/>
      <c r="B25" s="2" t="s">
        <v>139</v>
      </c>
      <c r="C25" s="2"/>
      <c r="D25" s="2"/>
      <c r="E25" s="2"/>
      <c r="F25" s="2"/>
      <c r="G25" s="2"/>
      <c r="H25" s="2"/>
      <c r="I25" s="3"/>
      <c r="J25" s="3"/>
      <c r="K25" s="3"/>
      <c r="L25" s="3">
        <v>-568318</v>
      </c>
      <c r="M25" s="3">
        <f t="shared" si="2"/>
        <v>481369</v>
      </c>
      <c r="O25" s="34">
        <f>L16/L19</f>
        <v>4.7153371373043491E-2</v>
      </c>
      <c r="P25" s="35">
        <f>L28*O25</f>
        <v>-568317.51738149067</v>
      </c>
    </row>
    <row r="26" spans="1:16" ht="18.75">
      <c r="A26" s="2"/>
      <c r="B26" s="2" t="s">
        <v>140</v>
      </c>
      <c r="C26" s="2"/>
      <c r="D26" s="2"/>
      <c r="E26" s="2"/>
      <c r="F26" s="2"/>
      <c r="G26" s="2"/>
      <c r="H26" s="2"/>
      <c r="I26" s="3"/>
      <c r="J26" s="3"/>
      <c r="K26" s="3"/>
      <c r="L26" s="3">
        <v>-6602818</v>
      </c>
      <c r="M26" s="3">
        <f t="shared" si="2"/>
        <v>5592640</v>
      </c>
      <c r="O26" s="34">
        <f>L17/L19</f>
        <v>0.54783660285242575</v>
      </c>
      <c r="P26" s="35">
        <f>L28*O26</f>
        <v>-6602818.1866501523</v>
      </c>
    </row>
    <row r="27" spans="1:16" ht="18.75">
      <c r="A27" s="2"/>
      <c r="B27" s="2"/>
      <c r="C27" s="2"/>
      <c r="D27" s="2"/>
      <c r="E27" s="2"/>
      <c r="F27" s="2"/>
      <c r="G27" s="2"/>
      <c r="H27" s="2"/>
      <c r="I27" s="30"/>
      <c r="J27" s="30"/>
      <c r="K27" s="30"/>
      <c r="L27" s="30"/>
      <c r="M27" s="3" t="s">
        <v>142</v>
      </c>
      <c r="O27" s="7"/>
      <c r="P27" s="34"/>
    </row>
    <row r="28" spans="1:16" ht="18.75">
      <c r="A28" s="1"/>
      <c r="B28" s="1"/>
      <c r="C28" s="1"/>
      <c r="D28" s="1" t="s">
        <v>20</v>
      </c>
      <c r="E28" s="1"/>
      <c r="F28" s="1"/>
      <c r="G28" s="1"/>
      <c r="H28" s="1"/>
      <c r="I28" s="7">
        <v>-11207573</v>
      </c>
      <c r="J28" s="7">
        <v>-851009</v>
      </c>
      <c r="K28" s="7">
        <v>6050</v>
      </c>
      <c r="L28" s="7">
        <v>-12052532</v>
      </c>
      <c r="M28" s="3"/>
      <c r="O28" s="34">
        <f>SUM(O22:O26)</f>
        <v>1</v>
      </c>
      <c r="P28" s="56">
        <f>SUM(P22:P26)</f>
        <v>-12052532</v>
      </c>
    </row>
    <row r="29" spans="1:16" ht="18.75">
      <c r="A29" s="2"/>
      <c r="B29" s="2"/>
      <c r="C29" s="2"/>
      <c r="D29" s="2"/>
      <c r="E29" s="2"/>
      <c r="F29" s="2"/>
      <c r="G29" s="2"/>
      <c r="H29" s="2"/>
      <c r="I29" s="3"/>
      <c r="J29" s="3"/>
      <c r="K29" s="3"/>
      <c r="L29" s="3"/>
      <c r="M29" s="3">
        <f>SUM(L29,L20)</f>
        <v>0</v>
      </c>
    </row>
    <row r="30" spans="1:16" ht="18.75">
      <c r="A30" s="1"/>
      <c r="B30" s="1" t="s">
        <v>21</v>
      </c>
      <c r="C30" s="1"/>
      <c r="D30" s="1"/>
      <c r="E30" s="1"/>
      <c r="F30" s="1"/>
      <c r="G30" s="1"/>
      <c r="H30" s="1"/>
      <c r="I30" s="7">
        <f>I19+I28</f>
        <v>10913493</v>
      </c>
      <c r="J30" s="7">
        <f>J19+J28</f>
        <v>-704902</v>
      </c>
      <c r="K30" s="7">
        <f>K19+K28</f>
        <v>0</v>
      </c>
      <c r="L30" s="7">
        <f>L19+L28</f>
        <v>10208591</v>
      </c>
      <c r="M30" s="3"/>
    </row>
    <row r="31" spans="1:16" ht="18.75">
      <c r="A31" s="2"/>
      <c r="B31" s="2"/>
      <c r="C31" s="2"/>
      <c r="D31" s="2"/>
      <c r="E31" s="2"/>
      <c r="F31" s="2"/>
      <c r="G31" s="2"/>
      <c r="H31" s="2"/>
      <c r="I31" s="3"/>
      <c r="J31" s="3"/>
      <c r="K31" s="3"/>
      <c r="L31" s="3"/>
      <c r="M31" s="3"/>
      <c r="N31" s="57"/>
    </row>
    <row r="32" spans="1:16" ht="18.75">
      <c r="A32" s="2"/>
      <c r="B32" s="1" t="s">
        <v>75</v>
      </c>
      <c r="C32" s="2"/>
      <c r="D32" s="2"/>
      <c r="E32" s="2"/>
      <c r="F32" s="2"/>
      <c r="G32" s="2"/>
      <c r="H32" s="2"/>
      <c r="I32" s="9">
        <f>I28+I19+I10</f>
        <v>10920531</v>
      </c>
      <c r="J32" s="9">
        <f>J28+J19+J10</f>
        <v>-704902</v>
      </c>
      <c r="K32" s="9">
        <f>K28+K19+K10</f>
        <v>0</v>
      </c>
      <c r="L32" s="9">
        <f>L30+L10</f>
        <v>10215629</v>
      </c>
      <c r="M32" s="3">
        <f>SUM(M9:M26)</f>
        <v>10215629.25</v>
      </c>
    </row>
  </sheetData>
  <mergeCells count="3">
    <mergeCell ref="D1:I1"/>
    <mergeCell ref="D2:I2"/>
    <mergeCell ref="D3:I3"/>
  </mergeCells>
  <pageMargins left="0.7" right="0.7" top="0.75" bottom="0.75" header="0.3" footer="0.3"/>
  <extLst>
    <ext xmlns:mx="http://schemas.microsoft.com/office/mac/excel/2008/main" uri="{64002731-A6B0-56B0-2670-7721B7C09600}">
      <mx:PLV Mode="0" OnePage="0" WScale="0"/>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52"/>
  <sheetViews>
    <sheetView topLeftCell="A16" zoomScale="70" zoomScaleNormal="70" zoomScalePageLayoutView="70" workbookViewId="0">
      <selection activeCell="I49" sqref="I49"/>
    </sheetView>
  </sheetViews>
  <sheetFormatPr defaultColWidth="8.85546875" defaultRowHeight="15"/>
  <cols>
    <col min="9" max="9" width="18.28515625" customWidth="1"/>
    <col min="10" max="10" width="15.42578125" customWidth="1"/>
    <col min="11" max="11" width="15.140625" customWidth="1"/>
    <col min="12" max="12" width="18.42578125" customWidth="1"/>
    <col min="13" max="13" width="17" customWidth="1"/>
  </cols>
  <sheetData>
    <row r="1" spans="1:13" ht="18.75">
      <c r="A1" s="2"/>
      <c r="B1" s="2"/>
      <c r="C1" s="2"/>
      <c r="D1" s="136" t="s">
        <v>143</v>
      </c>
      <c r="E1" s="136"/>
      <c r="F1" s="136"/>
      <c r="G1" s="136"/>
      <c r="H1" s="136"/>
      <c r="I1" s="136"/>
      <c r="J1" s="3"/>
      <c r="K1" s="3"/>
      <c r="L1" s="3"/>
      <c r="M1" s="2"/>
    </row>
    <row r="2" spans="1:13" ht="18.75">
      <c r="A2" s="2"/>
      <c r="B2" s="2"/>
      <c r="C2" s="2"/>
      <c r="D2" s="136" t="s">
        <v>1</v>
      </c>
      <c r="E2" s="136"/>
      <c r="F2" s="136"/>
      <c r="G2" s="136"/>
      <c r="H2" s="136"/>
      <c r="I2" s="136"/>
      <c r="J2" s="3"/>
      <c r="K2" s="3"/>
      <c r="L2" s="3"/>
      <c r="M2" s="2"/>
    </row>
    <row r="3" spans="1:13" ht="18.75">
      <c r="A3" s="2"/>
      <c r="B3" s="2"/>
      <c r="C3" s="2"/>
      <c r="D3" s="136" t="s">
        <v>2</v>
      </c>
      <c r="E3" s="136"/>
      <c r="F3" s="136"/>
      <c r="G3" s="136"/>
      <c r="H3" s="136"/>
      <c r="I3" s="136"/>
      <c r="J3" s="3"/>
      <c r="K3" s="3"/>
      <c r="L3" s="3"/>
      <c r="M3" s="2"/>
    </row>
    <row r="4" spans="1:13" ht="18.75">
      <c r="A4" s="2"/>
      <c r="B4" s="2"/>
      <c r="C4" s="2"/>
      <c r="D4" s="69"/>
      <c r="E4" s="69"/>
      <c r="F4" s="69"/>
      <c r="G4" s="69"/>
      <c r="H4" s="69"/>
      <c r="I4" s="4"/>
      <c r="J4" s="3"/>
      <c r="K4" s="3"/>
      <c r="L4" s="3"/>
      <c r="M4" s="2"/>
    </row>
    <row r="5" spans="1:13" ht="37.5">
      <c r="A5" s="2"/>
      <c r="B5" s="2"/>
      <c r="C5" s="2"/>
      <c r="D5" s="2"/>
      <c r="E5" s="2"/>
      <c r="F5" s="2"/>
      <c r="G5" s="2"/>
      <c r="H5" s="2"/>
      <c r="I5" s="11" t="s">
        <v>3</v>
      </c>
      <c r="J5" s="11" t="s">
        <v>45</v>
      </c>
      <c r="K5" s="11" t="s">
        <v>46</v>
      </c>
      <c r="L5" s="11" t="s">
        <v>6</v>
      </c>
      <c r="M5" s="11" t="s">
        <v>7</v>
      </c>
    </row>
    <row r="6" spans="1:13" ht="18.75">
      <c r="A6" s="2"/>
      <c r="B6" s="2"/>
      <c r="C6" s="2"/>
      <c r="D6" s="2"/>
      <c r="E6" s="2"/>
      <c r="F6" s="2"/>
      <c r="G6" s="2"/>
      <c r="H6" s="2"/>
      <c r="I6" s="16"/>
      <c r="J6" s="16"/>
      <c r="K6" s="16"/>
      <c r="L6" s="16"/>
      <c r="M6" s="2"/>
    </row>
    <row r="7" spans="1:13" ht="18.75">
      <c r="A7" s="1" t="s">
        <v>49</v>
      </c>
      <c r="B7" s="1"/>
      <c r="C7" s="1"/>
      <c r="D7" s="1"/>
      <c r="E7" s="1"/>
      <c r="F7" s="1"/>
      <c r="G7" s="2"/>
      <c r="H7" s="2"/>
      <c r="I7" s="3"/>
      <c r="J7" s="3"/>
      <c r="K7" s="3"/>
      <c r="L7" s="3"/>
      <c r="M7" s="2"/>
    </row>
    <row r="8" spans="1:13" ht="18.75">
      <c r="A8" s="1" t="s">
        <v>50</v>
      </c>
      <c r="B8" s="1"/>
      <c r="C8" s="1"/>
      <c r="D8" s="1"/>
      <c r="E8" s="1"/>
      <c r="F8" s="1"/>
      <c r="G8" s="2"/>
      <c r="H8" s="2"/>
      <c r="I8" s="3"/>
      <c r="J8" s="3"/>
      <c r="K8" s="3"/>
      <c r="L8" s="3"/>
      <c r="M8" s="2"/>
    </row>
    <row r="9" spans="1:13" ht="18.75">
      <c r="A9" s="1" t="s">
        <v>9</v>
      </c>
      <c r="B9" s="1"/>
      <c r="C9" s="1"/>
      <c r="D9" s="1"/>
      <c r="E9" s="1"/>
      <c r="F9" s="1"/>
      <c r="G9" s="2"/>
      <c r="H9" s="2"/>
      <c r="I9" s="3"/>
      <c r="J9" s="3"/>
      <c r="K9" s="3"/>
      <c r="L9" s="3"/>
      <c r="M9" s="2"/>
    </row>
    <row r="10" spans="1:13" ht="18.75">
      <c r="A10" s="2"/>
      <c r="B10" s="2" t="s">
        <v>10</v>
      </c>
      <c r="C10" s="2"/>
      <c r="D10" s="2"/>
      <c r="E10" s="2"/>
      <c r="F10" s="2"/>
      <c r="G10" s="2"/>
      <c r="H10" s="2"/>
      <c r="I10" s="3">
        <v>1979943</v>
      </c>
      <c r="J10" s="3"/>
      <c r="K10" s="3"/>
      <c r="L10" s="3">
        <f>SUM(I10:K10)</f>
        <v>1979943</v>
      </c>
      <c r="M10" s="3">
        <f>SUM(L10)</f>
        <v>1979943</v>
      </c>
    </row>
    <row r="11" spans="1:13" ht="18.75">
      <c r="A11" s="2"/>
      <c r="B11" s="2" t="s">
        <v>11</v>
      </c>
      <c r="C11" s="2"/>
      <c r="D11" s="2"/>
      <c r="E11" s="2"/>
      <c r="F11" s="2"/>
      <c r="G11" s="2"/>
      <c r="H11" s="2"/>
      <c r="I11" s="3">
        <v>498894</v>
      </c>
      <c r="J11" s="3">
        <v>542003</v>
      </c>
      <c r="K11" s="3"/>
      <c r="L11" s="3">
        <f>SUM(I11:K11)</f>
        <v>1040897</v>
      </c>
      <c r="M11" s="3">
        <f>SUM(L11)</f>
        <v>1040897</v>
      </c>
    </row>
    <row r="12" spans="1:13" ht="18.75">
      <c r="A12" s="1"/>
      <c r="B12" s="1"/>
      <c r="C12" s="1" t="s">
        <v>68</v>
      </c>
      <c r="D12" s="1"/>
      <c r="E12" s="1"/>
      <c r="F12" s="1"/>
      <c r="G12" s="1"/>
      <c r="H12" s="1"/>
      <c r="I12" s="12">
        <f>SUM(I10:I11)</f>
        <v>2478837</v>
      </c>
      <c r="J12" s="12">
        <f t="shared" ref="J12:L12" si="0">SUM(J10:J11)</f>
        <v>542003</v>
      </c>
      <c r="K12" s="12">
        <f t="shared" si="0"/>
        <v>0</v>
      </c>
      <c r="L12" s="12">
        <f t="shared" si="0"/>
        <v>3020840</v>
      </c>
      <c r="M12" s="1"/>
    </row>
    <row r="13" spans="1:13" ht="18.75">
      <c r="A13" s="2"/>
      <c r="B13" s="2"/>
      <c r="C13" s="2"/>
      <c r="D13" s="2"/>
      <c r="E13" s="2"/>
      <c r="F13" s="2"/>
      <c r="G13" s="2"/>
      <c r="H13" s="2"/>
      <c r="I13" s="3"/>
      <c r="J13" s="3"/>
      <c r="K13" s="3"/>
      <c r="L13" s="3"/>
      <c r="M13" s="2"/>
    </row>
    <row r="14" spans="1:13" ht="18.75">
      <c r="A14" s="1" t="s">
        <v>13</v>
      </c>
      <c r="B14" s="2"/>
      <c r="C14" s="2"/>
      <c r="D14" s="2"/>
      <c r="E14" s="2"/>
      <c r="F14" s="2"/>
      <c r="G14" s="2"/>
      <c r="H14" s="2"/>
      <c r="I14" s="3"/>
      <c r="J14" s="3"/>
      <c r="K14" s="3"/>
      <c r="L14" s="3"/>
      <c r="M14" s="2"/>
    </row>
    <row r="15" spans="1:13" ht="18.75">
      <c r="A15" s="1"/>
      <c r="B15" s="2" t="s">
        <v>14</v>
      </c>
      <c r="C15" s="2"/>
      <c r="D15" s="2"/>
      <c r="E15" s="2"/>
      <c r="F15" s="2"/>
      <c r="G15" s="2"/>
      <c r="H15" s="2"/>
      <c r="I15" s="3">
        <v>26363585</v>
      </c>
      <c r="J15" s="3">
        <v>10457</v>
      </c>
      <c r="K15" s="3"/>
      <c r="L15" s="3">
        <f>SUM(I15:K15)</f>
        <v>26374042</v>
      </c>
      <c r="M15" s="2"/>
    </row>
    <row r="16" spans="1:13" ht="18.75">
      <c r="A16" s="1"/>
      <c r="B16" s="2" t="s">
        <v>144</v>
      </c>
      <c r="C16" s="2"/>
      <c r="D16" s="2"/>
      <c r="E16" s="2"/>
      <c r="F16" s="2"/>
      <c r="G16" s="2"/>
      <c r="H16" s="2"/>
      <c r="I16" s="3">
        <v>5826378</v>
      </c>
      <c r="J16" s="3">
        <v>446963</v>
      </c>
      <c r="K16" s="3"/>
      <c r="L16" s="3">
        <f>SUM(I16:K16)</f>
        <v>6273341</v>
      </c>
      <c r="M16" s="2"/>
    </row>
    <row r="17" spans="1:13" ht="18.75">
      <c r="A17" s="1"/>
      <c r="B17" s="2" t="s">
        <v>69</v>
      </c>
      <c r="C17" s="2"/>
      <c r="D17" s="2"/>
      <c r="E17" s="2"/>
      <c r="F17" s="2"/>
      <c r="G17" s="2"/>
      <c r="H17" s="2"/>
      <c r="I17" s="3">
        <v>12204954</v>
      </c>
      <c r="J17" s="3">
        <v>1319547</v>
      </c>
      <c r="K17" s="3"/>
      <c r="L17" s="3">
        <f>SUM(I17:K17)</f>
        <v>13524501</v>
      </c>
      <c r="M17" s="2"/>
    </row>
    <row r="18" spans="1:13" ht="18.75">
      <c r="A18" s="2"/>
      <c r="B18" s="2" t="s">
        <v>145</v>
      </c>
      <c r="C18" s="2"/>
      <c r="D18" s="2"/>
      <c r="E18" s="2"/>
      <c r="F18" s="2"/>
      <c r="G18" s="2"/>
      <c r="H18" s="2"/>
      <c r="I18" s="3">
        <v>219055672</v>
      </c>
      <c r="J18" s="3"/>
      <c r="K18" s="3"/>
      <c r="L18" s="3">
        <f>SUM(I18:K18)</f>
        <v>219055672</v>
      </c>
      <c r="M18" s="2"/>
    </row>
    <row r="19" spans="1:13" ht="18.75">
      <c r="A19" s="2"/>
      <c r="B19" s="2"/>
      <c r="C19" s="1" t="s">
        <v>18</v>
      </c>
      <c r="D19" s="2"/>
      <c r="E19" s="2"/>
      <c r="F19" s="2"/>
      <c r="G19" s="2"/>
      <c r="H19" s="2"/>
      <c r="I19" s="13">
        <f>SUM(I15:I18)</f>
        <v>263450589</v>
      </c>
      <c r="J19" s="13">
        <f>SUM(J15:J18)</f>
        <v>1776967</v>
      </c>
      <c r="K19" s="13">
        <f>SUM(K15:K18)</f>
        <v>0</v>
      </c>
      <c r="L19" s="13">
        <f>SUM(L15:L18)</f>
        <v>265227556</v>
      </c>
      <c r="M19" s="2"/>
    </row>
    <row r="20" spans="1:13" ht="18.75">
      <c r="A20" s="2"/>
      <c r="B20" s="2"/>
      <c r="C20" s="1"/>
      <c r="D20" s="2"/>
      <c r="E20" s="2"/>
      <c r="F20" s="2"/>
      <c r="G20" s="2"/>
      <c r="H20" s="2"/>
      <c r="I20" s="15"/>
      <c r="J20" s="15"/>
      <c r="K20" s="15"/>
      <c r="L20" s="15"/>
      <c r="M20" s="2"/>
    </row>
    <row r="21" spans="1:13" ht="18.75">
      <c r="A21" s="1" t="s">
        <v>19</v>
      </c>
      <c r="B21" s="2"/>
      <c r="C21" s="2"/>
      <c r="D21" s="2"/>
      <c r="E21" s="2"/>
      <c r="F21" s="2"/>
      <c r="G21" s="2"/>
      <c r="H21" s="2"/>
      <c r="I21" s="3"/>
      <c r="J21" s="3"/>
      <c r="K21" s="3"/>
      <c r="L21" s="3"/>
      <c r="M21" s="2"/>
    </row>
    <row r="22" spans="1:13" ht="18.75">
      <c r="A22" s="2"/>
      <c r="B22" s="2" t="s">
        <v>14</v>
      </c>
      <c r="C22" s="2"/>
      <c r="D22" s="2"/>
      <c r="E22" s="2"/>
      <c r="F22" s="2"/>
      <c r="G22" s="2"/>
      <c r="H22" s="2"/>
      <c r="I22" s="3">
        <v>11767270</v>
      </c>
      <c r="J22" s="3">
        <v>666580</v>
      </c>
      <c r="K22" s="3">
        <v>0</v>
      </c>
      <c r="L22" s="3">
        <f>SUM(I22:K22)</f>
        <v>12433850</v>
      </c>
      <c r="M22" s="3">
        <f>SUM(L15-L22)</f>
        <v>13940192</v>
      </c>
    </row>
    <row r="23" spans="1:13" ht="18.75">
      <c r="A23" s="2"/>
      <c r="B23" s="2" t="s">
        <v>144</v>
      </c>
      <c r="C23" s="2"/>
      <c r="D23" s="2"/>
      <c r="E23" s="2"/>
      <c r="F23" s="2"/>
      <c r="G23" s="2"/>
      <c r="H23" s="2"/>
      <c r="I23" s="3">
        <v>347548</v>
      </c>
      <c r="J23" s="3">
        <v>285041</v>
      </c>
      <c r="K23" s="3">
        <v>0</v>
      </c>
      <c r="L23" s="3">
        <f>SUM(I23:K23)</f>
        <v>632589</v>
      </c>
      <c r="M23" s="3">
        <f t="shared" ref="M23:M25" si="1">SUM(L16-L23)</f>
        <v>5640752</v>
      </c>
    </row>
    <row r="24" spans="1:13" ht="18.75">
      <c r="A24" s="2"/>
      <c r="B24" s="2" t="s">
        <v>69</v>
      </c>
      <c r="C24" s="2"/>
      <c r="D24" s="2"/>
      <c r="E24" s="2"/>
      <c r="F24" s="2"/>
      <c r="G24" s="2"/>
      <c r="H24" s="2"/>
      <c r="I24" s="3">
        <v>7078348</v>
      </c>
      <c r="J24" s="3">
        <v>1077580</v>
      </c>
      <c r="K24" s="3"/>
      <c r="L24" s="3">
        <f>SUM(I24:K24)</f>
        <v>8155928</v>
      </c>
      <c r="M24" s="3">
        <f t="shared" si="1"/>
        <v>5368573</v>
      </c>
    </row>
    <row r="25" spans="1:13" ht="18.75">
      <c r="A25" s="2"/>
      <c r="B25" s="2" t="s">
        <v>145</v>
      </c>
      <c r="C25" s="2"/>
      <c r="D25" s="2"/>
      <c r="E25" s="2"/>
      <c r="F25" s="2"/>
      <c r="G25" s="2"/>
      <c r="H25" s="2"/>
      <c r="I25" s="3">
        <v>171364654</v>
      </c>
      <c r="J25" s="3">
        <v>1879650</v>
      </c>
      <c r="K25" s="3"/>
      <c r="L25" s="3">
        <f>SUM(I25:K25)</f>
        <v>173244304</v>
      </c>
      <c r="M25" s="3">
        <f t="shared" si="1"/>
        <v>45811368</v>
      </c>
    </row>
    <row r="26" spans="1:13" ht="18.75">
      <c r="A26" s="1"/>
      <c r="B26" s="1"/>
      <c r="C26" s="1" t="s">
        <v>20</v>
      </c>
      <c r="D26" s="1"/>
      <c r="E26" s="1"/>
      <c r="F26" s="1"/>
      <c r="G26" s="1"/>
      <c r="H26" s="1"/>
      <c r="I26" s="10">
        <f>SUM(I22:I25)</f>
        <v>190557820</v>
      </c>
      <c r="J26" s="10">
        <f>SUM(J22:J25)</f>
        <v>3908851</v>
      </c>
      <c r="K26" s="10">
        <f>SUM(K22:K25)</f>
        <v>0</v>
      </c>
      <c r="L26" s="10">
        <f>SUM(L22:L25)</f>
        <v>194466671</v>
      </c>
      <c r="M26" s="1"/>
    </row>
    <row r="27" spans="1:13" ht="18.75">
      <c r="A27" s="1"/>
      <c r="B27" s="1"/>
      <c r="C27" s="1"/>
      <c r="D27" s="1"/>
      <c r="E27" s="1"/>
      <c r="F27" s="1"/>
      <c r="G27" s="1"/>
      <c r="H27" s="1"/>
      <c r="I27" s="10"/>
      <c r="J27" s="10"/>
      <c r="K27" s="10"/>
      <c r="L27" s="10"/>
      <c r="M27" s="1"/>
    </row>
    <row r="28" spans="1:13" ht="18.75">
      <c r="A28" s="1"/>
      <c r="B28" s="1" t="s">
        <v>21</v>
      </c>
      <c r="C28" s="1"/>
      <c r="D28" s="1"/>
      <c r="E28" s="1"/>
      <c r="F28" s="1"/>
      <c r="G28" s="1"/>
      <c r="H28" s="1"/>
      <c r="I28" s="10">
        <f>I19-I26</f>
        <v>72892769</v>
      </c>
      <c r="J28" s="10">
        <f>J19-J26</f>
        <v>-2131884</v>
      </c>
      <c r="K28" s="10">
        <f>K19-K26</f>
        <v>0</v>
      </c>
      <c r="L28" s="10">
        <f>L19-L26</f>
        <v>70760885</v>
      </c>
      <c r="M28" s="1"/>
    </row>
    <row r="29" spans="1:13" ht="18.75">
      <c r="A29" s="1"/>
      <c r="B29" s="1"/>
      <c r="C29" s="1"/>
      <c r="D29" s="1"/>
      <c r="E29" s="1"/>
      <c r="F29" s="1"/>
      <c r="G29" s="1"/>
      <c r="H29" s="1"/>
      <c r="I29" s="31"/>
      <c r="J29" s="31"/>
      <c r="K29" s="31"/>
      <c r="L29" s="31"/>
      <c r="M29" s="1"/>
    </row>
    <row r="30" spans="1:13" ht="18.75">
      <c r="A30" s="2"/>
      <c r="B30" s="1" t="s">
        <v>22</v>
      </c>
      <c r="C30" s="2"/>
      <c r="D30" s="2"/>
      <c r="E30" s="2"/>
      <c r="F30" s="2"/>
      <c r="G30" s="2"/>
      <c r="H30" s="2"/>
      <c r="I30" s="14">
        <f>I12+I28</f>
        <v>75371606</v>
      </c>
      <c r="J30" s="14">
        <f>J12+J28</f>
        <v>-1589881</v>
      </c>
      <c r="K30" s="14">
        <f>K12+K28</f>
        <v>0</v>
      </c>
      <c r="L30" s="14">
        <f>L12+L28</f>
        <v>73781725</v>
      </c>
      <c r="M30" s="3">
        <f>SUM(M9:M29)</f>
        <v>73781725</v>
      </c>
    </row>
    <row r="32" spans="1:13" ht="37.5">
      <c r="A32" s="2"/>
      <c r="B32" s="2"/>
      <c r="C32" s="2"/>
      <c r="D32" s="2"/>
      <c r="E32" s="2"/>
      <c r="F32" s="2"/>
      <c r="G32" s="2"/>
      <c r="H32" s="2"/>
      <c r="I32" s="17" t="s">
        <v>3</v>
      </c>
      <c r="J32" s="17" t="s">
        <v>4</v>
      </c>
      <c r="K32" s="17" t="s">
        <v>5</v>
      </c>
      <c r="L32" s="17" t="s">
        <v>6</v>
      </c>
      <c r="M32" s="2"/>
    </row>
    <row r="33" spans="1:13" ht="18.75">
      <c r="A33" s="1" t="s">
        <v>35</v>
      </c>
      <c r="B33" s="1"/>
      <c r="C33" s="1"/>
      <c r="D33" s="1"/>
      <c r="E33" s="1"/>
      <c r="F33" s="1"/>
      <c r="G33" s="2"/>
      <c r="H33" s="2"/>
      <c r="I33" s="3"/>
      <c r="J33" s="3"/>
      <c r="K33" s="3"/>
      <c r="L33" s="3"/>
      <c r="M33" s="2"/>
    </row>
    <row r="34" spans="1:13" ht="18.75">
      <c r="A34" s="1"/>
      <c r="B34" s="1" t="s">
        <v>9</v>
      </c>
      <c r="C34" s="1"/>
      <c r="D34" s="1"/>
      <c r="E34" s="1"/>
      <c r="F34" s="1"/>
      <c r="G34" s="2"/>
      <c r="H34" s="2"/>
      <c r="I34" s="3"/>
      <c r="J34" s="3"/>
      <c r="K34" s="3"/>
      <c r="L34" s="3"/>
      <c r="M34" s="2"/>
    </row>
    <row r="35" spans="1:13" ht="18.75">
      <c r="A35" s="2"/>
      <c r="B35" s="2"/>
      <c r="C35" s="2" t="s">
        <v>10</v>
      </c>
      <c r="D35" s="2"/>
      <c r="E35" s="2"/>
      <c r="F35" s="2"/>
      <c r="G35" s="2"/>
      <c r="H35" s="2"/>
      <c r="I35" s="3">
        <v>10175</v>
      </c>
      <c r="J35" s="3">
        <v>0</v>
      </c>
      <c r="K35" s="3">
        <v>0</v>
      </c>
      <c r="L35" s="3">
        <f>SUM(I35:K35)</f>
        <v>10175</v>
      </c>
      <c r="M35" s="3">
        <f>SUM(L35)</f>
        <v>10175</v>
      </c>
    </row>
    <row r="36" spans="1:13" ht="18.75">
      <c r="A36" s="2"/>
      <c r="B36" s="2"/>
      <c r="C36" s="2"/>
      <c r="D36" s="2"/>
      <c r="E36" s="2"/>
      <c r="F36" s="2"/>
      <c r="G36" s="2"/>
      <c r="H36" s="2"/>
      <c r="I36" s="3"/>
      <c r="J36" s="3"/>
      <c r="K36" s="3"/>
      <c r="L36" s="3"/>
      <c r="M36" s="3"/>
    </row>
    <row r="37" spans="1:13" ht="18.75">
      <c r="A37" s="2"/>
      <c r="B37" s="1" t="s">
        <v>36</v>
      </c>
      <c r="C37" s="2"/>
      <c r="D37" s="2"/>
      <c r="E37" s="2"/>
      <c r="F37" s="2"/>
      <c r="G37" s="2"/>
      <c r="H37" s="2"/>
      <c r="I37" s="3"/>
      <c r="J37" s="3"/>
      <c r="K37" s="3"/>
      <c r="L37" s="3"/>
      <c r="M37" s="3"/>
    </row>
    <row r="38" spans="1:13" ht="18.75">
      <c r="A38" s="2"/>
      <c r="B38" s="2"/>
      <c r="C38" s="2" t="s">
        <v>146</v>
      </c>
      <c r="D38" s="2"/>
      <c r="E38" s="2"/>
      <c r="F38" s="2"/>
      <c r="G38" s="2"/>
      <c r="H38" s="2"/>
      <c r="I38" s="3">
        <v>373375</v>
      </c>
      <c r="J38" s="3"/>
      <c r="K38" s="3">
        <v>0</v>
      </c>
      <c r="L38" s="3">
        <f>SUM(I38:K38)</f>
        <v>373375</v>
      </c>
      <c r="M38" s="3"/>
    </row>
    <row r="39" spans="1:13" ht="18.75">
      <c r="A39" s="2"/>
      <c r="B39" s="2"/>
      <c r="C39" s="2" t="s">
        <v>147</v>
      </c>
      <c r="D39" s="2"/>
      <c r="E39" s="2"/>
      <c r="F39" s="2"/>
      <c r="G39" s="2"/>
      <c r="H39" s="2"/>
      <c r="I39" s="3">
        <v>101180</v>
      </c>
      <c r="J39" s="3"/>
      <c r="K39" s="3">
        <v>0</v>
      </c>
      <c r="L39" s="3">
        <f t="shared" ref="L39" si="2">SUM(I39:K39)</f>
        <v>101180</v>
      </c>
      <c r="M39" s="3"/>
    </row>
    <row r="40" spans="1:13" ht="18.75">
      <c r="A40" s="2"/>
      <c r="B40" s="2"/>
      <c r="C40" s="2"/>
      <c r="D40" s="2"/>
      <c r="E40" s="2"/>
      <c r="F40" s="2"/>
      <c r="G40" s="2"/>
      <c r="H40" s="2"/>
      <c r="I40" s="30"/>
      <c r="J40" s="30"/>
      <c r="K40" s="30"/>
      <c r="L40" s="30"/>
      <c r="M40" s="2"/>
    </row>
    <row r="41" spans="1:13" ht="18.75">
      <c r="A41" s="2"/>
      <c r="B41" s="2"/>
      <c r="C41" s="2"/>
      <c r="D41" s="1" t="s">
        <v>41</v>
      </c>
      <c r="E41" s="1"/>
      <c r="F41" s="1"/>
      <c r="G41" s="1"/>
      <c r="H41" s="2"/>
      <c r="I41" s="15">
        <f>SUM(I37:I39)</f>
        <v>474555</v>
      </c>
      <c r="J41" s="15">
        <f>SUM(J37:J39)</f>
        <v>0</v>
      </c>
      <c r="K41" s="15">
        <f>SUM(K37:K39)</f>
        <v>0</v>
      </c>
      <c r="L41" s="15">
        <f>SUM(L37:L39)</f>
        <v>474555</v>
      </c>
      <c r="M41" s="2"/>
    </row>
    <row r="42" spans="1:13" ht="18.75">
      <c r="A42" s="2"/>
      <c r="B42" s="2"/>
      <c r="C42" s="2"/>
      <c r="D42" s="2"/>
      <c r="E42" s="2"/>
      <c r="F42" s="2"/>
      <c r="G42" s="2"/>
      <c r="H42" s="2"/>
      <c r="I42" s="3"/>
      <c r="J42" s="3"/>
      <c r="K42" s="3"/>
      <c r="L42" s="3"/>
      <c r="M42" s="2"/>
    </row>
    <row r="43" spans="1:13" ht="18.75">
      <c r="A43" s="2"/>
      <c r="B43" s="2" t="s">
        <v>19</v>
      </c>
      <c r="C43" s="2"/>
      <c r="D43" s="2"/>
      <c r="E43" s="2"/>
      <c r="F43" s="2"/>
      <c r="G43" s="2"/>
      <c r="H43" s="2"/>
      <c r="I43" s="3"/>
      <c r="J43" s="3"/>
      <c r="K43" s="3"/>
      <c r="L43" s="3"/>
      <c r="M43" s="2"/>
    </row>
    <row r="44" spans="1:13" ht="18.75">
      <c r="A44" s="2"/>
      <c r="B44" s="2"/>
      <c r="C44" s="2" t="s">
        <v>146</v>
      </c>
      <c r="D44" s="2"/>
      <c r="E44" s="2"/>
      <c r="F44" s="2"/>
      <c r="G44" s="2"/>
      <c r="H44" s="2"/>
      <c r="I44" s="3">
        <v>-373375</v>
      </c>
      <c r="J44" s="3"/>
      <c r="K44" s="3"/>
      <c r="L44" s="3">
        <f>SUM(I44:K44)</f>
        <v>-373375</v>
      </c>
      <c r="M44" s="3">
        <f>SUM(L44+L38)</f>
        <v>0</v>
      </c>
    </row>
    <row r="45" spans="1:13" ht="18.75">
      <c r="A45" s="2"/>
      <c r="B45" s="2"/>
      <c r="C45" s="2" t="s">
        <v>147</v>
      </c>
      <c r="D45" s="2"/>
      <c r="E45" s="2"/>
      <c r="F45" s="2"/>
      <c r="G45" s="2"/>
      <c r="H45" s="2"/>
      <c r="I45" s="3">
        <v>-101180</v>
      </c>
      <c r="J45" s="3"/>
      <c r="K45" s="3"/>
      <c r="L45" s="3">
        <f t="shared" ref="L45" si="3">SUM(I45:K45)</f>
        <v>-101180</v>
      </c>
      <c r="M45" s="3">
        <f>SUM(L45+L39)</f>
        <v>0</v>
      </c>
    </row>
    <row r="46" spans="1:13" ht="18.75">
      <c r="A46" s="2"/>
      <c r="B46" s="2"/>
      <c r="C46" s="2"/>
      <c r="D46" s="2"/>
      <c r="E46" s="2"/>
      <c r="F46" s="2"/>
      <c r="G46" s="2"/>
      <c r="H46" s="2"/>
      <c r="I46" s="3"/>
      <c r="J46" s="3"/>
      <c r="K46" s="3"/>
      <c r="L46" s="3"/>
      <c r="M46" s="2"/>
    </row>
    <row r="47" spans="1:13" ht="18.75">
      <c r="A47" s="2"/>
      <c r="B47" s="2"/>
      <c r="C47" s="2"/>
      <c r="D47" s="1" t="s">
        <v>20</v>
      </c>
      <c r="E47" s="1"/>
      <c r="F47" s="1"/>
      <c r="G47" s="1"/>
      <c r="H47" s="2"/>
      <c r="I47" s="8">
        <f>SUM(I44:I45)</f>
        <v>-474555</v>
      </c>
      <c r="J47" s="8">
        <f>SUM(J44:J45)</f>
        <v>0</v>
      </c>
      <c r="K47" s="8">
        <f>SUM(K44:K45)</f>
        <v>0</v>
      </c>
      <c r="L47" s="8">
        <f>SUM(L44:L45)</f>
        <v>-474555</v>
      </c>
      <c r="M47" s="2"/>
    </row>
    <row r="48" spans="1:13" ht="18.75">
      <c r="A48" s="2"/>
      <c r="B48" s="2"/>
      <c r="C48" s="2"/>
      <c r="D48" s="1"/>
      <c r="E48" s="1"/>
      <c r="F48" s="1"/>
      <c r="G48" s="1"/>
      <c r="H48" s="2"/>
      <c r="I48" s="3"/>
      <c r="J48" s="3"/>
      <c r="K48" s="3"/>
      <c r="L48" s="3"/>
      <c r="M48" s="2"/>
    </row>
    <row r="49" spans="1:13" ht="18.75">
      <c r="A49" s="2"/>
      <c r="B49" s="2"/>
      <c r="C49" s="2"/>
      <c r="D49" s="1" t="s">
        <v>42</v>
      </c>
      <c r="E49" s="1"/>
      <c r="F49" s="1"/>
      <c r="G49" s="1"/>
      <c r="H49" s="2"/>
      <c r="I49" s="8">
        <f>I41+I47</f>
        <v>0</v>
      </c>
      <c r="J49" s="8">
        <f>J41+J47</f>
        <v>0</v>
      </c>
      <c r="K49" s="8">
        <f>K41+K47</f>
        <v>0</v>
      </c>
      <c r="L49" s="8">
        <f>L41+L47</f>
        <v>0</v>
      </c>
      <c r="M49" s="2"/>
    </row>
    <row r="50" spans="1:13" ht="18.75">
      <c r="A50" s="2"/>
      <c r="B50" s="2"/>
      <c r="C50" s="2"/>
      <c r="D50" s="1"/>
      <c r="E50" s="1"/>
      <c r="F50" s="1"/>
      <c r="G50" s="1"/>
      <c r="H50" s="2"/>
      <c r="I50" s="3"/>
      <c r="J50" s="3"/>
      <c r="K50" s="3"/>
      <c r="L50" s="3"/>
      <c r="M50" s="2"/>
    </row>
    <row r="51" spans="1:13" ht="18.75">
      <c r="A51" s="2"/>
      <c r="B51" s="2"/>
      <c r="C51" s="2"/>
      <c r="D51" s="1" t="s">
        <v>43</v>
      </c>
      <c r="E51" s="1"/>
      <c r="F51" s="1"/>
      <c r="G51" s="1"/>
      <c r="H51" s="2"/>
      <c r="I51" s="9">
        <f>SUM(I49+I35)</f>
        <v>10175</v>
      </c>
      <c r="J51" s="9">
        <f t="shared" ref="J51:K51" si="4">SUM(J49-J41)</f>
        <v>0</v>
      </c>
      <c r="K51" s="9">
        <f t="shared" si="4"/>
        <v>0</v>
      </c>
      <c r="L51" s="9">
        <f>SUM(L35+L49)</f>
        <v>10175</v>
      </c>
      <c r="M51" s="3">
        <f>SUM(M35:M50)</f>
        <v>10175</v>
      </c>
    </row>
    <row r="52" spans="1:13" ht="18.75">
      <c r="A52" s="2"/>
      <c r="B52" s="2"/>
      <c r="C52" s="2"/>
      <c r="D52" s="2"/>
      <c r="E52" s="2"/>
      <c r="F52" s="2"/>
      <c r="G52" s="2"/>
      <c r="H52" s="2"/>
      <c r="I52" s="3"/>
      <c r="J52" s="3"/>
      <c r="K52" s="3"/>
      <c r="L52" s="3"/>
      <c r="M52" s="2"/>
    </row>
  </sheetData>
  <mergeCells count="3">
    <mergeCell ref="D1:I1"/>
    <mergeCell ref="D2:I2"/>
    <mergeCell ref="D3:I3"/>
  </mergeCells>
  <pageMargins left="0.7" right="0.7" top="0.75" bottom="0.75" header="0.3" footer="0.3"/>
  <extLst>
    <ext xmlns:mx="http://schemas.microsoft.com/office/mac/excel/2008/main" uri="{64002731-A6B0-56B0-2670-7721B7C09600}">
      <mx:PLV Mode="0" OnePage="0" WScale="0"/>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N59"/>
  <sheetViews>
    <sheetView topLeftCell="A10" workbookViewId="0">
      <selection activeCell="P21" sqref="P21"/>
    </sheetView>
  </sheetViews>
  <sheetFormatPr defaultColWidth="8.85546875" defaultRowHeight="15"/>
  <cols>
    <col min="9" max="9" width="18.85546875" customWidth="1"/>
    <col min="10" max="10" width="15.85546875" customWidth="1"/>
    <col min="11" max="11" width="16" bestFit="1" customWidth="1"/>
    <col min="12" max="12" width="15.28515625" customWidth="1"/>
    <col min="13" max="13" width="17" customWidth="1"/>
    <col min="14" max="14" width="18.140625" customWidth="1"/>
  </cols>
  <sheetData>
    <row r="1" spans="1:14" ht="18.75">
      <c r="A1" s="2"/>
      <c r="B1" s="2"/>
      <c r="C1" s="2"/>
      <c r="D1" s="136" t="s">
        <v>148</v>
      </c>
      <c r="E1" s="136"/>
      <c r="F1" s="136"/>
      <c r="G1" s="136"/>
      <c r="H1" s="136"/>
      <c r="I1" s="136"/>
      <c r="J1" s="3"/>
      <c r="K1" s="3"/>
      <c r="L1" s="3"/>
      <c r="M1" s="3"/>
      <c r="N1" s="2"/>
    </row>
    <row r="2" spans="1:14" ht="18.75">
      <c r="A2" s="2"/>
      <c r="B2" s="2"/>
      <c r="C2" s="2"/>
      <c r="D2" s="136" t="s">
        <v>1</v>
      </c>
      <c r="E2" s="136"/>
      <c r="F2" s="136"/>
      <c r="G2" s="136"/>
      <c r="H2" s="136"/>
      <c r="I2" s="136"/>
      <c r="J2" s="3"/>
      <c r="K2" s="3"/>
      <c r="L2" s="3"/>
      <c r="M2" s="3"/>
      <c r="N2" s="2"/>
    </row>
    <row r="3" spans="1:14" ht="18.75">
      <c r="A3" s="2"/>
      <c r="B3" s="2"/>
      <c r="C3" s="2"/>
      <c r="D3" s="136" t="s">
        <v>2</v>
      </c>
      <c r="E3" s="136"/>
      <c r="F3" s="136"/>
      <c r="G3" s="136"/>
      <c r="H3" s="136"/>
      <c r="I3" s="136"/>
      <c r="J3" s="3"/>
      <c r="K3" s="3"/>
      <c r="L3" s="3"/>
      <c r="M3" s="3"/>
      <c r="N3" s="2"/>
    </row>
    <row r="4" spans="1:14" ht="18.75">
      <c r="A4" s="2"/>
      <c r="B4" s="2"/>
      <c r="C4" s="2"/>
      <c r="D4" s="69"/>
      <c r="E4" s="69"/>
      <c r="F4" s="69"/>
      <c r="G4" s="69"/>
      <c r="H4" s="69"/>
      <c r="I4" s="4"/>
      <c r="J4" s="3"/>
      <c r="K4" s="3"/>
      <c r="L4" s="3"/>
      <c r="M4" s="3"/>
      <c r="N4" s="2"/>
    </row>
    <row r="5" spans="1:14" ht="56.25">
      <c r="A5" s="2"/>
      <c r="B5" s="2"/>
      <c r="C5" s="2"/>
      <c r="D5" s="2"/>
      <c r="E5" s="2"/>
      <c r="F5" s="2"/>
      <c r="G5" s="2"/>
      <c r="H5" s="2"/>
      <c r="I5" s="11" t="s">
        <v>3</v>
      </c>
      <c r="J5" s="11" t="s">
        <v>149</v>
      </c>
      <c r="K5" s="11" t="s">
        <v>5</v>
      </c>
      <c r="L5" s="11" t="s">
        <v>150</v>
      </c>
      <c r="M5" s="11" t="s">
        <v>6</v>
      </c>
      <c r="N5" s="11" t="s">
        <v>7</v>
      </c>
    </row>
    <row r="6" spans="1:14" ht="18.75">
      <c r="A6" s="2"/>
      <c r="B6" s="2"/>
      <c r="C6" s="2"/>
      <c r="D6" s="2"/>
      <c r="E6" s="2"/>
      <c r="F6" s="2"/>
      <c r="G6" s="2"/>
      <c r="H6" s="2"/>
      <c r="I6" s="16"/>
      <c r="J6" s="16"/>
      <c r="K6" s="16"/>
      <c r="L6" s="16"/>
      <c r="M6" s="16"/>
      <c r="N6" s="2"/>
    </row>
    <row r="7" spans="1:14" ht="18.75">
      <c r="A7" s="1" t="s">
        <v>49</v>
      </c>
      <c r="B7" s="1"/>
      <c r="C7" s="1"/>
      <c r="D7" s="1"/>
      <c r="E7" s="1"/>
      <c r="F7" s="1"/>
      <c r="G7" s="2"/>
      <c r="H7" s="2"/>
      <c r="I7" s="3"/>
      <c r="J7" s="3"/>
      <c r="K7" s="3"/>
      <c r="L7" s="3"/>
      <c r="M7" s="3"/>
      <c r="N7" s="2"/>
    </row>
    <row r="8" spans="1:14" ht="18.75">
      <c r="A8" s="1" t="s">
        <v>50</v>
      </c>
      <c r="B8" s="1"/>
      <c r="C8" s="1"/>
      <c r="D8" s="1"/>
      <c r="E8" s="1"/>
      <c r="F8" s="1"/>
      <c r="G8" s="2"/>
      <c r="H8" s="2"/>
      <c r="I8" s="3"/>
      <c r="J8" s="3"/>
      <c r="K8" s="3"/>
      <c r="L8" s="3"/>
      <c r="M8" s="3"/>
      <c r="N8" s="2"/>
    </row>
    <row r="9" spans="1:14" ht="18.75">
      <c r="A9" s="1" t="s">
        <v>9</v>
      </c>
      <c r="B9" s="1"/>
      <c r="C9" s="1"/>
      <c r="D9" s="1"/>
      <c r="E9" s="1"/>
      <c r="F9" s="1"/>
      <c r="G9" s="2"/>
      <c r="H9" s="2"/>
      <c r="I9" s="3"/>
      <c r="J9" s="3"/>
      <c r="K9" s="3"/>
      <c r="L9" s="3"/>
      <c r="M9" s="3"/>
      <c r="N9" s="2"/>
    </row>
    <row r="10" spans="1:14" ht="18.75">
      <c r="A10" s="2"/>
      <c r="B10" s="2" t="s">
        <v>151</v>
      </c>
      <c r="C10" s="2"/>
      <c r="D10" s="2"/>
      <c r="E10" s="2"/>
      <c r="F10" s="2"/>
      <c r="G10" s="2"/>
      <c r="H10" s="2"/>
      <c r="I10" s="3">
        <v>156885714</v>
      </c>
      <c r="J10" s="3">
        <v>1665773</v>
      </c>
      <c r="K10" s="3">
        <v>-84801</v>
      </c>
      <c r="L10" s="3">
        <v>1767684</v>
      </c>
      <c r="M10" s="3">
        <f>SUM(I10:L10)</f>
        <v>160234370</v>
      </c>
      <c r="N10" s="3">
        <f>SUM(M10)</f>
        <v>160234370</v>
      </c>
    </row>
    <row r="11" spans="1:14" ht="18.75">
      <c r="A11" s="2"/>
      <c r="B11" s="2" t="s">
        <v>152</v>
      </c>
      <c r="C11" s="2"/>
      <c r="D11" s="2"/>
      <c r="E11" s="2"/>
      <c r="F11" s="2"/>
      <c r="G11" s="2"/>
      <c r="H11" s="2"/>
      <c r="I11" s="3">
        <v>36499343</v>
      </c>
      <c r="J11" s="3">
        <v>21437704</v>
      </c>
      <c r="K11" s="3">
        <v>3270200</v>
      </c>
      <c r="L11" s="3">
        <v>-9289197</v>
      </c>
      <c r="M11" s="3">
        <f>SUM(I11:L11)</f>
        <v>51918050</v>
      </c>
      <c r="N11" s="3">
        <f>SUM(M11)</f>
        <v>51918050</v>
      </c>
    </row>
    <row r="12" spans="1:14" ht="18.75">
      <c r="A12" s="1"/>
      <c r="B12" s="1"/>
      <c r="C12" s="1" t="s">
        <v>68</v>
      </c>
      <c r="D12" s="1"/>
      <c r="E12" s="1"/>
      <c r="F12" s="1"/>
      <c r="G12" s="1"/>
      <c r="H12" s="1"/>
      <c r="I12" s="12">
        <f>SUM(I10:I11)</f>
        <v>193385057</v>
      </c>
      <c r="J12" s="12">
        <f t="shared" ref="J12:M12" si="0">SUM(J10:J11)</f>
        <v>23103477</v>
      </c>
      <c r="K12" s="12">
        <f t="shared" si="0"/>
        <v>3185399</v>
      </c>
      <c r="L12" s="12">
        <f t="shared" si="0"/>
        <v>-7521513</v>
      </c>
      <c r="M12" s="12">
        <f t="shared" si="0"/>
        <v>212152420</v>
      </c>
      <c r="N12" s="1"/>
    </row>
    <row r="13" spans="1:14" ht="18.75">
      <c r="A13" s="2"/>
      <c r="B13" s="2"/>
      <c r="C13" s="2"/>
      <c r="D13" s="2"/>
      <c r="E13" s="2"/>
      <c r="F13" s="2"/>
      <c r="G13" s="2"/>
      <c r="H13" s="2"/>
      <c r="I13" s="3"/>
      <c r="J13" s="3"/>
      <c r="K13" s="3"/>
      <c r="L13" s="3"/>
      <c r="M13" s="3"/>
      <c r="N13" s="2"/>
    </row>
    <row r="14" spans="1:14" ht="18.75">
      <c r="A14" s="1" t="s">
        <v>13</v>
      </c>
      <c r="B14" s="2"/>
      <c r="C14" s="2"/>
      <c r="D14" s="2"/>
      <c r="E14" s="2"/>
      <c r="F14" s="2"/>
      <c r="G14" s="2"/>
      <c r="H14" s="2"/>
      <c r="I14" s="3"/>
      <c r="J14" s="3"/>
      <c r="K14" s="3"/>
      <c r="L14" s="3"/>
      <c r="M14" s="3"/>
      <c r="N14" s="2"/>
    </row>
    <row r="15" spans="1:14" ht="18.75">
      <c r="A15" s="1"/>
      <c r="B15" s="2" t="s">
        <v>28</v>
      </c>
      <c r="C15" s="2"/>
      <c r="D15" s="2"/>
      <c r="E15" s="2"/>
      <c r="F15" s="2"/>
      <c r="G15" s="2"/>
      <c r="H15" s="2"/>
      <c r="I15" s="3">
        <v>108060059</v>
      </c>
      <c r="J15" s="3">
        <v>67621</v>
      </c>
      <c r="K15" s="3">
        <v>144858</v>
      </c>
      <c r="L15" s="3"/>
      <c r="M15" s="3">
        <f>SUM(I15:L15)</f>
        <v>108272538</v>
      </c>
      <c r="N15" s="2"/>
    </row>
    <row r="16" spans="1:14" ht="18.75">
      <c r="A16" s="1"/>
      <c r="B16" s="2" t="s">
        <v>153</v>
      </c>
      <c r="C16" s="2"/>
      <c r="D16" s="2"/>
      <c r="E16" s="2"/>
      <c r="F16" s="2"/>
      <c r="G16" s="2"/>
      <c r="H16" s="2"/>
      <c r="I16" s="3"/>
      <c r="J16" s="3"/>
      <c r="K16" s="3"/>
      <c r="L16" s="3"/>
      <c r="M16" s="3"/>
      <c r="N16" s="2"/>
    </row>
    <row r="17" spans="1:14" ht="18.75">
      <c r="A17" s="1"/>
      <c r="B17" s="2"/>
      <c r="C17" s="2" t="s">
        <v>154</v>
      </c>
      <c r="D17" s="2"/>
      <c r="E17" s="2"/>
      <c r="F17" s="2"/>
      <c r="G17" s="2"/>
      <c r="H17" s="2"/>
      <c r="I17" s="3">
        <v>220251390</v>
      </c>
      <c r="J17" s="3">
        <v>2972759</v>
      </c>
      <c r="K17" s="3">
        <v>8222959</v>
      </c>
      <c r="L17" s="3"/>
      <c r="M17" s="3">
        <f>SUM(I17:L17)</f>
        <v>231447108</v>
      </c>
      <c r="N17" s="2"/>
    </row>
    <row r="18" spans="1:14" ht="18.75">
      <c r="A18" s="2"/>
      <c r="B18" s="2" t="s">
        <v>155</v>
      </c>
      <c r="C18" s="2"/>
      <c r="D18" s="2"/>
      <c r="E18" s="2"/>
      <c r="F18" s="2"/>
      <c r="G18" s="2"/>
      <c r="H18" s="2"/>
      <c r="I18" s="3">
        <v>4631676</v>
      </c>
      <c r="J18" s="3"/>
      <c r="K18" s="3">
        <v>559810</v>
      </c>
      <c r="L18" s="3"/>
      <c r="M18" s="3">
        <f>SUM(I18:L18)</f>
        <v>5191486</v>
      </c>
      <c r="N18" s="2"/>
    </row>
    <row r="19" spans="1:14" ht="18.75">
      <c r="A19" s="2"/>
      <c r="B19" s="2"/>
      <c r="C19" s="1" t="s">
        <v>18</v>
      </c>
      <c r="D19" s="2"/>
      <c r="E19" s="2"/>
      <c r="F19" s="2"/>
      <c r="G19" s="2"/>
      <c r="H19" s="2"/>
      <c r="I19" s="13">
        <f>SUM(I15:I18)</f>
        <v>332943125</v>
      </c>
      <c r="J19" s="13">
        <f>SUM(J15:J18)</f>
        <v>3040380</v>
      </c>
      <c r="K19" s="13">
        <f>SUM(K15:K18)</f>
        <v>8927627</v>
      </c>
      <c r="L19" s="13">
        <f>SUM(L15:L18)</f>
        <v>0</v>
      </c>
      <c r="M19" s="13">
        <f>SUM(M15:M18)</f>
        <v>344911132</v>
      </c>
      <c r="N19" s="2"/>
    </row>
    <row r="20" spans="1:14" ht="18.75">
      <c r="A20" s="2"/>
      <c r="B20" s="2"/>
      <c r="C20" s="1"/>
      <c r="D20" s="2"/>
      <c r="E20" s="2"/>
      <c r="F20" s="2"/>
      <c r="G20" s="2"/>
      <c r="H20" s="2"/>
      <c r="I20" s="15"/>
      <c r="J20" s="15"/>
      <c r="K20" s="15"/>
      <c r="L20" s="15"/>
      <c r="M20" s="15"/>
      <c r="N20" s="2"/>
    </row>
    <row r="21" spans="1:14" ht="18.75">
      <c r="A21" s="2" t="s">
        <v>19</v>
      </c>
      <c r="B21" s="2"/>
      <c r="C21" s="2"/>
      <c r="D21" s="2"/>
      <c r="E21" s="2"/>
      <c r="F21" s="2"/>
      <c r="G21" s="2"/>
      <c r="H21" s="2"/>
      <c r="I21" s="3"/>
      <c r="J21" s="3"/>
      <c r="K21" s="3"/>
      <c r="L21" s="3"/>
      <c r="M21" s="3"/>
      <c r="N21" s="2"/>
    </row>
    <row r="22" spans="1:14" ht="18.75">
      <c r="A22" s="2"/>
      <c r="B22" s="2" t="s">
        <v>32</v>
      </c>
      <c r="C22" s="2"/>
      <c r="D22" s="2"/>
      <c r="E22" s="2"/>
      <c r="F22" s="2"/>
      <c r="G22" s="2"/>
      <c r="H22" s="2"/>
      <c r="I22" s="3">
        <v>-24025483</v>
      </c>
      <c r="J22" s="3"/>
      <c r="K22" s="3">
        <v>-2644445</v>
      </c>
      <c r="L22" s="3">
        <v>0</v>
      </c>
      <c r="M22" s="3">
        <f>SUM(I22:L22)</f>
        <v>-26669928</v>
      </c>
      <c r="N22" s="3">
        <f>SUM(M22,M15)</f>
        <v>81602610</v>
      </c>
    </row>
    <row r="23" spans="1:14" ht="18.75">
      <c r="A23" s="2"/>
      <c r="B23" s="2" t="s">
        <v>153</v>
      </c>
      <c r="C23" s="2"/>
      <c r="D23" s="2"/>
      <c r="E23" s="2"/>
      <c r="F23" s="2"/>
      <c r="G23" s="2"/>
      <c r="H23" s="2"/>
      <c r="I23" s="3"/>
      <c r="J23" s="3"/>
      <c r="K23" s="3"/>
      <c r="L23" s="3"/>
      <c r="M23" s="3"/>
      <c r="N23" s="3"/>
    </row>
    <row r="24" spans="1:14" ht="18.75">
      <c r="A24" s="2"/>
      <c r="B24" s="2"/>
      <c r="C24" s="2" t="s">
        <v>154</v>
      </c>
      <c r="D24" s="2"/>
      <c r="E24" s="2"/>
      <c r="F24" s="2"/>
      <c r="G24" s="2"/>
      <c r="H24" s="2"/>
      <c r="I24" s="3">
        <v>-6208523</v>
      </c>
      <c r="J24" s="3"/>
      <c r="K24" s="3">
        <v>-692827</v>
      </c>
      <c r="L24" s="3">
        <v>9965</v>
      </c>
      <c r="M24" s="3">
        <f>SUM(I24:L24)</f>
        <v>-6891385</v>
      </c>
      <c r="N24" s="3">
        <f>SUM(M24,M17)</f>
        <v>224555723</v>
      </c>
    </row>
    <row r="25" spans="1:14" ht="18.75">
      <c r="A25" s="2"/>
      <c r="B25" s="2" t="s">
        <v>155</v>
      </c>
      <c r="C25" s="2"/>
      <c r="D25" s="2"/>
      <c r="E25" s="2"/>
      <c r="F25" s="2"/>
      <c r="G25" s="2"/>
      <c r="H25" s="2"/>
      <c r="I25" s="3">
        <v>-3526904</v>
      </c>
      <c r="J25" s="3"/>
      <c r="K25" s="3">
        <v>-454178</v>
      </c>
      <c r="L25" s="3">
        <v>0</v>
      </c>
      <c r="M25" s="3">
        <f>SUM(I25:L25)</f>
        <v>-3981082</v>
      </c>
      <c r="N25" s="3">
        <f>M18+M25</f>
        <v>1210404</v>
      </c>
    </row>
    <row r="26" spans="1:14" ht="18.75">
      <c r="A26" s="1"/>
      <c r="B26" s="1"/>
      <c r="C26" s="1" t="s">
        <v>20</v>
      </c>
      <c r="D26" s="1"/>
      <c r="E26" s="1"/>
      <c r="F26" s="1"/>
      <c r="G26" s="1"/>
      <c r="H26" s="1"/>
      <c r="I26" s="10">
        <f>SUM(I22:I25)</f>
        <v>-33760910</v>
      </c>
      <c r="J26" s="10">
        <f>SUM(J22:J25)</f>
        <v>0</v>
      </c>
      <c r="K26" s="10">
        <f>SUM(K22:K25)</f>
        <v>-3791450</v>
      </c>
      <c r="L26" s="10">
        <f>SUM(L22:L25)</f>
        <v>9965</v>
      </c>
      <c r="M26" s="10">
        <f>SUM(M22:M25)</f>
        <v>-37542395</v>
      </c>
      <c r="N26" s="1"/>
    </row>
    <row r="27" spans="1:14" ht="18.75">
      <c r="A27" s="1"/>
      <c r="B27" s="1"/>
      <c r="C27" s="1"/>
      <c r="D27" s="1"/>
      <c r="E27" s="1"/>
      <c r="F27" s="1"/>
      <c r="G27" s="1"/>
      <c r="H27" s="1"/>
      <c r="I27" s="10"/>
      <c r="J27" s="10"/>
      <c r="K27" s="10"/>
      <c r="L27" s="10"/>
      <c r="M27" s="10"/>
      <c r="N27" s="1"/>
    </row>
    <row r="28" spans="1:14" ht="18.75">
      <c r="A28" s="1"/>
      <c r="B28" s="1" t="s">
        <v>21</v>
      </c>
      <c r="C28" s="1"/>
      <c r="D28" s="1"/>
      <c r="E28" s="1"/>
      <c r="F28" s="1"/>
      <c r="G28" s="1"/>
      <c r="H28" s="1"/>
      <c r="I28" s="10">
        <f>I26+I19</f>
        <v>299182215</v>
      </c>
      <c r="J28" s="10">
        <f t="shared" ref="J28:M28" si="1">J26+J19</f>
        <v>3040380</v>
      </c>
      <c r="K28" s="10">
        <f t="shared" si="1"/>
        <v>5136177</v>
      </c>
      <c r="L28" s="10">
        <f t="shared" si="1"/>
        <v>9965</v>
      </c>
      <c r="M28" s="10">
        <f t="shared" si="1"/>
        <v>307368737</v>
      </c>
      <c r="N28" s="1"/>
    </row>
    <row r="29" spans="1:14" ht="18.75">
      <c r="A29" s="1"/>
      <c r="B29" s="1"/>
      <c r="C29" s="1"/>
      <c r="D29" s="1"/>
      <c r="E29" s="1"/>
      <c r="F29" s="1"/>
      <c r="G29" s="1"/>
      <c r="H29" s="1"/>
      <c r="I29" s="31"/>
      <c r="J29" s="31"/>
      <c r="K29" s="31"/>
      <c r="L29" s="31"/>
      <c r="M29" s="31"/>
      <c r="N29" s="1"/>
    </row>
    <row r="30" spans="1:14" ht="18.75">
      <c r="A30" s="2"/>
      <c r="B30" s="1" t="s">
        <v>22</v>
      </c>
      <c r="C30" s="2"/>
      <c r="D30" s="2"/>
      <c r="E30" s="2"/>
      <c r="F30" s="2"/>
      <c r="G30" s="2"/>
      <c r="H30" s="2"/>
      <c r="I30" s="14">
        <f>I12+I28</f>
        <v>492567272</v>
      </c>
      <c r="J30" s="14">
        <f>J12+J28</f>
        <v>26143857</v>
      </c>
      <c r="K30" s="14">
        <f>K12+K28</f>
        <v>8321576</v>
      </c>
      <c r="L30" s="14">
        <f>L12+L28</f>
        <v>-7511548</v>
      </c>
      <c r="M30" s="14">
        <f>M12+M28</f>
        <v>519521157</v>
      </c>
      <c r="N30" s="67">
        <f>SUM(N10:N25)</f>
        <v>519521157</v>
      </c>
    </row>
    <row r="31" spans="1:14" ht="18.75">
      <c r="A31" s="2"/>
      <c r="B31" s="1"/>
      <c r="C31" s="2"/>
      <c r="D31" s="2"/>
      <c r="E31" s="2"/>
      <c r="F31" s="2"/>
      <c r="G31" s="2"/>
      <c r="H31" s="2"/>
      <c r="I31" s="15"/>
      <c r="J31" s="15"/>
      <c r="K31" s="15"/>
      <c r="L31" s="15"/>
      <c r="M31" s="15"/>
      <c r="N31" s="2"/>
    </row>
    <row r="32" spans="1:14" ht="18.75">
      <c r="A32" s="2"/>
      <c r="B32" s="2"/>
      <c r="C32" s="2"/>
      <c r="D32" s="2"/>
      <c r="E32" s="2"/>
      <c r="F32" s="2"/>
      <c r="G32" s="2"/>
      <c r="H32" s="2"/>
      <c r="I32" s="3"/>
      <c r="J32" s="3"/>
      <c r="K32" s="3"/>
      <c r="L32" s="3"/>
      <c r="M32" s="3"/>
      <c r="N32" s="2"/>
    </row>
    <row r="33" spans="1:14" ht="37.5">
      <c r="A33" s="2"/>
      <c r="B33" s="2"/>
      <c r="C33" s="2"/>
      <c r="D33" s="2"/>
      <c r="E33" s="2"/>
      <c r="F33" s="2"/>
      <c r="G33" s="2"/>
      <c r="H33" s="2"/>
      <c r="I33" s="17" t="s">
        <v>3</v>
      </c>
      <c r="J33" s="17" t="s">
        <v>67</v>
      </c>
      <c r="K33" s="17" t="s">
        <v>45</v>
      </c>
      <c r="L33" s="17" t="s">
        <v>46</v>
      </c>
      <c r="M33" s="17" t="s">
        <v>6</v>
      </c>
      <c r="N33" s="2"/>
    </row>
    <row r="34" spans="1:14" ht="18.75">
      <c r="A34" s="2"/>
      <c r="B34" s="2"/>
      <c r="C34" s="2"/>
      <c r="D34" s="2"/>
      <c r="E34" s="2"/>
      <c r="F34" s="2"/>
      <c r="G34" s="2"/>
      <c r="H34" s="2"/>
      <c r="I34" s="5"/>
      <c r="J34" s="5"/>
      <c r="K34" s="5"/>
      <c r="L34" s="5"/>
      <c r="M34" s="5"/>
      <c r="N34" s="2"/>
    </row>
    <row r="35" spans="1:14" ht="18.75">
      <c r="A35" s="1" t="s">
        <v>79</v>
      </c>
      <c r="B35" s="1"/>
      <c r="C35" s="1"/>
      <c r="D35" s="1"/>
      <c r="E35" s="1"/>
      <c r="F35" s="1"/>
      <c r="G35" s="2"/>
      <c r="H35" s="2"/>
      <c r="I35" s="3"/>
      <c r="J35" s="3"/>
      <c r="K35" s="3"/>
      <c r="L35" s="3"/>
      <c r="M35" s="3"/>
      <c r="N35" s="2"/>
    </row>
    <row r="36" spans="1:14" ht="18.75">
      <c r="A36" s="1" t="s">
        <v>80</v>
      </c>
      <c r="B36" s="1"/>
      <c r="C36" s="1"/>
      <c r="D36" s="1"/>
      <c r="E36" s="1"/>
      <c r="F36" s="1"/>
      <c r="G36" s="2"/>
      <c r="H36" s="2"/>
      <c r="I36" s="3"/>
      <c r="J36" s="3"/>
      <c r="K36" s="3"/>
      <c r="L36" s="3"/>
      <c r="M36" s="3"/>
      <c r="N36" s="2"/>
    </row>
    <row r="37" spans="1:14" ht="18.75">
      <c r="A37" s="2"/>
      <c r="B37" s="2" t="s">
        <v>151</v>
      </c>
      <c r="C37" s="2"/>
      <c r="D37" s="2"/>
      <c r="E37" s="2"/>
      <c r="F37" s="2"/>
      <c r="G37" s="2"/>
      <c r="H37" s="2"/>
      <c r="I37" s="3">
        <v>1301778</v>
      </c>
      <c r="J37" s="3">
        <v>0</v>
      </c>
      <c r="K37" s="3">
        <v>110034</v>
      </c>
      <c r="L37" s="3">
        <v>0</v>
      </c>
      <c r="M37" s="3">
        <f>SUM(I37:L37)</f>
        <v>1411812</v>
      </c>
      <c r="N37" s="3">
        <f>SUM(M37)</f>
        <v>1411812</v>
      </c>
    </row>
    <row r="38" spans="1:14" ht="18.75">
      <c r="A38" s="2"/>
      <c r="B38" s="2" t="s">
        <v>156</v>
      </c>
      <c r="C38" s="2"/>
      <c r="D38" s="2"/>
      <c r="E38" s="2"/>
      <c r="F38" s="2"/>
      <c r="G38" s="2"/>
      <c r="H38" s="2"/>
      <c r="I38" s="3">
        <v>1226000</v>
      </c>
      <c r="J38" s="3"/>
      <c r="K38" s="3"/>
      <c r="L38" s="3"/>
      <c r="M38" s="3">
        <f>SUM(I38:L38)</f>
        <v>1226000</v>
      </c>
      <c r="N38" s="3">
        <f>M38</f>
        <v>1226000</v>
      </c>
    </row>
    <row r="39" spans="1:14" ht="18.75">
      <c r="A39" s="2"/>
      <c r="B39" s="2" t="s">
        <v>152</v>
      </c>
      <c r="C39" s="2"/>
      <c r="D39" s="2"/>
      <c r="E39" s="2"/>
      <c r="F39" s="2"/>
      <c r="G39" s="2"/>
      <c r="H39" s="2"/>
      <c r="I39" s="3">
        <v>3279798</v>
      </c>
      <c r="J39" s="3">
        <v>-119742</v>
      </c>
      <c r="K39" s="3">
        <v>10471550</v>
      </c>
      <c r="L39" s="3"/>
      <c r="M39" s="3">
        <f>SUM(I39:L39)</f>
        <v>13631606</v>
      </c>
      <c r="N39" s="3">
        <f>SUM(M39)</f>
        <v>13631606</v>
      </c>
    </row>
    <row r="40" spans="1:14" ht="18.75">
      <c r="A40" s="1"/>
      <c r="B40" s="1"/>
      <c r="C40" s="1" t="s">
        <v>68</v>
      </c>
      <c r="D40" s="1"/>
      <c r="E40" s="1"/>
      <c r="F40" s="1"/>
      <c r="G40" s="1"/>
      <c r="H40" s="2"/>
      <c r="I40" s="12">
        <f>SUM(I37:I39)</f>
        <v>5807576</v>
      </c>
      <c r="J40" s="12">
        <f t="shared" ref="J40:M40" si="2">SUM(J37:J39)</f>
        <v>-119742</v>
      </c>
      <c r="K40" s="12">
        <f t="shared" si="2"/>
        <v>10581584</v>
      </c>
      <c r="L40" s="12">
        <f t="shared" si="2"/>
        <v>0</v>
      </c>
      <c r="M40" s="12">
        <f t="shared" si="2"/>
        <v>16269418</v>
      </c>
      <c r="N40" s="2"/>
    </row>
    <row r="41" spans="1:14" ht="18.75">
      <c r="A41" s="2"/>
      <c r="B41" s="2"/>
      <c r="C41" s="2"/>
      <c r="D41" s="2"/>
      <c r="E41" s="2"/>
      <c r="F41" s="2"/>
      <c r="G41" s="2"/>
      <c r="H41" s="2"/>
      <c r="I41" s="3"/>
      <c r="J41" s="3"/>
      <c r="K41" s="3"/>
      <c r="L41" s="3"/>
      <c r="M41" s="3"/>
      <c r="N41" s="2"/>
    </row>
    <row r="42" spans="1:14" ht="18.75">
      <c r="A42" s="1" t="s">
        <v>13</v>
      </c>
      <c r="B42" s="2"/>
      <c r="C42" s="2"/>
      <c r="D42" s="2"/>
      <c r="E42" s="2"/>
      <c r="F42" s="2"/>
      <c r="G42" s="2"/>
      <c r="H42" s="2"/>
      <c r="I42" s="3"/>
      <c r="J42" s="3"/>
      <c r="K42" s="3"/>
      <c r="L42" s="3"/>
      <c r="M42" s="3"/>
      <c r="N42" s="2"/>
    </row>
    <row r="43" spans="1:14" ht="18.75">
      <c r="A43" s="1"/>
      <c r="B43" s="2" t="s">
        <v>122</v>
      </c>
      <c r="C43" s="2"/>
      <c r="D43" s="2"/>
      <c r="E43" s="2"/>
      <c r="F43" s="2"/>
      <c r="G43" s="2"/>
      <c r="H43" s="2"/>
      <c r="I43" s="3">
        <v>34602</v>
      </c>
      <c r="J43" s="3">
        <v>119742</v>
      </c>
      <c r="K43" s="3">
        <v>43137</v>
      </c>
      <c r="L43" s="3">
        <v>0</v>
      </c>
      <c r="M43" s="3">
        <f>SUM(I43:L43)</f>
        <v>197481</v>
      </c>
      <c r="N43" s="2"/>
    </row>
    <row r="44" spans="1:14" ht="18.75">
      <c r="A44" s="2"/>
      <c r="B44" s="2" t="s">
        <v>153</v>
      </c>
      <c r="C44" s="2"/>
      <c r="D44" s="2"/>
      <c r="E44" s="2"/>
      <c r="F44" s="2"/>
      <c r="G44" s="2"/>
      <c r="H44" s="2"/>
      <c r="I44" s="3">
        <v>4953684</v>
      </c>
      <c r="J44" s="3"/>
      <c r="K44" s="3"/>
      <c r="L44" s="3">
        <v>0</v>
      </c>
      <c r="M44" s="3">
        <f>SUM(I44:L44)</f>
        <v>4953684</v>
      </c>
      <c r="N44" s="2"/>
    </row>
    <row r="45" spans="1:14" ht="18.75">
      <c r="A45" s="2"/>
      <c r="B45" s="2"/>
      <c r="C45" s="2" t="s">
        <v>154</v>
      </c>
      <c r="D45" s="2"/>
      <c r="E45" s="2"/>
      <c r="F45" s="2"/>
      <c r="G45" s="2"/>
      <c r="H45" s="2"/>
      <c r="I45" s="3"/>
      <c r="J45" s="3"/>
      <c r="K45" s="3"/>
      <c r="L45" s="3"/>
      <c r="M45" s="3"/>
      <c r="N45" s="2"/>
    </row>
    <row r="46" spans="1:14" ht="18.75">
      <c r="A46" s="2"/>
      <c r="B46" s="2" t="s">
        <v>157</v>
      </c>
      <c r="C46" s="2"/>
      <c r="D46" s="2"/>
      <c r="E46" s="2"/>
      <c r="F46" s="2"/>
      <c r="G46" s="2"/>
      <c r="H46" s="2"/>
      <c r="I46" s="3"/>
      <c r="J46" s="3"/>
      <c r="K46" s="3"/>
      <c r="L46" s="3"/>
      <c r="M46" s="3"/>
      <c r="N46" s="2"/>
    </row>
    <row r="47" spans="1:14" ht="18.75">
      <c r="A47" s="2"/>
      <c r="B47" s="2"/>
      <c r="C47" s="1" t="s">
        <v>18</v>
      </c>
      <c r="D47" s="2"/>
      <c r="E47" s="2"/>
      <c r="F47" s="2"/>
      <c r="G47" s="2"/>
      <c r="H47" s="2"/>
      <c r="I47" s="12">
        <f>SUM(I43:I44)</f>
        <v>4988286</v>
      </c>
      <c r="J47" s="12">
        <f>SUM(J43:J44)</f>
        <v>119742</v>
      </c>
      <c r="K47" s="12">
        <f>SUM(K43:K44)</f>
        <v>43137</v>
      </c>
      <c r="L47" s="12">
        <f>SUM(L43:L44)</f>
        <v>0</v>
      </c>
      <c r="M47" s="12">
        <f>SUM(M43:M44)</f>
        <v>5151165</v>
      </c>
      <c r="N47" s="2"/>
    </row>
    <row r="48" spans="1:14" ht="18.75">
      <c r="A48" s="2"/>
      <c r="B48" s="2"/>
      <c r="C48" s="1"/>
      <c r="D48" s="2"/>
      <c r="E48" s="2"/>
      <c r="F48" s="2"/>
      <c r="G48" s="2"/>
      <c r="H48" s="2"/>
      <c r="I48" s="15"/>
      <c r="J48" s="15"/>
      <c r="K48" s="15"/>
      <c r="L48" s="15"/>
      <c r="M48" s="15"/>
      <c r="N48" s="2"/>
    </row>
    <row r="49" spans="1:14" ht="18.75">
      <c r="A49" s="2" t="s">
        <v>19</v>
      </c>
      <c r="B49" s="2"/>
      <c r="C49" s="2"/>
      <c r="D49" s="2"/>
      <c r="E49" s="2"/>
      <c r="F49" s="2"/>
      <c r="G49" s="2"/>
      <c r="H49" s="2"/>
      <c r="I49" s="3"/>
      <c r="J49" s="3"/>
      <c r="K49" s="3"/>
      <c r="L49" s="3"/>
      <c r="M49" s="3"/>
      <c r="N49" s="2"/>
    </row>
    <row r="50" spans="1:14" ht="18.75">
      <c r="A50" s="2"/>
      <c r="B50" s="2" t="s">
        <v>32</v>
      </c>
      <c r="C50" s="2"/>
      <c r="D50" s="2"/>
      <c r="E50" s="2"/>
      <c r="F50" s="2"/>
      <c r="G50" s="2"/>
      <c r="H50" s="2"/>
      <c r="I50" s="3">
        <v>-412</v>
      </c>
      <c r="J50" s="3"/>
      <c r="K50" s="3">
        <v>-4943</v>
      </c>
      <c r="L50" s="3">
        <v>0</v>
      </c>
      <c r="M50" s="3">
        <f>SUM(I50:L50)</f>
        <v>-5355</v>
      </c>
      <c r="N50" s="3">
        <f>SUM(M50,M43)</f>
        <v>192126</v>
      </c>
    </row>
    <row r="51" spans="1:14" ht="18.75">
      <c r="A51" s="2"/>
      <c r="B51" s="2" t="s">
        <v>153</v>
      </c>
      <c r="C51" s="2"/>
      <c r="D51" s="2"/>
      <c r="E51" s="2"/>
      <c r="F51" s="2"/>
      <c r="G51" s="2"/>
      <c r="H51" s="2"/>
      <c r="I51" s="3">
        <v>-333305</v>
      </c>
      <c r="J51" s="3"/>
      <c r="K51" s="3">
        <v>-202580</v>
      </c>
      <c r="L51" s="3">
        <v>0</v>
      </c>
      <c r="M51" s="3">
        <f>SUM(I51:L51)</f>
        <v>-535885</v>
      </c>
      <c r="N51" s="3">
        <f>SUM(M51,M44)</f>
        <v>4417799</v>
      </c>
    </row>
    <row r="52" spans="1:14" ht="18.75">
      <c r="A52" s="2"/>
      <c r="B52" s="2"/>
      <c r="C52" s="2" t="s">
        <v>154</v>
      </c>
      <c r="D52" s="2"/>
      <c r="E52" s="2"/>
      <c r="F52" s="2"/>
      <c r="G52" s="2"/>
      <c r="H52" s="2"/>
      <c r="I52" s="3"/>
      <c r="J52" s="3"/>
      <c r="K52" s="3"/>
      <c r="L52" s="3"/>
      <c r="M52" s="3"/>
      <c r="N52" s="3"/>
    </row>
    <row r="53" spans="1:14" ht="18.75">
      <c r="A53" s="2"/>
      <c r="B53" s="2" t="s">
        <v>157</v>
      </c>
      <c r="C53" s="2"/>
      <c r="D53" s="2"/>
      <c r="E53" s="2"/>
      <c r="F53" s="2"/>
      <c r="G53" s="2"/>
      <c r="H53" s="2"/>
      <c r="I53" s="3"/>
      <c r="J53" s="3"/>
      <c r="K53" s="3"/>
      <c r="L53" s="3"/>
      <c r="M53" s="3"/>
      <c r="N53" s="3"/>
    </row>
    <row r="54" spans="1:14" ht="18.75">
      <c r="A54" s="1"/>
      <c r="B54" s="1"/>
      <c r="C54" s="1" t="s">
        <v>20</v>
      </c>
      <c r="D54" s="1"/>
      <c r="E54" s="1"/>
      <c r="F54" s="1"/>
      <c r="G54" s="1"/>
      <c r="H54" s="2"/>
      <c r="I54" s="12">
        <f>SUM(I50:I51)</f>
        <v>-333717</v>
      </c>
      <c r="J54" s="12">
        <f>SUM(J50:J51)</f>
        <v>0</v>
      </c>
      <c r="K54" s="12">
        <f>SUM(K50:K51)</f>
        <v>-207523</v>
      </c>
      <c r="L54" s="12">
        <f>SUM(L50:L51)</f>
        <v>0</v>
      </c>
      <c r="M54" s="12">
        <f>SUM(M50:M51)</f>
        <v>-541240</v>
      </c>
      <c r="N54" s="2"/>
    </row>
    <row r="55" spans="1:14" ht="18.75">
      <c r="A55" s="1"/>
      <c r="B55" s="1"/>
      <c r="C55" s="1"/>
      <c r="D55" s="1"/>
      <c r="E55" s="1"/>
      <c r="F55" s="1"/>
      <c r="G55" s="1"/>
      <c r="H55" s="2"/>
      <c r="I55" s="12"/>
      <c r="J55" s="12"/>
      <c r="K55" s="12"/>
      <c r="L55" s="12"/>
      <c r="M55" s="12"/>
      <c r="N55" s="2"/>
    </row>
    <row r="56" spans="1:14" ht="18.75">
      <c r="A56" s="1"/>
      <c r="B56" s="1" t="s">
        <v>21</v>
      </c>
      <c r="C56" s="1"/>
      <c r="D56" s="1"/>
      <c r="E56" s="1"/>
      <c r="F56" s="1"/>
      <c r="G56" s="1"/>
      <c r="H56" s="2"/>
      <c r="I56" s="12">
        <f>SUM(I54,I47)</f>
        <v>4654569</v>
      </c>
      <c r="J56" s="12">
        <f>SUM(J54,J47)</f>
        <v>119742</v>
      </c>
      <c r="K56" s="12">
        <f>SUM(K54,K47)</f>
        <v>-164386</v>
      </c>
      <c r="L56" s="12">
        <f>SUM(L54,L47)</f>
        <v>0</v>
      </c>
      <c r="M56" s="12">
        <f>SUM(M54,M47)</f>
        <v>4609925</v>
      </c>
      <c r="N56" s="2"/>
    </row>
    <row r="57" spans="1:14" ht="18.75">
      <c r="A57" s="1"/>
      <c r="B57" s="1"/>
      <c r="C57" s="1"/>
      <c r="D57" s="1"/>
      <c r="E57" s="1"/>
      <c r="F57" s="1"/>
      <c r="G57" s="1"/>
      <c r="H57" s="2"/>
      <c r="I57" s="13"/>
      <c r="J57" s="13"/>
      <c r="K57" s="13"/>
      <c r="L57" s="13"/>
      <c r="M57" s="13"/>
      <c r="N57" s="2"/>
    </row>
    <row r="58" spans="1:14" ht="18.75">
      <c r="A58" s="2"/>
      <c r="B58" s="1" t="s">
        <v>43</v>
      </c>
      <c r="C58" s="2"/>
      <c r="D58" s="2"/>
      <c r="E58" s="2"/>
      <c r="F58" s="2"/>
      <c r="G58" s="2"/>
      <c r="H58" s="2"/>
      <c r="I58" s="14">
        <f>I40+I56</f>
        <v>10462145</v>
      </c>
      <c r="J58" s="14">
        <f>J40+J56</f>
        <v>0</v>
      </c>
      <c r="K58" s="14">
        <f>K40+K56</f>
        <v>10417198</v>
      </c>
      <c r="L58" s="14">
        <f>L40+L56</f>
        <v>0</v>
      </c>
      <c r="M58" s="14">
        <f>M40+M56</f>
        <v>20879343</v>
      </c>
      <c r="N58" s="3">
        <f>SUM(N50:N51,N37:N39)</f>
        <v>20879343</v>
      </c>
    </row>
    <row r="59" spans="1:14" ht="18.75">
      <c r="A59" s="2"/>
      <c r="B59" s="2"/>
      <c r="C59" s="2"/>
      <c r="D59" s="2"/>
      <c r="E59" s="2"/>
      <c r="F59" s="2"/>
      <c r="G59" s="2"/>
      <c r="H59" s="2"/>
      <c r="I59" s="3"/>
      <c r="J59" s="3"/>
      <c r="K59" s="3"/>
      <c r="L59" s="3"/>
      <c r="M59" s="3"/>
      <c r="N59" s="2"/>
    </row>
  </sheetData>
  <mergeCells count="3">
    <mergeCell ref="D1:I1"/>
    <mergeCell ref="D2:I2"/>
    <mergeCell ref="D3:I3"/>
  </mergeCells>
  <pageMargins left="0.7" right="0.7" top="0.75" bottom="0.75" header="0.3" footer="0.3"/>
  <extLst>
    <ext xmlns:mx="http://schemas.microsoft.com/office/mac/excel/2008/main" uri="{64002731-A6B0-56B0-2670-7721B7C09600}">
      <mx:PLV Mode="0" OnePage="0" WScale="0"/>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64"/>
  <sheetViews>
    <sheetView topLeftCell="A31" zoomScale="85" zoomScaleNormal="85" zoomScalePageLayoutView="85" workbookViewId="0">
      <selection activeCell="I51" sqref="I51"/>
    </sheetView>
  </sheetViews>
  <sheetFormatPr defaultColWidth="8.85546875" defaultRowHeight="15"/>
  <cols>
    <col min="9" max="9" width="19" customWidth="1"/>
    <col min="10" max="10" width="16.85546875" customWidth="1"/>
    <col min="11" max="11" width="16" customWidth="1"/>
    <col min="12" max="12" width="19" customWidth="1"/>
    <col min="13" max="13" width="18.85546875" customWidth="1"/>
  </cols>
  <sheetData>
    <row r="1" spans="1:13" ht="18.75">
      <c r="A1" s="2"/>
      <c r="B1" s="2"/>
      <c r="C1" s="2"/>
      <c r="D1" s="136" t="s">
        <v>158</v>
      </c>
      <c r="E1" s="136"/>
      <c r="F1" s="136"/>
      <c r="G1" s="136"/>
      <c r="H1" s="136"/>
      <c r="I1" s="136"/>
      <c r="J1" s="3"/>
      <c r="K1" s="3"/>
      <c r="L1" s="3"/>
      <c r="M1" s="2"/>
    </row>
    <row r="2" spans="1:13" ht="18.75">
      <c r="A2" s="2"/>
      <c r="B2" s="2"/>
      <c r="C2" s="2"/>
      <c r="D2" s="136" t="s">
        <v>1</v>
      </c>
      <c r="E2" s="136"/>
      <c r="F2" s="136"/>
      <c r="G2" s="136"/>
      <c r="H2" s="136"/>
      <c r="I2" s="136"/>
      <c r="J2" s="3"/>
      <c r="K2" s="3"/>
      <c r="L2" s="3"/>
      <c r="M2" s="2"/>
    </row>
    <row r="3" spans="1:13" ht="18.75">
      <c r="A3" s="2"/>
      <c r="B3" s="2"/>
      <c r="C3" s="2"/>
      <c r="D3" s="136" t="s">
        <v>2</v>
      </c>
      <c r="E3" s="136"/>
      <c r="F3" s="136"/>
      <c r="G3" s="136"/>
      <c r="H3" s="136"/>
      <c r="I3" s="136"/>
      <c r="J3" s="3"/>
      <c r="K3" s="3"/>
      <c r="L3" s="3"/>
      <c r="M3" s="2"/>
    </row>
    <row r="4" spans="1:13" ht="18.75">
      <c r="A4" s="2"/>
      <c r="B4" s="2"/>
      <c r="C4" s="2"/>
      <c r="D4" s="69"/>
      <c r="E4" s="69"/>
      <c r="F4" s="69"/>
      <c r="G4" s="69"/>
      <c r="H4" s="69"/>
      <c r="I4" s="4"/>
      <c r="J4" s="3"/>
      <c r="K4" s="3"/>
      <c r="L4" s="3"/>
      <c r="M4" s="2"/>
    </row>
    <row r="5" spans="1:13" ht="37.5">
      <c r="A5" s="2"/>
      <c r="B5" s="2"/>
      <c r="C5" s="2"/>
      <c r="D5" s="2"/>
      <c r="E5" s="2"/>
      <c r="F5" s="2"/>
      <c r="G5" s="2"/>
      <c r="H5" s="2"/>
      <c r="I5" s="11" t="s">
        <v>3</v>
      </c>
      <c r="J5" s="11" t="s">
        <v>45</v>
      </c>
      <c r="K5" s="11" t="s">
        <v>46</v>
      </c>
      <c r="L5" s="11" t="s">
        <v>6</v>
      </c>
      <c r="M5" s="11" t="s">
        <v>7</v>
      </c>
    </row>
    <row r="6" spans="1:13" ht="18.75">
      <c r="A6" s="2"/>
      <c r="B6" s="2"/>
      <c r="C6" s="2"/>
      <c r="D6" s="2"/>
      <c r="E6" s="2"/>
      <c r="F6" s="2"/>
      <c r="G6" s="2"/>
      <c r="H6" s="2"/>
      <c r="I6" s="119"/>
      <c r="J6" s="119"/>
      <c r="K6" s="119"/>
      <c r="L6" s="119"/>
      <c r="M6" s="119"/>
    </row>
    <row r="7" spans="1:13" ht="18.75">
      <c r="A7" s="2"/>
      <c r="B7" s="2" t="s">
        <v>10</v>
      </c>
      <c r="C7" s="2"/>
      <c r="D7" s="2"/>
      <c r="E7" s="2"/>
      <c r="F7" s="2"/>
      <c r="G7" s="2"/>
      <c r="H7" s="2"/>
      <c r="I7" s="3">
        <v>274665</v>
      </c>
      <c r="J7" s="3"/>
      <c r="K7" s="3"/>
      <c r="L7" s="3">
        <f>SUM(I7:K7)</f>
        <v>274665</v>
      </c>
      <c r="M7" s="3">
        <f>SUM(L7)</f>
        <v>274665</v>
      </c>
    </row>
    <row r="8" spans="1:13" ht="18.75">
      <c r="A8" s="2"/>
      <c r="B8" s="2" t="s">
        <v>159</v>
      </c>
      <c r="C8" s="2"/>
      <c r="D8" s="2"/>
      <c r="E8" s="2"/>
      <c r="F8" s="2"/>
      <c r="G8" s="2"/>
      <c r="H8" s="2"/>
      <c r="I8" s="3">
        <v>101000</v>
      </c>
      <c r="J8" s="3"/>
      <c r="K8" s="3"/>
      <c r="L8" s="3">
        <f>SUM(I8:K8)</f>
        <v>101000</v>
      </c>
      <c r="M8" s="3">
        <f>SUM(L8)</f>
        <v>101000</v>
      </c>
    </row>
    <row r="9" spans="1:13" ht="18.75">
      <c r="A9" s="2"/>
      <c r="B9" s="2" t="s">
        <v>11</v>
      </c>
      <c r="C9" s="2"/>
      <c r="D9" s="2"/>
      <c r="E9" s="2"/>
      <c r="F9" s="2"/>
      <c r="G9" s="2"/>
      <c r="H9" s="2"/>
      <c r="I9" s="3">
        <v>261764</v>
      </c>
      <c r="J9" s="3">
        <v>3263</v>
      </c>
      <c r="K9" s="3"/>
      <c r="L9" s="3">
        <f>SUM(I9:K9)</f>
        <v>265027</v>
      </c>
      <c r="M9" s="3">
        <f>SUM(L9)</f>
        <v>265027</v>
      </c>
    </row>
    <row r="10" spans="1:13" ht="18.75">
      <c r="A10" s="2"/>
      <c r="B10" s="1"/>
      <c r="C10" s="1" t="s">
        <v>68</v>
      </c>
      <c r="D10" s="1"/>
      <c r="E10" s="1"/>
      <c r="F10" s="1"/>
      <c r="G10" s="1"/>
      <c r="H10" s="1"/>
      <c r="I10" s="12">
        <f>SUM(I7:I9)</f>
        <v>637429</v>
      </c>
      <c r="J10" s="12">
        <f>SUM(J7:J9)</f>
        <v>3263</v>
      </c>
      <c r="K10" s="12">
        <f>SUM(K7:K9)</f>
        <v>0</v>
      </c>
      <c r="L10" s="12">
        <f>SUM(L7:L9)</f>
        <v>640692</v>
      </c>
      <c r="M10" s="1"/>
    </row>
    <row r="11" spans="1:13" ht="18.75">
      <c r="A11" s="2"/>
      <c r="B11" s="2"/>
      <c r="C11" s="2"/>
      <c r="D11" s="2"/>
      <c r="E11" s="2"/>
      <c r="F11" s="2"/>
      <c r="G11" s="2"/>
      <c r="H11" s="2"/>
      <c r="I11" s="3"/>
      <c r="J11" s="3"/>
      <c r="K11" s="3"/>
      <c r="L11" s="3"/>
      <c r="M11" s="2"/>
    </row>
    <row r="12" spans="1:13" ht="18.75">
      <c r="A12" s="2"/>
      <c r="B12" s="2"/>
      <c r="C12" s="2"/>
      <c r="D12" s="2"/>
      <c r="E12" s="2"/>
      <c r="F12" s="2"/>
      <c r="G12" s="2"/>
      <c r="H12" s="2"/>
      <c r="I12" s="3"/>
      <c r="J12" s="3"/>
      <c r="K12" s="3"/>
      <c r="L12" s="3"/>
      <c r="M12" s="2"/>
    </row>
    <row r="13" spans="1:13" ht="18.75">
      <c r="A13" s="2"/>
      <c r="B13" s="2" t="s">
        <v>28</v>
      </c>
      <c r="C13" s="2"/>
      <c r="D13" s="2"/>
      <c r="E13" s="2"/>
      <c r="F13" s="2"/>
      <c r="G13" s="2"/>
      <c r="H13" s="2"/>
      <c r="I13" s="3">
        <v>2646828</v>
      </c>
      <c r="J13" s="3"/>
      <c r="K13" s="3">
        <v>-865</v>
      </c>
      <c r="L13" s="3">
        <f>SUM(I13:K13)</f>
        <v>2645963</v>
      </c>
      <c r="M13" s="2"/>
    </row>
    <row r="14" spans="1:13" ht="18.75">
      <c r="A14" s="2"/>
      <c r="B14" s="2" t="s">
        <v>160</v>
      </c>
      <c r="C14" s="2"/>
      <c r="D14" s="2"/>
      <c r="E14" s="2"/>
      <c r="F14" s="2"/>
      <c r="G14" s="2"/>
      <c r="H14" s="2"/>
      <c r="I14" s="3">
        <v>427082</v>
      </c>
      <c r="J14" s="3">
        <v>4182</v>
      </c>
      <c r="K14" s="3">
        <v>-118737</v>
      </c>
      <c r="L14" s="3">
        <f>SUM(I14:K14)</f>
        <v>312527</v>
      </c>
      <c r="M14" s="2"/>
    </row>
    <row r="15" spans="1:13" ht="18.75">
      <c r="A15" s="2"/>
      <c r="B15" s="2" t="s">
        <v>161</v>
      </c>
      <c r="C15" s="2"/>
      <c r="D15" s="2"/>
      <c r="E15" s="2"/>
      <c r="F15" s="2"/>
      <c r="G15" s="2"/>
      <c r="H15" s="2"/>
      <c r="I15" s="3">
        <v>119551</v>
      </c>
      <c r="J15" s="3">
        <v>1200</v>
      </c>
      <c r="K15" s="3">
        <v>-53352</v>
      </c>
      <c r="L15" s="3">
        <f>SUM(I15:K15)</f>
        <v>67399</v>
      </c>
      <c r="M15" s="2"/>
    </row>
    <row r="16" spans="1:13" ht="18.75">
      <c r="A16" s="2"/>
      <c r="B16" s="2" t="s">
        <v>162</v>
      </c>
      <c r="C16" s="2"/>
      <c r="D16" s="2"/>
      <c r="E16" s="2"/>
      <c r="F16" s="2"/>
      <c r="G16" s="2"/>
      <c r="H16" s="2"/>
      <c r="I16" s="3">
        <v>1727485</v>
      </c>
      <c r="J16" s="3">
        <v>673159</v>
      </c>
      <c r="K16" s="3">
        <v>-467938</v>
      </c>
      <c r="L16" s="3">
        <f>SUM(I16:K16)</f>
        <v>1932706</v>
      </c>
      <c r="M16" s="2"/>
    </row>
    <row r="17" spans="1:13" ht="18.75">
      <c r="A17" s="2"/>
      <c r="B17" s="2" t="s">
        <v>30</v>
      </c>
      <c r="C17" s="2"/>
      <c r="D17" s="2"/>
      <c r="E17" s="2"/>
      <c r="F17" s="2"/>
      <c r="G17" s="2"/>
      <c r="H17" s="2"/>
      <c r="I17" s="3">
        <v>2399424</v>
      </c>
      <c r="J17" s="3">
        <v>596645</v>
      </c>
      <c r="K17" s="3">
        <v>-34695</v>
      </c>
      <c r="L17" s="3">
        <f t="shared" ref="L17:L24" si="0">SUM(I17:K17)</f>
        <v>2961374</v>
      </c>
      <c r="M17" s="2"/>
    </row>
    <row r="18" spans="1:13" ht="18.75">
      <c r="A18" s="2"/>
      <c r="B18" s="2" t="s">
        <v>163</v>
      </c>
      <c r="C18" s="2"/>
      <c r="D18" s="2"/>
      <c r="E18" s="2"/>
      <c r="F18" s="2"/>
      <c r="G18" s="2"/>
      <c r="H18" s="2"/>
      <c r="I18" s="3">
        <v>342548</v>
      </c>
      <c r="J18" s="3"/>
      <c r="K18" s="3"/>
      <c r="L18" s="3">
        <f t="shared" si="0"/>
        <v>342548</v>
      </c>
      <c r="M18" s="2"/>
    </row>
    <row r="19" spans="1:13" ht="18.75">
      <c r="A19" s="2"/>
      <c r="B19" s="2" t="s">
        <v>17</v>
      </c>
      <c r="C19" s="2"/>
      <c r="D19" s="2"/>
      <c r="E19" s="2"/>
      <c r="F19" s="2"/>
      <c r="G19" s="2"/>
      <c r="H19" s="2"/>
      <c r="I19" s="3"/>
      <c r="J19" s="3"/>
      <c r="K19" s="3"/>
      <c r="L19" s="3">
        <f t="shared" si="0"/>
        <v>0</v>
      </c>
      <c r="M19" s="2"/>
    </row>
    <row r="20" spans="1:13" ht="18.75">
      <c r="A20" s="2"/>
      <c r="B20" s="2"/>
      <c r="C20" s="2" t="s">
        <v>164</v>
      </c>
      <c r="D20" s="2"/>
      <c r="E20" s="2"/>
      <c r="F20" s="2"/>
      <c r="G20" s="2"/>
      <c r="H20" s="2"/>
      <c r="I20" s="3">
        <v>25000</v>
      </c>
      <c r="J20" s="3"/>
      <c r="K20" s="3"/>
      <c r="L20" s="3">
        <f t="shared" si="0"/>
        <v>25000</v>
      </c>
      <c r="M20" s="2"/>
    </row>
    <row r="21" spans="1:13" ht="18.75">
      <c r="A21" s="2"/>
      <c r="B21" s="2"/>
      <c r="C21" s="2" t="s">
        <v>165</v>
      </c>
      <c r="D21" s="2"/>
      <c r="E21" s="2"/>
      <c r="F21" s="2"/>
      <c r="G21" s="2"/>
      <c r="H21" s="2"/>
      <c r="I21" s="3">
        <v>1130666</v>
      </c>
      <c r="J21" s="3"/>
      <c r="K21" s="3"/>
      <c r="L21" s="3">
        <f t="shared" si="0"/>
        <v>1130666</v>
      </c>
      <c r="M21" s="2"/>
    </row>
    <row r="22" spans="1:13" ht="18.75">
      <c r="A22" s="2"/>
      <c r="B22" s="2"/>
      <c r="C22" s="2" t="s">
        <v>166</v>
      </c>
      <c r="D22" s="2"/>
      <c r="E22" s="2"/>
      <c r="F22" s="2"/>
      <c r="G22" s="2"/>
      <c r="H22" s="2"/>
      <c r="I22" s="3">
        <v>558234</v>
      </c>
      <c r="J22" s="3"/>
      <c r="K22" s="3"/>
      <c r="L22" s="3">
        <f t="shared" si="0"/>
        <v>558234</v>
      </c>
      <c r="M22" s="2"/>
    </row>
    <row r="23" spans="1:13" ht="18.75">
      <c r="A23" s="2"/>
      <c r="B23" s="2"/>
      <c r="C23" s="2" t="s">
        <v>167</v>
      </c>
      <c r="D23" s="2"/>
      <c r="E23" s="2"/>
      <c r="F23" s="2"/>
      <c r="G23" s="2"/>
      <c r="H23" s="2"/>
      <c r="I23" s="3">
        <v>9140845</v>
      </c>
      <c r="J23" s="3"/>
      <c r="K23" s="3"/>
      <c r="L23" s="3">
        <f t="shared" si="0"/>
        <v>9140845</v>
      </c>
      <c r="M23" s="2"/>
    </row>
    <row r="24" spans="1:13" ht="18.75">
      <c r="A24" s="2"/>
      <c r="B24" s="2"/>
      <c r="C24" s="2" t="s">
        <v>54</v>
      </c>
      <c r="D24" s="2"/>
      <c r="E24" s="2"/>
      <c r="F24" s="2"/>
      <c r="G24" s="2"/>
      <c r="H24" s="2"/>
      <c r="I24" s="3">
        <v>1759091</v>
      </c>
      <c r="J24" s="3"/>
      <c r="K24" s="3"/>
      <c r="L24" s="3">
        <f t="shared" si="0"/>
        <v>1759091</v>
      </c>
      <c r="M24" s="2"/>
    </row>
    <row r="25" spans="1:13" ht="18.75">
      <c r="A25" s="2"/>
      <c r="B25" s="2"/>
      <c r="C25" s="1" t="s">
        <v>18</v>
      </c>
      <c r="D25" s="2"/>
      <c r="E25" s="2"/>
      <c r="F25" s="2"/>
      <c r="G25" s="2"/>
      <c r="H25" s="2"/>
      <c r="I25" s="13">
        <f>SUM(I13:I24)</f>
        <v>20276754</v>
      </c>
      <c r="J25" s="13">
        <f t="shared" ref="J25:L25" si="1">SUM(J13:J24)</f>
        <v>1275186</v>
      </c>
      <c r="K25" s="13">
        <f t="shared" si="1"/>
        <v>-675587</v>
      </c>
      <c r="L25" s="13">
        <f t="shared" si="1"/>
        <v>20876353</v>
      </c>
      <c r="M25" s="2"/>
    </row>
    <row r="26" spans="1:13" ht="18.75">
      <c r="A26" s="2"/>
      <c r="B26" s="2"/>
      <c r="C26" s="1"/>
      <c r="D26" s="2"/>
      <c r="E26" s="2"/>
      <c r="F26" s="2"/>
      <c r="G26" s="2"/>
      <c r="H26" s="2"/>
      <c r="I26" s="15"/>
      <c r="J26" s="15"/>
      <c r="K26" s="15"/>
      <c r="L26" s="15"/>
      <c r="M26" s="2"/>
    </row>
    <row r="27" spans="1:13" ht="18.75">
      <c r="A27" s="2" t="s">
        <v>19</v>
      </c>
      <c r="B27" s="2"/>
      <c r="C27" s="2"/>
      <c r="D27" s="2"/>
      <c r="E27" s="2"/>
      <c r="F27" s="2"/>
      <c r="G27" s="2"/>
      <c r="H27" s="2"/>
      <c r="I27" s="3"/>
      <c r="J27" s="3"/>
      <c r="K27" s="3"/>
      <c r="L27" s="3"/>
      <c r="M27" s="2"/>
    </row>
    <row r="28" spans="1:13" ht="18.75">
      <c r="A28" s="2"/>
      <c r="B28" s="2" t="s">
        <v>32</v>
      </c>
      <c r="C28" s="2"/>
      <c r="D28" s="2"/>
      <c r="E28" s="2"/>
      <c r="F28" s="2"/>
      <c r="G28" s="2"/>
      <c r="H28" s="2"/>
      <c r="I28" s="3">
        <v>1586519</v>
      </c>
      <c r="J28" s="3">
        <v>51488</v>
      </c>
      <c r="K28" s="3">
        <v>-843</v>
      </c>
      <c r="L28" s="3">
        <f>SUM(I28:K28)</f>
        <v>1637164</v>
      </c>
      <c r="M28" s="3">
        <f>SUM(L28,L13)</f>
        <v>4283127</v>
      </c>
    </row>
    <row r="29" spans="1:13" ht="18.75">
      <c r="A29" s="2"/>
      <c r="B29" s="2" t="s">
        <v>160</v>
      </c>
      <c r="C29" s="2"/>
      <c r="D29" s="2"/>
      <c r="E29" s="2"/>
      <c r="F29" s="2"/>
      <c r="G29" s="2"/>
      <c r="H29" s="2"/>
      <c r="I29" s="3">
        <v>349809</v>
      </c>
      <c r="J29" s="3">
        <v>25942</v>
      </c>
      <c r="K29" s="3">
        <v>-117313</v>
      </c>
      <c r="L29" s="3">
        <f t="shared" ref="L29:L38" si="2">SUM(I29:K29)</f>
        <v>258438</v>
      </c>
      <c r="M29" s="3">
        <f>SUM(L29,L14)</f>
        <v>570965</v>
      </c>
    </row>
    <row r="30" spans="1:13" ht="18.75">
      <c r="A30" s="2"/>
      <c r="B30" s="2" t="s">
        <v>161</v>
      </c>
      <c r="C30" s="2"/>
      <c r="D30" s="2"/>
      <c r="E30" s="2"/>
      <c r="F30" s="2"/>
      <c r="G30" s="2"/>
      <c r="H30" s="2"/>
      <c r="I30" s="3">
        <v>84073</v>
      </c>
      <c r="J30" s="3">
        <v>6194</v>
      </c>
      <c r="K30" s="3">
        <v>-51388</v>
      </c>
      <c r="L30" s="3">
        <f t="shared" si="2"/>
        <v>38879</v>
      </c>
      <c r="M30" s="3">
        <f>SUM(L30,L15)</f>
        <v>106278</v>
      </c>
    </row>
    <row r="31" spans="1:13" ht="18.75">
      <c r="A31" s="2"/>
      <c r="B31" s="2" t="s">
        <v>162</v>
      </c>
      <c r="C31" s="2"/>
      <c r="D31" s="2"/>
      <c r="E31" s="2"/>
      <c r="F31" s="2"/>
      <c r="G31" s="2"/>
      <c r="H31" s="2"/>
      <c r="I31" s="3">
        <v>1199657</v>
      </c>
      <c r="J31" s="3">
        <v>140224</v>
      </c>
      <c r="K31" s="3">
        <v>-466564</v>
      </c>
      <c r="L31" s="3">
        <f t="shared" si="2"/>
        <v>873317</v>
      </c>
      <c r="M31" s="3">
        <f>L16+L31</f>
        <v>2806023</v>
      </c>
    </row>
    <row r="32" spans="1:13" ht="18.75">
      <c r="A32" s="2"/>
      <c r="B32" s="2" t="s">
        <v>30</v>
      </c>
      <c r="C32" s="2"/>
      <c r="D32" s="2"/>
      <c r="E32" s="2"/>
      <c r="F32" s="2"/>
      <c r="G32" s="2"/>
      <c r="H32" s="2"/>
      <c r="I32" s="3">
        <v>1969483</v>
      </c>
      <c r="J32" s="3">
        <v>148117</v>
      </c>
      <c r="K32" s="3">
        <v>-31227</v>
      </c>
      <c r="L32" s="3">
        <f t="shared" si="2"/>
        <v>2086373</v>
      </c>
      <c r="M32" s="3">
        <f t="shared" ref="M32:M38" si="3">L17+L32</f>
        <v>5047747</v>
      </c>
    </row>
    <row r="33" spans="1:13" ht="18.75">
      <c r="A33" s="2"/>
      <c r="B33" s="2" t="s">
        <v>163</v>
      </c>
      <c r="C33" s="2"/>
      <c r="D33" s="2"/>
      <c r="E33" s="2"/>
      <c r="F33" s="2"/>
      <c r="G33" s="2"/>
      <c r="H33" s="2"/>
      <c r="I33" s="3">
        <v>341650</v>
      </c>
      <c r="J33" s="3">
        <v>898</v>
      </c>
      <c r="K33" s="3"/>
      <c r="L33" s="3">
        <f t="shared" si="2"/>
        <v>342548</v>
      </c>
      <c r="M33" s="3">
        <f t="shared" si="3"/>
        <v>685096</v>
      </c>
    </row>
    <row r="34" spans="1:13" ht="18.75">
      <c r="A34" s="2"/>
      <c r="B34" s="2" t="s">
        <v>17</v>
      </c>
      <c r="C34" s="2"/>
      <c r="D34" s="2"/>
      <c r="E34" s="2"/>
      <c r="F34" s="2"/>
      <c r="G34" s="2"/>
      <c r="H34" s="2"/>
      <c r="I34" s="3"/>
      <c r="J34" s="3"/>
      <c r="K34" s="3"/>
      <c r="L34" s="3">
        <f t="shared" si="2"/>
        <v>0</v>
      </c>
      <c r="M34" s="3">
        <f t="shared" si="3"/>
        <v>0</v>
      </c>
    </row>
    <row r="35" spans="1:13" ht="18.75">
      <c r="A35" s="2"/>
      <c r="B35" s="2"/>
      <c r="C35" s="2" t="s">
        <v>164</v>
      </c>
      <c r="D35" s="2"/>
      <c r="E35" s="2"/>
      <c r="F35" s="2"/>
      <c r="G35" s="2"/>
      <c r="H35" s="2"/>
      <c r="I35" s="3">
        <v>24063</v>
      </c>
      <c r="J35" s="3">
        <v>625</v>
      </c>
      <c r="K35" s="3"/>
      <c r="L35" s="3">
        <f t="shared" si="2"/>
        <v>24688</v>
      </c>
      <c r="M35" s="3">
        <f t="shared" si="3"/>
        <v>49688</v>
      </c>
    </row>
    <row r="36" spans="1:13" ht="18.75">
      <c r="A36" s="2"/>
      <c r="B36" s="2"/>
      <c r="C36" s="2" t="s">
        <v>165</v>
      </c>
      <c r="D36" s="2"/>
      <c r="E36" s="2"/>
      <c r="F36" s="2"/>
      <c r="G36" s="2"/>
      <c r="H36" s="2"/>
      <c r="I36" s="3">
        <v>205040</v>
      </c>
      <c r="J36" s="3">
        <v>28267</v>
      </c>
      <c r="K36" s="3"/>
      <c r="L36" s="3">
        <f t="shared" si="2"/>
        <v>233307</v>
      </c>
      <c r="M36" s="3">
        <f t="shared" si="3"/>
        <v>1363973</v>
      </c>
    </row>
    <row r="37" spans="1:13" ht="18.75">
      <c r="A37" s="2"/>
      <c r="B37" s="2"/>
      <c r="C37" s="2" t="s">
        <v>167</v>
      </c>
      <c r="D37" s="2"/>
      <c r="E37" s="2"/>
      <c r="F37" s="2"/>
      <c r="G37" s="2"/>
      <c r="H37" s="2"/>
      <c r="I37" s="3">
        <v>8432937</v>
      </c>
      <c r="J37" s="3">
        <v>35594</v>
      </c>
      <c r="K37" s="3"/>
      <c r="L37" s="3">
        <f t="shared" si="2"/>
        <v>8468531</v>
      </c>
      <c r="M37" s="3">
        <f t="shared" si="3"/>
        <v>9026765</v>
      </c>
    </row>
    <row r="38" spans="1:13" ht="18.75">
      <c r="A38" s="2"/>
      <c r="B38" s="2"/>
      <c r="C38" s="2" t="s">
        <v>54</v>
      </c>
      <c r="D38" s="2"/>
      <c r="E38" s="2"/>
      <c r="F38" s="2"/>
      <c r="G38" s="2"/>
      <c r="H38" s="2"/>
      <c r="I38" s="3">
        <v>1166197</v>
      </c>
      <c r="J38" s="3">
        <v>28620</v>
      </c>
      <c r="K38" s="3"/>
      <c r="L38" s="3">
        <f t="shared" si="2"/>
        <v>1194817</v>
      </c>
      <c r="M38" s="3">
        <f t="shared" si="3"/>
        <v>10335662</v>
      </c>
    </row>
    <row r="39" spans="1:13" ht="18.75">
      <c r="A39" s="1"/>
      <c r="B39" s="1"/>
      <c r="C39" s="1" t="s">
        <v>20</v>
      </c>
      <c r="D39" s="1"/>
      <c r="E39" s="1"/>
      <c r="F39" s="1"/>
      <c r="G39" s="1"/>
      <c r="H39" s="1"/>
      <c r="I39" s="10">
        <f>SUM(I28:I38)</f>
        <v>15359428</v>
      </c>
      <c r="J39" s="10">
        <f t="shared" ref="J39:L39" si="4">SUM(J28:J38)</f>
        <v>465969</v>
      </c>
      <c r="K39" s="10">
        <f t="shared" si="4"/>
        <v>-667335</v>
      </c>
      <c r="L39" s="10">
        <f t="shared" si="4"/>
        <v>15158062</v>
      </c>
      <c r="M39" s="1"/>
    </row>
    <row r="40" spans="1:13" ht="18.75">
      <c r="A40" s="1"/>
      <c r="B40" s="1"/>
      <c r="C40" s="1"/>
      <c r="D40" s="1"/>
      <c r="E40" s="1"/>
      <c r="F40" s="1"/>
      <c r="G40" s="1"/>
      <c r="H40" s="1"/>
      <c r="I40" s="10"/>
      <c r="J40" s="10"/>
      <c r="K40" s="10"/>
      <c r="L40" s="10"/>
      <c r="M40" s="1"/>
    </row>
    <row r="41" spans="1:13" ht="18.75">
      <c r="A41" s="1"/>
      <c r="B41" s="1" t="s">
        <v>21</v>
      </c>
      <c r="C41" s="1"/>
      <c r="D41" s="1"/>
      <c r="E41" s="1"/>
      <c r="F41" s="1"/>
      <c r="G41" s="1"/>
      <c r="H41" s="1"/>
      <c r="I41" s="10">
        <f t="shared" ref="I41:K41" si="5">SUM(I25-I39)</f>
        <v>4917326</v>
      </c>
      <c r="J41" s="10">
        <f t="shared" si="5"/>
        <v>809217</v>
      </c>
      <c r="K41" s="10">
        <f t="shared" si="5"/>
        <v>-8252</v>
      </c>
      <c r="L41" s="10">
        <f>SUM(L25-L39)</f>
        <v>5718291</v>
      </c>
      <c r="M41" s="1"/>
    </row>
    <row r="42" spans="1:13" ht="18.75">
      <c r="A42" s="1"/>
      <c r="B42" s="1"/>
      <c r="C42" s="1"/>
      <c r="D42" s="1"/>
      <c r="E42" s="1"/>
      <c r="F42" s="1"/>
      <c r="G42" s="1"/>
      <c r="H42" s="1"/>
      <c r="I42" s="31"/>
      <c r="J42" s="31"/>
      <c r="K42" s="31"/>
      <c r="L42" s="31"/>
      <c r="M42" s="1"/>
    </row>
    <row r="43" spans="1:13" ht="18.75">
      <c r="A43" s="2"/>
      <c r="B43" s="1" t="s">
        <v>22</v>
      </c>
      <c r="C43" s="2"/>
      <c r="D43" s="2"/>
      <c r="E43" s="2"/>
      <c r="F43" s="2"/>
      <c r="G43" s="2"/>
      <c r="H43" s="2"/>
      <c r="I43" s="14">
        <f>I10+I41</f>
        <v>5554755</v>
      </c>
      <c r="J43" s="14">
        <f>J10+J41</f>
        <v>812480</v>
      </c>
      <c r="K43" s="14">
        <f>K10+K41</f>
        <v>-8252</v>
      </c>
      <c r="L43" s="14">
        <f>L10+L41</f>
        <v>6358983</v>
      </c>
      <c r="M43" s="3">
        <f>SUM(M28:M38,M7:M9)</f>
        <v>34916016</v>
      </c>
    </row>
    <row r="44" spans="1:13" ht="18.75">
      <c r="A44" s="2"/>
      <c r="B44" s="1"/>
      <c r="C44" s="2"/>
      <c r="D44" s="2"/>
      <c r="E44" s="2"/>
      <c r="F44" s="2"/>
      <c r="G44" s="2"/>
      <c r="H44" s="2"/>
      <c r="I44" s="15"/>
      <c r="J44" s="15"/>
      <c r="K44" s="15"/>
      <c r="L44" s="15"/>
      <c r="M44" s="2"/>
    </row>
    <row r="45" spans="1:13" ht="18.75">
      <c r="A45" s="2"/>
      <c r="B45" s="2"/>
      <c r="C45" s="2"/>
      <c r="D45" s="2"/>
      <c r="E45" s="2"/>
      <c r="F45" s="2"/>
      <c r="G45" s="2"/>
      <c r="H45" s="2"/>
      <c r="I45" s="3"/>
      <c r="J45" s="3"/>
      <c r="K45" s="3"/>
      <c r="L45" s="3"/>
      <c r="M45" s="2"/>
    </row>
    <row r="46" spans="1:13" ht="37.5">
      <c r="A46" s="2"/>
      <c r="B46" s="2"/>
      <c r="C46" s="2"/>
      <c r="D46" s="2"/>
      <c r="E46" s="2"/>
      <c r="F46" s="2"/>
      <c r="G46" s="2"/>
      <c r="H46" s="2"/>
      <c r="I46" s="17" t="s">
        <v>3</v>
      </c>
      <c r="J46" s="17" t="s">
        <v>45</v>
      </c>
      <c r="K46" s="17" t="s">
        <v>46</v>
      </c>
      <c r="L46" s="17" t="s">
        <v>6</v>
      </c>
      <c r="M46" s="2"/>
    </row>
    <row r="47" spans="1:13" ht="18.75">
      <c r="A47" s="2"/>
      <c r="B47" s="2"/>
      <c r="C47" s="2"/>
      <c r="D47" s="2"/>
      <c r="E47" s="2"/>
      <c r="F47" s="2"/>
      <c r="G47" s="2"/>
      <c r="H47" s="2"/>
      <c r="I47" s="5"/>
      <c r="J47" s="5"/>
      <c r="K47" s="5"/>
      <c r="L47" s="5"/>
      <c r="M47" s="2"/>
    </row>
    <row r="48" spans="1:13" ht="18.75">
      <c r="A48" s="1" t="s">
        <v>79</v>
      </c>
      <c r="B48" s="1"/>
      <c r="C48" s="1"/>
      <c r="D48" s="1"/>
      <c r="E48" s="1"/>
      <c r="F48" s="1"/>
      <c r="G48" s="2"/>
      <c r="H48" s="2"/>
      <c r="I48" s="3"/>
      <c r="J48" s="3"/>
      <c r="K48" s="3"/>
      <c r="L48" s="3"/>
      <c r="M48" s="2"/>
    </row>
    <row r="49" spans="1:13" ht="18.75">
      <c r="A49" s="1" t="s">
        <v>13</v>
      </c>
      <c r="B49" s="2"/>
      <c r="C49" s="2"/>
      <c r="D49" s="2"/>
      <c r="E49" s="2"/>
      <c r="F49" s="2"/>
      <c r="G49" s="2"/>
      <c r="H49" s="2"/>
      <c r="I49" s="3"/>
      <c r="J49" s="3"/>
      <c r="K49" s="3"/>
      <c r="L49" s="3"/>
      <c r="M49" s="2"/>
    </row>
    <row r="50" spans="1:13" ht="18.75">
      <c r="A50" s="1"/>
      <c r="B50" s="2" t="s">
        <v>160</v>
      </c>
      <c r="C50" s="2"/>
      <c r="D50" s="2"/>
      <c r="E50" s="2"/>
      <c r="F50" s="2"/>
      <c r="G50" s="2"/>
      <c r="H50" s="2"/>
      <c r="I50" s="3">
        <v>5810</v>
      </c>
      <c r="J50" s="3"/>
      <c r="K50" s="3">
        <v>-5810</v>
      </c>
      <c r="L50" s="3">
        <f>SUM(I50:K50)</f>
        <v>0</v>
      </c>
      <c r="M50" s="2"/>
    </row>
    <row r="51" spans="1:13" ht="18.75">
      <c r="A51" s="2"/>
      <c r="B51" s="2" t="s">
        <v>161</v>
      </c>
      <c r="C51" s="2"/>
      <c r="D51" s="2"/>
      <c r="E51" s="2"/>
      <c r="F51" s="2"/>
      <c r="G51" s="2"/>
      <c r="H51" s="2"/>
      <c r="I51" s="3">
        <v>3131</v>
      </c>
      <c r="J51" s="3"/>
      <c r="K51" s="3">
        <v>0</v>
      </c>
      <c r="L51" s="3">
        <f>SUM(I51:K51)</f>
        <v>3131</v>
      </c>
      <c r="M51" s="2"/>
    </row>
    <row r="52" spans="1:13" ht="18.75">
      <c r="A52" s="2"/>
      <c r="B52" s="2" t="s">
        <v>30</v>
      </c>
      <c r="C52" s="2"/>
      <c r="D52" s="2"/>
      <c r="E52" s="2"/>
      <c r="F52" s="2"/>
      <c r="G52" s="2"/>
      <c r="H52" s="2"/>
      <c r="I52" s="3">
        <v>12365</v>
      </c>
      <c r="J52" s="3"/>
      <c r="K52" s="3"/>
      <c r="L52" s="3">
        <f>SUM(I52:K52)</f>
        <v>12365</v>
      </c>
      <c r="M52" s="2"/>
    </row>
    <row r="53" spans="1:13" ht="18.75">
      <c r="A53" s="2"/>
      <c r="B53" s="2"/>
      <c r="C53" s="1" t="s">
        <v>18</v>
      </c>
      <c r="D53" s="2"/>
      <c r="E53" s="2"/>
      <c r="F53" s="2"/>
      <c r="G53" s="2"/>
      <c r="H53" s="2"/>
      <c r="I53" s="12">
        <f>SUM(I50:I52)</f>
        <v>21306</v>
      </c>
      <c r="J53" s="12">
        <f t="shared" ref="J53:L53" si="6">SUM(J50:J52)</f>
        <v>0</v>
      </c>
      <c r="K53" s="12">
        <f t="shared" si="6"/>
        <v>-5810</v>
      </c>
      <c r="L53" s="12">
        <f t="shared" si="6"/>
        <v>15496</v>
      </c>
      <c r="M53" s="2"/>
    </row>
    <row r="54" spans="1:13" ht="18.75">
      <c r="A54" s="2"/>
      <c r="B54" s="2"/>
      <c r="C54" s="1"/>
      <c r="D54" s="2"/>
      <c r="E54" s="2"/>
      <c r="F54" s="2"/>
      <c r="G54" s="2"/>
      <c r="H54" s="2"/>
      <c r="I54" s="15"/>
      <c r="J54" s="15"/>
      <c r="K54" s="15"/>
      <c r="L54" s="15"/>
      <c r="M54" s="2"/>
    </row>
    <row r="55" spans="1:13" ht="18.75">
      <c r="A55" s="2" t="s">
        <v>19</v>
      </c>
      <c r="B55" s="2"/>
      <c r="C55" s="2"/>
      <c r="D55" s="2"/>
      <c r="E55" s="2"/>
      <c r="F55" s="2"/>
      <c r="G55" s="2"/>
      <c r="H55" s="2"/>
      <c r="I55" s="3"/>
      <c r="J55" s="3"/>
      <c r="K55" s="3"/>
      <c r="L55" s="3"/>
      <c r="M55" s="2"/>
    </row>
    <row r="56" spans="1:13" ht="18.75">
      <c r="A56" s="2"/>
      <c r="B56" s="2" t="s">
        <v>160</v>
      </c>
      <c r="C56" s="2"/>
      <c r="D56" s="2"/>
      <c r="E56" s="2"/>
      <c r="F56" s="2"/>
      <c r="G56" s="2"/>
      <c r="H56" s="2"/>
      <c r="I56" s="3">
        <v>5810</v>
      </c>
      <c r="J56" s="3"/>
      <c r="K56" s="3">
        <v>-5810</v>
      </c>
      <c r="L56" s="3">
        <f>SUM(I56:K56)</f>
        <v>0</v>
      </c>
      <c r="M56" s="3">
        <f>L50-L56</f>
        <v>0</v>
      </c>
    </row>
    <row r="57" spans="1:13" ht="18.75">
      <c r="A57" s="2"/>
      <c r="B57" s="2" t="s">
        <v>161</v>
      </c>
      <c r="C57" s="2"/>
      <c r="D57" s="2"/>
      <c r="E57" s="2"/>
      <c r="F57" s="2"/>
      <c r="G57" s="2"/>
      <c r="H57" s="2"/>
      <c r="I57" s="3">
        <v>3130</v>
      </c>
      <c r="J57" s="3"/>
      <c r="K57" s="3">
        <v>0</v>
      </c>
      <c r="L57" s="3">
        <f>SUM(I57:K57)</f>
        <v>3130</v>
      </c>
      <c r="M57" s="3">
        <f>L51-L57</f>
        <v>1</v>
      </c>
    </row>
    <row r="58" spans="1:13" ht="18.75">
      <c r="A58" s="2"/>
      <c r="B58" s="2" t="s">
        <v>30</v>
      </c>
      <c r="C58" s="2"/>
      <c r="D58" s="2"/>
      <c r="E58" s="2"/>
      <c r="F58" s="2"/>
      <c r="G58" s="2"/>
      <c r="H58" s="2"/>
      <c r="I58" s="3">
        <v>12366</v>
      </c>
      <c r="J58" s="3"/>
      <c r="K58" s="3"/>
      <c r="L58" s="3">
        <f>SUM(I58:K58)</f>
        <v>12366</v>
      </c>
      <c r="M58" s="3">
        <f>L52-L58</f>
        <v>-1</v>
      </c>
    </row>
    <row r="59" spans="1:13" ht="18.75">
      <c r="A59" s="1"/>
      <c r="B59" s="1"/>
      <c r="C59" s="1" t="s">
        <v>20</v>
      </c>
      <c r="D59" s="1"/>
      <c r="E59" s="1"/>
      <c r="F59" s="1"/>
      <c r="G59" s="1"/>
      <c r="H59" s="2"/>
      <c r="I59" s="12">
        <f>SUM(I56:I58)</f>
        <v>21306</v>
      </c>
      <c r="J59" s="12">
        <f t="shared" ref="J59:L59" si="7">SUM(J56:J58)</f>
        <v>0</v>
      </c>
      <c r="K59" s="12">
        <f t="shared" si="7"/>
        <v>-5810</v>
      </c>
      <c r="L59" s="12">
        <f t="shared" si="7"/>
        <v>15496</v>
      </c>
      <c r="M59" s="2"/>
    </row>
    <row r="60" spans="1:13" ht="18.75">
      <c r="A60" s="1"/>
      <c r="B60" s="1"/>
      <c r="C60" s="1"/>
      <c r="D60" s="1"/>
      <c r="E60" s="1"/>
      <c r="F60" s="1"/>
      <c r="G60" s="1"/>
      <c r="H60" s="2"/>
      <c r="I60" s="12"/>
      <c r="J60" s="12"/>
      <c r="K60" s="12"/>
      <c r="L60" s="12"/>
      <c r="M60" s="2"/>
    </row>
    <row r="61" spans="1:13" ht="18.75">
      <c r="A61" s="1"/>
      <c r="B61" s="1"/>
      <c r="C61" s="1"/>
      <c r="D61" s="1"/>
      <c r="E61" s="1"/>
      <c r="F61" s="1"/>
      <c r="G61" s="1"/>
      <c r="H61" s="2"/>
      <c r="I61" s="13"/>
      <c r="J61" s="13"/>
      <c r="K61" s="13"/>
      <c r="L61" s="13"/>
      <c r="M61" s="2"/>
    </row>
    <row r="62" spans="1:13" ht="18.75">
      <c r="A62" s="2"/>
      <c r="B62" s="1" t="s">
        <v>43</v>
      </c>
      <c r="C62" s="2"/>
      <c r="D62" s="2"/>
      <c r="E62" s="2"/>
      <c r="F62" s="2"/>
      <c r="G62" s="2"/>
      <c r="H62" s="2"/>
      <c r="I62" s="14">
        <f>I59-I53</f>
        <v>0</v>
      </c>
      <c r="J62" s="14">
        <f t="shared" ref="J62:L62" si="8">J59-J53</f>
        <v>0</v>
      </c>
      <c r="K62" s="14">
        <f t="shared" si="8"/>
        <v>0</v>
      </c>
      <c r="L62" s="14">
        <f t="shared" si="8"/>
        <v>0</v>
      </c>
      <c r="M62" s="3">
        <f>SUM(M47:M58)</f>
        <v>0</v>
      </c>
    </row>
    <row r="63" spans="1:13" ht="18.75">
      <c r="A63" s="2"/>
      <c r="B63" s="2"/>
      <c r="C63" s="2"/>
      <c r="D63" s="2"/>
      <c r="E63" s="2"/>
      <c r="F63" s="2"/>
      <c r="G63" s="2"/>
      <c r="H63" s="2"/>
      <c r="I63" s="3"/>
      <c r="J63" s="3"/>
      <c r="K63" s="3"/>
      <c r="L63" s="3"/>
      <c r="M63" s="2"/>
    </row>
    <row r="64" spans="1:13" ht="18.75">
      <c r="A64" s="2"/>
      <c r="B64" s="2"/>
      <c r="C64" s="2"/>
      <c r="D64" s="2"/>
      <c r="E64" s="2"/>
      <c r="F64" s="2"/>
      <c r="G64" s="2"/>
      <c r="H64" s="2"/>
      <c r="I64" s="3"/>
      <c r="J64" s="3"/>
      <c r="K64" s="3"/>
      <c r="L64" s="3"/>
      <c r="M64" s="2"/>
    </row>
  </sheetData>
  <mergeCells count="3">
    <mergeCell ref="D1:I1"/>
    <mergeCell ref="D2:I2"/>
    <mergeCell ref="D3:I3"/>
  </mergeCells>
  <pageMargins left="0.7" right="0.7" top="0.75" bottom="0.75" header="0.3" footer="0.3"/>
  <extLst>
    <ext xmlns:mx="http://schemas.microsoft.com/office/mac/excel/2008/main" uri="{64002731-A6B0-56B0-2670-7721B7C09600}">
      <mx:PLV Mode="0" OnePage="0" WScale="0"/>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N27"/>
  <sheetViews>
    <sheetView zoomScale="85" zoomScaleNormal="85" zoomScalePageLayoutView="85" workbookViewId="0">
      <selection activeCell="L26" sqref="L26"/>
    </sheetView>
  </sheetViews>
  <sheetFormatPr defaultColWidth="8.85546875" defaultRowHeight="15"/>
  <cols>
    <col min="3" max="3" width="7.28515625" customWidth="1"/>
    <col min="4" max="4" width="24.85546875" customWidth="1"/>
    <col min="6" max="6" width="7.140625" customWidth="1"/>
    <col min="7" max="7" width="5" customWidth="1"/>
    <col min="8" max="8" width="5.7109375" customWidth="1"/>
    <col min="9" max="9" width="22.140625" customWidth="1"/>
    <col min="10" max="10" width="19.140625" customWidth="1"/>
    <col min="11" max="11" width="17.140625" customWidth="1"/>
    <col min="12" max="12" width="19.28515625" customWidth="1"/>
    <col min="13" max="13" width="19.140625" customWidth="1"/>
  </cols>
  <sheetData>
    <row r="1" spans="1:14" ht="18.75">
      <c r="A1" s="43"/>
      <c r="B1" s="43"/>
      <c r="C1" s="43"/>
      <c r="D1" s="44" t="s">
        <v>168</v>
      </c>
      <c r="E1" s="43"/>
      <c r="F1" s="43"/>
      <c r="G1" s="43"/>
      <c r="H1" s="43"/>
      <c r="I1" s="43"/>
      <c r="J1" s="43"/>
      <c r="K1" s="43"/>
      <c r="L1" s="43"/>
      <c r="M1" s="43"/>
      <c r="N1" s="43"/>
    </row>
    <row r="2" spans="1:14" ht="18.75">
      <c r="A2" s="43"/>
      <c r="B2" s="43"/>
      <c r="C2" s="43"/>
      <c r="D2" s="45" t="s">
        <v>1</v>
      </c>
      <c r="E2" s="43"/>
      <c r="F2" s="43"/>
      <c r="G2" s="43"/>
      <c r="H2" s="43"/>
      <c r="I2" s="43"/>
      <c r="J2" s="43"/>
      <c r="K2" s="43"/>
      <c r="L2" s="43"/>
      <c r="M2" s="43"/>
      <c r="N2" s="43"/>
    </row>
    <row r="3" spans="1:14" ht="18.75">
      <c r="A3" s="43"/>
      <c r="B3" s="43"/>
      <c r="C3" s="43"/>
      <c r="D3" s="44" t="s">
        <v>169</v>
      </c>
      <c r="E3" s="43"/>
      <c r="F3" s="43"/>
      <c r="G3" s="43"/>
      <c r="H3" s="43"/>
      <c r="I3" s="43"/>
      <c r="J3" s="43"/>
      <c r="K3" s="43"/>
      <c r="L3" s="43"/>
      <c r="M3" s="43"/>
      <c r="N3" s="43"/>
    </row>
    <row r="4" spans="1:14" ht="18.75">
      <c r="A4" s="43"/>
      <c r="B4" s="43"/>
      <c r="C4" s="43"/>
      <c r="D4" s="43"/>
      <c r="E4" s="43"/>
      <c r="F4" s="43"/>
      <c r="G4" s="43"/>
      <c r="H4" s="43"/>
      <c r="I4" s="43"/>
      <c r="J4" s="43"/>
      <c r="K4" s="43"/>
      <c r="L4" s="43"/>
      <c r="M4" s="43"/>
      <c r="N4" s="43"/>
    </row>
    <row r="5" spans="1:14" ht="18.75">
      <c r="A5" s="43"/>
      <c r="B5" s="43"/>
      <c r="C5" s="43"/>
      <c r="D5" s="43"/>
      <c r="E5" s="43"/>
      <c r="F5" s="43"/>
      <c r="G5" s="43"/>
      <c r="H5" s="43"/>
      <c r="I5" s="46" t="s">
        <v>3</v>
      </c>
      <c r="J5" s="46" t="s">
        <v>45</v>
      </c>
      <c r="K5" s="46" t="s">
        <v>46</v>
      </c>
      <c r="L5" s="46" t="s">
        <v>6</v>
      </c>
      <c r="M5" s="46" t="s">
        <v>7</v>
      </c>
      <c r="N5" s="43"/>
    </row>
    <row r="6" spans="1:14" ht="18.75">
      <c r="A6" s="43"/>
      <c r="B6" s="43"/>
      <c r="C6" s="43"/>
      <c r="D6" s="43"/>
      <c r="E6" s="43"/>
      <c r="F6" s="43"/>
      <c r="G6" s="43"/>
      <c r="H6" s="43"/>
      <c r="I6" s="47"/>
      <c r="J6" s="48"/>
      <c r="K6" s="48"/>
      <c r="L6" s="48"/>
      <c r="M6" s="48"/>
      <c r="N6" s="43"/>
    </row>
    <row r="7" spans="1:14" ht="18.75">
      <c r="A7" s="46" t="s">
        <v>8</v>
      </c>
      <c r="B7" s="43"/>
      <c r="C7" s="43"/>
      <c r="D7" s="43"/>
      <c r="E7" s="43"/>
      <c r="F7" s="43"/>
      <c r="G7" s="43"/>
      <c r="H7" s="43"/>
      <c r="I7" s="43"/>
      <c r="J7" s="43"/>
      <c r="K7" s="43"/>
      <c r="L7" s="43"/>
      <c r="M7" s="43"/>
      <c r="N7" s="43"/>
    </row>
    <row r="8" spans="1:14" ht="18.75">
      <c r="A8" s="43"/>
      <c r="B8" s="43" t="s">
        <v>9</v>
      </c>
      <c r="C8" s="43"/>
      <c r="D8" s="43"/>
      <c r="E8" s="43"/>
      <c r="F8" s="43"/>
      <c r="G8" s="43"/>
      <c r="H8" s="43"/>
      <c r="I8" s="43"/>
      <c r="J8" s="43"/>
      <c r="K8" s="43"/>
      <c r="L8" s="43"/>
      <c r="M8" s="43"/>
      <c r="N8" s="43"/>
    </row>
    <row r="9" spans="1:14" ht="18.75">
      <c r="A9" s="43"/>
      <c r="B9" s="43"/>
      <c r="C9" s="43" t="s">
        <v>10</v>
      </c>
      <c r="D9" s="43"/>
      <c r="E9" s="43"/>
      <c r="F9" s="43"/>
      <c r="G9" s="43"/>
      <c r="H9" s="43"/>
      <c r="I9" s="43">
        <v>259230</v>
      </c>
      <c r="J9" s="43"/>
      <c r="K9" s="43"/>
      <c r="L9" s="43">
        <v>259230</v>
      </c>
      <c r="M9" s="43">
        <v>259230</v>
      </c>
      <c r="N9" s="43"/>
    </row>
    <row r="10" spans="1:14" ht="18.75">
      <c r="A10" s="43"/>
      <c r="B10" s="43"/>
      <c r="C10" s="43"/>
      <c r="D10" s="46" t="s">
        <v>12</v>
      </c>
      <c r="E10" s="43"/>
      <c r="F10" s="43"/>
      <c r="G10" s="43"/>
      <c r="H10" s="43"/>
      <c r="I10" s="48">
        <f>SUM(I9)</f>
        <v>259230</v>
      </c>
      <c r="J10" s="48">
        <f t="shared" ref="J10:L10" si="0">SUM(J9)</f>
        <v>0</v>
      </c>
      <c r="K10" s="48">
        <f t="shared" si="0"/>
        <v>0</v>
      </c>
      <c r="L10" s="48">
        <f t="shared" si="0"/>
        <v>259230</v>
      </c>
      <c r="M10" s="43"/>
      <c r="N10" s="43"/>
    </row>
    <row r="11" spans="1:14" ht="18.75">
      <c r="A11" s="43"/>
      <c r="B11" s="43"/>
      <c r="C11" s="43"/>
      <c r="D11" s="43"/>
      <c r="E11" s="43"/>
      <c r="F11" s="43"/>
      <c r="G11" s="43"/>
      <c r="H11" s="43"/>
      <c r="I11" s="48"/>
      <c r="J11" s="48"/>
      <c r="K11" s="48"/>
      <c r="L11" s="48"/>
      <c r="M11" s="43"/>
      <c r="N11" s="43"/>
    </row>
    <row r="12" spans="1:14" ht="18.75">
      <c r="A12" s="46" t="s">
        <v>13</v>
      </c>
      <c r="B12" s="43"/>
      <c r="C12" s="43"/>
      <c r="D12" s="43"/>
      <c r="E12" s="43"/>
      <c r="F12" s="43"/>
      <c r="G12" s="43"/>
      <c r="H12" s="43"/>
      <c r="I12" s="43"/>
      <c r="J12" s="43"/>
      <c r="K12" s="43"/>
      <c r="L12" s="43"/>
      <c r="M12" s="43"/>
      <c r="N12" s="43"/>
    </row>
    <row r="13" spans="1:14" ht="18.75">
      <c r="A13" s="43"/>
      <c r="B13" s="43" t="s">
        <v>32</v>
      </c>
      <c r="C13" s="43"/>
      <c r="D13" s="43"/>
      <c r="E13" s="43"/>
      <c r="F13" s="43"/>
      <c r="G13" s="43"/>
      <c r="H13" s="43"/>
      <c r="I13" s="43">
        <v>9627258.6300000008</v>
      </c>
      <c r="J13" s="43">
        <v>316312.51</v>
      </c>
      <c r="K13" s="43"/>
      <c r="L13" s="43">
        <f>SUM(I13:J13)</f>
        <v>9943571.1400000006</v>
      </c>
      <c r="M13" s="43"/>
      <c r="N13" s="43"/>
    </row>
    <row r="14" spans="1:14" ht="18.75">
      <c r="A14" s="43"/>
      <c r="B14" s="43" t="s">
        <v>170</v>
      </c>
      <c r="C14" s="43"/>
      <c r="D14" s="43"/>
      <c r="E14" s="43"/>
      <c r="F14" s="43"/>
      <c r="G14" s="43"/>
      <c r="H14" s="43"/>
      <c r="I14" s="43">
        <v>4361370.5</v>
      </c>
      <c r="J14" s="43">
        <v>207415.32</v>
      </c>
      <c r="K14" s="43"/>
      <c r="L14" s="43">
        <f>SUM(I14:J14)</f>
        <v>4568785.82</v>
      </c>
      <c r="M14" s="43"/>
      <c r="N14" s="43"/>
    </row>
    <row r="15" spans="1:14" ht="18.75">
      <c r="A15" s="43"/>
      <c r="B15" s="43"/>
      <c r="C15" s="43"/>
      <c r="D15" s="46" t="s">
        <v>171</v>
      </c>
      <c r="E15" s="43"/>
      <c r="F15" s="43"/>
      <c r="G15" s="43"/>
      <c r="H15" s="43"/>
      <c r="I15" s="47">
        <f>SUM(I13-I14)</f>
        <v>5265888.1300000008</v>
      </c>
      <c r="J15" s="47">
        <f t="shared" ref="J15:L15" si="1">SUM(J13-J14)</f>
        <v>108897.19</v>
      </c>
      <c r="K15" s="47">
        <f t="shared" si="1"/>
        <v>0</v>
      </c>
      <c r="L15" s="47">
        <f t="shared" si="1"/>
        <v>5374785.3200000003</v>
      </c>
      <c r="M15" s="43">
        <f>SUM(L13-L14)</f>
        <v>5374785.3200000003</v>
      </c>
      <c r="N15" s="43"/>
    </row>
    <row r="16" spans="1:14" ht="18.75">
      <c r="A16" s="43"/>
      <c r="B16" s="43"/>
      <c r="C16" s="43"/>
      <c r="D16" s="43"/>
      <c r="E16" s="43"/>
      <c r="F16" s="43"/>
      <c r="G16" s="43"/>
      <c r="H16" s="43"/>
      <c r="I16" s="49"/>
      <c r="J16" s="49"/>
      <c r="K16" s="49"/>
      <c r="L16" s="49"/>
      <c r="M16" s="43"/>
      <c r="N16" s="43"/>
    </row>
    <row r="17" spans="1:14" ht="18.75">
      <c r="A17" s="43"/>
      <c r="B17" s="43" t="s">
        <v>172</v>
      </c>
      <c r="C17" s="43"/>
      <c r="D17" s="43"/>
      <c r="E17" s="43"/>
      <c r="F17" s="43"/>
      <c r="G17" s="43"/>
      <c r="H17" s="43"/>
      <c r="I17" s="43">
        <v>4182495.28</v>
      </c>
      <c r="J17" s="43">
        <v>372417.55</v>
      </c>
      <c r="K17" s="43"/>
      <c r="L17" s="43">
        <f>SUM(I17:J17)</f>
        <v>4554912.83</v>
      </c>
      <c r="M17" s="43"/>
      <c r="N17" s="43"/>
    </row>
    <row r="18" spans="1:14" ht="18.75">
      <c r="A18" s="43"/>
      <c r="B18" s="43" t="s">
        <v>170</v>
      </c>
      <c r="C18" s="43"/>
      <c r="D18" s="43"/>
      <c r="E18" s="43"/>
      <c r="F18" s="43"/>
      <c r="G18" s="43"/>
      <c r="H18" s="43"/>
      <c r="I18" s="43">
        <v>2351340.02</v>
      </c>
      <c r="J18" s="43">
        <v>195024.84</v>
      </c>
      <c r="K18" s="43"/>
      <c r="L18" s="43">
        <f>SUM(I18:J18)</f>
        <v>2546364.86</v>
      </c>
      <c r="M18" s="43"/>
      <c r="N18" s="43"/>
    </row>
    <row r="19" spans="1:14" ht="18.75">
      <c r="A19" s="43"/>
      <c r="B19" s="43"/>
      <c r="C19" s="43"/>
      <c r="D19" s="46" t="s">
        <v>173</v>
      </c>
      <c r="E19" s="43"/>
      <c r="F19" s="43"/>
      <c r="G19" s="43"/>
      <c r="H19" s="43"/>
      <c r="I19" s="47">
        <f>SUM(I17-I18)</f>
        <v>1831155.2599999998</v>
      </c>
      <c r="J19" s="47">
        <f t="shared" ref="J19:L19" si="2">SUM(J17-J18)</f>
        <v>177392.71</v>
      </c>
      <c r="K19" s="47">
        <f t="shared" si="2"/>
        <v>0</v>
      </c>
      <c r="L19" s="47">
        <f t="shared" si="2"/>
        <v>2008547.9700000002</v>
      </c>
      <c r="M19" s="43">
        <f t="shared" ref="M19:M23" si="3">SUM(L17-L18)</f>
        <v>2008547.9700000002</v>
      </c>
      <c r="N19" s="43"/>
    </row>
    <row r="20" spans="1:14" ht="18.75">
      <c r="A20" s="43"/>
      <c r="B20" s="43"/>
      <c r="C20" s="43"/>
      <c r="D20" s="43"/>
      <c r="E20" s="43"/>
      <c r="F20" s="43"/>
      <c r="G20" s="43"/>
      <c r="H20" s="43"/>
      <c r="I20" s="48"/>
      <c r="J20" s="48"/>
      <c r="K20" s="48"/>
      <c r="L20" s="48"/>
      <c r="M20" s="43"/>
      <c r="N20" s="43"/>
    </row>
    <row r="21" spans="1:14" ht="18.75">
      <c r="A21" s="43"/>
      <c r="B21" s="43" t="s">
        <v>174</v>
      </c>
      <c r="C21" s="43"/>
      <c r="D21" s="43"/>
      <c r="E21" s="43"/>
      <c r="F21" s="43"/>
      <c r="G21" s="43"/>
      <c r="H21" s="43"/>
      <c r="I21" s="43">
        <v>1342103.17</v>
      </c>
      <c r="J21" s="43">
        <v>4562091.62</v>
      </c>
      <c r="K21" s="43"/>
      <c r="L21" s="43">
        <f>SUM(I21:J21)</f>
        <v>5904194.79</v>
      </c>
      <c r="M21" s="43"/>
      <c r="N21" s="43"/>
    </row>
    <row r="22" spans="1:14" ht="18.75">
      <c r="A22" s="43"/>
      <c r="B22" s="43" t="s">
        <v>170</v>
      </c>
      <c r="C22" s="43"/>
      <c r="D22" s="43"/>
      <c r="E22" s="43"/>
      <c r="F22" s="43"/>
      <c r="G22" s="43"/>
      <c r="H22" s="43"/>
      <c r="I22" s="43">
        <v>385299.95</v>
      </c>
      <c r="J22" s="43">
        <v>299708.90000000002</v>
      </c>
      <c r="K22" s="43"/>
      <c r="L22" s="43">
        <f>SUM(I22:J22)</f>
        <v>685008.85000000009</v>
      </c>
      <c r="M22" s="43"/>
      <c r="N22" s="43"/>
    </row>
    <row r="23" spans="1:14" ht="18.75">
      <c r="A23" s="43"/>
      <c r="B23" s="43"/>
      <c r="C23" s="43"/>
      <c r="D23" s="46" t="s">
        <v>175</v>
      </c>
      <c r="E23" s="43"/>
      <c r="F23" s="43"/>
      <c r="G23" s="43"/>
      <c r="H23" s="43"/>
      <c r="I23" s="47">
        <f>SUM(I21-I22)</f>
        <v>956803.22</v>
      </c>
      <c r="J23" s="47">
        <f t="shared" ref="J23:K23" si="4">SUM(J21-J22)</f>
        <v>4262382.72</v>
      </c>
      <c r="K23" s="47">
        <f t="shared" si="4"/>
        <v>0</v>
      </c>
      <c r="L23" s="47">
        <f>SUM(L21-L22)</f>
        <v>5219185.9399999995</v>
      </c>
      <c r="M23" s="43">
        <f t="shared" si="3"/>
        <v>5219185.9399999995</v>
      </c>
      <c r="N23" s="43"/>
    </row>
    <row r="24" spans="1:14" ht="18.75">
      <c r="A24" s="43"/>
      <c r="B24" s="46" t="s">
        <v>176</v>
      </c>
      <c r="C24" s="43"/>
      <c r="D24" s="43"/>
      <c r="E24" s="43"/>
      <c r="F24" s="43"/>
      <c r="G24" s="43"/>
      <c r="H24" s="43"/>
      <c r="I24" s="47">
        <v>8053846.6200000001</v>
      </c>
      <c r="J24" s="47">
        <v>4548672.62</v>
      </c>
      <c r="K24" s="48"/>
      <c r="L24" s="47">
        <f>SUM(I24:J24)</f>
        <v>12602519.24</v>
      </c>
      <c r="M24" s="43"/>
      <c r="N24" s="43"/>
    </row>
    <row r="25" spans="1:14" ht="18.75">
      <c r="A25" s="43"/>
      <c r="B25" s="46" t="s">
        <v>91</v>
      </c>
      <c r="C25" s="43"/>
      <c r="D25" s="43"/>
      <c r="E25" s="43"/>
      <c r="F25" s="43"/>
      <c r="G25" s="43"/>
      <c r="H25" s="43"/>
      <c r="I25" s="47">
        <f>SUM(I10+I24)</f>
        <v>8313076.6200000001</v>
      </c>
      <c r="J25" s="47">
        <f t="shared" ref="J25:K25" si="5">SUM(J10+J24)</f>
        <v>4548672.62</v>
      </c>
      <c r="K25" s="47">
        <f t="shared" si="5"/>
        <v>0</v>
      </c>
      <c r="L25" s="47">
        <f>SUM(L10+L24)</f>
        <v>12861749.24</v>
      </c>
      <c r="M25" s="43">
        <f>SUM(M9:M23)</f>
        <v>12861749.23</v>
      </c>
      <c r="N25" s="43"/>
    </row>
    <row r="26" spans="1:14" ht="18.75">
      <c r="A26" s="43"/>
      <c r="B26" s="43"/>
      <c r="C26" s="43"/>
      <c r="D26" s="43"/>
      <c r="E26" s="43"/>
      <c r="F26" s="43"/>
      <c r="G26" s="43"/>
      <c r="H26" s="43"/>
      <c r="I26" s="43"/>
      <c r="J26" s="43"/>
      <c r="K26" s="43"/>
      <c r="L26" s="43"/>
      <c r="M26" s="43"/>
      <c r="N26" s="43"/>
    </row>
    <row r="27" spans="1:14" ht="18.75">
      <c r="A27" s="43"/>
      <c r="B27" s="43"/>
      <c r="C27" s="43"/>
      <c r="D27" s="43"/>
      <c r="E27" s="43"/>
      <c r="F27" s="43"/>
      <c r="G27" s="43"/>
      <c r="H27" s="43"/>
      <c r="I27" s="43"/>
      <c r="J27" s="43"/>
      <c r="K27" s="43"/>
      <c r="L27" s="43"/>
      <c r="M27" s="43"/>
      <c r="N27" s="43"/>
    </row>
  </sheetData>
  <pageMargins left="0.7" right="0.7" top="0.75" bottom="0.75" header="0.3" footer="0.3"/>
  <extLst>
    <ext xmlns:mx="http://schemas.microsoft.com/office/mac/excel/2008/main" uri="{64002731-A6B0-56B0-2670-7721B7C09600}">
      <mx:PLV Mode="0" OnePage="0" WScale="0"/>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O44"/>
  <sheetViews>
    <sheetView topLeftCell="A7" zoomScale="70" zoomScaleNormal="70" zoomScalePageLayoutView="70" workbookViewId="0">
      <selection activeCell="M40" sqref="M40"/>
    </sheetView>
  </sheetViews>
  <sheetFormatPr defaultColWidth="8.85546875" defaultRowHeight="15"/>
  <cols>
    <col min="1" max="1" width="10" customWidth="1"/>
    <col min="9" max="9" width="17.28515625" customWidth="1"/>
    <col min="10" max="10" width="17" customWidth="1"/>
    <col min="11" max="11" width="15.42578125" customWidth="1"/>
    <col min="12" max="12" width="21.42578125" customWidth="1"/>
    <col min="13" max="13" width="17" customWidth="1"/>
    <col min="14" max="14" width="25.28515625" customWidth="1"/>
    <col min="15" max="15" width="29.42578125" customWidth="1"/>
  </cols>
  <sheetData>
    <row r="1" spans="1:13" ht="18.75">
      <c r="A1" s="2"/>
      <c r="B1" s="2"/>
      <c r="C1" s="2"/>
      <c r="D1" s="136" t="s">
        <v>177</v>
      </c>
      <c r="E1" s="136"/>
      <c r="F1" s="136"/>
      <c r="G1" s="136"/>
      <c r="H1" s="136"/>
      <c r="I1" s="136"/>
      <c r="J1" s="3"/>
      <c r="K1" s="3"/>
      <c r="L1" s="3"/>
      <c r="M1" s="2"/>
    </row>
    <row r="2" spans="1:13" ht="18.75">
      <c r="A2" s="2"/>
      <c r="B2" s="2"/>
      <c r="C2" s="2"/>
      <c r="D2" s="136" t="s">
        <v>1</v>
      </c>
      <c r="E2" s="136"/>
      <c r="F2" s="136"/>
      <c r="G2" s="136"/>
      <c r="H2" s="136"/>
      <c r="I2" s="136"/>
      <c r="J2" s="3"/>
      <c r="K2" s="3"/>
      <c r="L2" s="3"/>
      <c r="M2" s="2"/>
    </row>
    <row r="3" spans="1:13" ht="18.75">
      <c r="A3" s="2"/>
      <c r="B3" s="2"/>
      <c r="C3" s="2"/>
      <c r="D3" s="136" t="s">
        <v>2</v>
      </c>
      <c r="E3" s="136"/>
      <c r="F3" s="136"/>
      <c r="G3" s="136"/>
      <c r="H3" s="136"/>
      <c r="I3" s="136"/>
      <c r="J3" s="3"/>
      <c r="K3" s="3"/>
      <c r="L3" s="3"/>
      <c r="M3" s="2"/>
    </row>
    <row r="4" spans="1:13" ht="18.75">
      <c r="A4" s="2"/>
      <c r="B4" s="2"/>
      <c r="C4" s="2"/>
      <c r="D4" s="69"/>
      <c r="E4" s="69"/>
      <c r="F4" s="69"/>
      <c r="G4" s="69"/>
      <c r="H4" s="69"/>
      <c r="I4" s="4"/>
      <c r="J4" s="3"/>
      <c r="K4" s="3"/>
      <c r="L4" s="3"/>
      <c r="M4" s="2"/>
    </row>
    <row r="5" spans="1:13" ht="37.5">
      <c r="A5" s="2"/>
      <c r="B5" s="2"/>
      <c r="C5" s="2"/>
      <c r="D5" s="2"/>
      <c r="E5" s="2"/>
      <c r="F5" s="2"/>
      <c r="G5" s="2"/>
      <c r="H5" s="2"/>
      <c r="I5" s="11" t="s">
        <v>3</v>
      </c>
      <c r="J5" s="11" t="s">
        <v>45</v>
      </c>
      <c r="K5" s="11" t="s">
        <v>46</v>
      </c>
      <c r="L5" s="11" t="s">
        <v>6</v>
      </c>
      <c r="M5" s="11" t="s">
        <v>7</v>
      </c>
    </row>
    <row r="6" spans="1:13" ht="18.75">
      <c r="A6" s="2"/>
      <c r="B6" s="2"/>
      <c r="C6" s="2"/>
      <c r="D6" s="2"/>
      <c r="E6" s="2"/>
      <c r="F6" s="2"/>
      <c r="G6" s="2"/>
      <c r="H6" s="2"/>
      <c r="I6" s="16"/>
      <c r="J6" s="16"/>
      <c r="K6" s="16"/>
      <c r="L6" s="16"/>
      <c r="M6" s="2"/>
    </row>
    <row r="7" spans="1:13" ht="18.75">
      <c r="A7" s="1" t="s">
        <v>49</v>
      </c>
      <c r="B7" s="1"/>
      <c r="C7" s="1"/>
      <c r="D7" s="1"/>
      <c r="E7" s="1"/>
      <c r="F7" s="1"/>
      <c r="G7" s="2"/>
      <c r="H7" s="2"/>
      <c r="I7" s="3"/>
      <c r="J7" s="3"/>
      <c r="K7" s="3"/>
      <c r="L7" s="3"/>
      <c r="M7" s="2"/>
    </row>
    <row r="8" spans="1:13" ht="18.75">
      <c r="A8" s="1" t="s">
        <v>50</v>
      </c>
      <c r="B8" s="1"/>
      <c r="C8" s="1"/>
      <c r="D8" s="1"/>
      <c r="E8" s="1"/>
      <c r="F8" s="1"/>
      <c r="G8" s="2"/>
      <c r="H8" s="2"/>
      <c r="I8" s="3"/>
      <c r="J8" s="3"/>
      <c r="K8" s="3"/>
      <c r="L8" s="3"/>
      <c r="M8" s="2"/>
    </row>
    <row r="9" spans="1:13" ht="18.75">
      <c r="A9" s="1" t="s">
        <v>9</v>
      </c>
      <c r="B9" s="1"/>
      <c r="C9" s="1"/>
      <c r="D9" s="1"/>
      <c r="E9" s="1"/>
      <c r="F9" s="1"/>
      <c r="G9" s="2"/>
      <c r="H9" s="2"/>
      <c r="I9" s="3"/>
      <c r="J9" s="3"/>
      <c r="K9" s="3"/>
      <c r="L9" s="3"/>
      <c r="M9" s="2"/>
    </row>
    <row r="10" spans="1:13" ht="18.75">
      <c r="A10" s="2"/>
      <c r="B10" s="2" t="s">
        <v>10</v>
      </c>
      <c r="C10" s="2"/>
      <c r="D10" s="2"/>
      <c r="E10" s="2"/>
      <c r="F10" s="2"/>
      <c r="G10" s="2"/>
      <c r="H10" s="2"/>
      <c r="I10" s="3">
        <v>876298</v>
      </c>
      <c r="J10" s="3"/>
      <c r="K10" s="3"/>
      <c r="L10" s="3">
        <f>SUM(I10:K10)</f>
        <v>876298</v>
      </c>
      <c r="M10" s="3">
        <f>SUM(L10)</f>
        <v>876298</v>
      </c>
    </row>
    <row r="11" spans="1:13" ht="18.75">
      <c r="A11" s="2"/>
      <c r="B11" s="2" t="s">
        <v>11</v>
      </c>
      <c r="C11" s="2"/>
      <c r="D11" s="2"/>
      <c r="E11" s="2"/>
      <c r="F11" s="2"/>
      <c r="G11" s="2"/>
      <c r="H11" s="2"/>
      <c r="I11" s="3">
        <v>3465939</v>
      </c>
      <c r="J11" s="3">
        <v>3717988</v>
      </c>
      <c r="K11" s="3">
        <v>-3551647</v>
      </c>
      <c r="L11" s="3">
        <f>SUM(I11:K11)</f>
        <v>3632280</v>
      </c>
      <c r="M11" s="3">
        <f>SUM(L11)</f>
        <v>3632280</v>
      </c>
    </row>
    <row r="12" spans="1:13" ht="18.75">
      <c r="A12" s="2" t="s">
        <v>178</v>
      </c>
      <c r="B12" s="2"/>
      <c r="C12" s="2"/>
      <c r="D12" s="2"/>
      <c r="E12" s="2"/>
      <c r="F12" s="2"/>
      <c r="G12" s="2"/>
      <c r="H12" s="2"/>
      <c r="I12" s="3"/>
      <c r="J12" s="3"/>
      <c r="K12" s="3"/>
      <c r="L12" s="3">
        <f t="shared" ref="L12:L16" si="0">SUM(I12:K12)</f>
        <v>0</v>
      </c>
      <c r="M12" s="3">
        <f t="shared" ref="M12" si="1">SUM(L12)</f>
        <v>0</v>
      </c>
    </row>
    <row r="13" spans="1:13" ht="18.75">
      <c r="A13" s="2"/>
      <c r="B13" s="2" t="s">
        <v>14</v>
      </c>
      <c r="C13" s="2"/>
      <c r="D13" s="2"/>
      <c r="E13" s="2"/>
      <c r="F13" s="2"/>
      <c r="G13" s="2"/>
      <c r="H13" s="2"/>
      <c r="I13" s="3">
        <v>11557845</v>
      </c>
      <c r="J13" s="3">
        <v>1892049</v>
      </c>
      <c r="K13" s="3"/>
      <c r="L13" s="3">
        <f t="shared" si="0"/>
        <v>13449894</v>
      </c>
      <c r="M13" s="3"/>
    </row>
    <row r="14" spans="1:13" ht="18.75">
      <c r="A14" s="2"/>
      <c r="B14" s="2" t="s">
        <v>17</v>
      </c>
      <c r="C14" s="2"/>
      <c r="D14" s="2"/>
      <c r="E14" s="2"/>
      <c r="F14" s="2"/>
      <c r="G14" s="2"/>
      <c r="H14" s="2"/>
      <c r="I14" s="3">
        <v>20765472</v>
      </c>
      <c r="J14" s="3">
        <v>726349</v>
      </c>
      <c r="K14" s="3"/>
      <c r="L14" s="3">
        <f t="shared" si="0"/>
        <v>21491821</v>
      </c>
      <c r="M14" s="3"/>
    </row>
    <row r="15" spans="1:13" ht="20.25" customHeight="1">
      <c r="A15" s="2"/>
      <c r="B15" s="2" t="s">
        <v>30</v>
      </c>
      <c r="C15" s="2"/>
      <c r="D15" s="2"/>
      <c r="E15" s="2"/>
      <c r="F15" s="2"/>
      <c r="G15" s="2"/>
      <c r="H15" s="2"/>
      <c r="I15" s="3">
        <v>704276</v>
      </c>
      <c r="J15" s="3"/>
      <c r="K15" s="3"/>
      <c r="L15" s="3">
        <f t="shared" si="0"/>
        <v>704276</v>
      </c>
      <c r="M15" s="3"/>
    </row>
    <row r="16" spans="1:13" ht="18.75">
      <c r="A16" s="2"/>
      <c r="B16" s="2" t="s">
        <v>64</v>
      </c>
      <c r="C16" s="2"/>
      <c r="D16" s="2"/>
      <c r="E16" s="2"/>
      <c r="F16" s="2"/>
      <c r="G16" s="2"/>
      <c r="H16" s="2"/>
      <c r="I16" s="3">
        <v>6383290</v>
      </c>
      <c r="J16" s="3">
        <v>15500</v>
      </c>
      <c r="K16" s="3"/>
      <c r="L16" s="3">
        <f t="shared" si="0"/>
        <v>6398790</v>
      </c>
      <c r="M16" s="3"/>
    </row>
    <row r="17" spans="1:15" ht="18.75">
      <c r="A17" s="1"/>
      <c r="B17" s="1"/>
      <c r="C17" s="1" t="s">
        <v>56</v>
      </c>
      <c r="D17" s="1"/>
      <c r="E17" s="1"/>
      <c r="F17" s="1"/>
      <c r="G17" s="1"/>
      <c r="H17" s="1"/>
      <c r="I17" s="12">
        <f>SUM(I10:I16)</f>
        <v>43753120</v>
      </c>
      <c r="J17" s="12">
        <f t="shared" ref="J17:L17" si="2">SUM(J10:J16)</f>
        <v>6351886</v>
      </c>
      <c r="K17" s="12">
        <f t="shared" si="2"/>
        <v>-3551647</v>
      </c>
      <c r="L17" s="12">
        <f t="shared" si="2"/>
        <v>46553359</v>
      </c>
      <c r="M17" s="1"/>
    </row>
    <row r="18" spans="1:15" ht="18.75">
      <c r="A18" s="2"/>
      <c r="B18" s="2"/>
      <c r="C18" s="2"/>
      <c r="D18" s="2"/>
      <c r="E18" s="2"/>
      <c r="F18" s="2"/>
      <c r="G18" s="2"/>
      <c r="H18" s="2"/>
      <c r="I18" s="3"/>
      <c r="J18" s="3"/>
      <c r="K18" s="3"/>
      <c r="L18" s="3"/>
      <c r="M18" s="2"/>
    </row>
    <row r="19" spans="1:15" ht="18.75">
      <c r="A19" s="2" t="s">
        <v>19</v>
      </c>
      <c r="B19" s="2"/>
      <c r="C19" s="2"/>
      <c r="D19" s="2"/>
      <c r="E19" s="2"/>
      <c r="F19" s="2"/>
      <c r="G19" s="2"/>
      <c r="H19" s="2"/>
      <c r="I19" s="3"/>
      <c r="J19" s="3"/>
      <c r="K19" s="3"/>
      <c r="L19" s="3"/>
      <c r="M19" s="2"/>
    </row>
    <row r="20" spans="1:15" ht="18.75">
      <c r="A20" s="2"/>
      <c r="B20" s="2" t="s">
        <v>32</v>
      </c>
      <c r="C20" s="2"/>
      <c r="D20" s="2"/>
      <c r="E20" s="2"/>
      <c r="F20" s="2"/>
      <c r="G20" s="2"/>
      <c r="H20" s="2"/>
      <c r="I20" s="3">
        <v>4481261</v>
      </c>
      <c r="J20" s="3">
        <v>327407</v>
      </c>
      <c r="K20" s="3">
        <v>0</v>
      </c>
      <c r="L20" s="3">
        <f>SUM(I20:K20)</f>
        <v>4808668</v>
      </c>
      <c r="M20" s="3">
        <f>L13-L20</f>
        <v>8641226</v>
      </c>
    </row>
    <row r="21" spans="1:15" ht="18.75">
      <c r="A21" s="2"/>
      <c r="B21" s="2" t="s">
        <v>17</v>
      </c>
      <c r="C21" s="2"/>
      <c r="D21" s="2"/>
      <c r="E21" s="2"/>
      <c r="F21" s="2"/>
      <c r="G21" s="2"/>
      <c r="H21" s="2"/>
      <c r="I21" s="3">
        <v>10056218</v>
      </c>
      <c r="J21" s="3">
        <v>1025012</v>
      </c>
      <c r="K21" s="3">
        <v>0</v>
      </c>
      <c r="L21" s="3">
        <f>SUM(I21:K21)</f>
        <v>11081230</v>
      </c>
      <c r="M21" s="3">
        <f t="shared" ref="M21:M23" si="3">L14-L21</f>
        <v>10410591</v>
      </c>
    </row>
    <row r="22" spans="1:15" ht="18.75">
      <c r="A22" s="2"/>
      <c r="B22" s="2" t="s">
        <v>30</v>
      </c>
      <c r="C22" s="2"/>
      <c r="D22" s="2"/>
      <c r="E22" s="2"/>
      <c r="F22" s="2"/>
      <c r="G22" s="2"/>
      <c r="H22" s="2"/>
      <c r="I22" s="3">
        <v>579088</v>
      </c>
      <c r="J22" s="3">
        <v>45992</v>
      </c>
      <c r="K22" s="3"/>
      <c r="L22" s="3">
        <f>SUM(I22:K22)</f>
        <v>625080</v>
      </c>
      <c r="M22" s="3">
        <f t="shared" si="3"/>
        <v>79196</v>
      </c>
    </row>
    <row r="23" spans="1:15" ht="18.75">
      <c r="A23" s="2"/>
      <c r="B23" s="2" t="s">
        <v>64</v>
      </c>
      <c r="C23" s="2"/>
      <c r="D23" s="2"/>
      <c r="E23" s="2"/>
      <c r="F23" s="2"/>
      <c r="G23" s="2"/>
      <c r="H23" s="2"/>
      <c r="I23" s="3">
        <v>3973056</v>
      </c>
      <c r="J23" s="3">
        <v>417960</v>
      </c>
      <c r="K23" s="3">
        <v>0</v>
      </c>
      <c r="L23" s="3">
        <f>SUM(I23:K23)</f>
        <v>4391016</v>
      </c>
      <c r="M23" s="3">
        <f t="shared" si="3"/>
        <v>2007774</v>
      </c>
    </row>
    <row r="24" spans="1:15" ht="18.75">
      <c r="A24" s="1"/>
      <c r="B24" s="1"/>
      <c r="C24" s="1" t="s">
        <v>20</v>
      </c>
      <c r="D24" s="1"/>
      <c r="E24" s="1"/>
      <c r="F24" s="1"/>
      <c r="G24" s="1"/>
      <c r="H24" s="1"/>
      <c r="I24" s="10">
        <f>SUM(I20:I23)</f>
        <v>19089623</v>
      </c>
      <c r="J24" s="10">
        <f>SUM(J20:J23)</f>
        <v>1816371</v>
      </c>
      <c r="K24" s="10">
        <f>SUM(K20:K23)</f>
        <v>0</v>
      </c>
      <c r="L24" s="10">
        <f>SUM(L20:L23)</f>
        <v>20905994</v>
      </c>
      <c r="M24" s="1"/>
    </row>
    <row r="25" spans="1:15" ht="18.75">
      <c r="A25" s="1"/>
      <c r="B25" s="1"/>
      <c r="C25" s="1"/>
      <c r="D25" s="1"/>
      <c r="E25" s="1"/>
      <c r="F25" s="1"/>
      <c r="G25" s="1"/>
      <c r="H25" s="1"/>
      <c r="I25" s="10"/>
      <c r="J25" s="10"/>
      <c r="K25" s="10"/>
      <c r="L25" s="10"/>
      <c r="M25" s="1"/>
    </row>
    <row r="26" spans="1:15" ht="18.75">
      <c r="A26" s="2"/>
      <c r="B26" s="1" t="s">
        <v>22</v>
      </c>
      <c r="C26" s="2"/>
      <c r="D26" s="2"/>
      <c r="E26" s="2"/>
      <c r="F26" s="2"/>
      <c r="G26" s="2"/>
      <c r="H26" s="2"/>
      <c r="I26" s="14">
        <f>I17-I24</f>
        <v>24663497</v>
      </c>
      <c r="J26" s="14">
        <f t="shared" ref="J26:L26" si="4">J17-J24</f>
        <v>4535515</v>
      </c>
      <c r="K26" s="14">
        <f t="shared" si="4"/>
        <v>-3551647</v>
      </c>
      <c r="L26" s="14">
        <f t="shared" si="4"/>
        <v>25647365</v>
      </c>
      <c r="M26" s="3">
        <f>SUM(M20:M23,M10:M16)</f>
        <v>25647365</v>
      </c>
    </row>
    <row r="27" spans="1:15" ht="18.75">
      <c r="A27" s="2"/>
      <c r="B27" s="1"/>
      <c r="C27" s="2"/>
      <c r="D27" s="2"/>
      <c r="E27" s="2"/>
      <c r="F27" s="2"/>
      <c r="G27" s="2"/>
      <c r="H27" s="2"/>
      <c r="I27" s="15"/>
      <c r="J27" s="15"/>
      <c r="K27" s="15"/>
      <c r="L27" s="15"/>
      <c r="M27" s="2"/>
    </row>
    <row r="28" spans="1:15" ht="18.75">
      <c r="A28" s="2"/>
      <c r="B28" s="2"/>
      <c r="C28" s="2"/>
      <c r="D28" s="2"/>
      <c r="E28" s="2"/>
      <c r="F28" s="2"/>
      <c r="G28" s="2"/>
      <c r="H28" s="2"/>
      <c r="I28" s="3"/>
      <c r="J28" s="3"/>
      <c r="K28" s="3"/>
      <c r="L28" s="3"/>
      <c r="M28" s="2"/>
    </row>
    <row r="29" spans="1:15" ht="37.5">
      <c r="A29" s="2"/>
      <c r="B29" s="2"/>
      <c r="C29" s="2"/>
      <c r="D29" s="2"/>
      <c r="E29" s="2"/>
      <c r="F29" s="2"/>
      <c r="G29" s="2"/>
      <c r="H29" s="2"/>
      <c r="I29" s="17" t="s">
        <v>3</v>
      </c>
      <c r="J29" s="17" t="s">
        <v>45</v>
      </c>
      <c r="K29" s="17" t="s">
        <v>46</v>
      </c>
      <c r="L29" s="17" t="s">
        <v>6</v>
      </c>
      <c r="M29" s="11" t="s">
        <v>7</v>
      </c>
    </row>
    <row r="30" spans="1:15" ht="18.75">
      <c r="A30" s="2"/>
      <c r="B30" s="2"/>
      <c r="C30" s="2"/>
      <c r="D30" s="2"/>
      <c r="E30" s="2"/>
      <c r="F30" s="2"/>
      <c r="G30" s="2"/>
      <c r="H30" s="2"/>
      <c r="I30" s="5"/>
      <c r="J30" s="5"/>
      <c r="K30" s="5"/>
      <c r="L30" s="5"/>
      <c r="M30" s="2"/>
    </row>
    <row r="31" spans="1:15" ht="18.75">
      <c r="A31" s="1" t="s">
        <v>79</v>
      </c>
      <c r="B31" s="1"/>
      <c r="C31" s="1"/>
      <c r="D31" s="1"/>
      <c r="E31" s="1"/>
      <c r="F31" s="1"/>
      <c r="G31" s="2"/>
      <c r="H31" s="2"/>
      <c r="I31" s="3"/>
      <c r="J31" s="3"/>
      <c r="K31" s="3"/>
      <c r="L31" s="3"/>
      <c r="M31" s="2"/>
    </row>
    <row r="32" spans="1:15" ht="18.75">
      <c r="A32" s="1" t="s">
        <v>13</v>
      </c>
      <c r="B32" s="1"/>
      <c r="C32" s="1"/>
      <c r="D32" s="1"/>
      <c r="E32" s="1"/>
      <c r="F32" s="1"/>
      <c r="G32" s="2"/>
      <c r="H32" s="2"/>
      <c r="I32" s="3"/>
      <c r="J32" s="3"/>
      <c r="K32" s="3"/>
      <c r="L32" s="3"/>
      <c r="M32" s="2"/>
      <c r="N32" s="34" t="s">
        <v>179</v>
      </c>
      <c r="O32" s="34" t="s">
        <v>60</v>
      </c>
    </row>
    <row r="33" spans="1:15" ht="18.75">
      <c r="A33" s="2"/>
      <c r="B33" s="2" t="s">
        <v>180</v>
      </c>
      <c r="C33" s="2"/>
      <c r="D33" s="2"/>
      <c r="E33" s="2"/>
      <c r="F33" s="2"/>
      <c r="G33" s="2"/>
      <c r="H33" s="2"/>
      <c r="I33" s="3">
        <v>828812</v>
      </c>
      <c r="J33" s="3"/>
      <c r="K33" s="3">
        <v>0</v>
      </c>
      <c r="L33" s="3">
        <f>SUM(I33:K33)</f>
        <v>828812</v>
      </c>
      <c r="M33" s="3"/>
      <c r="N33" s="34">
        <f>L33/L35</f>
        <v>0.97670346142560349</v>
      </c>
      <c r="O33" s="35">
        <f>L40*N33</f>
        <v>572949.87772764184</v>
      </c>
    </row>
    <row r="34" spans="1:15" ht="18.75">
      <c r="A34" s="2"/>
      <c r="B34" s="2" t="s">
        <v>64</v>
      </c>
      <c r="C34" s="2"/>
      <c r="D34" s="2"/>
      <c r="E34" s="2"/>
      <c r="F34" s="2"/>
      <c r="G34" s="2"/>
      <c r="H34" s="2"/>
      <c r="I34" s="3">
        <v>19769</v>
      </c>
      <c r="J34" s="3"/>
      <c r="K34" s="3"/>
      <c r="L34" s="3">
        <f>SUM(I34:K34)</f>
        <v>19769</v>
      </c>
      <c r="M34" s="3"/>
      <c r="N34" s="34">
        <f>L34/L35</f>
        <v>2.329653857439655E-2</v>
      </c>
      <c r="O34" s="35">
        <f>L40*N34</f>
        <v>13666.122272358207</v>
      </c>
    </row>
    <row r="35" spans="1:15" ht="18.75">
      <c r="A35" s="1"/>
      <c r="B35" s="1"/>
      <c r="C35" s="1" t="s">
        <v>56</v>
      </c>
      <c r="D35" s="1"/>
      <c r="E35" s="1"/>
      <c r="F35" s="1"/>
      <c r="G35" s="1"/>
      <c r="H35" s="2"/>
      <c r="I35" s="12">
        <f>SUM(I33:I34)</f>
        <v>848581</v>
      </c>
      <c r="J35" s="12">
        <f>SUM(J33:J34)</f>
        <v>0</v>
      </c>
      <c r="K35" s="12">
        <f>SUM(K33:K34)</f>
        <v>0</v>
      </c>
      <c r="L35" s="12">
        <f>SUM(L33:L34)</f>
        <v>848581</v>
      </c>
      <c r="M35" s="2"/>
      <c r="N35" s="34">
        <f>SUM(N33:N34)</f>
        <v>1</v>
      </c>
      <c r="O35" s="35">
        <f>SUM(O33:O34)</f>
        <v>586616</v>
      </c>
    </row>
    <row r="36" spans="1:15" ht="18.75">
      <c r="A36" s="2"/>
      <c r="B36" s="2"/>
      <c r="C36" s="1"/>
      <c r="D36" s="2"/>
      <c r="E36" s="2"/>
      <c r="F36" s="2"/>
      <c r="G36" s="2"/>
      <c r="H36" s="2"/>
      <c r="I36" s="15"/>
      <c r="J36" s="15"/>
      <c r="K36" s="15"/>
      <c r="L36" s="15"/>
      <c r="M36" s="2"/>
    </row>
    <row r="37" spans="1:15" ht="18.75">
      <c r="A37" s="1" t="s">
        <v>19</v>
      </c>
      <c r="B37" s="2"/>
      <c r="C37" s="1"/>
      <c r="D37" s="2"/>
      <c r="E37" s="2"/>
      <c r="F37" s="2"/>
      <c r="G37" s="2"/>
      <c r="H37" s="2"/>
      <c r="I37" s="15"/>
      <c r="J37" s="15"/>
      <c r="K37" s="15"/>
      <c r="L37" s="15"/>
      <c r="M37" s="2"/>
    </row>
    <row r="38" spans="1:15" ht="18.75">
      <c r="A38" s="2"/>
      <c r="B38" s="2" t="s">
        <v>180</v>
      </c>
      <c r="C38" s="1"/>
      <c r="D38" s="2"/>
      <c r="E38" s="2"/>
      <c r="F38" s="2"/>
      <c r="G38" s="2"/>
      <c r="H38" s="2"/>
      <c r="I38" s="15"/>
      <c r="J38" s="15"/>
      <c r="K38" s="15"/>
      <c r="L38" s="15">
        <v>572950</v>
      </c>
      <c r="M38" s="3">
        <f>L33-L38</f>
        <v>255862</v>
      </c>
    </row>
    <row r="39" spans="1:15" ht="18.75">
      <c r="A39" s="2"/>
      <c r="B39" s="2" t="s">
        <v>64</v>
      </c>
      <c r="C39" s="1"/>
      <c r="D39" s="2"/>
      <c r="E39" s="2"/>
      <c r="F39" s="2"/>
      <c r="G39" s="2"/>
      <c r="H39" s="2"/>
      <c r="I39" s="15"/>
      <c r="J39" s="15"/>
      <c r="K39" s="15"/>
      <c r="L39" s="15">
        <v>13666</v>
      </c>
      <c r="M39" s="3">
        <f>L34-L39</f>
        <v>6103</v>
      </c>
    </row>
    <row r="40" spans="1:15" ht="18.75">
      <c r="A40" s="1"/>
      <c r="B40" s="1"/>
      <c r="C40" s="1" t="s">
        <v>20</v>
      </c>
      <c r="D40" s="1"/>
      <c r="E40" s="1"/>
      <c r="F40" s="1"/>
      <c r="G40" s="1"/>
      <c r="H40" s="2"/>
      <c r="I40" s="12">
        <v>-557482</v>
      </c>
      <c r="J40" s="12">
        <v>29134</v>
      </c>
      <c r="K40" s="12"/>
      <c r="L40" s="12">
        <v>586616</v>
      </c>
      <c r="M40" s="3"/>
    </row>
    <row r="41" spans="1:15" ht="18.75">
      <c r="A41" s="1"/>
      <c r="B41" s="1"/>
      <c r="C41" s="1"/>
      <c r="D41" s="1"/>
      <c r="E41" s="1"/>
      <c r="F41" s="1"/>
      <c r="G41" s="1"/>
      <c r="H41" s="2"/>
      <c r="I41" s="12"/>
      <c r="J41" s="12"/>
      <c r="K41" s="12"/>
      <c r="L41" s="12"/>
      <c r="M41" s="2"/>
    </row>
    <row r="42" spans="1:15" ht="18.75">
      <c r="A42" s="1"/>
      <c r="B42" s="1"/>
      <c r="C42" s="1"/>
      <c r="D42" s="1"/>
      <c r="E42" s="1"/>
      <c r="F42" s="1"/>
      <c r="G42" s="1"/>
      <c r="H42" s="2"/>
      <c r="I42" s="13"/>
      <c r="J42" s="13"/>
      <c r="K42" s="13"/>
      <c r="L42" s="13"/>
      <c r="M42" s="2"/>
    </row>
    <row r="43" spans="1:15" ht="18.75">
      <c r="A43" s="2"/>
      <c r="B43" s="1" t="s">
        <v>43</v>
      </c>
      <c r="C43" s="2"/>
      <c r="D43" s="2"/>
      <c r="E43" s="2"/>
      <c r="F43" s="2"/>
      <c r="G43" s="2"/>
      <c r="H43" s="2"/>
      <c r="I43" s="14">
        <f>SUM(I35+I40)</f>
        <v>291099</v>
      </c>
      <c r="J43" s="14">
        <f>SUM(J35-J40)</f>
        <v>-29134</v>
      </c>
      <c r="K43" s="14">
        <f>SUM(K35-K40)</f>
        <v>0</v>
      </c>
      <c r="L43" s="14">
        <f>SUM(L35-L40)</f>
        <v>261965</v>
      </c>
      <c r="M43" s="3">
        <f>SUM(M33:M34:M40)</f>
        <v>261965</v>
      </c>
    </row>
    <row r="44" spans="1:15" ht="18.75">
      <c r="A44" s="2"/>
      <c r="B44" s="2"/>
      <c r="C44" s="2"/>
      <c r="D44" s="2"/>
      <c r="E44" s="2"/>
      <c r="F44" s="2"/>
      <c r="G44" s="2"/>
      <c r="H44" s="2"/>
      <c r="I44" s="3"/>
      <c r="J44" s="3"/>
      <c r="K44" s="3"/>
      <c r="L44" s="3"/>
      <c r="M44" s="2"/>
    </row>
  </sheetData>
  <mergeCells count="3">
    <mergeCell ref="D1:I1"/>
    <mergeCell ref="D2:I2"/>
    <mergeCell ref="D3:I3"/>
  </mergeCells>
  <pageMargins left="0.7" right="0.7" top="0.75" bottom="0.75" header="0.3" footer="0.3"/>
  <extLst>
    <ext xmlns:mx="http://schemas.microsoft.com/office/mac/excel/2008/main" uri="{64002731-A6B0-56B0-2670-7721B7C09600}">
      <mx:PLV Mode="0" OnePage="0" WScale="0"/>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M38"/>
  <sheetViews>
    <sheetView topLeftCell="A10" workbookViewId="0">
      <selection activeCell="I35" sqref="I35"/>
    </sheetView>
  </sheetViews>
  <sheetFormatPr defaultColWidth="8.85546875" defaultRowHeight="15"/>
  <cols>
    <col min="9" max="9" width="18.7109375" customWidth="1"/>
    <col min="10" max="10" width="17" customWidth="1"/>
    <col min="11" max="11" width="16.85546875" customWidth="1"/>
    <col min="12" max="12" width="17.85546875" customWidth="1"/>
    <col min="13" max="13" width="16.85546875" customWidth="1"/>
  </cols>
  <sheetData>
    <row r="1" spans="1:13" ht="18.75">
      <c r="A1" s="2"/>
      <c r="B1" s="2"/>
      <c r="C1" s="2"/>
      <c r="D1" s="136" t="s">
        <v>181</v>
      </c>
      <c r="E1" s="136"/>
      <c r="F1" s="136"/>
      <c r="G1" s="136"/>
      <c r="H1" s="136"/>
      <c r="I1" s="136"/>
      <c r="J1" s="3"/>
      <c r="K1" s="3"/>
      <c r="L1" s="2"/>
    </row>
    <row r="2" spans="1:13" ht="18.75">
      <c r="A2" s="2"/>
      <c r="B2" s="2"/>
      <c r="C2" s="2"/>
      <c r="D2" s="136" t="s">
        <v>1</v>
      </c>
      <c r="E2" s="136"/>
      <c r="F2" s="136"/>
      <c r="G2" s="136"/>
      <c r="H2" s="136"/>
      <c r="I2" s="136"/>
      <c r="J2" s="3"/>
      <c r="K2" s="3"/>
      <c r="L2" s="2"/>
    </row>
    <row r="3" spans="1:13" ht="18.75">
      <c r="A3" s="2"/>
      <c r="B3" s="2"/>
      <c r="C3" s="2"/>
      <c r="D3" s="136" t="s">
        <v>2</v>
      </c>
      <c r="E3" s="136"/>
      <c r="F3" s="136"/>
      <c r="G3" s="136"/>
      <c r="H3" s="136"/>
      <c r="I3" s="136"/>
      <c r="J3" s="3"/>
      <c r="K3" s="3"/>
      <c r="L3" s="2"/>
    </row>
    <row r="4" spans="1:13" ht="18.75">
      <c r="A4" s="2"/>
      <c r="B4" s="2"/>
      <c r="C4" s="2"/>
      <c r="D4" s="69"/>
      <c r="E4" s="69"/>
      <c r="F4" s="69"/>
      <c r="G4" s="69"/>
      <c r="H4" s="69"/>
      <c r="I4" s="4"/>
      <c r="J4" s="3"/>
      <c r="K4" s="3"/>
      <c r="L4" s="2"/>
    </row>
    <row r="5" spans="1:13" ht="37.5">
      <c r="A5" s="2"/>
      <c r="B5" s="2"/>
      <c r="C5" s="2"/>
      <c r="D5" s="2"/>
      <c r="E5" s="2"/>
      <c r="F5" s="2"/>
      <c r="G5" s="2"/>
      <c r="H5" s="2"/>
      <c r="I5" s="11" t="s">
        <v>3</v>
      </c>
      <c r="J5" s="11" t="s">
        <v>45</v>
      </c>
      <c r="K5" s="11" t="s">
        <v>46</v>
      </c>
      <c r="L5" s="11" t="s">
        <v>182</v>
      </c>
      <c r="M5" s="11" t="s">
        <v>7</v>
      </c>
    </row>
    <row r="6" spans="1:13" ht="18.75">
      <c r="A6" s="2"/>
      <c r="B6" s="2"/>
      <c r="C6" s="2"/>
      <c r="D6" s="2"/>
      <c r="E6" s="2"/>
      <c r="F6" s="2"/>
      <c r="G6" s="2"/>
      <c r="H6" s="2"/>
      <c r="I6" s="16"/>
      <c r="J6" s="16"/>
      <c r="K6" s="16"/>
      <c r="L6" s="2"/>
    </row>
    <row r="7" spans="1:13" ht="18.75">
      <c r="A7" s="1" t="s">
        <v>49</v>
      </c>
      <c r="B7" s="1"/>
      <c r="C7" s="1"/>
      <c r="D7" s="1"/>
      <c r="E7" s="1"/>
      <c r="F7" s="1"/>
      <c r="G7" s="2"/>
      <c r="H7" s="2"/>
      <c r="I7" s="3"/>
      <c r="J7" s="3"/>
      <c r="K7" s="3"/>
      <c r="L7" s="2"/>
    </row>
    <row r="8" spans="1:13" ht="18.75">
      <c r="A8" s="1" t="s">
        <v>50</v>
      </c>
      <c r="B8" s="1"/>
      <c r="C8" s="1"/>
      <c r="D8" s="1"/>
      <c r="E8" s="1"/>
      <c r="F8" s="1"/>
      <c r="G8" s="2"/>
      <c r="H8" s="2"/>
      <c r="I8" s="3"/>
      <c r="J8" s="3"/>
      <c r="K8" s="3"/>
      <c r="L8" s="2"/>
    </row>
    <row r="9" spans="1:13" ht="18.75">
      <c r="A9" s="1" t="s">
        <v>9</v>
      </c>
      <c r="B9" s="1"/>
      <c r="C9" s="1"/>
      <c r="D9" s="1"/>
      <c r="E9" s="1"/>
      <c r="F9" s="1"/>
      <c r="G9" s="2"/>
      <c r="H9" s="2"/>
      <c r="I9" s="3"/>
      <c r="J9" s="3"/>
      <c r="K9" s="3"/>
      <c r="L9" s="2"/>
      <c r="M9" s="34"/>
    </row>
    <row r="10" spans="1:13" ht="18.75">
      <c r="A10" s="2"/>
      <c r="B10" s="2" t="s">
        <v>10</v>
      </c>
      <c r="C10" s="2"/>
      <c r="D10" s="2"/>
      <c r="E10" s="2"/>
      <c r="F10" s="2"/>
      <c r="G10" s="2"/>
      <c r="H10" s="2"/>
      <c r="I10" s="3">
        <v>390416</v>
      </c>
      <c r="J10" s="3"/>
      <c r="K10" s="3"/>
      <c r="L10" s="3">
        <f>SUM(I10:K10)</f>
        <v>390416</v>
      </c>
      <c r="M10" s="35">
        <f>L10</f>
        <v>390416</v>
      </c>
    </row>
    <row r="11" spans="1:13" ht="18.75">
      <c r="A11" s="2"/>
      <c r="B11" s="2" t="s">
        <v>183</v>
      </c>
      <c r="C11" s="2"/>
      <c r="D11" s="2"/>
      <c r="E11" s="2"/>
      <c r="F11" s="2"/>
      <c r="G11" s="2"/>
      <c r="H11" s="2"/>
      <c r="I11" s="3">
        <v>686392</v>
      </c>
      <c r="J11" s="3">
        <v>1632281</v>
      </c>
      <c r="K11" s="3">
        <v>-216623</v>
      </c>
      <c r="L11" s="3">
        <f t="shared" ref="L11" si="0">SUM(I11:K11)</f>
        <v>2102050</v>
      </c>
      <c r="M11" s="35">
        <f t="shared" ref="M11:M12" si="1">L11</f>
        <v>2102050</v>
      </c>
    </row>
    <row r="12" spans="1:13" ht="18.75">
      <c r="A12" s="2"/>
      <c r="B12" s="2" t="s">
        <v>184</v>
      </c>
      <c r="C12" s="2"/>
      <c r="D12" s="2"/>
      <c r="E12" s="2"/>
      <c r="F12" s="2"/>
      <c r="G12" s="2"/>
      <c r="H12" s="2"/>
      <c r="I12" s="3">
        <v>46969</v>
      </c>
      <c r="J12" s="3">
        <v>70000</v>
      </c>
      <c r="K12" s="3">
        <v>-49969</v>
      </c>
      <c r="L12" s="3">
        <v>70000</v>
      </c>
      <c r="M12" s="35">
        <f t="shared" si="1"/>
        <v>70000</v>
      </c>
    </row>
    <row r="13" spans="1:13" ht="18.75">
      <c r="A13" s="1"/>
      <c r="B13" s="1"/>
      <c r="C13" s="1" t="s">
        <v>88</v>
      </c>
      <c r="D13" s="1"/>
      <c r="E13" s="1"/>
      <c r="F13" s="1"/>
      <c r="G13" s="1"/>
      <c r="H13" s="1"/>
      <c r="I13" s="12">
        <f>SUM(I10:I12)</f>
        <v>1123777</v>
      </c>
      <c r="J13" s="12">
        <f t="shared" ref="J13:L13" si="2">SUM(J10:J12)</f>
        <v>1702281</v>
      </c>
      <c r="K13" s="12">
        <f t="shared" si="2"/>
        <v>-266592</v>
      </c>
      <c r="L13" s="12">
        <f t="shared" si="2"/>
        <v>2562466</v>
      </c>
      <c r="M13" s="41"/>
    </row>
    <row r="14" spans="1:13" ht="18.75">
      <c r="A14" s="2"/>
      <c r="B14" s="2"/>
      <c r="C14" s="2"/>
      <c r="D14" s="2"/>
      <c r="E14" s="2"/>
      <c r="F14" s="2"/>
      <c r="G14" s="2"/>
      <c r="H14" s="2"/>
      <c r="I14" s="3"/>
      <c r="J14" s="3"/>
      <c r="K14" s="3"/>
      <c r="L14" s="2"/>
      <c r="M14" s="34"/>
    </row>
    <row r="15" spans="1:13" ht="18.75">
      <c r="A15" s="1" t="s">
        <v>13</v>
      </c>
      <c r="B15" s="2"/>
      <c r="C15" s="2"/>
      <c r="D15" s="2"/>
      <c r="E15" s="2"/>
      <c r="F15" s="2"/>
      <c r="G15" s="2"/>
      <c r="H15" s="2"/>
      <c r="I15" s="3"/>
      <c r="J15" s="3"/>
      <c r="K15" s="3"/>
      <c r="L15" s="2"/>
      <c r="M15" s="34"/>
    </row>
    <row r="16" spans="1:13" ht="18.75">
      <c r="A16" s="2"/>
      <c r="B16" s="2" t="s">
        <v>185</v>
      </c>
      <c r="C16" s="2"/>
      <c r="D16" s="2"/>
      <c r="E16" s="2"/>
      <c r="F16" s="2"/>
      <c r="G16" s="2"/>
      <c r="H16" s="2"/>
      <c r="I16" s="3">
        <v>87120216</v>
      </c>
      <c r="J16" s="3">
        <v>276051</v>
      </c>
      <c r="K16" s="3"/>
      <c r="L16" s="3">
        <f t="shared" ref="L16:L23" si="3">SUM(I16:K16)</f>
        <v>87396267</v>
      </c>
      <c r="M16" s="34"/>
    </row>
    <row r="17" spans="1:13" ht="18.75">
      <c r="A17" s="2"/>
      <c r="B17" s="2" t="s">
        <v>186</v>
      </c>
      <c r="C17" s="2"/>
      <c r="D17" s="2"/>
      <c r="E17" s="2"/>
      <c r="F17" s="2"/>
      <c r="G17" s="2"/>
      <c r="H17" s="2"/>
      <c r="I17" s="3">
        <v>3366140</v>
      </c>
      <c r="J17" s="3"/>
      <c r="K17" s="3"/>
      <c r="L17" s="3">
        <f t="shared" si="3"/>
        <v>3366140</v>
      </c>
      <c r="M17" s="34"/>
    </row>
    <row r="18" spans="1:13" ht="18.75">
      <c r="A18" s="2"/>
      <c r="B18" s="2" t="s">
        <v>14</v>
      </c>
      <c r="C18" s="2"/>
      <c r="D18" s="2"/>
      <c r="E18" s="2"/>
      <c r="F18" s="2"/>
      <c r="G18" s="2"/>
      <c r="H18" s="2"/>
      <c r="I18" s="3">
        <v>4772535</v>
      </c>
      <c r="J18" s="3"/>
      <c r="K18" s="3"/>
      <c r="L18" s="3">
        <f t="shared" si="3"/>
        <v>4772535</v>
      </c>
      <c r="M18" s="34"/>
    </row>
    <row r="19" spans="1:13" ht="18.75">
      <c r="A19" s="2"/>
      <c r="B19" s="2" t="s">
        <v>52</v>
      </c>
      <c r="C19" s="2"/>
      <c r="D19" s="2"/>
      <c r="E19" s="2"/>
      <c r="F19" s="2"/>
      <c r="G19" s="2"/>
      <c r="H19" s="2"/>
      <c r="I19" s="3">
        <v>2593516</v>
      </c>
      <c r="J19" s="3"/>
      <c r="K19" s="3"/>
      <c r="L19" s="3">
        <f t="shared" si="3"/>
        <v>2593516</v>
      </c>
      <c r="M19" s="34"/>
    </row>
    <row r="20" spans="1:13" ht="18.75">
      <c r="A20" s="2"/>
      <c r="B20" s="2" t="s">
        <v>72</v>
      </c>
      <c r="C20" s="2"/>
      <c r="D20" s="2"/>
      <c r="E20" s="2"/>
      <c r="F20" s="2"/>
      <c r="G20" s="2"/>
      <c r="H20" s="2"/>
      <c r="I20" s="3">
        <v>60459</v>
      </c>
      <c r="J20" s="3">
        <v>3189</v>
      </c>
      <c r="K20" s="3"/>
      <c r="L20" s="3">
        <f t="shared" si="3"/>
        <v>63648</v>
      </c>
      <c r="M20" s="34"/>
    </row>
    <row r="21" spans="1:13" ht="18.75">
      <c r="A21" s="2"/>
      <c r="B21" s="2" t="s">
        <v>119</v>
      </c>
      <c r="C21" s="2"/>
      <c r="D21" s="2"/>
      <c r="E21" s="2"/>
      <c r="F21" s="2"/>
      <c r="G21" s="2"/>
      <c r="H21" s="2"/>
      <c r="I21" s="3">
        <v>1458017</v>
      </c>
      <c r="J21" s="3">
        <v>468759</v>
      </c>
      <c r="K21" s="3">
        <v>-153388</v>
      </c>
      <c r="L21" s="3">
        <f t="shared" si="3"/>
        <v>1773388</v>
      </c>
      <c r="M21" s="34"/>
    </row>
    <row r="22" spans="1:13" ht="18.75">
      <c r="A22" s="2"/>
      <c r="B22" s="2" t="s">
        <v>187</v>
      </c>
      <c r="C22" s="2"/>
      <c r="D22" s="2"/>
      <c r="E22" s="2"/>
      <c r="F22" s="2"/>
      <c r="G22" s="2"/>
      <c r="H22" s="2"/>
      <c r="I22" s="3">
        <v>401139</v>
      </c>
      <c r="J22" s="3">
        <v>94658</v>
      </c>
      <c r="K22" s="3"/>
      <c r="L22" s="3">
        <f t="shared" si="3"/>
        <v>495797</v>
      </c>
      <c r="M22" s="34"/>
    </row>
    <row r="23" spans="1:13" ht="18.75">
      <c r="A23" s="2"/>
      <c r="B23" s="2" t="s">
        <v>30</v>
      </c>
      <c r="C23" s="2"/>
      <c r="D23" s="2"/>
      <c r="E23" s="2"/>
      <c r="F23" s="2"/>
      <c r="G23" s="2"/>
      <c r="H23" s="2"/>
      <c r="I23" s="3">
        <v>1200270</v>
      </c>
      <c r="J23" s="3">
        <v>23703</v>
      </c>
      <c r="K23" s="3"/>
      <c r="L23" s="3">
        <f t="shared" si="3"/>
        <v>1223973</v>
      </c>
      <c r="M23" s="34"/>
    </row>
    <row r="24" spans="1:13" ht="18.75">
      <c r="A24" s="2"/>
      <c r="B24" s="2"/>
      <c r="C24" s="1" t="s">
        <v>18</v>
      </c>
      <c r="D24" s="2"/>
      <c r="E24" s="2"/>
      <c r="F24" s="2"/>
      <c r="G24" s="2"/>
      <c r="H24" s="2"/>
      <c r="I24" s="13">
        <f>SUM(I16:I23)</f>
        <v>100972292</v>
      </c>
      <c r="J24" s="13">
        <f>SUM(J16:J23)</f>
        <v>866360</v>
      </c>
      <c r="K24" s="13">
        <f>SUM(K16:K23)</f>
        <v>-153388</v>
      </c>
      <c r="L24" s="13">
        <f>SUM(L16:L23)</f>
        <v>101685264</v>
      </c>
      <c r="M24" s="34"/>
    </row>
    <row r="25" spans="1:13" ht="18.75">
      <c r="A25" s="2"/>
      <c r="B25" s="2"/>
      <c r="C25" s="1"/>
      <c r="D25" s="2"/>
      <c r="E25" s="2"/>
      <c r="F25" s="2"/>
      <c r="G25" s="2"/>
      <c r="H25" s="2"/>
      <c r="I25" s="13"/>
      <c r="J25" s="13"/>
      <c r="K25" s="13"/>
      <c r="L25" s="13"/>
      <c r="M25" s="34"/>
    </row>
    <row r="26" spans="1:13" ht="18.75">
      <c r="A26" s="2" t="s">
        <v>19</v>
      </c>
      <c r="B26" s="2"/>
      <c r="C26" s="1"/>
      <c r="D26" s="2"/>
      <c r="E26" s="2"/>
      <c r="F26" s="2"/>
      <c r="G26" s="2"/>
      <c r="H26" s="2"/>
      <c r="I26" s="13"/>
      <c r="J26" s="13"/>
      <c r="K26" s="13"/>
      <c r="L26" s="13"/>
      <c r="M26" s="34"/>
    </row>
    <row r="27" spans="1:13" ht="18.75">
      <c r="A27" s="2"/>
      <c r="B27" s="2" t="s">
        <v>185</v>
      </c>
      <c r="C27" s="1"/>
      <c r="D27" s="2"/>
      <c r="E27" s="2"/>
      <c r="F27" s="2"/>
      <c r="G27" s="2"/>
      <c r="H27" s="2"/>
      <c r="I27" s="3">
        <v>-75156647</v>
      </c>
      <c r="J27" s="3">
        <v>-743606</v>
      </c>
      <c r="K27" s="3" t="s">
        <v>188</v>
      </c>
      <c r="L27" s="3">
        <f>SUM(I27:K27)</f>
        <v>-75900253</v>
      </c>
      <c r="M27" s="51">
        <f>SUM(L16+L27)</f>
        <v>11496014</v>
      </c>
    </row>
    <row r="28" spans="1:13" ht="18.75">
      <c r="A28" s="2"/>
      <c r="B28" s="2" t="s">
        <v>186</v>
      </c>
      <c r="C28" s="1"/>
      <c r="D28" s="2"/>
      <c r="E28" s="2"/>
      <c r="F28" s="2"/>
      <c r="G28" s="2"/>
      <c r="H28" s="2"/>
      <c r="I28" s="3">
        <v>-1622639</v>
      </c>
      <c r="J28" s="3">
        <v>-43749</v>
      </c>
      <c r="K28" s="3" t="s">
        <v>188</v>
      </c>
      <c r="L28" s="3">
        <f t="shared" ref="L28:L34" si="4">SUM(I28:K28)</f>
        <v>-1666388</v>
      </c>
      <c r="M28" s="51">
        <f t="shared" ref="M28:M34" si="5">SUM(L17+L28)</f>
        <v>1699752</v>
      </c>
    </row>
    <row r="29" spans="1:13" ht="18.75">
      <c r="A29" s="2"/>
      <c r="B29" s="2" t="s">
        <v>14</v>
      </c>
      <c r="C29" s="1"/>
      <c r="D29" s="2"/>
      <c r="E29" s="2"/>
      <c r="F29" s="2"/>
      <c r="G29" s="2"/>
      <c r="H29" s="2"/>
      <c r="I29" s="3">
        <v>-3457134</v>
      </c>
      <c r="J29" s="3">
        <v>-119343</v>
      </c>
      <c r="K29" s="3"/>
      <c r="L29" s="3">
        <f t="shared" si="4"/>
        <v>-3576477</v>
      </c>
      <c r="M29" s="51">
        <f t="shared" si="5"/>
        <v>1196058</v>
      </c>
    </row>
    <row r="30" spans="1:13" ht="18.75">
      <c r="A30" s="2"/>
      <c r="B30" s="2" t="s">
        <v>52</v>
      </c>
      <c r="C30" s="1"/>
      <c r="D30" s="2"/>
      <c r="E30" s="2"/>
      <c r="F30" s="2"/>
      <c r="G30" s="2"/>
      <c r="H30" s="2"/>
      <c r="I30" s="3">
        <v>-1669272</v>
      </c>
      <c r="J30" s="3">
        <v>-111001</v>
      </c>
      <c r="K30" s="3" t="s">
        <v>188</v>
      </c>
      <c r="L30" s="3">
        <f t="shared" si="4"/>
        <v>-1780273</v>
      </c>
      <c r="M30" s="51">
        <f t="shared" si="5"/>
        <v>813243</v>
      </c>
    </row>
    <row r="31" spans="1:13" ht="18.75">
      <c r="A31" s="2"/>
      <c r="B31" s="2" t="s">
        <v>72</v>
      </c>
      <c r="C31" s="1"/>
      <c r="D31" s="2"/>
      <c r="E31" s="2"/>
      <c r="F31" s="2"/>
      <c r="G31" s="2"/>
      <c r="H31" s="2"/>
      <c r="I31" s="3">
        <v>-59015</v>
      </c>
      <c r="J31" s="3">
        <v>-1119</v>
      </c>
      <c r="K31" s="3"/>
      <c r="L31" s="3">
        <f t="shared" si="4"/>
        <v>-60134</v>
      </c>
      <c r="M31" s="51">
        <f t="shared" si="5"/>
        <v>3514</v>
      </c>
    </row>
    <row r="32" spans="1:13" ht="18.75">
      <c r="A32" s="2"/>
      <c r="B32" s="2" t="s">
        <v>119</v>
      </c>
      <c r="C32" s="1"/>
      <c r="D32" s="2"/>
      <c r="E32" s="2"/>
      <c r="F32" s="2"/>
      <c r="G32" s="2"/>
      <c r="H32" s="2"/>
      <c r="I32" s="3">
        <v>-892220</v>
      </c>
      <c r="J32" s="3">
        <v>-123784</v>
      </c>
      <c r="K32" s="3">
        <v>29382</v>
      </c>
      <c r="L32" s="3">
        <f t="shared" si="4"/>
        <v>-986622</v>
      </c>
      <c r="M32" s="51">
        <f t="shared" si="5"/>
        <v>786766</v>
      </c>
    </row>
    <row r="33" spans="1:13" ht="18.75">
      <c r="A33" s="2"/>
      <c r="B33" s="2" t="s">
        <v>187</v>
      </c>
      <c r="C33" s="1"/>
      <c r="D33" s="2"/>
      <c r="E33" s="2"/>
      <c r="F33" s="2"/>
      <c r="G33" s="2"/>
      <c r="H33" s="2"/>
      <c r="I33" s="3">
        <v>-354420</v>
      </c>
      <c r="J33" s="3">
        <v>-32684</v>
      </c>
      <c r="K33" s="3"/>
      <c r="L33" s="3">
        <f t="shared" si="4"/>
        <v>-387104</v>
      </c>
      <c r="M33" s="51">
        <f t="shared" si="5"/>
        <v>108693</v>
      </c>
    </row>
    <row r="34" spans="1:13" ht="18.75">
      <c r="A34" s="2"/>
      <c r="B34" s="2" t="s">
        <v>30</v>
      </c>
      <c r="C34" s="1"/>
      <c r="D34" s="2"/>
      <c r="E34" s="2"/>
      <c r="F34" s="2"/>
      <c r="G34" s="2"/>
      <c r="H34" s="2"/>
      <c r="I34" s="3">
        <v>-1098166</v>
      </c>
      <c r="J34" s="3">
        <v>-48533</v>
      </c>
      <c r="K34" s="3"/>
      <c r="L34" s="3">
        <f t="shared" si="4"/>
        <v>-1146699</v>
      </c>
      <c r="M34" s="51">
        <f t="shared" si="5"/>
        <v>77274</v>
      </c>
    </row>
    <row r="35" spans="1:13" ht="18.75">
      <c r="A35" s="2"/>
      <c r="B35" s="2"/>
      <c r="C35" s="1" t="s">
        <v>20</v>
      </c>
      <c r="D35" s="2"/>
      <c r="E35" s="2"/>
      <c r="F35" s="2"/>
      <c r="G35" s="2"/>
      <c r="H35" s="2"/>
      <c r="I35" s="13">
        <f>SUM(I27:I34)</f>
        <v>-84309513</v>
      </c>
      <c r="J35" s="13">
        <f t="shared" ref="J35:L35" si="6">SUM(J27:J34)</f>
        <v>-1223819</v>
      </c>
      <c r="K35" s="13">
        <f t="shared" si="6"/>
        <v>29382</v>
      </c>
      <c r="L35" s="13">
        <f t="shared" si="6"/>
        <v>-85503950</v>
      </c>
      <c r="M35" s="34"/>
    </row>
    <row r="36" spans="1:13" ht="18.75">
      <c r="A36" s="1"/>
      <c r="B36" s="1" t="s">
        <v>21</v>
      </c>
      <c r="C36" s="1"/>
      <c r="D36" s="1"/>
      <c r="E36" s="1"/>
      <c r="F36" s="1"/>
      <c r="G36" s="1"/>
      <c r="H36" s="1"/>
      <c r="I36" s="10">
        <f>SUM(I24+I35)</f>
        <v>16662779</v>
      </c>
      <c r="J36" s="10">
        <f t="shared" ref="J36:L36" si="7">SUM(J24+J35)</f>
        <v>-357459</v>
      </c>
      <c r="K36" s="10">
        <f t="shared" si="7"/>
        <v>-124006</v>
      </c>
      <c r="L36" s="10">
        <f t="shared" si="7"/>
        <v>16181314</v>
      </c>
      <c r="M36" s="34"/>
    </row>
    <row r="37" spans="1:13" ht="18.75">
      <c r="A37" s="1"/>
      <c r="B37" s="1"/>
      <c r="C37" s="1"/>
      <c r="D37" s="1"/>
      <c r="E37" s="1"/>
      <c r="F37" s="1"/>
      <c r="G37" s="1"/>
      <c r="H37" s="1"/>
      <c r="I37" s="31"/>
      <c r="J37" s="31"/>
      <c r="K37" s="31"/>
      <c r="L37" s="1"/>
    </row>
    <row r="38" spans="1:13" ht="18.75">
      <c r="A38" s="2"/>
      <c r="B38" s="1" t="s">
        <v>114</v>
      </c>
      <c r="C38" s="2"/>
      <c r="D38" s="2"/>
      <c r="E38" s="2"/>
      <c r="F38" s="2"/>
      <c r="G38" s="2"/>
      <c r="H38" s="2"/>
      <c r="I38" s="14">
        <f>I13+I36</f>
        <v>17786556</v>
      </c>
      <c r="J38" s="14">
        <f>J13+J36</f>
        <v>1344822</v>
      </c>
      <c r="K38" s="14">
        <f>K13+K36</f>
        <v>-390598</v>
      </c>
      <c r="L38" s="14">
        <f>L13+L36</f>
        <v>18743780</v>
      </c>
      <c r="M38" s="37">
        <f>SUM(M10:M34)</f>
        <v>18743780</v>
      </c>
    </row>
  </sheetData>
  <mergeCells count="3">
    <mergeCell ref="D1:I1"/>
    <mergeCell ref="D2:I2"/>
    <mergeCell ref="D3:I3"/>
  </mergeCells>
  <pageMargins left="0.7" right="0.7" top="0.75" bottom="0.75" header="0.3" footer="0.3"/>
  <extLst>
    <ext xmlns:mx="http://schemas.microsoft.com/office/mac/excel/2008/main" uri="{64002731-A6B0-56B0-2670-7721B7C09600}">
      <mx:PLV Mode="0" OnePage="0" WScale="0"/>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P40"/>
  <sheetViews>
    <sheetView topLeftCell="A7" zoomScale="75" zoomScaleNormal="75" zoomScalePageLayoutView="75" workbookViewId="0">
      <selection activeCell="J22" sqref="J22"/>
    </sheetView>
  </sheetViews>
  <sheetFormatPr defaultColWidth="8.85546875" defaultRowHeight="15"/>
  <cols>
    <col min="9" max="9" width="17" customWidth="1"/>
    <col min="10" max="11" width="17.28515625" customWidth="1"/>
    <col min="12" max="12" width="16" customWidth="1"/>
    <col min="13" max="13" width="16.140625" customWidth="1"/>
    <col min="14" max="14" width="27.42578125" customWidth="1"/>
    <col min="15" max="15" width="29.28515625" customWidth="1"/>
    <col min="16" max="16" width="23.28515625" customWidth="1"/>
  </cols>
  <sheetData>
    <row r="1" spans="1:16" ht="18.75">
      <c r="A1" s="2"/>
      <c r="B1" s="2"/>
      <c r="C1" s="2"/>
      <c r="D1" s="136" t="s">
        <v>189</v>
      </c>
      <c r="E1" s="136"/>
      <c r="F1" s="136"/>
      <c r="G1" s="136"/>
      <c r="H1" s="136"/>
      <c r="I1" s="136"/>
      <c r="J1" s="3"/>
      <c r="K1" s="3"/>
      <c r="L1" s="3"/>
      <c r="M1" s="2"/>
    </row>
    <row r="2" spans="1:16" ht="18.75">
      <c r="A2" s="2"/>
      <c r="B2" s="2"/>
      <c r="C2" s="2"/>
      <c r="D2" s="136" t="s">
        <v>1</v>
      </c>
      <c r="E2" s="136"/>
      <c r="F2" s="136"/>
      <c r="G2" s="136"/>
      <c r="H2" s="136"/>
      <c r="I2" s="136"/>
      <c r="J2" s="3"/>
      <c r="K2" s="3"/>
      <c r="L2" s="3"/>
      <c r="M2" s="2"/>
    </row>
    <row r="3" spans="1:16" ht="18.75">
      <c r="A3" s="2"/>
      <c r="B3" s="2"/>
      <c r="C3" s="2"/>
      <c r="D3" s="136" t="s">
        <v>2</v>
      </c>
      <c r="E3" s="136"/>
      <c r="F3" s="136"/>
      <c r="G3" s="136"/>
      <c r="H3" s="136"/>
      <c r="I3" s="136"/>
      <c r="J3" s="3"/>
      <c r="K3" s="3"/>
      <c r="L3" s="3"/>
      <c r="M3" s="2"/>
    </row>
    <row r="4" spans="1:16" ht="18.75">
      <c r="A4" s="2"/>
      <c r="B4" s="2"/>
      <c r="C4" s="2"/>
      <c r="D4" s="69"/>
      <c r="E4" s="69"/>
      <c r="F4" s="69"/>
      <c r="G4" s="69"/>
      <c r="H4" s="69"/>
      <c r="I4" s="4"/>
      <c r="J4" s="3"/>
      <c r="K4" s="3"/>
      <c r="L4" s="3"/>
      <c r="M4" s="2"/>
    </row>
    <row r="5" spans="1:16" ht="37.5">
      <c r="A5" s="2"/>
      <c r="B5" s="2"/>
      <c r="C5" s="2"/>
      <c r="D5" s="2"/>
      <c r="E5" s="2"/>
      <c r="F5" s="2"/>
      <c r="G5" s="2"/>
      <c r="H5" s="2"/>
      <c r="I5" s="11" t="s">
        <v>3</v>
      </c>
      <c r="J5" s="11" t="s">
        <v>45</v>
      </c>
      <c r="K5" s="11" t="s">
        <v>46</v>
      </c>
      <c r="L5" s="11" t="s">
        <v>6</v>
      </c>
      <c r="M5" s="11" t="s">
        <v>7</v>
      </c>
    </row>
    <row r="6" spans="1:16" ht="18.75">
      <c r="A6" s="2"/>
      <c r="B6" s="2"/>
      <c r="C6" s="2"/>
      <c r="D6" s="2"/>
      <c r="E6" s="2"/>
      <c r="F6" s="2"/>
      <c r="G6" s="2"/>
      <c r="H6" s="2"/>
      <c r="I6" s="16"/>
      <c r="J6" s="16"/>
      <c r="K6" s="16"/>
      <c r="L6" s="16"/>
      <c r="M6" s="2"/>
    </row>
    <row r="7" spans="1:16" ht="18.75">
      <c r="A7" s="1" t="s">
        <v>49</v>
      </c>
      <c r="B7" s="1"/>
      <c r="C7" s="1"/>
      <c r="D7" s="1"/>
      <c r="E7" s="1"/>
      <c r="F7" s="1"/>
      <c r="G7" s="2"/>
      <c r="H7" s="2"/>
      <c r="I7" s="3"/>
      <c r="J7" s="3"/>
      <c r="K7" s="3"/>
      <c r="L7" s="3"/>
      <c r="M7" s="2"/>
    </row>
    <row r="8" spans="1:16" ht="18.75">
      <c r="A8" s="1" t="s">
        <v>50</v>
      </c>
      <c r="B8" s="1"/>
      <c r="C8" s="1"/>
      <c r="D8" s="1"/>
      <c r="E8" s="1"/>
      <c r="F8" s="1"/>
      <c r="G8" s="2"/>
      <c r="H8" s="2"/>
      <c r="I8" s="3"/>
      <c r="J8" s="3"/>
      <c r="K8" s="3"/>
      <c r="L8" s="3"/>
      <c r="M8" s="2"/>
    </row>
    <row r="9" spans="1:16" ht="18.75">
      <c r="A9" s="1" t="s">
        <v>9</v>
      </c>
      <c r="B9" s="1"/>
      <c r="C9" s="1"/>
      <c r="D9" s="1"/>
      <c r="E9" s="1"/>
      <c r="F9" s="1"/>
      <c r="G9" s="2"/>
      <c r="H9" s="2"/>
      <c r="I9" s="3"/>
      <c r="J9" s="3"/>
      <c r="K9" s="3"/>
      <c r="L9" s="3"/>
      <c r="M9" s="2"/>
    </row>
    <row r="10" spans="1:16" ht="18.75">
      <c r="A10" s="2"/>
      <c r="B10" s="2" t="s">
        <v>11</v>
      </c>
      <c r="C10" s="2"/>
      <c r="D10" s="2"/>
      <c r="E10" s="2"/>
      <c r="F10" s="2"/>
      <c r="G10" s="2"/>
      <c r="H10" s="2"/>
      <c r="I10" s="3">
        <v>37900</v>
      </c>
      <c r="J10" s="3">
        <v>22510</v>
      </c>
      <c r="K10" s="3"/>
      <c r="L10" s="3">
        <f>SUM(I10:K10)</f>
        <v>60410</v>
      </c>
      <c r="M10" s="3">
        <f>SUM(L10)</f>
        <v>60410</v>
      </c>
    </row>
    <row r="11" spans="1:16" ht="18.75">
      <c r="A11" s="2"/>
      <c r="B11" s="2" t="s">
        <v>10</v>
      </c>
      <c r="C11" s="2"/>
      <c r="D11" s="2"/>
      <c r="E11" s="2"/>
      <c r="F11" s="2"/>
      <c r="G11" s="2"/>
      <c r="H11" s="2"/>
      <c r="I11" s="3">
        <v>203250</v>
      </c>
      <c r="J11" s="3"/>
      <c r="K11" s="3"/>
      <c r="L11" s="3">
        <f>SUM(I11:K11)</f>
        <v>203250</v>
      </c>
      <c r="M11" s="3">
        <f>SUM(L11)</f>
        <v>203250</v>
      </c>
      <c r="N11" s="34" t="s">
        <v>190</v>
      </c>
      <c r="O11" s="34"/>
      <c r="P11" s="34"/>
    </row>
    <row r="12" spans="1:16" ht="18.75">
      <c r="A12" s="2"/>
      <c r="B12" s="2"/>
      <c r="C12" s="1" t="s">
        <v>191</v>
      </c>
      <c r="D12" s="2"/>
      <c r="E12" s="2"/>
      <c r="F12" s="2"/>
      <c r="G12" s="2"/>
      <c r="H12" s="2"/>
      <c r="I12" s="13">
        <f>SUM(I10:I11)</f>
        <v>241150</v>
      </c>
      <c r="J12" s="13">
        <f t="shared" ref="J12:L12" si="0">SUM(J10:J11)</f>
        <v>22510</v>
      </c>
      <c r="K12" s="13">
        <f t="shared" si="0"/>
        <v>0</v>
      </c>
      <c r="L12" s="13">
        <f t="shared" si="0"/>
        <v>263660</v>
      </c>
      <c r="M12" s="3"/>
      <c r="N12" s="35">
        <f>SUM(L14:L17)</f>
        <v>9913888</v>
      </c>
      <c r="O12" s="34"/>
      <c r="P12" s="34"/>
    </row>
    <row r="13" spans="1:16" ht="18.75">
      <c r="A13" s="2" t="s">
        <v>192</v>
      </c>
      <c r="B13" s="2"/>
      <c r="C13" s="2"/>
      <c r="D13" s="2"/>
      <c r="E13" s="2"/>
      <c r="F13" s="2"/>
      <c r="G13" s="2"/>
      <c r="H13" s="2"/>
      <c r="I13" s="3"/>
      <c r="J13" s="3"/>
      <c r="K13" s="3"/>
      <c r="L13" s="3">
        <f t="shared" ref="L13:L18" si="1">SUM(I13:K13)</f>
        <v>0</v>
      </c>
      <c r="M13" s="3">
        <f t="shared" ref="M13" si="2">SUM(L13)</f>
        <v>0</v>
      </c>
      <c r="N13" s="34" t="s">
        <v>193</v>
      </c>
      <c r="O13" s="34" t="s">
        <v>194</v>
      </c>
      <c r="P13" s="34" t="s">
        <v>195</v>
      </c>
    </row>
    <row r="14" spans="1:16" ht="18.75">
      <c r="A14" s="2"/>
      <c r="B14" s="2" t="s">
        <v>14</v>
      </c>
      <c r="C14" s="2"/>
      <c r="D14" s="2"/>
      <c r="E14" s="2"/>
      <c r="F14" s="2"/>
      <c r="G14" s="2"/>
      <c r="H14" s="2"/>
      <c r="I14" s="3">
        <v>2641293</v>
      </c>
      <c r="J14" s="3"/>
      <c r="K14" s="3"/>
      <c r="L14" s="3">
        <f t="shared" si="1"/>
        <v>2641293</v>
      </c>
      <c r="M14" s="3"/>
      <c r="N14" s="34">
        <f>L14/N12</f>
        <v>0.26642352626941113</v>
      </c>
      <c r="O14" s="43">
        <f>L18*N14</f>
        <v>-1155349.6180201953</v>
      </c>
      <c r="P14" s="35">
        <f>L14+O14</f>
        <v>1485943.3819798047</v>
      </c>
    </row>
    <row r="15" spans="1:16" ht="18.75">
      <c r="A15" s="2"/>
      <c r="B15" s="2" t="s">
        <v>196</v>
      </c>
      <c r="C15" s="2"/>
      <c r="D15" s="2"/>
      <c r="E15" s="2"/>
      <c r="F15" s="2"/>
      <c r="G15" s="2"/>
      <c r="H15" s="2"/>
      <c r="I15" s="3">
        <v>2575446</v>
      </c>
      <c r="J15" s="3">
        <v>101080</v>
      </c>
      <c r="K15" s="3">
        <v>-66046</v>
      </c>
      <c r="L15" s="3">
        <f t="shared" si="1"/>
        <v>2610480</v>
      </c>
      <c r="M15" s="3"/>
      <c r="N15" s="34">
        <f>L15/N12</f>
        <v>0.26331546210729839</v>
      </c>
      <c r="O15" s="35">
        <f>L18*N15</f>
        <v>-1141871.4511602311</v>
      </c>
      <c r="P15" s="35">
        <f>L15+O15</f>
        <v>1468608.5488397689</v>
      </c>
    </row>
    <row r="16" spans="1:16" ht="18.75">
      <c r="A16" s="2"/>
      <c r="B16" s="2" t="s">
        <v>17</v>
      </c>
      <c r="C16" s="2"/>
      <c r="D16" s="2"/>
      <c r="E16" s="2"/>
      <c r="F16" s="2"/>
      <c r="G16" s="2"/>
      <c r="H16" s="2"/>
      <c r="I16" s="3">
        <v>4452468</v>
      </c>
      <c r="J16" s="3"/>
      <c r="K16" s="3"/>
      <c r="L16" s="3">
        <f t="shared" si="1"/>
        <v>4452468</v>
      </c>
      <c r="M16" s="3"/>
      <c r="N16" s="34">
        <f>L16/N12</f>
        <v>0.44911421230500082</v>
      </c>
      <c r="O16" s="35">
        <f>L18*N16</f>
        <v>-1947590.5183738207</v>
      </c>
      <c r="P16" s="35">
        <f>L16+O16</f>
        <v>2504877.4816261791</v>
      </c>
    </row>
    <row r="17" spans="1:16" ht="18.75">
      <c r="A17" s="2"/>
      <c r="B17" s="2" t="s">
        <v>197</v>
      </c>
      <c r="C17" s="2"/>
      <c r="D17" s="2"/>
      <c r="E17" s="2"/>
      <c r="F17" s="2"/>
      <c r="G17" s="2"/>
      <c r="H17" s="2"/>
      <c r="I17" s="3">
        <v>209647</v>
      </c>
      <c r="J17" s="3"/>
      <c r="K17" s="3"/>
      <c r="L17" s="3">
        <f t="shared" si="1"/>
        <v>209647</v>
      </c>
      <c r="M17" s="3"/>
      <c r="N17" s="34">
        <f>L17/N12</f>
        <v>2.1146799318289656E-2</v>
      </c>
      <c r="O17" s="35">
        <f>L18*N17</f>
        <v>-91703.412445752867</v>
      </c>
      <c r="P17" s="35">
        <f>L17+17</f>
        <v>209664</v>
      </c>
    </row>
    <row r="18" spans="1:16" ht="18.75">
      <c r="A18" s="2"/>
      <c r="B18" s="2" t="s">
        <v>60</v>
      </c>
      <c r="C18" s="2"/>
      <c r="D18" s="2"/>
      <c r="E18" s="2"/>
      <c r="F18" s="2"/>
      <c r="G18" s="2"/>
      <c r="H18" s="2"/>
      <c r="I18" s="3">
        <v>-4036526</v>
      </c>
      <c r="J18" s="3">
        <v>-366035</v>
      </c>
      <c r="K18" s="3">
        <v>66046</v>
      </c>
      <c r="L18" s="3">
        <f t="shared" si="1"/>
        <v>-4336515</v>
      </c>
      <c r="M18" s="3"/>
      <c r="N18" s="34">
        <f>SUM(N14:N17)</f>
        <v>1</v>
      </c>
      <c r="O18" s="55">
        <f>SUM(O14:O17)</f>
        <v>-4336515</v>
      </c>
      <c r="P18" s="55">
        <f>SUM(P14:P17)</f>
        <v>5669093.4124457529</v>
      </c>
    </row>
    <row r="19" spans="1:16" ht="18.75">
      <c r="A19" s="1"/>
      <c r="B19" s="1"/>
      <c r="C19" s="1" t="s">
        <v>191</v>
      </c>
      <c r="D19" s="1"/>
      <c r="E19" s="1"/>
      <c r="F19" s="1"/>
      <c r="G19" s="1"/>
      <c r="H19" s="1"/>
      <c r="I19" s="12">
        <f t="shared" ref="I19:K19" si="3">SUM(I13:I18)</f>
        <v>5842328</v>
      </c>
      <c r="J19" s="12">
        <f t="shared" si="3"/>
        <v>-264955</v>
      </c>
      <c r="K19" s="12">
        <f t="shared" si="3"/>
        <v>0</v>
      </c>
      <c r="L19" s="12">
        <f>SUM(L13:L18)</f>
        <v>5577373</v>
      </c>
      <c r="M19" s="3">
        <f>SUM(L19)</f>
        <v>5577373</v>
      </c>
      <c r="N19" s="34"/>
      <c r="O19" s="34"/>
      <c r="P19" s="34"/>
    </row>
    <row r="20" spans="1:16" ht="18.75">
      <c r="A20" s="2"/>
      <c r="B20" s="2"/>
      <c r="C20" s="2"/>
      <c r="D20" s="2"/>
      <c r="E20" s="2"/>
      <c r="F20" s="2"/>
      <c r="G20" s="2"/>
      <c r="H20" s="2"/>
      <c r="I20" s="3"/>
      <c r="J20" s="3"/>
      <c r="K20" s="3"/>
      <c r="L20" s="3"/>
      <c r="M20" s="2"/>
      <c r="N20" s="34"/>
      <c r="O20" s="34"/>
      <c r="P20" s="34"/>
    </row>
    <row r="21" spans="1:16" ht="18.75">
      <c r="A21" s="1"/>
      <c r="B21" s="1"/>
      <c r="C21" s="1"/>
      <c r="D21" s="1"/>
      <c r="E21" s="1"/>
      <c r="F21" s="1"/>
      <c r="G21" s="1"/>
      <c r="H21" s="1"/>
      <c r="I21" s="10"/>
      <c r="J21" s="10"/>
      <c r="K21" s="10"/>
      <c r="L21" s="10"/>
      <c r="M21" s="1"/>
      <c r="N21" s="34"/>
      <c r="O21" s="34"/>
      <c r="P21" s="34"/>
    </row>
    <row r="22" spans="1:16" ht="18.75">
      <c r="A22" s="2"/>
      <c r="B22" s="1" t="s">
        <v>22</v>
      </c>
      <c r="C22" s="2"/>
      <c r="D22" s="2"/>
      <c r="E22" s="2"/>
      <c r="F22" s="2"/>
      <c r="G22" s="2"/>
      <c r="H22" s="2"/>
      <c r="I22" s="14">
        <f>SUM(I19+I12)</f>
        <v>6083478</v>
      </c>
      <c r="J22" s="14">
        <f t="shared" ref="J22:K22" si="4">SUM(J19+J12)</f>
        <v>-242445</v>
      </c>
      <c r="K22" s="14">
        <f t="shared" si="4"/>
        <v>0</v>
      </c>
      <c r="L22" s="14">
        <f>SUM(P18+M10+M11)</f>
        <v>5932753.4124457529</v>
      </c>
      <c r="M22" s="67">
        <f>SUM(P18+M11+M10)</f>
        <v>5932753.4124457529</v>
      </c>
      <c r="N22" s="34"/>
      <c r="O22" s="34"/>
      <c r="P22" s="34"/>
    </row>
    <row r="23" spans="1:16" ht="18.75">
      <c r="A23" s="2"/>
      <c r="B23" s="1"/>
      <c r="C23" s="2"/>
      <c r="D23" s="2"/>
      <c r="E23" s="2"/>
      <c r="F23" s="2"/>
      <c r="G23" s="2"/>
      <c r="H23" s="2"/>
      <c r="I23" s="15"/>
      <c r="J23" s="15"/>
      <c r="K23" s="15"/>
      <c r="L23" s="15"/>
      <c r="M23" s="2"/>
      <c r="N23" s="34"/>
      <c r="O23" s="34"/>
      <c r="P23" s="34"/>
    </row>
    <row r="24" spans="1:16" ht="18.75">
      <c r="A24" s="2"/>
      <c r="B24" s="2"/>
      <c r="C24" s="2"/>
      <c r="D24" s="2"/>
      <c r="E24" s="2"/>
      <c r="F24" s="2"/>
      <c r="G24" s="2"/>
      <c r="H24" s="2"/>
      <c r="I24" s="3"/>
      <c r="J24" s="3"/>
      <c r="K24" s="3"/>
      <c r="L24" s="3"/>
      <c r="M24" s="2"/>
      <c r="N24" s="34"/>
      <c r="O24" s="34"/>
      <c r="P24" s="34"/>
    </row>
    <row r="25" spans="1:16" ht="37.5">
      <c r="A25" s="2"/>
      <c r="B25" s="2"/>
      <c r="C25" s="2"/>
      <c r="D25" s="2"/>
      <c r="E25" s="2"/>
      <c r="F25" s="2"/>
      <c r="G25" s="2"/>
      <c r="H25" s="2"/>
      <c r="I25" s="17" t="s">
        <v>3</v>
      </c>
      <c r="J25" s="17" t="s">
        <v>45</v>
      </c>
      <c r="K25" s="17" t="s">
        <v>46</v>
      </c>
      <c r="L25" s="17" t="s">
        <v>6</v>
      </c>
      <c r="M25" s="11" t="s">
        <v>7</v>
      </c>
      <c r="N25" s="34" t="s">
        <v>193</v>
      </c>
      <c r="O25" s="34"/>
      <c r="P25" s="34"/>
    </row>
    <row r="26" spans="1:16" ht="18.75">
      <c r="A26" s="2"/>
      <c r="B26" s="2"/>
      <c r="C26" s="2"/>
      <c r="D26" s="2"/>
      <c r="E26" s="2"/>
      <c r="F26" s="2"/>
      <c r="G26" s="2"/>
      <c r="H26" s="2"/>
      <c r="I26" s="5"/>
      <c r="J26" s="5"/>
      <c r="K26" s="5"/>
      <c r="L26" s="5"/>
      <c r="M26" s="2"/>
      <c r="N26" s="34" t="s">
        <v>190</v>
      </c>
      <c r="O26" s="34"/>
      <c r="P26" s="34"/>
    </row>
    <row r="27" spans="1:16" ht="18.75">
      <c r="A27" s="1" t="s">
        <v>79</v>
      </c>
      <c r="B27" s="1"/>
      <c r="C27" s="1"/>
      <c r="D27" s="1"/>
      <c r="E27" s="1"/>
      <c r="F27" s="1"/>
      <c r="G27" s="2"/>
      <c r="H27" s="2"/>
      <c r="I27" s="3"/>
      <c r="J27" s="3"/>
      <c r="K27" s="3"/>
      <c r="L27" s="3"/>
      <c r="M27" s="2"/>
      <c r="N27" s="35">
        <f>SUM(L29:L31)</f>
        <v>1512362</v>
      </c>
      <c r="O27" s="34"/>
      <c r="P27" s="34"/>
    </row>
    <row r="28" spans="1:16" ht="18.75">
      <c r="A28" s="1" t="s">
        <v>192</v>
      </c>
      <c r="B28" s="1"/>
      <c r="C28" s="1"/>
      <c r="D28" s="1"/>
      <c r="E28" s="1"/>
      <c r="F28" s="1"/>
      <c r="G28" s="2"/>
      <c r="H28" s="2"/>
      <c r="I28" s="3"/>
      <c r="J28" s="3"/>
      <c r="K28" s="3"/>
      <c r="L28" s="3"/>
      <c r="M28" s="2"/>
      <c r="N28" s="34" t="s">
        <v>193</v>
      </c>
      <c r="O28" s="34" t="s">
        <v>194</v>
      </c>
      <c r="P28" s="34" t="s">
        <v>195</v>
      </c>
    </row>
    <row r="29" spans="1:16" ht="18.75">
      <c r="A29" s="2"/>
      <c r="B29" s="2" t="s">
        <v>198</v>
      </c>
      <c r="C29" s="2"/>
      <c r="D29" s="2"/>
      <c r="E29" s="2"/>
      <c r="F29" s="2"/>
      <c r="G29" s="2"/>
      <c r="H29" s="2"/>
      <c r="I29" s="3">
        <v>1245902</v>
      </c>
      <c r="J29" s="3"/>
      <c r="K29" s="3">
        <v>0</v>
      </c>
      <c r="L29" s="3">
        <f>SUM(I29:K29)</f>
        <v>1245902</v>
      </c>
      <c r="M29" s="3"/>
      <c r="N29" s="34">
        <f>L29/N27</f>
        <v>0.82381202384085295</v>
      </c>
      <c r="O29" s="35">
        <f>L38*N29</f>
        <v>-958196.36022989207</v>
      </c>
      <c r="P29" s="35">
        <f>L29+O29</f>
        <v>287705.63977010793</v>
      </c>
    </row>
    <row r="30" spans="1:16" ht="18.75">
      <c r="A30" s="2"/>
      <c r="B30" s="2" t="s">
        <v>28</v>
      </c>
      <c r="C30" s="2"/>
      <c r="D30" s="2"/>
      <c r="E30" s="2"/>
      <c r="F30" s="2"/>
      <c r="G30" s="2"/>
      <c r="H30" s="2"/>
      <c r="I30" s="3">
        <v>7878</v>
      </c>
      <c r="J30" s="3"/>
      <c r="K30" s="3">
        <v>-625</v>
      </c>
      <c r="L30" s="3">
        <f>SUM(I30:K30)</f>
        <v>7253</v>
      </c>
      <c r="M30" s="3"/>
      <c r="N30" s="34">
        <f>L30/N27</f>
        <v>4.7958094688969966E-3</v>
      </c>
      <c r="O30" s="35">
        <f>L38*N30</f>
        <v>-5578.1258885108191</v>
      </c>
      <c r="P30" s="35">
        <f>L30+O30</f>
        <v>1674.8741114891809</v>
      </c>
    </row>
    <row r="31" spans="1:16" ht="18.75">
      <c r="A31" s="2"/>
      <c r="B31" s="2" t="s">
        <v>33</v>
      </c>
      <c r="C31" s="2"/>
      <c r="D31" s="2"/>
      <c r="E31" s="2"/>
      <c r="F31" s="2"/>
      <c r="G31" s="2"/>
      <c r="H31" s="2"/>
      <c r="I31" s="3">
        <v>233158</v>
      </c>
      <c r="J31" s="3">
        <v>27643</v>
      </c>
      <c r="K31" s="3">
        <v>-1594</v>
      </c>
      <c r="L31" s="3">
        <f t="shared" ref="L31" si="5">SUM(I31:K31)</f>
        <v>259207</v>
      </c>
      <c r="M31" s="3"/>
      <c r="N31" s="34">
        <f>L31/N27</f>
        <v>0.17139216669025009</v>
      </c>
      <c r="O31" s="35">
        <f>L38*N31</f>
        <v>-199350.51388159714</v>
      </c>
      <c r="P31" s="35">
        <f>L31+O31</f>
        <v>59856.486118402856</v>
      </c>
    </row>
    <row r="32" spans="1:16" ht="18.75">
      <c r="A32" s="1"/>
      <c r="B32" s="1"/>
      <c r="C32" s="1" t="s">
        <v>199</v>
      </c>
      <c r="D32" s="1"/>
      <c r="E32" s="1"/>
      <c r="F32" s="1"/>
      <c r="G32" s="1"/>
      <c r="H32" s="2"/>
      <c r="I32" s="12">
        <f>SUM(I29:I31)</f>
        <v>1486938</v>
      </c>
      <c r="J32" s="12">
        <f>SUM(J29:J31)</f>
        <v>27643</v>
      </c>
      <c r="K32" s="12">
        <f>SUM(K29:K31)</f>
        <v>-2219</v>
      </c>
      <c r="L32" s="12">
        <f>SUM(L29:L31)</f>
        <v>1512362</v>
      </c>
      <c r="M32" s="3">
        <f>SUM(L32)</f>
        <v>1512362</v>
      </c>
      <c r="N32" s="34">
        <f>SUM(N28:N31)</f>
        <v>1</v>
      </c>
      <c r="O32" s="55">
        <f>SUM(O28:O31)</f>
        <v>-1163125</v>
      </c>
      <c r="P32" s="55">
        <f>SUM(P28:P31)</f>
        <v>349236.99999999994</v>
      </c>
    </row>
    <row r="33" spans="1:13" ht="18.75">
      <c r="A33" s="2"/>
      <c r="B33" s="2"/>
      <c r="C33" s="1"/>
      <c r="D33" s="2"/>
      <c r="E33" s="2"/>
      <c r="F33" s="2"/>
      <c r="G33" s="2"/>
      <c r="H33" s="2"/>
      <c r="I33" s="15"/>
      <c r="J33" s="15"/>
      <c r="K33" s="15"/>
      <c r="L33" s="15"/>
      <c r="M33" s="2"/>
    </row>
    <row r="34" spans="1:13" ht="18.75">
      <c r="A34" s="1" t="s">
        <v>19</v>
      </c>
      <c r="B34" s="2"/>
      <c r="C34" s="1"/>
      <c r="D34" s="2"/>
      <c r="E34" s="2"/>
      <c r="F34" s="2"/>
      <c r="G34" s="2"/>
      <c r="H34" s="2"/>
      <c r="I34" s="15"/>
      <c r="J34" s="15"/>
      <c r="K34" s="15"/>
      <c r="L34" s="15"/>
      <c r="M34" s="2"/>
    </row>
    <row r="35" spans="1:13" ht="18.75">
      <c r="A35" s="2"/>
      <c r="B35" s="2" t="s">
        <v>198</v>
      </c>
      <c r="C35" s="1"/>
      <c r="D35" s="2"/>
      <c r="E35" s="2"/>
      <c r="F35" s="2"/>
      <c r="G35" s="2"/>
      <c r="H35" s="2"/>
      <c r="I35" s="15"/>
      <c r="J35" s="15"/>
      <c r="K35" s="15"/>
      <c r="L35" s="35">
        <f>L29+O29</f>
        <v>287705.63977010793</v>
      </c>
      <c r="M35" s="2"/>
    </row>
    <row r="36" spans="1:13" ht="18.75">
      <c r="A36" s="2"/>
      <c r="B36" s="2" t="s">
        <v>32</v>
      </c>
      <c r="C36" s="1"/>
      <c r="D36" s="2"/>
      <c r="E36" s="2"/>
      <c r="F36" s="2"/>
      <c r="G36" s="2"/>
      <c r="H36" s="2"/>
      <c r="I36" s="15"/>
      <c r="J36" s="15"/>
      <c r="K36" s="15"/>
      <c r="L36" s="35">
        <f t="shared" ref="L36:L37" si="6">L30+O30</f>
        <v>1674.8741114891809</v>
      </c>
      <c r="M36" s="2"/>
    </row>
    <row r="37" spans="1:13" ht="18.75">
      <c r="A37" s="2"/>
      <c r="B37" s="2" t="s">
        <v>33</v>
      </c>
      <c r="C37" s="1"/>
      <c r="D37" s="2"/>
      <c r="E37" s="2"/>
      <c r="F37" s="2"/>
      <c r="G37" s="2"/>
      <c r="H37" s="2"/>
      <c r="I37" s="15"/>
      <c r="J37" s="6"/>
      <c r="K37" s="6"/>
      <c r="L37" s="35">
        <f t="shared" si="6"/>
        <v>59856.486118402856</v>
      </c>
      <c r="M37" s="2"/>
    </row>
    <row r="38" spans="1:13" ht="18.75">
      <c r="A38" s="1"/>
      <c r="B38" s="1"/>
      <c r="C38" s="1" t="s">
        <v>20</v>
      </c>
      <c r="D38" s="1"/>
      <c r="E38" s="1"/>
      <c r="F38" s="1"/>
      <c r="G38" s="1"/>
      <c r="H38" s="2"/>
      <c r="I38" s="12">
        <v>-1129744</v>
      </c>
      <c r="L38" s="12">
        <v>-1163125</v>
      </c>
      <c r="M38" s="3"/>
    </row>
    <row r="39" spans="1:13" ht="18.75">
      <c r="A39" s="1"/>
      <c r="B39" s="1"/>
      <c r="C39" s="1" t="s">
        <v>21</v>
      </c>
      <c r="D39" s="1"/>
      <c r="E39" s="1"/>
      <c r="F39" s="1"/>
      <c r="G39" s="1"/>
      <c r="H39" s="2"/>
      <c r="I39" s="12">
        <f>SUM(I29:I31)</f>
        <v>1486938</v>
      </c>
      <c r="J39" s="12">
        <f>SUM(J37+J32)</f>
        <v>27643</v>
      </c>
      <c r="K39" s="12">
        <f>SUM(K37+K32)</f>
        <v>-2219</v>
      </c>
      <c r="L39" s="12">
        <f t="shared" ref="L39" si="7">SUM(L38+L32)</f>
        <v>349237</v>
      </c>
      <c r="M39" s="2"/>
    </row>
    <row r="40" spans="1:13" ht="18.75">
      <c r="A40" s="2"/>
      <c r="B40" s="1"/>
      <c r="C40" s="1" t="s">
        <v>43</v>
      </c>
      <c r="D40" s="2"/>
      <c r="E40" s="2"/>
      <c r="F40" s="2"/>
      <c r="G40" s="2"/>
      <c r="H40" s="2"/>
      <c r="I40" s="14">
        <f>SUM(I38+I32)</f>
        <v>357194</v>
      </c>
      <c r="J40" s="14">
        <f>SUM(J37+J32)</f>
        <v>27643</v>
      </c>
      <c r="K40" s="14">
        <f>SUM(K37+K32)</f>
        <v>-2219</v>
      </c>
      <c r="L40" s="14">
        <f t="shared" ref="L40" si="8">SUM(L38+L32)</f>
        <v>349237</v>
      </c>
      <c r="M40" s="3">
        <f>SUM(M32+O32)</f>
        <v>349237</v>
      </c>
    </row>
  </sheetData>
  <mergeCells count="3">
    <mergeCell ref="D1:I1"/>
    <mergeCell ref="D2:I2"/>
    <mergeCell ref="D3:I3"/>
  </mergeCells>
  <pageMargins left="0.7" right="0.7" top="0.75" bottom="0.75" header="0.3" footer="0.3"/>
  <pageSetup orientation="portrait"/>
  <extLst>
    <ext xmlns:mx="http://schemas.microsoft.com/office/mac/excel/2008/main" uri="{64002731-A6B0-56B0-2670-7721B7C09600}">
      <mx:PLV Mode="0" OnePage="0" WScale="0"/>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32"/>
  <sheetViews>
    <sheetView workbookViewId="0">
      <selection activeCell="M22" sqref="M22"/>
    </sheetView>
  </sheetViews>
  <sheetFormatPr defaultColWidth="8.85546875" defaultRowHeight="15"/>
  <cols>
    <col min="9" max="9" width="18.7109375" customWidth="1"/>
    <col min="10" max="10" width="15.28515625" customWidth="1"/>
    <col min="11" max="11" width="14.28515625" customWidth="1"/>
    <col min="12" max="12" width="18.7109375" customWidth="1"/>
    <col min="13" max="13" width="17.42578125" customWidth="1"/>
  </cols>
  <sheetData>
    <row r="1" spans="1:13" ht="18.75">
      <c r="A1" s="2"/>
      <c r="B1" s="2"/>
      <c r="C1" s="2"/>
      <c r="D1" s="136" t="s">
        <v>200</v>
      </c>
      <c r="E1" s="136"/>
      <c r="F1" s="136"/>
      <c r="G1" s="136"/>
      <c r="H1" s="136"/>
      <c r="I1" s="136"/>
      <c r="J1" s="3"/>
      <c r="K1" s="3"/>
      <c r="L1" s="3"/>
      <c r="M1" s="2"/>
    </row>
    <row r="2" spans="1:13" ht="18.75">
      <c r="A2" s="2"/>
      <c r="B2" s="2"/>
      <c r="C2" s="2"/>
      <c r="D2" s="136" t="s">
        <v>1</v>
      </c>
      <c r="E2" s="136"/>
      <c r="F2" s="136"/>
      <c r="G2" s="136"/>
      <c r="H2" s="136"/>
      <c r="I2" s="136"/>
      <c r="J2" s="3"/>
      <c r="K2" s="3"/>
      <c r="L2" s="3"/>
      <c r="M2" s="2"/>
    </row>
    <row r="3" spans="1:13" ht="18.75">
      <c r="A3" s="2"/>
      <c r="B3" s="2"/>
      <c r="C3" s="2"/>
      <c r="D3" s="136" t="s">
        <v>2</v>
      </c>
      <c r="E3" s="136"/>
      <c r="F3" s="136"/>
      <c r="G3" s="136"/>
      <c r="H3" s="136"/>
      <c r="I3" s="136"/>
      <c r="J3" s="3"/>
      <c r="K3" s="3"/>
      <c r="L3" s="3"/>
      <c r="M3" s="2"/>
    </row>
    <row r="4" spans="1:13" ht="18.75">
      <c r="A4" s="2"/>
      <c r="B4" s="2"/>
      <c r="C4" s="2"/>
      <c r="D4" s="69"/>
      <c r="E4" s="69"/>
      <c r="F4" s="69"/>
      <c r="G4" s="69"/>
      <c r="H4" s="69"/>
      <c r="I4" s="4"/>
      <c r="J4" s="3"/>
      <c r="K4" s="3"/>
      <c r="L4" s="3"/>
      <c r="M4" s="2"/>
    </row>
    <row r="5" spans="1:13" ht="37.5">
      <c r="A5" s="2"/>
      <c r="B5" s="2"/>
      <c r="C5" s="2"/>
      <c r="D5" s="2"/>
      <c r="E5" s="2"/>
      <c r="F5" s="2"/>
      <c r="G5" s="2"/>
      <c r="H5" s="2"/>
      <c r="I5" s="11" t="s">
        <v>3</v>
      </c>
      <c r="J5" s="11" t="s">
        <v>45</v>
      </c>
      <c r="K5" s="11" t="s">
        <v>46</v>
      </c>
      <c r="L5" s="11" t="s">
        <v>6</v>
      </c>
      <c r="M5" s="11" t="s">
        <v>7</v>
      </c>
    </row>
    <row r="6" spans="1:13" ht="18.75">
      <c r="A6" s="2"/>
      <c r="B6" s="2"/>
      <c r="C6" s="2"/>
      <c r="D6" s="2"/>
      <c r="E6" s="2"/>
      <c r="F6" s="2"/>
      <c r="G6" s="2"/>
      <c r="H6" s="2"/>
      <c r="I6" s="16"/>
      <c r="J6" s="16"/>
      <c r="K6" s="16"/>
      <c r="L6" s="16"/>
      <c r="M6" s="2"/>
    </row>
    <row r="7" spans="1:13" ht="18.75">
      <c r="A7" s="2"/>
      <c r="B7" s="1"/>
      <c r="C7" s="1"/>
      <c r="D7" s="1"/>
      <c r="E7" s="1"/>
      <c r="F7" s="1"/>
      <c r="G7" s="2"/>
      <c r="H7" s="2"/>
      <c r="I7" s="3"/>
      <c r="J7" s="3"/>
      <c r="K7" s="3"/>
      <c r="L7" s="3"/>
      <c r="M7" s="2"/>
    </row>
    <row r="8" spans="1:13" ht="18.75">
      <c r="A8" s="2"/>
      <c r="B8" s="1"/>
      <c r="C8" s="1"/>
      <c r="D8" s="1"/>
      <c r="E8" s="1"/>
      <c r="F8" s="1"/>
      <c r="G8" s="2"/>
      <c r="H8" s="2"/>
      <c r="I8" s="3"/>
      <c r="J8" s="3"/>
      <c r="K8" s="3"/>
      <c r="L8" s="3"/>
      <c r="M8" s="2"/>
    </row>
    <row r="9" spans="1:13" ht="18.75">
      <c r="A9" s="2"/>
      <c r="B9" s="1"/>
      <c r="C9" s="1"/>
      <c r="D9" s="1"/>
      <c r="E9" s="1"/>
      <c r="F9" s="1"/>
      <c r="G9" s="2"/>
      <c r="H9" s="2"/>
      <c r="I9" s="3"/>
      <c r="J9" s="3"/>
      <c r="K9" s="3"/>
      <c r="L9" s="3"/>
      <c r="M9" s="2"/>
    </row>
    <row r="10" spans="1:13" ht="18.75">
      <c r="A10" s="2"/>
      <c r="B10" s="2" t="s">
        <v>10</v>
      </c>
      <c r="C10" s="2"/>
      <c r="D10" s="2"/>
      <c r="E10" s="2"/>
      <c r="F10" s="2"/>
      <c r="G10" s="2"/>
      <c r="H10" s="2"/>
      <c r="I10" s="3">
        <v>2466687</v>
      </c>
      <c r="J10" s="3"/>
      <c r="K10" s="3"/>
      <c r="L10" s="3">
        <f>SUM(I10:K10)</f>
        <v>2466687</v>
      </c>
      <c r="M10" s="3">
        <f>SUM(L10)</f>
        <v>2466687</v>
      </c>
    </row>
    <row r="11" spans="1:13" ht="18.75">
      <c r="A11" s="2"/>
      <c r="B11" s="2" t="s">
        <v>11</v>
      </c>
      <c r="C11" s="2"/>
      <c r="D11" s="2"/>
      <c r="E11" s="2"/>
      <c r="F11" s="2"/>
      <c r="G11" s="2"/>
      <c r="H11" s="2"/>
      <c r="I11" s="3">
        <v>3089315</v>
      </c>
      <c r="J11" s="3">
        <v>2211603</v>
      </c>
      <c r="K11" s="3">
        <v>-260819</v>
      </c>
      <c r="L11" s="3">
        <f>SUM(I11:K11)</f>
        <v>5040099</v>
      </c>
      <c r="M11" s="3">
        <f>SUM(L11)</f>
        <v>5040099</v>
      </c>
    </row>
    <row r="12" spans="1:13" ht="18.75">
      <c r="A12" s="2"/>
      <c r="B12" s="1"/>
      <c r="C12" s="1" t="s">
        <v>68</v>
      </c>
      <c r="D12" s="1"/>
      <c r="E12" s="1"/>
      <c r="F12" s="1"/>
      <c r="G12" s="1"/>
      <c r="H12" s="1"/>
      <c r="I12" s="12">
        <f>SUM(I10:I11)</f>
        <v>5556002</v>
      </c>
      <c r="J12" s="12">
        <f>SUM(J10:J11)</f>
        <v>2211603</v>
      </c>
      <c r="K12" s="12">
        <f>SUM(K10:K11)</f>
        <v>-260819</v>
      </c>
      <c r="L12" s="12">
        <f>SUM(L10:L11)</f>
        <v>7506786</v>
      </c>
      <c r="M12" s="1"/>
    </row>
    <row r="13" spans="1:13" ht="18.75">
      <c r="A13" s="2"/>
      <c r="B13" s="2"/>
      <c r="C13" s="2"/>
      <c r="D13" s="2"/>
      <c r="E13" s="2"/>
      <c r="F13" s="2"/>
      <c r="G13" s="2"/>
      <c r="H13" s="2"/>
      <c r="I13" s="3"/>
      <c r="J13" s="3"/>
      <c r="K13" s="3"/>
      <c r="L13" s="3"/>
      <c r="M13" s="2"/>
    </row>
    <row r="14" spans="1:13" ht="18.75">
      <c r="A14" s="2"/>
      <c r="B14" s="2"/>
      <c r="C14" s="2"/>
      <c r="D14" s="2"/>
      <c r="E14" s="2"/>
      <c r="F14" s="2"/>
      <c r="G14" s="2"/>
      <c r="H14" s="2"/>
      <c r="I14" s="3"/>
      <c r="J14" s="3"/>
      <c r="K14" s="3"/>
      <c r="L14" s="3"/>
      <c r="M14" s="2"/>
    </row>
    <row r="15" spans="1:13" ht="18.75">
      <c r="A15" s="2"/>
      <c r="B15" s="2" t="s">
        <v>201</v>
      </c>
      <c r="C15" s="2"/>
      <c r="D15" s="2"/>
      <c r="E15" s="2"/>
      <c r="F15" s="2"/>
      <c r="G15" s="2"/>
      <c r="H15" s="2"/>
      <c r="I15" s="3">
        <v>10470</v>
      </c>
      <c r="J15" s="3"/>
      <c r="K15" s="3"/>
      <c r="L15" s="3">
        <f>SUM(I15:K15)</f>
        <v>10470</v>
      </c>
      <c r="M15" s="2"/>
    </row>
    <row r="16" spans="1:13" ht="18.75">
      <c r="A16" s="2"/>
      <c r="B16" s="2" t="s">
        <v>14</v>
      </c>
      <c r="C16" s="2"/>
      <c r="D16" s="2"/>
      <c r="E16" s="2"/>
      <c r="F16" s="2"/>
      <c r="G16" s="2"/>
      <c r="H16" s="2"/>
      <c r="I16" s="3">
        <v>31908823</v>
      </c>
      <c r="J16" s="3"/>
      <c r="K16" s="3"/>
      <c r="L16" s="3">
        <f>SUM(I16:K16)</f>
        <v>31908823</v>
      </c>
      <c r="M16" s="2"/>
    </row>
    <row r="17" spans="1:13" ht="18.75">
      <c r="A17" s="2"/>
      <c r="B17" s="2" t="s">
        <v>69</v>
      </c>
      <c r="C17" s="2"/>
      <c r="D17" s="2"/>
      <c r="E17" s="2"/>
      <c r="F17" s="2"/>
      <c r="G17" s="2"/>
      <c r="H17" s="2"/>
      <c r="I17" s="3">
        <v>10092962</v>
      </c>
      <c r="J17" s="3">
        <v>691288</v>
      </c>
      <c r="K17" s="3">
        <v>-108622</v>
      </c>
      <c r="L17" s="3">
        <f>SUM(I17:K17)</f>
        <v>10675628</v>
      </c>
      <c r="M17" s="2"/>
    </row>
    <row r="18" spans="1:13" ht="18.75">
      <c r="A18" s="2"/>
      <c r="B18" s="2" t="s">
        <v>17</v>
      </c>
      <c r="C18" s="2"/>
      <c r="D18" s="2"/>
      <c r="E18" s="2"/>
      <c r="F18" s="2"/>
      <c r="G18" s="2"/>
      <c r="H18" s="2"/>
      <c r="I18" s="3">
        <v>122899489</v>
      </c>
      <c r="J18" s="3"/>
      <c r="K18" s="3"/>
      <c r="L18" s="3">
        <f>SUM(I18:K18)</f>
        <v>122899489</v>
      </c>
      <c r="M18" s="2"/>
    </row>
    <row r="19" spans="1:13" ht="18.75">
      <c r="A19" s="2"/>
      <c r="B19" s="2"/>
      <c r="C19" s="1" t="s">
        <v>18</v>
      </c>
      <c r="D19" s="2"/>
      <c r="E19" s="2"/>
      <c r="F19" s="2"/>
      <c r="G19" s="2"/>
      <c r="H19" s="2"/>
      <c r="I19" s="13">
        <f>SUM(I12:I18)</f>
        <v>170467746</v>
      </c>
      <c r="J19" s="13">
        <f t="shared" ref="J19:L19" si="0">SUM(J12:J18)</f>
        <v>2902891</v>
      </c>
      <c r="K19" s="13">
        <f t="shared" si="0"/>
        <v>-369441</v>
      </c>
      <c r="L19" s="13">
        <f t="shared" si="0"/>
        <v>173001196</v>
      </c>
      <c r="M19" s="2"/>
    </row>
    <row r="20" spans="1:13" ht="18.75">
      <c r="A20" s="2"/>
      <c r="B20" s="2"/>
      <c r="C20" s="1"/>
      <c r="D20" s="2"/>
      <c r="E20" s="2"/>
      <c r="F20" s="2"/>
      <c r="G20" s="2"/>
      <c r="H20" s="2"/>
      <c r="I20" s="15"/>
      <c r="J20" s="15"/>
      <c r="K20" s="15"/>
      <c r="L20" s="15"/>
      <c r="M20" s="2"/>
    </row>
    <row r="21" spans="1:13" ht="18.75">
      <c r="A21" s="2" t="s">
        <v>19</v>
      </c>
      <c r="B21" s="2"/>
      <c r="C21" s="2"/>
      <c r="D21" s="2"/>
      <c r="E21" s="2"/>
      <c r="F21" s="2"/>
      <c r="G21" s="2"/>
      <c r="H21" s="2"/>
      <c r="I21" s="3"/>
      <c r="J21" s="3"/>
      <c r="K21" s="3"/>
      <c r="L21" s="3"/>
      <c r="M21" s="2"/>
    </row>
    <row r="22" spans="1:13" ht="18.75">
      <c r="A22" s="2"/>
      <c r="B22" s="2" t="s">
        <v>201</v>
      </c>
      <c r="C22" s="2"/>
      <c r="D22" s="2"/>
      <c r="E22" s="2"/>
      <c r="F22" s="2"/>
      <c r="G22" s="2"/>
      <c r="H22" s="2"/>
      <c r="I22" s="3">
        <v>7374</v>
      </c>
      <c r="J22" s="3">
        <v>524</v>
      </c>
      <c r="K22" s="3"/>
      <c r="L22" s="3">
        <f>SUM(I22:K22)</f>
        <v>7898</v>
      </c>
      <c r="M22" s="3">
        <f>SUM(L15-L22)</f>
        <v>2572</v>
      </c>
    </row>
    <row r="23" spans="1:13" ht="18.75">
      <c r="A23" s="2"/>
      <c r="B23" s="2" t="s">
        <v>14</v>
      </c>
      <c r="C23" s="2"/>
      <c r="D23" s="2"/>
      <c r="E23" s="2"/>
      <c r="F23" s="2"/>
      <c r="G23" s="2"/>
      <c r="H23" s="2"/>
      <c r="I23" s="3">
        <v>17209476</v>
      </c>
      <c r="J23" s="3">
        <v>722890</v>
      </c>
      <c r="K23" s="3"/>
      <c r="L23" s="3">
        <f t="shared" ref="L23:L25" si="1">SUM(I23:K23)</f>
        <v>17932366</v>
      </c>
      <c r="M23" s="3">
        <f t="shared" ref="M23:M25" si="2">SUM(L16-L23)</f>
        <v>13976457</v>
      </c>
    </row>
    <row r="24" spans="1:13" ht="18.75">
      <c r="A24" s="2"/>
      <c r="B24" s="2" t="s">
        <v>69</v>
      </c>
      <c r="C24" s="2"/>
      <c r="D24" s="2"/>
      <c r="E24" s="2"/>
      <c r="F24" s="2"/>
      <c r="G24" s="2"/>
      <c r="H24" s="2"/>
      <c r="I24" s="3">
        <v>6575721</v>
      </c>
      <c r="J24" s="3">
        <v>707711</v>
      </c>
      <c r="K24" s="3">
        <v>-108622</v>
      </c>
      <c r="L24" s="3">
        <f t="shared" si="1"/>
        <v>7174810</v>
      </c>
      <c r="M24" s="3">
        <f t="shared" si="2"/>
        <v>3500818</v>
      </c>
    </row>
    <row r="25" spans="1:13" ht="18.75">
      <c r="A25" s="2"/>
      <c r="B25" s="2" t="s">
        <v>17</v>
      </c>
      <c r="C25" s="2"/>
      <c r="D25" s="2"/>
      <c r="E25" s="2"/>
      <c r="F25" s="2"/>
      <c r="G25" s="2"/>
      <c r="H25" s="2"/>
      <c r="I25" s="3">
        <v>50638189</v>
      </c>
      <c r="J25" s="3">
        <v>3027185</v>
      </c>
      <c r="K25" s="3"/>
      <c r="L25" s="3">
        <f t="shared" si="1"/>
        <v>53665374</v>
      </c>
      <c r="M25" s="3">
        <f t="shared" si="2"/>
        <v>69234115</v>
      </c>
    </row>
    <row r="26" spans="1:13" ht="18.75">
      <c r="A26" s="1"/>
      <c r="B26" s="1"/>
      <c r="C26" s="1" t="s">
        <v>20</v>
      </c>
      <c r="D26" s="1"/>
      <c r="E26" s="1"/>
      <c r="F26" s="1"/>
      <c r="G26" s="1"/>
      <c r="H26" s="1"/>
      <c r="I26" s="10">
        <f>SUM(I22:I25)</f>
        <v>74430760</v>
      </c>
      <c r="J26" s="10">
        <f>SUM(J22:J25)</f>
        <v>4458310</v>
      </c>
      <c r="K26" s="10">
        <f>SUM(K22:K25)</f>
        <v>-108622</v>
      </c>
      <c r="L26" s="10">
        <f>SUM(L22:L25)</f>
        <v>78780448</v>
      </c>
      <c r="M26" s="1"/>
    </row>
    <row r="27" spans="1:13" ht="18.75">
      <c r="A27" s="1"/>
      <c r="B27" s="1"/>
      <c r="C27" s="1"/>
      <c r="D27" s="1"/>
      <c r="E27" s="1"/>
      <c r="F27" s="1"/>
      <c r="G27" s="1"/>
      <c r="H27" s="1"/>
      <c r="I27" s="10"/>
      <c r="J27" s="10"/>
      <c r="K27" s="10"/>
      <c r="L27" s="10"/>
      <c r="M27" s="1"/>
    </row>
    <row r="28" spans="1:13" ht="18.75">
      <c r="A28" s="1"/>
      <c r="B28" s="1" t="s">
        <v>21</v>
      </c>
      <c r="C28" s="1"/>
      <c r="D28" s="1"/>
      <c r="E28" s="1"/>
      <c r="F28" s="1"/>
      <c r="G28" s="1"/>
      <c r="H28" s="1"/>
      <c r="I28" s="10">
        <f>SUM(I19-I26)</f>
        <v>96036986</v>
      </c>
      <c r="J28" s="10">
        <f>SUM(J19-J26)</f>
        <v>-1555419</v>
      </c>
      <c r="K28" s="10">
        <f>SUM(K19-K26)</f>
        <v>-260819</v>
      </c>
      <c r="L28" s="10">
        <f>SUM(L19-L26)</f>
        <v>94220748</v>
      </c>
      <c r="M28" s="15">
        <f>SUM(M10:M25)</f>
        <v>94220748</v>
      </c>
    </row>
    <row r="29" spans="1:13" ht="18.75">
      <c r="A29" s="1"/>
      <c r="B29" s="1"/>
      <c r="C29" s="1"/>
      <c r="D29" s="1"/>
      <c r="E29" s="1"/>
      <c r="F29" s="1"/>
      <c r="G29" s="1"/>
      <c r="H29" s="1"/>
      <c r="I29" s="31"/>
      <c r="J29" s="31"/>
      <c r="K29" s="31"/>
      <c r="L29" s="31"/>
      <c r="M29" s="1"/>
    </row>
    <row r="30" spans="1:13" ht="18.75">
      <c r="A30" s="2"/>
      <c r="B30" s="1"/>
      <c r="C30" s="2"/>
      <c r="D30" s="2"/>
      <c r="E30" s="2"/>
      <c r="F30" s="2"/>
      <c r="G30" s="2"/>
      <c r="H30" s="2"/>
      <c r="I30" s="15"/>
      <c r="J30" s="15"/>
      <c r="K30" s="15"/>
      <c r="L30" s="15"/>
      <c r="M30" s="2"/>
    </row>
    <row r="31" spans="1:13" ht="18.75">
      <c r="A31" s="2"/>
      <c r="B31" s="2"/>
      <c r="C31" s="2"/>
      <c r="D31" s="2"/>
      <c r="E31" s="2"/>
      <c r="F31" s="2"/>
      <c r="G31" s="2"/>
      <c r="H31" s="2"/>
      <c r="I31" s="3"/>
      <c r="J31" s="3"/>
      <c r="K31" s="3"/>
      <c r="L31" s="3"/>
      <c r="M31" s="2"/>
    </row>
    <row r="32" spans="1:13" ht="18.75">
      <c r="A32" s="2"/>
      <c r="B32" s="2"/>
      <c r="C32" s="2"/>
      <c r="D32" s="2"/>
      <c r="E32" s="2"/>
      <c r="F32" s="2"/>
      <c r="G32" s="2"/>
      <c r="H32" s="2"/>
      <c r="I32" s="3"/>
      <c r="J32" s="3"/>
      <c r="K32" s="3"/>
      <c r="L32" s="3"/>
      <c r="M32" s="2"/>
    </row>
  </sheetData>
  <mergeCells count="3">
    <mergeCell ref="D1:I1"/>
    <mergeCell ref="D2:I2"/>
    <mergeCell ref="D3:I3"/>
  </mergeCells>
  <pageMargins left="0.7" right="0.7" top="0.75" bottom="0.75" header="0.3" footer="0.3"/>
  <extLst>
    <ext xmlns:mx="http://schemas.microsoft.com/office/mac/excel/2008/main" uri="{64002731-A6B0-56B0-2670-7721B7C09600}">
      <mx:PLV Mode="0" OnePage="0" WScale="0"/>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K49"/>
  <sheetViews>
    <sheetView zoomScale="90" zoomScaleNormal="90" zoomScalePageLayoutView="90" workbookViewId="0">
      <selection activeCell="J51" sqref="J51"/>
    </sheetView>
  </sheetViews>
  <sheetFormatPr defaultColWidth="8.85546875" defaultRowHeight="15"/>
  <cols>
    <col min="4" max="4" width="20.140625" customWidth="1"/>
    <col min="5" max="5" width="13.42578125" customWidth="1"/>
    <col min="6" max="6" width="13.7109375" customWidth="1"/>
    <col min="7" max="7" width="17.42578125" customWidth="1"/>
    <col min="8" max="8" width="12.140625" customWidth="1"/>
    <col min="9" max="9" width="14.28515625" customWidth="1"/>
    <col min="10" max="10" width="13.7109375" customWidth="1"/>
    <col min="11" max="11" width="15.28515625" customWidth="1"/>
  </cols>
  <sheetData>
    <row r="1" spans="2:11" ht="47.25" customHeight="1">
      <c r="C1" s="63"/>
      <c r="D1" s="139" t="s">
        <v>202</v>
      </c>
      <c r="E1" s="139"/>
      <c r="F1" s="139"/>
      <c r="G1" s="139"/>
    </row>
    <row r="2" spans="2:11" ht="15.75" customHeight="1">
      <c r="C2" s="63"/>
      <c r="D2" s="139" t="s">
        <v>1</v>
      </c>
      <c r="E2" s="139"/>
      <c r="F2" s="139"/>
      <c r="G2" s="139"/>
    </row>
    <row r="3" spans="2:11" ht="31.5" customHeight="1">
      <c r="C3" s="63"/>
      <c r="D3" s="139" t="s">
        <v>2</v>
      </c>
      <c r="E3" s="139"/>
      <c r="F3" s="139"/>
      <c r="G3" s="139"/>
    </row>
    <row r="5" spans="2:11">
      <c r="B5" s="39" t="s">
        <v>203</v>
      </c>
    </row>
    <row r="6" spans="2:11" ht="33" customHeight="1">
      <c r="D6" s="60"/>
      <c r="E6" s="61" t="s">
        <v>10</v>
      </c>
      <c r="F6" s="61" t="s">
        <v>204</v>
      </c>
      <c r="G6" s="61" t="s">
        <v>205</v>
      </c>
      <c r="H6" s="61" t="s">
        <v>17</v>
      </c>
      <c r="I6" s="61" t="s">
        <v>206</v>
      </c>
      <c r="J6" s="61" t="s">
        <v>191</v>
      </c>
    </row>
    <row r="7" spans="2:11">
      <c r="C7" t="s">
        <v>207</v>
      </c>
      <c r="E7" s="58">
        <v>2975825</v>
      </c>
      <c r="F7" s="58">
        <v>6218861</v>
      </c>
      <c r="G7" s="58">
        <v>40201920</v>
      </c>
      <c r="H7" s="58">
        <v>81534271</v>
      </c>
      <c r="I7" s="58">
        <v>28854339</v>
      </c>
      <c r="J7" s="58">
        <f>SUM(E7:I7)</f>
        <v>159785216</v>
      </c>
      <c r="K7" s="58"/>
    </row>
    <row r="8" spans="2:11">
      <c r="D8" t="s">
        <v>45</v>
      </c>
      <c r="E8">
        <v>129555</v>
      </c>
      <c r="F8" s="58">
        <v>15990084</v>
      </c>
      <c r="G8" s="58">
        <v>264872</v>
      </c>
      <c r="H8" s="58">
        <v>2707633</v>
      </c>
      <c r="I8" s="58">
        <v>575079</v>
      </c>
      <c r="J8" s="58">
        <f t="shared" ref="J8:J9" si="0">SUM(E8:I8)</f>
        <v>19667223</v>
      </c>
      <c r="K8" s="58"/>
    </row>
    <row r="9" spans="2:11">
      <c r="D9" t="s">
        <v>46</v>
      </c>
      <c r="E9" t="s">
        <v>188</v>
      </c>
      <c r="F9" t="s">
        <v>188</v>
      </c>
      <c r="G9" t="s">
        <v>188</v>
      </c>
      <c r="H9" t="s">
        <v>188</v>
      </c>
      <c r="I9" s="58">
        <v>-696843</v>
      </c>
      <c r="J9" s="58">
        <f t="shared" si="0"/>
        <v>-696843</v>
      </c>
      <c r="K9" s="58"/>
    </row>
    <row r="10" spans="2:11">
      <c r="C10" t="s">
        <v>208</v>
      </c>
      <c r="E10" s="59">
        <f>SUM(E7:E9)</f>
        <v>3105380</v>
      </c>
      <c r="F10" s="59">
        <f t="shared" ref="F10:J10" si="1">SUM(F7:F9)</f>
        <v>22208945</v>
      </c>
      <c r="G10" s="59">
        <f t="shared" si="1"/>
        <v>40466792</v>
      </c>
      <c r="H10" s="59">
        <f t="shared" si="1"/>
        <v>84241904</v>
      </c>
      <c r="I10" s="59">
        <f t="shared" si="1"/>
        <v>28732575</v>
      </c>
      <c r="J10" s="59">
        <f t="shared" si="1"/>
        <v>178755596</v>
      </c>
      <c r="K10" s="58"/>
    </row>
    <row r="11" spans="2:11">
      <c r="J11" t="s">
        <v>209</v>
      </c>
    </row>
    <row r="12" spans="2:11">
      <c r="B12" s="39" t="s">
        <v>210</v>
      </c>
      <c r="J12" t="s">
        <v>209</v>
      </c>
    </row>
    <row r="13" spans="2:11">
      <c r="C13" t="s">
        <v>211</v>
      </c>
      <c r="G13" s="58"/>
      <c r="H13" s="58"/>
      <c r="I13" s="58"/>
      <c r="J13" s="58"/>
      <c r="K13" s="58"/>
    </row>
    <row r="14" spans="2:11">
      <c r="C14" t="s">
        <v>212</v>
      </c>
      <c r="E14">
        <v>0</v>
      </c>
      <c r="F14">
        <v>0</v>
      </c>
      <c r="G14" s="58">
        <v>8476893</v>
      </c>
      <c r="H14" s="58">
        <v>26291269</v>
      </c>
      <c r="I14" s="58">
        <v>24830661</v>
      </c>
      <c r="J14" s="58">
        <v>59598823</v>
      </c>
      <c r="K14" s="58"/>
    </row>
    <row r="15" spans="2:11">
      <c r="D15" t="s">
        <v>45</v>
      </c>
      <c r="E15">
        <v>0</v>
      </c>
      <c r="F15">
        <v>0</v>
      </c>
      <c r="G15" s="58">
        <v>994575</v>
      </c>
      <c r="H15" s="58">
        <v>2759266</v>
      </c>
      <c r="I15" s="58">
        <v>821932</v>
      </c>
      <c r="J15" s="58">
        <v>4575773</v>
      </c>
      <c r="K15" s="58"/>
    </row>
    <row r="16" spans="2:11">
      <c r="D16" t="s">
        <v>46</v>
      </c>
      <c r="E16" s="64">
        <v>0</v>
      </c>
      <c r="F16" s="64">
        <v>0</v>
      </c>
      <c r="G16" s="64" t="s">
        <v>188</v>
      </c>
      <c r="H16" s="64" t="s">
        <v>188</v>
      </c>
      <c r="I16" s="65">
        <v>-696843</v>
      </c>
      <c r="J16" s="65">
        <v>-696843</v>
      </c>
      <c r="K16" s="58"/>
    </row>
    <row r="17" spans="2:11">
      <c r="C17" t="s">
        <v>60</v>
      </c>
      <c r="F17" t="s">
        <v>188</v>
      </c>
      <c r="G17" s="58"/>
      <c r="H17" s="58"/>
      <c r="I17" s="58"/>
      <c r="J17" s="58"/>
    </row>
    <row r="18" spans="2:11">
      <c r="C18" t="s">
        <v>213</v>
      </c>
      <c r="E18" s="59">
        <f>SUM(E14:E16)</f>
        <v>0</v>
      </c>
      <c r="F18" s="59">
        <f t="shared" ref="F18:J18" si="2">SUM(F14:F16)</f>
        <v>0</v>
      </c>
      <c r="G18" s="59">
        <f t="shared" si="2"/>
        <v>9471468</v>
      </c>
      <c r="H18" s="59">
        <f t="shared" si="2"/>
        <v>29050535</v>
      </c>
      <c r="I18" s="59">
        <f t="shared" si="2"/>
        <v>24955750</v>
      </c>
      <c r="J18" s="59">
        <f t="shared" si="2"/>
        <v>63477753</v>
      </c>
      <c r="K18" s="58"/>
    </row>
    <row r="19" spans="2:11">
      <c r="B19" s="39"/>
      <c r="C19" s="39"/>
      <c r="D19" s="39"/>
      <c r="G19" s="58"/>
      <c r="H19" s="58"/>
      <c r="I19" s="58"/>
      <c r="J19" s="58"/>
    </row>
    <row r="20" spans="2:11">
      <c r="B20" s="39"/>
      <c r="C20" s="39"/>
      <c r="D20" s="39"/>
      <c r="J20" t="s">
        <v>209</v>
      </c>
    </row>
    <row r="21" spans="2:11">
      <c r="B21" s="39"/>
      <c r="C21" s="39" t="s">
        <v>214</v>
      </c>
      <c r="D21" s="39"/>
      <c r="E21" s="58"/>
      <c r="F21" s="58"/>
      <c r="G21" s="58"/>
      <c r="H21" s="58"/>
      <c r="I21" s="58"/>
      <c r="J21" s="58"/>
      <c r="K21" s="58"/>
    </row>
    <row r="22" spans="2:11">
      <c r="B22" s="39"/>
      <c r="C22" s="39" t="s">
        <v>215</v>
      </c>
      <c r="D22" s="39"/>
      <c r="E22" s="58"/>
      <c r="F22" s="58"/>
      <c r="G22" s="58"/>
      <c r="H22" s="58"/>
      <c r="I22" s="58"/>
      <c r="J22" s="58"/>
    </row>
    <row r="23" spans="2:11">
      <c r="B23" s="39"/>
      <c r="C23" s="39" t="s">
        <v>213</v>
      </c>
      <c r="D23" s="62"/>
      <c r="E23" s="66"/>
      <c r="F23" s="66"/>
      <c r="G23" s="66">
        <f t="shared" ref="G23:J23" si="3">SUM(G10- G18)</f>
        <v>30995324</v>
      </c>
      <c r="H23" s="66">
        <f t="shared" si="3"/>
        <v>55191369</v>
      </c>
      <c r="I23" s="66">
        <f t="shared" si="3"/>
        <v>3776825</v>
      </c>
      <c r="J23" s="66">
        <f t="shared" si="3"/>
        <v>115277843</v>
      </c>
    </row>
    <row r="25" spans="2:11" ht="15.75">
      <c r="C25" s="120" t="s">
        <v>7</v>
      </c>
      <c r="D25" s="120"/>
      <c r="E25" s="121">
        <f>E10</f>
        <v>3105380</v>
      </c>
      <c r="F25" s="121">
        <f>F10</f>
        <v>22208945</v>
      </c>
      <c r="G25" s="121">
        <f>SUM(G23)</f>
        <v>30995324</v>
      </c>
      <c r="H25" s="121">
        <f>SUM(H23)</f>
        <v>55191369</v>
      </c>
      <c r="I25" s="121">
        <f>SUM(I23)</f>
        <v>3776825</v>
      </c>
      <c r="J25" s="121">
        <f>SUM(J23)</f>
        <v>115277843</v>
      </c>
    </row>
    <row r="27" spans="2:11" ht="19.5" customHeight="1">
      <c r="B27" s="39" t="s">
        <v>216</v>
      </c>
    </row>
    <row r="28" spans="2:11" ht="31.5" customHeight="1">
      <c r="D28" s="61"/>
      <c r="E28" s="61" t="s">
        <v>10</v>
      </c>
      <c r="F28" s="61" t="s">
        <v>204</v>
      </c>
      <c r="G28" s="61" t="s">
        <v>205</v>
      </c>
      <c r="H28" s="61" t="s">
        <v>33</v>
      </c>
      <c r="I28" s="61" t="s">
        <v>191</v>
      </c>
    </row>
    <row r="29" spans="2:11">
      <c r="C29" t="s">
        <v>207</v>
      </c>
      <c r="E29" s="58">
        <v>193511</v>
      </c>
      <c r="F29" s="58">
        <v>156733</v>
      </c>
      <c r="G29" s="58">
        <v>19047618</v>
      </c>
      <c r="H29" s="58">
        <v>1070643</v>
      </c>
      <c r="I29" s="58">
        <f>SUM(E29:H29)</f>
        <v>20468505</v>
      </c>
    </row>
    <row r="30" spans="2:11">
      <c r="D30" t="s">
        <v>45</v>
      </c>
      <c r="E30" t="s">
        <v>188</v>
      </c>
      <c r="F30" s="58">
        <v>530326</v>
      </c>
      <c r="G30" s="58">
        <v>151083</v>
      </c>
      <c r="H30" s="58">
        <v>244150</v>
      </c>
      <c r="I30" s="58">
        <f>SUM(F30:H30)</f>
        <v>925559</v>
      </c>
    </row>
    <row r="31" spans="2:11">
      <c r="D31" t="s">
        <v>217</v>
      </c>
      <c r="E31" t="s">
        <v>188</v>
      </c>
      <c r="F31" t="s">
        <v>188</v>
      </c>
      <c r="G31" s="58"/>
      <c r="H31" s="58"/>
      <c r="I31" s="58"/>
      <c r="J31" s="58"/>
    </row>
    <row r="32" spans="2:11">
      <c r="D32" t="s">
        <v>46</v>
      </c>
      <c r="E32" t="s">
        <v>188</v>
      </c>
      <c r="F32" t="s">
        <v>188</v>
      </c>
      <c r="G32" t="s">
        <v>188</v>
      </c>
      <c r="H32" t="s">
        <v>188</v>
      </c>
      <c r="I32" s="58"/>
      <c r="J32" s="58"/>
    </row>
    <row r="33" spans="2:10">
      <c r="C33" t="s">
        <v>208</v>
      </c>
      <c r="E33" s="59">
        <f>SUM(E29:E32)</f>
        <v>193511</v>
      </c>
      <c r="F33" s="59">
        <f t="shared" ref="F33:G33" si="4">SUM(F29:F32)</f>
        <v>687059</v>
      </c>
      <c r="G33" s="59">
        <f t="shared" si="4"/>
        <v>19198701</v>
      </c>
      <c r="H33" s="59">
        <f>SUM(H29:H32)</f>
        <v>1314793</v>
      </c>
      <c r="I33" s="59">
        <f>SUM(I29:I32)</f>
        <v>21394064</v>
      </c>
      <c r="J33" s="58"/>
    </row>
    <row r="35" spans="2:10">
      <c r="B35" s="39" t="s">
        <v>210</v>
      </c>
    </row>
    <row r="36" spans="2:10">
      <c r="C36" t="s">
        <v>211</v>
      </c>
      <c r="G36" s="58"/>
      <c r="H36" s="58"/>
      <c r="I36" s="58"/>
      <c r="J36" s="58"/>
    </row>
    <row r="37" spans="2:10">
      <c r="C37" t="s">
        <v>218</v>
      </c>
      <c r="E37">
        <v>0</v>
      </c>
      <c r="F37">
        <v>0</v>
      </c>
      <c r="G37" s="58">
        <v>8976189</v>
      </c>
      <c r="H37" s="58">
        <v>916130</v>
      </c>
      <c r="I37" s="58">
        <f>SUM(E37:H37)</f>
        <v>9892319</v>
      </c>
    </row>
    <row r="38" spans="2:10">
      <c r="D38" t="s">
        <v>45</v>
      </c>
      <c r="E38" t="s">
        <v>188</v>
      </c>
      <c r="F38" t="s">
        <v>188</v>
      </c>
      <c r="G38" s="58">
        <v>514310</v>
      </c>
      <c r="H38" s="58">
        <v>61666</v>
      </c>
      <c r="I38" s="58">
        <f>SUM(E38:H38)</f>
        <v>575976</v>
      </c>
    </row>
    <row r="39" spans="2:10">
      <c r="D39" t="s">
        <v>217</v>
      </c>
      <c r="E39" t="s">
        <v>188</v>
      </c>
      <c r="F39" t="s">
        <v>188</v>
      </c>
      <c r="G39" t="s">
        <v>188</v>
      </c>
      <c r="I39" t="s">
        <v>188</v>
      </c>
    </row>
    <row r="40" spans="2:10">
      <c r="D40" t="s">
        <v>46</v>
      </c>
      <c r="E40" t="s">
        <v>188</v>
      </c>
      <c r="F40" t="s">
        <v>188</v>
      </c>
      <c r="G40" s="58">
        <v>0</v>
      </c>
      <c r="H40" s="58"/>
      <c r="I40" s="58">
        <v>0</v>
      </c>
    </row>
    <row r="41" spans="2:10">
      <c r="C41" t="s">
        <v>211</v>
      </c>
      <c r="G41" s="58"/>
      <c r="H41" s="58"/>
      <c r="I41" s="58"/>
    </row>
    <row r="42" spans="2:10">
      <c r="C42" t="s">
        <v>212</v>
      </c>
      <c r="E42" s="59">
        <f t="shared" ref="E42:F42" si="5">SUM(E37:E40)</f>
        <v>0</v>
      </c>
      <c r="F42" s="59">
        <f t="shared" si="5"/>
        <v>0</v>
      </c>
      <c r="G42" s="59">
        <f>SUM(G37:G40)</f>
        <v>9490499</v>
      </c>
      <c r="H42" s="59">
        <f>SUM(H37:H41)</f>
        <v>977796</v>
      </c>
      <c r="I42" s="59">
        <f>SUM(I37:I40)</f>
        <v>10468295</v>
      </c>
      <c r="J42" s="58"/>
    </row>
    <row r="44" spans="2:10">
      <c r="B44" s="39"/>
      <c r="C44" s="39" t="s">
        <v>219</v>
      </c>
      <c r="D44" s="39"/>
      <c r="E44" s="58"/>
      <c r="F44" s="58"/>
      <c r="G44" s="58"/>
      <c r="H44" s="58"/>
      <c r="I44" s="58"/>
      <c r="J44" s="58"/>
    </row>
    <row r="45" spans="2:10">
      <c r="B45" s="39"/>
      <c r="C45" s="39" t="s">
        <v>220</v>
      </c>
      <c r="D45" s="39"/>
      <c r="E45" s="58"/>
      <c r="F45" s="58"/>
      <c r="G45" s="58"/>
      <c r="H45" s="58"/>
      <c r="I45" s="58"/>
      <c r="J45" s="58"/>
    </row>
    <row r="46" spans="2:10">
      <c r="B46" s="39"/>
      <c r="C46" s="39" t="s">
        <v>212</v>
      </c>
      <c r="D46" s="39"/>
      <c r="E46" s="65">
        <f>SUM(E33-E42)</f>
        <v>193511</v>
      </c>
      <c r="F46" s="65">
        <f t="shared" ref="F46:H46" si="6">SUM(F33-F42)</f>
        <v>687059</v>
      </c>
      <c r="G46" s="65">
        <f t="shared" si="6"/>
        <v>9708202</v>
      </c>
      <c r="H46" s="65">
        <f t="shared" si="6"/>
        <v>336997</v>
      </c>
      <c r="I46" s="65">
        <f>SUM(I33-I42)</f>
        <v>10925769</v>
      </c>
      <c r="J46" s="58"/>
    </row>
    <row r="49" spans="3:10" ht="15.75">
      <c r="C49" s="120" t="s">
        <v>221</v>
      </c>
      <c r="D49" s="120"/>
      <c r="E49" s="121">
        <f>SUM(E46)</f>
        <v>193511</v>
      </c>
      <c r="F49" s="121">
        <f t="shared" ref="F49:I49" si="7">SUM(F46)</f>
        <v>687059</v>
      </c>
      <c r="G49" s="121">
        <f t="shared" si="7"/>
        <v>9708202</v>
      </c>
      <c r="H49" s="121">
        <f>SUM(H46)</f>
        <v>336997</v>
      </c>
      <c r="I49" s="121">
        <f t="shared" si="7"/>
        <v>10925769</v>
      </c>
      <c r="J49" s="121"/>
    </row>
  </sheetData>
  <mergeCells count="3">
    <mergeCell ref="D1:G1"/>
    <mergeCell ref="D2:G2"/>
    <mergeCell ref="D3:G3"/>
  </mergeCells>
  <pageMargins left="0.7" right="0.7" top="0.75" bottom="0.75" header="0.3" footer="0.3"/>
  <pageSetup orientation="portrait"/>
  <extLst>
    <ext xmlns:mx="http://schemas.microsoft.com/office/mac/excel/2008/main" uri="{64002731-A6B0-56B0-2670-7721B7C09600}">
      <mx:PLV Mode="0" OnePage="0" WScale="0"/>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M29"/>
  <sheetViews>
    <sheetView workbookViewId="0">
      <selection activeCell="I12" sqref="I12"/>
    </sheetView>
  </sheetViews>
  <sheetFormatPr defaultColWidth="8.85546875" defaultRowHeight="15"/>
  <cols>
    <col min="9" max="9" width="17.7109375" customWidth="1"/>
    <col min="10" max="10" width="17.140625" customWidth="1"/>
    <col min="11" max="11" width="16.7109375" customWidth="1"/>
    <col min="12" max="12" width="17.42578125" customWidth="1"/>
    <col min="13" max="13" width="16.7109375" customWidth="1"/>
  </cols>
  <sheetData>
    <row r="1" spans="1:13" ht="18.75">
      <c r="A1" s="2"/>
      <c r="B1" s="2"/>
      <c r="C1" s="2"/>
      <c r="D1" s="136" t="s">
        <v>222</v>
      </c>
      <c r="E1" s="136"/>
      <c r="F1" s="136"/>
      <c r="G1" s="136"/>
      <c r="H1" s="136"/>
      <c r="I1" s="136"/>
      <c r="J1" s="3"/>
      <c r="K1" s="3"/>
      <c r="L1" s="2"/>
    </row>
    <row r="2" spans="1:13" ht="18.75">
      <c r="A2" s="2"/>
      <c r="B2" s="2"/>
      <c r="C2" s="2"/>
      <c r="D2" s="136" t="s">
        <v>1</v>
      </c>
      <c r="E2" s="136"/>
      <c r="F2" s="136"/>
      <c r="G2" s="136"/>
      <c r="H2" s="136"/>
      <c r="I2" s="136"/>
      <c r="J2" s="3"/>
      <c r="K2" s="3"/>
      <c r="L2" s="2"/>
    </row>
    <row r="3" spans="1:13" ht="18.75">
      <c r="A3" s="2"/>
      <c r="B3" s="2"/>
      <c r="C3" s="2"/>
      <c r="D3" s="136" t="s">
        <v>2</v>
      </c>
      <c r="E3" s="136"/>
      <c r="F3" s="136"/>
      <c r="G3" s="136"/>
      <c r="H3" s="136"/>
      <c r="I3" s="136"/>
      <c r="J3" s="3"/>
      <c r="K3" s="3"/>
      <c r="L3" s="2"/>
    </row>
    <row r="4" spans="1:13" ht="18.75">
      <c r="A4" s="2"/>
      <c r="B4" s="2"/>
      <c r="C4" s="2"/>
      <c r="D4" s="69"/>
      <c r="E4" s="69"/>
      <c r="F4" s="69"/>
      <c r="G4" s="69"/>
      <c r="H4" s="69"/>
      <c r="I4" s="4"/>
      <c r="J4" s="3"/>
      <c r="K4" s="3"/>
      <c r="L4" s="2"/>
    </row>
    <row r="5" spans="1:13" ht="37.5">
      <c r="A5" s="2"/>
      <c r="B5" s="2"/>
      <c r="C5" s="2"/>
      <c r="D5" s="2"/>
      <c r="E5" s="2"/>
      <c r="F5" s="2"/>
      <c r="G5" s="2"/>
      <c r="H5" s="2"/>
      <c r="I5" s="11" t="s">
        <v>3</v>
      </c>
      <c r="J5" s="11" t="s">
        <v>45</v>
      </c>
      <c r="K5" s="11" t="s">
        <v>46</v>
      </c>
      <c r="L5" s="11" t="s">
        <v>182</v>
      </c>
      <c r="M5" s="11" t="s">
        <v>7</v>
      </c>
    </row>
    <row r="6" spans="1:13" ht="18.75">
      <c r="A6" s="2"/>
      <c r="B6" s="2"/>
      <c r="C6" s="2"/>
      <c r="D6" s="2"/>
      <c r="E6" s="2"/>
      <c r="F6" s="2"/>
      <c r="G6" s="2"/>
      <c r="H6" s="2"/>
      <c r="I6" s="16"/>
      <c r="J6" s="16"/>
      <c r="K6" s="16"/>
      <c r="L6" s="2"/>
    </row>
    <row r="7" spans="1:13" ht="18.75">
      <c r="A7" s="1" t="s">
        <v>49</v>
      </c>
      <c r="B7" s="1"/>
      <c r="C7" s="1"/>
      <c r="D7" s="1"/>
      <c r="E7" s="1"/>
      <c r="F7" s="1"/>
      <c r="G7" s="2"/>
      <c r="H7" s="2"/>
      <c r="I7" s="3"/>
      <c r="J7" s="3"/>
      <c r="K7" s="3"/>
      <c r="L7" s="2"/>
    </row>
    <row r="8" spans="1:13" ht="18.75">
      <c r="A8" s="1" t="s">
        <v>50</v>
      </c>
      <c r="B8" s="1"/>
      <c r="C8" s="1"/>
      <c r="D8" s="1"/>
      <c r="E8" s="1"/>
      <c r="F8" s="1"/>
      <c r="G8" s="2"/>
      <c r="H8" s="2"/>
      <c r="I8" s="3"/>
      <c r="J8" s="3"/>
      <c r="K8" s="3"/>
      <c r="L8" s="2"/>
    </row>
    <row r="9" spans="1:13" ht="18.75">
      <c r="A9" s="1" t="s">
        <v>9</v>
      </c>
      <c r="B9" s="1"/>
      <c r="C9" s="1"/>
      <c r="D9" s="1"/>
      <c r="E9" s="1"/>
      <c r="F9" s="1"/>
      <c r="G9" s="2"/>
      <c r="H9" s="2"/>
      <c r="I9" s="3"/>
      <c r="J9" s="3"/>
      <c r="K9" s="3"/>
      <c r="L9" s="2"/>
      <c r="M9" s="34"/>
    </row>
    <row r="10" spans="1:13" ht="18.75">
      <c r="A10" s="2"/>
      <c r="B10" s="2" t="s">
        <v>10</v>
      </c>
      <c r="C10" s="2"/>
      <c r="D10" s="2"/>
      <c r="E10" s="2"/>
      <c r="F10" s="2"/>
      <c r="G10" s="2"/>
      <c r="H10" s="2"/>
      <c r="I10" s="3">
        <v>427562</v>
      </c>
      <c r="J10" s="3">
        <v>6350</v>
      </c>
      <c r="K10" s="3"/>
      <c r="L10" s="3">
        <f>SUM(I10:K10)</f>
        <v>433912</v>
      </c>
      <c r="M10" s="35">
        <f>L10</f>
        <v>433912</v>
      </c>
    </row>
    <row r="11" spans="1:13" ht="18.75">
      <c r="A11" s="2"/>
      <c r="B11" s="2" t="s">
        <v>183</v>
      </c>
      <c r="C11" s="2"/>
      <c r="D11" s="2"/>
      <c r="E11" s="2"/>
      <c r="F11" s="2"/>
      <c r="G11" s="2"/>
      <c r="H11" s="2"/>
      <c r="I11" s="3">
        <v>689578</v>
      </c>
      <c r="J11" s="3">
        <v>934357</v>
      </c>
      <c r="K11" s="3">
        <v>-1598026</v>
      </c>
      <c r="L11" s="3">
        <f t="shared" ref="L11" si="0">SUM(I11:K11)</f>
        <v>25909</v>
      </c>
      <c r="M11" s="35">
        <f t="shared" ref="M11" si="1">L11</f>
        <v>25909</v>
      </c>
    </row>
    <row r="12" spans="1:13" ht="18.75">
      <c r="A12" s="1"/>
      <c r="B12" s="1"/>
      <c r="C12" s="1" t="s">
        <v>88</v>
      </c>
      <c r="D12" s="1"/>
      <c r="E12" s="1"/>
      <c r="F12" s="1"/>
      <c r="G12" s="1"/>
      <c r="H12" s="1"/>
      <c r="I12" s="12">
        <f>SUM(I10:I11)</f>
        <v>1117140</v>
      </c>
      <c r="J12" s="12">
        <f>SUM(J10:J11)</f>
        <v>940707</v>
      </c>
      <c r="K12" s="12">
        <f>SUM(K10:K11)</f>
        <v>-1598026</v>
      </c>
      <c r="L12" s="12">
        <f>SUM(L10:L11)</f>
        <v>459821</v>
      </c>
      <c r="M12" s="41"/>
    </row>
    <row r="13" spans="1:13" ht="18.75">
      <c r="A13" s="2"/>
      <c r="B13" s="2"/>
      <c r="C13" s="2"/>
      <c r="D13" s="2"/>
      <c r="E13" s="2"/>
      <c r="F13" s="2"/>
      <c r="G13" s="2"/>
      <c r="H13" s="2"/>
      <c r="I13" s="3"/>
      <c r="J13" s="3"/>
      <c r="K13" s="3"/>
      <c r="L13" s="2"/>
      <c r="M13" s="34"/>
    </row>
    <row r="14" spans="1:13" ht="18.75">
      <c r="A14" s="1" t="s">
        <v>13</v>
      </c>
      <c r="B14" s="2"/>
      <c r="C14" s="2"/>
      <c r="D14" s="2"/>
      <c r="E14" s="2"/>
      <c r="F14" s="2"/>
      <c r="G14" s="2"/>
      <c r="H14" s="2"/>
      <c r="I14" s="3"/>
      <c r="J14" s="3"/>
      <c r="K14" s="3"/>
      <c r="L14" s="2"/>
      <c r="M14" s="34"/>
    </row>
    <row r="15" spans="1:13" ht="18.75">
      <c r="A15" s="2"/>
      <c r="B15" s="2" t="s">
        <v>14</v>
      </c>
      <c r="C15" s="2"/>
      <c r="D15" s="2"/>
      <c r="E15" s="2"/>
      <c r="F15" s="2"/>
      <c r="G15" s="2"/>
      <c r="H15" s="2"/>
      <c r="I15" s="3">
        <v>7482614</v>
      </c>
      <c r="J15" s="3">
        <v>1598026</v>
      </c>
      <c r="K15" s="3"/>
      <c r="L15" s="3">
        <f t="shared" ref="L15:L18" si="2">SUM(I15:K15)</f>
        <v>9080640</v>
      </c>
      <c r="M15" s="34"/>
    </row>
    <row r="16" spans="1:13" ht="18.75">
      <c r="A16" s="2"/>
      <c r="B16" s="2" t="s">
        <v>30</v>
      </c>
      <c r="C16" s="2"/>
      <c r="D16" s="2"/>
      <c r="E16" s="2"/>
      <c r="F16" s="2"/>
      <c r="G16" s="2"/>
      <c r="H16" s="2"/>
      <c r="I16" s="3">
        <v>2271290</v>
      </c>
      <c r="J16" s="3">
        <v>376664</v>
      </c>
      <c r="K16" s="3">
        <v>-37420</v>
      </c>
      <c r="L16" s="3">
        <f t="shared" si="2"/>
        <v>2610534</v>
      </c>
      <c r="M16" s="34"/>
    </row>
    <row r="17" spans="1:13" ht="18.75">
      <c r="A17" s="2"/>
      <c r="B17" s="2" t="s">
        <v>223</v>
      </c>
      <c r="C17" s="2"/>
      <c r="D17" s="2"/>
      <c r="E17" s="2"/>
      <c r="F17" s="2"/>
      <c r="G17" s="2"/>
      <c r="H17" s="2"/>
      <c r="I17" s="3">
        <v>4005476</v>
      </c>
      <c r="J17" s="3">
        <v>204759</v>
      </c>
      <c r="K17" s="3">
        <v>-343215</v>
      </c>
      <c r="L17" s="3">
        <f t="shared" si="2"/>
        <v>3867020</v>
      </c>
      <c r="M17" s="34"/>
    </row>
    <row r="18" spans="1:13" ht="18.75">
      <c r="A18" s="2"/>
      <c r="B18" s="2" t="s">
        <v>224</v>
      </c>
      <c r="C18" s="2"/>
      <c r="D18" s="2"/>
      <c r="E18" s="2"/>
      <c r="F18" s="2"/>
      <c r="G18" s="2"/>
      <c r="H18" s="2"/>
      <c r="I18" s="3">
        <v>17722469</v>
      </c>
      <c r="J18" s="3">
        <v>875163</v>
      </c>
      <c r="K18" s="3"/>
      <c r="L18" s="3">
        <f t="shared" si="2"/>
        <v>18597632</v>
      </c>
      <c r="M18" s="34"/>
    </row>
    <row r="19" spans="1:13" ht="18.75">
      <c r="A19" s="2"/>
      <c r="B19" s="2"/>
      <c r="C19" s="1" t="s">
        <v>18</v>
      </c>
      <c r="D19" s="2"/>
      <c r="E19" s="2"/>
      <c r="F19" s="2"/>
      <c r="G19" s="2"/>
      <c r="H19" s="2"/>
      <c r="I19" s="13">
        <f>SUM(I15:I18)</f>
        <v>31481849</v>
      </c>
      <c r="J19" s="13">
        <f>SUM(J15:J18)</f>
        <v>3054612</v>
      </c>
      <c r="K19" s="13">
        <f>SUM(K15:K18)</f>
        <v>-380635</v>
      </c>
      <c r="L19" s="13">
        <f>SUM(L15:L18)</f>
        <v>34155826</v>
      </c>
      <c r="M19" s="34"/>
    </row>
    <row r="20" spans="1:13" ht="18.75">
      <c r="A20" s="2"/>
      <c r="B20" s="2"/>
      <c r="C20" s="1"/>
      <c r="D20" s="2"/>
      <c r="E20" s="2"/>
      <c r="F20" s="2"/>
      <c r="G20" s="2"/>
      <c r="H20" s="2"/>
      <c r="I20" s="13"/>
      <c r="J20" s="13"/>
      <c r="K20" s="13"/>
      <c r="L20" s="13"/>
      <c r="M20" s="34"/>
    </row>
    <row r="21" spans="1:13" ht="18.75">
      <c r="A21" s="2" t="s">
        <v>19</v>
      </c>
      <c r="B21" s="2"/>
      <c r="C21" s="1"/>
      <c r="D21" s="2"/>
      <c r="E21" s="2"/>
      <c r="F21" s="2"/>
      <c r="G21" s="2"/>
      <c r="H21" s="2"/>
      <c r="I21" s="13"/>
      <c r="J21" s="13"/>
      <c r="K21" s="13"/>
      <c r="L21" s="13"/>
      <c r="M21" s="34"/>
    </row>
    <row r="22" spans="1:13" ht="18.75">
      <c r="A22" s="2"/>
      <c r="B22" s="2" t="s">
        <v>14</v>
      </c>
      <c r="C22" s="1"/>
      <c r="D22" s="2"/>
      <c r="E22" s="2"/>
      <c r="F22" s="2"/>
      <c r="G22" s="2"/>
      <c r="H22" s="2"/>
      <c r="I22" s="3">
        <v>2529070</v>
      </c>
      <c r="J22" s="3">
        <v>205726</v>
      </c>
      <c r="K22" s="3" t="s">
        <v>188</v>
      </c>
      <c r="L22" s="3">
        <f>SUM(I22:K22)</f>
        <v>2734796</v>
      </c>
      <c r="M22" s="51">
        <f>SUM(L15-L22)</f>
        <v>6345844</v>
      </c>
    </row>
    <row r="23" spans="1:13" ht="18.75">
      <c r="A23" s="2"/>
      <c r="B23" s="2" t="s">
        <v>30</v>
      </c>
      <c r="C23" s="1"/>
      <c r="D23" s="2"/>
      <c r="E23" s="2"/>
      <c r="F23" s="2"/>
      <c r="G23" s="2"/>
      <c r="H23" s="2"/>
      <c r="I23" s="3">
        <v>1659257</v>
      </c>
      <c r="J23" s="3">
        <v>144921</v>
      </c>
      <c r="K23" s="3">
        <v>-37420</v>
      </c>
      <c r="L23" s="3">
        <f t="shared" ref="L23:L25" si="3">SUM(I23:K23)</f>
        <v>1766758</v>
      </c>
      <c r="M23" s="51">
        <f t="shared" ref="M23:M25" si="4">SUM(L16-L23)</f>
        <v>843776</v>
      </c>
    </row>
    <row r="24" spans="1:13" ht="18.75">
      <c r="A24" s="2"/>
      <c r="B24" s="2" t="s">
        <v>223</v>
      </c>
      <c r="C24" s="1"/>
      <c r="D24" s="2"/>
      <c r="E24" s="2"/>
      <c r="F24" s="2"/>
      <c r="G24" s="2"/>
      <c r="H24" s="2"/>
      <c r="I24" s="3">
        <v>2005948</v>
      </c>
      <c r="J24" s="3">
        <v>469734</v>
      </c>
      <c r="K24" s="3">
        <v>-336920</v>
      </c>
      <c r="L24" s="3">
        <f t="shared" si="3"/>
        <v>2138762</v>
      </c>
      <c r="M24" s="51">
        <f t="shared" si="4"/>
        <v>1728258</v>
      </c>
    </row>
    <row r="25" spans="1:13" ht="18.75">
      <c r="A25" s="2"/>
      <c r="B25" s="2" t="s">
        <v>224</v>
      </c>
      <c r="C25" s="1"/>
      <c r="D25" s="2"/>
      <c r="E25" s="2"/>
      <c r="F25" s="2"/>
      <c r="G25" s="2"/>
      <c r="H25" s="2"/>
      <c r="I25" s="3">
        <v>10005086</v>
      </c>
      <c r="J25" s="3">
        <v>1518891</v>
      </c>
      <c r="K25" s="3" t="s">
        <v>188</v>
      </c>
      <c r="L25" s="3">
        <f t="shared" si="3"/>
        <v>11523977</v>
      </c>
      <c r="M25" s="51">
        <f t="shared" si="4"/>
        <v>7073655</v>
      </c>
    </row>
    <row r="26" spans="1:13" ht="18.75">
      <c r="A26" s="2"/>
      <c r="B26" s="2"/>
      <c r="C26" s="1" t="s">
        <v>20</v>
      </c>
      <c r="D26" s="2"/>
      <c r="E26" s="2"/>
      <c r="F26" s="2"/>
      <c r="G26" s="2"/>
      <c r="H26" s="2"/>
      <c r="I26" s="13">
        <f>SUM(I22:I25)</f>
        <v>16199361</v>
      </c>
      <c r="J26" s="13">
        <f>SUM(J22:J25)</f>
        <v>2339272</v>
      </c>
      <c r="K26" s="13">
        <f>SUM(K22:K25)</f>
        <v>-374340</v>
      </c>
      <c r="L26" s="13">
        <f>SUM(L22:L25)</f>
        <v>18164293</v>
      </c>
      <c r="M26" s="34"/>
    </row>
    <row r="27" spans="1:13" ht="18.75">
      <c r="A27" s="1"/>
      <c r="B27" s="1" t="s">
        <v>21</v>
      </c>
      <c r="C27" s="1"/>
      <c r="D27" s="1"/>
      <c r="E27" s="1"/>
      <c r="F27" s="1"/>
      <c r="G27" s="1"/>
      <c r="H27" s="1"/>
      <c r="I27" s="10">
        <f>SUM(I19-I26)</f>
        <v>15282488</v>
      </c>
      <c r="J27" s="10">
        <f t="shared" ref="J27:L27" si="5">SUM(J19-J26)</f>
        <v>715340</v>
      </c>
      <c r="K27" s="10">
        <f t="shared" si="5"/>
        <v>-6295</v>
      </c>
      <c r="L27" s="10">
        <f t="shared" si="5"/>
        <v>15991533</v>
      </c>
      <c r="M27" s="34"/>
    </row>
    <row r="28" spans="1:13" ht="18.75">
      <c r="A28" s="1"/>
      <c r="B28" s="1"/>
      <c r="C28" s="1"/>
      <c r="D28" s="1"/>
      <c r="E28" s="1"/>
      <c r="F28" s="1"/>
      <c r="G28" s="1"/>
      <c r="H28" s="1"/>
      <c r="I28" s="31"/>
      <c r="J28" s="31"/>
      <c r="K28" s="31"/>
      <c r="L28" s="1"/>
    </row>
    <row r="29" spans="1:13" ht="18.75">
      <c r="A29" s="2"/>
      <c r="B29" s="1" t="s">
        <v>114</v>
      </c>
      <c r="C29" s="2"/>
      <c r="D29" s="2"/>
      <c r="E29" s="2"/>
      <c r="F29" s="2"/>
      <c r="G29" s="2"/>
      <c r="H29" s="2"/>
      <c r="I29" s="14">
        <f>I12+I27</f>
        <v>16399628</v>
      </c>
      <c r="J29" s="14">
        <f>J12+J27</f>
        <v>1656047</v>
      </c>
      <c r="K29" s="14">
        <f>K12+K27</f>
        <v>-1604321</v>
      </c>
      <c r="L29" s="14">
        <f>L12+L27</f>
        <v>16451354</v>
      </c>
      <c r="M29" s="37">
        <f>SUM(M10:M25)</f>
        <v>16451354</v>
      </c>
    </row>
  </sheetData>
  <mergeCells count="3">
    <mergeCell ref="D1:I1"/>
    <mergeCell ref="D2:I2"/>
    <mergeCell ref="D3:I3"/>
  </mergeCells>
  <pageMargins left="0.7" right="0.7" top="0.75" bottom="0.75" header="0.3" footer="0.3"/>
  <extLst>
    <ext xmlns:mx="http://schemas.microsoft.com/office/mac/excel/2008/main" uri="{64002731-A6B0-56B0-2670-7721B7C09600}">
      <mx:PLV Mode="0" OnePage="0" WScale="0"/>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N37"/>
  <sheetViews>
    <sheetView topLeftCell="A7" workbookViewId="0">
      <selection activeCell="I22" sqref="I22"/>
    </sheetView>
  </sheetViews>
  <sheetFormatPr defaultColWidth="8.85546875" defaultRowHeight="15"/>
  <cols>
    <col min="9" max="9" width="16.28515625" customWidth="1"/>
    <col min="10" max="10" width="15.42578125" customWidth="1"/>
    <col min="11" max="11" width="16.140625" customWidth="1"/>
    <col min="12" max="12" width="15.28515625" customWidth="1"/>
    <col min="13" max="13" width="15.42578125" customWidth="1"/>
    <col min="14" max="14" width="16.85546875" customWidth="1"/>
  </cols>
  <sheetData>
    <row r="1" spans="1:14" ht="18.75">
      <c r="A1" s="2"/>
      <c r="B1" s="2"/>
      <c r="C1" s="2"/>
      <c r="D1" s="136" t="s">
        <v>225</v>
      </c>
      <c r="E1" s="136"/>
      <c r="F1" s="136"/>
      <c r="G1" s="136"/>
      <c r="H1" s="136"/>
      <c r="I1" s="136"/>
      <c r="J1" s="3"/>
      <c r="K1" s="3"/>
      <c r="L1" s="3"/>
      <c r="M1" s="3"/>
      <c r="N1" s="2"/>
    </row>
    <row r="2" spans="1:14" ht="18.75">
      <c r="A2" s="2"/>
      <c r="B2" s="2"/>
      <c r="C2" s="2"/>
      <c r="D2" s="136" t="s">
        <v>1</v>
      </c>
      <c r="E2" s="136"/>
      <c r="F2" s="136"/>
      <c r="G2" s="136"/>
      <c r="H2" s="136"/>
      <c r="I2" s="136"/>
      <c r="J2" s="3"/>
      <c r="K2" s="3"/>
      <c r="L2" s="3"/>
      <c r="M2" s="3"/>
      <c r="N2" s="2"/>
    </row>
    <row r="3" spans="1:14" ht="18.75">
      <c r="A3" s="2"/>
      <c r="B3" s="2"/>
      <c r="C3" s="2"/>
      <c r="D3" s="136" t="s">
        <v>2</v>
      </c>
      <c r="E3" s="136"/>
      <c r="F3" s="136"/>
      <c r="G3" s="136"/>
      <c r="H3" s="136"/>
      <c r="I3" s="136"/>
      <c r="J3" s="3"/>
      <c r="K3" s="3"/>
      <c r="L3" s="3"/>
      <c r="M3" s="3"/>
      <c r="N3" s="2"/>
    </row>
    <row r="4" spans="1:14" ht="18.75">
      <c r="A4" s="2"/>
      <c r="B4" s="2"/>
      <c r="C4" s="2"/>
      <c r="D4" s="69"/>
      <c r="E4" s="69"/>
      <c r="F4" s="69"/>
      <c r="G4" s="69"/>
      <c r="H4" s="69"/>
      <c r="I4" s="4"/>
      <c r="J4" s="3"/>
      <c r="K4" s="3"/>
      <c r="L4" s="3"/>
      <c r="M4" s="3"/>
      <c r="N4" s="2"/>
    </row>
    <row r="5" spans="1:14" ht="49.5" customHeight="1">
      <c r="A5" s="2"/>
      <c r="B5" s="2"/>
      <c r="C5" s="2"/>
      <c r="D5" s="2"/>
      <c r="E5" s="2"/>
      <c r="F5" s="2"/>
      <c r="G5" s="2"/>
      <c r="H5" s="2"/>
      <c r="I5" s="11" t="s">
        <v>3</v>
      </c>
      <c r="J5" s="11" t="s">
        <v>45</v>
      </c>
      <c r="K5" s="11" t="s">
        <v>46</v>
      </c>
      <c r="L5" s="11" t="s">
        <v>67</v>
      </c>
      <c r="M5" s="11" t="s">
        <v>6</v>
      </c>
      <c r="N5" s="11" t="s">
        <v>7</v>
      </c>
    </row>
    <row r="6" spans="1:14" ht="18.75">
      <c r="A6" s="2"/>
      <c r="B6" s="2"/>
      <c r="C6" s="2"/>
      <c r="D6" s="2"/>
      <c r="E6" s="2"/>
      <c r="F6" s="2"/>
      <c r="G6" s="2"/>
      <c r="H6" s="2"/>
      <c r="I6" s="16"/>
      <c r="J6" s="16"/>
      <c r="K6" s="16"/>
      <c r="L6" s="16"/>
      <c r="M6" s="16"/>
      <c r="N6" s="2"/>
    </row>
    <row r="7" spans="1:14" ht="18.75">
      <c r="A7" s="1" t="s">
        <v>49</v>
      </c>
      <c r="B7" s="1"/>
      <c r="C7" s="1"/>
      <c r="D7" s="1"/>
      <c r="E7" s="1"/>
      <c r="F7" s="1"/>
      <c r="G7" s="2"/>
      <c r="H7" s="2"/>
      <c r="I7" s="3"/>
      <c r="J7" s="3"/>
      <c r="K7" s="3"/>
      <c r="L7" s="3"/>
      <c r="M7" s="3"/>
      <c r="N7" s="2"/>
    </row>
    <row r="8" spans="1:14" ht="18.75">
      <c r="A8" s="1" t="s">
        <v>50</v>
      </c>
      <c r="B8" s="1"/>
      <c r="C8" s="1"/>
      <c r="D8" s="1"/>
      <c r="E8" s="1"/>
      <c r="F8" s="1"/>
      <c r="G8" s="2"/>
      <c r="H8" s="2"/>
      <c r="I8" s="3"/>
      <c r="J8" s="3"/>
      <c r="K8" s="3"/>
      <c r="L8" s="3"/>
      <c r="M8" s="3"/>
      <c r="N8" s="2"/>
    </row>
    <row r="9" spans="1:14" ht="18.75">
      <c r="A9" s="1" t="s">
        <v>9</v>
      </c>
      <c r="B9" s="1"/>
      <c r="C9" s="1"/>
      <c r="D9" s="1"/>
      <c r="E9" s="1"/>
      <c r="F9" s="1"/>
      <c r="G9" s="2"/>
      <c r="H9" s="2"/>
      <c r="I9" s="3"/>
      <c r="J9" s="3"/>
      <c r="K9" s="3"/>
      <c r="L9" s="3"/>
      <c r="M9" s="3"/>
      <c r="N9" s="2"/>
    </row>
    <row r="10" spans="1:14" ht="18.75">
      <c r="A10" s="2"/>
      <c r="B10" s="2" t="s">
        <v>10</v>
      </c>
      <c r="C10" s="2"/>
      <c r="D10" s="2"/>
      <c r="E10" s="2"/>
      <c r="F10" s="2"/>
      <c r="G10" s="2"/>
      <c r="H10" s="2"/>
      <c r="I10" s="3">
        <v>525705</v>
      </c>
      <c r="J10" s="3">
        <v>321202</v>
      </c>
      <c r="K10" s="3"/>
      <c r="L10" s="3"/>
      <c r="M10" s="3">
        <f>SUM(I10:L10)</f>
        <v>846907</v>
      </c>
      <c r="N10" s="3">
        <f>SUM(M10)</f>
        <v>846907</v>
      </c>
    </row>
    <row r="11" spans="1:14" ht="18.75">
      <c r="A11" s="2"/>
      <c r="B11" s="2" t="s">
        <v>11</v>
      </c>
      <c r="C11" s="2"/>
      <c r="D11" s="2"/>
      <c r="E11" s="2"/>
      <c r="F11" s="2"/>
      <c r="G11" s="2"/>
      <c r="H11" s="2"/>
      <c r="I11" s="3">
        <v>88007</v>
      </c>
      <c r="J11" s="3">
        <v>698039</v>
      </c>
      <c r="K11" s="3">
        <v>-18802</v>
      </c>
      <c r="L11" s="3"/>
      <c r="M11" s="3">
        <f>SUM(I11:L11)</f>
        <v>767244</v>
      </c>
      <c r="N11" s="3">
        <f>SUM(M11)</f>
        <v>767244</v>
      </c>
    </row>
    <row r="12" spans="1:14" ht="18.75">
      <c r="A12" s="1"/>
      <c r="B12" s="1"/>
      <c r="C12" s="1" t="s">
        <v>68</v>
      </c>
      <c r="D12" s="1"/>
      <c r="E12" s="1"/>
      <c r="F12" s="1"/>
      <c r="G12" s="1"/>
      <c r="H12" s="1"/>
      <c r="I12" s="12">
        <f>SUM(I10:I11)</f>
        <v>613712</v>
      </c>
      <c r="J12" s="12">
        <f t="shared" ref="J12:M12" si="0">SUM(J10:J11)</f>
        <v>1019241</v>
      </c>
      <c r="K12" s="12">
        <f t="shared" si="0"/>
        <v>-18802</v>
      </c>
      <c r="L12" s="12">
        <f t="shared" si="0"/>
        <v>0</v>
      </c>
      <c r="M12" s="12">
        <f t="shared" si="0"/>
        <v>1614151</v>
      </c>
      <c r="N12" s="1"/>
    </row>
    <row r="13" spans="1:14" ht="18.75">
      <c r="A13" s="2"/>
      <c r="B13" s="2"/>
      <c r="C13" s="2"/>
      <c r="D13" s="2"/>
      <c r="E13" s="2"/>
      <c r="F13" s="2"/>
      <c r="G13" s="2"/>
      <c r="H13" s="2"/>
      <c r="I13" s="3"/>
      <c r="J13" s="3"/>
      <c r="K13" s="3"/>
      <c r="L13" s="3"/>
      <c r="M13" s="3"/>
      <c r="N13" s="2"/>
    </row>
    <row r="14" spans="1:14" ht="18.75">
      <c r="A14" s="1" t="s">
        <v>13</v>
      </c>
      <c r="B14" s="2"/>
      <c r="C14" s="2"/>
      <c r="D14" s="2"/>
      <c r="E14" s="2"/>
      <c r="F14" s="2"/>
      <c r="G14" s="2"/>
      <c r="H14" s="2"/>
      <c r="I14" s="3"/>
      <c r="J14" s="3"/>
      <c r="K14" s="3"/>
      <c r="L14" s="3"/>
      <c r="M14" s="3"/>
      <c r="N14" s="2"/>
    </row>
    <row r="15" spans="1:14" ht="18.75">
      <c r="A15" s="1"/>
      <c r="B15" s="2" t="s">
        <v>14</v>
      </c>
      <c r="C15" s="2"/>
      <c r="D15" s="2"/>
      <c r="E15" s="2"/>
      <c r="F15" s="2"/>
      <c r="G15" s="2"/>
      <c r="H15" s="2"/>
      <c r="I15" s="3">
        <v>12654039</v>
      </c>
      <c r="J15" s="3">
        <v>109075</v>
      </c>
      <c r="K15" s="3"/>
      <c r="L15" s="3"/>
      <c r="M15" s="3">
        <f>SUM(I15:L15)</f>
        <v>12763114</v>
      </c>
      <c r="N15" s="2"/>
    </row>
    <row r="16" spans="1:14" ht="18.75">
      <c r="A16" s="1"/>
      <c r="B16" s="2" t="s">
        <v>30</v>
      </c>
      <c r="C16" s="2"/>
      <c r="D16" s="2"/>
      <c r="E16" s="2"/>
      <c r="F16" s="2"/>
      <c r="G16" s="2"/>
      <c r="H16" s="2"/>
      <c r="I16" s="3">
        <v>5457874</v>
      </c>
      <c r="J16" s="3">
        <v>669304</v>
      </c>
      <c r="K16" s="3">
        <v>-149769</v>
      </c>
      <c r="L16" s="3"/>
      <c r="M16" s="3">
        <f>SUM(I16:L16)</f>
        <v>5977409</v>
      </c>
      <c r="N16" s="2"/>
    </row>
    <row r="17" spans="1:14" ht="18.75">
      <c r="A17" s="1"/>
      <c r="B17" s="2" t="s">
        <v>226</v>
      </c>
      <c r="C17" s="2"/>
      <c r="D17" s="2"/>
      <c r="E17" s="2"/>
      <c r="F17" s="2"/>
      <c r="G17" s="2"/>
      <c r="H17" s="2"/>
      <c r="I17" s="3">
        <v>2229143</v>
      </c>
      <c r="J17" s="3">
        <v>174097</v>
      </c>
      <c r="K17" s="3">
        <v>-116384</v>
      </c>
      <c r="L17" s="3"/>
      <c r="M17" s="3">
        <f>SUM(I17:L17)</f>
        <v>2286856</v>
      </c>
      <c r="N17" s="2"/>
    </row>
    <row r="18" spans="1:14" ht="18.75">
      <c r="A18" s="2"/>
      <c r="B18" s="2" t="s">
        <v>227</v>
      </c>
      <c r="C18" s="2"/>
      <c r="D18" s="2"/>
      <c r="E18" s="2"/>
      <c r="F18" s="2"/>
      <c r="G18" s="2"/>
      <c r="H18" s="2"/>
      <c r="I18" s="3">
        <v>1619277</v>
      </c>
      <c r="J18" s="3">
        <v>31966</v>
      </c>
      <c r="K18" s="3">
        <v>-9101</v>
      </c>
      <c r="L18" s="3"/>
      <c r="M18" s="3">
        <f>SUM(I18:L18)</f>
        <v>1642142</v>
      </c>
      <c r="N18" s="2"/>
    </row>
    <row r="19" spans="1:14" ht="18.75">
      <c r="A19" s="2"/>
      <c r="B19" s="2" t="s">
        <v>132</v>
      </c>
      <c r="C19" s="2"/>
      <c r="D19" s="2"/>
      <c r="E19" s="2"/>
      <c r="F19" s="2"/>
      <c r="G19" s="2"/>
      <c r="H19" s="2"/>
      <c r="I19" s="3">
        <v>338935</v>
      </c>
      <c r="J19" s="3">
        <v>15005</v>
      </c>
      <c r="K19" s="3">
        <v>-2425</v>
      </c>
      <c r="L19" s="3"/>
      <c r="M19" s="3">
        <f t="shared" ref="M19:M21" si="1">SUM(I19:L19)</f>
        <v>351515</v>
      </c>
      <c r="N19" s="2"/>
    </row>
    <row r="20" spans="1:14" ht="18.75">
      <c r="A20" s="2"/>
      <c r="B20" s="2" t="s">
        <v>228</v>
      </c>
      <c r="C20" s="2"/>
      <c r="D20" s="2"/>
      <c r="E20" s="2"/>
      <c r="F20" s="2"/>
      <c r="G20" s="2"/>
      <c r="H20" s="2"/>
      <c r="I20" s="3">
        <v>318782</v>
      </c>
      <c r="J20" s="3"/>
      <c r="K20" s="3"/>
      <c r="L20" s="3"/>
      <c r="M20" s="3">
        <f t="shared" si="1"/>
        <v>318782</v>
      </c>
      <c r="N20" s="2"/>
    </row>
    <row r="21" spans="1:14" ht="18.75">
      <c r="A21" s="2"/>
      <c r="B21" s="2" t="s">
        <v>17</v>
      </c>
      <c r="C21" s="2"/>
      <c r="D21" s="2"/>
      <c r="E21" s="2"/>
      <c r="F21" s="2"/>
      <c r="G21" s="2"/>
      <c r="H21" s="2"/>
      <c r="I21" s="3">
        <v>23902567</v>
      </c>
      <c r="J21" s="3">
        <v>311211</v>
      </c>
      <c r="K21" s="3"/>
      <c r="L21" s="3"/>
      <c r="M21" s="3">
        <f t="shared" si="1"/>
        <v>24213778</v>
      </c>
      <c r="N21" s="2"/>
    </row>
    <row r="22" spans="1:14" ht="18.75">
      <c r="A22" s="2"/>
      <c r="B22" s="2"/>
      <c r="C22" s="1" t="s">
        <v>18</v>
      </c>
      <c r="D22" s="2"/>
      <c r="E22" s="2"/>
      <c r="F22" s="2"/>
      <c r="G22" s="2"/>
      <c r="H22" s="2"/>
      <c r="I22" s="13">
        <f>SUM(I15:I21)</f>
        <v>46520617</v>
      </c>
      <c r="J22" s="13">
        <f t="shared" ref="J22:M22" si="2">SUM(J15:J21)</f>
        <v>1310658</v>
      </c>
      <c r="K22" s="13">
        <f t="shared" si="2"/>
        <v>-277679</v>
      </c>
      <c r="L22" s="13">
        <f t="shared" si="2"/>
        <v>0</v>
      </c>
      <c r="M22" s="13">
        <f t="shared" si="2"/>
        <v>47553596</v>
      </c>
      <c r="N22" s="2"/>
    </row>
    <row r="23" spans="1:14" ht="18.75">
      <c r="A23" s="2"/>
      <c r="B23" s="2"/>
      <c r="C23" s="1"/>
      <c r="D23" s="2"/>
      <c r="E23" s="2"/>
      <c r="F23" s="2"/>
      <c r="G23" s="2"/>
      <c r="H23" s="2"/>
      <c r="I23" s="15"/>
      <c r="J23" s="15"/>
      <c r="K23" s="15"/>
      <c r="L23" s="15"/>
      <c r="M23" s="15"/>
      <c r="N23" s="2"/>
    </row>
    <row r="24" spans="1:14" ht="18.75">
      <c r="A24" s="2" t="s">
        <v>19</v>
      </c>
      <c r="B24" s="2"/>
      <c r="C24" s="2"/>
      <c r="D24" s="2"/>
      <c r="E24" s="2"/>
      <c r="F24" s="2"/>
      <c r="G24" s="2"/>
      <c r="H24" s="2"/>
      <c r="I24" s="3"/>
      <c r="J24" s="3"/>
      <c r="K24" s="3"/>
      <c r="L24" s="3"/>
      <c r="M24" s="3"/>
      <c r="N24" s="2"/>
    </row>
    <row r="25" spans="1:14" ht="18.75">
      <c r="A25" s="2"/>
      <c r="B25" s="2" t="s">
        <v>14</v>
      </c>
      <c r="C25" s="2"/>
      <c r="D25" s="2"/>
      <c r="E25" s="2"/>
      <c r="F25" s="2"/>
      <c r="G25" s="2"/>
      <c r="H25" s="2"/>
      <c r="I25" s="3">
        <v>4025023</v>
      </c>
      <c r="J25" s="3">
        <v>407679</v>
      </c>
      <c r="K25" s="3"/>
      <c r="L25" s="3">
        <v>0</v>
      </c>
      <c r="M25" s="3">
        <f>SUM(I25:L25)</f>
        <v>4432702</v>
      </c>
      <c r="N25" s="3">
        <f>M15-M25</f>
        <v>8330412</v>
      </c>
    </row>
    <row r="26" spans="1:14" ht="18.75">
      <c r="A26" s="2"/>
      <c r="B26" s="2" t="s">
        <v>30</v>
      </c>
      <c r="C26" s="2"/>
      <c r="D26" s="2"/>
      <c r="E26" s="2"/>
      <c r="F26" s="2"/>
      <c r="G26" s="2"/>
      <c r="H26" s="2"/>
      <c r="I26" s="3">
        <v>2805389</v>
      </c>
      <c r="J26" s="3">
        <v>378796</v>
      </c>
      <c r="K26" s="3">
        <v>-149769</v>
      </c>
      <c r="L26" s="3">
        <v>0</v>
      </c>
      <c r="M26" s="3">
        <f>SUM(I26:L26)</f>
        <v>3034416</v>
      </c>
      <c r="N26" s="3">
        <f t="shared" ref="N26:N31" si="3">M16-M26</f>
        <v>2942993</v>
      </c>
    </row>
    <row r="27" spans="1:14" ht="18.75">
      <c r="A27" s="2"/>
      <c r="B27" s="2" t="s">
        <v>229</v>
      </c>
      <c r="C27" s="2"/>
      <c r="D27" s="2"/>
      <c r="E27" s="2"/>
      <c r="F27" s="2"/>
      <c r="G27" s="2"/>
      <c r="H27" s="2"/>
      <c r="I27" s="3">
        <v>1246089</v>
      </c>
      <c r="J27" s="3">
        <v>148275</v>
      </c>
      <c r="K27" s="3">
        <v>-76326</v>
      </c>
      <c r="L27" s="3"/>
      <c r="M27" s="3">
        <f>SUM(I27:L27)</f>
        <v>1318038</v>
      </c>
      <c r="N27" s="3">
        <f t="shared" si="3"/>
        <v>968818</v>
      </c>
    </row>
    <row r="28" spans="1:14" ht="18.75">
      <c r="A28" s="2"/>
      <c r="B28" s="2" t="s">
        <v>227</v>
      </c>
      <c r="C28" s="2"/>
      <c r="D28" s="2"/>
      <c r="E28" s="2"/>
      <c r="F28" s="2"/>
      <c r="G28" s="2"/>
      <c r="H28" s="2"/>
      <c r="I28" s="3">
        <v>1274212</v>
      </c>
      <c r="J28" s="3">
        <v>79503</v>
      </c>
      <c r="K28" s="3">
        <v>-9051</v>
      </c>
      <c r="L28" s="3"/>
      <c r="M28" s="3">
        <f>SUM(I28:L28)</f>
        <v>1344664</v>
      </c>
      <c r="N28" s="3">
        <f t="shared" si="3"/>
        <v>297478</v>
      </c>
    </row>
    <row r="29" spans="1:14" ht="18.75">
      <c r="A29" s="2"/>
      <c r="B29" s="2" t="s">
        <v>132</v>
      </c>
      <c r="C29" s="2"/>
      <c r="D29" s="2"/>
      <c r="E29" s="2"/>
      <c r="F29" s="2"/>
      <c r="G29" s="2"/>
      <c r="H29" s="2"/>
      <c r="I29" s="3">
        <v>268608</v>
      </c>
      <c r="J29" s="3">
        <v>27376</v>
      </c>
      <c r="K29" s="3">
        <v>-2425</v>
      </c>
      <c r="L29" s="3"/>
      <c r="M29" s="3">
        <f t="shared" ref="M29:M31" si="4">SUM(I29:L29)</f>
        <v>293559</v>
      </c>
      <c r="N29" s="3">
        <f t="shared" si="3"/>
        <v>57956</v>
      </c>
    </row>
    <row r="30" spans="1:14" ht="18.75">
      <c r="A30" s="2"/>
      <c r="B30" s="2" t="s">
        <v>228</v>
      </c>
      <c r="C30" s="2"/>
      <c r="D30" s="2"/>
      <c r="E30" s="2"/>
      <c r="F30" s="2"/>
      <c r="G30" s="2"/>
      <c r="H30" s="2"/>
      <c r="I30" s="3">
        <v>71628</v>
      </c>
      <c r="J30" s="3">
        <v>7970</v>
      </c>
      <c r="K30" s="3"/>
      <c r="L30" s="3"/>
      <c r="M30" s="3">
        <f t="shared" si="4"/>
        <v>79598</v>
      </c>
      <c r="N30" s="3">
        <f t="shared" si="3"/>
        <v>239184</v>
      </c>
    </row>
    <row r="31" spans="1:14" ht="18.75">
      <c r="A31" s="2"/>
      <c r="B31" s="2" t="s">
        <v>230</v>
      </c>
      <c r="C31" s="2"/>
      <c r="D31" s="2"/>
      <c r="E31" s="2"/>
      <c r="F31" s="2"/>
      <c r="G31" s="2"/>
      <c r="H31" s="2"/>
      <c r="I31" s="3">
        <v>3878466</v>
      </c>
      <c r="J31" s="3">
        <v>802770</v>
      </c>
      <c r="K31" s="3"/>
      <c r="L31" s="3"/>
      <c r="M31" s="3">
        <f t="shared" si="4"/>
        <v>4681236</v>
      </c>
      <c r="N31" s="3">
        <f t="shared" si="3"/>
        <v>19532542</v>
      </c>
    </row>
    <row r="32" spans="1:14" ht="18.75">
      <c r="A32" s="1"/>
      <c r="B32" s="1"/>
      <c r="C32" s="1" t="s">
        <v>20</v>
      </c>
      <c r="D32" s="1"/>
      <c r="E32" s="1"/>
      <c r="F32" s="1"/>
      <c r="G32" s="1"/>
      <c r="H32" s="1"/>
      <c r="I32" s="10">
        <f>SUM(I25:I31)</f>
        <v>13569415</v>
      </c>
      <c r="J32" s="10">
        <f t="shared" ref="J32:M32" si="5">SUM(J25:J31)</f>
        <v>1852369</v>
      </c>
      <c r="K32" s="10">
        <f t="shared" si="5"/>
        <v>-237571</v>
      </c>
      <c r="L32" s="10">
        <f t="shared" si="5"/>
        <v>0</v>
      </c>
      <c r="M32" s="10">
        <f t="shared" si="5"/>
        <v>15184213</v>
      </c>
      <c r="N32" s="1"/>
    </row>
    <row r="33" spans="1:14" ht="18.75">
      <c r="A33" s="1"/>
      <c r="B33" s="1"/>
      <c r="C33" s="1"/>
      <c r="D33" s="1"/>
      <c r="E33" s="1"/>
      <c r="F33" s="1"/>
      <c r="G33" s="1"/>
      <c r="H33" s="1"/>
      <c r="I33" s="10"/>
      <c r="J33" s="10"/>
      <c r="K33" s="10"/>
      <c r="L33" s="10"/>
      <c r="M33" s="10"/>
      <c r="N33" s="1"/>
    </row>
    <row r="34" spans="1:14" ht="18.75">
      <c r="A34" s="1"/>
      <c r="B34" s="1" t="s">
        <v>21</v>
      </c>
      <c r="C34" s="1"/>
      <c r="D34" s="1"/>
      <c r="E34" s="1"/>
      <c r="F34" s="1"/>
      <c r="G34" s="1"/>
      <c r="H34" s="1"/>
      <c r="I34" s="10">
        <f>I22-I32</f>
        <v>32951202</v>
      </c>
      <c r="J34" s="10">
        <f t="shared" ref="J34:M34" si="6">J22-J32</f>
        <v>-541711</v>
      </c>
      <c r="K34" s="10">
        <f t="shared" si="6"/>
        <v>-40108</v>
      </c>
      <c r="L34" s="10">
        <f t="shared" si="6"/>
        <v>0</v>
      </c>
      <c r="M34" s="10">
        <f t="shared" si="6"/>
        <v>32369383</v>
      </c>
      <c r="N34" s="1"/>
    </row>
    <row r="35" spans="1:14" ht="18.75">
      <c r="A35" s="1"/>
      <c r="B35" s="1"/>
      <c r="C35" s="1"/>
      <c r="D35" s="1"/>
      <c r="E35" s="1"/>
      <c r="F35" s="1"/>
      <c r="G35" s="1"/>
      <c r="H35" s="1"/>
      <c r="I35" s="31"/>
      <c r="J35" s="31"/>
      <c r="K35" s="31"/>
      <c r="L35" s="31"/>
      <c r="M35" s="31"/>
      <c r="N35" s="1"/>
    </row>
    <row r="36" spans="1:14" ht="19.5" thickBot="1">
      <c r="A36" s="2"/>
      <c r="B36" s="1" t="s">
        <v>22</v>
      </c>
      <c r="C36" s="2"/>
      <c r="D36" s="2"/>
      <c r="E36" s="2"/>
      <c r="F36" s="2"/>
      <c r="G36" s="2"/>
      <c r="H36" s="2"/>
      <c r="I36" s="14">
        <f>I12+I34</f>
        <v>33564914</v>
      </c>
      <c r="J36" s="14">
        <f>J12+J34</f>
        <v>477530</v>
      </c>
      <c r="K36" s="14">
        <f>K12+K34</f>
        <v>-58910</v>
      </c>
      <c r="L36" s="14">
        <f>L12+L34</f>
        <v>0</v>
      </c>
      <c r="M36" s="14">
        <f>M12+M34</f>
        <v>33983534</v>
      </c>
      <c r="N36" s="3">
        <f>SUM(N25:N31, N10:N12)</f>
        <v>33983534</v>
      </c>
    </row>
    <row r="37" spans="1:14" ht="18.75">
      <c r="A37" s="2"/>
      <c r="B37" s="1"/>
      <c r="C37" s="2"/>
      <c r="D37" s="2"/>
      <c r="E37" s="2"/>
      <c r="F37" s="2"/>
      <c r="G37" s="2"/>
      <c r="H37" s="2"/>
      <c r="I37" s="15"/>
      <c r="J37" s="15"/>
      <c r="K37" s="15"/>
      <c r="L37" s="15"/>
      <c r="M37" s="15"/>
      <c r="N37" s="2"/>
    </row>
  </sheetData>
  <mergeCells count="3">
    <mergeCell ref="D1:I1"/>
    <mergeCell ref="D2:I2"/>
    <mergeCell ref="D3:I3"/>
  </mergeCells>
  <pageMargins left="0.7" right="0.7" top="0.75" bottom="0.75" header="0.3" footer="0.3"/>
  <extLst>
    <ext xmlns:mx="http://schemas.microsoft.com/office/mac/excel/2008/main" uri="{64002731-A6B0-56B0-2670-7721B7C09600}">
      <mx:PLV Mode="0" OnePage="0" WScale="0"/>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O63"/>
  <sheetViews>
    <sheetView topLeftCell="A34" workbookViewId="0">
      <selection activeCell="H23" sqref="H23"/>
    </sheetView>
  </sheetViews>
  <sheetFormatPr defaultColWidth="8.85546875" defaultRowHeight="15"/>
  <cols>
    <col min="9" max="9" width="16.42578125" customWidth="1"/>
    <col min="10" max="13" width="15.42578125" customWidth="1"/>
    <col min="14" max="14" width="16.85546875" customWidth="1"/>
    <col min="15" max="15" width="15.85546875" customWidth="1"/>
  </cols>
  <sheetData>
    <row r="1" spans="1:15" ht="18.75">
      <c r="A1" s="2"/>
      <c r="B1" s="2"/>
      <c r="C1" s="2"/>
      <c r="D1" s="136" t="s">
        <v>231</v>
      </c>
      <c r="E1" s="136"/>
      <c r="F1" s="136"/>
      <c r="G1" s="136"/>
      <c r="H1" s="136"/>
      <c r="I1" s="136"/>
      <c r="J1" s="3"/>
      <c r="K1" s="3"/>
      <c r="L1" s="3"/>
      <c r="M1" s="3"/>
      <c r="N1" s="3"/>
      <c r="O1" s="2"/>
    </row>
    <row r="2" spans="1:15" ht="18.75">
      <c r="A2" s="2"/>
      <c r="B2" s="2"/>
      <c r="C2" s="2"/>
      <c r="D2" s="136" t="s">
        <v>1</v>
      </c>
      <c r="E2" s="136"/>
      <c r="F2" s="136"/>
      <c r="G2" s="136"/>
      <c r="H2" s="136"/>
      <c r="I2" s="136"/>
      <c r="J2" s="3"/>
      <c r="K2" s="3"/>
      <c r="L2" s="3"/>
      <c r="M2" s="3"/>
      <c r="N2" s="3"/>
      <c r="O2" s="2"/>
    </row>
    <row r="3" spans="1:15" ht="18.75">
      <c r="A3" s="2"/>
      <c r="B3" s="2"/>
      <c r="C3" s="2"/>
      <c r="D3" s="136" t="s">
        <v>2</v>
      </c>
      <c r="E3" s="136"/>
      <c r="F3" s="136"/>
      <c r="G3" s="136"/>
      <c r="H3" s="136"/>
      <c r="I3" s="136"/>
      <c r="J3" s="3"/>
      <c r="K3" s="3"/>
      <c r="L3" s="3"/>
      <c r="M3" s="3"/>
      <c r="N3" s="3"/>
      <c r="O3" s="2"/>
    </row>
    <row r="4" spans="1:15" ht="18.75">
      <c r="A4" s="2"/>
      <c r="B4" s="2"/>
      <c r="C4" s="2"/>
      <c r="D4" s="69"/>
      <c r="E4" s="69"/>
      <c r="F4" s="69"/>
      <c r="G4" s="69"/>
      <c r="H4" s="69"/>
      <c r="I4" s="4"/>
      <c r="J4" s="3"/>
      <c r="K4" s="3"/>
      <c r="L4" s="3"/>
      <c r="M4" s="3"/>
      <c r="N4" s="3"/>
      <c r="O4" s="2"/>
    </row>
    <row r="5" spans="1:15" ht="56.25">
      <c r="A5" s="2"/>
      <c r="B5" s="2"/>
      <c r="C5" s="2"/>
      <c r="D5" s="2"/>
      <c r="E5" s="2"/>
      <c r="F5" s="2"/>
      <c r="G5" s="2"/>
      <c r="H5" s="2"/>
      <c r="I5" s="11" t="s">
        <v>3</v>
      </c>
      <c r="J5" s="11" t="s">
        <v>4</v>
      </c>
      <c r="K5" s="11" t="s">
        <v>46</v>
      </c>
      <c r="L5" s="11" t="s">
        <v>232</v>
      </c>
      <c r="M5" s="11" t="s">
        <v>233</v>
      </c>
      <c r="N5" s="11" t="s">
        <v>6</v>
      </c>
      <c r="O5" s="11" t="s">
        <v>7</v>
      </c>
    </row>
    <row r="6" spans="1:15" ht="18.75">
      <c r="A6" s="2"/>
      <c r="B6" s="2"/>
      <c r="C6" s="2"/>
      <c r="D6" s="2"/>
      <c r="E6" s="2"/>
      <c r="F6" s="2"/>
      <c r="G6" s="2"/>
      <c r="H6" s="2"/>
      <c r="I6" s="16"/>
      <c r="J6" s="16"/>
      <c r="K6" s="16"/>
      <c r="L6" s="16"/>
      <c r="M6" s="16"/>
      <c r="N6" s="16"/>
      <c r="O6" s="2"/>
    </row>
    <row r="7" spans="1:15" ht="18.75">
      <c r="A7" s="2"/>
      <c r="B7" s="1"/>
      <c r="C7" s="1"/>
      <c r="D7" s="1"/>
      <c r="E7" s="1"/>
      <c r="F7" s="1"/>
      <c r="G7" s="2"/>
      <c r="H7" s="2"/>
      <c r="I7" s="3"/>
      <c r="J7" s="3"/>
      <c r="K7" s="3"/>
      <c r="L7" s="3"/>
      <c r="M7" s="3"/>
      <c r="N7" s="3"/>
      <c r="O7" s="2"/>
    </row>
    <row r="8" spans="1:15" ht="18.75">
      <c r="A8" s="2"/>
      <c r="B8" s="1"/>
      <c r="C8" s="1"/>
      <c r="D8" s="1"/>
      <c r="E8" s="1"/>
      <c r="F8" s="1"/>
      <c r="G8" s="2"/>
      <c r="H8" s="2"/>
      <c r="I8" s="3"/>
      <c r="J8" s="3"/>
      <c r="K8" s="3"/>
      <c r="L8" s="3"/>
      <c r="M8" s="3"/>
      <c r="N8" s="3"/>
      <c r="O8" s="2"/>
    </row>
    <row r="9" spans="1:15" ht="18.75">
      <c r="A9" s="2"/>
      <c r="B9" s="1"/>
      <c r="C9" s="1"/>
      <c r="D9" s="1"/>
      <c r="E9" s="1"/>
      <c r="F9" s="1"/>
      <c r="G9" s="2"/>
      <c r="H9" s="2"/>
      <c r="I9" s="3"/>
      <c r="J9" s="3"/>
      <c r="K9" s="3"/>
      <c r="L9" s="3"/>
      <c r="M9" s="3"/>
      <c r="N9" s="3"/>
      <c r="O9" s="2"/>
    </row>
    <row r="10" spans="1:15" ht="18.75">
      <c r="A10" s="2"/>
      <c r="B10" s="2" t="s">
        <v>86</v>
      </c>
      <c r="C10" s="2"/>
      <c r="D10" s="2"/>
      <c r="E10" s="2"/>
      <c r="F10" s="2"/>
      <c r="G10" s="2"/>
      <c r="H10" s="2"/>
      <c r="I10" s="3">
        <v>64274</v>
      </c>
      <c r="J10" s="3"/>
      <c r="K10" s="3"/>
      <c r="L10" s="3">
        <v>2723</v>
      </c>
      <c r="M10" s="3"/>
      <c r="N10" s="3">
        <f>SUM(I10:M10)</f>
        <v>66997</v>
      </c>
      <c r="O10" s="3">
        <f>SUM(N10)</f>
        <v>66997</v>
      </c>
    </row>
    <row r="11" spans="1:15" ht="18.75">
      <c r="A11" s="2"/>
      <c r="B11" s="2" t="s">
        <v>11</v>
      </c>
      <c r="C11" s="2"/>
      <c r="D11" s="2"/>
      <c r="E11" s="2"/>
      <c r="F11" s="2"/>
      <c r="G11" s="2"/>
      <c r="H11" s="2"/>
      <c r="I11" s="3">
        <v>178907</v>
      </c>
      <c r="J11" s="3">
        <v>113751</v>
      </c>
      <c r="K11" s="3"/>
      <c r="L11" s="3">
        <v>-112451</v>
      </c>
      <c r="M11" s="3">
        <v>-13502</v>
      </c>
      <c r="N11" s="3">
        <f>SUM(I11:M11)</f>
        <v>166705</v>
      </c>
      <c r="O11" s="3">
        <f>SUM(N11)</f>
        <v>166705</v>
      </c>
    </row>
    <row r="12" spans="1:15" ht="18.75">
      <c r="A12" s="2"/>
      <c r="B12" s="1"/>
      <c r="C12" s="1" t="s">
        <v>68</v>
      </c>
      <c r="D12" s="1"/>
      <c r="E12" s="1"/>
      <c r="F12" s="1"/>
      <c r="G12" s="1"/>
      <c r="H12" s="1"/>
      <c r="I12" s="12">
        <f>SUM(I10:I11)</f>
        <v>243181</v>
      </c>
      <c r="J12" s="12">
        <f>SUM(J10:J11)</f>
        <v>113751</v>
      </c>
      <c r="K12" s="12">
        <f>SUM(K10:K11)</f>
        <v>0</v>
      </c>
      <c r="L12" s="12">
        <f t="shared" ref="L12:M12" si="0">SUM(L10:L11)</f>
        <v>-109728</v>
      </c>
      <c r="M12" s="12">
        <f t="shared" si="0"/>
        <v>-13502</v>
      </c>
      <c r="N12" s="12">
        <f>SUM(N10:N11)</f>
        <v>233702</v>
      </c>
      <c r="O12" s="1"/>
    </row>
    <row r="13" spans="1:15" ht="18.75">
      <c r="A13" s="2"/>
      <c r="B13" s="2"/>
      <c r="C13" s="2"/>
      <c r="D13" s="2"/>
      <c r="E13" s="2"/>
      <c r="F13" s="2"/>
      <c r="G13" s="2"/>
      <c r="H13" s="2"/>
      <c r="I13" s="3"/>
      <c r="J13" s="3"/>
      <c r="K13" s="3"/>
      <c r="L13" s="3"/>
      <c r="M13" s="3"/>
      <c r="N13" s="3"/>
      <c r="O13" s="2"/>
    </row>
    <row r="14" spans="1:15" ht="18.75">
      <c r="A14" s="2"/>
      <c r="B14" s="2"/>
      <c r="C14" s="2"/>
      <c r="D14" s="2"/>
      <c r="E14" s="2"/>
      <c r="F14" s="2"/>
      <c r="G14" s="2"/>
      <c r="H14" s="2"/>
      <c r="I14" s="3"/>
      <c r="J14" s="3"/>
      <c r="K14" s="3"/>
      <c r="L14" s="3"/>
      <c r="M14" s="3"/>
      <c r="N14" s="3"/>
      <c r="O14" s="2"/>
    </row>
    <row r="15" spans="1:15" ht="18.75">
      <c r="A15" s="2"/>
      <c r="B15" s="2" t="s">
        <v>28</v>
      </c>
      <c r="C15" s="2"/>
      <c r="D15" s="2"/>
      <c r="E15" s="2"/>
      <c r="F15" s="2"/>
      <c r="G15" s="2"/>
      <c r="H15" s="2"/>
      <c r="I15" s="3">
        <v>380988</v>
      </c>
      <c r="J15" s="3"/>
      <c r="K15" s="3"/>
      <c r="L15" s="3">
        <v>4122</v>
      </c>
      <c r="M15" s="3"/>
      <c r="N15" s="3">
        <f t="shared" ref="N15:N18" si="1">SUM(I15:M15)</f>
        <v>385110</v>
      </c>
      <c r="O15" s="2"/>
    </row>
    <row r="16" spans="1:15" ht="18.75">
      <c r="A16" s="2"/>
      <c r="B16" s="2" t="s">
        <v>234</v>
      </c>
      <c r="C16" s="2"/>
      <c r="D16" s="2"/>
      <c r="E16" s="2"/>
      <c r="F16" s="2"/>
      <c r="G16" s="2"/>
      <c r="H16" s="2"/>
      <c r="I16" s="3">
        <v>187562</v>
      </c>
      <c r="J16" s="3"/>
      <c r="K16" s="3"/>
      <c r="L16" s="3">
        <v>4098</v>
      </c>
      <c r="M16" s="3"/>
      <c r="N16" s="3">
        <f t="shared" si="1"/>
        <v>191660</v>
      </c>
      <c r="O16" s="2"/>
    </row>
    <row r="17" spans="1:15" ht="18.75">
      <c r="A17" s="2"/>
      <c r="B17" s="2" t="s">
        <v>30</v>
      </c>
      <c r="C17" s="2"/>
      <c r="D17" s="2"/>
      <c r="E17" s="2"/>
      <c r="F17" s="2"/>
      <c r="G17" s="2"/>
      <c r="H17" s="2"/>
      <c r="I17" s="3">
        <v>58592</v>
      </c>
      <c r="J17" s="3">
        <v>2939</v>
      </c>
      <c r="K17" s="3">
        <v>-2659</v>
      </c>
      <c r="L17" s="3"/>
      <c r="M17" s="3">
        <v>613</v>
      </c>
      <c r="N17" s="3">
        <f t="shared" si="1"/>
        <v>59485</v>
      </c>
      <c r="O17" s="2"/>
    </row>
    <row r="18" spans="1:15" ht="18.75">
      <c r="A18" s="2"/>
      <c r="B18" s="2" t="s">
        <v>235</v>
      </c>
      <c r="C18" s="2"/>
      <c r="D18" s="2"/>
      <c r="E18" s="2"/>
      <c r="F18" s="2"/>
      <c r="G18" s="2"/>
      <c r="H18" s="2"/>
      <c r="I18" s="3">
        <v>249860</v>
      </c>
      <c r="J18" s="3">
        <v>2196</v>
      </c>
      <c r="K18" s="3">
        <v>-988</v>
      </c>
      <c r="L18" s="3">
        <v>6697</v>
      </c>
      <c r="M18" s="3">
        <v>87</v>
      </c>
      <c r="N18" s="3">
        <f t="shared" si="1"/>
        <v>257852</v>
      </c>
      <c r="O18" s="2"/>
    </row>
    <row r="19" spans="1:15" ht="18.75">
      <c r="A19" s="2"/>
      <c r="B19" s="2" t="s">
        <v>30</v>
      </c>
      <c r="C19" s="2"/>
      <c r="D19" s="2"/>
      <c r="E19" s="2"/>
      <c r="F19" s="2"/>
      <c r="G19" s="2"/>
      <c r="H19" s="2"/>
      <c r="I19" s="3">
        <v>2995478</v>
      </c>
      <c r="J19" s="3"/>
      <c r="K19" s="3"/>
      <c r="L19" s="3">
        <v>94811</v>
      </c>
      <c r="M19" s="3"/>
      <c r="N19" s="3">
        <f>SUM(I19:M19)</f>
        <v>3090289</v>
      </c>
      <c r="O19" s="2"/>
    </row>
    <row r="20" spans="1:15" ht="18.75">
      <c r="A20" s="2"/>
      <c r="B20" s="2"/>
      <c r="C20" s="1" t="s">
        <v>18</v>
      </c>
      <c r="D20" s="2"/>
      <c r="E20" s="2"/>
      <c r="F20" s="2"/>
      <c r="G20" s="2"/>
      <c r="H20" s="2"/>
      <c r="I20" s="13">
        <f>SUM(I15:I19)</f>
        <v>3872480</v>
      </c>
      <c r="J20" s="13">
        <f>SUM(J15:J19)</f>
        <v>5135</v>
      </c>
      <c r="K20" s="13">
        <f>SUM(K15:K19)</f>
        <v>-3647</v>
      </c>
      <c r="L20" s="13">
        <f t="shared" ref="L20:M20" si="2">SUM(L15:L19)</f>
        <v>109728</v>
      </c>
      <c r="M20" s="13">
        <f t="shared" si="2"/>
        <v>700</v>
      </c>
      <c r="N20" s="13">
        <f>SUM(N15:N19)</f>
        <v>3984396</v>
      </c>
      <c r="O20" s="2"/>
    </row>
    <row r="21" spans="1:15" ht="18.75">
      <c r="A21" s="2"/>
      <c r="B21" s="2"/>
      <c r="C21" s="1"/>
      <c r="D21" s="2"/>
      <c r="E21" s="2"/>
      <c r="F21" s="2"/>
      <c r="G21" s="2"/>
      <c r="H21" s="2"/>
      <c r="I21" s="15"/>
      <c r="J21" s="15"/>
      <c r="K21" s="15"/>
      <c r="L21" s="15"/>
      <c r="M21" s="15"/>
      <c r="N21" s="15"/>
      <c r="O21" s="2"/>
    </row>
    <row r="22" spans="1:15" ht="18.75">
      <c r="A22" s="2" t="s">
        <v>19</v>
      </c>
      <c r="B22" s="2"/>
      <c r="C22" s="2"/>
      <c r="D22" s="2"/>
      <c r="E22" s="2"/>
      <c r="F22" s="2"/>
      <c r="G22" s="2"/>
      <c r="H22" s="2"/>
      <c r="I22" s="3"/>
      <c r="J22" s="3"/>
      <c r="K22" s="3"/>
      <c r="L22" s="3"/>
      <c r="M22" s="3"/>
      <c r="N22" s="3"/>
      <c r="O22" s="2"/>
    </row>
    <row r="23" spans="1:15" ht="18.75">
      <c r="A23" s="2"/>
      <c r="B23" s="2" t="s">
        <v>122</v>
      </c>
      <c r="C23" s="2"/>
      <c r="D23" s="2"/>
      <c r="E23" s="2"/>
      <c r="F23" s="2"/>
      <c r="G23" s="2"/>
      <c r="H23" s="2"/>
      <c r="I23" s="3">
        <v>169192</v>
      </c>
      <c r="J23" s="3">
        <v>11214</v>
      </c>
      <c r="K23" s="3"/>
      <c r="L23" s="3"/>
      <c r="M23" s="3"/>
      <c r="N23" s="3">
        <f t="shared" ref="N23:N24" si="3">SUM(I23:M23)</f>
        <v>180406</v>
      </c>
      <c r="O23" s="3">
        <f>SUM(N23,N15)</f>
        <v>565516</v>
      </c>
    </row>
    <row r="24" spans="1:15" ht="18.75">
      <c r="A24" s="2"/>
      <c r="B24" s="2" t="s">
        <v>52</v>
      </c>
      <c r="C24" s="2"/>
      <c r="D24" s="2"/>
      <c r="E24" s="2"/>
      <c r="F24" s="2"/>
      <c r="G24" s="2"/>
      <c r="H24" s="2"/>
      <c r="I24" s="3">
        <v>76590</v>
      </c>
      <c r="J24" s="3">
        <v>7734</v>
      </c>
      <c r="K24" s="3"/>
      <c r="L24" s="3"/>
      <c r="M24" s="3"/>
      <c r="N24" s="3">
        <f t="shared" si="3"/>
        <v>84324</v>
      </c>
      <c r="O24" s="3">
        <f>SUM(N24,N16)</f>
        <v>275984</v>
      </c>
    </row>
    <row r="25" spans="1:15" ht="18.75">
      <c r="A25" s="2"/>
      <c r="B25" s="2" t="s">
        <v>30</v>
      </c>
      <c r="C25" s="2"/>
      <c r="D25" s="2"/>
      <c r="E25" s="2"/>
      <c r="F25" s="2"/>
      <c r="G25" s="2"/>
      <c r="H25" s="2"/>
      <c r="I25" s="3">
        <v>44253</v>
      </c>
      <c r="J25" s="3">
        <v>5674</v>
      </c>
      <c r="K25" s="3">
        <v>-2444</v>
      </c>
      <c r="L25" s="3"/>
      <c r="M25" s="3">
        <v>601</v>
      </c>
      <c r="N25" s="3">
        <f>SUM(I25:M25)</f>
        <v>48084</v>
      </c>
      <c r="O25" s="3">
        <f>SUM(N25,N17)</f>
        <v>107569</v>
      </c>
    </row>
    <row r="26" spans="1:15" ht="18.75">
      <c r="A26" s="2"/>
      <c r="B26" s="2" t="s">
        <v>235</v>
      </c>
      <c r="C26" s="2"/>
      <c r="D26" s="2"/>
      <c r="E26" s="2"/>
      <c r="F26" s="2"/>
      <c r="G26" s="2"/>
      <c r="H26" s="2"/>
      <c r="I26" s="3">
        <v>204750</v>
      </c>
      <c r="J26" s="3">
        <v>3811</v>
      </c>
      <c r="K26" s="3">
        <v>-903</v>
      </c>
      <c r="L26" s="3"/>
      <c r="M26" s="3">
        <v>39</v>
      </c>
      <c r="N26" s="3">
        <f t="shared" ref="N26:N27" si="4">SUM(I26:M26)</f>
        <v>207697</v>
      </c>
      <c r="O26" s="3">
        <f>N18+N26</f>
        <v>465549</v>
      </c>
    </row>
    <row r="27" spans="1:15" ht="18.75">
      <c r="A27" s="2"/>
      <c r="B27" s="2" t="s">
        <v>17</v>
      </c>
      <c r="C27" s="2"/>
      <c r="D27" s="2"/>
      <c r="E27" s="2"/>
      <c r="F27" s="2"/>
      <c r="G27" s="2"/>
      <c r="H27" s="2"/>
      <c r="I27" s="3">
        <v>2446874</v>
      </c>
      <c r="J27" s="3">
        <v>24250</v>
      </c>
      <c r="K27" s="3"/>
      <c r="L27" s="3"/>
      <c r="M27" s="3"/>
      <c r="N27" s="3">
        <f t="shared" si="4"/>
        <v>2471124</v>
      </c>
      <c r="O27" s="3">
        <f>N19+N27</f>
        <v>5561413</v>
      </c>
    </row>
    <row r="28" spans="1:15" ht="18.75">
      <c r="A28" s="1"/>
      <c r="B28" s="1"/>
      <c r="C28" s="1" t="s">
        <v>20</v>
      </c>
      <c r="D28" s="1"/>
      <c r="E28" s="1"/>
      <c r="F28" s="1"/>
      <c r="G28" s="1"/>
      <c r="H28" s="1"/>
      <c r="I28" s="10">
        <f>SUM(I23:I27)</f>
        <v>2941659</v>
      </c>
      <c r="J28" s="10">
        <f>SUM(J23:J27)</f>
        <v>52683</v>
      </c>
      <c r="K28" s="10">
        <f>SUM(K23:K27)</f>
        <v>-3347</v>
      </c>
      <c r="L28" s="10">
        <f t="shared" ref="L28:M28" si="5">SUM(L23:L27)</f>
        <v>0</v>
      </c>
      <c r="M28" s="10">
        <f t="shared" si="5"/>
        <v>640</v>
      </c>
      <c r="N28" s="10">
        <f>SUM(N23:N27)</f>
        <v>2991635</v>
      </c>
      <c r="O28" s="1"/>
    </row>
    <row r="29" spans="1:15" ht="18.75">
      <c r="A29" s="1"/>
      <c r="B29" s="1"/>
      <c r="C29" s="1"/>
      <c r="D29" s="1"/>
      <c r="E29" s="1"/>
      <c r="F29" s="1"/>
      <c r="G29" s="1"/>
      <c r="H29" s="1"/>
      <c r="I29" s="10"/>
      <c r="J29" s="10"/>
      <c r="K29" s="10"/>
      <c r="L29" s="10"/>
      <c r="M29" s="10"/>
      <c r="N29" s="10"/>
      <c r="O29" s="1"/>
    </row>
    <row r="30" spans="1:15" ht="18.75">
      <c r="A30" s="1"/>
      <c r="B30" s="1" t="s">
        <v>21</v>
      </c>
      <c r="C30" s="1"/>
      <c r="D30" s="1"/>
      <c r="E30" s="1"/>
      <c r="F30" s="1"/>
      <c r="G30" s="1"/>
      <c r="H30" s="1"/>
      <c r="I30" s="10">
        <f>SUM(I20-I28)</f>
        <v>930821</v>
      </c>
      <c r="J30" s="10">
        <f>SUM(J20-J28)</f>
        <v>-47548</v>
      </c>
      <c r="K30" s="10">
        <f>SUM(K20-K28)</f>
        <v>-300</v>
      </c>
      <c r="L30" s="10">
        <f t="shared" ref="L30:M30" si="6">SUM(L20-L28)</f>
        <v>109728</v>
      </c>
      <c r="M30" s="10">
        <f t="shared" si="6"/>
        <v>60</v>
      </c>
      <c r="N30" s="10">
        <f>SUM(N20-N28)</f>
        <v>992761</v>
      </c>
      <c r="O30" s="1"/>
    </row>
    <row r="31" spans="1:15" ht="18.75">
      <c r="A31" s="1"/>
      <c r="B31" s="1"/>
      <c r="C31" s="1"/>
      <c r="D31" s="1"/>
      <c r="E31" s="1"/>
      <c r="F31" s="1"/>
      <c r="G31" s="1"/>
      <c r="H31" s="1"/>
      <c r="I31" s="31"/>
      <c r="J31" s="31"/>
      <c r="K31" s="31"/>
      <c r="L31" s="31"/>
      <c r="M31" s="31"/>
      <c r="N31" s="31"/>
      <c r="O31" s="1"/>
    </row>
    <row r="32" spans="1:15" ht="19.5" thickBot="1">
      <c r="A32" s="2"/>
      <c r="B32" s="1" t="s">
        <v>22</v>
      </c>
      <c r="C32" s="2"/>
      <c r="D32" s="2"/>
      <c r="E32" s="2"/>
      <c r="F32" s="2"/>
      <c r="G32" s="2"/>
      <c r="H32" s="2"/>
      <c r="I32" s="14">
        <f>I12+I30</f>
        <v>1174002</v>
      </c>
      <c r="J32" s="14">
        <f>J12+J30</f>
        <v>66203</v>
      </c>
      <c r="K32" s="14">
        <f>K12+K30</f>
        <v>-300</v>
      </c>
      <c r="L32" s="14">
        <f t="shared" ref="L32:M32" si="7">L12+L30</f>
        <v>0</v>
      </c>
      <c r="M32" s="14">
        <f t="shared" si="7"/>
        <v>-13442</v>
      </c>
      <c r="N32" s="14">
        <f>N12+N30</f>
        <v>1226463</v>
      </c>
      <c r="O32" s="3">
        <f>SUM(O23:O27,O10:O11)</f>
        <v>7209733</v>
      </c>
    </row>
    <row r="33" spans="1:15" ht="18.75">
      <c r="A33" s="2"/>
      <c r="B33" s="1"/>
      <c r="C33" s="2"/>
      <c r="D33" s="2"/>
      <c r="E33" s="2"/>
      <c r="F33" s="2"/>
      <c r="G33" s="2"/>
      <c r="H33" s="2"/>
      <c r="I33" s="15"/>
      <c r="J33" s="15"/>
      <c r="K33" s="15"/>
      <c r="L33" s="15"/>
      <c r="M33" s="15"/>
      <c r="N33" s="15"/>
      <c r="O33" s="2"/>
    </row>
    <row r="34" spans="1:15" ht="18.75">
      <c r="A34" s="2"/>
      <c r="B34" s="2"/>
      <c r="C34" s="2"/>
      <c r="D34" s="2"/>
      <c r="E34" s="2"/>
      <c r="F34" s="2"/>
      <c r="G34" s="2"/>
      <c r="H34" s="2"/>
      <c r="I34" s="3"/>
      <c r="J34" s="3"/>
      <c r="K34" s="3"/>
      <c r="L34" s="3"/>
      <c r="M34" s="3"/>
      <c r="N34" s="3"/>
      <c r="O34" s="2"/>
    </row>
    <row r="35" spans="1:15" ht="56.25">
      <c r="A35" s="2"/>
      <c r="B35" s="2"/>
      <c r="C35" s="2"/>
      <c r="D35" s="2"/>
      <c r="E35" s="2"/>
      <c r="F35" s="2"/>
      <c r="G35" s="2"/>
      <c r="H35" s="2"/>
      <c r="I35" s="17" t="s">
        <v>3</v>
      </c>
      <c r="J35" s="17" t="s">
        <v>4</v>
      </c>
      <c r="K35" s="17" t="s">
        <v>5</v>
      </c>
      <c r="L35" s="17" t="s">
        <v>232</v>
      </c>
      <c r="M35" s="17" t="s">
        <v>233</v>
      </c>
      <c r="N35" s="17" t="s">
        <v>6</v>
      </c>
      <c r="O35" s="2"/>
    </row>
    <row r="36" spans="1:15" ht="18.75">
      <c r="A36" s="2"/>
      <c r="B36" s="2"/>
      <c r="C36" s="2"/>
      <c r="D36" s="2"/>
      <c r="E36" s="2"/>
      <c r="F36" s="2"/>
      <c r="G36" s="2"/>
      <c r="H36" s="2"/>
      <c r="I36" s="5"/>
      <c r="J36" s="5"/>
      <c r="K36" s="5"/>
      <c r="L36" s="5"/>
      <c r="M36" s="5"/>
      <c r="N36" s="5"/>
      <c r="O36" s="2"/>
    </row>
    <row r="37" spans="1:15" ht="18.75">
      <c r="A37" s="1" t="s">
        <v>79</v>
      </c>
      <c r="B37" s="1"/>
      <c r="C37" s="1"/>
      <c r="D37" s="1"/>
      <c r="E37" s="1"/>
      <c r="F37" s="1"/>
      <c r="G37" s="2"/>
      <c r="H37" s="2"/>
      <c r="I37" s="3"/>
      <c r="J37" s="3"/>
      <c r="K37" s="3"/>
      <c r="L37" s="3"/>
      <c r="M37" s="3"/>
      <c r="N37" s="3"/>
      <c r="O37" s="2"/>
    </row>
    <row r="38" spans="1:15" ht="18.75">
      <c r="A38" s="2"/>
      <c r="B38" s="2"/>
      <c r="C38" s="2"/>
      <c r="D38" s="2"/>
      <c r="E38" s="2"/>
      <c r="F38" s="2"/>
      <c r="G38" s="2"/>
      <c r="H38" s="2"/>
      <c r="I38" s="3"/>
      <c r="J38" s="3"/>
      <c r="K38" s="3"/>
      <c r="L38" s="3"/>
      <c r="M38" s="3"/>
      <c r="N38" s="3"/>
      <c r="O38" s="2"/>
    </row>
    <row r="39" spans="1:15" ht="18.75">
      <c r="A39" s="1" t="s">
        <v>80</v>
      </c>
      <c r="B39" s="2"/>
      <c r="C39" s="2"/>
      <c r="D39" s="2"/>
      <c r="E39" s="2"/>
      <c r="F39" s="2"/>
      <c r="G39" s="2"/>
      <c r="H39" s="2"/>
      <c r="I39" s="3"/>
      <c r="J39" s="3"/>
      <c r="K39" s="3"/>
      <c r="L39" s="3"/>
      <c r="M39" s="3"/>
      <c r="N39" s="3"/>
      <c r="O39" s="2"/>
    </row>
    <row r="40" spans="1:15" ht="18.75">
      <c r="A40" s="1"/>
      <c r="B40" s="2" t="s">
        <v>236</v>
      </c>
      <c r="C40" s="2"/>
      <c r="D40" s="2"/>
      <c r="E40" s="2"/>
      <c r="F40" s="2"/>
      <c r="G40" s="2"/>
      <c r="H40" s="2"/>
      <c r="I40" s="3">
        <v>13591</v>
      </c>
      <c r="J40" s="3"/>
      <c r="K40" s="3"/>
      <c r="L40" s="3"/>
      <c r="M40" s="3"/>
      <c r="N40" s="3">
        <f>SUM(I40:M40)</f>
        <v>13591</v>
      </c>
      <c r="O40" s="3">
        <f>SUM(N40)</f>
        <v>13591</v>
      </c>
    </row>
    <row r="41" spans="1:15" ht="18.75">
      <c r="A41" s="2"/>
      <c r="B41" s="2" t="s">
        <v>11</v>
      </c>
      <c r="C41" s="2"/>
      <c r="D41" s="2"/>
      <c r="E41" s="2"/>
      <c r="F41" s="2"/>
      <c r="G41" s="2"/>
      <c r="H41" s="2"/>
      <c r="I41" s="3">
        <v>3112</v>
      </c>
      <c r="J41" s="3">
        <v>7900</v>
      </c>
      <c r="K41" s="3"/>
      <c r="L41" s="3">
        <v>-5256</v>
      </c>
      <c r="M41" s="3"/>
      <c r="N41" s="3">
        <f>SUM(I41:M41)</f>
        <v>5756</v>
      </c>
      <c r="O41" s="3">
        <f>SUM(N41)</f>
        <v>5756</v>
      </c>
    </row>
    <row r="42" spans="1:15" ht="18.75">
      <c r="A42" s="2"/>
      <c r="B42" s="2"/>
      <c r="C42" s="1" t="s">
        <v>18</v>
      </c>
      <c r="D42" s="2"/>
      <c r="E42" s="2"/>
      <c r="F42" s="2"/>
      <c r="G42" s="2"/>
      <c r="H42" s="2"/>
      <c r="I42" s="12">
        <f>SUM(I40:I41)</f>
        <v>16703</v>
      </c>
      <c r="J42" s="12">
        <f>SUM(J40:J41)</f>
        <v>7900</v>
      </c>
      <c r="K42" s="12">
        <f>SUM(K40:K41)</f>
        <v>0</v>
      </c>
      <c r="L42" s="12">
        <f t="shared" ref="L42:M42" si="8">SUM(L40:L41)</f>
        <v>-5256</v>
      </c>
      <c r="M42" s="12">
        <f t="shared" si="8"/>
        <v>0</v>
      </c>
      <c r="N42" s="12">
        <f>SUM(N40:N41)</f>
        <v>19347</v>
      </c>
      <c r="O42" s="2"/>
    </row>
    <row r="43" spans="1:15" ht="18.75">
      <c r="A43" s="2"/>
      <c r="B43" s="2"/>
      <c r="C43" s="1"/>
      <c r="D43" s="2"/>
      <c r="E43" s="2"/>
      <c r="F43" s="2"/>
      <c r="G43" s="2"/>
      <c r="H43" s="2"/>
      <c r="I43" s="15"/>
      <c r="J43" s="15"/>
      <c r="K43" s="15"/>
      <c r="L43" s="15"/>
      <c r="M43" s="15"/>
      <c r="N43" s="15"/>
      <c r="O43" s="2"/>
    </row>
    <row r="44" spans="1:15" ht="18.75">
      <c r="A44" s="1" t="s">
        <v>13</v>
      </c>
      <c r="B44" s="2"/>
      <c r="C44" s="1"/>
      <c r="D44" s="2"/>
      <c r="E44" s="2"/>
      <c r="F44" s="2"/>
      <c r="G44" s="2"/>
      <c r="H44" s="2"/>
      <c r="I44" s="15"/>
      <c r="J44" s="15"/>
      <c r="K44" s="15"/>
      <c r="L44" s="15"/>
      <c r="M44" s="15"/>
      <c r="N44" s="15"/>
      <c r="O44" s="2"/>
    </row>
    <row r="45" spans="1:15" ht="18.75">
      <c r="A45" s="2"/>
      <c r="B45" s="2" t="s">
        <v>32</v>
      </c>
      <c r="C45" s="1"/>
      <c r="D45" s="2"/>
      <c r="E45" s="2"/>
      <c r="F45" s="2"/>
      <c r="G45" s="2"/>
      <c r="H45" s="2"/>
      <c r="I45" s="3">
        <v>23293</v>
      </c>
      <c r="J45" s="3"/>
      <c r="K45" s="3"/>
      <c r="L45" s="3"/>
      <c r="M45" s="3"/>
      <c r="N45" s="3">
        <f>SUM(I45:M45)</f>
        <v>23293</v>
      </c>
      <c r="O45" s="2"/>
    </row>
    <row r="46" spans="1:15" ht="18.75">
      <c r="A46" s="2"/>
      <c r="B46" s="2" t="s">
        <v>237</v>
      </c>
      <c r="C46" s="1"/>
      <c r="D46" s="2"/>
      <c r="E46" s="2"/>
      <c r="F46" s="2"/>
      <c r="G46" s="2"/>
      <c r="H46" s="2"/>
      <c r="I46" s="3">
        <v>628662</v>
      </c>
      <c r="J46" s="3"/>
      <c r="K46" s="3"/>
      <c r="L46" s="3">
        <v>5068</v>
      </c>
      <c r="M46" s="3">
        <v>13231</v>
      </c>
      <c r="N46" s="3">
        <f t="shared" ref="N46:N50" si="9">SUM(I46:M46)</f>
        <v>646961</v>
      </c>
      <c r="O46" s="2"/>
    </row>
    <row r="47" spans="1:15" ht="18.75">
      <c r="A47" s="2"/>
      <c r="B47" s="2" t="s">
        <v>238</v>
      </c>
      <c r="C47" s="1"/>
      <c r="D47" s="2"/>
      <c r="E47" s="2"/>
      <c r="F47" s="2"/>
      <c r="G47" s="2"/>
      <c r="H47" s="2"/>
      <c r="I47" s="3">
        <v>260269</v>
      </c>
      <c r="J47" s="3"/>
      <c r="K47" s="3"/>
      <c r="L47" s="3"/>
      <c r="M47" s="3"/>
      <c r="N47" s="3">
        <f t="shared" si="9"/>
        <v>260269</v>
      </c>
      <c r="O47" s="2"/>
    </row>
    <row r="48" spans="1:15" ht="18.75">
      <c r="A48" s="2"/>
      <c r="B48" s="2" t="s">
        <v>52</v>
      </c>
      <c r="C48" s="1"/>
      <c r="D48" s="2"/>
      <c r="E48" s="2"/>
      <c r="F48" s="2"/>
      <c r="G48" s="2"/>
      <c r="H48" s="2"/>
      <c r="I48" s="3">
        <v>15756</v>
      </c>
      <c r="J48" s="3">
        <v>272</v>
      </c>
      <c r="K48" s="3"/>
      <c r="L48" s="3">
        <v>188</v>
      </c>
      <c r="M48" s="3"/>
      <c r="N48" s="3">
        <f t="shared" si="9"/>
        <v>16216</v>
      </c>
      <c r="O48" s="2"/>
    </row>
    <row r="49" spans="1:15" ht="18.75">
      <c r="A49" s="2"/>
      <c r="B49" s="2" t="s">
        <v>235</v>
      </c>
      <c r="C49" s="1"/>
      <c r="D49" s="2"/>
      <c r="E49" s="2"/>
      <c r="F49" s="2"/>
      <c r="G49" s="2"/>
      <c r="H49" s="2"/>
      <c r="I49" s="3">
        <v>8779</v>
      </c>
      <c r="J49" s="3">
        <v>552</v>
      </c>
      <c r="K49" s="3">
        <v>-74</v>
      </c>
      <c r="L49" s="3"/>
      <c r="M49" s="3">
        <v>-87</v>
      </c>
      <c r="N49" s="3">
        <f t="shared" si="9"/>
        <v>9170</v>
      </c>
      <c r="O49" s="2"/>
    </row>
    <row r="50" spans="1:15" ht="18.75">
      <c r="A50" s="2"/>
      <c r="B50" s="2" t="s">
        <v>30</v>
      </c>
      <c r="C50" s="1"/>
      <c r="D50" s="2"/>
      <c r="E50" s="2"/>
      <c r="F50" s="2"/>
      <c r="G50" s="2"/>
      <c r="H50" s="2"/>
      <c r="I50" s="3">
        <v>11646</v>
      </c>
      <c r="J50" s="3"/>
      <c r="K50" s="3"/>
      <c r="L50" s="3"/>
      <c r="M50" s="3">
        <v>39</v>
      </c>
      <c r="N50" s="3">
        <f t="shared" si="9"/>
        <v>11685</v>
      </c>
      <c r="O50" s="2"/>
    </row>
    <row r="51" spans="1:15" ht="18.75">
      <c r="A51" s="2"/>
      <c r="B51" s="2"/>
      <c r="C51" s="1" t="s">
        <v>18</v>
      </c>
      <c r="D51" s="2"/>
      <c r="E51" s="2"/>
      <c r="F51" s="2"/>
      <c r="G51" s="2"/>
      <c r="H51" s="2"/>
      <c r="I51" s="12">
        <f>SUM(I45:I50)</f>
        <v>948405</v>
      </c>
      <c r="J51" s="12">
        <f t="shared" ref="J51:N51" si="10">SUM(J45:J50)</f>
        <v>824</v>
      </c>
      <c r="K51" s="12">
        <f t="shared" si="10"/>
        <v>-74</v>
      </c>
      <c r="L51" s="12">
        <f t="shared" si="10"/>
        <v>5256</v>
      </c>
      <c r="M51" s="12">
        <f t="shared" si="10"/>
        <v>13183</v>
      </c>
      <c r="N51" s="12">
        <f t="shared" si="10"/>
        <v>967594</v>
      </c>
      <c r="O51" s="2"/>
    </row>
    <row r="52" spans="1:15" ht="18.75">
      <c r="A52" s="2"/>
      <c r="B52" s="2"/>
      <c r="C52" s="1"/>
      <c r="D52" s="2"/>
      <c r="E52" s="2"/>
      <c r="F52" s="2"/>
      <c r="G52" s="2"/>
      <c r="H52" s="2"/>
      <c r="I52" s="15"/>
      <c r="J52" s="15"/>
      <c r="K52" s="15"/>
      <c r="L52" s="15"/>
      <c r="M52" s="15"/>
      <c r="N52" s="15"/>
      <c r="O52" s="2"/>
    </row>
    <row r="53" spans="1:15" ht="18.75">
      <c r="A53" s="1" t="s">
        <v>19</v>
      </c>
      <c r="B53" s="2"/>
      <c r="C53" s="2"/>
      <c r="D53" s="2"/>
      <c r="E53" s="2"/>
      <c r="F53" s="2"/>
      <c r="G53" s="2"/>
      <c r="H53" s="2"/>
      <c r="I53" s="3"/>
      <c r="J53" s="3"/>
      <c r="K53" s="3"/>
      <c r="L53" s="3"/>
      <c r="M53" s="3"/>
      <c r="N53" s="3"/>
      <c r="O53" s="2"/>
    </row>
    <row r="54" spans="1:15" ht="18.75">
      <c r="A54" s="2"/>
      <c r="B54" s="2" t="s">
        <v>32</v>
      </c>
      <c r="C54" s="2"/>
      <c r="D54" s="2"/>
      <c r="E54" s="2"/>
      <c r="F54" s="2"/>
      <c r="G54" s="2"/>
      <c r="H54" s="2"/>
      <c r="I54" s="3">
        <v>9992</v>
      </c>
      <c r="J54" s="3">
        <v>434</v>
      </c>
      <c r="K54" s="3"/>
      <c r="L54" s="3"/>
      <c r="M54" s="3"/>
      <c r="N54" s="3">
        <f>SUM(I54:M54)</f>
        <v>10426</v>
      </c>
      <c r="O54" s="3">
        <f>SUM(N45-N54)</f>
        <v>12867</v>
      </c>
    </row>
    <row r="55" spans="1:15" ht="18.75">
      <c r="A55" s="2"/>
      <c r="B55" s="2" t="s">
        <v>237</v>
      </c>
      <c r="C55" s="2"/>
      <c r="D55" s="2"/>
      <c r="E55" s="2"/>
      <c r="F55" s="2"/>
      <c r="G55" s="2"/>
      <c r="H55" s="2"/>
      <c r="I55" s="3">
        <v>271863</v>
      </c>
      <c r="J55" s="3">
        <v>14453</v>
      </c>
      <c r="K55" s="3">
        <v>0</v>
      </c>
      <c r="L55" s="3"/>
      <c r="M55" s="3"/>
      <c r="N55" s="3">
        <f t="shared" ref="N55:N59" si="11">SUM(I55:M55)</f>
        <v>286316</v>
      </c>
      <c r="O55" s="3">
        <f t="shared" ref="O55:O59" si="12">SUM(N46-N55)</f>
        <v>360645</v>
      </c>
    </row>
    <row r="56" spans="1:15" ht="18.75">
      <c r="A56" s="2"/>
      <c r="B56" s="2" t="s">
        <v>239</v>
      </c>
      <c r="C56" s="2"/>
      <c r="D56" s="2"/>
      <c r="E56" s="2"/>
      <c r="F56" s="2"/>
      <c r="G56" s="2"/>
      <c r="H56" s="2"/>
      <c r="I56" s="3">
        <v>115430</v>
      </c>
      <c r="J56" s="3">
        <v>5573</v>
      </c>
      <c r="K56" s="3"/>
      <c r="L56" s="3"/>
      <c r="M56" s="3"/>
      <c r="N56" s="3">
        <f t="shared" si="11"/>
        <v>121003</v>
      </c>
      <c r="O56" s="3">
        <f t="shared" si="12"/>
        <v>139266</v>
      </c>
    </row>
    <row r="57" spans="1:15" ht="18.75">
      <c r="A57" s="2"/>
      <c r="B57" s="2" t="s">
        <v>52</v>
      </c>
      <c r="C57" s="2"/>
      <c r="D57" s="2"/>
      <c r="E57" s="2"/>
      <c r="F57" s="2"/>
      <c r="G57" s="2"/>
      <c r="H57" s="2"/>
      <c r="I57" s="3">
        <v>4834</v>
      </c>
      <c r="J57" s="3">
        <v>742</v>
      </c>
      <c r="K57" s="3"/>
      <c r="L57" s="3"/>
      <c r="M57" s="3"/>
      <c r="N57" s="3">
        <f t="shared" si="11"/>
        <v>5576</v>
      </c>
      <c r="O57" s="3">
        <f t="shared" si="12"/>
        <v>10640</v>
      </c>
    </row>
    <row r="58" spans="1:15" ht="18.75">
      <c r="A58" s="2"/>
      <c r="B58" s="2" t="s">
        <v>240</v>
      </c>
      <c r="C58" s="2"/>
      <c r="D58" s="2"/>
      <c r="E58" s="2"/>
      <c r="F58" s="2"/>
      <c r="G58" s="2"/>
      <c r="H58" s="2"/>
      <c r="I58" s="3">
        <v>8016</v>
      </c>
      <c r="J58" s="3">
        <v>278</v>
      </c>
      <c r="K58" s="3">
        <v>-60</v>
      </c>
      <c r="L58" s="3"/>
      <c r="M58" s="3">
        <v>-87</v>
      </c>
      <c r="N58" s="3">
        <f t="shared" si="11"/>
        <v>8147</v>
      </c>
      <c r="O58" s="3">
        <f t="shared" si="12"/>
        <v>1023</v>
      </c>
    </row>
    <row r="59" spans="1:15" ht="18.75">
      <c r="A59" s="2"/>
      <c r="B59" s="2" t="s">
        <v>241</v>
      </c>
      <c r="C59" s="2"/>
      <c r="D59" s="2"/>
      <c r="E59" s="2"/>
      <c r="F59" s="2"/>
      <c r="G59" s="2"/>
      <c r="H59" s="2"/>
      <c r="I59" s="3">
        <v>8316</v>
      </c>
      <c r="J59" s="3">
        <v>1000</v>
      </c>
      <c r="K59" s="3"/>
      <c r="L59" s="3"/>
      <c r="M59" s="3">
        <v>-601</v>
      </c>
      <c r="N59" s="3">
        <f t="shared" si="11"/>
        <v>8715</v>
      </c>
      <c r="O59" s="3">
        <f t="shared" si="12"/>
        <v>2970</v>
      </c>
    </row>
    <row r="60" spans="1:15" ht="18.75">
      <c r="A60" s="1"/>
      <c r="B60" s="1"/>
      <c r="C60" s="1" t="s">
        <v>20</v>
      </c>
      <c r="D60" s="1"/>
      <c r="E60" s="1"/>
      <c r="F60" s="1"/>
      <c r="G60" s="1"/>
      <c r="H60" s="2"/>
      <c r="I60" s="12">
        <f>SUM(I54:I59)</f>
        <v>418451</v>
      </c>
      <c r="J60" s="12">
        <f>SUM(J54:J59)</f>
        <v>22480</v>
      </c>
      <c r="K60" s="12">
        <f t="shared" ref="K60:N60" si="13">SUM(K54:K59)</f>
        <v>-60</v>
      </c>
      <c r="L60" s="12">
        <f t="shared" si="13"/>
        <v>0</v>
      </c>
      <c r="M60" s="12">
        <f t="shared" si="13"/>
        <v>-688</v>
      </c>
      <c r="N60" s="12">
        <f t="shared" si="13"/>
        <v>440183</v>
      </c>
      <c r="O60" s="2"/>
    </row>
    <row r="61" spans="1:15" ht="18.75">
      <c r="A61" s="1"/>
      <c r="B61" s="1"/>
      <c r="C61" s="1"/>
      <c r="D61" s="1"/>
      <c r="E61" s="1"/>
      <c r="F61" s="1"/>
      <c r="G61" s="1"/>
      <c r="H61" s="2"/>
      <c r="I61" s="12"/>
      <c r="J61" s="12"/>
      <c r="K61" s="12"/>
      <c r="L61" s="12"/>
      <c r="M61" s="12"/>
      <c r="N61" s="12"/>
      <c r="O61" s="2"/>
    </row>
    <row r="62" spans="1:15" ht="18.75">
      <c r="A62" s="1"/>
      <c r="B62" s="1"/>
      <c r="C62" s="1" t="s">
        <v>242</v>
      </c>
      <c r="D62" s="1"/>
      <c r="E62" s="1"/>
      <c r="F62" s="1"/>
      <c r="G62" s="1"/>
      <c r="H62" s="2"/>
      <c r="I62" s="13">
        <f>SUM(I51-I60)</f>
        <v>529954</v>
      </c>
      <c r="J62" s="13">
        <f>SUM(J51-J60)</f>
        <v>-21656</v>
      </c>
      <c r="K62" s="13">
        <f t="shared" ref="K62:N62" si="14">SUM(K51-K60)</f>
        <v>-14</v>
      </c>
      <c r="L62" s="13">
        <f t="shared" si="14"/>
        <v>5256</v>
      </c>
      <c r="M62" s="13">
        <f t="shared" si="14"/>
        <v>13871</v>
      </c>
      <c r="N62" s="13">
        <f t="shared" si="14"/>
        <v>527411</v>
      </c>
      <c r="O62" s="2"/>
    </row>
    <row r="63" spans="1:15" ht="19.5" thickBot="1">
      <c r="A63" s="2"/>
      <c r="B63" s="1" t="s">
        <v>43</v>
      </c>
      <c r="C63" s="2"/>
      <c r="D63" s="2"/>
      <c r="E63" s="2"/>
      <c r="F63" s="2"/>
      <c r="G63" s="2"/>
      <c r="H63" s="2"/>
      <c r="I63" s="14">
        <f>SUM(I62+I42)</f>
        <v>546657</v>
      </c>
      <c r="J63" s="14">
        <f t="shared" ref="J63:N63" si="15">SUM(J62+J42)</f>
        <v>-13756</v>
      </c>
      <c r="K63" s="14">
        <f t="shared" si="15"/>
        <v>-14</v>
      </c>
      <c r="L63" s="14">
        <f t="shared" si="15"/>
        <v>0</v>
      </c>
      <c r="M63" s="14">
        <f t="shared" si="15"/>
        <v>13871</v>
      </c>
      <c r="N63" s="14">
        <f t="shared" si="15"/>
        <v>546758</v>
      </c>
      <c r="O63" s="3">
        <f>SUM(O40:O59)</f>
        <v>546758</v>
      </c>
    </row>
  </sheetData>
  <mergeCells count="3">
    <mergeCell ref="D1:I1"/>
    <mergeCell ref="D2:I2"/>
    <mergeCell ref="D3:I3"/>
  </mergeCells>
  <pageMargins left="0.7" right="0.7" top="0.75" bottom="0.75" header="0.3" footer="0.3"/>
  <pageSetup orientation="portrait"/>
  <extLst>
    <ext xmlns:mx="http://schemas.microsoft.com/office/mac/excel/2008/main" uri="{64002731-A6B0-56B0-2670-7721B7C09600}">
      <mx:PLV Mode="0" OnePage="0" WScale="0"/>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61"/>
  <sheetViews>
    <sheetView topLeftCell="A31" workbookViewId="0">
      <selection activeCell="K76" sqref="K76"/>
    </sheetView>
  </sheetViews>
  <sheetFormatPr defaultColWidth="8.85546875" defaultRowHeight="15"/>
  <cols>
    <col min="9" max="9" width="20.85546875" customWidth="1"/>
    <col min="10" max="10" width="23.140625" customWidth="1"/>
    <col min="11" max="11" width="21" customWidth="1"/>
    <col min="12" max="12" width="20.42578125" customWidth="1"/>
    <col min="13" max="13" width="18.85546875" customWidth="1"/>
  </cols>
  <sheetData>
    <row r="1" spans="1:13" ht="18.75">
      <c r="A1" s="2"/>
      <c r="B1" s="2"/>
      <c r="C1" s="2"/>
      <c r="D1" s="136" t="s">
        <v>243</v>
      </c>
      <c r="E1" s="136"/>
      <c r="F1" s="136"/>
      <c r="G1" s="136"/>
      <c r="H1" s="136"/>
      <c r="I1" s="136"/>
      <c r="J1" s="3"/>
      <c r="K1" s="3"/>
      <c r="L1" s="3"/>
      <c r="M1" s="2"/>
    </row>
    <row r="2" spans="1:13" ht="18.75">
      <c r="A2" s="2"/>
      <c r="B2" s="2"/>
      <c r="C2" s="2"/>
      <c r="D2" s="136" t="s">
        <v>1</v>
      </c>
      <c r="E2" s="136"/>
      <c r="F2" s="136"/>
      <c r="G2" s="136"/>
      <c r="H2" s="136"/>
      <c r="I2" s="136"/>
      <c r="J2" s="3"/>
      <c r="K2" s="3"/>
      <c r="L2" s="3"/>
      <c r="M2" s="2"/>
    </row>
    <row r="3" spans="1:13" ht="18.75">
      <c r="A3" s="2"/>
      <c r="B3" s="2"/>
      <c r="C3" s="2"/>
      <c r="D3" s="136" t="s">
        <v>2</v>
      </c>
      <c r="E3" s="136"/>
      <c r="F3" s="136"/>
      <c r="G3" s="136"/>
      <c r="H3" s="136"/>
      <c r="I3" s="136"/>
      <c r="J3" s="3"/>
      <c r="K3" s="3"/>
      <c r="L3" s="3"/>
      <c r="M3" s="2"/>
    </row>
    <row r="4" spans="1:13" ht="18.75">
      <c r="A4" s="2"/>
      <c r="B4" s="2"/>
      <c r="C4" s="2"/>
      <c r="D4" s="69"/>
      <c r="E4" s="69"/>
      <c r="F4" s="69"/>
      <c r="G4" s="69"/>
      <c r="H4" s="69"/>
      <c r="I4" s="4"/>
      <c r="J4" s="3"/>
      <c r="K4" s="3"/>
      <c r="L4" s="3"/>
      <c r="M4" s="2"/>
    </row>
    <row r="5" spans="1:13" ht="37.5">
      <c r="A5" s="2"/>
      <c r="B5" s="2"/>
      <c r="C5" s="2"/>
      <c r="D5" s="2"/>
      <c r="E5" s="2"/>
      <c r="F5" s="2"/>
      <c r="G5" s="2"/>
      <c r="H5" s="2"/>
      <c r="I5" s="11" t="s">
        <v>3</v>
      </c>
      <c r="J5" s="11" t="s">
        <v>4</v>
      </c>
      <c r="K5" s="11" t="s">
        <v>46</v>
      </c>
      <c r="L5" s="11" t="s">
        <v>6</v>
      </c>
      <c r="M5" s="11" t="s">
        <v>7</v>
      </c>
    </row>
    <row r="6" spans="1:13" ht="18.75">
      <c r="A6" s="2"/>
      <c r="B6" s="2"/>
      <c r="C6" s="2"/>
      <c r="D6" s="2"/>
      <c r="E6" s="2"/>
      <c r="F6" s="2"/>
      <c r="G6" s="2"/>
      <c r="H6" s="2"/>
      <c r="I6" s="16"/>
      <c r="J6" s="16"/>
      <c r="K6" s="16"/>
      <c r="L6" s="16"/>
      <c r="M6" s="2"/>
    </row>
    <row r="7" spans="1:13" ht="18.75">
      <c r="A7" s="2"/>
      <c r="B7" s="1"/>
      <c r="C7" s="1"/>
      <c r="D7" s="1"/>
      <c r="E7" s="1"/>
      <c r="F7" s="1"/>
      <c r="G7" s="2"/>
      <c r="H7" s="2"/>
      <c r="I7" s="3"/>
      <c r="J7" s="3"/>
      <c r="K7" s="3"/>
      <c r="L7" s="3"/>
      <c r="M7" s="2"/>
    </row>
    <row r="8" spans="1:13" ht="18.75">
      <c r="A8" s="1" t="s">
        <v>244</v>
      </c>
      <c r="B8" s="1"/>
      <c r="C8" s="1"/>
      <c r="D8" s="1"/>
      <c r="E8" s="1"/>
      <c r="F8" s="1"/>
      <c r="G8" s="2"/>
      <c r="H8" s="2"/>
      <c r="I8" s="3"/>
      <c r="J8" s="3"/>
      <c r="K8" s="3"/>
      <c r="L8" s="3"/>
      <c r="M8" s="2"/>
    </row>
    <row r="9" spans="1:13" ht="18.75">
      <c r="A9" s="1" t="s">
        <v>80</v>
      </c>
      <c r="B9" s="1"/>
      <c r="C9" s="1"/>
      <c r="D9" s="1"/>
      <c r="E9" s="1"/>
      <c r="F9" s="1"/>
      <c r="G9" s="2"/>
      <c r="H9" s="2"/>
      <c r="I9" s="3"/>
      <c r="J9" s="3"/>
      <c r="K9" s="3"/>
      <c r="L9" s="3"/>
      <c r="M9" s="2"/>
    </row>
    <row r="10" spans="1:13" ht="18.75">
      <c r="A10" s="2"/>
      <c r="B10" s="2" t="s">
        <v>10</v>
      </c>
      <c r="C10" s="2"/>
      <c r="D10" s="2"/>
      <c r="E10" s="2"/>
      <c r="F10" s="2"/>
      <c r="G10" s="2"/>
      <c r="H10" s="2"/>
      <c r="I10" s="3">
        <v>38517490</v>
      </c>
      <c r="J10" s="3">
        <v>1782986</v>
      </c>
      <c r="K10" s="3">
        <v>-5000</v>
      </c>
      <c r="L10" s="3">
        <f>SUM(I10:K10)</f>
        <v>40295476</v>
      </c>
      <c r="M10" s="3">
        <f>SUM(L10)</f>
        <v>40295476</v>
      </c>
    </row>
    <row r="11" spans="1:13" ht="18.75">
      <c r="A11" s="2"/>
      <c r="B11" s="2" t="s">
        <v>11</v>
      </c>
      <c r="C11" s="2"/>
      <c r="D11" s="2"/>
      <c r="E11" s="2"/>
      <c r="F11" s="2"/>
      <c r="G11" s="2"/>
      <c r="H11" s="2"/>
      <c r="I11" s="3">
        <v>31680505</v>
      </c>
      <c r="J11" s="3">
        <v>20908184</v>
      </c>
      <c r="K11" s="3">
        <v>-22974713</v>
      </c>
      <c r="L11" s="3">
        <f>SUM(I11:K11)</f>
        <v>29613976</v>
      </c>
      <c r="M11" s="3">
        <f>SUM(L11)</f>
        <v>29613976</v>
      </c>
    </row>
    <row r="12" spans="1:13" ht="18.75">
      <c r="A12" s="2"/>
      <c r="B12" s="1"/>
      <c r="C12" s="1" t="s">
        <v>68</v>
      </c>
      <c r="D12" s="1"/>
      <c r="E12" s="1"/>
      <c r="F12" s="1"/>
      <c r="G12" s="1"/>
      <c r="H12" s="1"/>
      <c r="I12" s="12">
        <f>SUM(I10:I11)</f>
        <v>70197995</v>
      </c>
      <c r="J12" s="12">
        <f>SUM(J10:J11)</f>
        <v>22691170</v>
      </c>
      <c r="K12" s="12">
        <f>SUM(K10:K11)</f>
        <v>-22979713</v>
      </c>
      <c r="L12" s="12">
        <f>SUM(L10:L11)</f>
        <v>69909452</v>
      </c>
      <c r="M12" s="1"/>
    </row>
    <row r="13" spans="1:13" ht="18.75">
      <c r="A13" s="1"/>
      <c r="B13" s="1"/>
      <c r="C13" s="1"/>
      <c r="D13" s="2"/>
      <c r="E13" s="2"/>
      <c r="F13" s="2"/>
      <c r="G13" s="2"/>
      <c r="H13" s="2"/>
      <c r="I13" s="3"/>
      <c r="J13" s="3"/>
      <c r="K13" s="3"/>
      <c r="L13" s="3"/>
      <c r="M13" s="2"/>
    </row>
    <row r="14" spans="1:13" ht="18.75">
      <c r="A14" s="1" t="s">
        <v>178</v>
      </c>
      <c r="B14" s="1"/>
      <c r="C14" s="1"/>
      <c r="D14" s="2"/>
      <c r="E14" s="2"/>
      <c r="F14" s="2"/>
      <c r="G14" s="2"/>
      <c r="H14" s="2"/>
      <c r="I14" s="3"/>
      <c r="J14" s="3"/>
      <c r="K14" s="3"/>
      <c r="L14" s="3"/>
      <c r="M14" s="2"/>
    </row>
    <row r="15" spans="1:13" ht="18.75">
      <c r="A15" s="2"/>
      <c r="B15" s="2" t="s">
        <v>103</v>
      </c>
      <c r="C15" s="2"/>
      <c r="D15" s="2"/>
      <c r="E15" s="2"/>
      <c r="F15" s="2"/>
      <c r="G15" s="2"/>
      <c r="H15" s="2"/>
      <c r="I15" s="3">
        <v>6651519</v>
      </c>
      <c r="J15" s="3">
        <v>530490</v>
      </c>
      <c r="K15" s="3"/>
      <c r="L15" s="3">
        <f>SUM(I15:K15)</f>
        <v>7182009</v>
      </c>
      <c r="M15" s="2"/>
    </row>
    <row r="16" spans="1:13" ht="18.75">
      <c r="A16" s="2"/>
      <c r="B16" s="2" t="s">
        <v>14</v>
      </c>
      <c r="C16" s="2"/>
      <c r="D16" s="2"/>
      <c r="E16" s="2"/>
      <c r="F16" s="2"/>
      <c r="G16" s="2"/>
      <c r="H16" s="2"/>
      <c r="I16" s="3">
        <v>174213423</v>
      </c>
      <c r="J16" s="3">
        <v>13773117</v>
      </c>
      <c r="K16" s="3">
        <v>-376693</v>
      </c>
      <c r="L16" s="3">
        <f>SUM(I16:K16)</f>
        <v>187609847</v>
      </c>
      <c r="M16" s="2"/>
    </row>
    <row r="17" spans="1:13" ht="18.75">
      <c r="A17" s="2"/>
      <c r="B17" s="2" t="s">
        <v>30</v>
      </c>
      <c r="C17" s="2"/>
      <c r="D17" s="2"/>
      <c r="E17" s="2"/>
      <c r="F17" s="2"/>
      <c r="G17" s="2"/>
      <c r="H17" s="2"/>
      <c r="I17" s="3">
        <v>52854330</v>
      </c>
      <c r="J17" s="3">
        <v>3184177</v>
      </c>
      <c r="K17" s="3">
        <v>-1956743</v>
      </c>
      <c r="L17" s="3">
        <f>SUM(I17:K17)</f>
        <v>54081764</v>
      </c>
      <c r="M17" s="2"/>
    </row>
    <row r="18" spans="1:13" ht="18.75">
      <c r="A18" s="2"/>
      <c r="B18" s="2" t="s">
        <v>245</v>
      </c>
      <c r="C18" s="2"/>
      <c r="D18" s="2"/>
      <c r="E18" s="2"/>
      <c r="F18" s="2"/>
      <c r="G18" s="2"/>
      <c r="H18" s="2"/>
      <c r="I18" s="3">
        <v>35200471</v>
      </c>
      <c r="J18" s="3">
        <v>3612969</v>
      </c>
      <c r="K18" s="3">
        <v>-2423396</v>
      </c>
      <c r="L18" s="3">
        <f>SUM(I18:K18)</f>
        <v>36390044</v>
      </c>
      <c r="M18" s="2"/>
    </row>
    <row r="19" spans="1:13" ht="18.75">
      <c r="A19" s="2"/>
      <c r="B19" s="2" t="s">
        <v>17</v>
      </c>
      <c r="C19" s="2"/>
      <c r="D19" s="2"/>
      <c r="E19" s="2"/>
      <c r="F19" s="2"/>
      <c r="G19" s="2"/>
      <c r="H19" s="2"/>
      <c r="I19" s="3">
        <v>658827392</v>
      </c>
      <c r="J19" s="3">
        <v>12172103</v>
      </c>
      <c r="K19" s="3"/>
      <c r="L19" s="3">
        <f>SUM(I19:K19)</f>
        <v>670999495</v>
      </c>
      <c r="M19" s="2"/>
    </row>
    <row r="20" spans="1:13" ht="18.75">
      <c r="A20" s="2"/>
      <c r="B20" s="2"/>
      <c r="C20" s="1" t="s">
        <v>18</v>
      </c>
      <c r="D20" s="2"/>
      <c r="E20" s="2"/>
      <c r="F20" s="2"/>
      <c r="G20" s="2"/>
      <c r="H20" s="2"/>
      <c r="I20" s="13">
        <f>SUM(I12:I19)</f>
        <v>997945130</v>
      </c>
      <c r="J20" s="13">
        <f t="shared" ref="J20:L20" si="0">SUM(J12:J19)</f>
        <v>55964026</v>
      </c>
      <c r="K20" s="13">
        <f t="shared" si="0"/>
        <v>-27736545</v>
      </c>
      <c r="L20" s="13">
        <f t="shared" si="0"/>
        <v>1026172611</v>
      </c>
      <c r="M20" s="2"/>
    </row>
    <row r="21" spans="1:13" ht="18.75">
      <c r="A21" s="1"/>
      <c r="B21" s="1"/>
      <c r="C21" s="1"/>
      <c r="D21" s="1"/>
      <c r="E21" s="1"/>
      <c r="F21" s="2"/>
      <c r="G21" s="2"/>
      <c r="H21" s="2"/>
      <c r="I21" s="15"/>
      <c r="J21" s="15"/>
      <c r="K21" s="15"/>
      <c r="L21" s="15"/>
      <c r="M21" s="2"/>
    </row>
    <row r="22" spans="1:13" ht="18.75">
      <c r="A22" s="1" t="s">
        <v>19</v>
      </c>
      <c r="B22" s="1"/>
      <c r="C22" s="1"/>
      <c r="D22" s="1"/>
      <c r="E22" s="1"/>
      <c r="F22" s="2"/>
      <c r="G22" s="2"/>
      <c r="H22" s="2"/>
      <c r="I22" s="3"/>
      <c r="J22" s="3"/>
      <c r="K22" s="3"/>
      <c r="L22" s="3"/>
      <c r="M22" s="2"/>
    </row>
    <row r="23" spans="1:13" ht="18.75">
      <c r="A23" s="2"/>
      <c r="B23" s="2" t="s">
        <v>103</v>
      </c>
      <c r="C23" s="2"/>
      <c r="D23" s="2"/>
      <c r="E23" s="2"/>
      <c r="F23" s="2"/>
      <c r="G23" s="2"/>
      <c r="H23" s="2"/>
      <c r="I23" s="3">
        <v>787655</v>
      </c>
      <c r="J23" s="3">
        <v>271568</v>
      </c>
      <c r="K23" s="3"/>
      <c r="L23" s="3">
        <f>SUM(I23:K23)</f>
        <v>1059223</v>
      </c>
      <c r="M23" s="3">
        <f>SUM(L15-L23)</f>
        <v>6122786</v>
      </c>
    </row>
    <row r="24" spans="1:13" ht="18.75">
      <c r="A24" s="2"/>
      <c r="B24" s="2" t="s">
        <v>14</v>
      </c>
      <c r="C24" s="2"/>
      <c r="D24" s="2"/>
      <c r="E24" s="2"/>
      <c r="F24" s="2"/>
      <c r="G24" s="2"/>
      <c r="H24" s="2"/>
      <c r="I24" s="3">
        <v>81130589</v>
      </c>
      <c r="J24" s="3">
        <v>3736188</v>
      </c>
      <c r="K24" s="3">
        <v>-102266</v>
      </c>
      <c r="L24" s="3">
        <f>SUM(I24:K24)</f>
        <v>84764511</v>
      </c>
      <c r="M24" s="3">
        <f t="shared" ref="M24:M27" si="1">SUM(L16-L24)</f>
        <v>102845336</v>
      </c>
    </row>
    <row r="25" spans="1:13" ht="18.75">
      <c r="A25" s="2"/>
      <c r="B25" s="2" t="s">
        <v>30</v>
      </c>
      <c r="C25" s="2"/>
      <c r="D25" s="2"/>
      <c r="E25" s="2"/>
      <c r="F25" s="2"/>
      <c r="G25" s="2"/>
      <c r="H25" s="2"/>
      <c r="I25" s="3">
        <v>32474188</v>
      </c>
      <c r="J25" s="3">
        <v>3637055</v>
      </c>
      <c r="K25" s="3">
        <v>-1616012</v>
      </c>
      <c r="L25" s="3">
        <f>SUM(I25:K25)</f>
        <v>34495231</v>
      </c>
      <c r="M25" s="3">
        <f t="shared" si="1"/>
        <v>19586533</v>
      </c>
    </row>
    <row r="26" spans="1:13" ht="18.75">
      <c r="A26" s="2"/>
      <c r="B26" s="2" t="s">
        <v>246</v>
      </c>
      <c r="C26" s="2"/>
      <c r="D26" s="2"/>
      <c r="E26" s="2"/>
      <c r="F26" s="2"/>
      <c r="G26" s="2"/>
      <c r="H26" s="2"/>
      <c r="I26" s="3">
        <v>23411200</v>
      </c>
      <c r="J26" s="3">
        <v>2680669</v>
      </c>
      <c r="K26" s="3">
        <v>-2336280</v>
      </c>
      <c r="L26" s="3">
        <f>SUM(I26:K26)</f>
        <v>23755589</v>
      </c>
      <c r="M26" s="3">
        <f t="shared" si="1"/>
        <v>12634455</v>
      </c>
    </row>
    <row r="27" spans="1:13" ht="18.75">
      <c r="A27" s="2"/>
      <c r="B27" s="2" t="s">
        <v>17</v>
      </c>
      <c r="C27" s="2"/>
      <c r="D27" s="2"/>
      <c r="E27" s="2"/>
      <c r="F27" s="2"/>
      <c r="G27" s="2"/>
      <c r="H27" s="2"/>
      <c r="I27" s="3">
        <v>272701745</v>
      </c>
      <c r="J27" s="3">
        <v>17269060</v>
      </c>
      <c r="K27" s="3"/>
      <c r="L27" s="3">
        <f>SUM(I27:K27)</f>
        <v>289970805</v>
      </c>
      <c r="M27" s="3">
        <f t="shared" si="1"/>
        <v>381028690</v>
      </c>
    </row>
    <row r="28" spans="1:13" ht="18.75">
      <c r="A28" s="1"/>
      <c r="B28" s="1"/>
      <c r="C28" s="1" t="s">
        <v>20</v>
      </c>
      <c r="D28" s="1"/>
      <c r="E28" s="1"/>
      <c r="F28" s="1"/>
      <c r="G28" s="1"/>
      <c r="H28" s="1"/>
      <c r="I28" s="10">
        <f>SUM(I23:I27)</f>
        <v>410505377</v>
      </c>
      <c r="J28" s="10">
        <f>SUM(J23:J27)</f>
        <v>27594540</v>
      </c>
      <c r="K28" s="10">
        <f>SUM(K23:K27)</f>
        <v>-4054558</v>
      </c>
      <c r="L28" s="10">
        <f>SUM(L23:L27)</f>
        <v>434045359</v>
      </c>
      <c r="M28" s="1"/>
    </row>
    <row r="29" spans="1:13" ht="18.75">
      <c r="A29" s="1"/>
      <c r="B29" s="1"/>
      <c r="C29" s="1"/>
      <c r="D29" s="1"/>
      <c r="E29" s="1"/>
      <c r="F29" s="1"/>
      <c r="G29" s="1"/>
      <c r="H29" s="1"/>
      <c r="I29" s="10"/>
      <c r="J29" s="10"/>
      <c r="K29" s="10"/>
      <c r="L29" s="10"/>
      <c r="M29" s="1"/>
    </row>
    <row r="30" spans="1:13" ht="18.75">
      <c r="A30" s="1"/>
      <c r="B30" s="1" t="s">
        <v>22</v>
      </c>
      <c r="C30" s="1"/>
      <c r="D30" s="1"/>
      <c r="E30" s="1"/>
      <c r="F30" s="1"/>
      <c r="G30" s="1"/>
      <c r="H30" s="1"/>
      <c r="I30" s="10">
        <f>SUM(I20-I28)</f>
        <v>587439753</v>
      </c>
      <c r="J30" s="10">
        <f>SUM(J20-J28)</f>
        <v>28369486</v>
      </c>
      <c r="K30" s="10">
        <f>SUM(K20-K28)</f>
        <v>-23681987</v>
      </c>
      <c r="L30" s="10">
        <f>SUM(L20-L28)</f>
        <v>592127252</v>
      </c>
      <c r="M30" s="15">
        <f>SUM(M10:M27)</f>
        <v>592127252</v>
      </c>
    </row>
    <row r="31" spans="1:13" ht="18.75">
      <c r="A31" s="1"/>
      <c r="B31" s="1"/>
      <c r="C31" s="1"/>
      <c r="D31" s="1"/>
      <c r="E31" s="1"/>
      <c r="F31" s="1"/>
      <c r="G31" s="1"/>
      <c r="H31" s="1"/>
      <c r="I31" s="31"/>
      <c r="J31" s="31"/>
      <c r="K31" s="31"/>
      <c r="L31" s="31"/>
      <c r="M31" s="1"/>
    </row>
    <row r="32" spans="1:13" ht="18.75">
      <c r="A32" s="2"/>
      <c r="B32" s="1"/>
      <c r="C32" s="2"/>
      <c r="D32" s="2"/>
      <c r="E32" s="2"/>
      <c r="F32" s="2"/>
      <c r="G32" s="2"/>
      <c r="H32" s="2"/>
      <c r="I32" s="15"/>
      <c r="J32" s="15"/>
      <c r="K32" s="15"/>
      <c r="L32" s="15"/>
      <c r="M32" s="2"/>
    </row>
    <row r="33" spans="1:13" ht="18.75">
      <c r="A33" s="2"/>
      <c r="B33" s="2"/>
      <c r="C33" s="2"/>
      <c r="D33" s="2"/>
      <c r="E33" s="2"/>
      <c r="F33" s="2"/>
      <c r="G33" s="2"/>
      <c r="H33" s="2"/>
      <c r="I33" s="3"/>
      <c r="J33" s="3"/>
      <c r="K33" s="3"/>
      <c r="L33" s="3"/>
      <c r="M33" s="2"/>
    </row>
    <row r="34" spans="1:13" ht="37.5">
      <c r="A34" s="2"/>
      <c r="B34" s="2"/>
      <c r="C34" s="2"/>
      <c r="D34" s="2"/>
      <c r="E34" s="2"/>
      <c r="F34" s="2"/>
      <c r="G34" s="2"/>
      <c r="H34" s="2"/>
      <c r="I34" s="17" t="s">
        <v>3</v>
      </c>
      <c r="J34" s="17" t="s">
        <v>4</v>
      </c>
      <c r="K34" s="17" t="s">
        <v>5</v>
      </c>
      <c r="L34" s="17" t="s">
        <v>6</v>
      </c>
      <c r="M34" s="2"/>
    </row>
    <row r="35" spans="1:13" ht="18.75">
      <c r="A35" s="2"/>
      <c r="B35" s="2"/>
      <c r="C35" s="2"/>
      <c r="D35" s="2"/>
      <c r="E35" s="2"/>
      <c r="F35" s="2"/>
      <c r="G35" s="2"/>
      <c r="H35" s="2"/>
      <c r="I35" s="5"/>
      <c r="J35" s="5"/>
      <c r="K35" s="5"/>
      <c r="L35" s="5"/>
      <c r="M35" s="2"/>
    </row>
    <row r="36" spans="1:13" ht="18.75">
      <c r="A36" s="1" t="s">
        <v>79</v>
      </c>
      <c r="B36" s="1"/>
      <c r="C36" s="1"/>
      <c r="D36" s="1"/>
      <c r="E36" s="1"/>
      <c r="F36" s="1"/>
      <c r="G36" s="2"/>
      <c r="H36" s="2"/>
      <c r="I36" s="3"/>
      <c r="J36" s="3"/>
      <c r="K36" s="3"/>
      <c r="L36" s="3"/>
      <c r="M36" s="2"/>
    </row>
    <row r="37" spans="1:13" ht="18.75">
      <c r="A37" s="2"/>
      <c r="B37" s="2"/>
      <c r="C37" s="2"/>
      <c r="D37" s="2"/>
      <c r="E37" s="2"/>
      <c r="F37" s="2"/>
      <c r="G37" s="2"/>
      <c r="H37" s="2"/>
      <c r="I37" s="3"/>
      <c r="J37" s="3"/>
      <c r="K37" s="3"/>
      <c r="L37" s="3"/>
      <c r="M37" s="2"/>
    </row>
    <row r="38" spans="1:13" ht="18.75">
      <c r="A38" s="1" t="s">
        <v>80</v>
      </c>
      <c r="B38" s="2"/>
      <c r="C38" s="2"/>
      <c r="D38" s="2"/>
      <c r="E38" s="2"/>
      <c r="F38" s="2"/>
      <c r="G38" s="2"/>
      <c r="H38" s="2"/>
      <c r="I38" s="3"/>
      <c r="J38" s="3"/>
      <c r="K38" s="3"/>
      <c r="L38" s="3"/>
      <c r="M38" s="2"/>
    </row>
    <row r="39" spans="1:13" ht="18.75">
      <c r="A39" s="1"/>
      <c r="B39" s="2" t="s">
        <v>10</v>
      </c>
      <c r="C39" s="2"/>
      <c r="D39" s="2"/>
      <c r="E39" s="2"/>
      <c r="F39" s="2"/>
      <c r="G39" s="2"/>
      <c r="H39" s="2"/>
      <c r="I39" s="3">
        <v>21168445</v>
      </c>
      <c r="J39" s="3">
        <v>1094758</v>
      </c>
      <c r="K39" s="3"/>
      <c r="L39" s="3">
        <f>SUM(I39:K39)</f>
        <v>22263203</v>
      </c>
      <c r="M39" s="3">
        <f>SUM(L39)</f>
        <v>22263203</v>
      </c>
    </row>
    <row r="40" spans="1:13" ht="18.75">
      <c r="A40" s="2"/>
      <c r="B40" s="2" t="s">
        <v>11</v>
      </c>
      <c r="C40" s="2"/>
      <c r="D40" s="2"/>
      <c r="E40" s="2"/>
      <c r="F40" s="2"/>
      <c r="G40" s="2"/>
      <c r="H40" s="2"/>
      <c r="I40" s="3">
        <v>44390674</v>
      </c>
      <c r="J40" s="3">
        <v>76911040</v>
      </c>
      <c r="K40" s="3">
        <v>-44847912</v>
      </c>
      <c r="L40" s="3">
        <f>SUM(I40:K40)</f>
        <v>76453802</v>
      </c>
      <c r="M40" s="3">
        <f>SUM(L40)</f>
        <v>76453802</v>
      </c>
    </row>
    <row r="41" spans="1:13" ht="18.75">
      <c r="A41" s="2"/>
      <c r="B41" s="2"/>
      <c r="C41" s="1" t="s">
        <v>18</v>
      </c>
      <c r="D41" s="2"/>
      <c r="E41" s="2"/>
      <c r="F41" s="2"/>
      <c r="G41" s="2"/>
      <c r="H41" s="2"/>
      <c r="I41" s="12">
        <f>SUM(I39:I40)</f>
        <v>65559119</v>
      </c>
      <c r="J41" s="12">
        <f>SUM(J39:J40)</f>
        <v>78005798</v>
      </c>
      <c r="K41" s="12">
        <f>SUM(K39:K40)</f>
        <v>-44847912</v>
      </c>
      <c r="L41" s="12">
        <f>SUM(L39:L40)</f>
        <v>98717005</v>
      </c>
      <c r="M41" s="2"/>
    </row>
    <row r="42" spans="1:13" ht="18.75">
      <c r="A42" s="2"/>
      <c r="B42" s="2"/>
      <c r="C42" s="1"/>
      <c r="D42" s="2"/>
      <c r="E42" s="2"/>
      <c r="F42" s="2"/>
      <c r="G42" s="2"/>
      <c r="H42" s="2"/>
      <c r="I42" s="15"/>
      <c r="J42" s="15"/>
      <c r="K42" s="15"/>
      <c r="L42" s="15"/>
      <c r="M42" s="2"/>
    </row>
    <row r="43" spans="1:13" ht="18.75">
      <c r="A43" s="1" t="s">
        <v>13</v>
      </c>
      <c r="B43" s="2"/>
      <c r="C43" s="1"/>
      <c r="D43" s="2"/>
      <c r="E43" s="2"/>
      <c r="F43" s="2"/>
      <c r="G43" s="2"/>
      <c r="H43" s="2"/>
      <c r="I43" s="15"/>
      <c r="J43" s="15"/>
      <c r="K43" s="15"/>
      <c r="L43" s="15"/>
      <c r="M43" s="2"/>
    </row>
    <row r="44" spans="1:13" ht="18.75">
      <c r="A44" s="2"/>
      <c r="B44" s="2" t="s">
        <v>14</v>
      </c>
      <c r="C44" s="1"/>
      <c r="D44" s="2"/>
      <c r="E44" s="2"/>
      <c r="F44" s="2"/>
      <c r="G44" s="2"/>
      <c r="H44" s="2"/>
      <c r="I44" s="3">
        <v>3159649</v>
      </c>
      <c r="J44" s="3"/>
      <c r="K44" s="3"/>
      <c r="L44" s="3">
        <f t="shared" ref="L44:L49" si="2">SUM(I44:K44)</f>
        <v>3159649</v>
      </c>
      <c r="M44" s="2"/>
    </row>
    <row r="45" spans="1:13" ht="18.75">
      <c r="A45" s="2"/>
      <c r="B45" s="2" t="s">
        <v>247</v>
      </c>
      <c r="C45" s="1"/>
      <c r="D45" s="2"/>
      <c r="E45" s="2"/>
      <c r="F45" s="2"/>
      <c r="G45" s="2"/>
      <c r="H45" s="2"/>
      <c r="I45" s="3">
        <v>705946776</v>
      </c>
      <c r="J45" s="3">
        <v>27960423</v>
      </c>
      <c r="K45" s="3">
        <v>-1692384</v>
      </c>
      <c r="L45" s="3">
        <f t="shared" si="2"/>
        <v>732214815</v>
      </c>
      <c r="M45" s="2"/>
    </row>
    <row r="46" spans="1:13" ht="18.75">
      <c r="A46" s="2"/>
      <c r="B46" s="2" t="s">
        <v>248</v>
      </c>
      <c r="C46" s="1"/>
      <c r="D46" s="2"/>
      <c r="E46" s="2"/>
      <c r="F46" s="2"/>
      <c r="G46" s="2"/>
      <c r="H46" s="2"/>
      <c r="I46" s="3">
        <v>148156908</v>
      </c>
      <c r="J46" s="3">
        <v>3719264</v>
      </c>
      <c r="K46" s="3">
        <v>-286509</v>
      </c>
      <c r="L46" s="3">
        <f t="shared" si="2"/>
        <v>151589663</v>
      </c>
      <c r="M46" s="2"/>
    </row>
    <row r="47" spans="1:13" ht="18.75">
      <c r="A47" s="2"/>
      <c r="B47" s="2" t="s">
        <v>249</v>
      </c>
      <c r="C47" s="1"/>
      <c r="D47" s="2"/>
      <c r="E47" s="2"/>
      <c r="F47" s="2"/>
      <c r="G47" s="2"/>
      <c r="H47" s="2"/>
      <c r="I47" s="3">
        <v>218862854</v>
      </c>
      <c r="J47" s="3">
        <v>5622077</v>
      </c>
      <c r="K47" s="3">
        <v>-500013</v>
      </c>
      <c r="L47" s="3">
        <f t="shared" si="2"/>
        <v>223984918</v>
      </c>
      <c r="M47" s="2"/>
    </row>
    <row r="48" spans="1:13" ht="18.75">
      <c r="A48" s="2"/>
      <c r="B48" s="2" t="s">
        <v>250</v>
      </c>
      <c r="C48" s="1"/>
      <c r="D48" s="2"/>
      <c r="E48" s="2"/>
      <c r="F48" s="2"/>
      <c r="G48" s="2"/>
      <c r="H48" s="2"/>
      <c r="I48" s="3">
        <v>126805747</v>
      </c>
      <c r="J48" s="3">
        <v>6773905</v>
      </c>
      <c r="K48" s="3">
        <v>-177038</v>
      </c>
      <c r="L48" s="3">
        <f t="shared" si="2"/>
        <v>133402614</v>
      </c>
      <c r="M48" s="2"/>
    </row>
    <row r="49" spans="1:13" ht="18.75">
      <c r="A49" s="2"/>
      <c r="B49" s="2" t="s">
        <v>33</v>
      </c>
      <c r="C49" s="1"/>
      <c r="D49" s="2"/>
      <c r="E49" s="2"/>
      <c r="F49" s="2"/>
      <c r="G49" s="2"/>
      <c r="H49" s="2"/>
      <c r="I49" s="3">
        <v>18535569</v>
      </c>
      <c r="J49" s="3">
        <v>113631</v>
      </c>
      <c r="K49" s="3">
        <v>-8772</v>
      </c>
      <c r="L49" s="3">
        <f t="shared" si="2"/>
        <v>18640428</v>
      </c>
      <c r="M49" s="2"/>
    </row>
    <row r="50" spans="1:13" ht="18.75">
      <c r="A50" s="2"/>
      <c r="B50" s="2"/>
      <c r="C50" s="1" t="s">
        <v>18</v>
      </c>
      <c r="D50" s="2"/>
      <c r="E50" s="2"/>
      <c r="F50" s="2"/>
      <c r="G50" s="2"/>
      <c r="H50" s="2"/>
      <c r="I50" s="12">
        <f>SUM(I41:I49)</f>
        <v>1287026622</v>
      </c>
      <c r="J50" s="12">
        <f t="shared" ref="J50:L50" si="3">SUM(J41:J49)</f>
        <v>122195098</v>
      </c>
      <c r="K50" s="12">
        <f t="shared" si="3"/>
        <v>-47512628</v>
      </c>
      <c r="L50" s="12">
        <f t="shared" si="3"/>
        <v>1361709092</v>
      </c>
      <c r="M50" s="2"/>
    </row>
    <row r="51" spans="1:13" ht="18.75">
      <c r="A51" s="2"/>
      <c r="B51" s="2"/>
      <c r="C51" s="1"/>
      <c r="D51" s="2"/>
      <c r="E51" s="2"/>
      <c r="F51" s="2"/>
      <c r="G51" s="2"/>
      <c r="H51" s="2"/>
      <c r="I51" s="15"/>
      <c r="J51" s="15"/>
      <c r="K51" s="15"/>
      <c r="L51" s="15"/>
      <c r="M51" s="2"/>
    </row>
    <row r="52" spans="1:13" ht="18.75">
      <c r="A52" s="1" t="s">
        <v>19</v>
      </c>
      <c r="B52" s="2"/>
      <c r="C52" s="2"/>
      <c r="D52" s="2"/>
      <c r="E52" s="2"/>
      <c r="F52" s="2"/>
      <c r="G52" s="2"/>
      <c r="H52" s="2"/>
      <c r="I52" s="3"/>
      <c r="J52" s="3"/>
      <c r="K52" s="3"/>
      <c r="L52" s="3"/>
      <c r="M52" s="2"/>
    </row>
    <row r="53" spans="1:13" ht="18.75">
      <c r="A53" s="2"/>
      <c r="B53" s="2" t="s">
        <v>14</v>
      </c>
      <c r="C53" s="2"/>
      <c r="D53" s="2"/>
      <c r="E53" s="2"/>
      <c r="F53" s="2"/>
      <c r="G53" s="2"/>
      <c r="H53" s="2"/>
      <c r="I53" s="3">
        <v>2931532</v>
      </c>
      <c r="J53" s="3">
        <v>8405</v>
      </c>
      <c r="K53" s="3"/>
      <c r="L53" s="3">
        <f t="shared" ref="L53:L58" si="4">SUM(I53:K53)</f>
        <v>2939937</v>
      </c>
      <c r="M53" s="3">
        <f>SUM(L44-L53)</f>
        <v>219712</v>
      </c>
    </row>
    <row r="54" spans="1:13" ht="18.75">
      <c r="A54" s="2"/>
      <c r="B54" s="2" t="s">
        <v>247</v>
      </c>
      <c r="C54" s="2"/>
      <c r="D54" s="2"/>
      <c r="E54" s="2"/>
      <c r="F54" s="2"/>
      <c r="G54" s="2"/>
      <c r="H54" s="2"/>
      <c r="I54" s="3">
        <v>390136012</v>
      </c>
      <c r="J54" s="3">
        <v>16499758</v>
      </c>
      <c r="K54" s="3">
        <v>-1372873</v>
      </c>
      <c r="L54" s="3">
        <f t="shared" si="4"/>
        <v>405262897</v>
      </c>
      <c r="M54" s="3">
        <f t="shared" ref="M54:M58" si="5">SUM(L45-L54)</f>
        <v>326951918</v>
      </c>
    </row>
    <row r="55" spans="1:13" ht="18.75">
      <c r="A55" s="2"/>
      <c r="B55" s="2" t="s">
        <v>251</v>
      </c>
      <c r="C55" s="2"/>
      <c r="D55" s="2"/>
      <c r="E55" s="2"/>
      <c r="F55" s="2"/>
      <c r="G55" s="2"/>
      <c r="H55" s="2"/>
      <c r="I55" s="3">
        <v>54334042</v>
      </c>
      <c r="J55" s="3">
        <v>3947778</v>
      </c>
      <c r="K55" s="3">
        <v>-248182</v>
      </c>
      <c r="L55" s="3">
        <f t="shared" si="4"/>
        <v>58033638</v>
      </c>
      <c r="M55" s="3">
        <f t="shared" si="5"/>
        <v>93556025</v>
      </c>
    </row>
    <row r="56" spans="1:13" ht="18.75">
      <c r="A56" s="2"/>
      <c r="B56" s="2" t="s">
        <v>249</v>
      </c>
      <c r="C56" s="2"/>
      <c r="D56" s="2"/>
      <c r="E56" s="2"/>
      <c r="F56" s="2"/>
      <c r="G56" s="2"/>
      <c r="H56" s="2"/>
      <c r="I56" s="3">
        <v>65545535</v>
      </c>
      <c r="J56" s="3">
        <v>4714518</v>
      </c>
      <c r="K56" s="3">
        <v>-516957</v>
      </c>
      <c r="L56" s="3">
        <f t="shared" si="4"/>
        <v>69743096</v>
      </c>
      <c r="M56" s="3">
        <f t="shared" si="5"/>
        <v>154241822</v>
      </c>
    </row>
    <row r="57" spans="1:13" ht="18.75">
      <c r="A57" s="2"/>
      <c r="B57" s="2" t="s">
        <v>250</v>
      </c>
      <c r="C57" s="2"/>
      <c r="D57" s="2"/>
      <c r="E57" s="2"/>
      <c r="F57" s="2"/>
      <c r="G57" s="2"/>
      <c r="H57" s="2"/>
      <c r="I57" s="3">
        <v>41123639</v>
      </c>
      <c r="J57" s="3">
        <v>10452328</v>
      </c>
      <c r="K57" s="3">
        <v>-53788</v>
      </c>
      <c r="L57" s="3">
        <f t="shared" si="4"/>
        <v>51522179</v>
      </c>
      <c r="M57" s="3">
        <f t="shared" si="5"/>
        <v>81880435</v>
      </c>
    </row>
    <row r="58" spans="1:13" ht="18.75">
      <c r="A58" s="2"/>
      <c r="B58" s="2" t="s">
        <v>33</v>
      </c>
      <c r="C58" s="2"/>
      <c r="D58" s="2"/>
      <c r="E58" s="2"/>
      <c r="F58" s="2"/>
      <c r="G58" s="2"/>
      <c r="H58" s="2"/>
      <c r="I58" s="3">
        <v>4091376</v>
      </c>
      <c r="J58" s="3">
        <v>619550</v>
      </c>
      <c r="K58" s="3">
        <v>-7077</v>
      </c>
      <c r="L58" s="3">
        <f t="shared" si="4"/>
        <v>4703849</v>
      </c>
      <c r="M58" s="3">
        <f t="shared" si="5"/>
        <v>13936579</v>
      </c>
    </row>
    <row r="59" spans="1:13" ht="18.75">
      <c r="A59" s="1"/>
      <c r="B59" s="1"/>
      <c r="C59" s="1" t="s">
        <v>20</v>
      </c>
      <c r="D59" s="1"/>
      <c r="E59" s="1"/>
      <c r="F59" s="1"/>
      <c r="G59" s="1"/>
      <c r="H59" s="2"/>
      <c r="I59" s="12">
        <f>SUM(I53:I58)</f>
        <v>558162136</v>
      </c>
      <c r="J59" s="12">
        <f>SUM(J53:J58)</f>
        <v>36242337</v>
      </c>
      <c r="K59" s="12">
        <f t="shared" ref="K59:L59" si="6">SUM(K53:K58)</f>
        <v>-2198877</v>
      </c>
      <c r="L59" s="12">
        <f t="shared" si="6"/>
        <v>592205596</v>
      </c>
      <c r="M59" s="2"/>
    </row>
    <row r="60" spans="1:13" ht="18.75">
      <c r="A60" s="1"/>
      <c r="B60" s="1"/>
      <c r="C60" s="1"/>
      <c r="D60" s="1"/>
      <c r="E60" s="1"/>
      <c r="F60" s="1"/>
      <c r="G60" s="1"/>
      <c r="H60" s="2"/>
      <c r="I60" s="12"/>
      <c r="J60" s="12"/>
      <c r="K60" s="12"/>
      <c r="L60" s="12"/>
      <c r="M60" s="2"/>
    </row>
    <row r="61" spans="1:13" ht="18.75">
      <c r="A61" s="1"/>
      <c r="B61" s="1"/>
      <c r="C61" s="1" t="s">
        <v>43</v>
      </c>
      <c r="D61" s="1"/>
      <c r="E61" s="1"/>
      <c r="F61" s="1"/>
      <c r="G61" s="1"/>
      <c r="H61" s="2"/>
      <c r="I61" s="13">
        <f>SUM(I50-I59)</f>
        <v>728864486</v>
      </c>
      <c r="J61" s="13">
        <f>SUM(J50-J59)</f>
        <v>85952761</v>
      </c>
      <c r="K61" s="13">
        <f t="shared" ref="K61:L61" si="7">SUM(K50-K59)</f>
        <v>-45313751</v>
      </c>
      <c r="L61" s="13">
        <f t="shared" si="7"/>
        <v>769503496</v>
      </c>
      <c r="M61" s="3">
        <f>SUM(M39:M58)</f>
        <v>769503496</v>
      </c>
    </row>
  </sheetData>
  <mergeCells count="3">
    <mergeCell ref="D1:I1"/>
    <mergeCell ref="D2:I2"/>
    <mergeCell ref="D3:I3"/>
  </mergeCells>
  <pageMargins left="0.7" right="0.7" top="0.75" bottom="0.75" header="0.3" footer="0.3"/>
  <extLst>
    <ext xmlns:mx="http://schemas.microsoft.com/office/mac/excel/2008/main" uri="{64002731-A6B0-56B0-2670-7721B7C09600}">
      <mx:PLV Mode="0" OnePage="0" WScale="0"/>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O36"/>
  <sheetViews>
    <sheetView topLeftCell="A7" workbookViewId="0">
      <selection activeCell="M28" sqref="M28"/>
    </sheetView>
  </sheetViews>
  <sheetFormatPr defaultColWidth="8.85546875" defaultRowHeight="15"/>
  <cols>
    <col min="9" max="9" width="18.28515625" customWidth="1"/>
    <col min="10" max="10" width="16.7109375" customWidth="1"/>
    <col min="11" max="11" width="16.85546875" customWidth="1"/>
    <col min="12" max="12" width="18.42578125" customWidth="1"/>
    <col min="13" max="13" width="18.28515625" customWidth="1"/>
  </cols>
  <sheetData>
    <row r="1" spans="1:13" ht="18.75">
      <c r="A1" s="2"/>
      <c r="B1" s="2"/>
      <c r="C1" s="2"/>
      <c r="D1" s="136" t="s">
        <v>252</v>
      </c>
      <c r="E1" s="136"/>
      <c r="F1" s="136"/>
      <c r="G1" s="136"/>
      <c r="H1" s="136"/>
      <c r="I1" s="136"/>
      <c r="J1" s="3"/>
      <c r="K1" s="3"/>
      <c r="L1" s="3"/>
      <c r="M1" s="2"/>
    </row>
    <row r="2" spans="1:13" ht="18.75">
      <c r="A2" s="2"/>
      <c r="B2" s="2"/>
      <c r="C2" s="2"/>
      <c r="D2" s="136" t="s">
        <v>1</v>
      </c>
      <c r="E2" s="136"/>
      <c r="F2" s="136"/>
      <c r="G2" s="136"/>
      <c r="H2" s="136"/>
      <c r="I2" s="136"/>
      <c r="J2" s="3"/>
      <c r="K2" s="3"/>
      <c r="L2" s="3"/>
      <c r="M2" s="2"/>
    </row>
    <row r="3" spans="1:13" ht="18.75">
      <c r="A3" s="2"/>
      <c r="B3" s="2"/>
      <c r="C3" s="2"/>
      <c r="D3" s="136" t="s">
        <v>2</v>
      </c>
      <c r="E3" s="136"/>
      <c r="F3" s="136"/>
      <c r="G3" s="136"/>
      <c r="H3" s="136"/>
      <c r="I3" s="136"/>
      <c r="J3" s="3"/>
      <c r="K3" s="3"/>
      <c r="L3" s="3"/>
      <c r="M3" s="2"/>
    </row>
    <row r="4" spans="1:13" ht="18.75">
      <c r="A4" s="2"/>
      <c r="B4" s="2"/>
      <c r="C4" s="2"/>
      <c r="D4" s="69"/>
      <c r="E4" s="69"/>
      <c r="F4" s="69"/>
      <c r="G4" s="69"/>
      <c r="H4" s="69"/>
      <c r="I4" s="4"/>
      <c r="J4" s="3"/>
      <c r="K4" s="3"/>
      <c r="L4" s="3"/>
      <c r="M4" s="2"/>
    </row>
    <row r="5" spans="1:13" ht="37.5">
      <c r="A5" s="2"/>
      <c r="B5" s="2"/>
      <c r="C5" s="2"/>
      <c r="D5" s="2"/>
      <c r="E5" s="2"/>
      <c r="F5" s="2"/>
      <c r="G5" s="2"/>
      <c r="H5" s="2"/>
      <c r="I5" s="11" t="s">
        <v>3</v>
      </c>
      <c r="J5" s="11" t="s">
        <v>4</v>
      </c>
      <c r="K5" s="11" t="s">
        <v>253</v>
      </c>
      <c r="L5" s="11" t="s">
        <v>6</v>
      </c>
      <c r="M5" s="11" t="s">
        <v>7</v>
      </c>
    </row>
    <row r="6" spans="1:13" ht="18.75">
      <c r="A6" s="2"/>
      <c r="B6" s="2"/>
      <c r="C6" s="2"/>
      <c r="D6" s="2"/>
      <c r="E6" s="2"/>
      <c r="F6" s="2"/>
      <c r="G6" s="2"/>
      <c r="H6" s="2"/>
      <c r="I6" s="16"/>
      <c r="J6" s="16"/>
      <c r="K6" s="16"/>
      <c r="L6" s="16"/>
      <c r="M6" s="2"/>
    </row>
    <row r="7" spans="1:13" ht="18.75">
      <c r="A7" s="2"/>
      <c r="B7" s="1"/>
      <c r="C7" s="1"/>
      <c r="D7" s="1"/>
      <c r="E7" s="1"/>
      <c r="F7" s="1"/>
      <c r="G7" s="2"/>
      <c r="H7" s="2"/>
      <c r="I7" s="3"/>
      <c r="J7" s="3"/>
      <c r="K7" s="3"/>
      <c r="L7" s="3"/>
      <c r="M7" s="2"/>
    </row>
    <row r="8" spans="1:13" ht="18.75">
      <c r="A8" s="1" t="s">
        <v>244</v>
      </c>
      <c r="B8" s="1"/>
      <c r="C8" s="1"/>
      <c r="D8" s="1"/>
      <c r="E8" s="1"/>
      <c r="F8" s="1"/>
      <c r="G8" s="2"/>
      <c r="H8" s="2"/>
      <c r="I8" s="3"/>
      <c r="J8" s="3"/>
      <c r="K8" s="3"/>
      <c r="L8" s="3"/>
      <c r="M8" s="2"/>
    </row>
    <row r="9" spans="1:13" ht="18.75">
      <c r="A9" s="1" t="s">
        <v>80</v>
      </c>
      <c r="B9" s="1"/>
      <c r="C9" s="1"/>
      <c r="D9" s="1"/>
      <c r="E9" s="1"/>
      <c r="F9" s="1"/>
      <c r="G9" s="2"/>
      <c r="H9" s="2"/>
      <c r="I9" s="3"/>
      <c r="J9" s="3"/>
      <c r="K9" s="3"/>
      <c r="L9" s="3"/>
      <c r="M9" s="2"/>
    </row>
    <row r="10" spans="1:13" ht="18.75">
      <c r="A10" s="2"/>
      <c r="B10" s="2" t="s">
        <v>10</v>
      </c>
      <c r="C10" s="2"/>
      <c r="D10" s="2"/>
      <c r="E10" s="2"/>
      <c r="F10" s="2"/>
      <c r="G10" s="2"/>
      <c r="H10" s="2"/>
      <c r="I10" s="3">
        <v>1315603</v>
      </c>
      <c r="J10" s="3"/>
      <c r="K10" s="3">
        <v>-18327</v>
      </c>
      <c r="L10" s="3">
        <f>SUM(I10:K10)</f>
        <v>1297276</v>
      </c>
      <c r="M10" s="3">
        <f>SUM(L10)</f>
        <v>1297276</v>
      </c>
    </row>
    <row r="11" spans="1:13" ht="18.75">
      <c r="A11" s="2"/>
      <c r="B11" s="2" t="s">
        <v>11</v>
      </c>
      <c r="C11" s="2"/>
      <c r="D11" s="2"/>
      <c r="E11" s="2"/>
      <c r="F11" s="2"/>
      <c r="G11" s="2"/>
      <c r="H11" s="2"/>
      <c r="I11" s="3">
        <v>23784976</v>
      </c>
      <c r="J11" s="3">
        <v>20685900</v>
      </c>
      <c r="K11" s="3">
        <v>-5955299</v>
      </c>
      <c r="L11" s="3">
        <f>SUM(I11:K11)</f>
        <v>38515577</v>
      </c>
      <c r="M11" s="3">
        <f>SUM(L11)</f>
        <v>38515577</v>
      </c>
    </row>
    <row r="12" spans="1:13" ht="18.75">
      <c r="A12" s="2"/>
      <c r="B12" s="1"/>
      <c r="C12" s="1" t="s">
        <v>68</v>
      </c>
      <c r="D12" s="1"/>
      <c r="E12" s="1"/>
      <c r="F12" s="1"/>
      <c r="G12" s="1"/>
      <c r="H12" s="1"/>
      <c r="I12" s="12">
        <f>SUM(I10:I11)</f>
        <v>25100579</v>
      </c>
      <c r="J12" s="12">
        <f>SUM(J10:J11)</f>
        <v>20685900</v>
      </c>
      <c r="K12" s="12">
        <f>SUM(K10:K11)</f>
        <v>-5973626</v>
      </c>
      <c r="L12" s="12">
        <f>SUM(L10:L11)</f>
        <v>39812853</v>
      </c>
      <c r="M12" s="1"/>
    </row>
    <row r="13" spans="1:13" ht="18.75">
      <c r="A13" s="1"/>
      <c r="B13" s="1"/>
      <c r="C13" s="1"/>
      <c r="D13" s="2"/>
      <c r="E13" s="2"/>
      <c r="F13" s="2"/>
      <c r="G13" s="2"/>
      <c r="H13" s="2"/>
      <c r="I13" s="3"/>
      <c r="J13" s="3"/>
      <c r="K13" s="3"/>
      <c r="L13" s="3"/>
      <c r="M13" s="2"/>
    </row>
    <row r="14" spans="1:13" ht="18.75">
      <c r="A14" s="1" t="s">
        <v>178</v>
      </c>
      <c r="B14" s="1"/>
      <c r="C14" s="1"/>
      <c r="D14" s="2"/>
      <c r="E14" s="2"/>
      <c r="F14" s="2"/>
      <c r="G14" s="2"/>
      <c r="H14" s="2"/>
      <c r="I14" s="3"/>
      <c r="J14" s="3"/>
      <c r="K14" s="3"/>
      <c r="L14" s="3"/>
      <c r="M14" s="2"/>
    </row>
    <row r="15" spans="1:13" ht="18.75">
      <c r="A15" s="2"/>
      <c r="B15" s="2" t="s">
        <v>28</v>
      </c>
      <c r="C15" s="2"/>
      <c r="D15" s="2"/>
      <c r="E15" s="2"/>
      <c r="F15" s="2"/>
      <c r="G15" s="2"/>
      <c r="H15" s="2"/>
      <c r="I15" s="3">
        <v>31297591</v>
      </c>
      <c r="J15" s="3">
        <v>221815</v>
      </c>
      <c r="K15" s="3">
        <v>-1542838</v>
      </c>
      <c r="L15" s="3">
        <f>SUM(I15:K15)</f>
        <v>29976568</v>
      </c>
      <c r="M15" s="2"/>
    </row>
    <row r="16" spans="1:13" ht="18.75">
      <c r="A16" s="2"/>
      <c r="B16" s="2" t="s">
        <v>17</v>
      </c>
      <c r="C16" s="2"/>
      <c r="D16" s="2"/>
      <c r="E16" s="2"/>
      <c r="F16" s="2"/>
      <c r="G16" s="2"/>
      <c r="H16" s="2"/>
      <c r="I16" s="3">
        <v>107706220</v>
      </c>
      <c r="J16" s="3">
        <v>1339825</v>
      </c>
      <c r="K16" s="3">
        <v>7301</v>
      </c>
      <c r="L16" s="3">
        <f t="shared" ref="L16:L20" si="0">SUM(I16:K16)</f>
        <v>109053346</v>
      </c>
      <c r="M16" s="2"/>
    </row>
    <row r="17" spans="1:15" ht="18.75">
      <c r="A17" s="2"/>
      <c r="B17" s="2" t="s">
        <v>254</v>
      </c>
      <c r="C17" s="2"/>
      <c r="D17" s="2"/>
      <c r="E17" s="2"/>
      <c r="F17" s="2"/>
      <c r="G17" s="2"/>
      <c r="H17" s="2"/>
      <c r="I17" s="3">
        <v>2620893</v>
      </c>
      <c r="J17" s="3">
        <v>250985</v>
      </c>
      <c r="K17" s="3"/>
      <c r="L17" s="3">
        <f t="shared" si="0"/>
        <v>2871878</v>
      </c>
      <c r="M17" s="2"/>
    </row>
    <row r="18" spans="1:15" ht="18.75">
      <c r="A18" s="2"/>
      <c r="B18" s="2" t="s">
        <v>255</v>
      </c>
      <c r="C18" s="2"/>
      <c r="D18" s="2"/>
      <c r="E18" s="2"/>
      <c r="F18" s="2"/>
      <c r="G18" s="2"/>
      <c r="H18" s="2"/>
      <c r="I18" s="3">
        <v>37298577</v>
      </c>
      <c r="J18" s="3">
        <v>3863445</v>
      </c>
      <c r="K18" s="3">
        <v>-11191</v>
      </c>
      <c r="L18" s="3">
        <f t="shared" si="0"/>
        <v>41150831</v>
      </c>
      <c r="M18" s="2"/>
    </row>
    <row r="19" spans="1:15" ht="18.75">
      <c r="A19" s="2"/>
      <c r="B19" s="2" t="s">
        <v>256</v>
      </c>
      <c r="C19" s="2"/>
      <c r="D19" s="2"/>
      <c r="E19" s="2"/>
      <c r="F19" s="2"/>
      <c r="G19" s="2"/>
      <c r="H19" s="2"/>
      <c r="I19" s="3">
        <v>7510173</v>
      </c>
      <c r="J19" s="3">
        <v>476481</v>
      </c>
      <c r="K19" s="3">
        <v>-128406</v>
      </c>
      <c r="L19" s="3">
        <f t="shared" si="0"/>
        <v>7858248</v>
      </c>
      <c r="M19" s="2"/>
    </row>
    <row r="20" spans="1:15" ht="18.75">
      <c r="A20" s="2"/>
      <c r="B20" s="2" t="s">
        <v>257</v>
      </c>
      <c r="C20" s="2"/>
      <c r="D20" s="2"/>
      <c r="E20" s="2"/>
      <c r="F20" s="2"/>
      <c r="G20" s="2"/>
      <c r="H20" s="2"/>
      <c r="I20" s="3">
        <v>9807167</v>
      </c>
      <c r="J20" s="3">
        <v>1026194</v>
      </c>
      <c r="K20" s="3">
        <v>-103847</v>
      </c>
      <c r="L20" s="3">
        <f t="shared" si="0"/>
        <v>10729514</v>
      </c>
      <c r="M20" s="2"/>
    </row>
    <row r="21" spans="1:15" ht="18.75">
      <c r="A21" s="2"/>
      <c r="B21" s="2"/>
      <c r="C21" s="1" t="s">
        <v>18</v>
      </c>
      <c r="D21" s="2"/>
      <c r="E21" s="2"/>
      <c r="F21" s="2"/>
      <c r="G21" s="2"/>
      <c r="H21" s="2"/>
      <c r="I21" s="13">
        <f>SUM(I15:I20)</f>
        <v>196240621</v>
      </c>
      <c r="J21" s="13">
        <f t="shared" ref="J21:L21" si="1">SUM(J15:J20)</f>
        <v>7178745</v>
      </c>
      <c r="K21" s="68">
        <f>SUM(K15:K20)</f>
        <v>-1778981</v>
      </c>
      <c r="L21" s="13">
        <f t="shared" si="1"/>
        <v>201640385</v>
      </c>
      <c r="M21" s="2"/>
    </row>
    <row r="22" spans="1:15" ht="18.75">
      <c r="A22" s="2"/>
      <c r="B22" s="2"/>
      <c r="C22" s="1"/>
      <c r="D22" s="2"/>
      <c r="E22" s="2"/>
      <c r="F22" s="2"/>
      <c r="G22" s="2"/>
      <c r="H22" s="2"/>
      <c r="I22" s="15"/>
      <c r="J22" s="15"/>
      <c r="K22" s="15"/>
      <c r="L22" s="15"/>
      <c r="M22" s="2"/>
    </row>
    <row r="23" spans="1:15" ht="18.75">
      <c r="A23" s="1"/>
      <c r="B23" s="1"/>
      <c r="C23" s="1"/>
      <c r="D23" s="1" t="s">
        <v>258</v>
      </c>
      <c r="E23" s="1"/>
      <c r="F23" s="2"/>
      <c r="G23" s="2"/>
      <c r="H23" s="2"/>
      <c r="I23" s="15">
        <f>SUM(I21+I12)</f>
        <v>221341200</v>
      </c>
      <c r="J23" s="15">
        <f t="shared" ref="J23:L23" si="2">SUM(J21+J12)</f>
        <v>27864645</v>
      </c>
      <c r="K23" s="15">
        <f t="shared" si="2"/>
        <v>-7752607</v>
      </c>
      <c r="L23" s="15">
        <f t="shared" si="2"/>
        <v>241453238</v>
      </c>
      <c r="M23" s="2"/>
    </row>
    <row r="24" spans="1:15" ht="18.75">
      <c r="A24" s="1"/>
      <c r="B24" s="1"/>
      <c r="C24" s="1"/>
      <c r="D24" s="1"/>
      <c r="E24" s="1"/>
      <c r="F24" s="2"/>
      <c r="G24" s="2"/>
      <c r="H24" s="2"/>
      <c r="I24" s="15"/>
      <c r="J24" s="15"/>
      <c r="K24" s="15"/>
      <c r="L24" s="15"/>
      <c r="M24" s="2"/>
    </row>
    <row r="25" spans="1:15" ht="18.75">
      <c r="A25" s="1" t="s">
        <v>19</v>
      </c>
      <c r="B25" s="1"/>
      <c r="C25" s="1"/>
      <c r="D25" s="1"/>
      <c r="E25" s="1"/>
      <c r="F25" s="2"/>
      <c r="G25" s="2"/>
      <c r="H25" s="2"/>
      <c r="I25" s="3"/>
      <c r="J25" s="3"/>
      <c r="K25" s="3"/>
      <c r="L25" s="3"/>
      <c r="M25" s="2"/>
    </row>
    <row r="26" spans="1:15" ht="18.75">
      <c r="A26" s="2"/>
      <c r="B26" s="2" t="s">
        <v>32</v>
      </c>
      <c r="C26" s="2"/>
      <c r="D26" s="2"/>
      <c r="E26" s="2"/>
      <c r="F26" s="2"/>
      <c r="G26" s="2"/>
      <c r="H26" s="2"/>
      <c r="I26" s="3">
        <v>-6868054</v>
      </c>
      <c r="J26" s="3">
        <v>-743074</v>
      </c>
      <c r="K26" s="3">
        <v>63120</v>
      </c>
      <c r="L26" s="3">
        <f t="shared" ref="L26:L31" si="3">SUM(I26:K26)</f>
        <v>-7548008</v>
      </c>
      <c r="M26" s="3">
        <f>SUM(L15+L26)</f>
        <v>22428560</v>
      </c>
    </row>
    <row r="27" spans="1:15" ht="18.75">
      <c r="A27" s="2"/>
      <c r="B27" s="2" t="s">
        <v>17</v>
      </c>
      <c r="C27" s="2"/>
      <c r="D27" s="2"/>
      <c r="E27" s="2"/>
      <c r="F27" s="2"/>
      <c r="G27" s="2"/>
      <c r="H27" s="2"/>
      <c r="I27" s="3">
        <v>-89548006</v>
      </c>
      <c r="J27" s="3">
        <v>-4157823</v>
      </c>
      <c r="K27" s="3">
        <v>3777</v>
      </c>
      <c r="L27" s="3">
        <f t="shared" si="3"/>
        <v>-93702052</v>
      </c>
      <c r="M27" s="3">
        <f t="shared" ref="M27:M31" si="4">SUM(L16+L27)</f>
        <v>15351294</v>
      </c>
    </row>
    <row r="28" spans="1:15" ht="18.75">
      <c r="A28" s="2"/>
      <c r="B28" s="2" t="s">
        <v>254</v>
      </c>
      <c r="C28" s="2"/>
      <c r="D28" s="2"/>
      <c r="E28" s="2"/>
      <c r="F28" s="2"/>
      <c r="G28" s="2"/>
      <c r="H28" s="2"/>
      <c r="I28" s="3">
        <v>-1351227</v>
      </c>
      <c r="J28" s="3">
        <v>-196423</v>
      </c>
      <c r="K28" s="3"/>
      <c r="L28" s="3">
        <f t="shared" si="3"/>
        <v>-1547650</v>
      </c>
      <c r="M28" s="3">
        <f t="shared" si="4"/>
        <v>1324228</v>
      </c>
    </row>
    <row r="29" spans="1:15" ht="18.75">
      <c r="A29" s="2"/>
      <c r="B29" s="2" t="s">
        <v>255</v>
      </c>
      <c r="C29" s="2"/>
      <c r="D29" s="2"/>
      <c r="E29" s="2"/>
      <c r="F29" s="2"/>
      <c r="G29" s="2"/>
      <c r="H29" s="2"/>
      <c r="I29" s="3">
        <v>-29861782</v>
      </c>
      <c r="J29" s="3">
        <v>-667226</v>
      </c>
      <c r="K29" s="3">
        <v>3872</v>
      </c>
      <c r="L29" s="3">
        <f t="shared" si="3"/>
        <v>-30525136</v>
      </c>
      <c r="M29" s="3">
        <f t="shared" si="4"/>
        <v>10625695</v>
      </c>
    </row>
    <row r="30" spans="1:15" ht="18.75">
      <c r="A30" s="2"/>
      <c r="B30" s="2" t="s">
        <v>256</v>
      </c>
      <c r="C30" s="2"/>
      <c r="D30" s="2"/>
      <c r="E30" s="2"/>
      <c r="F30" s="2"/>
      <c r="G30" s="2"/>
      <c r="H30" s="2"/>
      <c r="I30" s="3">
        <v>-4184846</v>
      </c>
      <c r="J30" s="3">
        <v>-350955</v>
      </c>
      <c r="K30" s="3">
        <v>-244925</v>
      </c>
      <c r="L30" s="3">
        <f t="shared" si="3"/>
        <v>-4780726</v>
      </c>
      <c r="M30" s="3">
        <f t="shared" si="4"/>
        <v>3077522</v>
      </c>
      <c r="O30" t="s">
        <v>142</v>
      </c>
    </row>
    <row r="31" spans="1:15" ht="18.75">
      <c r="A31" s="2"/>
      <c r="B31" s="2" t="s">
        <v>257</v>
      </c>
      <c r="C31" s="2"/>
      <c r="D31" s="2"/>
      <c r="E31" s="2"/>
      <c r="F31" s="2"/>
      <c r="G31" s="2"/>
      <c r="H31" s="2"/>
      <c r="I31" s="3">
        <v>-6474800</v>
      </c>
      <c r="J31" s="3">
        <v>-580091</v>
      </c>
      <c r="K31" s="3">
        <v>-82279</v>
      </c>
      <c r="L31" s="3">
        <f t="shared" si="3"/>
        <v>-7137170</v>
      </c>
      <c r="M31" s="3">
        <f t="shared" si="4"/>
        <v>3592344</v>
      </c>
    </row>
    <row r="32" spans="1:15" ht="18.75">
      <c r="A32" s="1"/>
      <c r="B32" s="1"/>
      <c r="C32" s="1" t="s">
        <v>20</v>
      </c>
      <c r="D32" s="1"/>
      <c r="E32" s="1"/>
      <c r="F32" s="1"/>
      <c r="G32" s="1"/>
      <c r="H32" s="1"/>
      <c r="I32" s="10">
        <f>SUM(I26:I31)</f>
        <v>-138288715</v>
      </c>
      <c r="J32" s="10">
        <f t="shared" ref="J32:L32" si="5">SUM(J26:J31)</f>
        <v>-6695592</v>
      </c>
      <c r="K32" s="10">
        <f t="shared" si="5"/>
        <v>-256435</v>
      </c>
      <c r="L32" s="10">
        <f t="shared" si="5"/>
        <v>-145240742</v>
      </c>
      <c r="M32" s="1"/>
    </row>
    <row r="33" spans="1:13" ht="18.75">
      <c r="A33" s="1"/>
      <c r="B33" s="1"/>
      <c r="C33" s="1"/>
      <c r="D33" s="1"/>
      <c r="E33" s="1"/>
      <c r="F33" s="1"/>
      <c r="G33" s="1"/>
      <c r="H33" s="1"/>
      <c r="I33" s="10"/>
      <c r="J33" s="10"/>
      <c r="K33" s="10"/>
      <c r="L33" s="10"/>
      <c r="M33" s="1"/>
    </row>
    <row r="34" spans="1:13" ht="18.75">
      <c r="A34" s="1"/>
      <c r="B34" s="1"/>
      <c r="C34" s="1" t="s">
        <v>259</v>
      </c>
      <c r="D34" s="1"/>
      <c r="E34" s="1"/>
      <c r="F34" s="1"/>
      <c r="G34" s="1"/>
      <c r="H34" s="1"/>
      <c r="I34" s="10">
        <f>SUM(I21+I32)</f>
        <v>57951906</v>
      </c>
      <c r="J34" s="10"/>
      <c r="K34" s="10"/>
      <c r="L34" s="10">
        <f t="shared" ref="L34" si="6">SUM(L21+L32)</f>
        <v>56399643</v>
      </c>
      <c r="M34" s="1"/>
    </row>
    <row r="35" spans="1:13" ht="18.75">
      <c r="A35" s="1"/>
      <c r="B35" s="1"/>
      <c r="C35" s="1"/>
      <c r="D35" s="1"/>
      <c r="E35" s="1"/>
      <c r="F35" s="1"/>
      <c r="G35" s="1"/>
      <c r="H35" s="1"/>
      <c r="I35" s="10"/>
      <c r="J35" s="10"/>
      <c r="K35" s="10"/>
      <c r="L35" s="10"/>
      <c r="M35" s="1"/>
    </row>
    <row r="36" spans="1:13" ht="18.75">
      <c r="A36" s="1"/>
      <c r="B36" s="1"/>
      <c r="C36" s="1" t="s">
        <v>260</v>
      </c>
      <c r="D36" s="1"/>
      <c r="E36" s="1"/>
      <c r="F36" s="1"/>
      <c r="G36" s="1"/>
      <c r="H36" s="1"/>
      <c r="I36" s="10">
        <v>83052485</v>
      </c>
      <c r="J36" s="10"/>
      <c r="K36" s="10"/>
      <c r="L36" s="10">
        <f>SUM(L23+L32)</f>
        <v>96212496</v>
      </c>
      <c r="M36" s="15">
        <f>SUM(M10:M31)</f>
        <v>96212496</v>
      </c>
    </row>
  </sheetData>
  <mergeCells count="3">
    <mergeCell ref="D1:I1"/>
    <mergeCell ref="D2:I2"/>
    <mergeCell ref="D3:I3"/>
  </mergeCells>
  <pageMargins left="0.7" right="0.7" top="0.75" bottom="0.75" header="0.3" footer="0.3"/>
  <extLst>
    <ext xmlns:mx="http://schemas.microsoft.com/office/mac/excel/2008/main" uri="{64002731-A6B0-56B0-2670-7721B7C09600}">
      <mx:PLV Mode="0" OnePage="0" WScale="0"/>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O34"/>
  <sheetViews>
    <sheetView topLeftCell="A4" zoomScale="90" zoomScaleNormal="90" zoomScalePageLayoutView="90" workbookViewId="0">
      <selection activeCell="H14" sqref="H14"/>
    </sheetView>
  </sheetViews>
  <sheetFormatPr defaultColWidth="8.85546875" defaultRowHeight="15"/>
  <cols>
    <col min="9" max="9" width="18.28515625" customWidth="1"/>
    <col min="10" max="10" width="16.7109375" customWidth="1"/>
    <col min="11" max="11" width="16.85546875" customWidth="1"/>
    <col min="12" max="12" width="18.42578125" customWidth="1"/>
    <col min="13" max="13" width="18.28515625" customWidth="1"/>
  </cols>
  <sheetData>
    <row r="1" spans="1:13" ht="18.75">
      <c r="A1" s="2"/>
      <c r="B1" s="2"/>
      <c r="C1" s="2"/>
      <c r="D1" s="136" t="s">
        <v>252</v>
      </c>
      <c r="E1" s="136"/>
      <c r="F1" s="136"/>
      <c r="G1" s="136"/>
      <c r="H1" s="136"/>
      <c r="I1" s="136"/>
      <c r="J1" s="3"/>
      <c r="K1" s="3"/>
      <c r="L1" s="3"/>
      <c r="M1" s="2"/>
    </row>
    <row r="2" spans="1:13" ht="18.75">
      <c r="A2" s="2"/>
      <c r="B2" s="2"/>
      <c r="C2" s="2"/>
      <c r="D2" s="136" t="s">
        <v>1</v>
      </c>
      <c r="E2" s="136"/>
      <c r="F2" s="136"/>
      <c r="G2" s="136"/>
      <c r="H2" s="136"/>
      <c r="I2" s="136"/>
      <c r="J2" s="3"/>
      <c r="K2" s="3"/>
      <c r="L2" s="3"/>
      <c r="M2" s="2"/>
    </row>
    <row r="3" spans="1:13" ht="18.75">
      <c r="A3" s="2"/>
      <c r="B3" s="2"/>
      <c r="C3" s="2"/>
      <c r="D3" s="136" t="s">
        <v>2</v>
      </c>
      <c r="E3" s="136"/>
      <c r="F3" s="136"/>
      <c r="G3" s="136"/>
      <c r="H3" s="136"/>
      <c r="I3" s="136"/>
      <c r="J3" s="3"/>
      <c r="K3" s="3"/>
      <c r="L3" s="3"/>
      <c r="M3" s="2"/>
    </row>
    <row r="4" spans="1:13" ht="18.75">
      <c r="A4" s="2"/>
      <c r="B4" s="2"/>
      <c r="C4" s="2"/>
      <c r="D4" s="69"/>
      <c r="E4" s="69"/>
      <c r="F4" s="69"/>
      <c r="G4" s="69"/>
      <c r="H4" s="69"/>
      <c r="I4" s="4"/>
      <c r="J4" s="3"/>
      <c r="K4" s="3"/>
      <c r="L4" s="3"/>
      <c r="M4" s="2"/>
    </row>
    <row r="5" spans="1:13" ht="37.5">
      <c r="A5" s="2"/>
      <c r="B5" s="2"/>
      <c r="C5" s="2"/>
      <c r="D5" s="2"/>
      <c r="E5" s="2"/>
      <c r="F5" s="2"/>
      <c r="G5" s="2"/>
      <c r="H5" s="2"/>
      <c r="I5" s="11" t="s">
        <v>3</v>
      </c>
      <c r="J5" s="11" t="s">
        <v>4</v>
      </c>
      <c r="K5" s="11" t="s">
        <v>253</v>
      </c>
      <c r="L5" s="11" t="s">
        <v>6</v>
      </c>
      <c r="M5" s="11" t="s">
        <v>7</v>
      </c>
    </row>
    <row r="6" spans="1:13" ht="18.75">
      <c r="A6" s="1" t="s">
        <v>244</v>
      </c>
      <c r="B6" s="1"/>
      <c r="C6" s="1"/>
      <c r="D6" s="1"/>
      <c r="E6" s="1"/>
      <c r="F6" s="1"/>
      <c r="G6" s="2"/>
      <c r="H6" s="2"/>
      <c r="I6" s="3"/>
      <c r="J6" s="3"/>
      <c r="K6" s="3"/>
      <c r="L6" s="3"/>
      <c r="M6" s="2"/>
    </row>
    <row r="7" spans="1:13" ht="18.75">
      <c r="A7" s="1" t="s">
        <v>80</v>
      </c>
      <c r="B7" s="1"/>
      <c r="C7" s="1"/>
      <c r="D7" s="1"/>
      <c r="E7" s="1"/>
      <c r="F7" s="1"/>
      <c r="G7" s="2"/>
      <c r="H7" s="2"/>
      <c r="I7" s="3"/>
      <c r="J7" s="3"/>
      <c r="K7" s="3"/>
      <c r="L7" s="3"/>
      <c r="M7" s="2"/>
    </row>
    <row r="8" spans="1:13" ht="18.75">
      <c r="A8" s="2"/>
      <c r="B8" s="2" t="s">
        <v>10</v>
      </c>
      <c r="C8" s="2"/>
      <c r="D8" s="2"/>
      <c r="E8" s="2"/>
      <c r="F8" s="2"/>
      <c r="G8" s="2"/>
      <c r="H8" s="2"/>
      <c r="I8" s="3">
        <v>1315603</v>
      </c>
      <c r="J8" s="3"/>
      <c r="K8" s="3">
        <v>-18327</v>
      </c>
      <c r="L8" s="3">
        <f>SUM(I8:K8)</f>
        <v>1297276</v>
      </c>
      <c r="M8" s="3">
        <f>SUM(L8)</f>
        <v>1297276</v>
      </c>
    </row>
    <row r="9" spans="1:13" ht="18.75">
      <c r="A9" s="2"/>
      <c r="B9" s="2" t="s">
        <v>11</v>
      </c>
      <c r="C9" s="2"/>
      <c r="D9" s="2"/>
      <c r="E9" s="2"/>
      <c r="F9" s="2"/>
      <c r="G9" s="2"/>
      <c r="H9" s="2"/>
      <c r="I9" s="3">
        <v>23784976</v>
      </c>
      <c r="J9" s="3">
        <v>20685900</v>
      </c>
      <c r="K9" s="3">
        <v>-5955299</v>
      </c>
      <c r="L9" s="3">
        <f>SUM(I9:K9)</f>
        <v>38515577</v>
      </c>
      <c r="M9" s="3">
        <f>SUM(L9)</f>
        <v>38515577</v>
      </c>
    </row>
    <row r="10" spans="1:13" ht="18.75">
      <c r="A10" s="2"/>
      <c r="B10" s="1"/>
      <c r="C10" s="1" t="s">
        <v>68</v>
      </c>
      <c r="D10" s="1"/>
      <c r="E10" s="1"/>
      <c r="F10" s="1"/>
      <c r="G10" s="1"/>
      <c r="H10" s="1"/>
      <c r="I10" s="12">
        <f>SUM(I8:I9)</f>
        <v>25100579</v>
      </c>
      <c r="J10" s="12">
        <f>SUM(J8:J9)</f>
        <v>20685900</v>
      </c>
      <c r="K10" s="12">
        <f>SUM(K8:K9)</f>
        <v>-5973626</v>
      </c>
      <c r="L10" s="12">
        <f>SUM(L8:L9)</f>
        <v>39812853</v>
      </c>
      <c r="M10" s="1"/>
    </row>
    <row r="11" spans="1:13" ht="18.75">
      <c r="A11" s="1"/>
      <c r="B11" s="1"/>
      <c r="C11" s="1"/>
      <c r="D11" s="2"/>
      <c r="E11" s="2"/>
      <c r="F11" s="2"/>
      <c r="G11" s="2"/>
      <c r="H11" s="2"/>
      <c r="I11" s="3"/>
      <c r="J11" s="3"/>
      <c r="K11" s="3"/>
      <c r="L11" s="3"/>
      <c r="M11" s="2"/>
    </row>
    <row r="12" spans="1:13" ht="18.75">
      <c r="A12" s="1" t="s">
        <v>178</v>
      </c>
      <c r="B12" s="1"/>
      <c r="C12" s="1"/>
      <c r="D12" s="2"/>
      <c r="E12" s="2"/>
      <c r="F12" s="2"/>
      <c r="G12" s="2"/>
      <c r="H12" s="2"/>
      <c r="I12" s="3"/>
      <c r="J12" s="3"/>
      <c r="K12" s="3"/>
      <c r="L12" s="3"/>
      <c r="M12" s="2"/>
    </row>
    <row r="13" spans="1:13" ht="18.75">
      <c r="A13" s="2"/>
      <c r="B13" s="2" t="s">
        <v>28</v>
      </c>
      <c r="C13" s="2"/>
      <c r="D13" s="2"/>
      <c r="E13" s="2"/>
      <c r="F13" s="2"/>
      <c r="G13" s="2"/>
      <c r="H13" s="2"/>
      <c r="I13" s="3">
        <v>31297591</v>
      </c>
      <c r="J13" s="3">
        <v>221815</v>
      </c>
      <c r="K13" s="3">
        <v>-1542838</v>
      </c>
      <c r="L13" s="3">
        <f>SUM(I13:K13)</f>
        <v>29976568</v>
      </c>
      <c r="M13" s="2"/>
    </row>
    <row r="14" spans="1:13" ht="18.75">
      <c r="A14" s="2"/>
      <c r="B14" s="2" t="s">
        <v>17</v>
      </c>
      <c r="C14" s="2"/>
      <c r="D14" s="2"/>
      <c r="E14" s="2"/>
      <c r="F14" s="2"/>
      <c r="G14" s="2"/>
      <c r="H14" s="2"/>
      <c r="I14" s="3">
        <v>107706220</v>
      </c>
      <c r="J14" s="3">
        <v>1339825</v>
      </c>
      <c r="K14" s="3">
        <v>7301</v>
      </c>
      <c r="L14" s="3">
        <f t="shared" ref="L14:L18" si="0">SUM(I14:K14)</f>
        <v>109053346</v>
      </c>
      <c r="M14" s="2"/>
    </row>
    <row r="15" spans="1:13" ht="18.75">
      <c r="A15" s="2"/>
      <c r="B15" s="2" t="s">
        <v>254</v>
      </c>
      <c r="C15" s="2"/>
      <c r="D15" s="2"/>
      <c r="E15" s="2"/>
      <c r="F15" s="2"/>
      <c r="G15" s="2"/>
      <c r="H15" s="2"/>
      <c r="I15" s="3">
        <v>2620893</v>
      </c>
      <c r="J15" s="3">
        <v>250985</v>
      </c>
      <c r="K15" s="3"/>
      <c r="L15" s="3">
        <f t="shared" si="0"/>
        <v>2871878</v>
      </c>
      <c r="M15" s="2"/>
    </row>
    <row r="16" spans="1:13" ht="18.75">
      <c r="A16" s="2"/>
      <c r="B16" s="2" t="s">
        <v>255</v>
      </c>
      <c r="C16" s="2"/>
      <c r="D16" s="2"/>
      <c r="E16" s="2"/>
      <c r="F16" s="2"/>
      <c r="G16" s="2"/>
      <c r="H16" s="2"/>
      <c r="I16" s="3">
        <v>37298577</v>
      </c>
      <c r="J16" s="3">
        <v>3863445</v>
      </c>
      <c r="K16" s="3">
        <v>-11191</v>
      </c>
      <c r="L16" s="3">
        <f t="shared" si="0"/>
        <v>41150831</v>
      </c>
      <c r="M16" s="2"/>
    </row>
    <row r="17" spans="1:15" ht="18.75">
      <c r="A17" s="2"/>
      <c r="B17" s="2" t="s">
        <v>256</v>
      </c>
      <c r="C17" s="2"/>
      <c r="D17" s="2"/>
      <c r="E17" s="2"/>
      <c r="F17" s="2"/>
      <c r="G17" s="2"/>
      <c r="H17" s="2"/>
      <c r="I17" s="3">
        <v>7510173</v>
      </c>
      <c r="J17" s="3">
        <v>476481</v>
      </c>
      <c r="K17" s="3">
        <v>-128406</v>
      </c>
      <c r="L17" s="3">
        <f t="shared" si="0"/>
        <v>7858248</v>
      </c>
      <c r="M17" s="2"/>
    </row>
    <row r="18" spans="1:15" ht="18.75">
      <c r="A18" s="2"/>
      <c r="B18" s="2" t="s">
        <v>257</v>
      </c>
      <c r="C18" s="2"/>
      <c r="D18" s="2"/>
      <c r="E18" s="2"/>
      <c r="F18" s="2"/>
      <c r="G18" s="2"/>
      <c r="H18" s="2"/>
      <c r="I18" s="3">
        <v>9807167</v>
      </c>
      <c r="J18" s="3">
        <v>1026194</v>
      </c>
      <c r="K18" s="3">
        <v>-103847</v>
      </c>
      <c r="L18" s="3">
        <f t="shared" si="0"/>
        <v>10729514</v>
      </c>
      <c r="M18" s="2"/>
    </row>
    <row r="19" spans="1:15" ht="18.75">
      <c r="A19" s="2"/>
      <c r="B19" s="2"/>
      <c r="C19" s="1" t="s">
        <v>18</v>
      </c>
      <c r="D19" s="2"/>
      <c r="E19" s="2"/>
      <c r="F19" s="2"/>
      <c r="G19" s="2"/>
      <c r="H19" s="2"/>
      <c r="I19" s="13">
        <f>SUM(I13:I18)</f>
        <v>196240621</v>
      </c>
      <c r="J19" s="13">
        <f t="shared" ref="J19:L19" si="1">SUM(J13:J18)</f>
        <v>7178745</v>
      </c>
      <c r="K19" s="13">
        <f>SUM(K13:K18)</f>
        <v>-1778981</v>
      </c>
      <c r="L19" s="13">
        <f t="shared" si="1"/>
        <v>201640385</v>
      </c>
      <c r="M19" s="2"/>
    </row>
    <row r="20" spans="1:15" ht="18.75">
      <c r="A20" s="2"/>
      <c r="B20" s="2"/>
      <c r="C20" s="1"/>
      <c r="D20" s="2"/>
      <c r="E20" s="2"/>
      <c r="F20" s="2"/>
      <c r="G20" s="2"/>
      <c r="H20" s="2"/>
      <c r="I20" s="15"/>
      <c r="J20" s="15"/>
      <c r="K20" s="15"/>
      <c r="L20" s="15"/>
      <c r="M20" s="2"/>
    </row>
    <row r="21" spans="1:15" ht="18.75">
      <c r="A21" s="1"/>
      <c r="B21" s="1"/>
      <c r="C21" s="1"/>
      <c r="D21" s="1" t="s">
        <v>258</v>
      </c>
      <c r="E21" s="1"/>
      <c r="F21" s="2"/>
      <c r="G21" s="2"/>
      <c r="H21" s="2"/>
      <c r="I21" s="15">
        <f>SUM(I19+I10)</f>
        <v>221341200</v>
      </c>
      <c r="J21" s="15">
        <f t="shared" ref="J21:L21" si="2">SUM(J19+J10)</f>
        <v>27864645</v>
      </c>
      <c r="K21" s="15">
        <f t="shared" si="2"/>
        <v>-7752607</v>
      </c>
      <c r="L21" s="15">
        <f t="shared" si="2"/>
        <v>241453238</v>
      </c>
      <c r="M21" s="2"/>
    </row>
    <row r="22" spans="1:15" ht="18.75">
      <c r="A22" s="1"/>
      <c r="B22" s="1"/>
      <c r="C22" s="1"/>
      <c r="D22" s="1"/>
      <c r="E22" s="1"/>
      <c r="F22" s="2"/>
      <c r="G22" s="2"/>
      <c r="H22" s="2"/>
      <c r="I22" s="15"/>
      <c r="J22" s="15"/>
      <c r="K22" s="15"/>
      <c r="L22" s="15"/>
      <c r="M22" s="2"/>
    </row>
    <row r="23" spans="1:15" ht="18.75">
      <c r="A23" s="1" t="s">
        <v>19</v>
      </c>
      <c r="B23" s="1"/>
      <c r="C23" s="1"/>
      <c r="D23" s="1"/>
      <c r="E23" s="1"/>
      <c r="F23" s="2"/>
      <c r="G23" s="2"/>
      <c r="H23" s="2"/>
      <c r="I23" s="3"/>
      <c r="J23" s="3"/>
      <c r="K23" s="3"/>
      <c r="L23" s="3"/>
      <c r="M23" s="2"/>
    </row>
    <row r="24" spans="1:15" ht="18.75">
      <c r="A24" s="2"/>
      <c r="B24" s="2" t="s">
        <v>32</v>
      </c>
      <c r="C24" s="2"/>
      <c r="D24" s="2"/>
      <c r="E24" s="2"/>
      <c r="F24" s="2"/>
      <c r="G24" s="2"/>
      <c r="H24" s="2"/>
      <c r="I24" s="3">
        <v>-6868054</v>
      </c>
      <c r="J24" s="3">
        <v>-743074</v>
      </c>
      <c r="K24" s="3">
        <v>63120</v>
      </c>
      <c r="L24" s="3">
        <f t="shared" ref="L24:L29" si="3">SUM(I24:K24)</f>
        <v>-7548008</v>
      </c>
      <c r="M24" s="3">
        <f>SUM(L13+L24)</f>
        <v>22428560</v>
      </c>
    </row>
    <row r="25" spans="1:15" ht="18.75">
      <c r="A25" s="2"/>
      <c r="B25" s="2" t="s">
        <v>17</v>
      </c>
      <c r="C25" s="2"/>
      <c r="D25" s="2"/>
      <c r="E25" s="2"/>
      <c r="F25" s="2"/>
      <c r="G25" s="2"/>
      <c r="H25" s="2"/>
      <c r="I25" s="3">
        <v>-89548006</v>
      </c>
      <c r="J25" s="3">
        <v>-4157823</v>
      </c>
      <c r="K25" s="3">
        <v>3777</v>
      </c>
      <c r="L25" s="3">
        <f t="shared" si="3"/>
        <v>-93702052</v>
      </c>
      <c r="M25" s="3">
        <f t="shared" ref="M25:M29" si="4">SUM(L14+L25)</f>
        <v>15351294</v>
      </c>
    </row>
    <row r="26" spans="1:15" ht="18.75">
      <c r="A26" s="2"/>
      <c r="B26" s="2" t="s">
        <v>254</v>
      </c>
      <c r="C26" s="2"/>
      <c r="D26" s="2"/>
      <c r="E26" s="2"/>
      <c r="F26" s="2"/>
      <c r="G26" s="2"/>
      <c r="H26" s="2"/>
      <c r="I26" s="3">
        <v>-1351227</v>
      </c>
      <c r="J26" s="3">
        <v>-196423</v>
      </c>
      <c r="K26" s="3"/>
      <c r="L26" s="3">
        <f t="shared" si="3"/>
        <v>-1547650</v>
      </c>
      <c r="M26" s="3">
        <f t="shared" si="4"/>
        <v>1324228</v>
      </c>
    </row>
    <row r="27" spans="1:15" ht="18.75">
      <c r="A27" s="2"/>
      <c r="B27" s="2" t="s">
        <v>255</v>
      </c>
      <c r="C27" s="2"/>
      <c r="D27" s="2"/>
      <c r="E27" s="2"/>
      <c r="F27" s="2"/>
      <c r="G27" s="2"/>
      <c r="H27" s="2"/>
      <c r="I27" s="3">
        <v>-29861782</v>
      </c>
      <c r="J27" s="3">
        <v>-667226</v>
      </c>
      <c r="K27" s="3">
        <v>3872</v>
      </c>
      <c r="L27" s="3">
        <f t="shared" si="3"/>
        <v>-30525136</v>
      </c>
      <c r="M27" s="3">
        <f t="shared" si="4"/>
        <v>10625695</v>
      </c>
    </row>
    <row r="28" spans="1:15" ht="18.75">
      <c r="A28" s="2"/>
      <c r="B28" s="2" t="s">
        <v>256</v>
      </c>
      <c r="C28" s="2"/>
      <c r="D28" s="2"/>
      <c r="E28" s="2"/>
      <c r="F28" s="2"/>
      <c r="G28" s="2"/>
      <c r="H28" s="2"/>
      <c r="I28" s="3">
        <v>-4184846</v>
      </c>
      <c r="J28" s="3">
        <v>-350955</v>
      </c>
      <c r="K28" s="3">
        <v>-244925</v>
      </c>
      <c r="L28" s="3">
        <f t="shared" si="3"/>
        <v>-4780726</v>
      </c>
      <c r="M28" s="3">
        <f t="shared" si="4"/>
        <v>3077522</v>
      </c>
      <c r="O28" t="s">
        <v>142</v>
      </c>
    </row>
    <row r="29" spans="1:15" ht="18.75">
      <c r="A29" s="2"/>
      <c r="B29" s="2" t="s">
        <v>257</v>
      </c>
      <c r="C29" s="2"/>
      <c r="D29" s="2"/>
      <c r="E29" s="2"/>
      <c r="F29" s="2"/>
      <c r="G29" s="2"/>
      <c r="H29" s="2"/>
      <c r="I29" s="3">
        <v>-6474800</v>
      </c>
      <c r="J29" s="3">
        <v>-580091</v>
      </c>
      <c r="K29" s="3">
        <v>-82279</v>
      </c>
      <c r="L29" s="3">
        <f t="shared" si="3"/>
        <v>-7137170</v>
      </c>
      <c r="M29" s="3">
        <f t="shared" si="4"/>
        <v>3592344</v>
      </c>
    </row>
    <row r="30" spans="1:15" ht="18.75">
      <c r="A30" s="1"/>
      <c r="B30" s="1"/>
      <c r="C30" s="1" t="s">
        <v>20</v>
      </c>
      <c r="D30" s="1"/>
      <c r="E30" s="1"/>
      <c r="F30" s="1"/>
      <c r="G30" s="1"/>
      <c r="H30" s="1"/>
      <c r="I30" s="10">
        <f>SUM(I24:I29)</f>
        <v>-138288715</v>
      </c>
      <c r="J30" s="10">
        <f t="shared" ref="J30:L30" si="5">SUM(J24:J29)</f>
        <v>-6695592</v>
      </c>
      <c r="K30" s="10">
        <f t="shared" si="5"/>
        <v>-256435</v>
      </c>
      <c r="L30" s="10">
        <f t="shared" si="5"/>
        <v>-145240742</v>
      </c>
      <c r="M30" s="1"/>
    </row>
    <row r="31" spans="1:15" ht="18.75">
      <c r="A31" s="1"/>
      <c r="B31" s="1"/>
      <c r="C31" s="1"/>
      <c r="D31" s="1"/>
      <c r="E31" s="1"/>
      <c r="F31" s="1"/>
      <c r="G31" s="1"/>
      <c r="H31" s="1"/>
      <c r="I31" s="10"/>
      <c r="J31" s="10"/>
      <c r="K31" s="10"/>
      <c r="L31" s="10"/>
      <c r="M31" s="1"/>
    </row>
    <row r="32" spans="1:15" ht="18.75">
      <c r="A32" s="1"/>
      <c r="B32" s="1"/>
      <c r="C32" s="1" t="s">
        <v>259</v>
      </c>
      <c r="D32" s="1"/>
      <c r="E32" s="1"/>
      <c r="F32" s="1"/>
      <c r="G32" s="1"/>
      <c r="H32" s="1"/>
      <c r="I32" s="10">
        <f>SUM(I19+I30)</f>
        <v>57951906</v>
      </c>
      <c r="J32" s="10"/>
      <c r="K32" s="10"/>
      <c r="L32" s="10">
        <f t="shared" ref="L32" si="6">SUM(L19+L30)</f>
        <v>56399643</v>
      </c>
      <c r="M32" s="1"/>
    </row>
    <row r="33" spans="1:13" ht="18.75">
      <c r="A33" s="1"/>
      <c r="B33" s="1"/>
      <c r="C33" s="1"/>
      <c r="D33" s="1"/>
      <c r="E33" s="1"/>
      <c r="F33" s="1"/>
      <c r="G33" s="1"/>
      <c r="H33" s="1"/>
      <c r="I33" s="10"/>
      <c r="J33" s="10"/>
      <c r="K33" s="10"/>
      <c r="L33" s="10"/>
      <c r="M33" s="1"/>
    </row>
    <row r="34" spans="1:13" ht="18.75">
      <c r="A34" s="1"/>
      <c r="B34" s="1"/>
      <c r="C34" s="1" t="s">
        <v>260</v>
      </c>
      <c r="D34" s="1"/>
      <c r="E34" s="1"/>
      <c r="F34" s="1"/>
      <c r="G34" s="1"/>
      <c r="H34" s="1"/>
      <c r="I34" s="10">
        <v>83052485</v>
      </c>
      <c r="J34" s="10"/>
      <c r="K34" s="10"/>
      <c r="L34" s="10">
        <f>SUM(L21+L30)</f>
        <v>96212496</v>
      </c>
      <c r="M34" s="15">
        <f>SUM(M8:M29)</f>
        <v>96212496</v>
      </c>
    </row>
  </sheetData>
  <mergeCells count="3">
    <mergeCell ref="D1:I1"/>
    <mergeCell ref="D2:I2"/>
    <mergeCell ref="D3:I3"/>
  </mergeCells>
  <pageMargins left="0.7" right="0.7" top="0.75" bottom="0.75" header="0.3" footer="0.3"/>
  <extLst>
    <ext xmlns:mx="http://schemas.microsoft.com/office/mac/excel/2008/main" uri="{64002731-A6B0-56B0-2670-7721B7C09600}">
      <mx:PLV Mode="0" OnePage="0" WScale="0"/>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3"/>
  <sheetViews>
    <sheetView workbookViewId="0">
      <selection activeCell="P11" sqref="P11"/>
    </sheetView>
  </sheetViews>
  <sheetFormatPr defaultColWidth="8.85546875" defaultRowHeight="15"/>
  <cols>
    <col min="9" max="9" width="19.42578125" customWidth="1"/>
    <col min="10" max="10" width="18.28515625" customWidth="1"/>
    <col min="11" max="11" width="19.42578125" customWidth="1"/>
    <col min="12" max="12" width="21.42578125" customWidth="1"/>
    <col min="13" max="13" width="19.85546875" customWidth="1"/>
  </cols>
  <sheetData>
    <row r="1" spans="1:13" ht="18.75">
      <c r="A1" s="2"/>
      <c r="B1" s="2"/>
      <c r="C1" s="2"/>
      <c r="D1" s="136" t="s">
        <v>261</v>
      </c>
      <c r="E1" s="136"/>
      <c r="F1" s="136"/>
      <c r="G1" s="136"/>
      <c r="H1" s="136"/>
      <c r="I1" s="136"/>
      <c r="J1" s="3"/>
      <c r="K1" s="3"/>
      <c r="L1" s="3"/>
      <c r="M1" s="2"/>
    </row>
    <row r="2" spans="1:13" ht="18.75">
      <c r="A2" s="2"/>
      <c r="B2" s="2"/>
      <c r="C2" s="2"/>
      <c r="D2" s="136" t="s">
        <v>1</v>
      </c>
      <c r="E2" s="136"/>
      <c r="F2" s="136"/>
      <c r="G2" s="136"/>
      <c r="H2" s="136"/>
      <c r="I2" s="136"/>
      <c r="J2" s="3"/>
      <c r="K2" s="3"/>
      <c r="L2" s="3"/>
      <c r="M2" s="2"/>
    </row>
    <row r="3" spans="1:13" ht="18.75">
      <c r="A3" s="2"/>
      <c r="B3" s="2"/>
      <c r="C3" s="2"/>
      <c r="D3" s="136" t="s">
        <v>2</v>
      </c>
      <c r="E3" s="136"/>
      <c r="F3" s="136"/>
      <c r="G3" s="136"/>
      <c r="H3" s="136"/>
      <c r="I3" s="136"/>
      <c r="J3" s="3"/>
      <c r="K3" s="3"/>
      <c r="L3" s="3"/>
      <c r="M3" s="2"/>
    </row>
    <row r="4" spans="1:13" ht="18.75">
      <c r="A4" s="2"/>
      <c r="B4" s="2"/>
      <c r="C4" s="2"/>
      <c r="D4" s="69"/>
      <c r="E4" s="69"/>
      <c r="F4" s="69"/>
      <c r="G4" s="69"/>
      <c r="H4" s="69"/>
      <c r="I4" s="4"/>
      <c r="J4" s="3"/>
      <c r="K4" s="3"/>
      <c r="L4" s="3"/>
      <c r="M4" s="2"/>
    </row>
    <row r="5" spans="1:13" ht="37.5">
      <c r="A5" s="2"/>
      <c r="B5" s="2"/>
      <c r="C5" s="2"/>
      <c r="D5" s="2"/>
      <c r="E5" s="2"/>
      <c r="F5" s="2"/>
      <c r="G5" s="2"/>
      <c r="H5" s="2"/>
      <c r="I5" s="11" t="s">
        <v>3</v>
      </c>
      <c r="J5" s="11" t="s">
        <v>45</v>
      </c>
      <c r="K5" s="11" t="s">
        <v>46</v>
      </c>
      <c r="L5" s="11" t="s">
        <v>6</v>
      </c>
      <c r="M5" s="11" t="s">
        <v>7</v>
      </c>
    </row>
    <row r="6" spans="1:13" ht="18.75">
      <c r="A6" s="1" t="s">
        <v>262</v>
      </c>
      <c r="B6" s="1"/>
      <c r="C6" s="1"/>
      <c r="D6" s="1"/>
      <c r="E6" s="1"/>
      <c r="F6" s="1"/>
      <c r="G6" s="2"/>
      <c r="H6" s="2"/>
      <c r="I6" s="3"/>
      <c r="J6" s="3"/>
      <c r="K6" s="3"/>
      <c r="L6" s="3"/>
      <c r="M6" s="2"/>
    </row>
    <row r="7" spans="1:13" ht="18.75">
      <c r="A7" s="1" t="s">
        <v>80</v>
      </c>
      <c r="B7" s="1"/>
      <c r="C7" s="1"/>
      <c r="D7" s="1"/>
      <c r="E7" s="1"/>
      <c r="F7" s="1"/>
      <c r="G7" s="2"/>
      <c r="H7" s="2"/>
      <c r="I7" s="3"/>
      <c r="J7" s="3"/>
      <c r="K7" s="3"/>
      <c r="L7" s="3"/>
      <c r="M7" s="2"/>
    </row>
    <row r="8" spans="1:13" ht="18.75">
      <c r="A8" s="2"/>
      <c r="B8" s="2" t="s">
        <v>10</v>
      </c>
      <c r="C8" s="2"/>
      <c r="D8" s="2"/>
      <c r="E8" s="2"/>
      <c r="F8" s="2"/>
      <c r="G8" s="2"/>
      <c r="H8" s="2"/>
      <c r="I8" s="3">
        <v>477208</v>
      </c>
      <c r="J8" s="3"/>
      <c r="K8" s="3"/>
      <c r="L8" s="3">
        <f>SUM(I8:K8)</f>
        <v>477208</v>
      </c>
      <c r="M8" s="3">
        <f>SUM(L8)</f>
        <v>477208</v>
      </c>
    </row>
    <row r="9" spans="1:13" ht="18.75">
      <c r="A9" s="2"/>
      <c r="B9" s="2" t="s">
        <v>11</v>
      </c>
      <c r="C9" s="2"/>
      <c r="D9" s="2"/>
      <c r="E9" s="2"/>
      <c r="F9" s="2"/>
      <c r="G9" s="2"/>
      <c r="H9" s="2"/>
      <c r="I9" s="3"/>
      <c r="J9" s="3">
        <v>955258</v>
      </c>
      <c r="K9" s="3"/>
      <c r="L9" s="3">
        <f>SUM(I9:K9)</f>
        <v>955258</v>
      </c>
      <c r="M9" s="3">
        <f>SUM(L9)</f>
        <v>955258</v>
      </c>
    </row>
    <row r="10" spans="1:13" ht="18.75">
      <c r="A10" s="2"/>
      <c r="B10" s="1"/>
      <c r="C10" s="1" t="s">
        <v>68</v>
      </c>
      <c r="D10" s="1"/>
      <c r="E10" s="1"/>
      <c r="F10" s="1"/>
      <c r="G10" s="1"/>
      <c r="H10" s="1"/>
      <c r="I10" s="12">
        <f>SUM(I8:I9)</f>
        <v>477208</v>
      </c>
      <c r="J10" s="12">
        <f>SUM(J8:J9)</f>
        <v>955258</v>
      </c>
      <c r="K10" s="12">
        <f>SUM(K8:K9)</f>
        <v>0</v>
      </c>
      <c r="L10" s="12">
        <f>SUM(L8:L9)</f>
        <v>1432466</v>
      </c>
      <c r="M10" s="1"/>
    </row>
    <row r="11" spans="1:13" ht="18.75">
      <c r="A11" s="1"/>
      <c r="B11" s="1"/>
      <c r="C11" s="1"/>
      <c r="D11" s="2"/>
      <c r="E11" s="2"/>
      <c r="F11" s="2"/>
      <c r="G11" s="2"/>
      <c r="H11" s="2"/>
      <c r="I11" s="3"/>
      <c r="J11" s="3"/>
      <c r="K11" s="3"/>
      <c r="L11" s="3"/>
      <c r="M11" s="2"/>
    </row>
    <row r="12" spans="1:13" ht="18.75">
      <c r="A12" s="1" t="s">
        <v>178</v>
      </c>
      <c r="B12" s="1"/>
      <c r="C12" s="1"/>
      <c r="D12" s="2"/>
      <c r="E12" s="2"/>
      <c r="F12" s="2"/>
      <c r="G12" s="2"/>
      <c r="H12" s="2"/>
      <c r="I12" s="3"/>
      <c r="J12" s="3"/>
      <c r="K12" s="3"/>
      <c r="L12" s="3"/>
      <c r="M12" s="2"/>
    </row>
    <row r="13" spans="1:13" ht="18.75">
      <c r="A13" s="2"/>
      <c r="B13" s="2" t="s">
        <v>121</v>
      </c>
      <c r="C13" s="2"/>
      <c r="D13" s="2"/>
      <c r="E13" s="2"/>
      <c r="F13" s="2"/>
      <c r="G13" s="2"/>
      <c r="H13" s="2"/>
      <c r="I13" s="3">
        <v>77243445</v>
      </c>
      <c r="J13" s="3">
        <v>271465</v>
      </c>
      <c r="K13" s="3"/>
      <c r="L13" s="3">
        <f t="shared" ref="L13:L19" si="0">SUM(I13:K13)</f>
        <v>77514910</v>
      </c>
      <c r="M13" s="2"/>
    </row>
    <row r="14" spans="1:13" ht="18.75">
      <c r="A14" s="2"/>
      <c r="B14" s="2" t="s">
        <v>14</v>
      </c>
      <c r="C14" s="2"/>
      <c r="D14" s="2"/>
      <c r="E14" s="2"/>
      <c r="F14" s="2"/>
      <c r="G14" s="2"/>
      <c r="H14" s="2"/>
      <c r="I14" s="3">
        <v>2369699</v>
      </c>
      <c r="J14" s="3"/>
      <c r="K14" s="3"/>
      <c r="L14" s="3">
        <f t="shared" si="0"/>
        <v>2369699</v>
      </c>
      <c r="M14" s="2"/>
    </row>
    <row r="15" spans="1:13" ht="18.75">
      <c r="A15" s="2"/>
      <c r="B15" s="2" t="s">
        <v>72</v>
      </c>
      <c r="C15" s="2"/>
      <c r="D15" s="2"/>
      <c r="E15" s="2"/>
      <c r="F15" s="2"/>
      <c r="G15" s="2"/>
      <c r="H15" s="2"/>
      <c r="I15" s="3">
        <v>336480</v>
      </c>
      <c r="J15" s="3">
        <v>451609</v>
      </c>
      <c r="K15" s="3"/>
      <c r="L15" s="3">
        <f t="shared" si="0"/>
        <v>788089</v>
      </c>
      <c r="M15" s="2"/>
    </row>
    <row r="16" spans="1:13" ht="18.75">
      <c r="A16" s="2"/>
      <c r="B16" s="2" t="s">
        <v>65</v>
      </c>
      <c r="C16" s="2"/>
      <c r="D16" s="2"/>
      <c r="E16" s="2"/>
      <c r="F16" s="2"/>
      <c r="G16" s="2"/>
      <c r="H16" s="2"/>
      <c r="I16" s="3">
        <v>2357074</v>
      </c>
      <c r="J16" s="3"/>
      <c r="K16" s="3"/>
      <c r="L16" s="3">
        <f t="shared" si="0"/>
        <v>2357074</v>
      </c>
      <c r="M16" s="2"/>
    </row>
    <row r="17" spans="1:13" ht="18.75">
      <c r="A17" s="2"/>
      <c r="B17" s="2" t="s">
        <v>187</v>
      </c>
      <c r="C17" s="2"/>
      <c r="D17" s="2"/>
      <c r="E17" s="2"/>
      <c r="F17" s="2"/>
      <c r="G17" s="2"/>
      <c r="H17" s="2"/>
      <c r="I17" s="3">
        <v>96836</v>
      </c>
      <c r="J17" s="3">
        <v>5945</v>
      </c>
      <c r="K17" s="3"/>
      <c r="L17" s="3">
        <f t="shared" si="0"/>
        <v>102781</v>
      </c>
      <c r="M17" s="2"/>
    </row>
    <row r="18" spans="1:13" ht="18.75">
      <c r="A18" s="2"/>
      <c r="B18" s="2" t="s">
        <v>30</v>
      </c>
      <c r="C18" s="2"/>
      <c r="D18" s="2"/>
      <c r="E18" s="2"/>
      <c r="F18" s="2"/>
      <c r="G18" s="2"/>
      <c r="H18" s="2"/>
      <c r="I18" s="3">
        <v>297197</v>
      </c>
      <c r="J18" s="3">
        <v>26684</v>
      </c>
      <c r="K18" s="3"/>
      <c r="L18" s="3">
        <f t="shared" si="0"/>
        <v>323881</v>
      </c>
      <c r="M18" s="2"/>
    </row>
    <row r="19" spans="1:13" ht="18.75">
      <c r="A19" s="2"/>
      <c r="B19" s="2" t="s">
        <v>263</v>
      </c>
      <c r="C19" s="2"/>
      <c r="D19" s="2"/>
      <c r="E19" s="2"/>
      <c r="F19" s="2"/>
      <c r="G19" s="2"/>
      <c r="H19" s="2"/>
      <c r="I19" s="3">
        <v>0</v>
      </c>
      <c r="J19" s="3">
        <v>0</v>
      </c>
      <c r="K19" s="3">
        <v>0</v>
      </c>
      <c r="L19" s="3">
        <f t="shared" si="0"/>
        <v>0</v>
      </c>
      <c r="M19" s="2"/>
    </row>
    <row r="20" spans="1:13" ht="18.75">
      <c r="A20" s="2"/>
      <c r="B20" s="2"/>
      <c r="C20" s="1" t="s">
        <v>18</v>
      </c>
      <c r="D20" s="2"/>
      <c r="E20" s="2"/>
      <c r="F20" s="2"/>
      <c r="G20" s="2"/>
      <c r="H20" s="2"/>
      <c r="I20" s="13">
        <f>SUM(I13:I19)</f>
        <v>82700731</v>
      </c>
      <c r="J20" s="13">
        <f>SUM(J13:J19)</f>
        <v>755703</v>
      </c>
      <c r="K20" s="13">
        <f t="shared" ref="K20" si="1">SUM(K13:K18)</f>
        <v>0</v>
      </c>
      <c r="L20" s="13">
        <f>SUM(L13:L19)</f>
        <v>83456434</v>
      </c>
      <c r="M20" s="2"/>
    </row>
    <row r="21" spans="1:13" ht="18.75">
      <c r="A21" s="1"/>
      <c r="B21" s="1" t="s">
        <v>264</v>
      </c>
      <c r="C21" s="1"/>
      <c r="D21" s="1"/>
      <c r="E21" s="1"/>
      <c r="F21" s="2"/>
      <c r="G21" s="2"/>
      <c r="H21" s="2"/>
      <c r="I21" s="13">
        <f>SUM(I20+I10)</f>
        <v>83177939</v>
      </c>
      <c r="J21" s="13">
        <f t="shared" ref="J21:L21" si="2">SUM(J20+J10)</f>
        <v>1710961</v>
      </c>
      <c r="K21" s="13">
        <f t="shared" si="2"/>
        <v>0</v>
      </c>
      <c r="L21" s="13">
        <f t="shared" si="2"/>
        <v>84888900</v>
      </c>
      <c r="M21" s="2"/>
    </row>
    <row r="22" spans="1:13" ht="18.75">
      <c r="A22" s="1"/>
      <c r="B22" s="1"/>
      <c r="C22" s="1"/>
      <c r="D22" s="1"/>
      <c r="E22" s="1"/>
      <c r="F22" s="2"/>
      <c r="G22" s="2"/>
      <c r="H22" s="2"/>
      <c r="I22" s="15"/>
      <c r="J22" s="15"/>
      <c r="K22" s="15"/>
      <c r="L22" s="15"/>
      <c r="M22" s="2"/>
    </row>
    <row r="23" spans="1:13" ht="18.75">
      <c r="A23" s="1" t="s">
        <v>265</v>
      </c>
      <c r="B23" s="1"/>
      <c r="C23" s="1"/>
      <c r="D23" s="1"/>
      <c r="E23" s="1"/>
      <c r="F23" s="2"/>
      <c r="G23" s="2"/>
      <c r="H23" s="2"/>
      <c r="I23" s="15"/>
      <c r="J23" s="15"/>
      <c r="K23" s="15"/>
      <c r="L23" s="15"/>
      <c r="M23" s="2"/>
    </row>
    <row r="24" spans="1:13" ht="18.75">
      <c r="A24" s="1" t="s">
        <v>80</v>
      </c>
      <c r="B24" s="1"/>
      <c r="C24" s="1"/>
      <c r="D24" s="1"/>
      <c r="E24" s="1"/>
      <c r="F24" s="2"/>
      <c r="G24" s="2"/>
      <c r="H24" s="2"/>
      <c r="I24" s="15"/>
      <c r="J24" s="15"/>
      <c r="K24" s="15"/>
      <c r="L24" s="15"/>
      <c r="M24" s="2"/>
    </row>
    <row r="25" spans="1:13" ht="18.75">
      <c r="A25" s="1"/>
      <c r="B25" s="2" t="s">
        <v>266</v>
      </c>
      <c r="C25" s="1"/>
      <c r="D25" s="1"/>
      <c r="E25" s="1"/>
      <c r="F25" s="2"/>
      <c r="G25" s="2"/>
      <c r="H25" s="2"/>
      <c r="I25" s="15">
        <v>23810</v>
      </c>
      <c r="J25" s="15"/>
      <c r="K25" s="15"/>
      <c r="L25" s="15">
        <f>SUM(I25:K25)</f>
        <v>23810</v>
      </c>
      <c r="M25" s="3">
        <f>SUM(L25)</f>
        <v>23810</v>
      </c>
    </row>
    <row r="26" spans="1:13" ht="18.75">
      <c r="A26" s="1"/>
      <c r="B26" s="2" t="s">
        <v>11</v>
      </c>
      <c r="C26" s="1"/>
      <c r="D26" s="1"/>
      <c r="E26" s="1"/>
      <c r="F26" s="2"/>
      <c r="G26" s="2"/>
      <c r="H26" s="2"/>
      <c r="I26" s="15"/>
      <c r="J26" s="15"/>
      <c r="K26" s="15"/>
      <c r="L26" s="15">
        <f>SUM(I26:K26)</f>
        <v>0</v>
      </c>
      <c r="M26" s="2"/>
    </row>
    <row r="27" spans="1:13" ht="18.75">
      <c r="A27" s="1"/>
      <c r="B27" s="1"/>
      <c r="C27" s="1" t="s">
        <v>68</v>
      </c>
      <c r="D27" s="1"/>
      <c r="E27" s="1"/>
      <c r="F27" s="2"/>
      <c r="G27" s="2"/>
      <c r="H27" s="2"/>
      <c r="I27" s="12">
        <f t="shared" ref="I27:K27" si="3">SUM(I25:I26)</f>
        <v>23810</v>
      </c>
      <c r="J27" s="12">
        <f t="shared" si="3"/>
        <v>0</v>
      </c>
      <c r="K27" s="12">
        <f t="shared" si="3"/>
        <v>0</v>
      </c>
      <c r="L27" s="12">
        <f>SUM(L25:L26)</f>
        <v>23810</v>
      </c>
      <c r="M27" s="2"/>
    </row>
    <row r="28" spans="1:13" ht="18.75">
      <c r="A28" s="1"/>
      <c r="B28" s="1" t="s">
        <v>267</v>
      </c>
      <c r="C28" s="1"/>
      <c r="D28" s="1"/>
      <c r="E28" s="1"/>
      <c r="F28" s="2"/>
      <c r="G28" s="2"/>
      <c r="H28" s="2"/>
      <c r="I28" s="15"/>
      <c r="J28" s="15"/>
      <c r="K28" s="15"/>
      <c r="L28" s="15"/>
      <c r="M28" s="2"/>
    </row>
    <row r="29" spans="1:13" ht="18.75">
      <c r="A29" s="1"/>
      <c r="B29" s="1"/>
      <c r="C29" s="2" t="s">
        <v>263</v>
      </c>
      <c r="D29" s="1"/>
      <c r="E29" s="1"/>
      <c r="F29" s="2"/>
      <c r="G29" s="2"/>
      <c r="H29" s="2"/>
      <c r="I29" s="3">
        <v>514238</v>
      </c>
      <c r="J29" s="3">
        <v>45167</v>
      </c>
      <c r="K29" s="3">
        <v>-42744</v>
      </c>
      <c r="L29" s="3">
        <f>SUM(I29:K29)</f>
        <v>516661</v>
      </c>
      <c r="M29" s="3">
        <f>SUM(L29)</f>
        <v>516661</v>
      </c>
    </row>
    <row r="30" spans="1:13" ht="18.75">
      <c r="A30" s="2"/>
      <c r="B30" s="2"/>
      <c r="C30" s="2" t="s">
        <v>30</v>
      </c>
      <c r="D30" s="2"/>
      <c r="E30" s="2"/>
      <c r="F30" s="2"/>
      <c r="G30" s="2"/>
      <c r="H30" s="2"/>
      <c r="I30" s="3">
        <v>44382</v>
      </c>
      <c r="J30" s="3"/>
      <c r="K30" s="3"/>
      <c r="L30" s="3">
        <f t="shared" ref="L30:L33" si="4">SUM(I30:K30)</f>
        <v>44382</v>
      </c>
      <c r="M30" s="3">
        <f t="shared" ref="M30:M33" si="5">SUM(L30)</f>
        <v>44382</v>
      </c>
    </row>
    <row r="31" spans="1:13" ht="18.75">
      <c r="A31" s="2"/>
      <c r="B31" s="2"/>
      <c r="C31" s="2" t="s">
        <v>32</v>
      </c>
      <c r="D31" s="2"/>
      <c r="E31" s="2"/>
      <c r="F31" s="2"/>
      <c r="G31" s="2"/>
      <c r="H31" s="2"/>
      <c r="I31" s="3">
        <v>813566</v>
      </c>
      <c r="J31" s="3"/>
      <c r="K31" s="3"/>
      <c r="L31" s="3">
        <f t="shared" si="4"/>
        <v>813566</v>
      </c>
      <c r="M31" s="3">
        <f t="shared" si="5"/>
        <v>813566</v>
      </c>
    </row>
    <row r="32" spans="1:13" ht="18.75">
      <c r="A32" s="2"/>
      <c r="B32" s="2"/>
      <c r="C32" s="2" t="s">
        <v>268</v>
      </c>
      <c r="D32" s="2"/>
      <c r="E32" s="2"/>
      <c r="F32" s="2"/>
      <c r="G32" s="2"/>
      <c r="H32" s="2"/>
      <c r="I32" s="3">
        <v>135262</v>
      </c>
      <c r="J32" s="3"/>
      <c r="K32" s="3"/>
      <c r="L32" s="3">
        <f t="shared" si="4"/>
        <v>135262</v>
      </c>
      <c r="M32" s="3">
        <f t="shared" si="5"/>
        <v>135262</v>
      </c>
    </row>
    <row r="33" spans="1:13" ht="18.75">
      <c r="A33" s="2"/>
      <c r="B33" s="2"/>
      <c r="C33" s="2" t="s">
        <v>33</v>
      </c>
      <c r="D33" s="2"/>
      <c r="E33" s="2"/>
      <c r="F33" s="2"/>
      <c r="G33" s="2"/>
      <c r="H33" s="2"/>
      <c r="I33" s="3">
        <v>65071</v>
      </c>
      <c r="J33" s="3"/>
      <c r="K33" s="3"/>
      <c r="L33" s="3">
        <f t="shared" si="4"/>
        <v>65071</v>
      </c>
      <c r="M33" s="3">
        <f t="shared" si="5"/>
        <v>65071</v>
      </c>
    </row>
    <row r="34" spans="1:13" ht="18.75">
      <c r="A34" s="2"/>
      <c r="B34" s="2"/>
      <c r="C34" s="2"/>
      <c r="D34" s="1" t="s">
        <v>269</v>
      </c>
      <c r="E34" s="2"/>
      <c r="F34" s="2"/>
      <c r="G34" s="2"/>
      <c r="H34" s="2"/>
      <c r="I34" s="30">
        <f>SUM(I29:I33)</f>
        <v>1572519</v>
      </c>
      <c r="J34" s="30">
        <f t="shared" ref="J34:L34" si="6">SUM(J29:J33)</f>
        <v>45167</v>
      </c>
      <c r="K34" s="30">
        <f t="shared" si="6"/>
        <v>-42744</v>
      </c>
      <c r="L34" s="30">
        <f t="shared" si="6"/>
        <v>1574942</v>
      </c>
      <c r="M34" s="2"/>
    </row>
    <row r="35" spans="1:13" ht="18.75">
      <c r="A35" s="2"/>
      <c r="B35" s="2"/>
      <c r="C35" s="1" t="s">
        <v>270</v>
      </c>
      <c r="D35" s="1"/>
      <c r="E35" s="2"/>
      <c r="F35" s="2"/>
      <c r="G35" s="2"/>
      <c r="H35" s="2"/>
      <c r="I35" s="30">
        <f>SUM(I34+I27)</f>
        <v>1596329</v>
      </c>
      <c r="J35" s="30">
        <f t="shared" ref="J35:L35" si="7">SUM(J34+J27)</f>
        <v>45167</v>
      </c>
      <c r="K35" s="30">
        <f t="shared" si="7"/>
        <v>-42744</v>
      </c>
      <c r="L35" s="30">
        <f t="shared" si="7"/>
        <v>1598752</v>
      </c>
      <c r="M35" s="2"/>
    </row>
    <row r="36" spans="1:13" ht="18.75">
      <c r="A36" s="2"/>
      <c r="B36" s="2"/>
      <c r="C36" s="1"/>
      <c r="D36" s="1"/>
      <c r="E36" s="2"/>
      <c r="F36" s="2"/>
      <c r="G36" s="2"/>
      <c r="H36" s="2"/>
      <c r="I36" s="30"/>
      <c r="J36" s="30"/>
      <c r="K36" s="30"/>
      <c r="L36" s="30"/>
      <c r="M36" s="2"/>
    </row>
    <row r="37" spans="1:13" ht="18.75">
      <c r="A37" s="2"/>
      <c r="B37" s="1" t="s">
        <v>271</v>
      </c>
      <c r="C37" s="2"/>
      <c r="D37" s="2"/>
      <c r="E37" s="2"/>
      <c r="F37" s="2"/>
      <c r="G37" s="2"/>
      <c r="H37" s="2"/>
      <c r="I37" s="30">
        <v>84273250</v>
      </c>
      <c r="J37" s="30">
        <v>800870</v>
      </c>
      <c r="K37" s="30">
        <v>-42744</v>
      </c>
      <c r="L37" s="30">
        <v>85031376</v>
      </c>
      <c r="M37" s="2"/>
    </row>
    <row r="38" spans="1:13" ht="18.75">
      <c r="A38" s="2"/>
      <c r="B38" s="1" t="s">
        <v>272</v>
      </c>
      <c r="C38" s="2"/>
      <c r="D38" s="2"/>
      <c r="E38" s="2"/>
      <c r="F38" s="2"/>
      <c r="G38" s="2"/>
      <c r="H38" s="2"/>
      <c r="I38" s="53">
        <f>SUM(I21+I35)</f>
        <v>84774268</v>
      </c>
      <c r="J38" s="53">
        <f t="shared" ref="J38:L38" si="8">SUM(J21+J35)</f>
        <v>1756128</v>
      </c>
      <c r="K38" s="53">
        <f t="shared" si="8"/>
        <v>-42744</v>
      </c>
      <c r="L38" s="53">
        <f t="shared" si="8"/>
        <v>86487652</v>
      </c>
      <c r="M38" s="2"/>
    </row>
    <row r="39" spans="1:13" ht="18.75">
      <c r="A39" s="2"/>
      <c r="B39" s="2"/>
      <c r="C39" s="2"/>
      <c r="D39" s="2"/>
      <c r="E39" s="2"/>
      <c r="F39" s="2"/>
      <c r="G39" s="2"/>
      <c r="H39" s="2"/>
      <c r="I39" s="3"/>
      <c r="J39" s="3"/>
      <c r="K39" s="3"/>
      <c r="L39" s="3"/>
      <c r="M39" s="2"/>
    </row>
    <row r="40" spans="1:13" ht="18.75">
      <c r="A40" s="1" t="s">
        <v>19</v>
      </c>
      <c r="B40" s="1"/>
      <c r="C40" s="1"/>
      <c r="D40" s="1"/>
      <c r="E40" s="1"/>
      <c r="F40" s="2"/>
      <c r="G40" s="2"/>
      <c r="H40" s="2"/>
      <c r="I40" s="3"/>
      <c r="J40" s="3"/>
      <c r="K40" s="3"/>
      <c r="L40" s="3"/>
      <c r="M40" s="2"/>
    </row>
    <row r="41" spans="1:13" ht="18.75">
      <c r="A41" s="2"/>
      <c r="B41" s="2" t="s">
        <v>121</v>
      </c>
      <c r="C41" s="2"/>
      <c r="D41" s="2"/>
      <c r="E41" s="2"/>
      <c r="F41" s="2"/>
      <c r="G41" s="2"/>
      <c r="H41" s="2"/>
      <c r="I41" s="3">
        <v>-74544686</v>
      </c>
      <c r="J41" s="3">
        <v>-147645</v>
      </c>
      <c r="K41" s="3"/>
      <c r="L41" s="3">
        <f>SUM(I41:K41)</f>
        <v>-74692331</v>
      </c>
      <c r="M41" s="3">
        <f>SUM(L41+L13)</f>
        <v>2822579</v>
      </c>
    </row>
    <row r="42" spans="1:13" ht="18.75">
      <c r="A42" s="2"/>
      <c r="B42" s="2" t="s">
        <v>14</v>
      </c>
      <c r="C42" s="2"/>
      <c r="D42" s="2"/>
      <c r="E42" s="2"/>
      <c r="F42" s="2"/>
      <c r="G42" s="2"/>
      <c r="H42" s="2"/>
      <c r="I42" s="3">
        <v>-1487371</v>
      </c>
      <c r="J42" s="3">
        <v>-68025</v>
      </c>
      <c r="K42" s="3"/>
      <c r="L42" s="3">
        <f>SUM(I42:K42)</f>
        <v>-1555396</v>
      </c>
      <c r="M42" s="3">
        <f t="shared" ref="M42:M47" si="9">SUM(L42+L14)</f>
        <v>814303</v>
      </c>
    </row>
    <row r="43" spans="1:13" ht="18.75">
      <c r="A43" s="2"/>
      <c r="B43" s="2" t="s">
        <v>72</v>
      </c>
      <c r="C43" s="2"/>
      <c r="D43" s="2"/>
      <c r="E43" s="2"/>
      <c r="F43" s="2"/>
      <c r="G43" s="2"/>
      <c r="H43" s="2"/>
      <c r="I43" s="3">
        <v>-139378</v>
      </c>
      <c r="J43" s="3">
        <v>-80102</v>
      </c>
      <c r="K43" s="3"/>
      <c r="L43" s="3">
        <f>SUM(I43:K43)</f>
        <v>-219480</v>
      </c>
      <c r="M43" s="3">
        <f t="shared" si="9"/>
        <v>568609</v>
      </c>
    </row>
    <row r="44" spans="1:13" ht="18.75">
      <c r="A44" s="2"/>
      <c r="B44" s="2" t="s">
        <v>65</v>
      </c>
      <c r="C44" s="2"/>
      <c r="D44" s="2"/>
      <c r="E44" s="2"/>
      <c r="F44" s="2"/>
      <c r="G44" s="2"/>
      <c r="H44" s="2"/>
      <c r="I44" s="3">
        <v>-1940729</v>
      </c>
      <c r="J44" s="3">
        <v>-101680</v>
      </c>
      <c r="K44" s="3"/>
      <c r="L44" s="3">
        <f>SUM(I44:K44)</f>
        <v>-2042409</v>
      </c>
      <c r="M44" s="3">
        <f t="shared" si="9"/>
        <v>314665</v>
      </c>
    </row>
    <row r="45" spans="1:13" ht="18.75">
      <c r="A45" s="2"/>
      <c r="B45" s="2" t="s">
        <v>187</v>
      </c>
      <c r="C45" s="2"/>
      <c r="D45" s="2"/>
      <c r="E45" s="2"/>
      <c r="F45" s="2"/>
      <c r="G45" s="2"/>
      <c r="H45" s="2"/>
      <c r="I45" s="3">
        <v>-276614</v>
      </c>
      <c r="J45" s="3">
        <v>-21231</v>
      </c>
      <c r="K45" s="3"/>
      <c r="L45" s="3">
        <f>SUM(I45:K45)</f>
        <v>-297845</v>
      </c>
      <c r="M45" s="3">
        <f t="shared" si="9"/>
        <v>-195064</v>
      </c>
    </row>
    <row r="46" spans="1:13" ht="18.75">
      <c r="A46" s="2"/>
      <c r="B46" s="2" t="s">
        <v>30</v>
      </c>
      <c r="C46" s="2"/>
      <c r="D46" s="2"/>
      <c r="E46" s="2"/>
      <c r="F46" s="2"/>
      <c r="G46" s="2"/>
      <c r="H46" s="2"/>
      <c r="I46" s="3">
        <v>-178783</v>
      </c>
      <c r="J46" s="3">
        <v>-47695</v>
      </c>
      <c r="K46" s="3"/>
      <c r="L46" s="3">
        <f t="shared" ref="L46:L47" si="10">SUM(I46:K46)</f>
        <v>-226478</v>
      </c>
      <c r="M46" s="3">
        <f t="shared" si="9"/>
        <v>97403</v>
      </c>
    </row>
    <row r="47" spans="1:13" ht="18.75">
      <c r="A47" s="2"/>
      <c r="B47" s="2" t="s">
        <v>263</v>
      </c>
      <c r="C47" s="2"/>
      <c r="D47" s="2"/>
      <c r="E47" s="2"/>
      <c r="F47" s="2"/>
      <c r="G47" s="2"/>
      <c r="H47" s="2"/>
      <c r="I47" s="3">
        <v>-366233</v>
      </c>
      <c r="J47" s="3">
        <v>-34881</v>
      </c>
      <c r="K47" s="3">
        <v>42744</v>
      </c>
      <c r="L47" s="3">
        <f t="shared" si="10"/>
        <v>-358370</v>
      </c>
      <c r="M47" s="3">
        <f t="shared" si="9"/>
        <v>-358370</v>
      </c>
    </row>
    <row r="48" spans="1:13" ht="18.75">
      <c r="A48" s="1"/>
      <c r="B48" s="1"/>
      <c r="C48" s="1" t="s">
        <v>20</v>
      </c>
      <c r="D48" s="1"/>
      <c r="E48" s="1"/>
      <c r="F48" s="1"/>
      <c r="G48" s="1"/>
      <c r="H48" s="1"/>
      <c r="I48" s="10">
        <f>SUM(I41:I47)</f>
        <v>-78933794</v>
      </c>
      <c r="J48" s="10">
        <f t="shared" ref="J48:L48" si="11">SUM(J41:J47)</f>
        <v>-501259</v>
      </c>
      <c r="K48" s="10">
        <f t="shared" si="11"/>
        <v>42744</v>
      </c>
      <c r="L48" s="10">
        <f t="shared" si="11"/>
        <v>-79392309</v>
      </c>
      <c r="M48" s="1"/>
    </row>
    <row r="49" spans="1:13" ht="18.75">
      <c r="A49" s="1"/>
      <c r="B49" s="1"/>
      <c r="C49" s="1"/>
      <c r="D49" s="1"/>
      <c r="E49" s="1"/>
      <c r="F49" s="1"/>
      <c r="G49" s="1"/>
      <c r="H49" s="1"/>
      <c r="I49" s="10"/>
      <c r="J49" s="10"/>
      <c r="K49" s="10"/>
      <c r="L49" s="10"/>
      <c r="M49" s="1"/>
    </row>
    <row r="50" spans="1:13" ht="18.75">
      <c r="A50" s="1"/>
      <c r="B50" s="1" t="s">
        <v>273</v>
      </c>
      <c r="C50" s="1"/>
      <c r="D50" s="1"/>
      <c r="E50" s="1"/>
      <c r="F50" s="1"/>
      <c r="G50" s="1"/>
      <c r="H50" s="1"/>
      <c r="I50" s="10">
        <f>SUM(I48+I37)</f>
        <v>5339456</v>
      </c>
      <c r="J50" s="10">
        <f t="shared" ref="J50:L50" si="12">SUM(J48+J37)</f>
        <v>299611</v>
      </c>
      <c r="K50" s="10">
        <f t="shared" si="12"/>
        <v>0</v>
      </c>
      <c r="L50" s="10">
        <f t="shared" si="12"/>
        <v>5639067</v>
      </c>
      <c r="M50" s="15"/>
    </row>
    <row r="51" spans="1:13" ht="18.75">
      <c r="A51" s="1"/>
      <c r="B51" s="1"/>
      <c r="C51" s="1"/>
      <c r="D51" s="1"/>
      <c r="E51" s="1"/>
      <c r="F51" s="1"/>
      <c r="G51" s="1"/>
      <c r="H51" s="1"/>
      <c r="I51" s="31"/>
      <c r="J51" s="31"/>
      <c r="K51" s="31"/>
      <c r="L51" s="31"/>
      <c r="M51" s="1"/>
    </row>
    <row r="52" spans="1:13" ht="18.75">
      <c r="A52" s="2"/>
      <c r="B52" s="1" t="s">
        <v>75</v>
      </c>
      <c r="C52" s="2"/>
      <c r="D52" s="2"/>
      <c r="E52" s="2"/>
      <c r="F52" s="2"/>
      <c r="G52" s="2"/>
      <c r="H52" s="2"/>
      <c r="I52" s="8">
        <f>SUM(I48+I38)</f>
        <v>5840474</v>
      </c>
      <c r="J52" s="8">
        <f t="shared" ref="J52:L52" si="13">SUM(J48+J38)</f>
        <v>1254869</v>
      </c>
      <c r="K52" s="8">
        <f t="shared" si="13"/>
        <v>0</v>
      </c>
      <c r="L52" s="8">
        <f t="shared" si="13"/>
        <v>7095343</v>
      </c>
      <c r="M52" s="3">
        <f>SUM(M8:M47)</f>
        <v>7095343</v>
      </c>
    </row>
    <row r="53" spans="1:13" ht="18.75">
      <c r="A53" s="2"/>
      <c r="B53" s="2"/>
      <c r="C53" s="2"/>
      <c r="D53" s="2"/>
      <c r="E53" s="2"/>
      <c r="F53" s="2"/>
      <c r="G53" s="2"/>
      <c r="H53" s="2"/>
      <c r="I53" s="3"/>
      <c r="J53" s="3"/>
      <c r="K53" s="3"/>
      <c r="L53" s="3"/>
      <c r="M53" s="2"/>
    </row>
  </sheetData>
  <mergeCells count="3">
    <mergeCell ref="D1:I1"/>
    <mergeCell ref="D2:I2"/>
    <mergeCell ref="D3:I3"/>
  </mergeCells>
  <pageMargins left="0.7" right="0.7" top="0.75" bottom="0.75" header="0.3" footer="0.3"/>
  <extLst>
    <ext xmlns:mx="http://schemas.microsoft.com/office/mac/excel/2008/main" uri="{64002731-A6B0-56B0-2670-7721B7C09600}">
      <mx:PLV Mode="0" OnePage="0" WScale="0"/>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M52"/>
  <sheetViews>
    <sheetView zoomScale="60" zoomScaleNormal="60" zoomScalePageLayoutView="60" workbookViewId="0">
      <selection activeCell="M45" sqref="M45"/>
    </sheetView>
  </sheetViews>
  <sheetFormatPr defaultColWidth="8.85546875" defaultRowHeight="18.75"/>
  <cols>
    <col min="1" max="1" width="4.42578125" style="2" customWidth="1"/>
    <col min="2" max="3" width="4.7109375" style="2" customWidth="1"/>
    <col min="4" max="6" width="8.85546875" style="2"/>
    <col min="7" max="7" width="14.28515625" style="2" bestFit="1" customWidth="1"/>
    <col min="8" max="8" width="12.7109375" style="2" bestFit="1" customWidth="1"/>
    <col min="9" max="9" width="19.140625" style="2" bestFit="1" customWidth="1"/>
    <col min="10" max="10" width="22.140625" style="2" bestFit="1" customWidth="1"/>
    <col min="11" max="11" width="16.85546875" style="2" customWidth="1"/>
    <col min="12" max="12" width="23" style="2" bestFit="1" customWidth="1"/>
    <col min="13" max="13" width="17.85546875" style="2" customWidth="1"/>
    <col min="14" max="16384" width="8.85546875" style="2"/>
  </cols>
  <sheetData>
    <row r="1" spans="1:13">
      <c r="D1" s="136" t="s">
        <v>274</v>
      </c>
      <c r="E1" s="136"/>
      <c r="F1" s="136"/>
      <c r="G1" s="136"/>
      <c r="H1" s="136"/>
      <c r="I1" s="136"/>
    </row>
    <row r="2" spans="1:13">
      <c r="D2" s="136" t="s">
        <v>1</v>
      </c>
      <c r="E2" s="136"/>
      <c r="F2" s="136"/>
      <c r="G2" s="136"/>
      <c r="H2" s="136"/>
      <c r="I2" s="136"/>
    </row>
    <row r="3" spans="1:13">
      <c r="D3" s="136" t="s">
        <v>2</v>
      </c>
      <c r="E3" s="136"/>
      <c r="F3" s="136"/>
      <c r="G3" s="136"/>
      <c r="H3" s="136"/>
      <c r="I3" s="136"/>
    </row>
    <row r="4" spans="1:13" ht="14.25" customHeight="1">
      <c r="D4" s="69"/>
      <c r="E4" s="69"/>
      <c r="F4" s="69"/>
      <c r="G4" s="69"/>
      <c r="H4" s="69"/>
      <c r="I4" s="4"/>
      <c r="J4" s="3"/>
      <c r="K4" s="3"/>
      <c r="L4" s="3"/>
      <c r="M4" s="3"/>
    </row>
    <row r="5" spans="1:13" ht="39" customHeight="1">
      <c r="I5" s="140" t="s">
        <v>275</v>
      </c>
      <c r="J5" s="17"/>
      <c r="K5" s="17"/>
      <c r="L5" s="140" t="s">
        <v>85</v>
      </c>
      <c r="M5" s="140" t="s">
        <v>7</v>
      </c>
    </row>
    <row r="6" spans="1:13">
      <c r="I6" s="140"/>
      <c r="J6" s="17" t="s">
        <v>4</v>
      </c>
      <c r="K6" s="17" t="s">
        <v>5</v>
      </c>
      <c r="L6" s="140"/>
      <c r="M6" s="140"/>
    </row>
    <row r="7" spans="1:13">
      <c r="A7" s="1" t="s">
        <v>276</v>
      </c>
      <c r="B7" s="1"/>
      <c r="C7" s="1"/>
      <c r="D7" s="1"/>
      <c r="E7" s="1"/>
      <c r="F7" s="1"/>
      <c r="I7" s="3"/>
      <c r="J7" s="3"/>
      <c r="K7" s="3"/>
      <c r="L7" s="3"/>
      <c r="M7" s="3"/>
    </row>
    <row r="8" spans="1:13">
      <c r="A8" s="1" t="s">
        <v>277</v>
      </c>
      <c r="B8" s="1"/>
      <c r="C8" s="1"/>
      <c r="D8" s="1"/>
      <c r="E8" s="1"/>
      <c r="F8" s="1"/>
      <c r="I8" s="3"/>
      <c r="J8" s="3"/>
      <c r="K8" s="3"/>
      <c r="L8" s="3"/>
      <c r="M8" s="3"/>
    </row>
    <row r="9" spans="1:13">
      <c r="B9" s="2" t="s">
        <v>10</v>
      </c>
      <c r="I9" s="3">
        <v>5844429</v>
      </c>
      <c r="J9" s="3"/>
      <c r="K9" s="3"/>
      <c r="L9" s="3">
        <f>SUM(I9:K9)</f>
        <v>5844429</v>
      </c>
      <c r="M9" s="3">
        <f>SUM(L9)</f>
        <v>5844429</v>
      </c>
    </row>
    <row r="10" spans="1:13">
      <c r="B10" s="2" t="s">
        <v>11</v>
      </c>
      <c r="I10" s="3">
        <v>15111097</v>
      </c>
      <c r="J10" s="3">
        <v>10247963</v>
      </c>
      <c r="K10" s="3">
        <v>-19652271</v>
      </c>
      <c r="L10" s="3">
        <f>SUM(I10:K10)</f>
        <v>5706789</v>
      </c>
      <c r="M10" s="3">
        <f>SUM(L10)</f>
        <v>5706789</v>
      </c>
    </row>
    <row r="11" spans="1:13">
      <c r="A11" s="1"/>
      <c r="B11" s="1"/>
      <c r="C11" s="1" t="s">
        <v>278</v>
      </c>
      <c r="D11" s="1"/>
      <c r="E11" s="1"/>
      <c r="F11" s="1"/>
      <c r="G11" s="1"/>
      <c r="H11" s="1"/>
      <c r="I11" s="10">
        <f>SUM(I9:I10)</f>
        <v>20955526</v>
      </c>
      <c r="J11" s="10">
        <f t="shared" ref="J11:L11" si="0">SUM(J9:J10)</f>
        <v>10247963</v>
      </c>
      <c r="K11" s="10">
        <f t="shared" si="0"/>
        <v>-19652271</v>
      </c>
      <c r="L11" s="10">
        <f t="shared" si="0"/>
        <v>11551218</v>
      </c>
      <c r="M11" s="15"/>
    </row>
    <row r="12" spans="1:13">
      <c r="A12" s="1" t="s">
        <v>279</v>
      </c>
      <c r="I12" s="3"/>
      <c r="J12" s="3"/>
      <c r="K12" s="3"/>
      <c r="L12" s="3"/>
      <c r="M12" s="3"/>
    </row>
    <row r="13" spans="1:13">
      <c r="A13" s="1"/>
      <c r="B13" s="2" t="s">
        <v>122</v>
      </c>
      <c r="I13" s="3">
        <v>54813717</v>
      </c>
      <c r="J13" s="3">
        <v>19655722</v>
      </c>
      <c r="K13" s="3"/>
      <c r="L13" s="3">
        <f t="shared" ref="L13:L18" si="1">SUM(I13:K13)</f>
        <v>74469439</v>
      </c>
      <c r="M13" s="3"/>
    </row>
    <row r="14" spans="1:13">
      <c r="A14" s="1"/>
      <c r="B14" s="2" t="s">
        <v>280</v>
      </c>
      <c r="I14" s="3">
        <v>3758232</v>
      </c>
      <c r="J14" s="3"/>
      <c r="K14" s="3"/>
      <c r="L14" s="3">
        <f t="shared" si="1"/>
        <v>3758232</v>
      </c>
      <c r="M14" s="3"/>
    </row>
    <row r="15" spans="1:13">
      <c r="A15" s="1"/>
      <c r="B15" s="2" t="s">
        <v>101</v>
      </c>
      <c r="I15" s="3">
        <v>6238993</v>
      </c>
      <c r="J15" s="3">
        <v>859063</v>
      </c>
      <c r="K15" s="3">
        <v>-104284</v>
      </c>
      <c r="L15" s="3">
        <f t="shared" si="1"/>
        <v>6993772</v>
      </c>
      <c r="M15" s="3"/>
    </row>
    <row r="16" spans="1:13">
      <c r="A16" s="1"/>
      <c r="B16" s="2" t="s">
        <v>180</v>
      </c>
      <c r="I16" s="3">
        <v>2126234</v>
      </c>
      <c r="J16" s="3"/>
      <c r="K16" s="3"/>
      <c r="L16" s="3">
        <f t="shared" si="1"/>
        <v>2126234</v>
      </c>
      <c r="M16" s="3"/>
    </row>
    <row r="17" spans="1:13">
      <c r="A17" s="1"/>
      <c r="B17" s="2" t="s">
        <v>17</v>
      </c>
      <c r="I17" s="3">
        <v>146362543</v>
      </c>
      <c r="J17" s="3"/>
      <c r="K17" s="3"/>
      <c r="L17" s="3">
        <f t="shared" si="1"/>
        <v>146362543</v>
      </c>
      <c r="M17" s="3"/>
    </row>
    <row r="18" spans="1:13">
      <c r="A18" s="1"/>
      <c r="B18" s="2" t="s">
        <v>281</v>
      </c>
      <c r="I18" s="3">
        <v>250660</v>
      </c>
      <c r="J18" s="3"/>
      <c r="K18" s="3"/>
      <c r="L18" s="3">
        <f t="shared" si="1"/>
        <v>250660</v>
      </c>
      <c r="M18" s="3"/>
    </row>
    <row r="19" spans="1:13" ht="19.5" thickBot="1">
      <c r="A19" s="1"/>
      <c r="C19" s="1" t="s">
        <v>282</v>
      </c>
      <c r="I19" s="14">
        <f>SUM(I13:I18)</f>
        <v>213550379</v>
      </c>
      <c r="J19" s="14">
        <f t="shared" ref="J19:L19" si="2">SUM(J13:J18)</f>
        <v>20514785</v>
      </c>
      <c r="K19" s="14">
        <f t="shared" si="2"/>
        <v>-104284</v>
      </c>
      <c r="L19" s="14">
        <f t="shared" si="2"/>
        <v>233960880</v>
      </c>
      <c r="M19" s="3"/>
    </row>
    <row r="20" spans="1:13">
      <c r="A20" s="1" t="s">
        <v>19</v>
      </c>
      <c r="I20" s="3"/>
      <c r="J20" s="3"/>
      <c r="K20" s="3"/>
      <c r="L20" s="3"/>
      <c r="M20" s="3"/>
    </row>
    <row r="21" spans="1:13">
      <c r="B21" s="2" t="s">
        <v>122</v>
      </c>
      <c r="I21" s="3">
        <v>-9383769</v>
      </c>
      <c r="J21" s="3">
        <v>-1474060</v>
      </c>
      <c r="K21" s="3"/>
      <c r="L21" s="3">
        <f t="shared" ref="L21:L26" si="3">SUM(I21:K21)</f>
        <v>-10857829</v>
      </c>
      <c r="M21" s="3">
        <f>SUM(L21,L13)</f>
        <v>63611610</v>
      </c>
    </row>
    <row r="22" spans="1:13">
      <c r="B22" s="2" t="s">
        <v>280</v>
      </c>
      <c r="I22" s="3">
        <v>-306172</v>
      </c>
      <c r="J22" s="3">
        <v>-141749</v>
      </c>
      <c r="K22" s="3"/>
      <c r="L22" s="3">
        <f t="shared" si="3"/>
        <v>-447921</v>
      </c>
      <c r="M22" s="3">
        <f>SUM(L22,L14)</f>
        <v>3310311</v>
      </c>
    </row>
    <row r="23" spans="1:13">
      <c r="B23" s="2" t="s">
        <v>101</v>
      </c>
      <c r="I23" s="3">
        <v>-4700048</v>
      </c>
      <c r="J23" s="3">
        <v>-557567</v>
      </c>
      <c r="K23" s="3">
        <v>104284</v>
      </c>
      <c r="L23" s="3">
        <f t="shared" si="3"/>
        <v>-5153331</v>
      </c>
      <c r="M23" s="3">
        <f t="shared" ref="M23:M26" si="4">SUM(L23,L15)</f>
        <v>1840441</v>
      </c>
    </row>
    <row r="24" spans="1:13">
      <c r="B24" s="2" t="s">
        <v>180</v>
      </c>
      <c r="I24" s="3">
        <v>-9181136</v>
      </c>
      <c r="J24" s="3">
        <v>-9150261</v>
      </c>
      <c r="K24" s="3"/>
      <c r="L24" s="3">
        <f t="shared" si="3"/>
        <v>-18331397</v>
      </c>
      <c r="M24" s="3">
        <f t="shared" si="4"/>
        <v>-16205163</v>
      </c>
    </row>
    <row r="25" spans="1:13">
      <c r="B25" s="2" t="s">
        <v>17</v>
      </c>
      <c r="I25" s="3">
        <v>-66993722</v>
      </c>
      <c r="J25" s="3">
        <v>-28940</v>
      </c>
      <c r="K25" s="3"/>
      <c r="L25" s="3">
        <f t="shared" si="3"/>
        <v>-67022662</v>
      </c>
      <c r="M25" s="3">
        <f t="shared" si="4"/>
        <v>79339881</v>
      </c>
    </row>
    <row r="26" spans="1:13">
      <c r="B26" s="2" t="s">
        <v>281</v>
      </c>
      <c r="I26" s="3">
        <v>-268530</v>
      </c>
      <c r="J26" s="3">
        <v>-93956</v>
      </c>
      <c r="K26" s="3"/>
      <c r="L26" s="3">
        <f t="shared" si="3"/>
        <v>-362486</v>
      </c>
      <c r="M26" s="3">
        <f t="shared" si="4"/>
        <v>-111826</v>
      </c>
    </row>
    <row r="27" spans="1:13">
      <c r="C27" s="1" t="s">
        <v>20</v>
      </c>
      <c r="I27" s="12">
        <f>SUM(I21:I26)</f>
        <v>-90833377</v>
      </c>
      <c r="J27" s="12">
        <f>SUM(J21:J26)</f>
        <v>-11446533</v>
      </c>
      <c r="K27" s="12">
        <f t="shared" ref="K27:L27" si="5">SUM(K21:K26)</f>
        <v>104284</v>
      </c>
      <c r="L27" s="12">
        <f t="shared" si="5"/>
        <v>-102175626</v>
      </c>
      <c r="M27" s="15"/>
    </row>
    <row r="28" spans="1:13">
      <c r="C28" s="1" t="s">
        <v>283</v>
      </c>
      <c r="D28" s="1"/>
      <c r="E28" s="1"/>
      <c r="F28" s="1"/>
      <c r="I28" s="12">
        <f>SUM(I27+I19)</f>
        <v>122717002</v>
      </c>
      <c r="J28" s="12">
        <f t="shared" ref="J28:L28" si="6">SUM(J27+J19)</f>
        <v>9068252</v>
      </c>
      <c r="K28" s="12">
        <f t="shared" si="6"/>
        <v>0</v>
      </c>
      <c r="L28" s="12">
        <f t="shared" si="6"/>
        <v>131785254</v>
      </c>
      <c r="M28" s="3"/>
    </row>
    <row r="29" spans="1:13" ht="19.5" thickBot="1">
      <c r="C29" s="1" t="s">
        <v>284</v>
      </c>
      <c r="D29" s="1"/>
      <c r="E29" s="1"/>
      <c r="F29" s="1"/>
      <c r="I29" s="14">
        <f>I11+I28</f>
        <v>143672528</v>
      </c>
      <c r="J29" s="14">
        <f t="shared" ref="J29:L29" si="7">J11+J28</f>
        <v>19316215</v>
      </c>
      <c r="K29" s="14">
        <f t="shared" si="7"/>
        <v>-19652271</v>
      </c>
      <c r="L29" s="14">
        <f t="shared" si="7"/>
        <v>143336472</v>
      </c>
      <c r="M29" s="3">
        <f>SUM(M21:M26,M9:M10)</f>
        <v>143336472</v>
      </c>
    </row>
    <row r="30" spans="1:13" s="1" customFormat="1">
      <c r="A30"/>
      <c r="B30"/>
      <c r="C30"/>
      <c r="D30"/>
      <c r="E30"/>
      <c r="F30"/>
      <c r="G30"/>
      <c r="H30"/>
      <c r="I30" s="70"/>
      <c r="J30" s="70"/>
      <c r="K30" s="70"/>
      <c r="L30" s="70"/>
      <c r="M30" s="70"/>
    </row>
    <row r="31" spans="1:13">
      <c r="A31"/>
      <c r="B31"/>
      <c r="C31"/>
      <c r="D31"/>
      <c r="E31"/>
      <c r="F31"/>
      <c r="G31"/>
      <c r="H31"/>
      <c r="I31" s="70"/>
      <c r="J31" s="70"/>
      <c r="K31" s="70"/>
      <c r="L31" s="70"/>
      <c r="M31" s="70"/>
    </row>
    <row r="32" spans="1:13">
      <c r="A32" s="1" t="s">
        <v>285</v>
      </c>
      <c r="B32" s="1"/>
      <c r="C32" s="1"/>
      <c r="D32" s="1"/>
      <c r="E32" s="1"/>
      <c r="F32" s="1"/>
      <c r="I32" s="3"/>
      <c r="J32" s="3"/>
      <c r="K32" s="3"/>
      <c r="L32" s="3"/>
      <c r="M32" s="3"/>
    </row>
    <row r="33" spans="1:13">
      <c r="A33" s="1" t="s">
        <v>277</v>
      </c>
      <c r="B33" s="1"/>
      <c r="C33" s="1"/>
      <c r="D33" s="1"/>
      <c r="E33" s="1"/>
      <c r="F33" s="1"/>
      <c r="I33" s="3"/>
      <c r="J33" s="3"/>
      <c r="K33" s="3"/>
      <c r="L33" s="3"/>
      <c r="M33" s="3"/>
    </row>
    <row r="34" spans="1:13">
      <c r="B34" s="2" t="s">
        <v>10</v>
      </c>
      <c r="I34" s="3">
        <v>13243</v>
      </c>
      <c r="J34" s="3"/>
      <c r="K34" s="3"/>
      <c r="L34" s="3">
        <f>SUM(I34:K34)</f>
        <v>13243</v>
      </c>
      <c r="M34" s="3">
        <f>SUM(L34)</f>
        <v>13243</v>
      </c>
    </row>
    <row r="35" spans="1:13">
      <c r="B35" s="2" t="s">
        <v>11</v>
      </c>
      <c r="I35" s="3">
        <v>177483</v>
      </c>
      <c r="J35" s="3"/>
      <c r="K35" s="3">
        <v>-126364</v>
      </c>
      <c r="L35" s="3">
        <v>51119</v>
      </c>
      <c r="M35" s="3">
        <f>SUM(L35)</f>
        <v>51119</v>
      </c>
    </row>
    <row r="36" spans="1:13">
      <c r="A36" s="1"/>
      <c r="B36" s="1"/>
      <c r="C36" s="1" t="s">
        <v>278</v>
      </c>
      <c r="D36" s="1"/>
      <c r="E36" s="1"/>
      <c r="F36" s="1"/>
      <c r="G36" s="1"/>
      <c r="H36" s="1"/>
      <c r="I36" s="10">
        <f>SUM(I34:I35)</f>
        <v>190726</v>
      </c>
      <c r="J36" s="10">
        <f t="shared" ref="J36:L36" si="8">SUM(J34:J35)</f>
        <v>0</v>
      </c>
      <c r="K36" s="10">
        <f t="shared" si="8"/>
        <v>-126364</v>
      </c>
      <c r="L36" s="10">
        <f t="shared" si="8"/>
        <v>64362</v>
      </c>
      <c r="M36" s="15"/>
    </row>
    <row r="37" spans="1:13">
      <c r="A37" s="1" t="s">
        <v>279</v>
      </c>
      <c r="I37" s="3"/>
      <c r="J37" s="3"/>
      <c r="K37" s="3"/>
      <c r="L37" s="3"/>
      <c r="M37" s="3"/>
    </row>
    <row r="38" spans="1:13">
      <c r="A38" s="1"/>
      <c r="B38" s="2" t="s">
        <v>286</v>
      </c>
      <c r="I38" s="3">
        <v>9945658</v>
      </c>
      <c r="J38" s="3"/>
      <c r="K38" s="3"/>
      <c r="L38" s="3">
        <f>SUM(I38:K38)</f>
        <v>9945658</v>
      </c>
      <c r="M38" s="3"/>
    </row>
    <row r="39" spans="1:13" ht="19.5" thickBot="1">
      <c r="A39" s="1"/>
      <c r="C39" s="1" t="s">
        <v>287</v>
      </c>
      <c r="I39" s="14">
        <f>SUM(I38:I38)</f>
        <v>9945658</v>
      </c>
      <c r="J39" s="14">
        <f>SUM(J38:J38)</f>
        <v>0</v>
      </c>
      <c r="K39" s="14">
        <f>SUM(K38:K38)</f>
        <v>0</v>
      </c>
      <c r="L39" s="14">
        <f>SUM(L38:L38)</f>
        <v>9945658</v>
      </c>
      <c r="M39" s="3"/>
    </row>
    <row r="40" spans="1:13">
      <c r="A40" s="1" t="s">
        <v>19</v>
      </c>
      <c r="I40" s="3"/>
      <c r="J40" s="3"/>
      <c r="K40" s="3"/>
      <c r="L40" s="3"/>
      <c r="M40" s="3"/>
    </row>
    <row r="41" spans="1:13">
      <c r="B41" s="2" t="s">
        <v>288</v>
      </c>
      <c r="I41" s="3">
        <v>-1838904</v>
      </c>
      <c r="J41" s="3">
        <v>-295114</v>
      </c>
      <c r="K41" s="3"/>
      <c r="L41" s="3">
        <f>SUM(I41:K41)</f>
        <v>-2134018</v>
      </c>
      <c r="M41" s="3">
        <f>SUM(L41,L38)</f>
        <v>7811640</v>
      </c>
    </row>
    <row r="42" spans="1:13">
      <c r="C42" s="1" t="s">
        <v>20</v>
      </c>
      <c r="I42" s="12">
        <f>SUM(I41:I41)</f>
        <v>-1838904</v>
      </c>
      <c r="J42" s="12">
        <f>SUM(J41:J41)</f>
        <v>-295114</v>
      </c>
      <c r="K42" s="12">
        <f>SUM(K41:K41)</f>
        <v>0</v>
      </c>
      <c r="L42" s="12">
        <f>SUM(L41:L41)</f>
        <v>-2134018</v>
      </c>
      <c r="M42" s="15"/>
    </row>
    <row r="43" spans="1:13">
      <c r="C43" s="1" t="s">
        <v>289</v>
      </c>
      <c r="D43" s="1"/>
      <c r="E43" s="1"/>
      <c r="F43" s="1"/>
      <c r="I43" s="12">
        <f>SUM(I39+I42)</f>
        <v>8106754</v>
      </c>
      <c r="J43" s="12">
        <f t="shared" ref="J43:L43" si="9">SUM(J39+J42)</f>
        <v>-295114</v>
      </c>
      <c r="K43" s="12">
        <f t="shared" si="9"/>
        <v>0</v>
      </c>
      <c r="L43" s="12">
        <f t="shared" si="9"/>
        <v>7811640</v>
      </c>
      <c r="M43" s="3"/>
    </row>
    <row r="44" spans="1:13" ht="19.5" thickBot="1">
      <c r="C44" s="1" t="s">
        <v>284</v>
      </c>
      <c r="D44" s="1"/>
      <c r="E44" s="1"/>
      <c r="F44" s="1"/>
      <c r="I44" s="14">
        <f>I36+I43</f>
        <v>8297480</v>
      </c>
      <c r="J44" s="14">
        <f>J36+J43</f>
        <v>-295114</v>
      </c>
      <c r="K44" s="14">
        <f>K36+K43</f>
        <v>-126364</v>
      </c>
      <c r="L44" s="14">
        <f>L36+L43</f>
        <v>7876002</v>
      </c>
      <c r="M44" s="3">
        <f>SUM(M41,M34:M35)</f>
        <v>7876002</v>
      </c>
    </row>
    <row r="45" spans="1:13">
      <c r="A45"/>
      <c r="B45"/>
      <c r="C45"/>
      <c r="D45"/>
      <c r="E45"/>
      <c r="F45"/>
      <c r="G45"/>
      <c r="H45"/>
      <c r="I45"/>
      <c r="J45"/>
      <c r="K45"/>
      <c r="L45"/>
      <c r="M45"/>
    </row>
    <row r="46" spans="1:13">
      <c r="A46"/>
      <c r="B46"/>
      <c r="C46"/>
      <c r="D46"/>
      <c r="E46"/>
      <c r="F46"/>
      <c r="G46"/>
      <c r="H46"/>
      <c r="I46"/>
      <c r="J46"/>
      <c r="K46"/>
      <c r="L46"/>
      <c r="M46"/>
    </row>
    <row r="47" spans="1:13">
      <c r="C47"/>
      <c r="D47"/>
      <c r="E47"/>
      <c r="F47"/>
      <c r="G47"/>
      <c r="H47"/>
      <c r="I47"/>
      <c r="J47"/>
      <c r="K47"/>
      <c r="L47"/>
    </row>
    <row r="48" spans="1:13">
      <c r="B48"/>
      <c r="C48"/>
      <c r="D48"/>
      <c r="E48"/>
      <c r="F48"/>
      <c r="G48"/>
      <c r="H48"/>
      <c r="I48"/>
      <c r="J48"/>
      <c r="K48"/>
      <c r="L48"/>
    </row>
    <row r="49" spans="2:12">
      <c r="B49"/>
      <c r="C49"/>
      <c r="D49"/>
      <c r="E49"/>
      <c r="F49"/>
      <c r="G49"/>
      <c r="H49"/>
      <c r="I49"/>
      <c r="J49"/>
      <c r="K49"/>
      <c r="L49"/>
    </row>
    <row r="50" spans="2:12">
      <c r="B50"/>
      <c r="C50"/>
      <c r="D50"/>
      <c r="E50"/>
      <c r="F50"/>
      <c r="G50"/>
      <c r="H50"/>
      <c r="I50"/>
      <c r="J50"/>
      <c r="K50"/>
      <c r="L50"/>
    </row>
    <row r="51" spans="2:12">
      <c r="C51"/>
      <c r="D51"/>
      <c r="E51"/>
      <c r="F51"/>
      <c r="G51"/>
      <c r="H51"/>
      <c r="I51"/>
      <c r="J51"/>
      <c r="K51"/>
      <c r="L51"/>
    </row>
    <row r="52" spans="2:12">
      <c r="C52"/>
      <c r="D52"/>
      <c r="E52"/>
      <c r="F52"/>
      <c r="G52"/>
      <c r="H52"/>
      <c r="I52"/>
      <c r="J52"/>
      <c r="K52"/>
      <c r="L52"/>
    </row>
  </sheetData>
  <mergeCells count="6">
    <mergeCell ref="M5:M6"/>
    <mergeCell ref="D1:I1"/>
    <mergeCell ref="D2:I2"/>
    <mergeCell ref="D3:I3"/>
    <mergeCell ref="I5:I6"/>
    <mergeCell ref="L5:L6"/>
  </mergeCells>
  <pageMargins left="0.7" right="0.7" top="0.75" bottom="0.75" header="0.3" footer="0.3"/>
  <extLst>
    <ext xmlns:mx="http://schemas.microsoft.com/office/mac/excel/2008/main" uri="{64002731-A6B0-56B0-2670-7721B7C09600}">
      <mx:PLV Mode="0" OnePage="0" WScale="0"/>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M30"/>
  <sheetViews>
    <sheetView zoomScale="90" zoomScaleNormal="90" zoomScalePageLayoutView="90" workbookViewId="0">
      <selection activeCell="S18" sqref="S18"/>
    </sheetView>
  </sheetViews>
  <sheetFormatPr defaultColWidth="8.85546875" defaultRowHeight="18.75"/>
  <cols>
    <col min="1" max="1" width="4.42578125" style="2" customWidth="1"/>
    <col min="2" max="3" width="4.7109375" style="2" customWidth="1"/>
    <col min="4" max="6" width="8.85546875" style="2"/>
    <col min="7" max="7" width="14.28515625" style="2" bestFit="1" customWidth="1"/>
    <col min="8" max="8" width="12.7109375" style="2" bestFit="1" customWidth="1"/>
    <col min="9" max="9" width="19.140625" style="2" bestFit="1" customWidth="1"/>
    <col min="10" max="10" width="22.140625" style="2" bestFit="1" customWidth="1"/>
    <col min="11" max="11" width="16.85546875" style="2" customWidth="1"/>
    <col min="12" max="12" width="23" style="2" bestFit="1" customWidth="1"/>
    <col min="13" max="13" width="17.85546875" style="2" customWidth="1"/>
    <col min="14" max="16384" width="8.85546875" style="2"/>
  </cols>
  <sheetData>
    <row r="1" spans="1:13">
      <c r="D1" s="136" t="s">
        <v>290</v>
      </c>
      <c r="E1" s="136"/>
      <c r="F1" s="136"/>
      <c r="G1" s="136"/>
      <c r="H1" s="136"/>
      <c r="I1" s="136"/>
    </row>
    <row r="2" spans="1:13">
      <c r="D2" s="136" t="s">
        <v>1</v>
      </c>
      <c r="E2" s="136"/>
      <c r="F2" s="136"/>
      <c r="G2" s="136"/>
      <c r="H2" s="136"/>
      <c r="I2" s="136"/>
    </row>
    <row r="3" spans="1:13">
      <c r="D3" s="136" t="s">
        <v>2</v>
      </c>
      <c r="E3" s="136"/>
      <c r="F3" s="136"/>
      <c r="G3" s="136"/>
      <c r="H3" s="136"/>
      <c r="I3" s="136"/>
    </row>
    <row r="4" spans="1:13">
      <c r="D4" s="69"/>
      <c r="E4" s="69"/>
      <c r="F4" s="69"/>
      <c r="G4" s="69"/>
      <c r="H4" s="69"/>
      <c r="I4" s="4"/>
      <c r="J4" s="3"/>
      <c r="K4" s="3"/>
      <c r="L4" s="3"/>
      <c r="M4" s="3"/>
    </row>
    <row r="5" spans="1:13">
      <c r="I5" s="140" t="s">
        <v>291</v>
      </c>
      <c r="J5" s="17"/>
      <c r="K5" s="17"/>
      <c r="L5" s="140" t="s">
        <v>292</v>
      </c>
      <c r="M5" s="140" t="s">
        <v>7</v>
      </c>
    </row>
    <row r="6" spans="1:13">
      <c r="I6" s="140"/>
      <c r="J6" s="17" t="s">
        <v>45</v>
      </c>
      <c r="K6" s="17" t="s">
        <v>46</v>
      </c>
      <c r="L6" s="140"/>
      <c r="M6" s="140"/>
    </row>
    <row r="7" spans="1:13">
      <c r="A7" s="1" t="s">
        <v>276</v>
      </c>
      <c r="B7" s="1"/>
      <c r="C7" s="1"/>
      <c r="D7" s="1"/>
      <c r="E7" s="1"/>
      <c r="F7" s="1"/>
      <c r="I7" s="3"/>
      <c r="J7" s="3"/>
      <c r="K7" s="3"/>
      <c r="L7" s="3"/>
      <c r="M7" s="3"/>
    </row>
    <row r="8" spans="1:13">
      <c r="A8" s="1" t="s">
        <v>293</v>
      </c>
      <c r="B8" s="1"/>
      <c r="C8" s="1"/>
      <c r="D8" s="1"/>
      <c r="E8" s="1"/>
      <c r="F8" s="1"/>
      <c r="I8" s="3"/>
      <c r="J8" s="3"/>
      <c r="K8" s="3"/>
      <c r="L8" s="3"/>
      <c r="M8" s="3"/>
    </row>
    <row r="9" spans="1:13">
      <c r="B9" s="2" t="s">
        <v>10</v>
      </c>
      <c r="I9" s="3">
        <v>188750</v>
      </c>
      <c r="J9" s="3"/>
      <c r="K9" s="3"/>
      <c r="L9" s="3">
        <f>SUM(I9:K9)</f>
        <v>188750</v>
      </c>
      <c r="M9" s="3">
        <f>SUM(L9)</f>
        <v>188750</v>
      </c>
    </row>
    <row r="10" spans="1:13">
      <c r="B10" s="2" t="s">
        <v>294</v>
      </c>
      <c r="I10" s="3">
        <v>3771405</v>
      </c>
      <c r="J10" s="3"/>
      <c r="K10" s="3"/>
      <c r="L10" s="3">
        <f>SUM(I10:K10)</f>
        <v>3771405</v>
      </c>
      <c r="M10" s="3">
        <f>L10</f>
        <v>3771405</v>
      </c>
    </row>
    <row r="11" spans="1:13">
      <c r="A11" s="1" t="s">
        <v>295</v>
      </c>
      <c r="I11" s="3"/>
      <c r="J11" s="3"/>
      <c r="K11" s="3"/>
      <c r="L11" s="3"/>
      <c r="M11" s="3"/>
    </row>
    <row r="12" spans="1:13">
      <c r="A12" s="1"/>
      <c r="B12" s="2" t="s">
        <v>296</v>
      </c>
      <c r="I12" s="3">
        <v>1509539</v>
      </c>
      <c r="J12" s="3">
        <v>179096</v>
      </c>
      <c r="K12" s="3"/>
      <c r="L12" s="3">
        <f t="shared" ref="L12:L15" si="0">SUM(I12:K12)</f>
        <v>1688635</v>
      </c>
      <c r="M12" s="3">
        <f>L12</f>
        <v>1688635</v>
      </c>
    </row>
    <row r="13" spans="1:13">
      <c r="A13" s="1"/>
      <c r="B13" s="2" t="s">
        <v>14</v>
      </c>
      <c r="I13" s="3">
        <v>5989425</v>
      </c>
      <c r="J13" s="3">
        <v>68854</v>
      </c>
      <c r="K13" s="3">
        <v>-53000</v>
      </c>
      <c r="L13" s="3">
        <f>SUM(I13:K13)</f>
        <v>6005279</v>
      </c>
      <c r="M13" s="3"/>
    </row>
    <row r="14" spans="1:13">
      <c r="A14" s="1"/>
      <c r="B14" s="2" t="s">
        <v>69</v>
      </c>
      <c r="I14" s="3">
        <v>3385565</v>
      </c>
      <c r="J14" s="3">
        <v>92637</v>
      </c>
      <c r="K14" s="3"/>
      <c r="L14" s="3">
        <f t="shared" si="0"/>
        <v>3478202</v>
      </c>
      <c r="M14" s="3"/>
    </row>
    <row r="15" spans="1:13">
      <c r="A15" s="1"/>
      <c r="B15" s="2" t="s">
        <v>120</v>
      </c>
      <c r="I15" s="3">
        <v>486150</v>
      </c>
      <c r="J15" s="3">
        <v>45803</v>
      </c>
      <c r="K15" s="3">
        <v>-14854</v>
      </c>
      <c r="L15" s="3">
        <f t="shared" si="0"/>
        <v>517099</v>
      </c>
      <c r="M15" s="3"/>
    </row>
    <row r="16" spans="1:13" ht="19.5" thickBot="1">
      <c r="A16" s="1"/>
      <c r="C16" s="1" t="s">
        <v>297</v>
      </c>
      <c r="I16" s="14">
        <f>SUM(I9:I15)</f>
        <v>15330834</v>
      </c>
      <c r="J16" s="14">
        <f t="shared" ref="J16:L16" si="1">SUM(J9:J15)</f>
        <v>386390</v>
      </c>
      <c r="K16" s="14">
        <f t="shared" si="1"/>
        <v>-67854</v>
      </c>
      <c r="L16" s="14">
        <f t="shared" si="1"/>
        <v>15649370</v>
      </c>
      <c r="M16" s="3"/>
    </row>
    <row r="17" spans="1:13">
      <c r="A17" s="1" t="s">
        <v>298</v>
      </c>
      <c r="I17" s="3"/>
      <c r="J17" s="3"/>
      <c r="K17" s="3"/>
      <c r="L17" s="3"/>
      <c r="M17" s="3"/>
    </row>
    <row r="18" spans="1:13">
      <c r="B18" s="2" t="s">
        <v>14</v>
      </c>
      <c r="I18" s="3">
        <v>4417219</v>
      </c>
      <c r="J18" s="3">
        <v>142680</v>
      </c>
      <c r="K18" s="3"/>
      <c r="L18" s="3">
        <f t="shared" ref="L18:L20" si="2">SUM(I18:K18)</f>
        <v>4559899</v>
      </c>
      <c r="M18" s="3">
        <f>L13-L18</f>
        <v>1445380</v>
      </c>
    </row>
    <row r="19" spans="1:13">
      <c r="B19" s="2" t="s">
        <v>69</v>
      </c>
      <c r="I19" s="3">
        <v>2359532</v>
      </c>
      <c r="J19" s="3">
        <v>229228</v>
      </c>
      <c r="K19" s="3"/>
      <c r="L19" s="3">
        <f t="shared" si="2"/>
        <v>2588760</v>
      </c>
      <c r="M19" s="3">
        <f>L14-L19</f>
        <v>889442</v>
      </c>
    </row>
    <row r="20" spans="1:13">
      <c r="B20" s="2" t="s">
        <v>120</v>
      </c>
      <c r="I20" s="3">
        <v>376716</v>
      </c>
      <c r="J20" s="3">
        <v>51710</v>
      </c>
      <c r="K20" s="3">
        <v>-14854</v>
      </c>
      <c r="L20" s="3">
        <f t="shared" si="2"/>
        <v>413572</v>
      </c>
      <c r="M20" s="3">
        <f>L15-L20</f>
        <v>103527</v>
      </c>
    </row>
    <row r="21" spans="1:13">
      <c r="C21" s="1" t="s">
        <v>191</v>
      </c>
      <c r="I21" s="12">
        <f>SUM(I18:I20)</f>
        <v>7153467</v>
      </c>
      <c r="J21" s="12">
        <f>SUM(J18:J20)</f>
        <v>423618</v>
      </c>
      <c r="K21" s="12">
        <f>SUM(K18:K20)</f>
        <v>-14854</v>
      </c>
      <c r="L21" s="12">
        <f>SUM(L18:L20)</f>
        <v>7562231</v>
      </c>
      <c r="M21" s="15"/>
    </row>
    <row r="22" spans="1:13">
      <c r="B22" s="1" t="s">
        <v>22</v>
      </c>
      <c r="C22" s="1"/>
      <c r="D22" s="1"/>
      <c r="E22" s="1"/>
      <c r="F22" s="1"/>
      <c r="I22" s="12">
        <f>I16-I21</f>
        <v>8177367</v>
      </c>
      <c r="J22" s="12">
        <f t="shared" ref="J22:L22" si="3">J16-J21</f>
        <v>-37228</v>
      </c>
      <c r="K22" s="12">
        <f t="shared" si="3"/>
        <v>-53000</v>
      </c>
      <c r="L22" s="12">
        <f t="shared" si="3"/>
        <v>8087139</v>
      </c>
      <c r="M22" s="3">
        <f>SUM(M9:M20)</f>
        <v>8087139</v>
      </c>
    </row>
    <row r="23" spans="1:13" s="1" customFormat="1">
      <c r="A23"/>
      <c r="B23"/>
      <c r="C23"/>
      <c r="D23"/>
      <c r="E23"/>
      <c r="F23"/>
      <c r="G23"/>
      <c r="H23"/>
      <c r="I23" s="70"/>
      <c r="J23" s="70"/>
      <c r="K23" s="70"/>
    </row>
    <row r="24" spans="1:13">
      <c r="A24"/>
      <c r="B24"/>
      <c r="C24"/>
      <c r="D24"/>
      <c r="E24"/>
      <c r="F24"/>
      <c r="G24"/>
      <c r="H24"/>
      <c r="I24"/>
      <c r="J24"/>
      <c r="K24"/>
      <c r="L24"/>
      <c r="M24"/>
    </row>
    <row r="25" spans="1:13">
      <c r="C25"/>
      <c r="D25"/>
      <c r="E25"/>
      <c r="F25"/>
      <c r="G25"/>
      <c r="H25"/>
      <c r="I25"/>
      <c r="J25"/>
      <c r="K25"/>
      <c r="L25"/>
    </row>
    <row r="26" spans="1:13">
      <c r="B26"/>
      <c r="C26"/>
      <c r="D26"/>
      <c r="E26"/>
      <c r="F26"/>
      <c r="G26"/>
      <c r="H26"/>
      <c r="I26"/>
      <c r="J26"/>
      <c r="K26"/>
      <c r="L26"/>
    </row>
    <row r="27" spans="1:13">
      <c r="B27"/>
      <c r="C27"/>
      <c r="D27"/>
      <c r="E27"/>
      <c r="F27"/>
      <c r="G27"/>
      <c r="H27"/>
      <c r="I27"/>
      <c r="J27"/>
      <c r="K27"/>
      <c r="L27"/>
    </row>
    <row r="28" spans="1:13">
      <c r="B28"/>
      <c r="C28"/>
      <c r="D28"/>
      <c r="E28"/>
      <c r="F28"/>
      <c r="G28"/>
      <c r="H28"/>
      <c r="I28"/>
      <c r="J28"/>
      <c r="K28"/>
      <c r="L28"/>
    </row>
    <row r="29" spans="1:13">
      <c r="C29"/>
      <c r="D29"/>
      <c r="E29"/>
      <c r="F29"/>
      <c r="G29"/>
      <c r="H29"/>
      <c r="I29"/>
      <c r="J29"/>
      <c r="K29"/>
      <c r="L29"/>
    </row>
    <row r="30" spans="1:13">
      <c r="C30"/>
      <c r="D30"/>
      <c r="E30"/>
      <c r="F30"/>
      <c r="G30"/>
      <c r="H30"/>
      <c r="I30"/>
      <c r="J30"/>
      <c r="K30"/>
      <c r="L30"/>
    </row>
  </sheetData>
  <mergeCells count="6">
    <mergeCell ref="M5:M6"/>
    <mergeCell ref="D1:I1"/>
    <mergeCell ref="D2:I2"/>
    <mergeCell ref="D3:I3"/>
    <mergeCell ref="I5:I6"/>
    <mergeCell ref="L5:L6"/>
  </mergeCells>
  <pageMargins left="0.7" right="0.7" top="0.75" bottom="0.75" header="0.3" footer="0.3"/>
  <extLst>
    <ext xmlns:mx="http://schemas.microsoft.com/office/mac/excel/2008/main" uri="{64002731-A6B0-56B0-2670-7721B7C09600}">
      <mx:PLV Mode="0" OnePage="0" WScale="0"/>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N52"/>
  <sheetViews>
    <sheetView zoomScale="90" zoomScaleNormal="90" zoomScalePageLayoutView="90" workbookViewId="0">
      <selection activeCell="I12" sqref="I12"/>
    </sheetView>
  </sheetViews>
  <sheetFormatPr defaultColWidth="8.85546875" defaultRowHeight="18.75"/>
  <cols>
    <col min="1" max="1" width="4.42578125" style="2" customWidth="1"/>
    <col min="2" max="3" width="4.7109375" style="2" customWidth="1"/>
    <col min="4" max="6" width="8.85546875" style="2"/>
    <col min="7" max="7" width="14.28515625" style="2" bestFit="1" customWidth="1"/>
    <col min="8" max="8" width="12.7109375" style="2" bestFit="1" customWidth="1"/>
    <col min="9" max="9" width="15.42578125" style="2" customWidth="1"/>
    <col min="10" max="10" width="15.85546875" style="2" customWidth="1"/>
    <col min="11" max="12" width="16.85546875" style="2" customWidth="1"/>
    <col min="13" max="13" width="15.7109375" style="2" customWidth="1"/>
    <col min="14" max="14" width="17.7109375" style="2" customWidth="1"/>
    <col min="15" max="16384" width="8.85546875" style="2"/>
  </cols>
  <sheetData>
    <row r="1" spans="1:14">
      <c r="D1" s="136" t="s">
        <v>299</v>
      </c>
      <c r="E1" s="136"/>
      <c r="F1" s="136"/>
      <c r="G1" s="136"/>
      <c r="H1" s="136"/>
      <c r="I1" s="136"/>
    </row>
    <row r="2" spans="1:14">
      <c r="D2" s="136" t="s">
        <v>300</v>
      </c>
      <c r="E2" s="136"/>
      <c r="F2" s="136"/>
      <c r="G2" s="136"/>
      <c r="H2" s="136"/>
      <c r="I2" s="136"/>
    </row>
    <row r="3" spans="1:14">
      <c r="D3" s="136" t="s">
        <v>2</v>
      </c>
      <c r="E3" s="136"/>
      <c r="F3" s="136"/>
      <c r="G3" s="136"/>
      <c r="H3" s="136"/>
      <c r="I3" s="136"/>
    </row>
    <row r="4" spans="1:14" ht="14.25" customHeight="1">
      <c r="D4" s="69"/>
      <c r="E4" s="69"/>
      <c r="F4" s="69"/>
      <c r="G4" s="69"/>
      <c r="H4" s="69"/>
      <c r="I4" s="69"/>
    </row>
    <row r="5" spans="1:14" ht="56.25">
      <c r="I5" s="71" t="s">
        <v>275</v>
      </c>
      <c r="J5" s="71" t="s">
        <v>301</v>
      </c>
      <c r="K5" s="71" t="s">
        <v>302</v>
      </c>
      <c r="L5" s="71" t="s">
        <v>303</v>
      </c>
      <c r="M5" s="71" t="s">
        <v>304</v>
      </c>
      <c r="N5" s="110" t="s">
        <v>305</v>
      </c>
    </row>
    <row r="6" spans="1:14">
      <c r="A6" s="1"/>
      <c r="B6" s="1"/>
      <c r="C6" s="1"/>
      <c r="D6" s="1"/>
      <c r="E6" s="1"/>
      <c r="F6" s="1"/>
      <c r="I6" s="72"/>
      <c r="J6" s="72"/>
      <c r="K6" s="72"/>
      <c r="L6" s="72"/>
      <c r="M6" s="72"/>
    </row>
    <row r="7" spans="1:14">
      <c r="A7" s="1" t="s">
        <v>306</v>
      </c>
      <c r="B7" s="1"/>
      <c r="C7" s="1"/>
      <c r="D7" s="1"/>
      <c r="E7" s="1"/>
      <c r="F7" s="1"/>
      <c r="I7" s="40"/>
      <c r="J7" s="40"/>
      <c r="K7" s="40"/>
      <c r="L7" s="40"/>
      <c r="M7" s="40"/>
    </row>
    <row r="8" spans="1:14">
      <c r="B8" s="2" t="s">
        <v>10</v>
      </c>
      <c r="I8" s="73">
        <v>778626</v>
      </c>
      <c r="J8" s="74"/>
      <c r="K8" s="74"/>
      <c r="L8" s="74"/>
      <c r="M8" s="73">
        <f>SUM(I8:L8)</f>
        <v>778626</v>
      </c>
      <c r="N8" s="73">
        <f>M8</f>
        <v>778626</v>
      </c>
    </row>
    <row r="9" spans="1:14">
      <c r="A9" s="1" t="s">
        <v>307</v>
      </c>
    </row>
    <row r="10" spans="1:14">
      <c r="A10" s="1"/>
      <c r="B10" s="2" t="s">
        <v>308</v>
      </c>
      <c r="I10" s="2">
        <v>16600626</v>
      </c>
      <c r="M10" s="2">
        <f>SUM(I10:L10)</f>
        <v>16600626</v>
      </c>
    </row>
    <row r="11" spans="1:14">
      <c r="A11" s="1"/>
      <c r="B11" s="2" t="s">
        <v>309</v>
      </c>
      <c r="I11" s="2">
        <v>3087145</v>
      </c>
      <c r="J11" s="2">
        <v>776290</v>
      </c>
      <c r="K11" s="2">
        <v>-601819</v>
      </c>
      <c r="M11" s="2">
        <f t="shared" ref="M11" si="0">SUM(I11:L11)</f>
        <v>3261616</v>
      </c>
    </row>
    <row r="12" spans="1:14">
      <c r="A12" s="1"/>
      <c r="B12" s="1" t="s">
        <v>310</v>
      </c>
      <c r="C12" s="1"/>
      <c r="I12" s="75">
        <f>SUM(I10:I11)</f>
        <v>19687771</v>
      </c>
      <c r="J12" s="75">
        <f>SUM(J10:J11)</f>
        <v>776290</v>
      </c>
      <c r="K12" s="75">
        <f>SUM(K10:K11)</f>
        <v>-601819</v>
      </c>
      <c r="L12" s="75">
        <f>SUM(L10:L11)</f>
        <v>0</v>
      </c>
      <c r="M12" s="75">
        <f>SUM(M10:M11)</f>
        <v>19862242</v>
      </c>
    </row>
    <row r="13" spans="1:14">
      <c r="A13" s="1" t="s">
        <v>19</v>
      </c>
      <c r="J13" s="40"/>
      <c r="K13" s="40"/>
      <c r="L13" s="40"/>
    </row>
    <row r="14" spans="1:14">
      <c r="B14" s="2" t="s">
        <v>308</v>
      </c>
      <c r="I14" s="40">
        <v>4614099</v>
      </c>
      <c r="J14" s="40">
        <v>411646</v>
      </c>
      <c r="K14" s="40"/>
      <c r="L14" s="40"/>
      <c r="M14" s="40">
        <f>SUM(I14:L14)</f>
        <v>5025745</v>
      </c>
      <c r="N14" s="40">
        <f>M10-M14</f>
        <v>11574881</v>
      </c>
    </row>
    <row r="15" spans="1:14">
      <c r="B15" s="2" t="s">
        <v>309</v>
      </c>
      <c r="I15" s="40">
        <v>2207877</v>
      </c>
      <c r="J15" s="40">
        <v>274728</v>
      </c>
      <c r="K15" s="40">
        <v>-272249</v>
      </c>
      <c r="L15" s="40">
        <v>10350</v>
      </c>
      <c r="M15" s="40">
        <f>SUM(I15:L15)</f>
        <v>2220706</v>
      </c>
      <c r="N15" s="73">
        <f>M11-M15</f>
        <v>1040910</v>
      </c>
    </row>
    <row r="16" spans="1:14">
      <c r="B16" s="1" t="s">
        <v>20</v>
      </c>
      <c r="C16" s="1"/>
      <c r="I16" s="76">
        <v>6821976</v>
      </c>
      <c r="J16" s="76">
        <v>686374</v>
      </c>
      <c r="K16" s="76">
        <f>SUM(K14:K15)</f>
        <v>-272249</v>
      </c>
      <c r="L16" s="76">
        <v>10350</v>
      </c>
      <c r="M16" s="76">
        <f>SUM(I16:L16)</f>
        <v>7246451</v>
      </c>
      <c r="N16" s="87"/>
    </row>
    <row r="17" spans="1:14">
      <c r="B17"/>
      <c r="C17"/>
      <c r="D17"/>
      <c r="E17"/>
      <c r="F17"/>
      <c r="G17"/>
      <c r="H17"/>
      <c r="I17"/>
      <c r="J17"/>
      <c r="K17"/>
      <c r="L17"/>
      <c r="M17"/>
    </row>
    <row r="18" spans="1:14" s="1" customFormat="1">
      <c r="A18"/>
      <c r="B18"/>
      <c r="C18"/>
      <c r="D18" s="57" t="s">
        <v>21</v>
      </c>
      <c r="E18" s="34"/>
      <c r="F18" s="34"/>
      <c r="G18" s="34"/>
      <c r="H18" s="34"/>
      <c r="I18" s="77">
        <f>SUM(I12-I16)</f>
        <v>12865795</v>
      </c>
      <c r="J18" s="77">
        <f t="shared" ref="J18:M18" si="1">SUM(J12-J16)</f>
        <v>89916</v>
      </c>
      <c r="K18" s="77">
        <f t="shared" si="1"/>
        <v>-329570</v>
      </c>
      <c r="L18" s="77">
        <f t="shared" si="1"/>
        <v>-10350</v>
      </c>
      <c r="M18" s="77">
        <f t="shared" si="1"/>
        <v>12615791</v>
      </c>
      <c r="N18" s="40"/>
    </row>
    <row r="19" spans="1:14">
      <c r="A19"/>
      <c r="B19"/>
      <c r="C19"/>
      <c r="D19"/>
      <c r="E19"/>
      <c r="F19"/>
      <c r="G19"/>
      <c r="H19"/>
      <c r="I19"/>
      <c r="J19"/>
      <c r="K19"/>
      <c r="L19"/>
      <c r="M19"/>
      <c r="N19"/>
    </row>
    <row r="20" spans="1:14" ht="16.5" customHeight="1">
      <c r="A20"/>
      <c r="B20"/>
      <c r="C20"/>
      <c r="D20" s="57" t="s">
        <v>311</v>
      </c>
      <c r="E20" s="57"/>
      <c r="F20" s="57"/>
      <c r="G20" s="57"/>
      <c r="H20" s="57"/>
      <c r="I20" s="78">
        <f>SUM(I8+I18)</f>
        <v>13644421</v>
      </c>
      <c r="J20" s="78">
        <f t="shared" ref="J20:M20" si="2">SUM(J8+J18)</f>
        <v>89916</v>
      </c>
      <c r="K20" s="78">
        <f t="shared" si="2"/>
        <v>-329570</v>
      </c>
      <c r="L20" s="78">
        <f t="shared" si="2"/>
        <v>-10350</v>
      </c>
      <c r="M20" s="78">
        <f t="shared" si="2"/>
        <v>13394417</v>
      </c>
      <c r="N20" s="77">
        <f>SUM(N8+N14+N15)</f>
        <v>13394417</v>
      </c>
    </row>
    <row r="21" spans="1:14">
      <c r="A21"/>
      <c r="B21"/>
      <c r="C21"/>
      <c r="D21"/>
      <c r="E21"/>
      <c r="F21"/>
      <c r="G21"/>
      <c r="H21"/>
      <c r="I21"/>
      <c r="J21"/>
      <c r="K21"/>
      <c r="L21"/>
      <c r="M21"/>
      <c r="N21"/>
    </row>
    <row r="22" spans="1:14">
      <c r="A22"/>
      <c r="B22"/>
      <c r="C22"/>
      <c r="D22"/>
      <c r="E22"/>
      <c r="F22"/>
      <c r="G22"/>
      <c r="H22"/>
      <c r="I22"/>
      <c r="J22"/>
      <c r="K22"/>
      <c r="L22"/>
      <c r="M22"/>
      <c r="N22"/>
    </row>
    <row r="23" spans="1:14">
      <c r="A23"/>
      <c r="B23"/>
      <c r="C23"/>
      <c r="D23"/>
      <c r="E23"/>
      <c r="F23"/>
      <c r="G23"/>
      <c r="H23"/>
      <c r="I23"/>
      <c r="J23"/>
      <c r="K23"/>
      <c r="L23"/>
      <c r="M23"/>
      <c r="N23"/>
    </row>
    <row r="24" spans="1:14">
      <c r="A24"/>
      <c r="B24"/>
      <c r="C24"/>
      <c r="D24"/>
      <c r="E24"/>
      <c r="F24"/>
      <c r="G24"/>
      <c r="H24"/>
      <c r="I24"/>
      <c r="J24"/>
      <c r="K24"/>
      <c r="L24"/>
      <c r="M24"/>
      <c r="N24"/>
    </row>
    <row r="25" spans="1:14">
      <c r="A25"/>
      <c r="B25"/>
      <c r="C25"/>
      <c r="D25"/>
      <c r="E25"/>
      <c r="F25"/>
      <c r="G25"/>
      <c r="H25"/>
      <c r="I25"/>
      <c r="J25"/>
      <c r="K25"/>
      <c r="L25"/>
      <c r="M25"/>
      <c r="N25"/>
    </row>
    <row r="26" spans="1:14">
      <c r="A26"/>
      <c r="B26"/>
      <c r="C26"/>
      <c r="D26"/>
      <c r="E26"/>
      <c r="F26"/>
      <c r="G26"/>
      <c r="H26"/>
      <c r="I26"/>
      <c r="J26"/>
      <c r="K26"/>
      <c r="L26"/>
      <c r="M26"/>
      <c r="N26"/>
    </row>
    <row r="27" spans="1:14">
      <c r="A27"/>
      <c r="B27"/>
      <c r="C27"/>
      <c r="D27"/>
      <c r="E27"/>
      <c r="F27"/>
      <c r="G27"/>
      <c r="H27"/>
      <c r="I27"/>
      <c r="J27"/>
      <c r="K27"/>
      <c r="L27"/>
      <c r="M27"/>
      <c r="N27"/>
    </row>
    <row r="28" spans="1:14">
      <c r="A28"/>
      <c r="B28"/>
      <c r="C28"/>
      <c r="D28"/>
      <c r="E28"/>
      <c r="F28"/>
      <c r="G28"/>
      <c r="H28"/>
      <c r="I28"/>
      <c r="J28"/>
      <c r="K28"/>
      <c r="L28"/>
      <c r="M28"/>
      <c r="N28"/>
    </row>
    <row r="29" spans="1:14">
      <c r="A29"/>
      <c r="B29"/>
      <c r="C29"/>
      <c r="D29"/>
      <c r="E29"/>
      <c r="F29"/>
      <c r="G29"/>
      <c r="H29"/>
      <c r="I29"/>
      <c r="J29"/>
      <c r="K29"/>
      <c r="L29"/>
      <c r="M29"/>
      <c r="N29"/>
    </row>
    <row r="30" spans="1:14">
      <c r="A30"/>
      <c r="B30"/>
      <c r="C30"/>
      <c r="D30"/>
      <c r="E30"/>
      <c r="F30"/>
      <c r="G30"/>
      <c r="H30"/>
      <c r="I30"/>
      <c r="J30"/>
      <c r="K30"/>
      <c r="L30"/>
      <c r="M30"/>
      <c r="N30"/>
    </row>
    <row r="31" spans="1:14">
      <c r="A31"/>
      <c r="B31"/>
      <c r="C31"/>
      <c r="D31"/>
      <c r="E31"/>
      <c r="F31"/>
      <c r="G31"/>
      <c r="H31"/>
      <c r="I31"/>
      <c r="J31"/>
      <c r="K31"/>
      <c r="L31"/>
      <c r="M31"/>
      <c r="N31"/>
    </row>
    <row r="32" spans="1:14">
      <c r="A32"/>
      <c r="B32"/>
      <c r="C32"/>
      <c r="D32"/>
      <c r="E32"/>
      <c r="F32"/>
      <c r="G32"/>
      <c r="H32"/>
      <c r="I32"/>
      <c r="J32"/>
      <c r="K32"/>
      <c r="L32"/>
      <c r="M32"/>
      <c r="N32"/>
    </row>
    <row r="33" spans="1:14">
      <c r="A33"/>
      <c r="B33"/>
      <c r="C33"/>
      <c r="D33"/>
      <c r="E33"/>
      <c r="F33"/>
      <c r="G33"/>
      <c r="H33"/>
      <c r="I33"/>
      <c r="J33"/>
      <c r="K33"/>
      <c r="L33"/>
      <c r="M33"/>
      <c r="N33"/>
    </row>
    <row r="34" spans="1:14">
      <c r="A34"/>
      <c r="B34"/>
      <c r="C34"/>
      <c r="D34"/>
      <c r="E34"/>
      <c r="F34"/>
      <c r="G34"/>
      <c r="H34"/>
      <c r="I34"/>
      <c r="J34"/>
      <c r="K34"/>
      <c r="L34"/>
      <c r="M34"/>
      <c r="N34"/>
    </row>
    <row r="35" spans="1:14">
      <c r="A35"/>
      <c r="B35"/>
      <c r="C35"/>
      <c r="D35"/>
      <c r="E35"/>
      <c r="F35"/>
      <c r="G35"/>
      <c r="H35"/>
      <c r="I35"/>
      <c r="J35"/>
      <c r="K35"/>
      <c r="L35"/>
      <c r="M35"/>
      <c r="N35"/>
    </row>
    <row r="36" spans="1:14">
      <c r="A36"/>
      <c r="B36"/>
      <c r="C36"/>
      <c r="D36"/>
      <c r="E36"/>
      <c r="F36"/>
      <c r="G36"/>
      <c r="H36"/>
      <c r="I36"/>
      <c r="J36"/>
      <c r="K36"/>
      <c r="L36"/>
      <c r="M36"/>
      <c r="N36"/>
    </row>
    <row r="37" spans="1:14">
      <c r="A37"/>
      <c r="B37"/>
      <c r="C37"/>
      <c r="D37"/>
      <c r="E37"/>
      <c r="F37"/>
      <c r="G37"/>
      <c r="H37"/>
      <c r="I37"/>
      <c r="J37"/>
      <c r="K37"/>
      <c r="L37"/>
      <c r="M37"/>
      <c r="N37"/>
    </row>
    <row r="38" spans="1:14">
      <c r="A38"/>
      <c r="B38"/>
      <c r="C38"/>
      <c r="D38"/>
      <c r="E38"/>
      <c r="F38"/>
      <c r="G38"/>
      <c r="H38"/>
      <c r="I38"/>
      <c r="J38"/>
      <c r="K38"/>
      <c r="L38"/>
      <c r="M38"/>
      <c r="N38"/>
    </row>
    <row r="39" spans="1:14">
      <c r="A39"/>
      <c r="B39"/>
      <c r="C39"/>
      <c r="D39"/>
      <c r="E39"/>
      <c r="F39"/>
      <c r="G39"/>
      <c r="H39"/>
      <c r="I39"/>
      <c r="J39"/>
      <c r="K39"/>
      <c r="L39"/>
      <c r="M39"/>
      <c r="N39"/>
    </row>
    <row r="40" spans="1:14">
      <c r="A40"/>
      <c r="B40"/>
      <c r="C40"/>
      <c r="D40"/>
      <c r="E40"/>
      <c r="F40"/>
      <c r="G40"/>
      <c r="H40"/>
      <c r="I40"/>
      <c r="J40"/>
      <c r="K40"/>
      <c r="L40"/>
      <c r="M40"/>
      <c r="N40"/>
    </row>
    <row r="41" spans="1:14">
      <c r="A41"/>
      <c r="B41"/>
      <c r="C41"/>
      <c r="D41"/>
      <c r="E41"/>
      <c r="F41"/>
      <c r="G41"/>
      <c r="H41"/>
      <c r="I41"/>
      <c r="J41"/>
      <c r="K41"/>
      <c r="L41"/>
      <c r="M41"/>
      <c r="N41"/>
    </row>
    <row r="42" spans="1:14">
      <c r="A42"/>
      <c r="B42"/>
      <c r="C42"/>
      <c r="D42"/>
      <c r="E42"/>
      <c r="F42"/>
      <c r="G42"/>
      <c r="H42"/>
      <c r="I42"/>
      <c r="J42"/>
      <c r="K42"/>
      <c r="L42"/>
      <c r="M42"/>
      <c r="N42"/>
    </row>
    <row r="43" spans="1:14">
      <c r="A43"/>
      <c r="B43"/>
      <c r="C43"/>
      <c r="D43"/>
      <c r="E43"/>
      <c r="F43"/>
      <c r="G43"/>
      <c r="H43"/>
      <c r="I43"/>
      <c r="J43"/>
      <c r="K43"/>
      <c r="L43"/>
      <c r="M43"/>
      <c r="N43"/>
    </row>
    <row r="44" spans="1:14">
      <c r="A44"/>
      <c r="B44"/>
      <c r="C44"/>
      <c r="D44"/>
      <c r="E44"/>
      <c r="F44"/>
      <c r="G44"/>
      <c r="H44"/>
      <c r="I44"/>
      <c r="J44"/>
      <c r="K44"/>
      <c r="L44"/>
      <c r="M44"/>
      <c r="N44"/>
    </row>
    <row r="45" spans="1:14">
      <c r="A45"/>
      <c r="B45"/>
      <c r="C45"/>
      <c r="D45"/>
      <c r="E45"/>
      <c r="F45"/>
      <c r="G45"/>
      <c r="H45"/>
      <c r="I45"/>
      <c r="J45"/>
      <c r="K45"/>
      <c r="L45"/>
      <c r="M45"/>
      <c r="N45"/>
    </row>
    <row r="46" spans="1:14">
      <c r="A46"/>
      <c r="B46"/>
      <c r="C46"/>
      <c r="D46"/>
      <c r="E46"/>
      <c r="F46"/>
      <c r="G46"/>
      <c r="H46"/>
      <c r="I46"/>
      <c r="J46"/>
      <c r="K46"/>
      <c r="L46"/>
      <c r="M46"/>
      <c r="N46"/>
    </row>
    <row r="47" spans="1:14">
      <c r="C47"/>
      <c r="D47"/>
      <c r="E47"/>
      <c r="F47"/>
      <c r="G47"/>
      <c r="H47"/>
      <c r="I47"/>
      <c r="J47"/>
      <c r="K47"/>
      <c r="L47"/>
      <c r="M47"/>
    </row>
    <row r="48" spans="1:14">
      <c r="B48"/>
      <c r="C48"/>
      <c r="D48"/>
      <c r="E48"/>
      <c r="F48"/>
      <c r="G48"/>
      <c r="H48"/>
      <c r="I48"/>
      <c r="J48"/>
      <c r="K48"/>
      <c r="L48"/>
      <c r="M48"/>
    </row>
    <row r="49" spans="2:13">
      <c r="B49"/>
      <c r="C49"/>
      <c r="D49"/>
      <c r="E49"/>
      <c r="F49"/>
      <c r="G49"/>
      <c r="H49"/>
      <c r="I49"/>
      <c r="J49"/>
      <c r="K49"/>
      <c r="L49"/>
      <c r="M49"/>
    </row>
    <row r="50" spans="2:13">
      <c r="B50"/>
      <c r="C50"/>
      <c r="D50"/>
      <c r="E50"/>
      <c r="F50"/>
      <c r="G50"/>
      <c r="H50"/>
      <c r="I50"/>
      <c r="J50"/>
      <c r="K50"/>
      <c r="L50"/>
      <c r="M50"/>
    </row>
    <row r="51" spans="2:13">
      <c r="C51"/>
      <c r="D51"/>
      <c r="E51"/>
      <c r="F51"/>
      <c r="G51"/>
      <c r="H51"/>
      <c r="I51"/>
      <c r="J51"/>
      <c r="K51"/>
      <c r="L51"/>
      <c r="M51"/>
    </row>
    <row r="52" spans="2:13">
      <c r="C52"/>
      <c r="D52"/>
      <c r="E52"/>
      <c r="F52"/>
      <c r="G52"/>
      <c r="H52"/>
      <c r="I52"/>
      <c r="J52"/>
      <c r="K52"/>
      <c r="L52"/>
      <c r="M52"/>
    </row>
  </sheetData>
  <mergeCells count="3">
    <mergeCell ref="D1:I1"/>
    <mergeCell ref="D2:I2"/>
    <mergeCell ref="D3:I3"/>
  </mergeCells>
  <pageMargins left="0.7" right="0.7" top="0.75" bottom="0.75" header="0.3" footer="0.3"/>
  <pageSetup orientation="portrait"/>
  <extLst>
    <ext xmlns:mx="http://schemas.microsoft.com/office/mac/excel/2008/main" uri="{64002731-A6B0-56B0-2670-7721B7C09600}">
      <mx:PLV Mode="0" OnePage="0" WScale="0"/>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M94"/>
  <sheetViews>
    <sheetView zoomScaleNormal="100" zoomScalePageLayoutView="70" workbookViewId="0">
      <selection activeCell="J19" sqref="J19"/>
    </sheetView>
  </sheetViews>
  <sheetFormatPr defaultColWidth="8.85546875" defaultRowHeight="18.75"/>
  <cols>
    <col min="1" max="1" width="7.42578125" style="2" customWidth="1"/>
    <col min="2" max="3" width="4.7109375" style="2" customWidth="1"/>
    <col min="4" max="6" width="8.85546875" style="2"/>
    <col min="7" max="7" width="14.28515625" style="2" bestFit="1" customWidth="1"/>
    <col min="8" max="8" width="12.7109375" style="2" bestFit="1" customWidth="1"/>
    <col min="9" max="9" width="20.42578125" style="2" customWidth="1"/>
    <col min="10" max="10" width="22.140625" style="2" bestFit="1" customWidth="1"/>
    <col min="11" max="11" width="16.85546875" style="2" customWidth="1"/>
    <col min="12" max="12" width="23" style="2" bestFit="1" customWidth="1"/>
    <col min="13" max="13" width="17.85546875" style="2" customWidth="1"/>
    <col min="14" max="16384" width="8.85546875" style="2"/>
  </cols>
  <sheetData>
    <row r="1" spans="1:13">
      <c r="D1" s="136" t="s">
        <v>312</v>
      </c>
      <c r="E1" s="136"/>
      <c r="F1" s="136"/>
      <c r="G1" s="136"/>
      <c r="H1" s="136"/>
      <c r="I1" s="136"/>
    </row>
    <row r="2" spans="1:13">
      <c r="D2" s="136" t="s">
        <v>1</v>
      </c>
      <c r="E2" s="136"/>
      <c r="F2" s="136"/>
      <c r="G2" s="136"/>
      <c r="H2" s="136"/>
      <c r="I2" s="136"/>
    </row>
    <row r="3" spans="1:13">
      <c r="D3" s="136" t="s">
        <v>2</v>
      </c>
      <c r="E3" s="136"/>
      <c r="F3" s="136"/>
      <c r="G3" s="136"/>
      <c r="H3" s="136"/>
      <c r="I3" s="136"/>
    </row>
    <row r="4" spans="1:13" ht="14.25" customHeight="1">
      <c r="D4" s="69"/>
      <c r="E4" s="69"/>
      <c r="F4" s="69"/>
      <c r="G4" s="69"/>
      <c r="H4" s="69"/>
      <c r="I4" s="4"/>
      <c r="J4" s="3"/>
      <c r="K4" s="3"/>
      <c r="L4" s="3"/>
      <c r="M4" s="3"/>
    </row>
    <row r="5" spans="1:13" ht="39" customHeight="1">
      <c r="I5" s="140" t="s">
        <v>3</v>
      </c>
      <c r="J5" s="17"/>
      <c r="K5" s="17"/>
      <c r="L5" s="140" t="s">
        <v>6</v>
      </c>
      <c r="M5" s="140" t="s">
        <v>7</v>
      </c>
    </row>
    <row r="6" spans="1:13">
      <c r="I6" s="140"/>
      <c r="J6" s="17" t="s">
        <v>4</v>
      </c>
      <c r="K6" s="17" t="s">
        <v>5</v>
      </c>
      <c r="L6" s="140"/>
      <c r="M6" s="140"/>
    </row>
    <row r="7" spans="1:13">
      <c r="A7" s="1" t="s">
        <v>276</v>
      </c>
      <c r="I7" s="17"/>
      <c r="J7" s="17"/>
      <c r="K7" s="17"/>
      <c r="L7" s="17"/>
      <c r="M7" s="17"/>
    </row>
    <row r="8" spans="1:13">
      <c r="A8" s="1" t="s">
        <v>313</v>
      </c>
      <c r="B8" s="1"/>
      <c r="C8" s="1"/>
      <c r="D8" s="1"/>
      <c r="E8" s="1"/>
      <c r="F8" s="1"/>
      <c r="I8" s="3"/>
      <c r="J8" s="3"/>
      <c r="K8" s="3"/>
      <c r="L8" s="3"/>
      <c r="M8" s="3"/>
    </row>
    <row r="9" spans="1:13">
      <c r="A9" s="1" t="s">
        <v>314</v>
      </c>
      <c r="B9" s="1"/>
      <c r="C9" s="1"/>
      <c r="D9" s="1"/>
      <c r="E9" s="1"/>
      <c r="F9" s="1"/>
      <c r="I9" s="3"/>
      <c r="J9" s="3"/>
      <c r="K9" s="3"/>
      <c r="L9" s="3"/>
      <c r="M9" s="3"/>
    </row>
    <row r="10" spans="1:13">
      <c r="A10" s="1"/>
      <c r="B10" s="2" t="s">
        <v>10</v>
      </c>
      <c r="C10" s="1"/>
      <c r="D10" s="1"/>
      <c r="E10" s="1"/>
      <c r="F10" s="1"/>
      <c r="I10" s="3">
        <v>5633750</v>
      </c>
      <c r="J10" s="3">
        <v>25000</v>
      </c>
      <c r="K10" s="3"/>
      <c r="L10" s="3">
        <f t="shared" ref="L10:L15" si="0">SUM(I10:K10)</f>
        <v>5658750</v>
      </c>
      <c r="M10" s="3">
        <f>L10</f>
        <v>5658750</v>
      </c>
    </row>
    <row r="11" spans="1:13">
      <c r="A11" s="1" t="s">
        <v>315</v>
      </c>
      <c r="B11" s="1"/>
      <c r="C11" s="1"/>
      <c r="D11" s="1"/>
      <c r="E11" s="1"/>
      <c r="F11" s="1"/>
      <c r="I11" s="3"/>
      <c r="J11" s="3"/>
      <c r="K11" s="3"/>
      <c r="L11" s="3"/>
      <c r="M11" s="3"/>
    </row>
    <row r="12" spans="1:13">
      <c r="B12" s="2" t="s">
        <v>316</v>
      </c>
      <c r="I12" s="3">
        <v>5323057</v>
      </c>
      <c r="J12" s="3">
        <v>364820</v>
      </c>
      <c r="K12" s="3"/>
      <c r="L12" s="3">
        <f t="shared" si="0"/>
        <v>5687877</v>
      </c>
      <c r="M12" s="3"/>
    </row>
    <row r="13" spans="1:13">
      <c r="A13" s="1"/>
      <c r="B13" s="2" t="s">
        <v>317</v>
      </c>
      <c r="I13" s="3">
        <v>1993825</v>
      </c>
      <c r="J13" s="3">
        <v>379986</v>
      </c>
      <c r="K13" s="3">
        <v>-8027</v>
      </c>
      <c r="L13" s="3">
        <f t="shared" si="0"/>
        <v>2365784</v>
      </c>
      <c r="M13" s="3"/>
    </row>
    <row r="14" spans="1:13">
      <c r="A14" s="1"/>
      <c r="B14" s="2" t="s">
        <v>30</v>
      </c>
      <c r="I14" s="3">
        <v>5239934</v>
      </c>
      <c r="J14" s="3">
        <v>251871</v>
      </c>
      <c r="K14" s="3">
        <v>-43664</v>
      </c>
      <c r="L14" s="3">
        <f t="shared" si="0"/>
        <v>5448141</v>
      </c>
      <c r="M14" s="3"/>
    </row>
    <row r="15" spans="1:13">
      <c r="A15" s="1"/>
      <c r="B15" s="2" t="s">
        <v>318</v>
      </c>
      <c r="I15" s="3">
        <v>848117</v>
      </c>
      <c r="J15" s="3">
        <v>42348</v>
      </c>
      <c r="K15" s="3"/>
      <c r="L15" s="3">
        <f t="shared" si="0"/>
        <v>890465</v>
      </c>
      <c r="M15" s="3"/>
    </row>
    <row r="16" spans="1:13">
      <c r="A16" s="1"/>
      <c r="B16" s="2" t="s">
        <v>319</v>
      </c>
      <c r="I16" s="3">
        <v>92561315</v>
      </c>
      <c r="J16" s="3"/>
      <c r="K16" s="3"/>
      <c r="L16" s="3">
        <f t="shared" ref="L16:L17" si="1">SUM(I16:K16)</f>
        <v>92561315</v>
      </c>
      <c r="M16" s="3"/>
    </row>
    <row r="17" spans="1:13">
      <c r="A17" s="1"/>
      <c r="B17" s="2" t="s">
        <v>320</v>
      </c>
      <c r="I17" s="3">
        <v>6148994</v>
      </c>
      <c r="J17" s="3">
        <v>494122</v>
      </c>
      <c r="K17" s="3"/>
      <c r="L17" s="3">
        <f t="shared" si="1"/>
        <v>6643116</v>
      </c>
      <c r="M17" s="3"/>
    </row>
    <row r="18" spans="1:13" ht="19.5" thickBot="1">
      <c r="A18" s="1"/>
      <c r="C18" s="1" t="s">
        <v>321</v>
      </c>
      <c r="I18" s="14">
        <f>SUM(I10:I17)</f>
        <v>117748992</v>
      </c>
      <c r="J18" s="14">
        <f t="shared" ref="J18:L18" si="2">SUM(J10:J17)</f>
        <v>1558147</v>
      </c>
      <c r="K18" s="14">
        <f t="shared" si="2"/>
        <v>-51691</v>
      </c>
      <c r="L18" s="14">
        <f t="shared" si="2"/>
        <v>119255448</v>
      </c>
      <c r="M18" s="3"/>
    </row>
    <row r="19" spans="1:13">
      <c r="A19" s="1"/>
      <c r="C19" s="1"/>
      <c r="I19" s="15"/>
      <c r="J19" s="15"/>
      <c r="K19" s="15"/>
      <c r="L19" s="15"/>
      <c r="M19" s="3"/>
    </row>
    <row r="20" spans="1:13">
      <c r="A20" s="1" t="s">
        <v>322</v>
      </c>
      <c r="I20" s="3"/>
      <c r="J20" s="3"/>
      <c r="K20" s="3"/>
      <c r="L20" s="3"/>
      <c r="M20" s="3"/>
    </row>
    <row r="21" spans="1:13">
      <c r="B21" s="2" t="s">
        <v>316</v>
      </c>
      <c r="I21" s="3">
        <v>2124583</v>
      </c>
      <c r="J21" s="3">
        <v>129785</v>
      </c>
      <c r="K21" s="3"/>
      <c r="L21" s="3">
        <f t="shared" ref="L21:L26" si="3">SUM(I21:K21)</f>
        <v>2254368</v>
      </c>
      <c r="M21" s="3">
        <f t="shared" ref="M21:M26" si="4">L12-L21</f>
        <v>3433509</v>
      </c>
    </row>
    <row r="22" spans="1:13">
      <c r="B22" s="2" t="s">
        <v>317</v>
      </c>
      <c r="I22" s="3">
        <v>1456247</v>
      </c>
      <c r="J22" s="3">
        <v>169575</v>
      </c>
      <c r="K22" s="3">
        <v>-8027</v>
      </c>
      <c r="L22" s="3">
        <f t="shared" si="3"/>
        <v>1617795</v>
      </c>
      <c r="M22" s="3">
        <f t="shared" si="4"/>
        <v>747989</v>
      </c>
    </row>
    <row r="23" spans="1:13">
      <c r="B23" s="2" t="s">
        <v>30</v>
      </c>
      <c r="I23" s="3">
        <v>3328795</v>
      </c>
      <c r="J23" s="3">
        <v>332525</v>
      </c>
      <c r="K23" s="3">
        <v>-43664</v>
      </c>
      <c r="L23" s="3">
        <f t="shared" si="3"/>
        <v>3617656</v>
      </c>
      <c r="M23" s="3">
        <f t="shared" si="4"/>
        <v>1830485</v>
      </c>
    </row>
    <row r="24" spans="1:13">
      <c r="B24" s="2" t="s">
        <v>318</v>
      </c>
      <c r="I24" s="3">
        <v>353713</v>
      </c>
      <c r="J24" s="3">
        <v>62210</v>
      </c>
      <c r="K24" s="3"/>
      <c r="L24" s="3">
        <f t="shared" si="3"/>
        <v>415923</v>
      </c>
      <c r="M24" s="3">
        <f t="shared" si="4"/>
        <v>474542</v>
      </c>
    </row>
    <row r="25" spans="1:13">
      <c r="B25" s="2" t="s">
        <v>319</v>
      </c>
      <c r="I25" s="3">
        <v>85678613</v>
      </c>
      <c r="J25" s="3">
        <v>522680</v>
      </c>
      <c r="K25" s="3"/>
      <c r="L25" s="3">
        <f t="shared" si="3"/>
        <v>86201293</v>
      </c>
      <c r="M25" s="3">
        <f t="shared" si="4"/>
        <v>6360022</v>
      </c>
    </row>
    <row r="26" spans="1:13">
      <c r="B26" s="2" t="s">
        <v>320</v>
      </c>
      <c r="I26" s="3">
        <v>4768409</v>
      </c>
      <c r="J26" s="3">
        <v>133602</v>
      </c>
      <c r="K26" s="3"/>
      <c r="L26" s="3">
        <f t="shared" si="3"/>
        <v>4902011</v>
      </c>
      <c r="M26" s="3">
        <f t="shared" si="4"/>
        <v>1741105</v>
      </c>
    </row>
    <row r="27" spans="1:13">
      <c r="C27" s="1" t="s">
        <v>20</v>
      </c>
      <c r="I27" s="12">
        <f>SUM(I21:I26)</f>
        <v>97710360</v>
      </c>
      <c r="J27" s="12">
        <f>SUM(J21:J26)</f>
        <v>1350377</v>
      </c>
      <c r="K27" s="12">
        <f>SUM(K21:K25)</f>
        <v>-51691</v>
      </c>
      <c r="L27" s="12">
        <f>SUM(L21:L26)</f>
        <v>99009046</v>
      </c>
      <c r="M27" s="15"/>
    </row>
    <row r="28" spans="1:13">
      <c r="C28" s="1"/>
      <c r="I28" s="15"/>
      <c r="J28" s="15"/>
      <c r="K28" s="15"/>
      <c r="L28" s="15"/>
      <c r="M28" s="15"/>
    </row>
    <row r="29" spans="1:13">
      <c r="A29" s="1" t="s">
        <v>323</v>
      </c>
      <c r="B29" s="1"/>
      <c r="C29" s="1"/>
      <c r="D29" s="1"/>
      <c r="E29" s="1"/>
      <c r="F29" s="1"/>
      <c r="I29" s="3"/>
      <c r="J29" s="3"/>
      <c r="K29" s="3"/>
      <c r="L29" s="3"/>
      <c r="M29" s="3"/>
    </row>
    <row r="30" spans="1:13">
      <c r="A30" s="1" t="s">
        <v>324</v>
      </c>
      <c r="B30" s="1"/>
      <c r="C30" s="1"/>
      <c r="D30" s="1"/>
      <c r="E30" s="1"/>
      <c r="F30" s="1"/>
      <c r="I30" s="3"/>
      <c r="J30" s="3"/>
      <c r="K30" s="3"/>
      <c r="L30" s="3"/>
      <c r="M30" s="3"/>
    </row>
    <row r="31" spans="1:13">
      <c r="A31" s="1"/>
      <c r="B31" s="2" t="s">
        <v>10</v>
      </c>
      <c r="C31" s="1"/>
      <c r="D31" s="1"/>
      <c r="E31" s="1"/>
      <c r="F31" s="1"/>
      <c r="I31" s="3">
        <v>335500</v>
      </c>
      <c r="J31" s="3"/>
      <c r="K31" s="3"/>
      <c r="L31" s="3">
        <f t="shared" ref="L31:L37" si="5">SUM(I31:K31)</f>
        <v>335500</v>
      </c>
      <c r="M31" s="3">
        <f>L31</f>
        <v>335500</v>
      </c>
    </row>
    <row r="32" spans="1:13">
      <c r="A32" s="1" t="s">
        <v>325</v>
      </c>
      <c r="C32" s="1"/>
      <c r="D32" s="1"/>
      <c r="E32" s="1"/>
      <c r="F32" s="1"/>
      <c r="I32" s="3"/>
      <c r="J32" s="3"/>
      <c r="K32" s="3"/>
      <c r="L32" s="3"/>
      <c r="M32" s="3"/>
    </row>
    <row r="33" spans="1:13">
      <c r="B33" s="2" t="s">
        <v>32</v>
      </c>
      <c r="I33" s="3">
        <v>1490367</v>
      </c>
      <c r="J33" s="3"/>
      <c r="K33" s="3"/>
      <c r="L33" s="3">
        <f t="shared" si="5"/>
        <v>1490367</v>
      </c>
      <c r="M33" s="3"/>
    </row>
    <row r="34" spans="1:13">
      <c r="B34" s="2" t="s">
        <v>320</v>
      </c>
      <c r="I34" s="3">
        <v>3456278</v>
      </c>
      <c r="J34" s="3"/>
      <c r="K34" s="3"/>
      <c r="L34" s="3">
        <f t="shared" si="5"/>
        <v>3456278</v>
      </c>
      <c r="M34" s="3"/>
    </row>
    <row r="35" spans="1:13">
      <c r="B35" s="2" t="s">
        <v>326</v>
      </c>
      <c r="I35" s="3">
        <v>157024</v>
      </c>
      <c r="J35" s="3">
        <v>10500</v>
      </c>
      <c r="K35" s="3"/>
      <c r="L35" s="3">
        <f t="shared" si="5"/>
        <v>167524</v>
      </c>
      <c r="M35" s="3"/>
    </row>
    <row r="36" spans="1:13">
      <c r="B36" s="2" t="s">
        <v>327</v>
      </c>
      <c r="I36" s="3">
        <v>15103</v>
      </c>
      <c r="J36" s="3"/>
      <c r="K36" s="3"/>
      <c r="L36" s="3">
        <f t="shared" si="5"/>
        <v>15103</v>
      </c>
      <c r="M36" s="3"/>
    </row>
    <row r="37" spans="1:13">
      <c r="B37" s="2" t="s">
        <v>30</v>
      </c>
      <c r="I37" s="3">
        <v>45590</v>
      </c>
      <c r="J37" s="3"/>
      <c r="K37" s="3"/>
      <c r="L37" s="3">
        <f t="shared" si="5"/>
        <v>45590</v>
      </c>
      <c r="M37" s="3"/>
    </row>
    <row r="38" spans="1:13">
      <c r="A38" s="1"/>
      <c r="B38" s="1"/>
      <c r="C38" s="1" t="s">
        <v>321</v>
      </c>
      <c r="D38" s="1"/>
      <c r="E38" s="1"/>
      <c r="F38" s="1"/>
      <c r="G38" s="1"/>
      <c r="H38" s="1"/>
      <c r="I38" s="10">
        <f>SUM(I31:I37)</f>
        <v>5499862</v>
      </c>
      <c r="J38" s="10">
        <f>SUM(J31:J36)</f>
        <v>10500</v>
      </c>
      <c r="K38" s="10">
        <f>SUM(K31:K36)</f>
        <v>0</v>
      </c>
      <c r="L38" s="10">
        <f>SUM(L31:L37)</f>
        <v>5510362</v>
      </c>
      <c r="M38" s="15"/>
    </row>
    <row r="39" spans="1:13">
      <c r="A39" s="1"/>
      <c r="B39" s="1"/>
      <c r="C39" s="1"/>
      <c r="D39" s="1"/>
      <c r="E39" s="1"/>
      <c r="F39" s="1"/>
      <c r="G39" s="1"/>
      <c r="H39" s="1"/>
      <c r="I39" s="32"/>
      <c r="J39" s="32"/>
      <c r="K39" s="32"/>
      <c r="L39" s="32"/>
      <c r="M39" s="15"/>
    </row>
    <row r="40" spans="1:13">
      <c r="A40" s="1" t="s">
        <v>322</v>
      </c>
      <c r="I40" s="3"/>
      <c r="J40" s="3"/>
      <c r="K40" s="3"/>
      <c r="L40" s="3"/>
      <c r="M40" s="3"/>
    </row>
    <row r="41" spans="1:13">
      <c r="A41" s="1"/>
      <c r="B41" s="2" t="s">
        <v>32</v>
      </c>
      <c r="I41" s="3">
        <v>337247</v>
      </c>
      <c r="J41" s="3">
        <v>37259</v>
      </c>
      <c r="K41" s="3"/>
      <c r="L41" s="3">
        <f t="shared" ref="L41:L45" si="6">SUM(I41:K41)</f>
        <v>374506</v>
      </c>
      <c r="M41" s="3">
        <f>SUM(L33-L41)</f>
        <v>1115861</v>
      </c>
    </row>
    <row r="42" spans="1:13">
      <c r="A42" s="1"/>
      <c r="B42" s="2" t="s">
        <v>320</v>
      </c>
      <c r="I42" s="3">
        <v>921087</v>
      </c>
      <c r="J42" s="3">
        <v>93126</v>
      </c>
      <c r="K42" s="3"/>
      <c r="L42" s="3">
        <f t="shared" si="6"/>
        <v>1014213</v>
      </c>
      <c r="M42" s="3">
        <f>SUM(L34-L42)</f>
        <v>2442065</v>
      </c>
    </row>
    <row r="43" spans="1:13">
      <c r="A43" s="1"/>
      <c r="B43" s="2" t="s">
        <v>317</v>
      </c>
      <c r="I43" s="3">
        <v>108190</v>
      </c>
      <c r="J43" s="3">
        <v>20495</v>
      </c>
      <c r="K43" s="3"/>
      <c r="L43" s="3">
        <f>SUM(I43:K43)</f>
        <v>128685</v>
      </c>
      <c r="M43" s="3">
        <f>SUM(L35-L43)</f>
        <v>38839</v>
      </c>
    </row>
    <row r="44" spans="1:13">
      <c r="B44" s="2" t="s">
        <v>327</v>
      </c>
      <c r="I44" s="3">
        <v>10070</v>
      </c>
      <c r="J44" s="3">
        <v>3021</v>
      </c>
      <c r="K44" s="3"/>
      <c r="L44" s="3">
        <f t="shared" si="6"/>
        <v>13091</v>
      </c>
      <c r="M44" s="3">
        <f>SUM(L36-L44)</f>
        <v>2012</v>
      </c>
    </row>
    <row r="45" spans="1:13">
      <c r="B45" s="2" t="s">
        <v>30</v>
      </c>
      <c r="I45" s="3">
        <v>25239</v>
      </c>
      <c r="J45" s="3">
        <v>4608</v>
      </c>
      <c r="K45" s="3"/>
      <c r="L45" s="3">
        <f t="shared" si="6"/>
        <v>29847</v>
      </c>
      <c r="M45" s="3">
        <f>SUM(L37-L45)</f>
        <v>15743</v>
      </c>
    </row>
    <row r="46" spans="1:13">
      <c r="C46" s="1" t="s">
        <v>20</v>
      </c>
      <c r="I46" s="12">
        <f>SUM(I41:I45)</f>
        <v>1401833</v>
      </c>
      <c r="J46" s="12">
        <f t="shared" ref="J46:L46" si="7">SUM(J41:J45)</f>
        <v>158509</v>
      </c>
      <c r="K46" s="12">
        <f t="shared" si="7"/>
        <v>0</v>
      </c>
      <c r="L46" s="12">
        <f t="shared" si="7"/>
        <v>1560342</v>
      </c>
      <c r="M46" s="15"/>
    </row>
    <row r="47" spans="1:13">
      <c r="A47"/>
      <c r="B47"/>
      <c r="C47"/>
      <c r="D47"/>
      <c r="E47"/>
      <c r="F47"/>
      <c r="G47"/>
      <c r="H47"/>
      <c r="I47"/>
      <c r="J47"/>
      <c r="K47"/>
      <c r="L47"/>
      <c r="M47"/>
    </row>
    <row r="48" spans="1:13">
      <c r="A48" s="1" t="s">
        <v>328</v>
      </c>
      <c r="B48" s="1"/>
      <c r="C48" s="1"/>
      <c r="D48" s="1"/>
      <c r="E48" s="1"/>
      <c r="F48" s="1"/>
      <c r="I48" s="3"/>
      <c r="J48" s="3"/>
      <c r="K48" s="3"/>
      <c r="L48" s="3"/>
      <c r="M48" s="3"/>
    </row>
    <row r="49" spans="1:13">
      <c r="A49" s="1" t="s">
        <v>324</v>
      </c>
      <c r="B49" s="1"/>
      <c r="C49" s="1"/>
      <c r="D49" s="1"/>
      <c r="E49" s="1"/>
      <c r="F49" s="1"/>
      <c r="I49" s="3"/>
      <c r="J49" s="3"/>
      <c r="K49" s="3"/>
      <c r="L49" s="3"/>
      <c r="M49" s="3"/>
    </row>
    <row r="50" spans="1:13">
      <c r="A50" s="1"/>
      <c r="B50" s="2" t="s">
        <v>10</v>
      </c>
      <c r="C50" s="1"/>
      <c r="D50" s="1"/>
      <c r="E50" s="1"/>
      <c r="F50" s="1"/>
      <c r="I50" s="3">
        <v>881623</v>
      </c>
      <c r="J50" s="3"/>
      <c r="K50" s="3"/>
      <c r="L50" s="3">
        <f>SUM(I50:K50)</f>
        <v>881623</v>
      </c>
      <c r="M50" s="3">
        <f>L50</f>
        <v>881623</v>
      </c>
    </row>
    <row r="51" spans="1:13">
      <c r="A51" s="1" t="s">
        <v>329</v>
      </c>
      <c r="C51" s="1"/>
      <c r="D51" s="1"/>
      <c r="E51" s="1"/>
      <c r="F51" s="1"/>
      <c r="I51" s="3"/>
      <c r="J51" s="3"/>
      <c r="K51" s="3"/>
      <c r="L51" s="3"/>
      <c r="M51" s="3"/>
    </row>
    <row r="52" spans="1:13">
      <c r="B52" s="2" t="s">
        <v>32</v>
      </c>
      <c r="I52" s="3">
        <v>9477819</v>
      </c>
      <c r="J52" s="3"/>
      <c r="K52" s="3"/>
      <c r="L52" s="3">
        <f t="shared" ref="L52:L55" si="8">SUM(I52:K52)</f>
        <v>9477819</v>
      </c>
      <c r="M52" s="3"/>
    </row>
    <row r="53" spans="1:13">
      <c r="B53" s="2" t="s">
        <v>30</v>
      </c>
      <c r="I53" s="3">
        <v>22935</v>
      </c>
      <c r="J53" s="3"/>
      <c r="K53" s="3"/>
      <c r="L53" s="3">
        <f t="shared" si="8"/>
        <v>22935</v>
      </c>
      <c r="M53" s="3"/>
    </row>
    <row r="54" spans="1:13">
      <c r="B54" s="2" t="s">
        <v>317</v>
      </c>
      <c r="I54" s="3">
        <v>209864</v>
      </c>
      <c r="J54" s="3"/>
      <c r="K54" s="3"/>
      <c r="L54" s="3">
        <f t="shared" si="8"/>
        <v>209864</v>
      </c>
      <c r="M54" s="3"/>
    </row>
    <row r="55" spans="1:13">
      <c r="B55" s="2" t="s">
        <v>327</v>
      </c>
      <c r="I55" s="3"/>
      <c r="J55" s="3"/>
      <c r="K55" s="3"/>
      <c r="L55" s="3">
        <f t="shared" si="8"/>
        <v>0</v>
      </c>
      <c r="M55" s="3"/>
    </row>
    <row r="56" spans="1:13">
      <c r="A56" s="1"/>
      <c r="B56" s="1"/>
      <c r="C56" s="1" t="s">
        <v>321</v>
      </c>
      <c r="D56" s="1"/>
      <c r="E56" s="1"/>
      <c r="F56" s="1"/>
      <c r="G56" s="1"/>
      <c r="H56" s="1"/>
      <c r="I56" s="10">
        <f>SUM(I50:I55)</f>
        <v>10592241</v>
      </c>
      <c r="J56" s="10">
        <f t="shared" ref="J56:L56" si="9">SUM(J50:J55)</f>
        <v>0</v>
      </c>
      <c r="K56" s="10">
        <f t="shared" si="9"/>
        <v>0</v>
      </c>
      <c r="L56" s="10">
        <f t="shared" si="9"/>
        <v>10592241</v>
      </c>
      <c r="M56" s="15"/>
    </row>
    <row r="57" spans="1:13">
      <c r="A57" s="1"/>
      <c r="B57" s="1"/>
      <c r="C57" s="1"/>
      <c r="D57" s="1"/>
      <c r="E57" s="1"/>
      <c r="F57" s="1"/>
      <c r="G57" s="1"/>
      <c r="H57" s="1"/>
      <c r="I57" s="32"/>
      <c r="J57" s="32"/>
      <c r="K57" s="32"/>
      <c r="L57" s="32"/>
      <c r="M57" s="15"/>
    </row>
    <row r="58" spans="1:13">
      <c r="A58" s="1" t="s">
        <v>322</v>
      </c>
      <c r="I58" s="3"/>
      <c r="J58" s="3"/>
      <c r="K58" s="3"/>
      <c r="L58" s="3"/>
      <c r="M58" s="3"/>
    </row>
    <row r="59" spans="1:13">
      <c r="A59" s="1"/>
      <c r="B59" s="2" t="s">
        <v>32</v>
      </c>
      <c r="I59" s="3">
        <v>1381370</v>
      </c>
      <c r="J59" s="3">
        <v>261320</v>
      </c>
      <c r="K59" s="3"/>
      <c r="L59" s="3">
        <f>SUM(I59:K59)</f>
        <v>1642690</v>
      </c>
      <c r="M59" s="3">
        <f>SUM(L52-L59)</f>
        <v>7835129</v>
      </c>
    </row>
    <row r="60" spans="1:13">
      <c r="B60" s="2" t="s">
        <v>30</v>
      </c>
      <c r="I60" s="3">
        <v>22935</v>
      </c>
      <c r="J60" s="3"/>
      <c r="K60" s="3"/>
      <c r="L60" s="3">
        <f t="shared" ref="L60:L62" si="10">SUM(I60:K60)</f>
        <v>22935</v>
      </c>
      <c r="M60" s="3">
        <f>SUM(L53-L60)</f>
        <v>0</v>
      </c>
    </row>
    <row r="61" spans="1:13">
      <c r="B61" s="2" t="s">
        <v>317</v>
      </c>
      <c r="I61" s="3">
        <v>194727</v>
      </c>
      <c r="J61" s="3">
        <v>4485</v>
      </c>
      <c r="K61" s="3"/>
      <c r="L61" s="3">
        <f t="shared" si="10"/>
        <v>199212</v>
      </c>
      <c r="M61" s="3">
        <f>SUM(L54-L61)</f>
        <v>10652</v>
      </c>
    </row>
    <row r="62" spans="1:13">
      <c r="B62" s="2" t="s">
        <v>327</v>
      </c>
      <c r="I62" s="3"/>
      <c r="J62" s="3"/>
      <c r="K62" s="3"/>
      <c r="L62" s="3">
        <f t="shared" si="10"/>
        <v>0</v>
      </c>
      <c r="M62" s="3">
        <f>SUM(L55-L62)</f>
        <v>0</v>
      </c>
    </row>
    <row r="63" spans="1:13">
      <c r="C63" s="1" t="s">
        <v>20</v>
      </c>
      <c r="I63" s="12">
        <f>SUM(I59:I62)</f>
        <v>1599032</v>
      </c>
      <c r="J63" s="12">
        <f>SUM(J59:J62)</f>
        <v>265805</v>
      </c>
      <c r="K63" s="12">
        <f t="shared" ref="K63:L63" si="11">SUM(K59:K62)</f>
        <v>0</v>
      </c>
      <c r="L63" s="12">
        <f t="shared" si="11"/>
        <v>1864837</v>
      </c>
      <c r="M63" s="15"/>
    </row>
    <row r="64" spans="1:13">
      <c r="A64"/>
      <c r="B64"/>
      <c r="C64"/>
      <c r="D64"/>
      <c r="E64"/>
      <c r="F64"/>
      <c r="G64"/>
      <c r="H64"/>
      <c r="I64"/>
      <c r="J64"/>
      <c r="K64"/>
      <c r="L64"/>
      <c r="M64"/>
    </row>
    <row r="65" spans="1:13">
      <c r="A65" s="1" t="s">
        <v>330</v>
      </c>
      <c r="B65" s="1"/>
      <c r="C65" s="1"/>
      <c r="D65" s="1"/>
      <c r="E65" s="1"/>
      <c r="F65" s="1"/>
      <c r="I65" s="3"/>
      <c r="J65" s="3"/>
      <c r="K65" s="3"/>
      <c r="L65" s="3"/>
      <c r="M65" s="3"/>
    </row>
    <row r="66" spans="1:13">
      <c r="A66" s="1" t="s">
        <v>331</v>
      </c>
      <c r="B66" s="1"/>
      <c r="C66" s="1"/>
      <c r="D66" s="1"/>
      <c r="E66" s="1"/>
      <c r="F66" s="1"/>
      <c r="I66" s="3"/>
      <c r="J66" s="3"/>
      <c r="K66" s="3"/>
      <c r="L66" s="3"/>
      <c r="M66" s="3"/>
    </row>
    <row r="67" spans="1:13">
      <c r="B67" s="2" t="s">
        <v>10</v>
      </c>
      <c r="I67" s="3">
        <v>757989</v>
      </c>
      <c r="J67" s="3"/>
      <c r="K67" s="3"/>
      <c r="L67" s="3">
        <f>SUM(I67:K67)</f>
        <v>757989</v>
      </c>
      <c r="M67" s="3">
        <f>L67</f>
        <v>757989</v>
      </c>
    </row>
    <row r="68" spans="1:13">
      <c r="A68" s="1" t="s">
        <v>329</v>
      </c>
      <c r="I68" s="3"/>
      <c r="J68" s="3"/>
      <c r="K68" s="3"/>
      <c r="L68" s="3"/>
      <c r="M68" s="3"/>
    </row>
    <row r="69" spans="1:13">
      <c r="B69" s="2" t="s">
        <v>320</v>
      </c>
      <c r="I69" s="3">
        <v>1091762</v>
      </c>
      <c r="J69" s="3"/>
      <c r="K69" s="3"/>
      <c r="L69" s="3">
        <f t="shared" ref="L69" si="12">SUM(I69:K69)</f>
        <v>1091762</v>
      </c>
      <c r="M69" s="3"/>
    </row>
    <row r="70" spans="1:13">
      <c r="A70" s="1"/>
      <c r="B70" s="1"/>
      <c r="C70" s="1" t="s">
        <v>321</v>
      </c>
      <c r="D70" s="1"/>
      <c r="E70" s="1"/>
      <c r="F70" s="1"/>
      <c r="G70" s="1"/>
      <c r="H70" s="1"/>
      <c r="I70" s="10">
        <f>SUM(I67:I69)</f>
        <v>1849751</v>
      </c>
      <c r="J70" s="10">
        <f>SUM(J67:J69)</f>
        <v>0</v>
      </c>
      <c r="K70" s="10">
        <f>SUM(K67:K69)</f>
        <v>0</v>
      </c>
      <c r="L70" s="10">
        <f>SUM(L67:L69)</f>
        <v>1849751</v>
      </c>
      <c r="M70" s="15"/>
    </row>
    <row r="71" spans="1:13">
      <c r="A71" s="1"/>
      <c r="B71" s="1"/>
      <c r="C71" s="1"/>
      <c r="D71" s="1"/>
      <c r="E71" s="1"/>
      <c r="F71" s="1"/>
      <c r="G71" s="1"/>
      <c r="H71" s="1"/>
      <c r="I71" s="32"/>
      <c r="J71" s="32"/>
      <c r="K71" s="32"/>
      <c r="L71" s="32"/>
      <c r="M71" s="15"/>
    </row>
    <row r="72" spans="1:13">
      <c r="A72" s="1" t="s">
        <v>322</v>
      </c>
      <c r="I72" s="3"/>
      <c r="J72" s="3"/>
      <c r="K72" s="3"/>
      <c r="L72" s="3"/>
      <c r="M72" s="3"/>
    </row>
    <row r="73" spans="1:13">
      <c r="A73" s="1"/>
      <c r="B73" s="2" t="s">
        <v>332</v>
      </c>
      <c r="I73" s="3">
        <v>113764</v>
      </c>
      <c r="J73" s="3">
        <v>54588</v>
      </c>
      <c r="K73" s="3"/>
      <c r="L73" s="3">
        <f>SUM(I73:K73)</f>
        <v>168352</v>
      </c>
      <c r="M73" s="3">
        <f>SUM(L69-L73)</f>
        <v>923410</v>
      </c>
    </row>
    <row r="74" spans="1:13">
      <c r="C74" s="1" t="s">
        <v>20</v>
      </c>
      <c r="I74" s="12">
        <f>SUM(I73)</f>
        <v>113764</v>
      </c>
      <c r="J74" s="12">
        <f t="shared" ref="J74:L74" si="13">SUM(J73)</f>
        <v>54588</v>
      </c>
      <c r="K74" s="12">
        <f t="shared" si="13"/>
        <v>0</v>
      </c>
      <c r="L74" s="12">
        <f t="shared" si="13"/>
        <v>168352</v>
      </c>
      <c r="M74" s="15"/>
    </row>
    <row r="75" spans="1:13">
      <c r="B75" s="1" t="s">
        <v>333</v>
      </c>
      <c r="C75" s="1"/>
      <c r="I75" s="15">
        <f>SUM(I74+I70+I63+I56+I46+I38+I27+I18)</f>
        <v>236515835</v>
      </c>
      <c r="J75" s="15">
        <f>SUM(J74+J70+J63+J56+J46+J38+J27+J18)</f>
        <v>3397926</v>
      </c>
      <c r="K75" s="15">
        <f>SUM(K74+K70+K63+K56+K46+K38+K27+K18)</f>
        <v>-103382</v>
      </c>
      <c r="L75" s="15">
        <f>SUM(L74+L63+L46+L27)</f>
        <v>102602577</v>
      </c>
      <c r="M75" s="15"/>
    </row>
    <row r="76" spans="1:13">
      <c r="C76" s="1"/>
      <c r="I76" s="15"/>
      <c r="J76" s="15"/>
      <c r="K76" s="15"/>
      <c r="L76" s="15"/>
      <c r="M76" s="15"/>
    </row>
    <row r="77" spans="1:13">
      <c r="C77" s="1"/>
      <c r="I77" s="15"/>
      <c r="J77" s="15"/>
      <c r="K77" s="15"/>
      <c r="L77" s="15"/>
      <c r="M77" s="15"/>
    </row>
    <row r="78" spans="1:13">
      <c r="A78" s="1" t="s">
        <v>334</v>
      </c>
      <c r="B78" s="1"/>
      <c r="C78" s="1"/>
      <c r="D78" s="1"/>
      <c r="E78" s="1"/>
      <c r="F78" s="1"/>
      <c r="I78" s="6">
        <v>4370769</v>
      </c>
      <c r="J78" s="6">
        <v>787566</v>
      </c>
      <c r="K78" s="6">
        <v>-5158335</v>
      </c>
      <c r="L78" s="6">
        <f>SUM(I78:K78)</f>
        <v>0</v>
      </c>
      <c r="M78" s="3">
        <f>L78</f>
        <v>0</v>
      </c>
    </row>
    <row r="79" spans="1:13">
      <c r="A79" s="1"/>
      <c r="B79" s="1"/>
      <c r="C79" s="1"/>
      <c r="D79" s="1"/>
      <c r="E79" s="1"/>
      <c r="F79" s="1"/>
      <c r="G79" s="1"/>
      <c r="H79" s="1"/>
      <c r="I79" s="32"/>
      <c r="J79" s="32"/>
      <c r="K79" s="32"/>
      <c r="L79" s="3">
        <f t="shared" ref="L79:L90" si="14">SUM(I79:K79)</f>
        <v>0</v>
      </c>
      <c r="M79" s="3">
        <f t="shared" ref="M79:M90" si="15">L79</f>
        <v>0</v>
      </c>
    </row>
    <row r="80" spans="1:13">
      <c r="A80" s="1" t="s">
        <v>335</v>
      </c>
      <c r="I80" s="6">
        <v>91278</v>
      </c>
      <c r="J80" s="6">
        <v>48116</v>
      </c>
      <c r="K80" s="6">
        <v>-139394</v>
      </c>
      <c r="L80" s="6">
        <f t="shared" si="14"/>
        <v>0</v>
      </c>
      <c r="M80" s="3">
        <f t="shared" si="15"/>
        <v>0</v>
      </c>
    </row>
    <row r="81" spans="1:13">
      <c r="A81"/>
      <c r="B81"/>
      <c r="C81"/>
      <c r="D81"/>
      <c r="E81"/>
      <c r="F81"/>
      <c r="G81"/>
      <c r="H81"/>
      <c r="I81"/>
      <c r="J81"/>
      <c r="K81"/>
      <c r="L81" s="3">
        <f t="shared" si="14"/>
        <v>0</v>
      </c>
      <c r="M81" s="3">
        <f t="shared" si="15"/>
        <v>0</v>
      </c>
    </row>
    <row r="82" spans="1:13">
      <c r="A82" s="1" t="s">
        <v>336</v>
      </c>
      <c r="B82" s="1"/>
      <c r="C82" s="1"/>
      <c r="D82" s="1"/>
      <c r="E82" s="1"/>
      <c r="F82" s="1"/>
      <c r="I82" s="6">
        <v>126499</v>
      </c>
      <c r="J82" s="6">
        <v>1354346</v>
      </c>
      <c r="K82" s="6"/>
      <c r="L82" s="6">
        <f t="shared" si="14"/>
        <v>1480845</v>
      </c>
      <c r="M82" s="3">
        <f>L82</f>
        <v>1480845</v>
      </c>
    </row>
    <row r="83" spans="1:13">
      <c r="A83" s="1"/>
      <c r="B83" s="1"/>
      <c r="C83" s="1"/>
      <c r="D83" s="1"/>
      <c r="E83" s="1"/>
      <c r="F83" s="1"/>
      <c r="G83" s="1"/>
      <c r="H83" s="1"/>
      <c r="I83" s="32"/>
      <c r="J83" s="32"/>
      <c r="K83" s="32"/>
      <c r="L83" s="3">
        <f t="shared" si="14"/>
        <v>0</v>
      </c>
      <c r="M83" s="3">
        <f t="shared" si="15"/>
        <v>0</v>
      </c>
    </row>
    <row r="84" spans="1:13">
      <c r="A84" s="1" t="s">
        <v>337</v>
      </c>
      <c r="I84" s="6">
        <v>494122</v>
      </c>
      <c r="J84" s="6"/>
      <c r="K84" s="6">
        <v>-494122</v>
      </c>
      <c r="L84" s="6">
        <f t="shared" si="14"/>
        <v>0</v>
      </c>
      <c r="M84" s="3">
        <f t="shared" si="15"/>
        <v>0</v>
      </c>
    </row>
    <row r="85" spans="1:13">
      <c r="A85"/>
      <c r="B85"/>
      <c r="C85"/>
      <c r="D85"/>
      <c r="E85"/>
      <c r="F85"/>
      <c r="G85"/>
      <c r="H85"/>
      <c r="I85"/>
      <c r="J85"/>
      <c r="K85"/>
      <c r="L85" s="3">
        <f t="shared" si="14"/>
        <v>0</v>
      </c>
      <c r="M85" s="3">
        <f t="shared" si="15"/>
        <v>0</v>
      </c>
    </row>
    <row r="86" spans="1:13">
      <c r="A86" s="1" t="s">
        <v>338</v>
      </c>
      <c r="B86" s="1"/>
      <c r="C86" s="1"/>
      <c r="D86" s="1"/>
      <c r="E86" s="1"/>
      <c r="F86" s="1"/>
      <c r="I86" s="6"/>
      <c r="J86" s="6">
        <v>23248</v>
      </c>
      <c r="K86" s="6"/>
      <c r="L86" s="6">
        <f t="shared" si="14"/>
        <v>23248</v>
      </c>
      <c r="M86" s="3">
        <f t="shared" si="15"/>
        <v>23248</v>
      </c>
    </row>
    <row r="87" spans="1:13">
      <c r="A87" s="1"/>
      <c r="B87" s="1"/>
      <c r="C87" s="1"/>
      <c r="D87" s="1"/>
      <c r="E87" s="1"/>
      <c r="F87" s="1"/>
      <c r="G87" s="1"/>
      <c r="H87" s="1"/>
      <c r="I87" s="32"/>
      <c r="J87" s="32"/>
      <c r="K87" s="32"/>
      <c r="L87" s="3">
        <f t="shared" si="14"/>
        <v>0</v>
      </c>
      <c r="M87" s="3">
        <f t="shared" si="15"/>
        <v>0</v>
      </c>
    </row>
    <row r="88" spans="1:13">
      <c r="A88" s="1" t="s">
        <v>339</v>
      </c>
      <c r="I88" s="6"/>
      <c r="J88" s="6">
        <v>84117</v>
      </c>
      <c r="K88" s="6"/>
      <c r="L88" s="6">
        <f t="shared" si="14"/>
        <v>84117</v>
      </c>
      <c r="M88" s="3">
        <f t="shared" si="15"/>
        <v>84117</v>
      </c>
    </row>
    <row r="89" spans="1:13">
      <c r="A89"/>
      <c r="B89"/>
      <c r="C89"/>
      <c r="D89"/>
      <c r="E89"/>
      <c r="F89"/>
      <c r="G89"/>
      <c r="H89"/>
      <c r="I89"/>
      <c r="J89"/>
      <c r="K89"/>
      <c r="L89" s="3">
        <f t="shared" si="14"/>
        <v>0</v>
      </c>
      <c r="M89" s="3">
        <f t="shared" si="15"/>
        <v>0</v>
      </c>
    </row>
    <row r="90" spans="1:13">
      <c r="A90" s="1" t="s">
        <v>340</v>
      </c>
      <c r="B90" s="1"/>
      <c r="C90" s="1"/>
      <c r="D90" s="1"/>
      <c r="E90" s="1"/>
      <c r="F90" s="1"/>
      <c r="I90" s="6"/>
      <c r="J90" s="6">
        <v>99993</v>
      </c>
      <c r="K90" s="6"/>
      <c r="L90" s="6">
        <f t="shared" si="14"/>
        <v>99993</v>
      </c>
      <c r="M90" s="3">
        <f t="shared" si="15"/>
        <v>99993</v>
      </c>
    </row>
    <row r="91" spans="1:13">
      <c r="A91" s="1"/>
      <c r="B91" s="1"/>
      <c r="C91" s="1"/>
      <c r="D91" s="1"/>
      <c r="E91" s="1"/>
      <c r="F91" s="1"/>
      <c r="I91" s="3"/>
      <c r="J91" s="3"/>
      <c r="K91" s="3"/>
      <c r="L91" s="3"/>
      <c r="M91" s="3"/>
    </row>
    <row r="92" spans="1:13">
      <c r="C92" s="1" t="s">
        <v>341</v>
      </c>
      <c r="I92" s="53">
        <f>SUM(I90+I88+I86+I82+I80+I78+I70+I56+I84+I38+I18)</f>
        <v>140773514</v>
      </c>
      <c r="J92" s="53">
        <f>SUM(J90+J88+J86+J82+J80+J78+J70+J56+J84+J38+J18)</f>
        <v>3966033</v>
      </c>
      <c r="K92" s="53">
        <f>SUM(K90+K88+K86+K82+K80+K78+K70+K56+K84+K38+K18)</f>
        <v>-5843542</v>
      </c>
      <c r="L92" s="53">
        <f>SUM(L90+L88+L86+L82+L80+L78+L70+L56+L84+L38+L18)</f>
        <v>138896005</v>
      </c>
    </row>
    <row r="93" spans="1:13">
      <c r="C93" s="1" t="s">
        <v>342</v>
      </c>
      <c r="I93" s="53">
        <f>SUM(I74+I63+I46+I27)</f>
        <v>100824989</v>
      </c>
      <c r="J93" s="53">
        <f>SUM(J74+J63+J46+J27)</f>
        <v>1829279</v>
      </c>
      <c r="K93" s="53">
        <f>SUM(K74+K63+K46+K27)</f>
        <v>-51691</v>
      </c>
      <c r="L93" s="53">
        <f>SUM(L74+L63+L46+L27)</f>
        <v>102602577</v>
      </c>
    </row>
    <row r="94" spans="1:13">
      <c r="C94" s="1" t="s">
        <v>343</v>
      </c>
      <c r="I94" s="53">
        <f>SUM(I92-I93)</f>
        <v>39948525</v>
      </c>
      <c r="J94" s="53">
        <f t="shared" ref="J94:L94" si="16">SUM(J92-J93)</f>
        <v>2136754</v>
      </c>
      <c r="K94" s="53">
        <f t="shared" si="16"/>
        <v>-5791851</v>
      </c>
      <c r="L94" s="53">
        <f t="shared" si="16"/>
        <v>36293428</v>
      </c>
      <c r="M94" s="3">
        <f>SUM(M10:M90)</f>
        <v>36293428</v>
      </c>
    </row>
  </sheetData>
  <mergeCells count="6">
    <mergeCell ref="M5:M6"/>
    <mergeCell ref="D1:I1"/>
    <mergeCell ref="D2:I2"/>
    <mergeCell ref="D3:I3"/>
    <mergeCell ref="I5:I6"/>
    <mergeCell ref="L5:L6"/>
  </mergeCells>
  <pageMargins left="0.7" right="0.7" top="0.75" bottom="0.75" header="0.3" footer="0.3"/>
  <pageSetup orientation="portrait"/>
  <extLst>
    <ext xmlns:mx="http://schemas.microsoft.com/office/mac/excel/2008/main" uri="{64002731-A6B0-56B0-2670-7721B7C09600}">
      <mx:PLV Mode="0" OnePage="0" WScale="0"/>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N26"/>
  <sheetViews>
    <sheetView workbookViewId="0">
      <selection activeCell="I10" sqref="I10"/>
    </sheetView>
  </sheetViews>
  <sheetFormatPr defaultColWidth="8.85546875" defaultRowHeight="18.75"/>
  <cols>
    <col min="1" max="1" width="4.42578125" style="2" customWidth="1"/>
    <col min="2" max="2" width="3.7109375" style="2" customWidth="1"/>
    <col min="3" max="3" width="4.7109375" style="2" customWidth="1"/>
    <col min="4" max="6" width="8.85546875" style="2"/>
    <col min="7" max="7" width="14.28515625" style="2" bestFit="1" customWidth="1"/>
    <col min="8" max="8" width="12.7109375" style="2" bestFit="1" customWidth="1"/>
    <col min="9" max="9" width="18.42578125" style="2" customWidth="1"/>
    <col min="10" max="10" width="14.28515625" style="2" bestFit="1" customWidth="1"/>
    <col min="11" max="12" width="16.85546875" style="2" customWidth="1"/>
    <col min="13" max="13" width="16.7109375" style="2" bestFit="1" customWidth="1"/>
    <col min="14" max="14" width="17.42578125" style="2" customWidth="1"/>
    <col min="15" max="16384" width="8.85546875" style="2"/>
  </cols>
  <sheetData>
    <row r="1" spans="1:14">
      <c r="D1" s="136" t="s">
        <v>344</v>
      </c>
      <c r="E1" s="136"/>
      <c r="F1" s="136"/>
      <c r="G1" s="136"/>
      <c r="H1" s="136"/>
      <c r="I1" s="136"/>
    </row>
    <row r="2" spans="1:14">
      <c r="D2" s="136" t="s">
        <v>1</v>
      </c>
      <c r="E2" s="136"/>
      <c r="F2" s="136"/>
      <c r="G2" s="136"/>
      <c r="H2" s="136"/>
      <c r="I2" s="136"/>
    </row>
    <row r="3" spans="1:14">
      <c r="D3" s="136" t="s">
        <v>2</v>
      </c>
      <c r="E3" s="136"/>
      <c r="F3" s="136"/>
      <c r="G3" s="136"/>
      <c r="H3" s="136"/>
      <c r="I3" s="136"/>
    </row>
    <row r="4" spans="1:14">
      <c r="D4" s="69"/>
      <c r="E4" s="69"/>
      <c r="F4" s="69"/>
      <c r="G4" s="69"/>
      <c r="H4" s="69"/>
      <c r="I4" s="69"/>
    </row>
    <row r="5" spans="1:14" ht="56.25">
      <c r="I5" s="71" t="s">
        <v>275</v>
      </c>
      <c r="J5" s="71" t="s">
        <v>45</v>
      </c>
      <c r="K5" s="71" t="s">
        <v>345</v>
      </c>
      <c r="L5" s="71" t="s">
        <v>346</v>
      </c>
      <c r="M5" s="71" t="s">
        <v>85</v>
      </c>
      <c r="N5" s="1" t="s">
        <v>7</v>
      </c>
    </row>
    <row r="6" spans="1:14">
      <c r="I6" s="79"/>
      <c r="J6" s="79"/>
      <c r="K6" s="79"/>
      <c r="L6" s="79"/>
      <c r="M6" s="79"/>
    </row>
    <row r="7" spans="1:14">
      <c r="A7" s="1" t="s">
        <v>347</v>
      </c>
      <c r="B7" s="1"/>
      <c r="C7" s="1"/>
      <c r="D7" s="1"/>
      <c r="E7" s="1"/>
      <c r="F7" s="1"/>
      <c r="I7" s="40"/>
      <c r="J7" s="40"/>
      <c r="K7" s="40"/>
      <c r="L7" s="40"/>
      <c r="M7" s="40"/>
    </row>
    <row r="8" spans="1:14">
      <c r="B8" s="2" t="s">
        <v>10</v>
      </c>
      <c r="I8" s="40">
        <v>94474</v>
      </c>
      <c r="M8" s="40">
        <f>SUM(I8:L8)</f>
        <v>94474</v>
      </c>
      <c r="N8" s="40">
        <f>M8</f>
        <v>94474</v>
      </c>
    </row>
    <row r="9" spans="1:14">
      <c r="B9" s="2" t="s">
        <v>11</v>
      </c>
      <c r="I9" s="2">
        <v>447135</v>
      </c>
      <c r="J9" s="2">
        <v>134698</v>
      </c>
      <c r="K9" s="2">
        <v>-2829</v>
      </c>
      <c r="L9" s="2">
        <v>-69252</v>
      </c>
      <c r="M9" s="40">
        <f>SUM(I9:L9)</f>
        <v>509752</v>
      </c>
      <c r="N9" s="73">
        <f>M9</f>
        <v>509752</v>
      </c>
    </row>
    <row r="10" spans="1:14">
      <c r="A10" s="1"/>
      <c r="B10" s="1"/>
      <c r="C10" s="1" t="s">
        <v>348</v>
      </c>
      <c r="D10" s="1"/>
      <c r="E10" s="1"/>
      <c r="F10" s="1"/>
      <c r="G10" s="1"/>
      <c r="H10" s="1"/>
      <c r="I10" s="80">
        <f>SUM(I8:I9)</f>
        <v>541609</v>
      </c>
      <c r="J10" s="80">
        <f>SUM(J8:J9)</f>
        <v>134698</v>
      </c>
      <c r="K10" s="80">
        <f>SUM(K8:K9)</f>
        <v>-2829</v>
      </c>
      <c r="L10" s="80">
        <f>SUM(L8:L9)</f>
        <v>-69252</v>
      </c>
      <c r="M10" s="80">
        <f>SUM(M8:M9)</f>
        <v>604226</v>
      </c>
      <c r="N10" s="1"/>
    </row>
    <row r="11" spans="1:14">
      <c r="A11" s="1"/>
      <c r="B11" s="1"/>
      <c r="C11" s="1"/>
      <c r="D11" s="1"/>
      <c r="E11" s="1"/>
      <c r="F11" s="1"/>
      <c r="G11" s="1"/>
      <c r="H11" s="1"/>
      <c r="I11" s="81"/>
      <c r="J11" s="81"/>
      <c r="K11" s="81"/>
      <c r="L11" s="81"/>
      <c r="M11" s="81"/>
      <c r="N11" s="1"/>
    </row>
    <row r="12" spans="1:14">
      <c r="A12" s="1" t="s">
        <v>295</v>
      </c>
    </row>
    <row r="13" spans="1:14">
      <c r="A13" s="1"/>
      <c r="B13" s="2" t="s">
        <v>349</v>
      </c>
      <c r="I13" s="2">
        <v>2480575</v>
      </c>
      <c r="J13" s="2">
        <v>15967</v>
      </c>
      <c r="K13" s="2">
        <v>-13650</v>
      </c>
      <c r="M13" s="2">
        <f>SUM(I13:L13)</f>
        <v>2482892</v>
      </c>
    </row>
    <row r="14" spans="1:14">
      <c r="A14" s="1"/>
      <c r="B14" s="2" t="s">
        <v>350</v>
      </c>
      <c r="I14" s="2">
        <v>366189</v>
      </c>
      <c r="J14" s="2">
        <v>51337</v>
      </c>
      <c r="K14" s="2">
        <v>-1816</v>
      </c>
      <c r="M14" s="2">
        <f t="shared" ref="M14:M16" si="0">SUM(I14:L14)</f>
        <v>415710</v>
      </c>
    </row>
    <row r="15" spans="1:14">
      <c r="B15" s="2" t="s">
        <v>351</v>
      </c>
      <c r="I15" s="40">
        <v>105073</v>
      </c>
      <c r="J15" s="40">
        <v>3030</v>
      </c>
      <c r="K15" s="40">
        <v>-4013</v>
      </c>
      <c r="L15" s="40"/>
      <c r="M15" s="2">
        <f t="shared" si="0"/>
        <v>104090</v>
      </c>
    </row>
    <row r="16" spans="1:14">
      <c r="B16" s="2" t="s">
        <v>352</v>
      </c>
      <c r="I16" s="40">
        <v>40492</v>
      </c>
      <c r="J16" s="40"/>
      <c r="K16" s="40"/>
      <c r="L16" s="40"/>
      <c r="M16" s="2">
        <f t="shared" si="0"/>
        <v>40492</v>
      </c>
    </row>
    <row r="17" spans="1:14">
      <c r="C17" s="1" t="s">
        <v>353</v>
      </c>
      <c r="I17" s="76">
        <f>SUM(I13:I16)</f>
        <v>2992329</v>
      </c>
      <c r="J17" s="76">
        <f t="shared" ref="J17:M17" si="1">SUM(J13:J16)</f>
        <v>70334</v>
      </c>
      <c r="K17" s="76">
        <f t="shared" si="1"/>
        <v>-19479</v>
      </c>
      <c r="L17" s="76">
        <f t="shared" si="1"/>
        <v>0</v>
      </c>
      <c r="M17" s="76">
        <f t="shared" si="1"/>
        <v>3043184</v>
      </c>
    </row>
    <row r="18" spans="1:14" s="34" customFormat="1"/>
    <row r="19" spans="1:14" s="1" customFormat="1">
      <c r="A19" s="1" t="s">
        <v>19</v>
      </c>
    </row>
    <row r="20" spans="1:14">
      <c r="B20" s="2" t="s">
        <v>349</v>
      </c>
      <c r="I20" s="40">
        <v>1755539</v>
      </c>
      <c r="J20" s="40">
        <v>56643</v>
      </c>
      <c r="K20" s="40">
        <v>-4245</v>
      </c>
      <c r="L20" s="40"/>
      <c r="M20" s="40">
        <f>SUM(I20:L20)</f>
        <v>1807937</v>
      </c>
      <c r="N20" s="40">
        <f>M13-M20</f>
        <v>674955</v>
      </c>
    </row>
    <row r="21" spans="1:14">
      <c r="B21" s="2" t="s">
        <v>308</v>
      </c>
      <c r="I21" s="40">
        <v>112153</v>
      </c>
      <c r="J21" s="40">
        <v>11809</v>
      </c>
      <c r="K21" s="40">
        <v>-219</v>
      </c>
      <c r="L21" s="40"/>
      <c r="M21" s="40">
        <f t="shared" ref="M21:M23" si="2">SUM(I21:L21)</f>
        <v>123743</v>
      </c>
      <c r="N21" s="40">
        <f>M14-M21</f>
        <v>291967</v>
      </c>
    </row>
    <row r="22" spans="1:14">
      <c r="B22" s="2" t="s">
        <v>351</v>
      </c>
      <c r="I22" s="40">
        <v>85954</v>
      </c>
      <c r="J22" s="40">
        <v>6228</v>
      </c>
      <c r="K22" s="40">
        <v>-3669</v>
      </c>
      <c r="L22" s="40"/>
      <c r="M22" s="40">
        <f t="shared" si="2"/>
        <v>88513</v>
      </c>
      <c r="N22" s="40">
        <f>M15-M22</f>
        <v>15577</v>
      </c>
    </row>
    <row r="23" spans="1:14">
      <c r="B23" s="2" t="s">
        <v>352</v>
      </c>
      <c r="I23" s="40">
        <v>30182</v>
      </c>
      <c r="J23" s="40">
        <v>1355</v>
      </c>
      <c r="K23" s="40"/>
      <c r="L23" s="40"/>
      <c r="M23" s="40">
        <f t="shared" si="2"/>
        <v>31537</v>
      </c>
      <c r="N23" s="73">
        <f>M16-M23</f>
        <v>8955</v>
      </c>
    </row>
    <row r="24" spans="1:14">
      <c r="A24" s="1"/>
      <c r="B24" s="1"/>
      <c r="C24" s="1" t="s">
        <v>20</v>
      </c>
      <c r="D24" s="1"/>
      <c r="E24" s="1"/>
      <c r="F24" s="1"/>
      <c r="G24" s="1"/>
      <c r="H24" s="1"/>
      <c r="I24" s="80">
        <f>SUM(I20:I23)</f>
        <v>1983828</v>
      </c>
      <c r="J24" s="80">
        <f>SUM(J20:J23)</f>
        <v>76035</v>
      </c>
      <c r="K24" s="80">
        <f>SUM(K20:K23)</f>
        <v>-8133</v>
      </c>
      <c r="L24" s="80">
        <f>SUM(L20:L23)</f>
        <v>0</v>
      </c>
      <c r="M24" s="80">
        <f>SUM(M20:M23)</f>
        <v>2051730</v>
      </c>
      <c r="N24" s="1"/>
    </row>
    <row r="25" spans="1:14">
      <c r="A25" s="1"/>
      <c r="B25" s="1" t="s">
        <v>289</v>
      </c>
      <c r="C25" s="1"/>
      <c r="D25" s="1"/>
      <c r="E25" s="1"/>
      <c r="F25" s="1"/>
      <c r="G25" s="1"/>
      <c r="H25" s="1"/>
      <c r="I25" s="80">
        <f>I17-I24</f>
        <v>1008501</v>
      </c>
      <c r="J25" s="80">
        <f t="shared" ref="J25:M25" si="3">J17-J24</f>
        <v>-5701</v>
      </c>
      <c r="K25" s="80">
        <f t="shared" si="3"/>
        <v>-11346</v>
      </c>
      <c r="L25" s="80">
        <f t="shared" si="3"/>
        <v>0</v>
      </c>
      <c r="M25" s="80">
        <f t="shared" si="3"/>
        <v>991454</v>
      </c>
      <c r="N25" s="1"/>
    </row>
    <row r="26" spans="1:14" ht="19.5" thickBot="1">
      <c r="A26" s="1"/>
      <c r="B26" s="1" t="s">
        <v>354</v>
      </c>
      <c r="I26" s="82">
        <f>I25+I10</f>
        <v>1550110</v>
      </c>
      <c r="J26" s="82">
        <f t="shared" ref="J26:M26" si="4">J25+J10</f>
        <v>128997</v>
      </c>
      <c r="K26" s="82">
        <f t="shared" si="4"/>
        <v>-14175</v>
      </c>
      <c r="L26" s="82">
        <f t="shared" si="4"/>
        <v>-69252</v>
      </c>
      <c r="M26" s="82">
        <f t="shared" si="4"/>
        <v>1595680</v>
      </c>
      <c r="N26" s="73">
        <f>SUM(N8:N23)</f>
        <v>1595680</v>
      </c>
    </row>
  </sheetData>
  <mergeCells count="3">
    <mergeCell ref="D1:I1"/>
    <mergeCell ref="D2:I2"/>
    <mergeCell ref="D3:I3"/>
  </mergeCells>
  <pageMargins left="0.7" right="0.7" top="0.75" bottom="0.75" header="0.3" footer="0.3"/>
  <extLst>
    <ext xmlns:mx="http://schemas.microsoft.com/office/mac/excel/2008/main" uri="{64002731-A6B0-56B0-2670-7721B7C09600}">
      <mx:PLV Mode="0" OnePage="0" WScale="0"/>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M42"/>
  <sheetViews>
    <sheetView topLeftCell="A4" zoomScale="80" zoomScaleNormal="80" zoomScalePageLayoutView="80" workbookViewId="0">
      <selection activeCell="I11" sqref="I11"/>
    </sheetView>
  </sheetViews>
  <sheetFormatPr defaultColWidth="8.85546875" defaultRowHeight="18.75"/>
  <cols>
    <col min="1" max="1" width="4.42578125" style="2" customWidth="1"/>
    <col min="2" max="3" width="4.7109375" style="2" customWidth="1"/>
    <col min="4" max="6" width="8.85546875" style="2"/>
    <col min="7" max="7" width="14.28515625" style="2" bestFit="1" customWidth="1"/>
    <col min="8" max="8" width="12.7109375" style="2" bestFit="1" customWidth="1"/>
    <col min="9" max="9" width="19.140625" style="2" bestFit="1" customWidth="1"/>
    <col min="10" max="10" width="22.140625" style="2" bestFit="1" customWidth="1"/>
    <col min="11" max="11" width="16.85546875" style="2" customWidth="1"/>
    <col min="12" max="12" width="23" style="2" bestFit="1" customWidth="1"/>
    <col min="13" max="13" width="17.85546875" style="2" customWidth="1"/>
    <col min="14" max="16384" width="8.85546875" style="2"/>
  </cols>
  <sheetData>
    <row r="1" spans="1:13">
      <c r="D1" s="136" t="s">
        <v>355</v>
      </c>
      <c r="E1" s="136"/>
      <c r="F1" s="136"/>
      <c r="G1" s="136"/>
      <c r="H1" s="136"/>
      <c r="I1" s="136"/>
    </row>
    <row r="2" spans="1:13">
      <c r="D2" s="136" t="s">
        <v>1</v>
      </c>
      <c r="E2" s="136"/>
      <c r="F2" s="136"/>
      <c r="G2" s="136"/>
      <c r="H2" s="136"/>
      <c r="I2" s="136"/>
    </row>
    <row r="3" spans="1:13">
      <c r="D3" s="136" t="s">
        <v>2</v>
      </c>
      <c r="E3" s="136"/>
      <c r="F3" s="136"/>
      <c r="G3" s="136"/>
      <c r="H3" s="136"/>
      <c r="I3" s="136"/>
    </row>
    <row r="4" spans="1:13">
      <c r="D4" s="69"/>
      <c r="E4" s="69"/>
      <c r="F4" s="69"/>
      <c r="G4" s="69"/>
      <c r="H4" s="69"/>
      <c r="I4" s="4"/>
      <c r="J4" s="3"/>
      <c r="K4" s="3"/>
      <c r="L4" s="3"/>
      <c r="M4" s="3"/>
    </row>
    <row r="5" spans="1:13" ht="37.5" customHeight="1">
      <c r="I5" s="96"/>
      <c r="J5" s="141" t="s">
        <v>276</v>
      </c>
      <c r="K5" s="141"/>
      <c r="L5" s="74"/>
      <c r="M5" s="74"/>
    </row>
    <row r="6" spans="1:13" ht="56.25">
      <c r="I6" s="17" t="s">
        <v>356</v>
      </c>
      <c r="J6" s="17" t="s">
        <v>357</v>
      </c>
      <c r="K6" s="17" t="s">
        <v>358</v>
      </c>
      <c r="L6" s="17" t="s">
        <v>83</v>
      </c>
      <c r="M6" s="17" t="s">
        <v>7</v>
      </c>
    </row>
    <row r="7" spans="1:13">
      <c r="A7" s="1"/>
      <c r="B7" s="1"/>
      <c r="C7" s="1"/>
      <c r="D7" s="1"/>
      <c r="E7" s="1"/>
      <c r="F7" s="1"/>
      <c r="I7" s="3"/>
      <c r="J7" s="3"/>
      <c r="K7" s="3"/>
      <c r="L7" s="3"/>
      <c r="M7" s="3"/>
    </row>
    <row r="8" spans="1:13">
      <c r="A8" s="1" t="s">
        <v>306</v>
      </c>
      <c r="B8" s="1"/>
      <c r="C8" s="1"/>
      <c r="D8" s="1"/>
      <c r="E8" s="1"/>
      <c r="F8" s="1"/>
      <c r="I8" s="3"/>
      <c r="J8" s="3"/>
      <c r="K8" s="3"/>
      <c r="L8" s="3"/>
      <c r="M8" s="3"/>
    </row>
    <row r="9" spans="1:13">
      <c r="B9" s="2" t="s">
        <v>10</v>
      </c>
      <c r="I9" s="3">
        <v>8970022</v>
      </c>
      <c r="J9" s="3">
        <v>3331225</v>
      </c>
      <c r="K9" s="3">
        <v>-56700</v>
      </c>
      <c r="L9" s="3">
        <f>SUM(I9:K9)</f>
        <v>12244547</v>
      </c>
      <c r="M9" s="3">
        <f>SUM(L9)</f>
        <v>12244547</v>
      </c>
    </row>
    <row r="10" spans="1:13">
      <c r="B10" s="2" t="s">
        <v>11</v>
      </c>
      <c r="I10" s="3">
        <v>10039664</v>
      </c>
      <c r="J10" s="3">
        <v>2464320</v>
      </c>
      <c r="K10" s="3">
        <v>-1968788</v>
      </c>
      <c r="L10" s="3">
        <f>SUM(I10:K10)</f>
        <v>10535196</v>
      </c>
      <c r="M10" s="3">
        <f>SUM(L10)</f>
        <v>10535196</v>
      </c>
    </row>
    <row r="11" spans="1:13">
      <c r="A11" s="1"/>
      <c r="B11" s="1"/>
      <c r="C11" s="1" t="s">
        <v>359</v>
      </c>
      <c r="D11" s="1"/>
      <c r="E11" s="1"/>
      <c r="F11" s="1"/>
      <c r="G11" s="1"/>
      <c r="H11" s="1"/>
      <c r="I11" s="10">
        <f>SUM(I9:I10)</f>
        <v>19009686</v>
      </c>
      <c r="J11" s="10">
        <f t="shared" ref="J11:L11" si="0">SUM(J9:J10)</f>
        <v>5795545</v>
      </c>
      <c r="K11" s="10">
        <f t="shared" si="0"/>
        <v>-2025488</v>
      </c>
      <c r="L11" s="10">
        <f t="shared" si="0"/>
        <v>22779743</v>
      </c>
      <c r="M11" s="15"/>
    </row>
    <row r="12" spans="1:13">
      <c r="A12" s="1"/>
      <c r="B12" s="1"/>
      <c r="C12" s="1"/>
      <c r="D12" s="1"/>
      <c r="E12" s="1"/>
      <c r="F12" s="1"/>
      <c r="G12" s="1"/>
      <c r="H12" s="1"/>
      <c r="I12" s="32"/>
      <c r="J12" s="32"/>
      <c r="K12" s="32"/>
      <c r="L12" s="32"/>
      <c r="M12" s="15"/>
    </row>
    <row r="13" spans="1:13">
      <c r="A13" s="1" t="s">
        <v>307</v>
      </c>
      <c r="I13" s="3"/>
      <c r="J13" s="3"/>
      <c r="K13" s="3"/>
      <c r="L13" s="3"/>
      <c r="M13" s="3"/>
    </row>
    <row r="14" spans="1:13">
      <c r="A14" s="1"/>
      <c r="B14" s="2" t="s">
        <v>122</v>
      </c>
      <c r="I14" s="3">
        <v>58214797</v>
      </c>
      <c r="J14" s="3">
        <v>891093</v>
      </c>
      <c r="K14" s="3">
        <v>-176916</v>
      </c>
      <c r="L14" s="3">
        <f t="shared" ref="L14:L20" si="1">SUM(I14:K14)</f>
        <v>58928974</v>
      </c>
      <c r="M14" s="3"/>
    </row>
    <row r="15" spans="1:13">
      <c r="A15" s="1"/>
      <c r="B15" s="2" t="s">
        <v>196</v>
      </c>
      <c r="I15" s="3">
        <v>31751901</v>
      </c>
      <c r="J15" s="3">
        <v>4112137</v>
      </c>
      <c r="K15" s="3">
        <v>-2829773</v>
      </c>
      <c r="L15" s="3">
        <f t="shared" si="1"/>
        <v>33034265</v>
      </c>
      <c r="M15" s="3"/>
    </row>
    <row r="16" spans="1:13">
      <c r="A16" s="1"/>
      <c r="B16" s="2" t="s">
        <v>263</v>
      </c>
      <c r="I16" s="3">
        <v>4764377</v>
      </c>
      <c r="J16" s="3">
        <v>524723</v>
      </c>
      <c r="K16" s="3">
        <v>-981434</v>
      </c>
      <c r="L16" s="3">
        <f t="shared" si="1"/>
        <v>4307666</v>
      </c>
      <c r="M16" s="3"/>
    </row>
    <row r="17" spans="1:13">
      <c r="A17" s="1"/>
      <c r="B17" s="2" t="s">
        <v>360</v>
      </c>
      <c r="I17" s="3"/>
      <c r="J17" s="3"/>
      <c r="K17" s="3"/>
      <c r="L17" s="3"/>
      <c r="M17" s="3"/>
    </row>
    <row r="18" spans="1:13">
      <c r="A18" s="1"/>
      <c r="C18" s="2" t="s">
        <v>53</v>
      </c>
      <c r="I18" s="3">
        <v>255470233</v>
      </c>
      <c r="J18" s="3">
        <v>550107</v>
      </c>
      <c r="K18" s="3"/>
      <c r="L18" s="3">
        <f t="shared" si="1"/>
        <v>256020340</v>
      </c>
      <c r="M18" s="3"/>
    </row>
    <row r="19" spans="1:13">
      <c r="A19" s="1"/>
      <c r="C19" s="2" t="s">
        <v>54</v>
      </c>
      <c r="I19" s="3">
        <v>6541105</v>
      </c>
      <c r="J19" s="3"/>
      <c r="K19" s="3"/>
      <c r="L19" s="3">
        <f t="shared" si="1"/>
        <v>6541105</v>
      </c>
      <c r="M19" s="3"/>
    </row>
    <row r="20" spans="1:13">
      <c r="A20" s="1"/>
      <c r="C20" s="2" t="s">
        <v>361</v>
      </c>
      <c r="I20" s="3">
        <v>2057129</v>
      </c>
      <c r="J20" s="3">
        <v>399042</v>
      </c>
      <c r="K20" s="3"/>
      <c r="L20" s="3">
        <f t="shared" si="1"/>
        <v>2456171</v>
      </c>
      <c r="M20" s="3"/>
    </row>
    <row r="21" spans="1:13" ht="19.5" thickBot="1">
      <c r="A21" s="1"/>
      <c r="C21" s="1" t="s">
        <v>310</v>
      </c>
      <c r="I21" s="14">
        <f>SUM(I14:I20)</f>
        <v>358799542</v>
      </c>
      <c r="J21" s="14">
        <f t="shared" ref="J21:L21" si="2">SUM(J14:J20)</f>
        <v>6477102</v>
      </c>
      <c r="K21" s="14">
        <f t="shared" si="2"/>
        <v>-3988123</v>
      </c>
      <c r="L21" s="14">
        <f t="shared" si="2"/>
        <v>361288521</v>
      </c>
      <c r="M21" s="3"/>
    </row>
    <row r="22" spans="1:13">
      <c r="A22" s="1"/>
      <c r="C22" s="1"/>
      <c r="I22" s="15"/>
      <c r="J22" s="15"/>
      <c r="K22" s="15"/>
      <c r="L22" s="15"/>
      <c r="M22" s="3"/>
    </row>
    <row r="23" spans="1:13">
      <c r="A23" s="1" t="s">
        <v>362</v>
      </c>
      <c r="C23" s="1"/>
      <c r="I23" s="15"/>
      <c r="J23" s="15"/>
      <c r="K23" s="15"/>
      <c r="L23" s="15"/>
      <c r="M23" s="3"/>
    </row>
    <row r="24" spans="1:13">
      <c r="A24" s="1"/>
      <c r="C24" s="1"/>
      <c r="I24" s="15"/>
      <c r="J24" s="15"/>
      <c r="K24" s="15"/>
      <c r="L24" s="15"/>
      <c r="M24" s="3"/>
    </row>
    <row r="25" spans="1:13">
      <c r="A25" s="1" t="s">
        <v>298</v>
      </c>
      <c r="I25" s="3"/>
      <c r="J25" s="3"/>
      <c r="K25" s="3"/>
      <c r="L25" s="3"/>
      <c r="M25" s="3"/>
    </row>
    <row r="26" spans="1:13">
      <c r="B26" s="2" t="s">
        <v>32</v>
      </c>
      <c r="I26" s="3">
        <v>20831668</v>
      </c>
      <c r="J26" s="3">
        <v>1345271</v>
      </c>
      <c r="K26" s="3">
        <v>-85870</v>
      </c>
      <c r="L26" s="3">
        <f t="shared" ref="L26:L32" si="3">SUM(I26:K26)</f>
        <v>22091069</v>
      </c>
      <c r="M26" s="3">
        <f>L14-L26</f>
        <v>36837905</v>
      </c>
    </row>
    <row r="27" spans="1:13">
      <c r="B27" s="2" t="s">
        <v>196</v>
      </c>
      <c r="I27" s="3">
        <v>21907034</v>
      </c>
      <c r="J27" s="3">
        <v>1997788</v>
      </c>
      <c r="K27" s="3">
        <v>-2681571</v>
      </c>
      <c r="L27" s="3">
        <f t="shared" si="3"/>
        <v>21223251</v>
      </c>
      <c r="M27" s="3">
        <f>L15-L27</f>
        <v>11811014</v>
      </c>
    </row>
    <row r="28" spans="1:13">
      <c r="B28" s="2" t="s">
        <v>263</v>
      </c>
      <c r="I28" s="3">
        <v>3240104</v>
      </c>
      <c r="J28" s="3">
        <v>510122</v>
      </c>
      <c r="K28" s="3">
        <v>-981434</v>
      </c>
      <c r="L28" s="3">
        <f t="shared" si="3"/>
        <v>2768792</v>
      </c>
      <c r="M28" s="3">
        <f>L16-L28</f>
        <v>1538874</v>
      </c>
    </row>
    <row r="29" spans="1:13">
      <c r="B29" s="2" t="s">
        <v>360</v>
      </c>
      <c r="I29" s="3"/>
      <c r="J29" s="3"/>
      <c r="K29" s="3"/>
      <c r="L29" s="3"/>
      <c r="M29" s="3"/>
    </row>
    <row r="30" spans="1:13">
      <c r="C30" s="2" t="s">
        <v>53</v>
      </c>
      <c r="I30" s="3">
        <v>147640273</v>
      </c>
      <c r="J30" s="3">
        <v>6378009</v>
      </c>
      <c r="K30" s="3"/>
      <c r="L30" s="3">
        <f t="shared" si="3"/>
        <v>154018282</v>
      </c>
      <c r="M30" s="3">
        <f>L18-L30</f>
        <v>102002058</v>
      </c>
    </row>
    <row r="31" spans="1:13">
      <c r="C31" s="2" t="s">
        <v>54</v>
      </c>
      <c r="I31" s="3">
        <v>2616159</v>
      </c>
      <c r="J31" s="3">
        <v>87215</v>
      </c>
      <c r="K31" s="3"/>
      <c r="L31" s="3">
        <f t="shared" si="3"/>
        <v>2703374</v>
      </c>
      <c r="M31" s="3">
        <f>L19-L31</f>
        <v>3837731</v>
      </c>
    </row>
    <row r="32" spans="1:13">
      <c r="C32" s="2" t="s">
        <v>361</v>
      </c>
      <c r="I32" s="3">
        <v>214635</v>
      </c>
      <c r="J32" s="3">
        <v>82285</v>
      </c>
      <c r="K32" s="3"/>
      <c r="L32" s="3">
        <f t="shared" si="3"/>
        <v>296920</v>
      </c>
      <c r="M32" s="3">
        <f>L20-L32</f>
        <v>2159251</v>
      </c>
    </row>
    <row r="33" spans="1:13">
      <c r="C33" s="1" t="s">
        <v>20</v>
      </c>
      <c r="I33" s="12">
        <f>SUM(I26:I32)</f>
        <v>196449873</v>
      </c>
      <c r="J33" s="12">
        <f t="shared" ref="J33:K33" si="4">SUM(J26:J32)</f>
        <v>10400690</v>
      </c>
      <c r="K33" s="12">
        <f t="shared" si="4"/>
        <v>-3748875</v>
      </c>
      <c r="L33" s="12">
        <f>SUM(L26:L32)</f>
        <v>203101688</v>
      </c>
      <c r="M33" s="15"/>
    </row>
    <row r="34" spans="1:13" ht="19.5" thickBot="1">
      <c r="B34" s="1" t="s">
        <v>22</v>
      </c>
      <c r="C34" s="1"/>
      <c r="D34" s="1"/>
      <c r="E34" s="1"/>
      <c r="F34" s="1"/>
      <c r="I34" s="14">
        <f>I21-I33+I11</f>
        <v>181359355</v>
      </c>
      <c r="J34" s="14">
        <f t="shared" ref="J34:L34" si="5">J21-J33+J11</f>
        <v>1871957</v>
      </c>
      <c r="K34" s="14">
        <f t="shared" si="5"/>
        <v>-2264736</v>
      </c>
      <c r="L34" s="14">
        <f t="shared" si="5"/>
        <v>180966576</v>
      </c>
      <c r="M34" s="3">
        <f>SUM(M26:M32,M9:M10)</f>
        <v>180966576</v>
      </c>
    </row>
    <row r="35" spans="1:13" s="1" customFormat="1">
      <c r="A35"/>
      <c r="B35"/>
      <c r="C35"/>
      <c r="D35"/>
      <c r="E35"/>
      <c r="F35"/>
      <c r="G35"/>
      <c r="H35"/>
      <c r="I35" s="70"/>
      <c r="J35" s="70"/>
      <c r="K35" s="70"/>
      <c r="L35" s="70"/>
      <c r="M35" s="70"/>
    </row>
    <row r="36" spans="1:13">
      <c r="A36"/>
      <c r="B36"/>
      <c r="C36"/>
      <c r="D36"/>
      <c r="E36"/>
      <c r="F36"/>
      <c r="G36"/>
      <c r="H36"/>
      <c r="I36" s="83" t="s">
        <v>363</v>
      </c>
      <c r="J36" s="84"/>
      <c r="K36" s="84"/>
      <c r="L36" s="84"/>
      <c r="M36"/>
    </row>
    <row r="37" spans="1:13">
      <c r="C37"/>
      <c r="D37"/>
      <c r="E37"/>
      <c r="F37"/>
      <c r="G37"/>
      <c r="H37"/>
      <c r="I37" s="83" t="s">
        <v>364</v>
      </c>
      <c r="J37"/>
      <c r="K37"/>
      <c r="L37"/>
    </row>
    <row r="38" spans="1:13">
      <c r="B38"/>
      <c r="C38"/>
      <c r="D38"/>
      <c r="E38"/>
      <c r="F38"/>
      <c r="G38"/>
      <c r="H38"/>
      <c r="I38"/>
      <c r="J38"/>
      <c r="K38"/>
      <c r="L38"/>
    </row>
    <row r="39" spans="1:13">
      <c r="B39"/>
      <c r="C39"/>
      <c r="D39"/>
      <c r="E39"/>
      <c r="F39"/>
      <c r="G39"/>
      <c r="H39"/>
      <c r="I39"/>
      <c r="J39"/>
      <c r="K39"/>
      <c r="L39"/>
    </row>
    <row r="40" spans="1:13">
      <c r="B40"/>
      <c r="C40"/>
      <c r="D40"/>
      <c r="E40"/>
      <c r="F40"/>
      <c r="G40"/>
      <c r="H40"/>
      <c r="I40"/>
      <c r="J40"/>
      <c r="K40"/>
      <c r="L40"/>
    </row>
    <row r="41" spans="1:13">
      <c r="C41"/>
      <c r="D41"/>
      <c r="E41"/>
      <c r="F41"/>
      <c r="G41"/>
      <c r="H41"/>
      <c r="I41"/>
      <c r="J41"/>
      <c r="K41"/>
      <c r="L41"/>
    </row>
    <row r="42" spans="1:13">
      <c r="C42"/>
      <c r="D42"/>
      <c r="E42"/>
      <c r="F42"/>
      <c r="G42"/>
      <c r="H42"/>
      <c r="I42"/>
      <c r="J42"/>
      <c r="K42"/>
      <c r="L42"/>
    </row>
  </sheetData>
  <mergeCells count="4">
    <mergeCell ref="J5:K5"/>
    <mergeCell ref="D1:I1"/>
    <mergeCell ref="D2:I2"/>
    <mergeCell ref="D3:I3"/>
  </mergeCells>
  <pageMargins left="0.7" right="0.7" top="0.75" bottom="0.75" header="0.3" footer="0.3"/>
  <pageSetup orientation="portrait"/>
  <extLst>
    <ext xmlns:mx="http://schemas.microsoft.com/office/mac/excel/2008/main" uri="{64002731-A6B0-56B0-2670-7721B7C09600}">
      <mx:PLV Mode="0" OnePage="0" WScale="0"/>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M54"/>
  <sheetViews>
    <sheetView topLeftCell="A21" zoomScale="70" zoomScaleNormal="70" zoomScalePageLayoutView="70" workbookViewId="0">
      <selection activeCell="D3" sqref="D3:I3"/>
    </sheetView>
  </sheetViews>
  <sheetFormatPr defaultColWidth="8.85546875" defaultRowHeight="18.75"/>
  <cols>
    <col min="1" max="1" width="4.42578125" style="2" customWidth="1"/>
    <col min="2" max="3" width="4.7109375" style="2" customWidth="1"/>
    <col min="4" max="6" width="8.85546875" style="2"/>
    <col min="7" max="7" width="14.28515625" style="2" bestFit="1" customWidth="1"/>
    <col min="8" max="8" width="12.7109375" style="2" bestFit="1" customWidth="1"/>
    <col min="9" max="9" width="18.85546875" style="2" customWidth="1"/>
    <col min="10" max="10" width="18.42578125" style="2" customWidth="1"/>
    <col min="11" max="11" width="19.85546875" style="2" bestFit="1" customWidth="1"/>
    <col min="12" max="12" width="18" style="2" customWidth="1"/>
    <col min="13" max="13" width="21" style="2" customWidth="1"/>
    <col min="14" max="16384" width="8.85546875" style="2"/>
  </cols>
  <sheetData>
    <row r="1" spans="1:13">
      <c r="D1" s="136" t="s">
        <v>365</v>
      </c>
      <c r="E1" s="136"/>
      <c r="F1" s="136"/>
      <c r="G1" s="136"/>
      <c r="H1" s="136"/>
      <c r="I1" s="136"/>
    </row>
    <row r="2" spans="1:13">
      <c r="D2" s="136" t="s">
        <v>1</v>
      </c>
      <c r="E2" s="136"/>
      <c r="F2" s="136"/>
      <c r="G2" s="136"/>
      <c r="H2" s="136"/>
      <c r="I2" s="136"/>
    </row>
    <row r="3" spans="1:13">
      <c r="D3" s="136" t="s">
        <v>2</v>
      </c>
      <c r="E3" s="136"/>
      <c r="F3" s="136"/>
      <c r="G3" s="136"/>
      <c r="H3" s="136"/>
      <c r="I3" s="136"/>
    </row>
    <row r="4" spans="1:13" ht="14.25" customHeight="1">
      <c r="D4" s="69"/>
      <c r="E4" s="69"/>
      <c r="F4" s="69"/>
      <c r="G4" s="69"/>
      <c r="H4" s="69"/>
      <c r="I4" s="69"/>
    </row>
    <row r="5" spans="1:13" ht="37.5">
      <c r="I5" s="71" t="s">
        <v>3</v>
      </c>
      <c r="J5" s="71" t="s">
        <v>45</v>
      </c>
      <c r="K5" s="71" t="s">
        <v>366</v>
      </c>
      <c r="L5" s="71" t="s">
        <v>6</v>
      </c>
      <c r="M5" s="118" t="s">
        <v>7</v>
      </c>
    </row>
    <row r="6" spans="1:13">
      <c r="A6" s="1" t="s">
        <v>367</v>
      </c>
      <c r="B6" s="1"/>
      <c r="C6" s="1"/>
      <c r="D6" s="1"/>
      <c r="E6" s="1"/>
      <c r="F6" s="1"/>
    </row>
    <row r="7" spans="1:13">
      <c r="A7" s="1" t="s">
        <v>9</v>
      </c>
      <c r="B7" s="1"/>
      <c r="C7" s="1"/>
      <c r="D7" s="1"/>
      <c r="E7" s="1"/>
      <c r="F7" s="1"/>
      <c r="I7" s="40"/>
      <c r="J7" s="40"/>
      <c r="K7" s="40"/>
      <c r="L7" s="40"/>
    </row>
    <row r="8" spans="1:13">
      <c r="B8" s="2" t="s">
        <v>10</v>
      </c>
      <c r="I8" s="40">
        <v>13511734</v>
      </c>
      <c r="J8" s="40">
        <v>11830</v>
      </c>
      <c r="K8" s="40"/>
      <c r="L8" s="40">
        <f>SUM(I8:K8)</f>
        <v>13523564</v>
      </c>
      <c r="M8" s="40">
        <f>L8</f>
        <v>13523564</v>
      </c>
    </row>
    <row r="9" spans="1:13">
      <c r="B9" s="2" t="s">
        <v>368</v>
      </c>
      <c r="I9" s="40">
        <v>99533090</v>
      </c>
      <c r="J9" s="40">
        <v>54504910</v>
      </c>
      <c r="K9" s="40">
        <v>-19198695</v>
      </c>
      <c r="L9" s="40">
        <f t="shared" ref="L9:L10" si="0">SUM(I9:K9)</f>
        <v>134839305</v>
      </c>
      <c r="M9" s="40">
        <f>L9</f>
        <v>134839305</v>
      </c>
    </row>
    <row r="10" spans="1:13">
      <c r="B10" s="2" t="s">
        <v>369</v>
      </c>
      <c r="I10" s="2">
        <v>26334104</v>
      </c>
      <c r="J10" s="2">
        <v>4721929</v>
      </c>
      <c r="K10" s="2">
        <v>-18563822</v>
      </c>
      <c r="L10" s="40">
        <f t="shared" si="0"/>
        <v>12492211</v>
      </c>
      <c r="M10" s="40">
        <f>L10</f>
        <v>12492211</v>
      </c>
    </row>
    <row r="11" spans="1:13">
      <c r="A11" s="1"/>
      <c r="B11" s="1"/>
      <c r="C11" s="1" t="s">
        <v>370</v>
      </c>
      <c r="D11" s="1"/>
      <c r="E11" s="1"/>
      <c r="F11" s="1"/>
      <c r="G11" s="1"/>
      <c r="H11" s="1"/>
      <c r="I11" s="85">
        <f>SUM(I8:I10)</f>
        <v>139378928</v>
      </c>
      <c r="J11" s="85">
        <f t="shared" ref="J11:L11" si="1">SUM(J8:J10)</f>
        <v>59238669</v>
      </c>
      <c r="K11" s="85">
        <f t="shared" si="1"/>
        <v>-37762517</v>
      </c>
      <c r="L11" s="85">
        <f t="shared" si="1"/>
        <v>160855080</v>
      </c>
      <c r="M11" s="1"/>
    </row>
    <row r="13" spans="1:13">
      <c r="A13" s="1" t="s">
        <v>371</v>
      </c>
    </row>
    <row r="14" spans="1:13">
      <c r="B14" s="2" t="s">
        <v>14</v>
      </c>
      <c r="I14" s="2">
        <v>160092363</v>
      </c>
      <c r="J14" s="40">
        <v>2437172</v>
      </c>
      <c r="K14" s="40">
        <v>-992161</v>
      </c>
      <c r="L14" s="40">
        <f>SUM(I14:K14)</f>
        <v>161537374</v>
      </c>
    </row>
    <row r="15" spans="1:13">
      <c r="B15" s="2" t="s">
        <v>52</v>
      </c>
      <c r="I15" s="2">
        <v>75267749</v>
      </c>
      <c r="J15" s="40">
        <v>11154287</v>
      </c>
      <c r="K15" s="40">
        <v>-817927</v>
      </c>
      <c r="L15" s="40">
        <f>SUM(I15:K15)</f>
        <v>85604109</v>
      </c>
    </row>
    <row r="16" spans="1:13">
      <c r="B16" s="2" t="s">
        <v>101</v>
      </c>
      <c r="I16" s="2">
        <v>40670939</v>
      </c>
      <c r="J16" s="40">
        <v>3479043</v>
      </c>
      <c r="K16" s="40">
        <v>-587784</v>
      </c>
      <c r="L16" s="40">
        <f>SUM(I16:K16)</f>
        <v>43562198</v>
      </c>
    </row>
    <row r="17" spans="1:13">
      <c r="B17" s="2" t="s">
        <v>17</v>
      </c>
      <c r="I17" s="2">
        <v>243202572</v>
      </c>
      <c r="J17" s="40">
        <v>10500925</v>
      </c>
      <c r="K17" s="40">
        <v>-887919</v>
      </c>
      <c r="L17" s="40">
        <f>SUM(I17:K17)</f>
        <v>252815578</v>
      </c>
    </row>
    <row r="18" spans="1:13">
      <c r="C18" s="1" t="s">
        <v>18</v>
      </c>
      <c r="I18" s="86">
        <f>SUM(I14:I17)</f>
        <v>519233623</v>
      </c>
      <c r="J18" s="86">
        <f t="shared" ref="J18:L18" si="2">SUM(J14:J17)</f>
        <v>27571427</v>
      </c>
      <c r="K18" s="86">
        <f t="shared" si="2"/>
        <v>-3285791</v>
      </c>
      <c r="L18" s="86">
        <f t="shared" si="2"/>
        <v>543519259</v>
      </c>
    </row>
    <row r="20" spans="1:13">
      <c r="A20" s="1" t="s">
        <v>113</v>
      </c>
      <c r="J20" s="40"/>
      <c r="K20" s="40"/>
      <c r="L20" s="40"/>
    </row>
    <row r="21" spans="1:13">
      <c r="B21" s="2" t="s">
        <v>372</v>
      </c>
      <c r="I21" s="40">
        <v>-30110000</v>
      </c>
      <c r="J21" s="40">
        <v>-4314853</v>
      </c>
      <c r="K21" s="40">
        <v>232764</v>
      </c>
      <c r="L21" s="40">
        <f>SUM(I21:K21)</f>
        <v>-34192089</v>
      </c>
      <c r="M21" s="40">
        <f>L14+L21</f>
        <v>127345285</v>
      </c>
    </row>
    <row r="22" spans="1:13">
      <c r="B22" s="2" t="s">
        <v>52</v>
      </c>
      <c r="I22" s="40">
        <v>-6941563</v>
      </c>
      <c r="J22" s="40">
        <v>-2559043</v>
      </c>
      <c r="K22" s="40"/>
      <c r="L22" s="40">
        <f>SUM(I22:K22)</f>
        <v>-9500606</v>
      </c>
      <c r="M22" s="40">
        <f t="shared" ref="M22:M24" si="3">L15+L22</f>
        <v>76103503</v>
      </c>
    </row>
    <row r="23" spans="1:13">
      <c r="B23" s="2" t="s">
        <v>101</v>
      </c>
      <c r="I23" s="40">
        <v>-19027118</v>
      </c>
      <c r="J23" s="40">
        <v>-2269387</v>
      </c>
      <c r="K23" s="40">
        <v>159170</v>
      </c>
      <c r="L23" s="40">
        <f>SUM(I23:K23)</f>
        <v>-21137335</v>
      </c>
      <c r="M23" s="40">
        <f t="shared" si="3"/>
        <v>22424863</v>
      </c>
    </row>
    <row r="24" spans="1:13">
      <c r="B24" s="2" t="s">
        <v>17</v>
      </c>
      <c r="I24" s="2">
        <v>-164703275</v>
      </c>
      <c r="J24" s="40">
        <v>-1915548</v>
      </c>
      <c r="K24" s="40"/>
      <c r="L24" s="40">
        <f>SUM(I24:K24)</f>
        <v>-166618823</v>
      </c>
      <c r="M24" s="40">
        <f t="shared" si="3"/>
        <v>86196755</v>
      </c>
    </row>
    <row r="25" spans="1:13">
      <c r="A25" s="1"/>
      <c r="C25" s="1" t="s">
        <v>20</v>
      </c>
      <c r="I25" s="76">
        <f>SUM(I21:I24)</f>
        <v>-220781956</v>
      </c>
      <c r="J25" s="76">
        <f t="shared" ref="J25:L25" si="4">SUM(J21:J24)</f>
        <v>-11058831</v>
      </c>
      <c r="K25" s="76">
        <f t="shared" si="4"/>
        <v>391934</v>
      </c>
      <c r="L25" s="76">
        <f t="shared" si="4"/>
        <v>-231448853</v>
      </c>
      <c r="M25" s="1"/>
    </row>
    <row r="27" spans="1:13">
      <c r="A27" s="1" t="s">
        <v>373</v>
      </c>
      <c r="C27" s="1"/>
      <c r="I27" s="76">
        <f>I18+I25</f>
        <v>298451667</v>
      </c>
      <c r="J27" s="76">
        <f t="shared" ref="J27:L27" si="5">J18+J25</f>
        <v>16512596</v>
      </c>
      <c r="K27" s="76">
        <f t="shared" si="5"/>
        <v>-2893857</v>
      </c>
      <c r="L27" s="76">
        <f t="shared" si="5"/>
        <v>312070406</v>
      </c>
    </row>
    <row r="28" spans="1:13">
      <c r="A28" s="1" t="s">
        <v>374</v>
      </c>
      <c r="C28" s="1"/>
      <c r="I28" s="76">
        <f>I11+I27</f>
        <v>437830595</v>
      </c>
      <c r="J28" s="76">
        <f t="shared" ref="J28:K28" si="6">J11+J27</f>
        <v>75751265</v>
      </c>
      <c r="K28" s="76">
        <f t="shared" si="6"/>
        <v>-40656374</v>
      </c>
      <c r="L28" s="76">
        <f>L11+L27</f>
        <v>472925486</v>
      </c>
      <c r="M28" s="40">
        <f>SUM(M8:M25)</f>
        <v>472925486</v>
      </c>
    </row>
    <row r="29" spans="1:13">
      <c r="C29" s="1"/>
      <c r="I29" s="87"/>
      <c r="J29" s="87"/>
      <c r="K29" s="87"/>
      <c r="L29" s="87"/>
    </row>
    <row r="30" spans="1:13">
      <c r="C30" s="1"/>
      <c r="I30" s="87"/>
      <c r="J30" s="87"/>
      <c r="K30" s="87"/>
      <c r="L30" s="87"/>
    </row>
    <row r="31" spans="1:13">
      <c r="A31" s="1" t="s">
        <v>35</v>
      </c>
      <c r="B31" s="1"/>
      <c r="C31" s="1"/>
      <c r="D31" s="1"/>
      <c r="E31" s="1"/>
      <c r="F31" s="1"/>
    </row>
    <row r="32" spans="1:13">
      <c r="A32" s="1" t="s">
        <v>9</v>
      </c>
      <c r="B32" s="1"/>
      <c r="C32" s="1"/>
      <c r="D32" s="1"/>
      <c r="E32" s="1"/>
      <c r="F32" s="1"/>
      <c r="I32" s="40"/>
      <c r="J32" s="40"/>
      <c r="K32" s="40"/>
      <c r="L32" s="40"/>
    </row>
    <row r="33" spans="1:13">
      <c r="A33" s="1"/>
      <c r="B33" s="2" t="s">
        <v>10</v>
      </c>
      <c r="C33" s="1"/>
      <c r="D33" s="1"/>
      <c r="E33" s="1"/>
      <c r="F33" s="1"/>
      <c r="I33" s="40">
        <v>52000</v>
      </c>
      <c r="J33" s="40"/>
      <c r="K33" s="40"/>
      <c r="L33" s="40">
        <f>SUM(I33:K33)</f>
        <v>52000</v>
      </c>
      <c r="M33" s="40">
        <f>L33</f>
        <v>52000</v>
      </c>
    </row>
    <row r="34" spans="1:13">
      <c r="B34" s="2" t="s">
        <v>375</v>
      </c>
      <c r="I34" s="40">
        <v>31001463</v>
      </c>
      <c r="J34" s="40">
        <v>17745591</v>
      </c>
      <c r="K34" s="40">
        <v>-21034707</v>
      </c>
      <c r="L34" s="40">
        <f>SUM(I34:K34)</f>
        <v>27712347</v>
      </c>
      <c r="M34" s="40">
        <f>L34</f>
        <v>27712347</v>
      </c>
    </row>
    <row r="35" spans="1:13">
      <c r="A35" s="1" t="s">
        <v>88</v>
      </c>
      <c r="B35" s="1"/>
      <c r="C35" s="1"/>
      <c r="D35" s="1"/>
      <c r="E35" s="1"/>
      <c r="F35" s="1"/>
      <c r="G35" s="1"/>
      <c r="H35" s="1"/>
      <c r="I35" s="80">
        <f>SUM(I33:I34)</f>
        <v>31053463</v>
      </c>
      <c r="J35" s="80">
        <f t="shared" ref="J35:L35" si="7">SUM(J33:J34)</f>
        <v>17745591</v>
      </c>
      <c r="K35" s="80">
        <f t="shared" si="7"/>
        <v>-21034707</v>
      </c>
      <c r="L35" s="80">
        <f t="shared" si="7"/>
        <v>27764347</v>
      </c>
    </row>
    <row r="37" spans="1:13">
      <c r="A37" s="1" t="s">
        <v>307</v>
      </c>
      <c r="B37" s="34"/>
      <c r="C37" s="1"/>
      <c r="I37" s="78"/>
      <c r="J37" s="78"/>
      <c r="K37" s="78"/>
      <c r="L37" s="78"/>
    </row>
    <row r="38" spans="1:13">
      <c r="A38" s="1"/>
      <c r="B38" s="34" t="s">
        <v>71</v>
      </c>
      <c r="C38" s="1"/>
      <c r="I38" s="51">
        <v>22835523</v>
      </c>
      <c r="J38" s="51">
        <v>13330522</v>
      </c>
      <c r="K38" s="51"/>
      <c r="L38" s="51">
        <f>SUM(I38:K38)</f>
        <v>36166045</v>
      </c>
    </row>
    <row r="39" spans="1:13">
      <c r="A39" s="1"/>
      <c r="B39" s="34" t="s">
        <v>52</v>
      </c>
      <c r="C39" s="1"/>
      <c r="I39" s="51">
        <v>84439845</v>
      </c>
      <c r="J39" s="51">
        <v>7641048</v>
      </c>
      <c r="K39" s="51">
        <v>-344619</v>
      </c>
      <c r="L39" s="51">
        <f>SUM(I39:K39)</f>
        <v>91736274</v>
      </c>
    </row>
    <row r="40" spans="1:13">
      <c r="A40" s="1"/>
      <c r="B40" s="34" t="s">
        <v>101</v>
      </c>
      <c r="C40" s="1"/>
      <c r="I40" s="51">
        <v>3331244</v>
      </c>
      <c r="J40" s="51">
        <v>598702</v>
      </c>
      <c r="K40" s="51">
        <v>-97932</v>
      </c>
      <c r="L40" s="51">
        <f>SUM(I40:K40)</f>
        <v>3832014</v>
      </c>
    </row>
    <row r="41" spans="1:13">
      <c r="A41" s="1"/>
      <c r="B41" s="34" t="s">
        <v>17</v>
      </c>
      <c r="C41" s="1"/>
      <c r="I41" s="51">
        <v>5670859</v>
      </c>
      <c r="J41" s="51">
        <v>635064</v>
      </c>
      <c r="K41" s="51">
        <v>-1853999</v>
      </c>
      <c r="L41" s="51">
        <f>SUM(I41:K41)</f>
        <v>4451924</v>
      </c>
      <c r="M41" s="40"/>
    </row>
    <row r="42" spans="1:13">
      <c r="C42" s="57" t="s">
        <v>18</v>
      </c>
      <c r="D42" s="34"/>
      <c r="E42" s="34"/>
      <c r="F42" s="34"/>
      <c r="G42" s="34"/>
      <c r="H42" s="34"/>
      <c r="I42" s="88">
        <f>SUM(I38:I41)</f>
        <v>116277471</v>
      </c>
      <c r="J42" s="88">
        <f t="shared" ref="J42:L42" si="8">SUM(J38:J41)</f>
        <v>22205336</v>
      </c>
      <c r="K42" s="88">
        <f t="shared" si="8"/>
        <v>-2296550</v>
      </c>
      <c r="L42" s="88">
        <f t="shared" si="8"/>
        <v>136186257</v>
      </c>
    </row>
    <row r="43" spans="1:13">
      <c r="A43" s="1"/>
      <c r="B43" s="34"/>
      <c r="C43" s="34"/>
      <c r="D43" s="34"/>
      <c r="E43" s="34"/>
      <c r="F43" s="34"/>
      <c r="G43" s="34"/>
      <c r="H43" s="34"/>
      <c r="I43" s="34"/>
      <c r="J43" s="34"/>
      <c r="K43" s="34"/>
      <c r="L43" s="34"/>
    </row>
    <row r="44" spans="1:13">
      <c r="A44" s="1" t="s">
        <v>376</v>
      </c>
      <c r="B44" s="57"/>
      <c r="C44" s="34"/>
      <c r="D44" s="34"/>
      <c r="E44" s="34"/>
      <c r="F44" s="34"/>
      <c r="G44" s="34"/>
      <c r="H44" s="34"/>
      <c r="I44" s="78"/>
      <c r="J44" s="78"/>
      <c r="K44" s="78"/>
      <c r="L44" s="78"/>
    </row>
    <row r="45" spans="1:13">
      <c r="B45" s="34" t="s">
        <v>71</v>
      </c>
      <c r="C45" s="34"/>
      <c r="D45" s="34"/>
      <c r="E45" s="34"/>
      <c r="F45" s="34"/>
      <c r="G45" s="34"/>
      <c r="H45" s="34"/>
      <c r="I45" s="34">
        <v>-9668015</v>
      </c>
      <c r="J45" s="34">
        <v>-520059</v>
      </c>
      <c r="K45" s="34"/>
      <c r="L45" s="34">
        <f>SUM(I45:K45)</f>
        <v>-10188074</v>
      </c>
      <c r="M45" s="40">
        <f>L38+L45</f>
        <v>25977971</v>
      </c>
    </row>
    <row r="46" spans="1:13">
      <c r="B46" s="34" t="s">
        <v>52</v>
      </c>
      <c r="C46" s="34"/>
      <c r="D46" s="34"/>
      <c r="E46" s="34"/>
      <c r="F46" s="34"/>
      <c r="G46" s="34"/>
      <c r="H46" s="34"/>
      <c r="I46" s="34">
        <v>-44526710</v>
      </c>
      <c r="J46" s="34">
        <v>-3121626</v>
      </c>
      <c r="K46" s="34">
        <v>-17855</v>
      </c>
      <c r="L46" s="34">
        <f>SUM(I46:K46)</f>
        <v>-47666191</v>
      </c>
      <c r="M46" s="40">
        <f t="shared" ref="M46:M48" si="9">L39+L46</f>
        <v>44070083</v>
      </c>
    </row>
    <row r="47" spans="1:13">
      <c r="A47" s="1"/>
      <c r="B47" s="2" t="s">
        <v>101</v>
      </c>
      <c r="C47" s="34"/>
      <c r="D47" s="34"/>
      <c r="E47" s="34"/>
      <c r="F47" s="34"/>
      <c r="G47" s="34"/>
      <c r="H47" s="34"/>
      <c r="I47" s="34">
        <v>-2311864</v>
      </c>
      <c r="J47" s="34">
        <v>-179537</v>
      </c>
      <c r="K47" s="34">
        <v>25645</v>
      </c>
      <c r="L47" s="34">
        <f>SUM(I47:K47)</f>
        <v>-2465756</v>
      </c>
      <c r="M47" s="40">
        <f t="shared" si="9"/>
        <v>1366258</v>
      </c>
    </row>
    <row r="48" spans="1:13">
      <c r="A48" s="1"/>
      <c r="B48" s="2" t="s">
        <v>17</v>
      </c>
      <c r="C48" s="34"/>
      <c r="D48" s="34"/>
      <c r="E48" s="34"/>
      <c r="F48" s="34"/>
      <c r="G48" s="34"/>
      <c r="H48" s="34"/>
      <c r="I48" s="34"/>
      <c r="J48" s="34">
        <v>-119833</v>
      </c>
      <c r="K48" s="34"/>
      <c r="L48" s="34">
        <f>SUM(I48:K48)</f>
        <v>-119833</v>
      </c>
      <c r="M48" s="40">
        <f t="shared" si="9"/>
        <v>4332091</v>
      </c>
    </row>
    <row r="49" spans="1:13">
      <c r="A49" s="1"/>
      <c r="B49" s="1"/>
      <c r="C49" s="57" t="s">
        <v>20</v>
      </c>
      <c r="D49" s="34"/>
      <c r="E49" s="34"/>
      <c r="F49" s="34"/>
      <c r="G49" s="34"/>
      <c r="H49" s="34"/>
      <c r="I49" s="88">
        <f>SUM(I45:I47)</f>
        <v>-56506589</v>
      </c>
      <c r="J49" s="88">
        <f>SUM(J45:J48)</f>
        <v>-3941055</v>
      </c>
      <c r="K49" s="88">
        <f t="shared" ref="K49" si="10">SUM(K45:K47)</f>
        <v>7790</v>
      </c>
      <c r="L49" s="88">
        <f>SUM(L45:L48)</f>
        <v>-60439854</v>
      </c>
    </row>
    <row r="50" spans="1:13">
      <c r="A50" s="1"/>
      <c r="B50" s="34"/>
      <c r="C50" s="34"/>
      <c r="D50" s="34"/>
      <c r="E50" s="34"/>
      <c r="F50" s="34"/>
      <c r="G50" s="34"/>
      <c r="H50" s="34"/>
      <c r="I50" s="34"/>
      <c r="J50" s="34"/>
      <c r="K50" s="34"/>
      <c r="L50" s="34"/>
    </row>
    <row r="51" spans="1:13">
      <c r="A51" s="1" t="s">
        <v>21</v>
      </c>
      <c r="B51" s="57"/>
      <c r="C51" s="34"/>
      <c r="D51" s="34"/>
      <c r="E51" s="34"/>
      <c r="F51" s="34"/>
      <c r="G51" s="34"/>
      <c r="H51" s="34"/>
      <c r="I51" s="77">
        <f>I42+I49</f>
        <v>59770882</v>
      </c>
      <c r="J51" s="77">
        <f t="shared" ref="J51:L51" si="11">J42+J49</f>
        <v>18264281</v>
      </c>
      <c r="K51" s="77">
        <f t="shared" si="11"/>
        <v>-2288760</v>
      </c>
      <c r="L51" s="77">
        <f t="shared" si="11"/>
        <v>75746403</v>
      </c>
    </row>
    <row r="52" spans="1:13">
      <c r="B52" s="57"/>
      <c r="C52" s="34"/>
      <c r="D52" s="34"/>
      <c r="E52" s="34"/>
      <c r="F52" s="34"/>
      <c r="G52" s="34"/>
      <c r="H52" s="34"/>
      <c r="I52" s="34"/>
      <c r="J52" s="34"/>
      <c r="K52" s="34"/>
      <c r="L52" s="34"/>
    </row>
    <row r="53" spans="1:13" ht="19.5" thickBot="1">
      <c r="A53" s="1" t="s">
        <v>377</v>
      </c>
      <c r="B53" s="1"/>
      <c r="C53" s="34"/>
      <c r="D53" s="34"/>
      <c r="E53" s="34"/>
      <c r="F53" s="34"/>
      <c r="G53" s="34"/>
      <c r="H53" s="34"/>
      <c r="I53" s="89">
        <f>I35+I51</f>
        <v>90824345</v>
      </c>
      <c r="J53" s="89">
        <f t="shared" ref="J53:L53" si="12">J35+J51</f>
        <v>36009872</v>
      </c>
      <c r="K53" s="89">
        <f t="shared" si="12"/>
        <v>-23323467</v>
      </c>
      <c r="L53" s="89">
        <f t="shared" si="12"/>
        <v>103510750</v>
      </c>
      <c r="M53" s="40">
        <f>SUM(M33:M51)</f>
        <v>103510750</v>
      </c>
    </row>
    <row r="54" spans="1:13">
      <c r="A54" s="1"/>
      <c r="B54" s="1"/>
      <c r="C54" s="34"/>
      <c r="D54" s="34"/>
      <c r="E54" s="34"/>
      <c r="F54" s="34"/>
      <c r="G54" s="34"/>
      <c r="H54" s="34"/>
      <c r="I54" s="78"/>
      <c r="J54" s="78"/>
      <c r="K54" s="78"/>
      <c r="L54" s="78"/>
    </row>
  </sheetData>
  <mergeCells count="3">
    <mergeCell ref="D1:I1"/>
    <mergeCell ref="D2:I2"/>
    <mergeCell ref="D3:I3"/>
  </mergeCells>
  <pageMargins left="0.7" right="0.7" top="0.75" bottom="0.75" header="0.3" footer="0.3"/>
  <extLst>
    <ext xmlns:mx="http://schemas.microsoft.com/office/mac/excel/2008/main" uri="{64002731-A6B0-56B0-2670-7721B7C09600}">
      <mx:PLV Mode="0" OnePage="0" WScale="0"/>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M41"/>
  <sheetViews>
    <sheetView zoomScale="70" zoomScaleNormal="70" zoomScalePageLayoutView="70" workbookViewId="0">
      <selection activeCell="M37" sqref="M37"/>
    </sheetView>
  </sheetViews>
  <sheetFormatPr defaultColWidth="8.85546875" defaultRowHeight="18.75"/>
  <cols>
    <col min="1" max="1" width="4.42578125" style="2" customWidth="1"/>
    <col min="2" max="3" width="4.7109375" style="2" customWidth="1"/>
    <col min="4" max="6" width="8.85546875" style="2"/>
    <col min="7" max="7" width="14.28515625" style="2" bestFit="1" customWidth="1"/>
    <col min="8" max="8" width="12.7109375" style="2" bestFit="1" customWidth="1"/>
    <col min="9" max="9" width="22" style="2" bestFit="1" customWidth="1"/>
    <col min="10" max="10" width="15.7109375" style="2" bestFit="1" customWidth="1"/>
    <col min="11" max="11" width="19.85546875" style="2" bestFit="1" customWidth="1"/>
    <col min="12" max="12" width="16.42578125" style="2" bestFit="1" customWidth="1"/>
    <col min="13" max="13" width="17.28515625" customWidth="1"/>
  </cols>
  <sheetData>
    <row r="1" spans="1:13">
      <c r="D1" s="136" t="s">
        <v>378</v>
      </c>
      <c r="E1" s="136"/>
      <c r="F1" s="136"/>
      <c r="G1" s="136"/>
      <c r="H1" s="136"/>
      <c r="I1" s="136"/>
    </row>
    <row r="2" spans="1:13">
      <c r="D2" s="136" t="s">
        <v>1</v>
      </c>
      <c r="E2" s="136"/>
      <c r="F2" s="136"/>
      <c r="G2" s="136"/>
      <c r="H2" s="136"/>
      <c r="I2" s="136"/>
    </row>
    <row r="3" spans="1:13">
      <c r="D3" s="136" t="s">
        <v>2</v>
      </c>
      <c r="E3" s="136"/>
      <c r="F3" s="136"/>
      <c r="G3" s="136"/>
      <c r="H3" s="136"/>
      <c r="I3" s="136"/>
    </row>
    <row r="4" spans="1:13">
      <c r="D4" s="69"/>
      <c r="E4" s="69"/>
      <c r="F4" s="69"/>
      <c r="G4" s="69"/>
      <c r="H4" s="69"/>
      <c r="I4" s="69"/>
    </row>
    <row r="5" spans="1:13" ht="37.5">
      <c r="I5" s="71" t="s">
        <v>3</v>
      </c>
      <c r="J5" s="71" t="s">
        <v>4</v>
      </c>
      <c r="K5" s="71" t="s">
        <v>5</v>
      </c>
      <c r="L5" s="71" t="s">
        <v>6</v>
      </c>
      <c r="M5" s="71" t="s">
        <v>7</v>
      </c>
    </row>
    <row r="6" spans="1:13">
      <c r="A6" s="1" t="s">
        <v>8</v>
      </c>
      <c r="B6" s="1"/>
      <c r="C6" s="1"/>
      <c r="D6" s="1"/>
      <c r="E6" s="1"/>
      <c r="F6" s="1"/>
    </row>
    <row r="7" spans="1:13">
      <c r="A7" s="1" t="s">
        <v>9</v>
      </c>
      <c r="B7" s="1"/>
      <c r="C7" s="1"/>
      <c r="D7" s="1"/>
      <c r="E7" s="1"/>
      <c r="F7" s="1"/>
      <c r="I7" s="40"/>
      <c r="J7" s="40"/>
      <c r="K7" s="40"/>
      <c r="L7" s="40"/>
    </row>
    <row r="8" spans="1:13">
      <c r="B8" s="2" t="s">
        <v>10</v>
      </c>
      <c r="I8" s="40">
        <v>841274</v>
      </c>
      <c r="J8" s="40"/>
      <c r="K8" s="40">
        <v>0</v>
      </c>
      <c r="L8" s="40">
        <f>SUM(I8:K8)</f>
        <v>841274</v>
      </c>
      <c r="M8" s="58">
        <f>L8</f>
        <v>841274</v>
      </c>
    </row>
    <row r="9" spans="1:13">
      <c r="B9" s="2" t="s">
        <v>379</v>
      </c>
      <c r="I9" s="40">
        <v>2713183</v>
      </c>
      <c r="J9" s="40">
        <v>618895</v>
      </c>
      <c r="K9" s="40">
        <v>-2713181</v>
      </c>
      <c r="L9" s="40">
        <f>SUM(I9:K9)</f>
        <v>618897</v>
      </c>
      <c r="M9" s="58">
        <f>L9</f>
        <v>618897</v>
      </c>
    </row>
    <row r="10" spans="1:13">
      <c r="A10" s="1"/>
      <c r="B10" s="1"/>
      <c r="C10" s="1" t="s">
        <v>380</v>
      </c>
      <c r="D10" s="1"/>
      <c r="E10" s="1"/>
      <c r="F10" s="1"/>
      <c r="G10" s="1"/>
      <c r="H10" s="1"/>
      <c r="I10" s="85">
        <f>SUM(I8:I9)</f>
        <v>3554457</v>
      </c>
      <c r="J10" s="85">
        <f>SUM(J8:J9)</f>
        <v>618895</v>
      </c>
      <c r="K10" s="85">
        <f>SUM(K8:K9)</f>
        <v>-2713181</v>
      </c>
      <c r="L10" s="85">
        <f>SUM(L8:L9)</f>
        <v>1460171</v>
      </c>
    </row>
    <row r="12" spans="1:13">
      <c r="A12" s="1" t="s">
        <v>371</v>
      </c>
    </row>
    <row r="13" spans="1:13">
      <c r="B13" s="2" t="s">
        <v>14</v>
      </c>
      <c r="I13" s="33">
        <v>8917113</v>
      </c>
      <c r="J13" s="40">
        <v>216049</v>
      </c>
      <c r="K13" s="40">
        <v>0</v>
      </c>
      <c r="L13" s="40">
        <f>SUM(I13:K13)</f>
        <v>9133162</v>
      </c>
    </row>
    <row r="14" spans="1:13">
      <c r="B14" s="2" t="s">
        <v>381</v>
      </c>
      <c r="I14" s="33">
        <v>2832496</v>
      </c>
      <c r="J14" s="40">
        <v>127858</v>
      </c>
      <c r="K14" s="40">
        <v>-4624</v>
      </c>
      <c r="L14" s="40">
        <f>SUM(I14:K14)</f>
        <v>2955730</v>
      </c>
    </row>
    <row r="15" spans="1:13">
      <c r="B15" s="2" t="s">
        <v>382</v>
      </c>
      <c r="I15" s="33">
        <v>7024983</v>
      </c>
      <c r="J15" s="40">
        <v>117328</v>
      </c>
      <c r="K15" s="40"/>
      <c r="L15" s="40">
        <f>SUM(I15:K15)</f>
        <v>7142311</v>
      </c>
    </row>
    <row r="16" spans="1:13">
      <c r="B16" s="2" t="s">
        <v>17</v>
      </c>
      <c r="I16" s="33">
        <v>10560782</v>
      </c>
      <c r="J16" s="40">
        <v>2699614</v>
      </c>
      <c r="K16" s="40"/>
      <c r="L16" s="40">
        <f>SUM(I16:K16)</f>
        <v>13260396</v>
      </c>
    </row>
    <row r="17" spans="1:13">
      <c r="C17" s="1" t="s">
        <v>18</v>
      </c>
      <c r="I17" s="86">
        <f>SUM(I13:I16)</f>
        <v>29335374</v>
      </c>
      <c r="J17" s="86">
        <f t="shared" ref="J17:L17" si="0">SUM(J13:J16)</f>
        <v>3160849</v>
      </c>
      <c r="K17" s="86">
        <f t="shared" si="0"/>
        <v>-4624</v>
      </c>
      <c r="L17" s="86">
        <f t="shared" si="0"/>
        <v>32491599</v>
      </c>
    </row>
    <row r="19" spans="1:13">
      <c r="A19" s="1" t="s">
        <v>376</v>
      </c>
      <c r="J19" s="40"/>
      <c r="K19" s="40"/>
      <c r="L19" s="40"/>
    </row>
    <row r="20" spans="1:13">
      <c r="B20" s="2" t="s">
        <v>14</v>
      </c>
      <c r="I20" s="40">
        <v>-4010421</v>
      </c>
      <c r="J20" s="40">
        <v>-227027</v>
      </c>
      <c r="K20" s="40">
        <v>0</v>
      </c>
      <c r="L20" s="40">
        <f>SUM(I20:K20)</f>
        <v>-4237448</v>
      </c>
      <c r="M20" s="58">
        <f>L13+L20</f>
        <v>4895714</v>
      </c>
    </row>
    <row r="21" spans="1:13">
      <c r="B21" s="2" t="s">
        <v>381</v>
      </c>
      <c r="I21" s="40">
        <v>-2323621</v>
      </c>
      <c r="J21" s="40">
        <v>-147451</v>
      </c>
      <c r="K21" s="40">
        <v>4624</v>
      </c>
      <c r="L21" s="40">
        <f>SUM(I21:K21)</f>
        <v>-2466448</v>
      </c>
      <c r="M21" s="58">
        <f>L14+L21</f>
        <v>489282</v>
      </c>
    </row>
    <row r="22" spans="1:13">
      <c r="B22" s="2" t="s">
        <v>382</v>
      </c>
      <c r="I22" s="40">
        <v>-6687304</v>
      </c>
      <c r="J22" s="40">
        <v>-133954</v>
      </c>
      <c r="K22" s="40"/>
      <c r="L22" s="40">
        <f>SUM(I22:K22)</f>
        <v>-6821258</v>
      </c>
      <c r="M22" s="58">
        <f>L15+L22</f>
        <v>321053</v>
      </c>
    </row>
    <row r="23" spans="1:13">
      <c r="B23" s="2" t="s">
        <v>17</v>
      </c>
      <c r="I23" s="2">
        <v>-2713733</v>
      </c>
      <c r="J23" s="40">
        <v>-710849</v>
      </c>
      <c r="K23" s="40"/>
      <c r="L23" s="40">
        <f>SUM(I23:K23)</f>
        <v>-3424582</v>
      </c>
      <c r="M23" s="58">
        <f>L16+L23</f>
        <v>9835814</v>
      </c>
    </row>
    <row r="24" spans="1:13">
      <c r="A24" s="1"/>
      <c r="C24" s="1" t="s">
        <v>20</v>
      </c>
      <c r="I24" s="76">
        <f>SUM(I20:I23)</f>
        <v>-15735079</v>
      </c>
      <c r="J24" s="76">
        <f t="shared" ref="J24:L24" si="1">SUM(J20:J23)</f>
        <v>-1219281</v>
      </c>
      <c r="K24" s="76">
        <f t="shared" si="1"/>
        <v>4624</v>
      </c>
      <c r="L24" s="76">
        <f t="shared" si="1"/>
        <v>-16949736</v>
      </c>
    </row>
    <row r="26" spans="1:13">
      <c r="A26" s="1" t="s">
        <v>373</v>
      </c>
      <c r="C26" s="1"/>
      <c r="I26" s="76">
        <f>I17+I24</f>
        <v>13600295</v>
      </c>
      <c r="J26" s="76">
        <f t="shared" ref="J26:L26" si="2">J17+J24</f>
        <v>1941568</v>
      </c>
      <c r="K26" s="76">
        <f t="shared" si="2"/>
        <v>0</v>
      </c>
      <c r="L26" s="76">
        <f t="shared" si="2"/>
        <v>15541863</v>
      </c>
    </row>
    <row r="27" spans="1:13">
      <c r="A27" s="1" t="s">
        <v>383</v>
      </c>
      <c r="C27" s="1"/>
      <c r="I27" s="76">
        <f>I10+I26</f>
        <v>17154752</v>
      </c>
      <c r="J27" s="76">
        <f t="shared" ref="J27:K27" si="3">J10+J26</f>
        <v>2560463</v>
      </c>
      <c r="K27" s="76">
        <f t="shared" si="3"/>
        <v>-2713181</v>
      </c>
      <c r="L27" s="76">
        <f>L10+L26</f>
        <v>17002034</v>
      </c>
      <c r="M27" s="58">
        <f>SUM(M8:M25)</f>
        <v>17002034</v>
      </c>
    </row>
    <row r="28" spans="1:13">
      <c r="C28" s="1"/>
      <c r="I28" s="87"/>
      <c r="J28" s="87"/>
      <c r="K28" s="87"/>
      <c r="L28" s="87"/>
    </row>
    <row r="29" spans="1:13">
      <c r="C29" s="1"/>
      <c r="I29" s="87"/>
      <c r="J29" s="87"/>
      <c r="K29" s="87"/>
      <c r="L29" s="87"/>
    </row>
    <row r="30" spans="1:13">
      <c r="A30" s="1" t="s">
        <v>35</v>
      </c>
      <c r="B30" s="1"/>
      <c r="C30" s="1"/>
      <c r="D30" s="1"/>
      <c r="E30" s="1"/>
      <c r="F30" s="1"/>
    </row>
    <row r="31" spans="1:13">
      <c r="A31" s="1" t="s">
        <v>9</v>
      </c>
      <c r="B31" s="1"/>
      <c r="C31" s="1"/>
      <c r="D31" s="1"/>
      <c r="E31" s="1"/>
      <c r="F31" s="1"/>
      <c r="I31" s="40"/>
      <c r="J31" s="40"/>
      <c r="K31" s="40"/>
      <c r="L31" s="40"/>
    </row>
    <row r="32" spans="1:13">
      <c r="A32" s="1"/>
      <c r="B32" s="2" t="s">
        <v>10</v>
      </c>
      <c r="C32" s="1"/>
      <c r="D32" s="1"/>
      <c r="E32" s="1"/>
      <c r="F32" s="1"/>
      <c r="I32" s="73">
        <v>45233</v>
      </c>
      <c r="J32" s="73"/>
      <c r="K32" s="73"/>
      <c r="L32" s="73">
        <f>SUM(I32:K32)</f>
        <v>45233</v>
      </c>
      <c r="M32" s="58">
        <f>L32</f>
        <v>45233</v>
      </c>
    </row>
    <row r="34" spans="1:13">
      <c r="A34" s="1" t="s">
        <v>307</v>
      </c>
      <c r="B34" s="34"/>
      <c r="C34" s="1"/>
      <c r="I34" s="78"/>
      <c r="J34" s="78"/>
      <c r="K34" s="78"/>
      <c r="L34" s="78"/>
    </row>
    <row r="35" spans="1:13">
      <c r="A35" s="1"/>
      <c r="B35" s="34" t="s">
        <v>384</v>
      </c>
      <c r="C35" s="1"/>
      <c r="I35" s="51">
        <v>7760431</v>
      </c>
      <c r="J35" s="51">
        <v>163582</v>
      </c>
      <c r="K35" s="51"/>
      <c r="L35" s="51">
        <f>SUM(I35:K35)</f>
        <v>7924013</v>
      </c>
    </row>
    <row r="36" spans="1:13">
      <c r="A36" s="1"/>
      <c r="B36" s="34" t="s">
        <v>298</v>
      </c>
      <c r="C36" s="34"/>
      <c r="D36" s="34"/>
      <c r="E36" s="34"/>
      <c r="F36" s="34"/>
      <c r="G36" s="34"/>
      <c r="H36" s="34"/>
      <c r="I36" s="95">
        <v>-5642893</v>
      </c>
      <c r="J36" s="95">
        <v>-219896</v>
      </c>
      <c r="K36" s="95"/>
      <c r="L36" s="95">
        <f>SUM(I36:K36)</f>
        <v>-5862789</v>
      </c>
      <c r="M36" s="58">
        <f>L35+L36</f>
        <v>2061224</v>
      </c>
    </row>
    <row r="37" spans="1:13">
      <c r="A37" s="1"/>
      <c r="B37" s="34"/>
      <c r="C37" s="34"/>
      <c r="D37" s="34"/>
      <c r="E37" s="34"/>
      <c r="F37" s="34"/>
      <c r="G37" s="34"/>
      <c r="H37" s="34"/>
      <c r="I37" s="34"/>
      <c r="J37" s="34"/>
      <c r="K37" s="34"/>
      <c r="L37" s="34"/>
    </row>
    <row r="38" spans="1:13">
      <c r="A38" s="1" t="s">
        <v>21</v>
      </c>
      <c r="B38" s="57"/>
      <c r="C38" s="34"/>
      <c r="D38" s="34"/>
      <c r="E38" s="34"/>
      <c r="F38" s="34"/>
      <c r="G38" s="34"/>
      <c r="H38" s="34"/>
      <c r="I38" s="77">
        <f>SUM(I35:I36)</f>
        <v>2117538</v>
      </c>
      <c r="J38" s="77">
        <f t="shared" ref="J38:L38" si="4">SUM(J35:J36)</f>
        <v>-56314</v>
      </c>
      <c r="K38" s="77">
        <f t="shared" si="4"/>
        <v>0</v>
      </c>
      <c r="L38" s="77">
        <f t="shared" si="4"/>
        <v>2061224</v>
      </c>
    </row>
    <row r="39" spans="1:13">
      <c r="B39" s="57"/>
      <c r="C39" s="34"/>
      <c r="D39" s="34"/>
      <c r="E39" s="34"/>
      <c r="F39" s="34"/>
      <c r="G39" s="34"/>
      <c r="H39" s="34"/>
      <c r="I39" s="34"/>
      <c r="J39" s="34"/>
      <c r="K39" s="34"/>
      <c r="L39" s="34"/>
    </row>
    <row r="40" spans="1:13" ht="19.5" thickBot="1">
      <c r="A40" s="1" t="s">
        <v>43</v>
      </c>
      <c r="B40" s="1"/>
      <c r="C40" s="34"/>
      <c r="D40" s="34"/>
      <c r="E40" s="34"/>
      <c r="F40" s="34"/>
      <c r="G40" s="34"/>
      <c r="H40" s="34"/>
      <c r="I40" s="89">
        <f>SUM(I38,I32)</f>
        <v>2162771</v>
      </c>
      <c r="J40" s="89">
        <f t="shared" ref="J40:L40" si="5">SUM(J38,J32)</f>
        <v>-56314</v>
      </c>
      <c r="K40" s="89">
        <f t="shared" si="5"/>
        <v>0</v>
      </c>
      <c r="L40" s="89">
        <f t="shared" si="5"/>
        <v>2106457</v>
      </c>
      <c r="M40" s="58">
        <f>SUM(M32:M38)</f>
        <v>2106457</v>
      </c>
    </row>
    <row r="41" spans="1:13">
      <c r="A41" s="1"/>
      <c r="B41" s="1"/>
      <c r="C41" s="34"/>
      <c r="D41" s="34"/>
      <c r="E41" s="34"/>
      <c r="F41" s="34"/>
      <c r="G41" s="34"/>
      <c r="H41" s="34"/>
      <c r="I41" s="78"/>
      <c r="J41" s="78"/>
      <c r="K41" s="78"/>
      <c r="L41" s="78"/>
    </row>
  </sheetData>
  <mergeCells count="3">
    <mergeCell ref="D1:I1"/>
    <mergeCell ref="D2:I2"/>
    <mergeCell ref="D3:I3"/>
  </mergeCells>
  <pageMargins left="0.7" right="0.7" top="0.75" bottom="0.75" header="0.3" footer="0.3"/>
  <extLst>
    <ext xmlns:mx="http://schemas.microsoft.com/office/mac/excel/2008/main" uri="{64002731-A6B0-56B0-2670-7721B7C09600}">
      <mx:PLV Mode="0" OnePage="0" WScale="0"/>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B1:K20"/>
  <sheetViews>
    <sheetView workbookViewId="0">
      <selection activeCell="F10" sqref="F10"/>
    </sheetView>
  </sheetViews>
  <sheetFormatPr defaultColWidth="8.85546875" defaultRowHeight="18.75"/>
  <cols>
    <col min="1" max="1" width="4.42578125" style="2" customWidth="1"/>
    <col min="2" max="2" width="4.7109375" style="2" customWidth="1"/>
    <col min="3" max="3" width="4.140625" style="2" customWidth="1"/>
    <col min="4" max="4" width="31.42578125" style="2" customWidth="1"/>
    <col min="5" max="5" width="21.140625" style="2" bestFit="1" customWidth="1"/>
    <col min="6" max="6" width="21" style="2" customWidth="1"/>
    <col min="7" max="7" width="20.28515625" style="2" customWidth="1"/>
    <col min="8" max="8" width="18.140625" style="2" customWidth="1"/>
    <col min="9" max="9" width="18.42578125" style="2" bestFit="1" customWidth="1"/>
    <col min="10" max="10" width="19.42578125" style="2" customWidth="1"/>
    <col min="11" max="11" width="17.42578125" style="2" bestFit="1" customWidth="1"/>
    <col min="12" max="16384" width="8.85546875" style="2"/>
  </cols>
  <sheetData>
    <row r="1" spans="2:11">
      <c r="D1" s="136" t="s">
        <v>385</v>
      </c>
      <c r="E1" s="136"/>
      <c r="F1" s="136"/>
      <c r="G1" s="136"/>
      <c r="H1" s="136"/>
    </row>
    <row r="2" spans="2:11">
      <c r="D2" s="136" t="s">
        <v>1</v>
      </c>
      <c r="E2" s="136"/>
      <c r="F2" s="136"/>
      <c r="G2" s="136"/>
      <c r="H2" s="136"/>
    </row>
    <row r="3" spans="2:11">
      <c r="D3" s="136" t="s">
        <v>2</v>
      </c>
      <c r="E3" s="136"/>
      <c r="F3" s="136"/>
      <c r="G3" s="136"/>
      <c r="H3" s="136"/>
    </row>
    <row r="4" spans="2:11">
      <c r="D4" s="69"/>
      <c r="E4" s="69"/>
      <c r="F4" s="69"/>
      <c r="G4" s="69"/>
      <c r="H4" s="69"/>
    </row>
    <row r="5" spans="2:11">
      <c r="C5" s="1" t="s">
        <v>203</v>
      </c>
      <c r="D5" s="69"/>
      <c r="E5" s="69"/>
      <c r="F5" s="69"/>
      <c r="G5" s="69"/>
      <c r="H5" s="69"/>
    </row>
    <row r="6" spans="2:11" ht="37.5">
      <c r="E6" s="90" t="s">
        <v>10</v>
      </c>
      <c r="F6" s="91" t="s">
        <v>204</v>
      </c>
      <c r="G6" s="91" t="s">
        <v>71</v>
      </c>
      <c r="H6" s="91" t="s">
        <v>206</v>
      </c>
      <c r="I6" s="91" t="s">
        <v>17</v>
      </c>
      <c r="J6" s="91" t="s">
        <v>191</v>
      </c>
      <c r="K6" s="1"/>
    </row>
    <row r="7" spans="2:11">
      <c r="C7" s="2" t="s">
        <v>386</v>
      </c>
      <c r="E7" s="3">
        <v>1689373</v>
      </c>
      <c r="F7" s="3">
        <v>1375268</v>
      </c>
      <c r="G7" s="3">
        <v>26116897</v>
      </c>
      <c r="H7" s="3">
        <v>22002622</v>
      </c>
      <c r="I7" s="3">
        <v>346773509</v>
      </c>
      <c r="J7" s="3">
        <f>SUM(E7:I7)</f>
        <v>397957669</v>
      </c>
      <c r="K7" s="3"/>
    </row>
    <row r="8" spans="2:11">
      <c r="D8" s="2" t="s">
        <v>45</v>
      </c>
      <c r="E8" s="3">
        <v>302625</v>
      </c>
      <c r="F8" s="3">
        <v>4503009</v>
      </c>
      <c r="G8" s="3">
        <v>311488</v>
      </c>
      <c r="H8" s="3">
        <v>2287785</v>
      </c>
      <c r="I8" s="3"/>
      <c r="J8" s="3">
        <f t="shared" ref="J8:J10" si="0">SUM(E8:I8)</f>
        <v>7404907</v>
      </c>
      <c r="K8" s="3"/>
    </row>
    <row r="9" spans="2:11">
      <c r="D9" s="2" t="s">
        <v>46</v>
      </c>
      <c r="E9" s="6"/>
      <c r="F9" s="6">
        <v>-1375268</v>
      </c>
      <c r="G9" s="6">
        <v>-586081</v>
      </c>
      <c r="H9" s="6">
        <v>-418174</v>
      </c>
      <c r="I9" s="6"/>
      <c r="J9" s="6">
        <f t="shared" si="0"/>
        <v>-2379523</v>
      </c>
    </row>
    <row r="10" spans="2:11">
      <c r="C10" s="2" t="s">
        <v>182</v>
      </c>
      <c r="E10" s="6">
        <f>SUM(E7:E9)</f>
        <v>1991998</v>
      </c>
      <c r="F10" s="6">
        <f t="shared" ref="F10:I10" si="1">SUM(F7:F9)</f>
        <v>4503009</v>
      </c>
      <c r="G10" s="6">
        <f t="shared" si="1"/>
        <v>25842304</v>
      </c>
      <c r="H10" s="6">
        <f t="shared" si="1"/>
        <v>23872233</v>
      </c>
      <c r="I10" s="6">
        <f t="shared" si="1"/>
        <v>346773509</v>
      </c>
      <c r="J10" s="6">
        <f t="shared" si="0"/>
        <v>402983053</v>
      </c>
    </row>
    <row r="11" spans="2:11">
      <c r="E11" s="3"/>
      <c r="F11" s="3"/>
      <c r="G11" s="3"/>
      <c r="H11" s="3"/>
      <c r="I11" s="3"/>
      <c r="J11" s="3" t="s">
        <v>142</v>
      </c>
    </row>
    <row r="12" spans="2:11">
      <c r="B12" s="2" t="s">
        <v>322</v>
      </c>
      <c r="E12" s="3"/>
      <c r="F12" s="3"/>
      <c r="G12" s="3"/>
      <c r="H12" s="3"/>
      <c r="I12" s="3"/>
      <c r="J12" s="3" t="s">
        <v>142</v>
      </c>
    </row>
    <row r="13" spans="2:11">
      <c r="C13" s="2" t="s">
        <v>386</v>
      </c>
      <c r="D13" s="92"/>
      <c r="E13" s="3">
        <v>0</v>
      </c>
      <c r="F13" s="3">
        <v>0</v>
      </c>
      <c r="G13" s="3">
        <v>-15260169</v>
      </c>
      <c r="H13" s="3">
        <v>-14939214</v>
      </c>
      <c r="I13" s="3">
        <v>-316654120</v>
      </c>
      <c r="J13" s="3">
        <f>SUM(E13:I13)</f>
        <v>-346853503</v>
      </c>
      <c r="K13" s="3"/>
    </row>
    <row r="14" spans="2:11">
      <c r="D14" s="2" t="s">
        <v>45</v>
      </c>
      <c r="E14" s="3">
        <v>0</v>
      </c>
      <c r="F14" s="3">
        <v>0</v>
      </c>
      <c r="G14" s="3">
        <v>-600823</v>
      </c>
      <c r="H14" s="3">
        <v>-1313291</v>
      </c>
      <c r="I14" s="3">
        <v>-999867</v>
      </c>
      <c r="J14" s="3">
        <f>SUM(E14:I14)</f>
        <v>-2913981</v>
      </c>
      <c r="K14" s="3"/>
    </row>
    <row r="15" spans="2:11">
      <c r="D15" s="2" t="s">
        <v>46</v>
      </c>
      <c r="E15" s="6">
        <v>0</v>
      </c>
      <c r="F15" s="6">
        <v>0</v>
      </c>
      <c r="G15" s="6">
        <v>41716</v>
      </c>
      <c r="H15" s="6">
        <v>414671</v>
      </c>
      <c r="I15" s="6">
        <v>438988</v>
      </c>
      <c r="J15" s="6">
        <f>SUM(E15:I15)</f>
        <v>895375</v>
      </c>
      <c r="K15" s="3"/>
    </row>
    <row r="16" spans="2:11">
      <c r="C16" s="2" t="s">
        <v>182</v>
      </c>
      <c r="E16" s="6">
        <f>SUM(E13:E15)</f>
        <v>0</v>
      </c>
      <c r="F16" s="6">
        <f t="shared" ref="F16:I16" si="2">SUM(F13:F15)</f>
        <v>0</v>
      </c>
      <c r="G16" s="6">
        <f t="shared" si="2"/>
        <v>-15819276</v>
      </c>
      <c r="H16" s="6">
        <f t="shared" si="2"/>
        <v>-15837834</v>
      </c>
      <c r="I16" s="6">
        <f t="shared" si="2"/>
        <v>-317214999</v>
      </c>
      <c r="J16" s="6">
        <f>SUM(J13:J15)</f>
        <v>-348872109</v>
      </c>
    </row>
    <row r="17" spans="3:11">
      <c r="E17" s="3"/>
      <c r="F17" s="3"/>
      <c r="G17" s="3"/>
      <c r="H17" s="3"/>
      <c r="I17" s="3"/>
      <c r="J17" s="3" t="s">
        <v>142</v>
      </c>
    </row>
    <row r="18" spans="3:11">
      <c r="C18" s="2" t="s">
        <v>387</v>
      </c>
      <c r="E18" s="6">
        <f>SUM(E16,E10)</f>
        <v>1991998</v>
      </c>
      <c r="F18" s="6">
        <f t="shared" ref="F18:I18" si="3">SUM(F16,F10)</f>
        <v>4503009</v>
      </c>
      <c r="G18" s="6">
        <f t="shared" si="3"/>
        <v>10023028</v>
      </c>
      <c r="H18" s="6">
        <f t="shared" si="3"/>
        <v>8034399</v>
      </c>
      <c r="I18" s="6">
        <f t="shared" si="3"/>
        <v>29558510</v>
      </c>
      <c r="J18" s="6">
        <f>SUM(J16,J10)</f>
        <v>54110944</v>
      </c>
      <c r="K18" s="3"/>
    </row>
    <row r="19" spans="3:11" s="93" customFormat="1">
      <c r="C19" s="2"/>
      <c r="E19" s="94"/>
      <c r="F19" s="94"/>
      <c r="G19" s="94"/>
      <c r="H19" s="94"/>
      <c r="I19" s="94"/>
    </row>
    <row r="20" spans="3:11">
      <c r="C20" s="2" t="s">
        <v>7</v>
      </c>
      <c r="E20" s="108">
        <f>E10</f>
        <v>1991998</v>
      </c>
      <c r="F20" s="108">
        <f>F10</f>
        <v>4503009</v>
      </c>
      <c r="G20" s="108">
        <f>G10+G16</f>
        <v>10023028</v>
      </c>
      <c r="H20" s="108">
        <f>H10+H16</f>
        <v>8034399</v>
      </c>
      <c r="I20" s="108">
        <f>I10+I16</f>
        <v>29558510</v>
      </c>
      <c r="J20" s="108">
        <f>J10+J16</f>
        <v>54110944</v>
      </c>
    </row>
  </sheetData>
  <mergeCells count="3">
    <mergeCell ref="D1:H1"/>
    <mergeCell ref="D2:H2"/>
    <mergeCell ref="D3:H3"/>
  </mergeCells>
  <pageMargins left="0.7" right="0.7" top="0.75" bottom="0.75" header="0.3" footer="0.3"/>
  <pageSetup orientation="portrait"/>
  <extLst>
    <ext xmlns:mx="http://schemas.microsoft.com/office/mac/excel/2008/main" uri="{64002731-A6B0-56B0-2670-7721B7C09600}">
      <mx:PLV Mode="0" OnePage="0" WScale="0"/>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O45"/>
  <sheetViews>
    <sheetView zoomScale="80" zoomScaleNormal="80" zoomScalePageLayoutView="80" workbookViewId="0">
      <selection activeCell="O7" sqref="O7"/>
    </sheetView>
  </sheetViews>
  <sheetFormatPr defaultColWidth="8.85546875" defaultRowHeight="18.75"/>
  <cols>
    <col min="1" max="1" width="4.42578125" style="2" customWidth="1"/>
    <col min="2" max="3" width="4.7109375" style="2" customWidth="1"/>
    <col min="4" max="6" width="8.85546875" style="2"/>
    <col min="7" max="7" width="14.28515625" style="2" bestFit="1" customWidth="1"/>
    <col min="8" max="8" width="12.7109375" style="2" bestFit="1" customWidth="1"/>
    <col min="9" max="9" width="22" style="2" bestFit="1" customWidth="1"/>
    <col min="10" max="10" width="15.7109375" style="2" bestFit="1" customWidth="1"/>
    <col min="11" max="11" width="19.85546875" style="2" bestFit="1" customWidth="1"/>
    <col min="12" max="12" width="21.42578125" style="2" customWidth="1"/>
    <col min="13" max="13" width="17.28515625" customWidth="1"/>
  </cols>
  <sheetData>
    <row r="1" spans="1:13">
      <c r="D1" s="136" t="s">
        <v>388</v>
      </c>
      <c r="E1" s="136"/>
      <c r="F1" s="136"/>
      <c r="G1" s="136"/>
      <c r="H1" s="136"/>
      <c r="I1" s="136"/>
    </row>
    <row r="2" spans="1:13">
      <c r="D2" s="136" t="s">
        <v>1</v>
      </c>
      <c r="E2" s="136"/>
      <c r="F2" s="136"/>
      <c r="G2" s="136"/>
      <c r="H2" s="136"/>
      <c r="I2" s="136"/>
    </row>
    <row r="3" spans="1:13">
      <c r="D3" s="136" t="s">
        <v>2</v>
      </c>
      <c r="E3" s="136"/>
      <c r="F3" s="136"/>
      <c r="G3" s="136"/>
      <c r="H3" s="136"/>
      <c r="I3" s="136"/>
      <c r="J3"/>
      <c r="K3"/>
      <c r="L3"/>
    </row>
    <row r="4" spans="1:13">
      <c r="D4" s="69"/>
      <c r="E4" s="69"/>
      <c r="F4" s="69"/>
      <c r="G4" s="69"/>
      <c r="H4" s="69"/>
      <c r="I4" s="69"/>
    </row>
    <row r="5" spans="1:13" ht="56.25">
      <c r="I5" s="71" t="s">
        <v>389</v>
      </c>
      <c r="J5" s="71" t="s">
        <v>45</v>
      </c>
      <c r="K5" s="71" t="s">
        <v>390</v>
      </c>
      <c r="L5" s="71" t="s">
        <v>391</v>
      </c>
      <c r="M5" s="71" t="s">
        <v>7</v>
      </c>
    </row>
    <row r="6" spans="1:13">
      <c r="A6" s="1"/>
      <c r="B6" s="1"/>
      <c r="C6" s="1"/>
      <c r="D6" s="1"/>
      <c r="E6" s="1"/>
      <c r="F6" s="1"/>
    </row>
    <row r="7" spans="1:13">
      <c r="A7" s="1" t="s">
        <v>9</v>
      </c>
      <c r="B7" s="1"/>
      <c r="C7" s="1"/>
      <c r="D7" s="1"/>
      <c r="E7" s="1"/>
      <c r="F7" s="1"/>
      <c r="I7" s="40"/>
      <c r="J7" s="40"/>
      <c r="K7" s="40"/>
      <c r="L7" s="40"/>
    </row>
    <row r="8" spans="1:13">
      <c r="B8" s="2" t="s">
        <v>10</v>
      </c>
      <c r="I8" s="40">
        <v>301537</v>
      </c>
      <c r="J8" s="40"/>
      <c r="K8" s="40">
        <v>0</v>
      </c>
      <c r="L8" s="40">
        <f>SUM(I8:K8)</f>
        <v>301537</v>
      </c>
      <c r="M8" s="51">
        <f>L8</f>
        <v>301537</v>
      </c>
    </row>
    <row r="9" spans="1:13">
      <c r="B9" s="2" t="s">
        <v>368</v>
      </c>
      <c r="I9" s="40">
        <v>1874046</v>
      </c>
      <c r="J9" s="40">
        <v>536075</v>
      </c>
      <c r="K9" s="40">
        <v>-1618106</v>
      </c>
      <c r="L9" s="40">
        <f>SUM(I9:K9)</f>
        <v>792015</v>
      </c>
      <c r="M9" s="51">
        <f>L9</f>
        <v>792015</v>
      </c>
    </row>
    <row r="10" spans="1:13">
      <c r="A10" s="1"/>
      <c r="B10" s="1"/>
      <c r="C10" s="1" t="s">
        <v>370</v>
      </c>
      <c r="D10" s="1"/>
      <c r="E10" s="1"/>
      <c r="F10" s="1"/>
      <c r="G10" s="1"/>
      <c r="H10" s="1"/>
      <c r="I10" s="85">
        <f>SUM(I8:I9)</f>
        <v>2175583</v>
      </c>
      <c r="J10" s="85">
        <f>SUM(J8:J9)</f>
        <v>536075</v>
      </c>
      <c r="K10" s="85">
        <f>SUM(K8:K9)</f>
        <v>-1618106</v>
      </c>
      <c r="L10" s="85">
        <f>SUM(L8:L9)</f>
        <v>1093552</v>
      </c>
      <c r="M10" s="34"/>
    </row>
    <row r="11" spans="1:13">
      <c r="M11" s="34"/>
    </row>
    <row r="12" spans="1:13">
      <c r="A12" s="1" t="s">
        <v>371</v>
      </c>
      <c r="M12" s="34"/>
    </row>
    <row r="13" spans="1:13">
      <c r="B13" s="2" t="s">
        <v>392</v>
      </c>
      <c r="I13" s="33">
        <v>8371081</v>
      </c>
      <c r="J13" s="40">
        <v>2426416</v>
      </c>
      <c r="K13" s="40">
        <v>0</v>
      </c>
      <c r="L13" s="40">
        <f>SUM(I13:K13)</f>
        <v>10797497</v>
      </c>
      <c r="M13" s="34"/>
    </row>
    <row r="14" spans="1:13">
      <c r="B14" s="2" t="s">
        <v>298</v>
      </c>
      <c r="I14" s="33">
        <v>-5743040</v>
      </c>
      <c r="J14" s="40">
        <v>-324814</v>
      </c>
      <c r="K14" s="40"/>
      <c r="L14" s="40">
        <f>SUM(I14:K14)</f>
        <v>-6067854</v>
      </c>
      <c r="M14" s="51">
        <f>L13+L14</f>
        <v>4729643</v>
      </c>
    </row>
    <row r="15" spans="1:13">
      <c r="C15" s="1" t="s">
        <v>393</v>
      </c>
      <c r="I15" s="86">
        <f>SUM(I13:I14)</f>
        <v>2628041</v>
      </c>
      <c r="J15" s="86">
        <f>SUM(J13:J14)</f>
        <v>2101602</v>
      </c>
      <c r="K15" s="86">
        <f>SUM(K13:K14)</f>
        <v>0</v>
      </c>
      <c r="L15" s="86">
        <f>SUM(L13:L14)</f>
        <v>4729643</v>
      </c>
      <c r="M15" s="34"/>
    </row>
    <row r="16" spans="1:13">
      <c r="M16" s="34"/>
    </row>
    <row r="17" spans="1:15">
      <c r="B17" s="2" t="s">
        <v>394</v>
      </c>
      <c r="I17" s="40">
        <v>9574881</v>
      </c>
      <c r="J17" s="40">
        <v>1201362</v>
      </c>
      <c r="K17" s="40">
        <v>0</v>
      </c>
      <c r="L17" s="40">
        <f>SUM(I17:K17)</f>
        <v>10776243</v>
      </c>
      <c r="M17" s="51"/>
    </row>
    <row r="18" spans="1:15">
      <c r="B18" s="2" t="s">
        <v>298</v>
      </c>
      <c r="I18" s="73">
        <v>-1497925</v>
      </c>
      <c r="J18" s="73">
        <v>-998348</v>
      </c>
      <c r="K18" s="73"/>
      <c r="L18" s="73">
        <f>SUM(I18:K18)</f>
        <v>-2496273</v>
      </c>
      <c r="M18" s="51">
        <f>L17+L18</f>
        <v>8279970</v>
      </c>
    </row>
    <row r="19" spans="1:15">
      <c r="C19" s="1" t="s">
        <v>395</v>
      </c>
      <c r="I19" s="87">
        <f>SUM(I17:I18)</f>
        <v>8076956</v>
      </c>
      <c r="J19" s="87">
        <f t="shared" ref="J19:L19" si="0">SUM(J17:J18)</f>
        <v>203014</v>
      </c>
      <c r="K19" s="87">
        <f t="shared" si="0"/>
        <v>0</v>
      </c>
      <c r="L19" s="87">
        <f t="shared" si="0"/>
        <v>8279970</v>
      </c>
      <c r="M19" s="51"/>
    </row>
    <row r="20" spans="1:15">
      <c r="I20" s="40"/>
      <c r="J20" s="40"/>
      <c r="K20" s="40"/>
      <c r="L20" s="40"/>
      <c r="M20" s="51"/>
    </row>
    <row r="21" spans="1:15">
      <c r="B21" s="2" t="s">
        <v>396</v>
      </c>
      <c r="I21" s="40">
        <v>3591775</v>
      </c>
      <c r="J21" s="40">
        <v>293414</v>
      </c>
      <c r="K21" s="40">
        <v>-808267</v>
      </c>
      <c r="L21" s="40">
        <f>SUM(I21:K21)</f>
        <v>3076922</v>
      </c>
      <c r="M21" s="51"/>
    </row>
    <row r="22" spans="1:15">
      <c r="B22" s="2" t="s">
        <v>298</v>
      </c>
      <c r="I22" s="2">
        <v>-2309915</v>
      </c>
      <c r="J22" s="40">
        <v>-454051</v>
      </c>
      <c r="K22" s="40">
        <v>808267</v>
      </c>
      <c r="L22" s="40">
        <f>SUM(I22:K22)</f>
        <v>-1955699</v>
      </c>
      <c r="M22" s="51">
        <f>L21+L22</f>
        <v>1121223</v>
      </c>
    </row>
    <row r="23" spans="1:15">
      <c r="A23" s="1"/>
      <c r="C23" s="1" t="s">
        <v>397</v>
      </c>
      <c r="I23" s="76">
        <f>SUM(I21:I22)</f>
        <v>1281860</v>
      </c>
      <c r="J23" s="76">
        <f t="shared" ref="J23:L23" si="1">SUM(J21:J22)</f>
        <v>-160637</v>
      </c>
      <c r="K23" s="76">
        <f t="shared" si="1"/>
        <v>0</v>
      </c>
      <c r="L23" s="76">
        <f t="shared" si="1"/>
        <v>1121223</v>
      </c>
      <c r="M23" s="34"/>
    </row>
    <row r="24" spans="1:15">
      <c r="M24" s="34"/>
    </row>
    <row r="25" spans="1:15">
      <c r="A25" s="1"/>
      <c r="B25" s="34" t="s">
        <v>398</v>
      </c>
      <c r="C25" s="1"/>
      <c r="I25" s="51">
        <v>198739</v>
      </c>
      <c r="J25" s="51">
        <v>17789</v>
      </c>
      <c r="K25" s="51"/>
      <c r="L25" s="51">
        <f>SUM(I25:K25)</f>
        <v>216528</v>
      </c>
      <c r="M25" s="34"/>
    </row>
    <row r="26" spans="1:15">
      <c r="A26" s="1"/>
      <c r="B26" s="34" t="s">
        <v>298</v>
      </c>
      <c r="C26" s="34"/>
      <c r="D26" s="34"/>
      <c r="E26" s="34"/>
      <c r="F26" s="34"/>
      <c r="G26" s="34"/>
      <c r="H26" s="34"/>
      <c r="I26" s="95">
        <v>-125118</v>
      </c>
      <c r="J26" s="95">
        <v>-17504</v>
      </c>
      <c r="K26" s="95"/>
      <c r="L26" s="95">
        <f>SUM(I26:K26)</f>
        <v>-142622</v>
      </c>
      <c r="M26" s="51">
        <f>L25+L26</f>
        <v>73906</v>
      </c>
    </row>
    <row r="27" spans="1:15">
      <c r="A27" s="1"/>
      <c r="B27" s="34"/>
      <c r="C27" s="57" t="s">
        <v>399</v>
      </c>
      <c r="D27" s="34"/>
      <c r="E27" s="34"/>
      <c r="F27" s="34"/>
      <c r="G27" s="34"/>
      <c r="H27" s="34"/>
      <c r="I27" s="78">
        <f>SUM(I25:I26)</f>
        <v>73621</v>
      </c>
      <c r="J27" s="78">
        <f t="shared" ref="J27:L27" si="2">SUM(J25:J26)</f>
        <v>285</v>
      </c>
      <c r="K27" s="78">
        <f t="shared" si="2"/>
        <v>0</v>
      </c>
      <c r="L27" s="78">
        <f t="shared" si="2"/>
        <v>73906</v>
      </c>
      <c r="M27" s="51"/>
    </row>
    <row r="28" spans="1:15">
      <c r="A28" s="1"/>
      <c r="B28" s="34"/>
      <c r="C28" s="34"/>
      <c r="D28" s="34"/>
      <c r="E28" s="34"/>
      <c r="F28" s="34"/>
      <c r="G28" s="34"/>
      <c r="H28" s="34"/>
      <c r="I28" s="34"/>
      <c r="J28" s="34"/>
      <c r="K28" s="34"/>
      <c r="L28" s="34"/>
      <c r="M28" s="34"/>
    </row>
    <row r="29" spans="1:15">
      <c r="A29" s="1" t="s">
        <v>18</v>
      </c>
      <c r="B29" s="57"/>
      <c r="C29" s="34"/>
      <c r="D29" s="34"/>
      <c r="E29" s="34"/>
      <c r="F29" s="34"/>
      <c r="G29" s="34"/>
      <c r="H29" s="34"/>
      <c r="I29" s="77">
        <f>I27+I23+I19+I15</f>
        <v>12060478</v>
      </c>
      <c r="J29" s="77">
        <f t="shared" ref="J29:L29" si="3">J27+J23+J19+J15</f>
        <v>2144264</v>
      </c>
      <c r="K29" s="77">
        <f t="shared" si="3"/>
        <v>0</v>
      </c>
      <c r="L29" s="77">
        <f t="shared" si="3"/>
        <v>14204742</v>
      </c>
      <c r="M29" s="34"/>
      <c r="N29" t="s">
        <v>400</v>
      </c>
    </row>
    <row r="30" spans="1:15">
      <c r="B30" s="57"/>
      <c r="C30" s="34"/>
      <c r="D30" s="34"/>
      <c r="E30" s="34"/>
      <c r="F30" s="34"/>
      <c r="G30" s="34"/>
      <c r="H30" s="34"/>
      <c r="I30" s="34"/>
      <c r="J30" s="34"/>
      <c r="K30" s="34"/>
      <c r="L30" s="34"/>
      <c r="M30" s="34"/>
    </row>
    <row r="31" spans="1:15" ht="19.5" thickBot="1">
      <c r="A31" s="1" t="s">
        <v>401</v>
      </c>
      <c r="B31" s="1"/>
      <c r="C31" s="34"/>
      <c r="D31" s="34"/>
      <c r="E31" s="34"/>
      <c r="F31" s="34"/>
      <c r="G31" s="34"/>
      <c r="H31" s="34"/>
      <c r="I31" s="89">
        <f>I29+I10</f>
        <v>14236061</v>
      </c>
      <c r="J31" s="89">
        <f t="shared" ref="J31:L31" si="4">J29+J10</f>
        <v>2680339</v>
      </c>
      <c r="K31" s="89">
        <f t="shared" si="4"/>
        <v>-1618106</v>
      </c>
      <c r="L31" s="89">
        <f t="shared" si="4"/>
        <v>15298294</v>
      </c>
      <c r="M31" s="51">
        <f>SUM(M8:M29)</f>
        <v>15298294</v>
      </c>
      <c r="O31" s="111"/>
    </row>
    <row r="32" spans="1:15">
      <c r="A32" s="1"/>
      <c r="B32" s="1"/>
      <c r="C32" s="34"/>
      <c r="D32" s="34"/>
      <c r="E32" s="34"/>
      <c r="F32" s="34"/>
      <c r="G32" s="34"/>
      <c r="H32" s="34"/>
      <c r="I32" s="78"/>
      <c r="J32" s="78"/>
      <c r="K32" s="78"/>
      <c r="L32" s="78"/>
      <c r="M32" s="51"/>
    </row>
    <row r="33" spans="1:13">
      <c r="A33" s="1" t="s">
        <v>402</v>
      </c>
      <c r="B33" s="1"/>
      <c r="C33" s="34"/>
      <c r="D33" s="34"/>
      <c r="E33" s="34"/>
      <c r="F33" s="34"/>
      <c r="G33" s="34"/>
      <c r="H33" s="34"/>
      <c r="I33" s="78"/>
      <c r="J33" s="78"/>
      <c r="K33" s="78"/>
      <c r="L33" s="78"/>
      <c r="M33" s="51"/>
    </row>
    <row r="34" spans="1:13">
      <c r="A34" s="1" t="s">
        <v>403</v>
      </c>
      <c r="B34" s="1"/>
      <c r="C34" s="34"/>
      <c r="D34" s="34"/>
      <c r="E34" s="34"/>
      <c r="F34" s="34"/>
      <c r="G34" s="34"/>
      <c r="H34" s="34"/>
      <c r="I34" s="78"/>
      <c r="J34" s="78"/>
      <c r="K34" s="78"/>
      <c r="L34" s="78"/>
      <c r="M34" s="51"/>
    </row>
    <row r="35" spans="1:13">
      <c r="A35" s="1"/>
      <c r="B35" s="2" t="s">
        <v>146</v>
      </c>
      <c r="C35" s="34"/>
      <c r="D35" s="34"/>
      <c r="E35" s="34"/>
      <c r="F35" s="34"/>
      <c r="G35" s="34"/>
      <c r="H35" s="34"/>
      <c r="I35" s="51">
        <v>1205548</v>
      </c>
      <c r="J35" s="51"/>
      <c r="K35" s="51"/>
      <c r="L35" s="51">
        <f>SUM(I34:I35)</f>
        <v>1205548</v>
      </c>
      <c r="M35" s="117"/>
    </row>
    <row r="36" spans="1:13">
      <c r="A36" s="1"/>
      <c r="B36" s="2" t="s">
        <v>404</v>
      </c>
      <c r="C36" s="34"/>
      <c r="D36" s="34"/>
      <c r="E36" s="34"/>
      <c r="F36" s="34"/>
      <c r="G36" s="34"/>
      <c r="H36" s="34"/>
      <c r="I36" s="95">
        <v>-850557</v>
      </c>
      <c r="J36" s="95">
        <v>-92111</v>
      </c>
      <c r="K36" s="95"/>
      <c r="L36" s="95">
        <f>SUM(I36:K36)</f>
        <v>-942668</v>
      </c>
      <c r="M36" s="117">
        <f>SUM(L35+L36)</f>
        <v>262880</v>
      </c>
    </row>
    <row r="37" spans="1:13">
      <c r="A37" s="1"/>
      <c r="B37" s="1"/>
      <c r="C37" s="34" t="s">
        <v>405</v>
      </c>
      <c r="D37" s="34"/>
      <c r="E37" s="34"/>
      <c r="F37" s="34"/>
      <c r="G37" s="34"/>
      <c r="H37" s="34"/>
      <c r="I37" s="51">
        <f>SUM(I35:I36)</f>
        <v>354991</v>
      </c>
      <c r="J37" s="51">
        <f t="shared" ref="J37:L37" si="5">SUM(J35:J36)</f>
        <v>-92111</v>
      </c>
      <c r="K37" s="51">
        <f t="shared" si="5"/>
        <v>0</v>
      </c>
      <c r="L37" s="51">
        <f t="shared" si="5"/>
        <v>262880</v>
      </c>
      <c r="M37" s="117"/>
    </row>
    <row r="38" spans="1:13">
      <c r="A38" s="1"/>
      <c r="B38" s="1"/>
      <c r="C38" s="34"/>
      <c r="D38" s="34"/>
      <c r="E38" s="34"/>
      <c r="F38" s="34"/>
      <c r="G38" s="34"/>
      <c r="H38" s="34"/>
      <c r="I38" s="78"/>
      <c r="J38" s="78"/>
      <c r="K38" s="78"/>
      <c r="L38" s="78"/>
      <c r="M38" s="117"/>
    </row>
    <row r="39" spans="1:13">
      <c r="A39" s="1"/>
      <c r="B39" s="1"/>
      <c r="C39" s="57" t="s">
        <v>310</v>
      </c>
      <c r="D39" s="34"/>
      <c r="E39" s="34"/>
      <c r="F39" s="34"/>
      <c r="G39" s="34"/>
      <c r="H39" s="34"/>
      <c r="I39" s="77">
        <f t="shared" ref="I39:K39" si="6">SUM(I37)</f>
        <v>354991</v>
      </c>
      <c r="J39" s="77">
        <f t="shared" si="6"/>
        <v>-92111</v>
      </c>
      <c r="K39" s="77">
        <f t="shared" si="6"/>
        <v>0</v>
      </c>
      <c r="L39" s="77">
        <f>SUM(L37)</f>
        <v>262880</v>
      </c>
      <c r="M39" s="117">
        <f>M36</f>
        <v>262880</v>
      </c>
    </row>
    <row r="40" spans="1:13">
      <c r="A40" s="1"/>
      <c r="B40" s="1"/>
      <c r="C40" s="34"/>
      <c r="D40" s="34"/>
      <c r="E40" s="34"/>
      <c r="F40" s="34"/>
      <c r="G40" s="34"/>
      <c r="H40" s="34"/>
      <c r="I40" s="78"/>
      <c r="J40" s="78"/>
      <c r="K40" s="78"/>
      <c r="L40" s="78"/>
      <c r="M40" s="117"/>
    </row>
    <row r="41" spans="1:13">
      <c r="A41" s="1" t="s">
        <v>406</v>
      </c>
      <c r="B41" s="1"/>
      <c r="C41" s="34"/>
      <c r="D41" s="34"/>
      <c r="E41" s="34"/>
      <c r="F41" s="34"/>
      <c r="G41" s="34"/>
      <c r="H41" s="34"/>
      <c r="I41" s="78"/>
      <c r="J41" s="78"/>
      <c r="K41" s="78"/>
      <c r="L41" s="78"/>
      <c r="M41" s="117"/>
    </row>
    <row r="42" spans="1:13">
      <c r="A42" s="1"/>
      <c r="B42" s="1"/>
      <c r="C42" s="34" t="s">
        <v>114</v>
      </c>
      <c r="D42" s="34"/>
      <c r="E42" s="34"/>
      <c r="F42" s="34"/>
      <c r="G42" s="34"/>
      <c r="H42" s="34"/>
      <c r="I42" s="77">
        <f>SUM(I39)</f>
        <v>354991</v>
      </c>
      <c r="J42" s="77">
        <f t="shared" ref="J42:L42" si="7">SUM(J39)</f>
        <v>-92111</v>
      </c>
      <c r="K42" s="77">
        <f t="shared" si="7"/>
        <v>0</v>
      </c>
      <c r="L42" s="77">
        <f t="shared" si="7"/>
        <v>262880</v>
      </c>
      <c r="M42" s="117"/>
    </row>
    <row r="43" spans="1:13">
      <c r="A43" s="1" t="s">
        <v>407</v>
      </c>
      <c r="B43" s="1"/>
      <c r="C43" s="34"/>
      <c r="D43" s="34"/>
      <c r="E43" s="34"/>
      <c r="F43" s="34"/>
      <c r="G43" s="34"/>
      <c r="H43" s="34"/>
      <c r="I43" s="78"/>
      <c r="J43" s="78"/>
      <c r="K43" s="78"/>
      <c r="L43" s="78"/>
      <c r="M43" s="112"/>
    </row>
    <row r="44" spans="1:13">
      <c r="A44" s="1"/>
      <c r="B44" s="1"/>
      <c r="C44" s="34" t="s">
        <v>114</v>
      </c>
      <c r="D44" s="34"/>
      <c r="E44" s="34"/>
      <c r="F44" s="34"/>
      <c r="G44" s="34"/>
      <c r="H44" s="34"/>
      <c r="I44" s="77">
        <f>SUM(I31+I42)</f>
        <v>14591052</v>
      </c>
      <c r="J44" s="77">
        <f t="shared" ref="J44:L44" si="8">SUM(J31+J42)</f>
        <v>2588228</v>
      </c>
      <c r="K44" s="77">
        <f t="shared" si="8"/>
        <v>-1618106</v>
      </c>
      <c r="L44" s="77">
        <f t="shared" si="8"/>
        <v>15561174</v>
      </c>
      <c r="M44" s="117">
        <f>SUM(M36+M26+M22+M18+M14+M9+M8)</f>
        <v>15561174</v>
      </c>
    </row>
    <row r="45" spans="1:13">
      <c r="M45" s="111"/>
    </row>
  </sheetData>
  <mergeCells count="3">
    <mergeCell ref="D1:I1"/>
    <mergeCell ref="D2:I2"/>
    <mergeCell ref="D3:I3"/>
  </mergeCells>
  <pageMargins left="0.7" right="0.7" top="0.75" bottom="0.75" header="0.3" footer="0.3"/>
  <pageSetup orientation="portrait"/>
  <extLst>
    <ext xmlns:mx="http://schemas.microsoft.com/office/mac/excel/2008/main" uri="{64002731-A6B0-56B0-2670-7721B7C09600}">
      <mx:PLV Mode="0" OnePage="0" WScale="0"/>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M23"/>
  <sheetViews>
    <sheetView workbookViewId="0">
      <selection activeCell="A16" sqref="A16"/>
    </sheetView>
  </sheetViews>
  <sheetFormatPr defaultColWidth="8.85546875" defaultRowHeight="15"/>
  <cols>
    <col min="9" max="9" width="15.140625" bestFit="1" customWidth="1"/>
    <col min="10" max="10" width="14.28515625" bestFit="1" customWidth="1"/>
    <col min="11" max="11" width="13.7109375" bestFit="1" customWidth="1"/>
    <col min="12" max="12" width="15.140625" bestFit="1" customWidth="1"/>
    <col min="13" max="13" width="20.42578125" customWidth="1"/>
  </cols>
  <sheetData>
    <row r="1" spans="1:13" ht="18.75">
      <c r="A1" s="2"/>
      <c r="B1" s="2"/>
      <c r="C1" s="2"/>
      <c r="D1" s="136" t="s">
        <v>408</v>
      </c>
      <c r="E1" s="136"/>
      <c r="F1" s="136"/>
      <c r="G1" s="136"/>
      <c r="H1" s="136"/>
      <c r="I1" s="136"/>
      <c r="J1" s="2"/>
      <c r="K1" s="2"/>
      <c r="L1" s="2"/>
    </row>
    <row r="2" spans="1:13" ht="18.75">
      <c r="A2" s="2"/>
      <c r="B2" s="2"/>
      <c r="C2" s="2"/>
      <c r="D2" s="136" t="s">
        <v>1</v>
      </c>
      <c r="E2" s="136"/>
      <c r="F2" s="136"/>
      <c r="G2" s="136"/>
      <c r="H2" s="136"/>
      <c r="I2" s="136"/>
      <c r="J2" s="2"/>
      <c r="K2" s="2"/>
      <c r="L2" s="2"/>
    </row>
    <row r="3" spans="1:13" ht="18.75">
      <c r="A3" s="2"/>
      <c r="B3" s="2"/>
      <c r="C3" s="2"/>
      <c r="D3" s="136" t="s">
        <v>2</v>
      </c>
      <c r="E3" s="136"/>
      <c r="F3" s="136"/>
      <c r="G3" s="136"/>
      <c r="H3" s="136"/>
      <c r="I3" s="136"/>
      <c r="J3" s="2"/>
      <c r="K3" s="2"/>
      <c r="L3" s="2"/>
    </row>
    <row r="4" spans="1:13" ht="18.75">
      <c r="A4" s="2"/>
      <c r="B4" s="2"/>
      <c r="C4" s="2"/>
      <c r="D4" s="69"/>
      <c r="E4" s="69"/>
      <c r="F4" s="69"/>
      <c r="G4" s="69"/>
      <c r="H4" s="69"/>
      <c r="I4" s="69"/>
      <c r="J4" s="2"/>
      <c r="K4" s="2"/>
      <c r="L4" s="2"/>
    </row>
    <row r="5" spans="1:13" ht="56.25">
      <c r="A5" s="2"/>
      <c r="B5" s="2"/>
      <c r="C5" s="2"/>
      <c r="D5" s="2"/>
      <c r="E5" s="2"/>
      <c r="F5" s="2"/>
      <c r="G5" s="2"/>
      <c r="H5" s="2"/>
      <c r="I5" s="71" t="s">
        <v>409</v>
      </c>
      <c r="J5" s="71" t="s">
        <v>45</v>
      </c>
      <c r="K5" s="71" t="s">
        <v>46</v>
      </c>
      <c r="L5" s="71" t="s">
        <v>410</v>
      </c>
      <c r="M5" s="71" t="s">
        <v>7</v>
      </c>
    </row>
    <row r="6" spans="1:13" ht="18.75">
      <c r="A6" s="1"/>
      <c r="B6" s="2"/>
      <c r="C6" s="2"/>
      <c r="D6" s="2"/>
      <c r="E6" s="2"/>
      <c r="F6" s="2"/>
      <c r="G6" s="2"/>
      <c r="H6" s="2"/>
      <c r="I6" s="79"/>
      <c r="J6" s="79"/>
      <c r="K6" s="79"/>
      <c r="L6" s="79"/>
    </row>
    <row r="7" spans="1:13" ht="18.75">
      <c r="A7" s="1"/>
      <c r="B7" s="1"/>
      <c r="C7" s="1"/>
      <c r="D7" s="1"/>
      <c r="E7" s="1"/>
      <c r="F7" s="1"/>
      <c r="G7" s="2"/>
      <c r="H7" s="2"/>
      <c r="I7" s="2"/>
      <c r="J7" s="2"/>
      <c r="K7" s="2"/>
      <c r="L7" s="2"/>
    </row>
    <row r="8" spans="1:13" ht="18.75">
      <c r="A8" s="1" t="s">
        <v>9</v>
      </c>
      <c r="B8" s="1"/>
      <c r="C8" s="1"/>
      <c r="D8" s="1"/>
      <c r="E8" s="1"/>
      <c r="F8" s="1"/>
      <c r="G8" s="2"/>
      <c r="H8" s="2"/>
      <c r="I8" s="40"/>
      <c r="J8" s="40"/>
      <c r="K8" s="40"/>
      <c r="L8" s="40"/>
    </row>
    <row r="9" spans="1:13" ht="18.75">
      <c r="A9" s="2"/>
      <c r="B9" s="2" t="s">
        <v>10</v>
      </c>
      <c r="C9" s="2"/>
      <c r="D9" s="2"/>
      <c r="E9" s="2"/>
      <c r="F9" s="2"/>
      <c r="G9" s="2"/>
      <c r="H9" s="2"/>
      <c r="I9" s="40">
        <v>300273</v>
      </c>
      <c r="J9" s="40">
        <v>11250</v>
      </c>
      <c r="K9" s="40"/>
      <c r="L9" s="40">
        <f>SUM(I9:K9)</f>
        <v>311523</v>
      </c>
      <c r="M9" s="51">
        <f>L9</f>
        <v>311523</v>
      </c>
    </row>
    <row r="10" spans="1:13" ht="18.75">
      <c r="A10" s="2"/>
      <c r="B10" s="2"/>
      <c r="C10" s="2"/>
      <c r="D10" s="2"/>
      <c r="E10" s="2"/>
      <c r="F10" s="2"/>
      <c r="G10" s="2"/>
      <c r="H10" s="2"/>
      <c r="I10" s="2"/>
      <c r="J10" s="2"/>
      <c r="K10" s="2"/>
      <c r="L10" s="2"/>
      <c r="M10" s="34"/>
    </row>
    <row r="11" spans="1:13" ht="18.75">
      <c r="A11" s="1" t="s">
        <v>371</v>
      </c>
      <c r="B11" s="2"/>
      <c r="C11" s="2"/>
      <c r="D11" s="2"/>
      <c r="E11" s="2"/>
      <c r="F11" s="2"/>
      <c r="G11" s="2"/>
      <c r="H11" s="2"/>
      <c r="I11" s="2"/>
      <c r="J11" s="2"/>
      <c r="K11" s="2"/>
      <c r="L11" s="2"/>
      <c r="M11" s="34"/>
    </row>
    <row r="12" spans="1:13" ht="18.75">
      <c r="A12" s="2"/>
      <c r="B12" s="2" t="s">
        <v>14</v>
      </c>
      <c r="C12" s="2"/>
      <c r="D12" s="2"/>
      <c r="E12" s="2"/>
      <c r="F12" s="2"/>
      <c r="G12" s="2"/>
      <c r="H12" s="2"/>
      <c r="I12" s="2">
        <v>2957411</v>
      </c>
      <c r="J12" s="40">
        <v>149370</v>
      </c>
      <c r="K12" s="40"/>
      <c r="L12" s="40">
        <f>SUM(I12:K12)</f>
        <v>3106781</v>
      </c>
      <c r="M12" s="34"/>
    </row>
    <row r="13" spans="1:13" ht="18.75">
      <c r="A13" s="2"/>
      <c r="B13" s="2" t="s">
        <v>15</v>
      </c>
      <c r="C13" s="2"/>
      <c r="D13" s="2"/>
      <c r="E13" s="2"/>
      <c r="F13" s="2"/>
      <c r="G13" s="2"/>
      <c r="H13" s="2"/>
      <c r="I13" s="2">
        <v>3861837</v>
      </c>
      <c r="J13" s="40">
        <v>316655</v>
      </c>
      <c r="K13" s="40">
        <v>-202617</v>
      </c>
      <c r="L13" s="40">
        <f>SUM(I13:K13)</f>
        <v>3975875</v>
      </c>
      <c r="M13" s="34"/>
    </row>
    <row r="14" spans="1:13" ht="18.75">
      <c r="A14" s="2"/>
      <c r="B14" s="2"/>
      <c r="C14" s="1" t="s">
        <v>18</v>
      </c>
      <c r="D14" s="2"/>
      <c r="E14" s="2"/>
      <c r="F14" s="2"/>
      <c r="G14" s="2"/>
      <c r="H14" s="2"/>
      <c r="I14" s="86">
        <f>SUM(I12:I13)</f>
        <v>6819248</v>
      </c>
      <c r="J14" s="86">
        <f>SUM(J12:J13)</f>
        <v>466025</v>
      </c>
      <c r="K14" s="86">
        <f>SUM(K12:K13)</f>
        <v>-202617</v>
      </c>
      <c r="L14" s="86">
        <f>SUM(L12:L13)</f>
        <v>7082656</v>
      </c>
      <c r="M14" s="34"/>
    </row>
    <row r="15" spans="1:13" ht="18.75">
      <c r="A15" s="2"/>
      <c r="B15" s="2"/>
      <c r="C15" s="2"/>
      <c r="D15" s="2"/>
      <c r="E15" s="2"/>
      <c r="F15" s="2"/>
      <c r="G15" s="2"/>
      <c r="H15" s="2"/>
      <c r="I15" s="2"/>
      <c r="J15" s="2"/>
      <c r="K15" s="2"/>
      <c r="L15" s="2"/>
      <c r="M15" s="34"/>
    </row>
    <row r="16" spans="1:13" ht="18.75">
      <c r="A16" s="1" t="s">
        <v>376</v>
      </c>
      <c r="B16" s="2"/>
      <c r="C16" s="2"/>
      <c r="D16" s="2"/>
      <c r="E16" s="2"/>
      <c r="F16" s="2"/>
      <c r="G16" s="2"/>
      <c r="H16" s="2"/>
      <c r="I16" s="2"/>
      <c r="J16" s="40"/>
      <c r="K16" s="40"/>
      <c r="L16" s="40"/>
      <c r="M16" s="34"/>
    </row>
    <row r="17" spans="1:13" ht="18.75">
      <c r="A17" s="2"/>
      <c r="B17" s="2" t="s">
        <v>14</v>
      </c>
      <c r="C17" s="2"/>
      <c r="D17" s="2"/>
      <c r="E17" s="2"/>
      <c r="F17" s="2"/>
      <c r="G17" s="2"/>
      <c r="H17" s="2"/>
      <c r="I17" s="40">
        <v>1387908</v>
      </c>
      <c r="J17" s="40">
        <v>39885</v>
      </c>
      <c r="K17" s="40"/>
      <c r="L17" s="40">
        <f>SUM(I17:K17)</f>
        <v>1427793</v>
      </c>
      <c r="M17" s="51">
        <f>L12-L17</f>
        <v>1678988</v>
      </c>
    </row>
    <row r="18" spans="1:13" ht="18.75">
      <c r="A18" s="2"/>
      <c r="B18" s="2" t="s">
        <v>101</v>
      </c>
      <c r="C18" s="2"/>
      <c r="D18" s="2"/>
      <c r="E18" s="2"/>
      <c r="F18" s="2"/>
      <c r="G18" s="2"/>
      <c r="H18" s="2"/>
      <c r="I18" s="40">
        <v>3293593</v>
      </c>
      <c r="J18" s="40">
        <v>249341</v>
      </c>
      <c r="K18" s="40">
        <v>-196350</v>
      </c>
      <c r="L18" s="40">
        <f>SUM(I18:K18)</f>
        <v>3346584</v>
      </c>
      <c r="M18" s="51">
        <f>L13-L18</f>
        <v>629291</v>
      </c>
    </row>
    <row r="19" spans="1:13" ht="18.75">
      <c r="A19" s="1"/>
      <c r="B19" s="2"/>
      <c r="C19" s="1" t="s">
        <v>20</v>
      </c>
      <c r="D19" s="2"/>
      <c r="E19" s="2"/>
      <c r="F19" s="2"/>
      <c r="G19" s="2"/>
      <c r="H19" s="2"/>
      <c r="I19" s="76">
        <f>SUM(I17:I18)</f>
        <v>4681501</v>
      </c>
      <c r="J19" s="76">
        <f>SUM(J17:J18)</f>
        <v>289226</v>
      </c>
      <c r="K19" s="76">
        <f>SUM(K17:K18)</f>
        <v>-196350</v>
      </c>
      <c r="L19" s="76">
        <f>SUM(L17:L18)</f>
        <v>4774377</v>
      </c>
      <c r="M19" s="34"/>
    </row>
    <row r="20" spans="1:13" ht="18.75">
      <c r="A20" s="2"/>
      <c r="B20" s="2"/>
      <c r="C20" s="2"/>
      <c r="D20" s="2"/>
      <c r="E20" s="2"/>
      <c r="F20" s="2"/>
      <c r="G20" s="2"/>
      <c r="H20" s="2"/>
      <c r="I20" s="2"/>
      <c r="J20" s="2"/>
      <c r="K20" s="2"/>
      <c r="L20" s="2"/>
      <c r="M20" s="34"/>
    </row>
    <row r="21" spans="1:13" ht="18.75">
      <c r="A21" s="1" t="s">
        <v>411</v>
      </c>
      <c r="B21" s="2"/>
      <c r="C21" s="1"/>
      <c r="D21" s="2"/>
      <c r="E21" s="2"/>
      <c r="F21" s="2"/>
      <c r="G21" s="2"/>
      <c r="H21" s="2"/>
      <c r="I21" s="76">
        <f>I14-I19</f>
        <v>2137747</v>
      </c>
      <c r="J21" s="76">
        <f t="shared" ref="J21:K21" si="0">J14-J19</f>
        <v>176799</v>
      </c>
      <c r="K21" s="76">
        <f t="shared" si="0"/>
        <v>-6267</v>
      </c>
      <c r="L21" s="76">
        <f>L14-L19</f>
        <v>2308279</v>
      </c>
      <c r="M21" s="51"/>
    </row>
    <row r="23" spans="1:13" s="34" customFormat="1" ht="18.75">
      <c r="A23" s="34" t="s">
        <v>412</v>
      </c>
      <c r="I23" s="109">
        <f>SUM(I9+I21)</f>
        <v>2438020</v>
      </c>
      <c r="J23" s="109">
        <f t="shared" ref="J23:L23" si="1">SUM(J9+J21)</f>
        <v>188049</v>
      </c>
      <c r="K23" s="109">
        <f t="shared" si="1"/>
        <v>-6267</v>
      </c>
      <c r="L23" s="109">
        <f t="shared" si="1"/>
        <v>2619802</v>
      </c>
      <c r="M23" s="51">
        <f>SUM(M8:M19)</f>
        <v>2619802</v>
      </c>
    </row>
  </sheetData>
  <mergeCells count="3">
    <mergeCell ref="D1:I1"/>
    <mergeCell ref="D2:I2"/>
    <mergeCell ref="D3:I3"/>
  </mergeCells>
  <pageMargins left="0.7" right="0.7" top="0.75" bottom="0.75" header="0.3" footer="0.3"/>
  <extLst>
    <ext xmlns:mx="http://schemas.microsoft.com/office/mac/excel/2008/main" uri="{64002731-A6B0-56B0-2670-7721B7C09600}">
      <mx:PLV Mode="0" OnePage="0" WScale="0"/>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M21"/>
  <sheetViews>
    <sheetView workbookViewId="0">
      <selection activeCell="I12" sqref="I12"/>
    </sheetView>
  </sheetViews>
  <sheetFormatPr defaultColWidth="8.85546875" defaultRowHeight="15"/>
  <cols>
    <col min="9" max="9" width="20" customWidth="1"/>
    <col min="10" max="10" width="14.28515625" bestFit="1" customWidth="1"/>
    <col min="11" max="11" width="14.85546875" customWidth="1"/>
    <col min="12" max="12" width="17" customWidth="1"/>
    <col min="13" max="13" width="20.42578125" customWidth="1"/>
  </cols>
  <sheetData>
    <row r="1" spans="1:13" ht="18.75">
      <c r="A1" s="2"/>
      <c r="B1" s="2"/>
      <c r="C1" s="2"/>
      <c r="D1" s="136" t="s">
        <v>413</v>
      </c>
      <c r="E1" s="136"/>
      <c r="F1" s="136"/>
      <c r="G1" s="136"/>
      <c r="H1" s="136"/>
      <c r="I1" s="136"/>
      <c r="J1" s="2"/>
      <c r="K1" s="2"/>
      <c r="L1" s="2"/>
    </row>
    <row r="2" spans="1:13" ht="18.75">
      <c r="A2" s="2"/>
      <c r="B2" s="2"/>
      <c r="C2" s="2"/>
      <c r="D2" s="136" t="s">
        <v>1</v>
      </c>
      <c r="E2" s="136"/>
      <c r="F2" s="136"/>
      <c r="G2" s="136"/>
      <c r="H2" s="136"/>
      <c r="I2" s="136"/>
      <c r="J2" s="2"/>
      <c r="K2" s="2"/>
      <c r="L2" s="2"/>
    </row>
    <row r="3" spans="1:13" ht="18.75">
      <c r="A3" s="2"/>
      <c r="B3" s="2"/>
      <c r="C3" s="2"/>
      <c r="D3" s="136" t="s">
        <v>2</v>
      </c>
      <c r="E3" s="136"/>
      <c r="F3" s="136"/>
      <c r="G3" s="136"/>
      <c r="H3" s="136"/>
      <c r="I3" s="136"/>
      <c r="J3" s="2"/>
      <c r="K3" s="2"/>
      <c r="L3" s="2"/>
    </row>
    <row r="4" spans="1:13" ht="18.75">
      <c r="A4" s="2"/>
      <c r="B4" s="2"/>
      <c r="C4" s="2"/>
      <c r="D4" s="69"/>
      <c r="E4" s="69"/>
      <c r="F4" s="69"/>
      <c r="G4" s="69"/>
      <c r="H4" s="69"/>
      <c r="I4" s="69"/>
      <c r="J4" s="2"/>
      <c r="K4" s="2"/>
      <c r="L4" s="2"/>
    </row>
    <row r="5" spans="1:13" ht="37.5">
      <c r="A5" s="2"/>
      <c r="B5" s="2"/>
      <c r="C5" s="2"/>
      <c r="D5" s="2"/>
      <c r="E5" s="2"/>
      <c r="F5" s="2"/>
      <c r="G5" s="2"/>
      <c r="H5" s="2"/>
      <c r="I5" s="71" t="s">
        <v>3</v>
      </c>
      <c r="J5" s="71" t="s">
        <v>45</v>
      </c>
      <c r="K5" s="71" t="s">
        <v>366</v>
      </c>
      <c r="L5" s="71" t="s">
        <v>6</v>
      </c>
      <c r="M5" s="71" t="s">
        <v>7</v>
      </c>
    </row>
    <row r="6" spans="1:13" ht="18.75">
      <c r="A6" s="2"/>
      <c r="B6" s="2" t="s">
        <v>10</v>
      </c>
      <c r="C6" s="2"/>
      <c r="D6" s="2"/>
      <c r="E6" s="2"/>
      <c r="F6" s="2"/>
      <c r="G6" s="2"/>
      <c r="H6" s="2"/>
      <c r="I6" s="40">
        <v>639576</v>
      </c>
      <c r="J6" s="40"/>
      <c r="K6" s="40"/>
      <c r="L6" s="40">
        <f>SUM(I6:K6)</f>
        <v>639576</v>
      </c>
      <c r="M6" s="51">
        <f>L6</f>
        <v>639576</v>
      </c>
    </row>
    <row r="7" spans="1:13" ht="18.75">
      <c r="A7" s="2"/>
      <c r="B7" s="2" t="s">
        <v>11</v>
      </c>
      <c r="C7" s="2"/>
      <c r="D7" s="2"/>
      <c r="E7" s="2"/>
      <c r="F7" s="2"/>
      <c r="G7" s="2"/>
      <c r="H7" s="2"/>
      <c r="I7" s="2">
        <v>540422</v>
      </c>
      <c r="J7" s="2">
        <v>2289249</v>
      </c>
      <c r="K7" s="2">
        <v>-547878</v>
      </c>
      <c r="L7" s="40">
        <f>SUM(I7:K7)</f>
        <v>2281793</v>
      </c>
      <c r="M7" s="51">
        <f>L7</f>
        <v>2281793</v>
      </c>
    </row>
    <row r="8" spans="1:13" ht="18.75">
      <c r="A8" s="2"/>
      <c r="B8" s="2" t="s">
        <v>32</v>
      </c>
      <c r="C8" s="2"/>
      <c r="D8" s="2"/>
      <c r="E8" s="2"/>
      <c r="F8" s="2"/>
      <c r="G8" s="2"/>
      <c r="H8" s="2"/>
      <c r="I8" s="2">
        <v>2793368</v>
      </c>
      <c r="J8" s="40">
        <v>547878</v>
      </c>
      <c r="K8" s="40">
        <v>-1865</v>
      </c>
      <c r="L8" s="40">
        <v>3339381</v>
      </c>
      <c r="M8" s="34"/>
    </row>
    <row r="9" spans="1:13" ht="18.75">
      <c r="A9" s="2"/>
      <c r="B9" s="2" t="s">
        <v>15</v>
      </c>
      <c r="C9" s="2"/>
      <c r="D9" s="2"/>
      <c r="E9" s="2"/>
      <c r="F9" s="2"/>
      <c r="G9" s="2"/>
      <c r="H9" s="2"/>
      <c r="I9" s="2">
        <v>5970950</v>
      </c>
      <c r="J9" s="40">
        <v>206973</v>
      </c>
      <c r="K9" s="40"/>
      <c r="L9" s="40">
        <f>SUM(I9:K9)</f>
        <v>6177923</v>
      </c>
      <c r="M9" s="34"/>
    </row>
    <row r="10" spans="1:13" ht="18.75">
      <c r="A10" s="2"/>
      <c r="B10" s="2" t="s">
        <v>29</v>
      </c>
      <c r="C10" s="2"/>
      <c r="D10" s="2"/>
      <c r="E10" s="2"/>
      <c r="F10" s="2"/>
      <c r="G10" s="2"/>
      <c r="H10" s="2"/>
      <c r="I10" s="2">
        <v>92022</v>
      </c>
      <c r="J10" s="40">
        <v>1889</v>
      </c>
      <c r="K10" s="40">
        <v>-350</v>
      </c>
      <c r="L10" s="40">
        <f>SUM(I10:K10)</f>
        <v>93561</v>
      </c>
      <c r="M10" s="34"/>
    </row>
    <row r="11" spans="1:13" ht="18.75">
      <c r="A11" s="2"/>
      <c r="B11" s="2" t="s">
        <v>414</v>
      </c>
      <c r="C11" s="2"/>
      <c r="D11" s="2"/>
      <c r="E11" s="2"/>
      <c r="F11" s="2"/>
      <c r="G11" s="2"/>
      <c r="H11" s="2"/>
      <c r="I11" s="2">
        <v>66139545</v>
      </c>
      <c r="J11" s="40">
        <v>268800</v>
      </c>
      <c r="K11" s="40"/>
      <c r="L11" s="40">
        <f>SUM(I11:K11)</f>
        <v>66408345</v>
      </c>
      <c r="M11" s="34"/>
    </row>
    <row r="12" spans="1:13" ht="18.75">
      <c r="A12" s="2"/>
      <c r="B12" s="2"/>
      <c r="C12" s="1" t="s">
        <v>56</v>
      </c>
      <c r="D12" s="2"/>
      <c r="E12" s="2"/>
      <c r="F12" s="2"/>
      <c r="G12" s="2"/>
      <c r="H12" s="2"/>
      <c r="I12" s="86">
        <f>SUM(I6:I11)</f>
        <v>76175883</v>
      </c>
      <c r="J12" s="86">
        <f t="shared" ref="J12:L12" si="0">SUM(J6:J11)</f>
        <v>3314789</v>
      </c>
      <c r="K12" s="86">
        <f t="shared" si="0"/>
        <v>-550093</v>
      </c>
      <c r="L12" s="86">
        <f t="shared" si="0"/>
        <v>78940579</v>
      </c>
      <c r="M12" s="34"/>
    </row>
    <row r="13" spans="1:13" ht="18.75">
      <c r="A13" s="2"/>
      <c r="B13" s="2"/>
      <c r="C13" s="2"/>
      <c r="D13" s="2"/>
      <c r="E13" s="2"/>
      <c r="F13" s="2"/>
      <c r="G13" s="2"/>
      <c r="H13" s="2"/>
      <c r="I13" s="2"/>
      <c r="J13" s="2"/>
      <c r="K13" s="2"/>
      <c r="L13" s="2"/>
      <c r="M13" s="34"/>
    </row>
    <row r="14" spans="1:13" ht="18.75">
      <c r="A14" s="1" t="s">
        <v>415</v>
      </c>
      <c r="B14" s="2"/>
      <c r="C14" s="2"/>
      <c r="D14" s="2"/>
      <c r="E14" s="2"/>
      <c r="F14" s="2"/>
      <c r="G14" s="2"/>
      <c r="H14" s="2"/>
      <c r="I14" s="2"/>
      <c r="J14" s="40"/>
      <c r="K14" s="40"/>
      <c r="L14" s="40"/>
      <c r="M14" s="34"/>
    </row>
    <row r="15" spans="1:13" ht="18.75">
      <c r="A15" s="2"/>
      <c r="B15" s="2" t="s">
        <v>32</v>
      </c>
      <c r="C15" s="2"/>
      <c r="D15" s="2"/>
      <c r="E15" s="2"/>
      <c r="F15" s="2"/>
      <c r="G15" s="2"/>
      <c r="H15" s="2"/>
      <c r="I15" s="40">
        <v>-1073133</v>
      </c>
      <c r="J15" s="40">
        <v>-68823</v>
      </c>
      <c r="K15" s="40">
        <v>1865</v>
      </c>
      <c r="L15" s="40">
        <f>SUM(I15:K15)</f>
        <v>-1140091</v>
      </c>
      <c r="M15" s="51">
        <f>L8+L15</f>
        <v>2199290</v>
      </c>
    </row>
    <row r="16" spans="1:13" ht="18.75">
      <c r="A16" s="2"/>
      <c r="B16" s="2" t="s">
        <v>101</v>
      </c>
      <c r="C16" s="2"/>
      <c r="D16" s="2"/>
      <c r="E16" s="2"/>
      <c r="F16" s="2"/>
      <c r="G16" s="2"/>
      <c r="H16" s="2"/>
      <c r="I16" s="40">
        <v>-2901475</v>
      </c>
      <c r="J16" s="40">
        <v>-332973</v>
      </c>
      <c r="K16" s="40"/>
      <c r="L16" s="40">
        <f>SUM(I16:K16)</f>
        <v>-3234448</v>
      </c>
      <c r="M16" s="51">
        <f t="shared" ref="M16:M18" si="1">L9+L16</f>
        <v>2943475</v>
      </c>
    </row>
    <row r="17" spans="1:13" ht="18.75">
      <c r="A17" s="2"/>
      <c r="B17" s="2" t="s">
        <v>29</v>
      </c>
      <c r="C17" s="2"/>
      <c r="D17" s="2"/>
      <c r="E17" s="2"/>
      <c r="F17" s="2"/>
      <c r="G17" s="2"/>
      <c r="H17" s="2"/>
      <c r="I17" s="40">
        <v>-76694</v>
      </c>
      <c r="J17" s="40">
        <v>-4644</v>
      </c>
      <c r="K17" s="40">
        <v>350</v>
      </c>
      <c r="L17" s="40">
        <f>SUM(I17:K17)</f>
        <v>-80988</v>
      </c>
      <c r="M17" s="51">
        <f t="shared" si="1"/>
        <v>12573</v>
      </c>
    </row>
    <row r="18" spans="1:13" ht="18.75">
      <c r="A18" s="2"/>
      <c r="B18" s="2" t="s">
        <v>17</v>
      </c>
      <c r="C18" s="2"/>
      <c r="D18" s="2"/>
      <c r="E18" s="2"/>
      <c r="F18" s="2"/>
      <c r="G18" s="2"/>
      <c r="H18" s="2"/>
      <c r="I18" s="40">
        <v>-59529158</v>
      </c>
      <c r="J18" s="40">
        <v>-1078349</v>
      </c>
      <c r="K18" s="40"/>
      <c r="L18" s="40">
        <f>SUM(I18:K18)</f>
        <v>-60607507</v>
      </c>
      <c r="M18" s="51">
        <f t="shared" si="1"/>
        <v>5800838</v>
      </c>
    </row>
    <row r="19" spans="1:13" ht="18.75">
      <c r="A19" s="1"/>
      <c r="B19" s="2"/>
      <c r="C19" s="1" t="s">
        <v>20</v>
      </c>
      <c r="D19" s="2"/>
      <c r="E19" s="2"/>
      <c r="F19" s="2"/>
      <c r="G19" s="2"/>
      <c r="H19" s="2"/>
      <c r="I19" s="76">
        <f>SUM(I15:I18)</f>
        <v>-63580460</v>
      </c>
      <c r="J19" s="76">
        <f t="shared" ref="J19:L19" si="2">SUM(J15:J18)</f>
        <v>-1484789</v>
      </c>
      <c r="K19" s="76">
        <f t="shared" si="2"/>
        <v>2215</v>
      </c>
      <c r="L19" s="76">
        <f t="shared" si="2"/>
        <v>-65063034</v>
      </c>
      <c r="M19" s="34"/>
    </row>
    <row r="20" spans="1:13" ht="18.75">
      <c r="A20" s="2"/>
      <c r="B20" s="2"/>
      <c r="C20" s="2"/>
      <c r="D20" s="2"/>
      <c r="E20" s="2"/>
      <c r="F20" s="2"/>
      <c r="G20" s="2"/>
      <c r="H20" s="2"/>
      <c r="I20" s="2"/>
      <c r="J20" s="2"/>
      <c r="K20" s="2"/>
      <c r="L20" s="2"/>
      <c r="M20" s="34"/>
    </row>
    <row r="21" spans="1:13" ht="18.75">
      <c r="A21" s="1" t="s">
        <v>416</v>
      </c>
      <c r="B21" s="2"/>
      <c r="C21" s="1"/>
      <c r="D21" s="2"/>
      <c r="E21" s="2"/>
      <c r="F21" s="2"/>
      <c r="G21" s="2"/>
      <c r="H21" s="2"/>
      <c r="I21" s="76">
        <f>SUM(I12+I19)</f>
        <v>12595423</v>
      </c>
      <c r="J21" s="76">
        <f t="shared" ref="J21:K21" si="3">SUM(J12+J19)</f>
        <v>1830000</v>
      </c>
      <c r="K21" s="76">
        <f t="shared" si="3"/>
        <v>-547878</v>
      </c>
      <c r="L21" s="76">
        <f>SUM(L12+L19)</f>
        <v>13877545</v>
      </c>
      <c r="M21" s="51">
        <f>SUM(M6:M18)</f>
        <v>13877545</v>
      </c>
    </row>
  </sheetData>
  <mergeCells count="3">
    <mergeCell ref="D1:I1"/>
    <mergeCell ref="D2:I2"/>
    <mergeCell ref="D3:I3"/>
  </mergeCells>
  <pageMargins left="0.7" right="0.7" top="0.75" bottom="0.75" header="0.3" footer="0.3"/>
  <extLst>
    <ext xmlns:mx="http://schemas.microsoft.com/office/mac/excel/2008/main" uri="{64002731-A6B0-56B0-2670-7721B7C09600}">
      <mx:PLV Mode="0" OnePage="0" WScale="0"/>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7030A0"/>
  </sheetPr>
  <dimension ref="A1:N54"/>
  <sheetViews>
    <sheetView zoomScale="90" zoomScaleNormal="90" zoomScalePageLayoutView="90" workbookViewId="0">
      <selection activeCell="H34" sqref="H34"/>
    </sheetView>
  </sheetViews>
  <sheetFormatPr defaultColWidth="8.85546875" defaultRowHeight="18.75"/>
  <cols>
    <col min="1" max="1" width="4.42578125" style="2" customWidth="1"/>
    <col min="2" max="3" width="4.7109375" style="2" customWidth="1"/>
    <col min="4" max="6" width="8.85546875" style="2"/>
    <col min="7" max="7" width="14.28515625" style="2" bestFit="1" customWidth="1"/>
    <col min="8" max="8" width="12.7109375" style="2" bestFit="1" customWidth="1"/>
    <col min="9" max="9" width="16.140625" style="2" customWidth="1"/>
    <col min="10" max="10" width="18" style="2" customWidth="1"/>
    <col min="11" max="11" width="19.85546875" style="2" bestFit="1" customWidth="1"/>
    <col min="12" max="12" width="20.140625" style="2" customWidth="1"/>
    <col min="13" max="13" width="23.28515625" style="2" customWidth="1"/>
    <col min="14" max="14" width="23.42578125" style="2" customWidth="1"/>
    <col min="15" max="17" width="8.85546875" style="2"/>
    <col min="18" max="18" width="13.7109375" style="2" bestFit="1" customWidth="1"/>
    <col min="19" max="16384" width="8.85546875" style="2"/>
  </cols>
  <sheetData>
    <row r="1" spans="1:14">
      <c r="D1" s="136" t="s">
        <v>417</v>
      </c>
      <c r="E1" s="136"/>
      <c r="F1" s="136"/>
      <c r="G1" s="136"/>
      <c r="H1" s="136"/>
      <c r="I1" s="136"/>
    </row>
    <row r="2" spans="1:14">
      <c r="D2" s="136" t="s">
        <v>1</v>
      </c>
      <c r="E2" s="136"/>
      <c r="F2" s="136"/>
      <c r="G2" s="136"/>
      <c r="H2" s="136"/>
      <c r="I2" s="136"/>
    </row>
    <row r="3" spans="1:14">
      <c r="D3" s="136" t="s">
        <v>2</v>
      </c>
      <c r="E3" s="136"/>
      <c r="F3" s="136"/>
      <c r="G3" s="136"/>
      <c r="H3" s="136"/>
      <c r="I3" s="136"/>
    </row>
    <row r="4" spans="1:14">
      <c r="D4" s="69"/>
      <c r="E4" s="69"/>
      <c r="F4" s="69"/>
      <c r="G4" s="69"/>
      <c r="H4" s="69"/>
      <c r="I4" s="69"/>
      <c r="L4" s="72"/>
    </row>
    <row r="5" spans="1:14" ht="56.25">
      <c r="I5" s="71" t="s">
        <v>275</v>
      </c>
      <c r="J5" s="71" t="s">
        <v>45</v>
      </c>
      <c r="K5" s="71" t="s">
        <v>418</v>
      </c>
      <c r="L5" s="71" t="s">
        <v>85</v>
      </c>
      <c r="M5" s="122" t="s">
        <v>7</v>
      </c>
    </row>
    <row r="6" spans="1:14">
      <c r="A6" s="1" t="s">
        <v>367</v>
      </c>
      <c r="B6" s="1"/>
      <c r="C6" s="1"/>
      <c r="D6" s="1"/>
      <c r="E6" s="1"/>
      <c r="F6" s="1"/>
    </row>
    <row r="7" spans="1:14">
      <c r="A7" s="1" t="s">
        <v>347</v>
      </c>
      <c r="B7" s="1"/>
      <c r="C7" s="1"/>
      <c r="D7" s="1"/>
      <c r="E7" s="1"/>
      <c r="F7" s="1"/>
      <c r="I7" s="40"/>
      <c r="J7" s="40"/>
      <c r="K7" s="40"/>
      <c r="L7" s="40"/>
    </row>
    <row r="8" spans="1:14">
      <c r="B8" s="2" t="s">
        <v>10</v>
      </c>
      <c r="I8" s="40">
        <v>19245801</v>
      </c>
      <c r="J8" s="40">
        <v>580238</v>
      </c>
      <c r="K8" s="40"/>
      <c r="L8" s="40">
        <v>19826039</v>
      </c>
      <c r="M8" s="40">
        <f>L8</f>
        <v>19826039</v>
      </c>
    </row>
    <row r="9" spans="1:14">
      <c r="B9" s="2" t="s">
        <v>11</v>
      </c>
      <c r="I9" s="2">
        <v>23876204</v>
      </c>
      <c r="J9" s="2">
        <v>23806841</v>
      </c>
      <c r="K9" s="2">
        <v>-30753268</v>
      </c>
      <c r="L9" s="40">
        <f>SUM(I9:K9)</f>
        <v>16929777</v>
      </c>
      <c r="M9" s="40">
        <f>L9</f>
        <v>16929777</v>
      </c>
    </row>
    <row r="10" spans="1:14">
      <c r="A10" s="1"/>
      <c r="B10" s="1"/>
      <c r="C10" s="1" t="s">
        <v>348</v>
      </c>
      <c r="D10" s="1"/>
      <c r="E10" s="1"/>
      <c r="F10" s="1"/>
      <c r="G10" s="1"/>
      <c r="H10" s="1"/>
      <c r="I10" s="85">
        <f>SUM(I8:I9)</f>
        <v>43122005</v>
      </c>
      <c r="J10" s="85">
        <f>SUM(J8:J9)</f>
        <v>24387079</v>
      </c>
      <c r="K10" s="85">
        <f>SUM(K8:K9)</f>
        <v>-30753268</v>
      </c>
      <c r="L10" s="85">
        <f>SUM(L8:L9)</f>
        <v>36755816</v>
      </c>
      <c r="M10" s="1"/>
    </row>
    <row r="12" spans="1:14">
      <c r="A12" s="1" t="s">
        <v>295</v>
      </c>
      <c r="N12" s="2" t="s">
        <v>415</v>
      </c>
    </row>
    <row r="13" spans="1:14">
      <c r="B13" s="2" t="s">
        <v>103</v>
      </c>
      <c r="I13" s="2">
        <v>20167</v>
      </c>
      <c r="J13" s="40">
        <v>842787</v>
      </c>
      <c r="K13" s="40"/>
      <c r="L13" s="40">
        <f t="shared" ref="L13:L18" si="0">SUM(I13:K13)</f>
        <v>862954</v>
      </c>
      <c r="N13" s="33">
        <f>(L13/L19)*L21</f>
        <v>0</v>
      </c>
    </row>
    <row r="14" spans="1:14">
      <c r="B14" s="2" t="s">
        <v>14</v>
      </c>
      <c r="I14" s="2">
        <v>129702340</v>
      </c>
      <c r="J14" s="40">
        <v>2424717</v>
      </c>
      <c r="K14" s="40"/>
      <c r="L14" s="40">
        <f t="shared" si="0"/>
        <v>132127057</v>
      </c>
      <c r="N14" s="33">
        <f>(L14/L19)*L21</f>
        <v>0</v>
      </c>
    </row>
    <row r="15" spans="1:14">
      <c r="B15" s="2" t="s">
        <v>419</v>
      </c>
      <c r="I15" s="2">
        <v>381929</v>
      </c>
      <c r="J15" s="40">
        <v>58906</v>
      </c>
      <c r="K15" s="40"/>
      <c r="L15" s="40">
        <f t="shared" si="0"/>
        <v>440835</v>
      </c>
      <c r="N15" s="33">
        <f>(L15/L19)*L21</f>
        <v>0</v>
      </c>
    </row>
    <row r="16" spans="1:14">
      <c r="B16" s="2" t="s">
        <v>15</v>
      </c>
      <c r="I16" s="2">
        <v>17732336</v>
      </c>
      <c r="J16" s="40">
        <v>1386783</v>
      </c>
      <c r="K16" s="40"/>
      <c r="L16" s="40">
        <f t="shared" si="0"/>
        <v>19119119</v>
      </c>
      <c r="N16" s="33">
        <f>(L16/L19)*L21</f>
        <v>0</v>
      </c>
    </row>
    <row r="17" spans="1:14">
      <c r="B17" s="2" t="s">
        <v>420</v>
      </c>
      <c r="I17" s="2">
        <v>246667208</v>
      </c>
      <c r="J17" s="40">
        <v>14240017</v>
      </c>
      <c r="K17" s="40"/>
      <c r="L17" s="40">
        <f t="shared" si="0"/>
        <v>260907225</v>
      </c>
      <c r="N17" s="33">
        <f>(L17/L19)*L21</f>
        <v>0</v>
      </c>
    </row>
    <row r="18" spans="1:14">
      <c r="B18" s="2" t="s">
        <v>54</v>
      </c>
      <c r="I18" s="2">
        <v>1363360</v>
      </c>
      <c r="J18" s="40"/>
      <c r="K18" s="40"/>
      <c r="L18" s="40">
        <f t="shared" si="0"/>
        <v>1363360</v>
      </c>
      <c r="N18" s="33">
        <f>(L18/L19)*L21</f>
        <v>0</v>
      </c>
    </row>
    <row r="19" spans="1:14">
      <c r="C19" s="1" t="s">
        <v>353</v>
      </c>
      <c r="I19" s="86">
        <f>SUM(I13:I18)</f>
        <v>395867340</v>
      </c>
      <c r="J19" s="86">
        <f>SUM(J13:J18)</f>
        <v>18953210</v>
      </c>
      <c r="K19" s="86">
        <f>SUM(K13:K18)</f>
        <v>0</v>
      </c>
      <c r="L19" s="86">
        <f>SUM(L13:L18)</f>
        <v>414820550</v>
      </c>
    </row>
    <row r="20" spans="1:14">
      <c r="C20" s="1"/>
      <c r="I20" s="87"/>
      <c r="J20" s="87"/>
      <c r="K20" s="87"/>
      <c r="L20" s="87"/>
    </row>
    <row r="21" spans="1:14">
      <c r="A21" s="1" t="s">
        <v>170</v>
      </c>
      <c r="K21" s="87"/>
      <c r="L21" s="87"/>
      <c r="N21" s="33">
        <f>SUM(N13:N18)</f>
        <v>0</v>
      </c>
    </row>
    <row r="22" spans="1:14">
      <c r="A22" s="1"/>
      <c r="C22" s="34" t="s">
        <v>32</v>
      </c>
      <c r="I22" s="87"/>
      <c r="J22" s="87"/>
      <c r="K22" s="87"/>
      <c r="L22" s="87"/>
      <c r="N22" s="33"/>
    </row>
    <row r="23" spans="1:14">
      <c r="A23" s="1"/>
      <c r="C23" s="34" t="s">
        <v>419</v>
      </c>
      <c r="I23" s="87"/>
      <c r="J23" s="87"/>
      <c r="K23" s="87"/>
      <c r="L23" s="87"/>
      <c r="N23" s="33"/>
    </row>
    <row r="24" spans="1:14">
      <c r="A24" s="1"/>
      <c r="C24" s="34" t="s">
        <v>15</v>
      </c>
      <c r="I24" s="87"/>
      <c r="J24" s="87"/>
      <c r="K24" s="87"/>
      <c r="L24" s="87"/>
      <c r="N24" s="33"/>
    </row>
    <row r="25" spans="1:14">
      <c r="A25" s="1"/>
      <c r="C25" s="34" t="s">
        <v>17</v>
      </c>
      <c r="I25" s="87"/>
      <c r="J25" s="87"/>
      <c r="K25" s="87"/>
      <c r="L25" s="87"/>
      <c r="N25" s="33"/>
    </row>
    <row r="26" spans="1:14">
      <c r="A26" s="1"/>
      <c r="C26" s="57" t="s">
        <v>20</v>
      </c>
      <c r="I26" s="86">
        <v>-52848854</v>
      </c>
      <c r="J26" s="86">
        <v>-13869602</v>
      </c>
      <c r="K26" s="86"/>
      <c r="L26" s="86">
        <f>SUM(I26:K26)</f>
        <v>-66718456</v>
      </c>
      <c r="N26" s="33"/>
    </row>
    <row r="27" spans="1:14">
      <c r="A27" s="1"/>
      <c r="C27" s="1"/>
      <c r="I27" s="87"/>
      <c r="J27" s="87"/>
      <c r="K27" s="87"/>
      <c r="L27" s="87"/>
      <c r="N27" s="33"/>
    </row>
    <row r="28" spans="1:14">
      <c r="A28" s="1"/>
      <c r="C28" s="1" t="s">
        <v>289</v>
      </c>
      <c r="I28" s="124">
        <f>SUM(I26+I19)</f>
        <v>343018486</v>
      </c>
      <c r="J28" s="124">
        <f t="shared" ref="J28:L28" si="1">SUM(J26+J19)</f>
        <v>5083608</v>
      </c>
      <c r="K28" s="124">
        <f t="shared" si="1"/>
        <v>0</v>
      </c>
      <c r="L28" s="124">
        <f t="shared" si="1"/>
        <v>348102094</v>
      </c>
    </row>
    <row r="29" spans="1:14">
      <c r="A29" s="1"/>
      <c r="C29" s="1" t="s">
        <v>421</v>
      </c>
      <c r="I29" s="76">
        <f>SUM(I28+I10)</f>
        <v>386140491</v>
      </c>
      <c r="J29" s="76">
        <f t="shared" ref="J29:L29" si="2">SUM(J28+J10)</f>
        <v>29470687</v>
      </c>
      <c r="K29" s="76">
        <f t="shared" si="2"/>
        <v>-30753268</v>
      </c>
      <c r="L29" s="76">
        <f t="shared" si="2"/>
        <v>384857910</v>
      </c>
      <c r="M29" s="40"/>
    </row>
    <row r="30" spans="1:14">
      <c r="C30" s="1"/>
      <c r="I30" s="87"/>
      <c r="J30" s="87"/>
      <c r="K30" s="87"/>
      <c r="L30" s="87"/>
    </row>
    <row r="31" spans="1:14">
      <c r="C31" s="1"/>
      <c r="I31" s="87"/>
      <c r="J31" s="87"/>
      <c r="K31" s="87"/>
      <c r="L31" s="87"/>
    </row>
    <row r="32" spans="1:14">
      <c r="A32" s="1" t="s">
        <v>35</v>
      </c>
      <c r="B32" s="1"/>
      <c r="C32" s="1"/>
      <c r="D32" s="1"/>
      <c r="E32" s="1"/>
      <c r="F32" s="1"/>
    </row>
    <row r="33" spans="1:14">
      <c r="A33" s="1" t="s">
        <v>347</v>
      </c>
      <c r="B33" s="1"/>
      <c r="C33" s="1"/>
      <c r="D33" s="1"/>
      <c r="E33" s="1"/>
      <c r="F33" s="1"/>
      <c r="I33" s="40"/>
      <c r="J33" s="40"/>
      <c r="K33" s="40"/>
      <c r="L33" s="40"/>
    </row>
    <row r="34" spans="1:14">
      <c r="A34" s="1"/>
      <c r="B34" s="2" t="s">
        <v>10</v>
      </c>
      <c r="C34" s="1"/>
      <c r="D34" s="1"/>
      <c r="E34" s="1"/>
      <c r="F34" s="1"/>
      <c r="I34" s="40">
        <v>221036</v>
      </c>
      <c r="J34" s="40"/>
      <c r="K34" s="40"/>
      <c r="L34" s="40">
        <f>SUM(I34:K34)</f>
        <v>221036</v>
      </c>
      <c r="M34" s="40">
        <f>L34</f>
        <v>221036</v>
      </c>
    </row>
    <row r="35" spans="1:14">
      <c r="A35" s="1"/>
      <c r="B35" s="2" t="s">
        <v>11</v>
      </c>
      <c r="C35" s="1"/>
      <c r="D35" s="1"/>
      <c r="E35" s="1"/>
      <c r="F35" s="1"/>
      <c r="I35" s="40">
        <v>50611062</v>
      </c>
      <c r="J35" s="40">
        <v>4307968</v>
      </c>
      <c r="K35" s="40"/>
      <c r="L35" s="40">
        <f>SUM(I35:K35)</f>
        <v>54919030</v>
      </c>
      <c r="M35" s="73">
        <f>L35</f>
        <v>54919030</v>
      </c>
    </row>
    <row r="36" spans="1:14">
      <c r="A36" s="1"/>
      <c r="B36" s="1"/>
      <c r="C36" s="1" t="s">
        <v>348</v>
      </c>
      <c r="D36" s="1"/>
      <c r="E36" s="1"/>
      <c r="F36" s="1"/>
      <c r="G36" s="1"/>
      <c r="H36" s="1"/>
      <c r="I36" s="80">
        <f>SUM(I34:I35)</f>
        <v>50832098</v>
      </c>
      <c r="J36" s="80">
        <f>SUM(J35:J35)</f>
        <v>4307968</v>
      </c>
      <c r="K36" s="80">
        <f>SUM(K35:K35)</f>
        <v>0</v>
      </c>
      <c r="L36" s="80">
        <f>SUM(L34:L35)</f>
        <v>55140066</v>
      </c>
    </row>
    <row r="38" spans="1:14">
      <c r="A38" s="1" t="s">
        <v>295</v>
      </c>
      <c r="B38" s="34"/>
      <c r="C38" s="1"/>
      <c r="I38" s="78"/>
      <c r="J38" s="78"/>
      <c r="K38" s="78"/>
      <c r="L38" s="78"/>
      <c r="N38" s="2" t="s">
        <v>415</v>
      </c>
    </row>
    <row r="39" spans="1:14">
      <c r="A39" s="1"/>
      <c r="B39" s="34" t="s">
        <v>32</v>
      </c>
      <c r="C39" s="1"/>
      <c r="I39" s="51">
        <v>73971568</v>
      </c>
      <c r="J39" s="51">
        <v>13270713</v>
      </c>
      <c r="K39" s="78"/>
      <c r="L39" s="51">
        <f>SUM(I39:K39)</f>
        <v>87242281</v>
      </c>
      <c r="N39" s="33">
        <f>(L39/L43)*L45</f>
        <v>0</v>
      </c>
    </row>
    <row r="40" spans="1:14">
      <c r="A40" s="1"/>
      <c r="B40" s="34" t="s">
        <v>419</v>
      </c>
      <c r="C40" s="1"/>
      <c r="I40" s="51">
        <v>36492</v>
      </c>
      <c r="J40" s="51"/>
      <c r="K40" s="78"/>
      <c r="L40" s="51">
        <f>SUM(I40:K40)</f>
        <v>36492</v>
      </c>
      <c r="N40" s="33">
        <f>(L40/L43)*L45</f>
        <v>0</v>
      </c>
    </row>
    <row r="41" spans="1:14">
      <c r="A41" s="1"/>
      <c r="B41" s="34" t="s">
        <v>15</v>
      </c>
      <c r="C41" s="1"/>
      <c r="I41" s="51">
        <v>1613475</v>
      </c>
      <c r="J41" s="51">
        <v>53747</v>
      </c>
      <c r="K41" s="51"/>
      <c r="L41" s="51">
        <f>SUM(I41:K41)</f>
        <v>1667222</v>
      </c>
      <c r="N41" s="33">
        <f>(L41/L43)*L45</f>
        <v>0</v>
      </c>
    </row>
    <row r="42" spans="1:14">
      <c r="A42" s="1"/>
      <c r="B42" s="34" t="s">
        <v>17</v>
      </c>
      <c r="C42" s="1"/>
      <c r="I42" s="51">
        <v>187779692</v>
      </c>
      <c r="J42" s="51">
        <v>164914</v>
      </c>
      <c r="K42" s="51"/>
      <c r="L42" s="51">
        <f>SUM(I42:K42)</f>
        <v>187944606</v>
      </c>
      <c r="N42" s="33">
        <f>(L42/L43)*L45</f>
        <v>0</v>
      </c>
    </row>
    <row r="43" spans="1:14">
      <c r="C43" s="57" t="s">
        <v>353</v>
      </c>
      <c r="D43" s="34"/>
      <c r="E43" s="34"/>
      <c r="F43" s="34"/>
      <c r="G43" s="34"/>
      <c r="H43" s="34"/>
      <c r="I43" s="88">
        <f>SUM(I39:I42)</f>
        <v>263401227</v>
      </c>
      <c r="J43" s="88">
        <f>SUM(J39:J42)</f>
        <v>13489374</v>
      </c>
      <c r="K43" s="88">
        <f>SUM(K39:K42)</f>
        <v>0</v>
      </c>
      <c r="L43" s="88">
        <f>SUM(L39:L42)</f>
        <v>276890601</v>
      </c>
      <c r="N43" s="33"/>
    </row>
    <row r="44" spans="1:14">
      <c r="C44" s="57"/>
      <c r="D44" s="34"/>
      <c r="E44" s="34"/>
      <c r="F44" s="34"/>
      <c r="G44" s="34"/>
      <c r="H44" s="34"/>
      <c r="I44" s="78"/>
      <c r="J44" s="78"/>
      <c r="K44" s="78"/>
      <c r="L44" s="78"/>
      <c r="N44" s="33"/>
    </row>
    <row r="45" spans="1:14">
      <c r="A45" s="57" t="s">
        <v>170</v>
      </c>
      <c r="D45" s="34"/>
      <c r="E45" s="34"/>
      <c r="F45" s="34"/>
      <c r="G45" s="34"/>
      <c r="H45" s="34"/>
      <c r="K45" s="78"/>
      <c r="L45" s="78"/>
      <c r="N45" s="33">
        <f>SUM(N39:N42)</f>
        <v>0</v>
      </c>
    </row>
    <row r="46" spans="1:14">
      <c r="B46" s="34" t="s">
        <v>32</v>
      </c>
      <c r="D46" s="34"/>
      <c r="E46" s="34"/>
      <c r="F46" s="34"/>
      <c r="G46" s="34"/>
      <c r="H46" s="34"/>
      <c r="I46" s="87"/>
      <c r="J46" s="78"/>
      <c r="K46" s="78"/>
      <c r="L46" s="78"/>
      <c r="N46" s="33"/>
    </row>
    <row r="47" spans="1:14">
      <c r="B47" s="34" t="s">
        <v>419</v>
      </c>
      <c r="D47" s="34"/>
      <c r="E47" s="34"/>
      <c r="F47" s="34"/>
      <c r="G47" s="34"/>
      <c r="H47" s="34"/>
      <c r="I47" s="87"/>
      <c r="J47" s="78"/>
      <c r="K47" s="78"/>
      <c r="L47" s="78"/>
      <c r="N47" s="33"/>
    </row>
    <row r="48" spans="1:14">
      <c r="B48" s="34" t="s">
        <v>15</v>
      </c>
      <c r="D48" s="34"/>
      <c r="E48" s="34"/>
      <c r="F48" s="34"/>
      <c r="G48" s="34"/>
      <c r="H48" s="34"/>
      <c r="I48" s="87"/>
      <c r="J48" s="78"/>
      <c r="K48" s="78"/>
      <c r="L48" s="78"/>
      <c r="N48" s="33"/>
    </row>
    <row r="49" spans="1:14">
      <c r="B49" s="34" t="s">
        <v>17</v>
      </c>
      <c r="D49" s="34"/>
      <c r="E49" s="34"/>
      <c r="F49" s="34"/>
      <c r="G49" s="34"/>
      <c r="H49" s="34"/>
      <c r="K49" s="78"/>
      <c r="L49" s="78"/>
      <c r="N49" s="33"/>
    </row>
    <row r="50" spans="1:14">
      <c r="B50" s="34"/>
      <c r="C50" s="1" t="s">
        <v>20</v>
      </c>
      <c r="D50" s="34"/>
      <c r="E50" s="34"/>
      <c r="F50" s="34"/>
      <c r="G50" s="34"/>
      <c r="H50" s="34"/>
      <c r="I50" s="86">
        <v>-109267170</v>
      </c>
      <c r="J50" s="123">
        <v>-5280768</v>
      </c>
      <c r="K50" s="123"/>
      <c r="L50" s="123">
        <f>SUM(I50:K50)</f>
        <v>-114547938</v>
      </c>
      <c r="N50" s="33"/>
    </row>
    <row r="51" spans="1:14">
      <c r="B51" s="34"/>
      <c r="D51" s="34"/>
      <c r="E51" s="34"/>
      <c r="F51" s="34"/>
      <c r="G51" s="34"/>
      <c r="H51" s="34"/>
      <c r="I51" s="87"/>
      <c r="J51" s="78"/>
      <c r="K51" s="78"/>
      <c r="L51" s="78"/>
      <c r="N51" s="33"/>
    </row>
    <row r="52" spans="1:14">
      <c r="A52" s="1"/>
      <c r="B52" s="57"/>
      <c r="C52" s="57" t="s">
        <v>289</v>
      </c>
      <c r="D52" s="34"/>
      <c r="E52" s="34"/>
      <c r="F52" s="34"/>
      <c r="G52" s="34"/>
      <c r="H52" s="34"/>
      <c r="I52" s="77">
        <f>SUM(I43+I50)</f>
        <v>154134057</v>
      </c>
      <c r="J52" s="77">
        <f t="shared" ref="J52:L52" si="3">SUM(J43+J50)</f>
        <v>8208606</v>
      </c>
      <c r="K52" s="77">
        <f t="shared" si="3"/>
        <v>0</v>
      </c>
      <c r="L52" s="77">
        <f t="shared" si="3"/>
        <v>162342663</v>
      </c>
    </row>
    <row r="53" spans="1:14" ht="19.5" thickBot="1">
      <c r="A53" s="1"/>
      <c r="B53" s="1"/>
      <c r="C53" s="57" t="s">
        <v>422</v>
      </c>
      <c r="D53" s="34"/>
      <c r="E53" s="34"/>
      <c r="F53" s="34"/>
      <c r="G53" s="34"/>
      <c r="H53" s="34"/>
      <c r="I53" s="89">
        <f>I36+I52</f>
        <v>204966155</v>
      </c>
      <c r="J53" s="89">
        <f>J36+J52</f>
        <v>12516574</v>
      </c>
      <c r="K53" s="89">
        <f>K36+K52</f>
        <v>0</v>
      </c>
      <c r="L53" s="89">
        <f>L36+L52</f>
        <v>217482729</v>
      </c>
      <c r="M53" s="73">
        <f>SUM(M34:M45)</f>
        <v>55140066</v>
      </c>
      <c r="N53" s="33"/>
    </row>
    <row r="54" spans="1:14">
      <c r="A54" s="1"/>
      <c r="B54" s="1"/>
      <c r="C54" s="34"/>
      <c r="D54" s="34"/>
      <c r="E54" s="34"/>
      <c r="F54" s="34"/>
      <c r="G54" s="34"/>
      <c r="H54" s="34"/>
      <c r="I54" s="78"/>
      <c r="J54" s="78"/>
      <c r="K54" s="78"/>
      <c r="L54" s="78"/>
    </row>
  </sheetData>
  <mergeCells count="3">
    <mergeCell ref="D1:I1"/>
    <mergeCell ref="D2:I2"/>
    <mergeCell ref="D3:I3"/>
  </mergeCells>
  <pageMargins left="0.7" right="0.7" top="0.75" bottom="0.75" header="0.3" footer="0.3"/>
  <pageSetup orientation="portrait"/>
  <extLst>
    <ext xmlns:mx="http://schemas.microsoft.com/office/mac/excel/2008/main" uri="{64002731-A6B0-56B0-2670-7721B7C09600}">
      <mx:PLV Mode="0" OnePage="0" WScale="0"/>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S58"/>
  <sheetViews>
    <sheetView topLeftCell="A7" zoomScale="60" zoomScaleNormal="60" zoomScalePageLayoutView="60" workbookViewId="0">
      <selection activeCell="L41" sqref="L41"/>
    </sheetView>
  </sheetViews>
  <sheetFormatPr defaultColWidth="8.85546875" defaultRowHeight="15"/>
  <cols>
    <col min="1" max="1" width="5.42578125" customWidth="1"/>
    <col min="2" max="2" width="4.7109375" customWidth="1"/>
    <col min="3" max="3" width="3.7109375" customWidth="1"/>
    <col min="9" max="9" width="16.7109375" bestFit="1" customWidth="1"/>
    <col min="10" max="10" width="15.28515625" bestFit="1" customWidth="1"/>
    <col min="11" max="11" width="15.140625" bestFit="1" customWidth="1"/>
    <col min="12" max="12" width="16.42578125" customWidth="1"/>
    <col min="13" max="13" width="16.7109375" bestFit="1" customWidth="1"/>
    <col min="14" max="14" width="21.85546875" customWidth="1"/>
  </cols>
  <sheetData>
    <row r="1" spans="1:14" ht="18.75">
      <c r="A1" s="2"/>
      <c r="B1" s="2"/>
      <c r="C1" s="2"/>
      <c r="D1" s="136" t="s">
        <v>423</v>
      </c>
      <c r="E1" s="136"/>
      <c r="F1" s="136"/>
      <c r="G1" s="136"/>
      <c r="H1" s="136"/>
      <c r="I1" s="136"/>
      <c r="J1" s="2"/>
      <c r="K1" s="2"/>
      <c r="L1" s="2"/>
      <c r="M1" s="2"/>
    </row>
    <row r="2" spans="1:14" ht="18.75">
      <c r="A2" s="2"/>
      <c r="B2" s="2"/>
      <c r="C2" s="2"/>
      <c r="D2" s="136" t="s">
        <v>1</v>
      </c>
      <c r="E2" s="136"/>
      <c r="F2" s="136"/>
      <c r="G2" s="136"/>
      <c r="H2" s="136"/>
      <c r="I2" s="136"/>
      <c r="J2" s="2"/>
      <c r="K2" s="2"/>
      <c r="L2" s="2"/>
      <c r="M2" s="2"/>
    </row>
    <row r="3" spans="1:14" ht="18.75">
      <c r="A3" s="2"/>
      <c r="B3" s="2"/>
      <c r="C3" s="2"/>
      <c r="D3" s="136" t="s">
        <v>2</v>
      </c>
      <c r="E3" s="136"/>
      <c r="F3" s="136"/>
      <c r="G3" s="136"/>
      <c r="H3" s="136"/>
      <c r="I3" s="136"/>
      <c r="J3" s="2"/>
      <c r="K3" s="2"/>
      <c r="L3" s="2"/>
      <c r="M3" s="2"/>
    </row>
    <row r="4" spans="1:14" ht="18.75">
      <c r="A4" s="2"/>
      <c r="B4" s="2"/>
      <c r="C4" s="2"/>
      <c r="D4" s="69"/>
      <c r="E4" s="69"/>
      <c r="F4" s="69"/>
      <c r="G4" s="69"/>
      <c r="H4" s="69"/>
      <c r="I4" s="69"/>
      <c r="J4" s="2"/>
      <c r="K4" s="2"/>
      <c r="L4" s="2"/>
      <c r="M4" s="2"/>
    </row>
    <row r="5" spans="1:14" ht="56.25">
      <c r="A5" s="2"/>
      <c r="B5" s="2"/>
      <c r="C5" s="2"/>
      <c r="D5" s="2"/>
      <c r="E5" s="2"/>
      <c r="F5" s="2"/>
      <c r="G5" s="2"/>
      <c r="H5" s="2"/>
      <c r="I5" s="97" t="s">
        <v>391</v>
      </c>
      <c r="J5" s="71" t="s">
        <v>45</v>
      </c>
      <c r="K5" s="71" t="s">
        <v>46</v>
      </c>
      <c r="L5" s="71" t="s">
        <v>150</v>
      </c>
      <c r="M5" s="97" t="s">
        <v>391</v>
      </c>
      <c r="N5" s="71" t="s">
        <v>7</v>
      </c>
    </row>
    <row r="6" spans="1:14" ht="18.75">
      <c r="A6" s="1" t="s">
        <v>276</v>
      </c>
      <c r="B6" s="2"/>
      <c r="C6" s="2"/>
      <c r="D6" s="2"/>
      <c r="E6" s="2"/>
      <c r="F6" s="2"/>
      <c r="G6" s="2"/>
      <c r="H6" s="2"/>
      <c r="I6" s="97"/>
      <c r="J6" s="71"/>
      <c r="K6" s="71"/>
      <c r="L6" s="71"/>
      <c r="M6" s="97"/>
      <c r="N6" s="71"/>
    </row>
    <row r="7" spans="1:14" ht="18.75">
      <c r="A7" s="1" t="s">
        <v>9</v>
      </c>
      <c r="B7" s="1"/>
      <c r="C7" s="1"/>
      <c r="D7" s="1"/>
      <c r="E7" s="1"/>
      <c r="F7" s="1"/>
      <c r="G7" s="2"/>
      <c r="H7" s="2"/>
      <c r="I7" s="40"/>
      <c r="J7" s="40"/>
      <c r="K7" s="40"/>
      <c r="L7" s="40"/>
      <c r="M7" s="40"/>
    </row>
    <row r="8" spans="1:14" ht="18.75">
      <c r="A8" s="2" t="s">
        <v>10</v>
      </c>
      <c r="B8" s="2"/>
      <c r="C8" s="2"/>
      <c r="D8" s="2"/>
      <c r="E8" s="2"/>
      <c r="F8" s="2"/>
      <c r="G8" s="2"/>
      <c r="H8" s="2"/>
      <c r="I8" s="40">
        <v>10141106</v>
      </c>
      <c r="J8" s="40">
        <v>343705</v>
      </c>
      <c r="K8" s="40"/>
      <c r="L8" s="40"/>
      <c r="M8" s="40">
        <f>SUM(I8:L8)</f>
        <v>10484811</v>
      </c>
      <c r="N8" s="58">
        <f>M8</f>
        <v>10484811</v>
      </c>
    </row>
    <row r="9" spans="1:14" ht="18.75">
      <c r="A9" s="2" t="s">
        <v>17</v>
      </c>
      <c r="B9" s="2"/>
      <c r="C9" s="2"/>
      <c r="D9" s="2"/>
      <c r="E9" s="2"/>
      <c r="F9" s="2"/>
      <c r="G9" s="2"/>
      <c r="H9" s="2"/>
      <c r="I9" s="40">
        <v>14855447</v>
      </c>
      <c r="J9" s="40"/>
      <c r="K9" s="40"/>
      <c r="L9" s="40"/>
      <c r="M9" s="40">
        <f>SUM(I9:L9)</f>
        <v>14855447</v>
      </c>
      <c r="N9" s="58">
        <f>M9</f>
        <v>14855447</v>
      </c>
    </row>
    <row r="10" spans="1:14" ht="18.75">
      <c r="A10" s="2" t="s">
        <v>11</v>
      </c>
      <c r="B10" s="2"/>
      <c r="C10" s="2"/>
      <c r="D10" s="2"/>
      <c r="E10" s="2"/>
      <c r="F10" s="2"/>
      <c r="G10" s="2"/>
      <c r="H10" s="2"/>
      <c r="I10" s="40">
        <v>50057093</v>
      </c>
      <c r="J10" s="40">
        <v>12958051</v>
      </c>
      <c r="K10" s="40">
        <v>-28832852</v>
      </c>
      <c r="L10" s="40">
        <v>2932</v>
      </c>
      <c r="M10" s="40">
        <f>SUM(I10:L10)</f>
        <v>34185224</v>
      </c>
      <c r="N10" s="58">
        <f>M10</f>
        <v>34185224</v>
      </c>
    </row>
    <row r="11" spans="1:14" ht="18.75">
      <c r="A11" s="1"/>
      <c r="B11" s="1" t="s">
        <v>68</v>
      </c>
      <c r="C11" s="1"/>
      <c r="D11" s="1"/>
      <c r="E11" s="1"/>
      <c r="F11" s="1"/>
      <c r="G11" s="1"/>
      <c r="H11" s="1"/>
      <c r="I11" s="80">
        <f>SUM(I8:I10)</f>
        <v>75053646</v>
      </c>
      <c r="J11" s="80">
        <f>SUM(J8:J10)</f>
        <v>13301756</v>
      </c>
      <c r="K11" s="80">
        <f>SUM(K8:K10)</f>
        <v>-28832852</v>
      </c>
      <c r="L11" s="80">
        <f>SUM(L8:L10)</f>
        <v>2932</v>
      </c>
      <c r="M11" s="80">
        <f>SUM(M8:M10)</f>
        <v>59525482</v>
      </c>
    </row>
    <row r="12" spans="1:14" ht="18.75">
      <c r="A12" s="1"/>
      <c r="B12" s="1"/>
      <c r="C12" s="1"/>
      <c r="D12" s="1"/>
      <c r="E12" s="1"/>
      <c r="F12" s="1"/>
      <c r="G12" s="1"/>
      <c r="H12" s="1"/>
      <c r="I12" s="81"/>
      <c r="J12" s="81"/>
      <c r="K12" s="81"/>
      <c r="L12" s="81"/>
      <c r="M12" s="81"/>
    </row>
    <row r="13" spans="1:14" ht="18.75">
      <c r="A13" s="1" t="s">
        <v>371</v>
      </c>
      <c r="B13" s="2"/>
      <c r="C13" s="2"/>
      <c r="D13" s="2"/>
      <c r="E13" s="2"/>
      <c r="F13" s="2"/>
      <c r="G13" s="2"/>
      <c r="H13" s="2"/>
      <c r="I13" s="2"/>
      <c r="J13" s="2"/>
      <c r="K13" s="2"/>
      <c r="L13" s="2"/>
      <c r="M13" s="2"/>
    </row>
    <row r="14" spans="1:14" ht="18.75">
      <c r="A14" s="2" t="s">
        <v>122</v>
      </c>
      <c r="B14" s="2"/>
      <c r="C14" s="2"/>
      <c r="D14" s="2"/>
      <c r="E14" s="2"/>
      <c r="F14" s="2"/>
      <c r="G14" s="2"/>
      <c r="H14" s="2"/>
      <c r="I14" s="2">
        <v>32339120</v>
      </c>
      <c r="J14" s="2">
        <v>18738719</v>
      </c>
      <c r="K14" s="2">
        <v>-68896</v>
      </c>
      <c r="L14" s="2"/>
      <c r="M14" s="2">
        <f>SUM(I14:L14)</f>
        <v>51008943</v>
      </c>
    </row>
    <row r="15" spans="1:14" ht="18.75">
      <c r="A15" s="2" t="s">
        <v>52</v>
      </c>
      <c r="B15" s="2"/>
      <c r="C15" s="2"/>
      <c r="D15" s="2"/>
      <c r="E15" s="2"/>
      <c r="F15" s="2"/>
      <c r="G15" s="2"/>
      <c r="H15" s="2"/>
      <c r="I15" s="2">
        <v>76707234</v>
      </c>
      <c r="J15" s="2">
        <v>7356685</v>
      </c>
      <c r="K15" s="2">
        <v>-8600</v>
      </c>
      <c r="L15" s="2">
        <v>1851</v>
      </c>
      <c r="M15" s="2">
        <f>SUM(I15:L15)</f>
        <v>84057170</v>
      </c>
    </row>
    <row r="16" spans="1:14" ht="18.75">
      <c r="A16" s="2" t="s">
        <v>15</v>
      </c>
      <c r="B16" s="2"/>
      <c r="C16" s="2"/>
      <c r="D16" s="2"/>
      <c r="E16" s="2"/>
      <c r="F16" s="2"/>
      <c r="G16" s="2"/>
      <c r="H16" s="2"/>
      <c r="I16" s="2">
        <v>36753395</v>
      </c>
      <c r="J16" s="2">
        <v>2756716</v>
      </c>
      <c r="K16" s="2">
        <v>-87058</v>
      </c>
      <c r="L16" s="2">
        <v>-10266</v>
      </c>
      <c r="M16" s="2">
        <f>SUM(I16:L16)</f>
        <v>39412787</v>
      </c>
    </row>
    <row r="17" spans="1:19" ht="18.75">
      <c r="A17" s="2" t="s">
        <v>17</v>
      </c>
      <c r="B17" s="2"/>
      <c r="C17" s="2"/>
      <c r="D17" s="2"/>
      <c r="E17" s="2"/>
      <c r="F17" s="2"/>
      <c r="G17" s="2"/>
      <c r="H17" s="2"/>
      <c r="I17" s="2">
        <v>110480961</v>
      </c>
      <c r="J17" s="40"/>
      <c r="K17" s="40">
        <v>-634576</v>
      </c>
      <c r="L17" s="40">
        <v>1575726</v>
      </c>
      <c r="M17" s="2">
        <f>SUM(I17:L17)</f>
        <v>111422111</v>
      </c>
    </row>
    <row r="18" spans="1:19" ht="18.75">
      <c r="A18" s="1"/>
      <c r="B18" s="1"/>
      <c r="C18" s="1" t="s">
        <v>18</v>
      </c>
      <c r="D18" s="1"/>
      <c r="E18" s="1"/>
      <c r="F18" s="2"/>
      <c r="G18" s="2"/>
      <c r="H18" s="2"/>
      <c r="I18" s="76">
        <f>SUM(I14:I17)</f>
        <v>256280710</v>
      </c>
      <c r="J18" s="76">
        <f>SUM(J14:J17)</f>
        <v>28852120</v>
      </c>
      <c r="K18" s="76">
        <f>SUM(K14:K17)</f>
        <v>-799130</v>
      </c>
      <c r="L18" s="76">
        <f>SUM(L14:L17)</f>
        <v>1567311</v>
      </c>
      <c r="M18" s="76">
        <f>SUM(M14:M17)</f>
        <v>285901011</v>
      </c>
    </row>
    <row r="19" spans="1:19" ht="18.75">
      <c r="A19" s="1"/>
      <c r="B19" s="1"/>
      <c r="C19" s="1"/>
      <c r="D19" s="1"/>
      <c r="E19" s="1"/>
      <c r="F19" s="2"/>
      <c r="G19" s="2"/>
      <c r="H19" s="2"/>
      <c r="I19" s="87"/>
      <c r="J19" s="87"/>
      <c r="K19" s="87"/>
      <c r="L19" s="87"/>
      <c r="M19" s="87"/>
    </row>
    <row r="20" spans="1:19" ht="18.75">
      <c r="A20" s="1" t="s">
        <v>19</v>
      </c>
      <c r="B20" s="2"/>
      <c r="C20" s="2"/>
      <c r="D20" s="2"/>
      <c r="E20" s="2"/>
      <c r="F20" s="2"/>
      <c r="G20" s="2"/>
      <c r="H20" s="2"/>
      <c r="I20" s="2"/>
      <c r="J20" s="40"/>
      <c r="K20" s="40"/>
      <c r="L20" s="40"/>
      <c r="M20" s="40"/>
    </row>
    <row r="21" spans="1:19" ht="18.75">
      <c r="A21" s="2" t="s">
        <v>122</v>
      </c>
      <c r="B21" s="2"/>
      <c r="C21" s="2"/>
      <c r="D21" s="2"/>
      <c r="E21" s="2"/>
      <c r="F21" s="2"/>
      <c r="G21" s="2"/>
      <c r="H21" s="2"/>
      <c r="I21" s="40">
        <v>-12058376</v>
      </c>
      <c r="J21" s="40">
        <v>-1013758</v>
      </c>
      <c r="K21" s="40">
        <v>32915</v>
      </c>
      <c r="L21" s="40">
        <v>-42242</v>
      </c>
      <c r="M21" s="40">
        <f>SUM(I21:L21)</f>
        <v>-13081461</v>
      </c>
      <c r="N21" s="58">
        <f>M14+M21</f>
        <v>37927482</v>
      </c>
    </row>
    <row r="22" spans="1:19" ht="18.75">
      <c r="A22" s="2" t="s">
        <v>52</v>
      </c>
      <c r="B22" s="2"/>
      <c r="C22" s="2"/>
      <c r="D22" s="2"/>
      <c r="E22" s="2"/>
      <c r="F22" s="2"/>
      <c r="G22" s="2"/>
      <c r="H22" s="2"/>
      <c r="I22" s="40">
        <v>-32566310</v>
      </c>
      <c r="J22" s="40">
        <v>-4469312</v>
      </c>
      <c r="K22" s="40">
        <v>8600</v>
      </c>
      <c r="L22" s="40">
        <v>11539</v>
      </c>
      <c r="M22" s="40">
        <f>SUM(I22:L22)</f>
        <v>-37015483</v>
      </c>
      <c r="N22" s="58">
        <f>M15+M22</f>
        <v>47041687</v>
      </c>
    </row>
    <row r="23" spans="1:19" ht="18.75">
      <c r="A23" s="2" t="s">
        <v>15</v>
      </c>
      <c r="B23" s="2"/>
      <c r="C23" s="2"/>
      <c r="D23" s="2"/>
      <c r="E23" s="2"/>
      <c r="F23" s="2"/>
      <c r="G23" s="2"/>
      <c r="H23" s="2"/>
      <c r="I23" s="40">
        <v>-26858102</v>
      </c>
      <c r="J23" s="40">
        <v>-2216937</v>
      </c>
      <c r="K23" s="40">
        <v>93794</v>
      </c>
      <c r="L23" s="40">
        <v>-35906</v>
      </c>
      <c r="M23" s="40">
        <f>SUM(I23:L23)</f>
        <v>-29017151</v>
      </c>
      <c r="N23" s="58">
        <f>M16+M23</f>
        <v>10395636</v>
      </c>
    </row>
    <row r="24" spans="1:19" ht="18.75">
      <c r="A24" s="2" t="s">
        <v>17</v>
      </c>
      <c r="B24" s="2"/>
      <c r="C24" s="2"/>
      <c r="D24" s="2"/>
      <c r="E24" s="2"/>
      <c r="F24" s="2"/>
      <c r="G24" s="2"/>
      <c r="H24" s="2"/>
      <c r="I24" s="40">
        <v>-65587399</v>
      </c>
      <c r="J24" s="40">
        <v>-3297251</v>
      </c>
      <c r="K24" s="40">
        <v>187075</v>
      </c>
      <c r="L24" s="40">
        <v>2553</v>
      </c>
      <c r="M24" s="40">
        <f>SUM(I24:L24)</f>
        <v>-68695022</v>
      </c>
      <c r="N24" s="58">
        <f>M17+M24</f>
        <v>42727089</v>
      </c>
    </row>
    <row r="25" spans="1:19" ht="18.75">
      <c r="A25" s="1"/>
      <c r="B25" s="1"/>
      <c r="C25" s="1" t="s">
        <v>20</v>
      </c>
      <c r="D25" s="1"/>
      <c r="E25" s="2"/>
      <c r="F25" s="2"/>
      <c r="G25" s="2"/>
      <c r="H25" s="2"/>
      <c r="I25" s="76">
        <f>SUM(I21:I24)</f>
        <v>-137070187</v>
      </c>
      <c r="J25" s="76">
        <f>SUM(J21:J24)</f>
        <v>-10997258</v>
      </c>
      <c r="K25" s="76">
        <f>SUM(K21:K24)</f>
        <v>322384</v>
      </c>
      <c r="L25" s="76">
        <f>SUM(L21:L24)</f>
        <v>-64056</v>
      </c>
      <c r="M25" s="76">
        <f>SUM(M21:M24)</f>
        <v>-147809117</v>
      </c>
    </row>
    <row r="26" spans="1:19" ht="18.75">
      <c r="A26" s="1"/>
      <c r="B26" s="1"/>
      <c r="C26" s="1"/>
      <c r="D26" s="1"/>
      <c r="E26" s="2"/>
      <c r="F26" s="2"/>
      <c r="G26" s="2"/>
      <c r="H26" s="2"/>
      <c r="I26" s="76"/>
      <c r="J26" s="76"/>
      <c r="K26" s="76"/>
      <c r="L26" s="76"/>
      <c r="M26" s="76"/>
    </row>
    <row r="27" spans="1:19" ht="18.75">
      <c r="A27" s="1" t="s">
        <v>21</v>
      </c>
      <c r="B27" s="1"/>
      <c r="C27" s="1"/>
      <c r="D27" s="1"/>
      <c r="E27" s="2"/>
      <c r="F27" s="2"/>
      <c r="G27" s="2"/>
      <c r="H27" s="2"/>
      <c r="I27" s="76">
        <f>SUM(I18+I25)</f>
        <v>119210523</v>
      </c>
      <c r="J27" s="76">
        <f t="shared" ref="J27:M27" si="0">SUM(J18+J25)</f>
        <v>17854862</v>
      </c>
      <c r="K27" s="76">
        <f t="shared" si="0"/>
        <v>-476746</v>
      </c>
      <c r="L27" s="76">
        <f t="shared" si="0"/>
        <v>1503255</v>
      </c>
      <c r="M27" s="76">
        <f t="shared" si="0"/>
        <v>138091894</v>
      </c>
    </row>
    <row r="28" spans="1:19" ht="18.75">
      <c r="A28" s="1"/>
      <c r="B28" s="1"/>
      <c r="C28" s="1"/>
      <c r="D28" s="1"/>
      <c r="E28" s="2"/>
      <c r="F28" s="2"/>
      <c r="G28" s="2"/>
      <c r="H28" s="2"/>
      <c r="I28" s="76"/>
      <c r="J28" s="76"/>
      <c r="K28" s="76"/>
      <c r="L28" s="76"/>
      <c r="M28" s="76"/>
    </row>
    <row r="29" spans="1:19" ht="18.75">
      <c r="A29" s="1" t="s">
        <v>421</v>
      </c>
      <c r="B29" s="98"/>
      <c r="C29" s="1"/>
      <c r="D29" s="2"/>
      <c r="E29" s="2"/>
      <c r="F29" s="2"/>
      <c r="G29" s="2"/>
      <c r="H29" s="2"/>
      <c r="I29" s="76">
        <f>I11+I27</f>
        <v>194264169</v>
      </c>
      <c r="J29" s="76">
        <f>J11+J27</f>
        <v>31156618</v>
      </c>
      <c r="K29" s="76">
        <f>K11+K27</f>
        <v>-29309598</v>
      </c>
      <c r="L29" s="76">
        <f>L11+L27</f>
        <v>1506187</v>
      </c>
      <c r="M29" s="76">
        <f>M11+M27</f>
        <v>197617376</v>
      </c>
      <c r="N29" s="58">
        <f>SUM(N8:N27)</f>
        <v>197617376</v>
      </c>
    </row>
    <row r="30" spans="1:19" ht="18.75">
      <c r="A30" s="34"/>
      <c r="B30" s="34"/>
      <c r="C30" s="34"/>
      <c r="D30" s="34"/>
      <c r="E30" s="34"/>
      <c r="F30" s="34"/>
      <c r="G30" s="34"/>
      <c r="H30" s="34"/>
      <c r="I30" s="34"/>
      <c r="J30" s="34"/>
      <c r="K30" s="34"/>
      <c r="L30" s="34"/>
      <c r="M30" s="34"/>
      <c r="N30" s="34"/>
      <c r="O30" s="34"/>
      <c r="P30" s="34"/>
      <c r="Q30" s="34"/>
      <c r="R30" s="34"/>
      <c r="S30" s="34"/>
    </row>
    <row r="31" spans="1:19" ht="18.75">
      <c r="A31" s="34"/>
      <c r="B31" s="34"/>
      <c r="C31" s="34"/>
      <c r="D31" s="34"/>
      <c r="E31" s="34"/>
      <c r="F31" s="34"/>
      <c r="G31" s="34"/>
      <c r="H31" s="34"/>
      <c r="I31" s="34"/>
      <c r="J31" s="34"/>
      <c r="K31" s="34"/>
      <c r="L31" s="34"/>
      <c r="M31" s="34"/>
      <c r="N31" s="34"/>
      <c r="O31" s="34"/>
      <c r="P31" s="34"/>
      <c r="Q31" s="34"/>
      <c r="R31" s="34"/>
      <c r="S31" s="34"/>
    </row>
    <row r="32" spans="1:19" ht="18.75">
      <c r="A32" s="1" t="s">
        <v>402</v>
      </c>
      <c r="B32" s="1"/>
      <c r="C32" s="1"/>
      <c r="D32" s="1"/>
      <c r="E32" s="1"/>
      <c r="F32" s="1"/>
      <c r="G32" s="2"/>
      <c r="H32" s="2"/>
      <c r="I32" s="40"/>
      <c r="J32" s="40"/>
      <c r="K32" s="40"/>
      <c r="L32" s="40"/>
      <c r="M32" s="40"/>
    </row>
    <row r="33" spans="1:14" ht="18.75">
      <c r="A33" s="2" t="s">
        <v>10</v>
      </c>
      <c r="B33" s="2"/>
      <c r="C33" s="2"/>
      <c r="D33" s="2"/>
      <c r="E33" s="2"/>
      <c r="F33" s="2"/>
      <c r="G33" s="2"/>
      <c r="H33" s="2"/>
      <c r="I33" s="40">
        <v>824777</v>
      </c>
      <c r="J33" s="40"/>
      <c r="K33" s="40"/>
      <c r="L33" s="40"/>
      <c r="M33" s="40">
        <f>SUM(I33:L33)</f>
        <v>824777</v>
      </c>
      <c r="N33" s="58">
        <f>M33</f>
        <v>824777</v>
      </c>
    </row>
    <row r="34" spans="1:14" ht="18.75">
      <c r="A34" s="2" t="s">
        <v>11</v>
      </c>
      <c r="B34" s="2"/>
      <c r="C34" s="2"/>
      <c r="D34" s="2"/>
      <c r="E34" s="2"/>
      <c r="F34" s="2"/>
      <c r="G34" s="2"/>
      <c r="H34" s="2"/>
      <c r="I34" s="40">
        <v>5726853</v>
      </c>
      <c r="J34" s="40">
        <v>1286520</v>
      </c>
      <c r="K34" s="40">
        <v>-3068635</v>
      </c>
      <c r="L34" s="40"/>
      <c r="M34" s="40">
        <f>SUM(I34:L34)</f>
        <v>3944738</v>
      </c>
      <c r="N34" s="58">
        <f>M34</f>
        <v>3944738</v>
      </c>
    </row>
    <row r="35" spans="1:14" ht="18.75">
      <c r="A35" s="1"/>
      <c r="B35" s="1" t="s">
        <v>68</v>
      </c>
      <c r="C35" s="1"/>
      <c r="D35" s="1"/>
      <c r="E35" s="1"/>
      <c r="F35" s="1"/>
      <c r="G35" s="1"/>
      <c r="H35" s="1"/>
      <c r="I35" s="80">
        <f>SUM(I33:I34)</f>
        <v>6551630</v>
      </c>
      <c r="J35" s="80">
        <f>SUM(J33:J34)</f>
        <v>1286520</v>
      </c>
      <c r="K35" s="80">
        <f>SUM(K33:K34)</f>
        <v>-3068635</v>
      </c>
      <c r="L35" s="80">
        <f>SUM(L33:L34)</f>
        <v>0</v>
      </c>
      <c r="M35" s="80">
        <f>SUM(M33:M34)</f>
        <v>4769515</v>
      </c>
    </row>
    <row r="36" spans="1:14" ht="18.75">
      <c r="A36" s="1"/>
      <c r="B36" s="1"/>
      <c r="C36" s="1"/>
      <c r="D36" s="1"/>
      <c r="E36" s="1"/>
      <c r="F36" s="1"/>
      <c r="G36" s="1"/>
      <c r="H36" s="1"/>
      <c r="I36" s="81"/>
      <c r="J36" s="81"/>
      <c r="K36" s="81"/>
      <c r="L36" s="81"/>
      <c r="M36" s="81"/>
    </row>
    <row r="37" spans="1:14" ht="18.75">
      <c r="A37" s="1" t="s">
        <v>371</v>
      </c>
      <c r="B37" s="2"/>
      <c r="C37" s="2"/>
      <c r="D37" s="2"/>
      <c r="E37" s="2"/>
      <c r="F37" s="2"/>
      <c r="G37" s="2"/>
      <c r="H37" s="2"/>
      <c r="I37" s="2"/>
      <c r="J37" s="2"/>
      <c r="K37" s="2"/>
      <c r="L37" s="2"/>
      <c r="M37" s="2"/>
    </row>
    <row r="38" spans="1:14" ht="18.75">
      <c r="A38" s="2" t="s">
        <v>424</v>
      </c>
      <c r="B38" s="2"/>
      <c r="C38" s="2"/>
      <c r="D38" s="2"/>
      <c r="E38" s="2"/>
      <c r="F38" s="2"/>
      <c r="G38" s="2"/>
      <c r="H38" s="2"/>
      <c r="I38" s="2">
        <v>207957654</v>
      </c>
      <c r="J38" s="2">
        <v>5135156</v>
      </c>
      <c r="K38" s="2">
        <v>-17628</v>
      </c>
      <c r="L38" s="2">
        <v>567731</v>
      </c>
      <c r="M38" s="2">
        <f>SUM(I38:L38)</f>
        <v>213642913</v>
      </c>
    </row>
    <row r="39" spans="1:14" ht="18.75">
      <c r="A39" s="2" t="s">
        <v>15</v>
      </c>
      <c r="B39" s="2"/>
      <c r="C39" s="2"/>
      <c r="D39" s="2"/>
      <c r="E39" s="2"/>
      <c r="F39" s="2"/>
      <c r="G39" s="2"/>
      <c r="H39" s="2"/>
      <c r="I39" s="2">
        <v>15333137</v>
      </c>
      <c r="J39" s="2">
        <v>387981</v>
      </c>
      <c r="K39" s="2">
        <v>-18000</v>
      </c>
      <c r="L39" s="2">
        <v>-111977</v>
      </c>
      <c r="M39" s="2">
        <f>SUM(I39:L39)</f>
        <v>15591141</v>
      </c>
    </row>
    <row r="40" spans="1:14" ht="18.75">
      <c r="A40" s="1"/>
      <c r="B40" s="1"/>
      <c r="C40" s="1" t="s">
        <v>18</v>
      </c>
      <c r="D40" s="1"/>
      <c r="E40" s="1"/>
      <c r="F40" s="2"/>
      <c r="G40" s="2"/>
      <c r="H40" s="2"/>
      <c r="I40" s="76">
        <f>SUM(I38:I39)</f>
        <v>223290791</v>
      </c>
      <c r="J40" s="76">
        <f>SUM(J38:J39)</f>
        <v>5523137</v>
      </c>
      <c r="K40" s="76">
        <f>SUM(K38:K39)</f>
        <v>-35628</v>
      </c>
      <c r="L40" s="76">
        <f>SUM(L38:L39)</f>
        <v>455754</v>
      </c>
      <c r="M40" s="76">
        <f>SUM(M38:M39)</f>
        <v>229234054</v>
      </c>
    </row>
    <row r="41" spans="1:14" ht="18.75">
      <c r="A41" s="1"/>
      <c r="B41" s="1"/>
      <c r="C41" s="1"/>
      <c r="D41" s="1"/>
      <c r="E41" s="1"/>
      <c r="F41" s="2"/>
      <c r="G41" s="2"/>
      <c r="H41" s="2"/>
      <c r="I41" s="87"/>
      <c r="J41" s="87"/>
      <c r="K41" s="87"/>
      <c r="L41" s="87"/>
      <c r="M41" s="87"/>
    </row>
    <row r="42" spans="1:14" ht="18.75">
      <c r="A42" s="1" t="s">
        <v>19</v>
      </c>
      <c r="B42" s="2"/>
      <c r="C42" s="2"/>
      <c r="D42" s="2"/>
      <c r="E42" s="2"/>
      <c r="F42" s="2"/>
      <c r="G42" s="2"/>
      <c r="H42" s="2"/>
      <c r="I42" s="2"/>
      <c r="J42" s="40"/>
      <c r="K42" s="40"/>
      <c r="L42" s="40"/>
      <c r="M42" s="40"/>
    </row>
    <row r="43" spans="1:14" ht="18.75">
      <c r="A43" s="2" t="s">
        <v>424</v>
      </c>
      <c r="B43" s="2"/>
      <c r="C43" s="2"/>
      <c r="D43" s="2"/>
      <c r="E43" s="2"/>
      <c r="F43" s="2"/>
      <c r="G43" s="2"/>
      <c r="H43" s="2"/>
      <c r="I43" s="40">
        <v>-81748123</v>
      </c>
      <c r="J43" s="40">
        <v>-5470809</v>
      </c>
      <c r="K43" s="40">
        <v>3673</v>
      </c>
      <c r="L43" s="40">
        <v>-6500</v>
      </c>
      <c r="M43" s="40">
        <f>SUM(I43:L43)</f>
        <v>-87221759</v>
      </c>
      <c r="N43" s="58">
        <f>M38+M43</f>
        <v>126421154</v>
      </c>
    </row>
    <row r="44" spans="1:14" ht="18.75">
      <c r="A44" s="2" t="s">
        <v>15</v>
      </c>
      <c r="B44" s="2"/>
      <c r="C44" s="2"/>
      <c r="D44" s="2"/>
      <c r="E44" s="2"/>
      <c r="F44" s="2"/>
      <c r="G44" s="2"/>
      <c r="H44" s="2"/>
      <c r="I44" s="40">
        <v>-13294233</v>
      </c>
      <c r="J44" s="40">
        <v>-652496</v>
      </c>
      <c r="K44" s="40">
        <v>18000</v>
      </c>
      <c r="L44" s="40">
        <v>112199</v>
      </c>
      <c r="M44" s="40">
        <f>SUM(I44:L44)</f>
        <v>-13816530</v>
      </c>
      <c r="N44" s="58">
        <f>M39+M44</f>
        <v>1774611</v>
      </c>
    </row>
    <row r="45" spans="1:14" ht="18.75">
      <c r="A45" s="1"/>
      <c r="B45" s="1"/>
      <c r="C45" s="1" t="s">
        <v>20</v>
      </c>
      <c r="D45" s="1"/>
      <c r="E45" s="2"/>
      <c r="F45" s="2"/>
      <c r="G45" s="2"/>
      <c r="H45" s="2"/>
      <c r="I45" s="76">
        <f>SUM(I43:I44)</f>
        <v>-95042356</v>
      </c>
      <c r="J45" s="76">
        <f>SUM(J43:J44)</f>
        <v>-6123305</v>
      </c>
      <c r="K45" s="76">
        <f>SUM(K43:K44)</f>
        <v>21673</v>
      </c>
      <c r="L45" s="76">
        <f>SUM(L43:L44)</f>
        <v>105699</v>
      </c>
      <c r="M45" s="76">
        <f>SUM(M43:M44)</f>
        <v>-101038289</v>
      </c>
    </row>
    <row r="46" spans="1:14" ht="18.75">
      <c r="A46" s="1"/>
      <c r="B46" s="1"/>
      <c r="C46" s="1"/>
      <c r="D46" s="1"/>
      <c r="E46" s="2"/>
      <c r="F46" s="2"/>
      <c r="G46" s="2"/>
      <c r="H46" s="2"/>
      <c r="I46" s="76"/>
      <c r="J46" s="76"/>
      <c r="K46" s="76"/>
      <c r="L46" s="76"/>
      <c r="M46" s="76"/>
    </row>
    <row r="47" spans="1:14" ht="18.75">
      <c r="A47" s="1" t="s">
        <v>21</v>
      </c>
      <c r="B47" s="1"/>
      <c r="C47" s="1"/>
      <c r="D47" s="1"/>
      <c r="E47" s="2"/>
      <c r="F47" s="2"/>
      <c r="G47" s="2"/>
      <c r="H47" s="2"/>
      <c r="I47" s="76">
        <f>SUM(I40+I45)</f>
        <v>128248435</v>
      </c>
      <c r="J47" s="76">
        <f t="shared" ref="J47:M47" si="1">SUM(J40+J45)</f>
        <v>-600168</v>
      </c>
      <c r="K47" s="76">
        <f t="shared" si="1"/>
        <v>-13955</v>
      </c>
      <c r="L47" s="76">
        <f t="shared" si="1"/>
        <v>561453</v>
      </c>
      <c r="M47" s="76">
        <f t="shared" si="1"/>
        <v>128195765</v>
      </c>
    </row>
    <row r="48" spans="1:14" ht="18.75">
      <c r="A48" s="1"/>
      <c r="B48" s="1"/>
      <c r="C48" s="1"/>
      <c r="D48" s="1"/>
      <c r="E48" s="2"/>
      <c r="F48" s="2"/>
      <c r="G48" s="2"/>
      <c r="H48" s="2"/>
      <c r="I48" s="76"/>
      <c r="J48" s="76"/>
      <c r="K48" s="76"/>
      <c r="L48" s="76"/>
      <c r="M48" s="76"/>
    </row>
    <row r="49" spans="1:14" ht="18.75">
      <c r="A49" s="1" t="s">
        <v>425</v>
      </c>
      <c r="B49" s="98"/>
      <c r="C49" s="1"/>
      <c r="D49" s="2"/>
      <c r="E49" s="2"/>
      <c r="F49" s="2"/>
      <c r="G49" s="2"/>
      <c r="H49" s="2"/>
      <c r="I49" s="76">
        <f>I35+I47</f>
        <v>134800065</v>
      </c>
      <c r="J49" s="76">
        <f>J35+J47</f>
        <v>686352</v>
      </c>
      <c r="K49" s="76">
        <f>K35+K47</f>
        <v>-3082590</v>
      </c>
      <c r="L49" s="76">
        <f>L35+L47</f>
        <v>561453</v>
      </c>
      <c r="M49" s="76">
        <f>M35+M47</f>
        <v>132965280</v>
      </c>
      <c r="N49" s="58">
        <f>SUM(N33:N47)</f>
        <v>132965280</v>
      </c>
    </row>
    <row r="58" spans="1:14" ht="18.75">
      <c r="I58" s="87"/>
    </row>
  </sheetData>
  <mergeCells count="3">
    <mergeCell ref="D1:I1"/>
    <mergeCell ref="D2:I2"/>
    <mergeCell ref="D3:I3"/>
  </mergeCells>
  <pageMargins left="0.7" right="0.7" top="0.75" bottom="0.75" header="0.3" footer="0.3"/>
  <extLst>
    <ext xmlns:mx="http://schemas.microsoft.com/office/mac/excel/2008/main" uri="{64002731-A6B0-56B0-2670-7721B7C09600}">
      <mx:PLV Mode="0" OnePage="0" WScale="0"/>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N25"/>
  <sheetViews>
    <sheetView workbookViewId="0">
      <selection activeCell="M24" sqref="M24"/>
    </sheetView>
  </sheetViews>
  <sheetFormatPr defaultColWidth="8.85546875" defaultRowHeight="15"/>
  <cols>
    <col min="9" max="9" width="15.140625" bestFit="1" customWidth="1"/>
    <col min="10" max="10" width="14.28515625" bestFit="1" customWidth="1"/>
    <col min="11" max="11" width="13.7109375" bestFit="1" customWidth="1"/>
    <col min="12" max="12" width="15.7109375" customWidth="1"/>
    <col min="13" max="13" width="15.140625" bestFit="1" customWidth="1"/>
    <col min="14" max="14" width="20.42578125" customWidth="1"/>
  </cols>
  <sheetData>
    <row r="1" spans="1:14" ht="18.75">
      <c r="A1" s="2"/>
      <c r="B1" s="2"/>
      <c r="C1" s="2"/>
      <c r="D1" s="136" t="s">
        <v>426</v>
      </c>
      <c r="E1" s="136"/>
      <c r="F1" s="136"/>
      <c r="G1" s="136"/>
      <c r="H1" s="136"/>
      <c r="I1" s="136"/>
      <c r="J1" s="2"/>
      <c r="K1" s="2"/>
      <c r="L1" s="2"/>
      <c r="M1" s="2"/>
    </row>
    <row r="2" spans="1:14" ht="18.75">
      <c r="A2" s="2"/>
      <c r="B2" s="2"/>
      <c r="C2" s="2"/>
      <c r="D2" s="136" t="s">
        <v>1</v>
      </c>
      <c r="E2" s="136"/>
      <c r="F2" s="136"/>
      <c r="G2" s="136"/>
      <c r="H2" s="136"/>
      <c r="I2" s="136"/>
      <c r="J2" s="2"/>
      <c r="K2" s="2"/>
      <c r="L2" s="2"/>
      <c r="M2" s="2"/>
    </row>
    <row r="3" spans="1:14" ht="18.75">
      <c r="A3" s="2"/>
      <c r="B3" s="2"/>
      <c r="C3" s="2"/>
      <c r="D3" s="136" t="s">
        <v>2</v>
      </c>
      <c r="E3" s="136"/>
      <c r="F3" s="136"/>
      <c r="G3" s="136"/>
      <c r="H3" s="136"/>
      <c r="I3" s="136"/>
      <c r="J3" s="2"/>
      <c r="K3" s="2"/>
      <c r="L3" s="2"/>
      <c r="M3" s="2"/>
    </row>
    <row r="4" spans="1:14" ht="18.75">
      <c r="A4" s="2"/>
      <c r="B4" s="2"/>
      <c r="C4" s="2"/>
      <c r="D4" s="69"/>
      <c r="E4" s="69"/>
      <c r="F4" s="69"/>
      <c r="G4" s="69"/>
      <c r="H4" s="69"/>
      <c r="I4" s="69"/>
      <c r="J4" s="2"/>
      <c r="K4" s="2"/>
      <c r="L4" s="2"/>
      <c r="M4" s="2"/>
    </row>
    <row r="5" spans="1:14" ht="37.5">
      <c r="A5" s="2"/>
      <c r="B5" s="2"/>
      <c r="C5" s="2"/>
      <c r="D5" s="2"/>
      <c r="E5" s="2"/>
      <c r="F5" s="2"/>
      <c r="G5" s="2"/>
      <c r="H5" s="2"/>
      <c r="I5" s="71" t="s">
        <v>3</v>
      </c>
      <c r="J5" s="71" t="s">
        <v>4</v>
      </c>
      <c r="K5" s="71" t="s">
        <v>5</v>
      </c>
      <c r="L5" s="71" t="s">
        <v>150</v>
      </c>
      <c r="M5" s="71" t="s">
        <v>6</v>
      </c>
      <c r="N5" s="71" t="s">
        <v>7</v>
      </c>
    </row>
    <row r="6" spans="1:14" ht="18.75">
      <c r="A6" s="1" t="s">
        <v>427</v>
      </c>
      <c r="B6" s="1"/>
      <c r="C6" s="1"/>
      <c r="D6" s="1"/>
      <c r="E6" s="1"/>
      <c r="F6" s="1"/>
      <c r="G6" s="2"/>
      <c r="H6" s="2"/>
      <c r="I6" s="2"/>
      <c r="J6" s="2"/>
      <c r="K6" s="2"/>
      <c r="L6" s="2"/>
      <c r="M6" s="2"/>
    </row>
    <row r="7" spans="1:14" ht="18.75">
      <c r="A7" s="1" t="s">
        <v>9</v>
      </c>
      <c r="B7" s="1"/>
      <c r="C7" s="1"/>
      <c r="D7" s="1"/>
      <c r="E7" s="1"/>
      <c r="F7" s="1"/>
      <c r="G7" s="2"/>
      <c r="H7" s="2"/>
      <c r="I7" s="40"/>
      <c r="J7" s="40"/>
      <c r="K7" s="40"/>
      <c r="L7" s="40"/>
      <c r="M7" s="40"/>
    </row>
    <row r="8" spans="1:14" ht="18.75">
      <c r="A8" s="2"/>
      <c r="B8" s="2" t="s">
        <v>10</v>
      </c>
      <c r="C8" s="2"/>
      <c r="D8" s="2"/>
      <c r="E8" s="2"/>
      <c r="F8" s="2"/>
      <c r="G8" s="2"/>
      <c r="H8" s="2"/>
      <c r="I8" s="40">
        <v>227865</v>
      </c>
      <c r="J8" s="40">
        <v>7171</v>
      </c>
      <c r="K8" s="40"/>
      <c r="L8" s="40"/>
      <c r="M8" s="40">
        <f>SUM(I8:L8)</f>
        <v>235036</v>
      </c>
      <c r="N8" s="58">
        <f>M8</f>
        <v>235036</v>
      </c>
    </row>
    <row r="9" spans="1:14" ht="18.75">
      <c r="A9" s="2"/>
      <c r="B9" s="2" t="s">
        <v>11</v>
      </c>
      <c r="C9" s="2"/>
      <c r="D9" s="2"/>
      <c r="E9" s="2"/>
      <c r="F9" s="2"/>
      <c r="G9" s="2"/>
      <c r="H9" s="2"/>
      <c r="I9" s="2">
        <v>1476353</v>
      </c>
      <c r="J9" s="2">
        <v>1328450</v>
      </c>
      <c r="K9" s="2">
        <v>-700436</v>
      </c>
      <c r="L9" s="2"/>
      <c r="M9" s="40">
        <f>SUM(I9:L9)</f>
        <v>2104367</v>
      </c>
      <c r="N9" s="58">
        <f>M9</f>
        <v>2104367</v>
      </c>
    </row>
    <row r="10" spans="1:14" ht="18.75">
      <c r="A10" s="1"/>
      <c r="B10" s="1"/>
      <c r="C10" s="1" t="s">
        <v>68</v>
      </c>
      <c r="D10" s="1"/>
      <c r="E10" s="1"/>
      <c r="F10" s="1"/>
      <c r="G10" s="1"/>
      <c r="H10" s="1"/>
      <c r="I10" s="85">
        <f>SUM(I8:I9)</f>
        <v>1704218</v>
      </c>
      <c r="J10" s="85">
        <f>SUM(J8:J9)</f>
        <v>1335621</v>
      </c>
      <c r="K10" s="85">
        <f>SUM(K8:K9)</f>
        <v>-700436</v>
      </c>
      <c r="L10" s="85">
        <f>SUM(L8:L9)</f>
        <v>0</v>
      </c>
      <c r="M10" s="85">
        <f>SUM(M8:M9)</f>
        <v>2339403</v>
      </c>
    </row>
    <row r="11" spans="1:14" ht="18.75">
      <c r="A11" s="2"/>
      <c r="B11" s="2"/>
      <c r="C11" s="2"/>
      <c r="D11" s="2"/>
      <c r="E11" s="2"/>
      <c r="F11" s="2"/>
      <c r="G11" s="2"/>
      <c r="H11" s="2"/>
      <c r="I11" s="2"/>
      <c r="J11" s="2"/>
      <c r="K11" s="2"/>
      <c r="L11" s="2"/>
      <c r="M11" s="2"/>
    </row>
    <row r="12" spans="1:14" ht="18.75">
      <c r="A12" s="1" t="s">
        <v>371</v>
      </c>
      <c r="B12" s="2"/>
      <c r="C12" s="2"/>
      <c r="D12" s="2"/>
      <c r="E12" s="2"/>
      <c r="F12" s="2"/>
      <c r="G12" s="2"/>
      <c r="H12" s="2"/>
      <c r="I12" s="2"/>
      <c r="J12" s="2"/>
      <c r="K12" s="2"/>
      <c r="L12" s="2"/>
      <c r="M12" s="2"/>
    </row>
    <row r="13" spans="1:14" ht="18.75">
      <c r="A13" s="2"/>
      <c r="B13" s="2" t="s">
        <v>14</v>
      </c>
      <c r="C13" s="2"/>
      <c r="D13" s="2"/>
      <c r="E13" s="2"/>
      <c r="F13" s="2"/>
      <c r="G13" s="2"/>
      <c r="H13" s="2"/>
      <c r="I13" s="2">
        <v>4411952</v>
      </c>
      <c r="J13" s="40">
        <v>1395319</v>
      </c>
      <c r="K13" s="40"/>
      <c r="L13" s="40"/>
      <c r="M13" s="40">
        <f>SUM(I13:L13)</f>
        <v>5807271</v>
      </c>
    </row>
    <row r="14" spans="1:14" ht="18.75">
      <c r="A14" s="2"/>
      <c r="B14" s="2" t="s">
        <v>428</v>
      </c>
      <c r="C14" s="2"/>
      <c r="D14" s="2"/>
      <c r="E14" s="2"/>
      <c r="F14" s="2"/>
      <c r="G14" s="2"/>
      <c r="H14" s="2"/>
      <c r="I14" s="2">
        <v>6225882</v>
      </c>
      <c r="J14" s="40">
        <v>410669</v>
      </c>
      <c r="K14" s="40">
        <v>-52894</v>
      </c>
      <c r="L14" s="40"/>
      <c r="M14" s="40">
        <f>SUM(I14:L14)</f>
        <v>6583657</v>
      </c>
    </row>
    <row r="15" spans="1:14" ht="18.75">
      <c r="A15" s="2"/>
      <c r="B15" s="2" t="s">
        <v>414</v>
      </c>
      <c r="C15" s="2"/>
      <c r="D15" s="2"/>
      <c r="E15" s="2"/>
      <c r="F15" s="2"/>
      <c r="G15" s="2"/>
      <c r="H15" s="2"/>
      <c r="I15" s="2">
        <v>6851788</v>
      </c>
      <c r="J15" s="40">
        <v>3685987</v>
      </c>
      <c r="K15" s="40"/>
      <c r="L15" s="40"/>
      <c r="M15" s="40">
        <f>SUM(I15:L15)</f>
        <v>10537775</v>
      </c>
    </row>
    <row r="16" spans="1:14" ht="18.75">
      <c r="A16" s="2"/>
      <c r="B16" s="2"/>
      <c r="C16" s="1" t="s">
        <v>18</v>
      </c>
      <c r="D16" s="2"/>
      <c r="E16" s="2"/>
      <c r="F16" s="2"/>
      <c r="G16" s="2"/>
      <c r="H16" s="2"/>
      <c r="I16" s="86">
        <f>SUM(I13:I15)</f>
        <v>17489622</v>
      </c>
      <c r="J16" s="86">
        <f>SUM(J13:J15)</f>
        <v>5491975</v>
      </c>
      <c r="K16" s="86">
        <f>SUM(K13:K15)</f>
        <v>-52894</v>
      </c>
      <c r="L16" s="86">
        <f>SUM(L13:L15)</f>
        <v>0</v>
      </c>
      <c r="M16" s="86">
        <f>SUM(M13:M15)</f>
        <v>22928703</v>
      </c>
    </row>
    <row r="17" spans="1:14" ht="18.75">
      <c r="A17" s="2"/>
      <c r="B17" s="2"/>
      <c r="C17" s="2"/>
      <c r="D17" s="2"/>
      <c r="E17" s="2"/>
      <c r="F17" s="2"/>
      <c r="G17" s="2"/>
      <c r="H17" s="2"/>
      <c r="I17" s="2"/>
      <c r="J17" s="2"/>
      <c r="K17" s="2"/>
      <c r="L17" s="2"/>
      <c r="M17" s="2"/>
    </row>
    <row r="18" spans="1:14" ht="18.75">
      <c r="A18" s="1" t="s">
        <v>376</v>
      </c>
      <c r="B18" s="2"/>
      <c r="C18" s="2"/>
      <c r="D18" s="2"/>
      <c r="E18" s="2"/>
      <c r="F18" s="2"/>
      <c r="G18" s="2"/>
      <c r="H18" s="2"/>
      <c r="I18" s="2"/>
      <c r="J18" s="40"/>
      <c r="K18" s="40"/>
      <c r="L18" s="40"/>
      <c r="M18" s="40"/>
    </row>
    <row r="19" spans="1:14" ht="18.75">
      <c r="A19" s="2"/>
      <c r="B19" s="2" t="s">
        <v>14</v>
      </c>
      <c r="C19" s="2"/>
      <c r="D19" s="2"/>
      <c r="E19" s="2"/>
      <c r="F19" s="2"/>
      <c r="G19" s="2"/>
      <c r="H19" s="2"/>
      <c r="I19" s="40">
        <v>-1917855</v>
      </c>
      <c r="J19" s="40">
        <v>-119046</v>
      </c>
      <c r="K19" s="40"/>
      <c r="L19" s="40"/>
      <c r="M19" s="40">
        <f>SUM(I19:L19)</f>
        <v>-2036901</v>
      </c>
      <c r="N19" s="58">
        <f>M13+M19</f>
        <v>3770370</v>
      </c>
    </row>
    <row r="20" spans="1:14" ht="18.75">
      <c r="A20" s="2"/>
      <c r="B20" s="2" t="s">
        <v>101</v>
      </c>
      <c r="C20" s="2"/>
      <c r="D20" s="2"/>
      <c r="E20" s="2"/>
      <c r="F20" s="2"/>
      <c r="G20" s="2"/>
      <c r="H20" s="2"/>
      <c r="I20" s="40">
        <v>-3667007</v>
      </c>
      <c r="J20" s="40">
        <v>-497192</v>
      </c>
      <c r="K20" s="40">
        <v>43073</v>
      </c>
      <c r="L20" s="40"/>
      <c r="M20" s="40">
        <f>SUM(I20:L20)</f>
        <v>-4121126</v>
      </c>
      <c r="N20" s="58">
        <f>M14+M20</f>
        <v>2462531</v>
      </c>
    </row>
    <row r="21" spans="1:14" ht="18.75">
      <c r="A21" s="2"/>
      <c r="B21" s="2" t="s">
        <v>17</v>
      </c>
      <c r="C21" s="2"/>
      <c r="D21" s="2"/>
      <c r="E21" s="2"/>
      <c r="F21" s="2"/>
      <c r="G21" s="2"/>
      <c r="H21" s="2"/>
      <c r="I21" s="40">
        <v>-1069772</v>
      </c>
      <c r="J21" s="40">
        <v>-172842</v>
      </c>
      <c r="K21" s="40"/>
      <c r="L21" s="40"/>
      <c r="M21" s="40">
        <f>SUM(I21:L21)</f>
        <v>-1242614</v>
      </c>
      <c r="N21" s="58">
        <f>M15+M21</f>
        <v>9295161</v>
      </c>
    </row>
    <row r="22" spans="1:14" ht="18.75">
      <c r="A22" s="1"/>
      <c r="B22" s="2"/>
      <c r="C22" s="1" t="s">
        <v>20</v>
      </c>
      <c r="D22" s="2"/>
      <c r="E22" s="2"/>
      <c r="F22" s="2"/>
      <c r="G22" s="2"/>
      <c r="H22" s="2"/>
      <c r="I22" s="76">
        <f>SUM(I19:I21)</f>
        <v>-6654634</v>
      </c>
      <c r="J22" s="76">
        <f>SUM(J19:J21)</f>
        <v>-789080</v>
      </c>
      <c r="K22" s="76">
        <f>SUM(K19:K21)</f>
        <v>43073</v>
      </c>
      <c r="L22" s="76">
        <f>SUM(L19:L21)</f>
        <v>0</v>
      </c>
      <c r="M22" s="76">
        <f>SUM(M19:M21)</f>
        <v>-7400641</v>
      </c>
    </row>
    <row r="23" spans="1:14" ht="18.75">
      <c r="A23" s="2"/>
      <c r="B23" s="2"/>
      <c r="C23" s="2"/>
      <c r="D23" s="2"/>
      <c r="E23" s="2"/>
      <c r="F23" s="2"/>
      <c r="G23" s="2"/>
      <c r="H23" s="2"/>
      <c r="I23" s="2"/>
      <c r="J23" s="2"/>
      <c r="K23" s="2"/>
      <c r="L23" s="2"/>
      <c r="M23" s="2"/>
    </row>
    <row r="24" spans="1:14" ht="18.75">
      <c r="A24" s="1" t="s">
        <v>373</v>
      </c>
      <c r="B24" s="2"/>
      <c r="C24" s="1"/>
      <c r="D24" s="2"/>
      <c r="E24" s="2"/>
      <c r="F24" s="2"/>
      <c r="G24" s="2"/>
      <c r="H24" s="2"/>
      <c r="I24" s="76">
        <f>I16+I22</f>
        <v>10834988</v>
      </c>
      <c r="J24" s="76">
        <f>J16+J22</f>
        <v>4702895</v>
      </c>
      <c r="K24" s="76">
        <f>K16+K22</f>
        <v>-9821</v>
      </c>
      <c r="L24" s="76">
        <f>L16+L22</f>
        <v>0</v>
      </c>
      <c r="M24" s="76">
        <f>M16+M22</f>
        <v>15528062</v>
      </c>
    </row>
    <row r="25" spans="1:14" ht="18.75">
      <c r="A25" s="1" t="s">
        <v>429</v>
      </c>
      <c r="B25" s="2"/>
      <c r="C25" s="1"/>
      <c r="D25" s="2"/>
      <c r="E25" s="2"/>
      <c r="F25" s="2"/>
      <c r="G25" s="2"/>
      <c r="H25" s="2"/>
      <c r="I25" s="76">
        <f>I10+I24</f>
        <v>12539206</v>
      </c>
      <c r="J25" s="76">
        <f>J10+J24</f>
        <v>6038516</v>
      </c>
      <c r="K25" s="76">
        <f>K10+K24</f>
        <v>-710257</v>
      </c>
      <c r="L25" s="76">
        <f>L10+L24</f>
        <v>0</v>
      </c>
      <c r="M25" s="76">
        <f>M10+M24</f>
        <v>17867465</v>
      </c>
      <c r="N25" s="58">
        <f>SUM(N8:N23)</f>
        <v>17867465</v>
      </c>
    </row>
  </sheetData>
  <mergeCells count="3">
    <mergeCell ref="D1:I1"/>
    <mergeCell ref="D2:I2"/>
    <mergeCell ref="D3:I3"/>
  </mergeCells>
  <pageMargins left="0.7" right="0.7" top="0.75" bottom="0.75" header="0.3" footer="0.3"/>
  <extLst>
    <ext xmlns:mx="http://schemas.microsoft.com/office/mac/excel/2008/main" uri="{64002731-A6B0-56B0-2670-7721B7C09600}">
      <mx:PLV Mode="0" OnePage="0" WScale="0"/>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O58"/>
  <sheetViews>
    <sheetView topLeftCell="A18" zoomScale="80" zoomScaleNormal="80" zoomScalePageLayoutView="80" workbookViewId="0">
      <selection activeCell="I50" sqref="I50"/>
    </sheetView>
  </sheetViews>
  <sheetFormatPr defaultColWidth="8.85546875" defaultRowHeight="18.75"/>
  <cols>
    <col min="1" max="1" width="4.42578125" style="2" customWidth="1"/>
    <col min="2" max="3" width="4.7109375" style="2" customWidth="1"/>
    <col min="4" max="6" width="8.85546875" style="2"/>
    <col min="7" max="7" width="14.28515625" style="2" bestFit="1" customWidth="1"/>
    <col min="8" max="8" width="12.7109375" style="2" bestFit="1" customWidth="1"/>
    <col min="9" max="9" width="18.85546875" style="2" customWidth="1"/>
    <col min="10" max="10" width="16.85546875" style="2" bestFit="1" customWidth="1"/>
    <col min="11" max="11" width="20" style="2" bestFit="1" customWidth="1"/>
    <col min="12" max="12" width="20.42578125" style="2" bestFit="1" customWidth="1"/>
    <col min="13" max="13" width="17.7109375" style="2" customWidth="1"/>
    <col min="14" max="16384" width="8.85546875" style="2"/>
  </cols>
  <sheetData>
    <row r="1" spans="1:13">
      <c r="D1" s="136" t="s">
        <v>430</v>
      </c>
      <c r="E1" s="136"/>
      <c r="F1" s="136"/>
      <c r="G1" s="136"/>
      <c r="H1" s="136"/>
      <c r="I1" s="136"/>
    </row>
    <row r="2" spans="1:13">
      <c r="D2" s="136" t="s">
        <v>1</v>
      </c>
      <c r="E2" s="136"/>
      <c r="F2" s="136"/>
      <c r="G2" s="136"/>
      <c r="H2" s="136"/>
      <c r="I2" s="136"/>
    </row>
    <row r="3" spans="1:13">
      <c r="D3" s="136" t="s">
        <v>2</v>
      </c>
      <c r="E3" s="136"/>
      <c r="F3" s="136"/>
      <c r="G3" s="136"/>
      <c r="H3" s="136"/>
      <c r="I3" s="136"/>
    </row>
    <row r="4" spans="1:13" ht="14.25" customHeight="1">
      <c r="D4" s="69"/>
      <c r="E4" s="69"/>
      <c r="F4" s="69"/>
      <c r="G4" s="69"/>
      <c r="H4" s="69"/>
      <c r="I4" s="69"/>
    </row>
    <row r="5" spans="1:13" ht="37.5">
      <c r="I5" s="71" t="s">
        <v>3</v>
      </c>
      <c r="J5" s="71" t="s">
        <v>4</v>
      </c>
      <c r="K5" s="71" t="s">
        <v>5</v>
      </c>
      <c r="L5" s="71" t="s">
        <v>6</v>
      </c>
      <c r="M5" s="1" t="s">
        <v>7</v>
      </c>
    </row>
    <row r="6" spans="1:13">
      <c r="A6" s="1" t="s">
        <v>8</v>
      </c>
      <c r="I6" s="79"/>
      <c r="J6" s="79"/>
      <c r="K6" s="79"/>
      <c r="L6" s="79"/>
    </row>
    <row r="7" spans="1:13">
      <c r="A7" s="1" t="s">
        <v>9</v>
      </c>
      <c r="B7" s="1"/>
      <c r="C7" s="1"/>
      <c r="D7" s="1"/>
      <c r="E7" s="1"/>
      <c r="F7" s="1"/>
      <c r="I7" s="40"/>
      <c r="J7" s="40"/>
      <c r="K7" s="40"/>
      <c r="L7" s="40"/>
    </row>
    <row r="8" spans="1:13">
      <c r="B8" s="2" t="s">
        <v>10</v>
      </c>
      <c r="I8" s="40">
        <v>17858242</v>
      </c>
      <c r="J8" s="40">
        <v>3482122</v>
      </c>
      <c r="K8" s="40"/>
      <c r="L8" s="40">
        <f>SUM(I8:K8)</f>
        <v>21340364</v>
      </c>
      <c r="M8" s="40">
        <f>L8</f>
        <v>21340364</v>
      </c>
    </row>
    <row r="9" spans="1:13">
      <c r="B9" s="2" t="s">
        <v>11</v>
      </c>
      <c r="I9" s="2">
        <v>1874609</v>
      </c>
      <c r="J9" s="2">
        <v>5365677</v>
      </c>
      <c r="K9" s="2">
        <v>-64331</v>
      </c>
      <c r="L9" s="40">
        <f>SUM(I9:K9)</f>
        <v>7175955</v>
      </c>
      <c r="M9" s="40">
        <f>L9</f>
        <v>7175955</v>
      </c>
    </row>
    <row r="10" spans="1:13">
      <c r="A10" s="1"/>
      <c r="B10" s="1"/>
      <c r="C10" s="1" t="s">
        <v>68</v>
      </c>
      <c r="D10" s="1"/>
      <c r="E10" s="1"/>
      <c r="F10" s="1"/>
      <c r="G10" s="1"/>
      <c r="H10" s="1"/>
      <c r="I10" s="85">
        <f>SUM(I8:I9)</f>
        <v>19732851</v>
      </c>
      <c r="J10" s="85">
        <f>SUM(J8:J9)</f>
        <v>8847799</v>
      </c>
      <c r="K10" s="85">
        <f>SUM(K8:K9)</f>
        <v>-64331</v>
      </c>
      <c r="L10" s="85">
        <f>SUM(L8:L9)</f>
        <v>28516319</v>
      </c>
      <c r="M10" s="1"/>
    </row>
    <row r="12" spans="1:13">
      <c r="A12" s="1" t="s">
        <v>403</v>
      </c>
    </row>
    <row r="13" spans="1:13">
      <c r="A13" s="2" t="s">
        <v>32</v>
      </c>
      <c r="I13" s="2">
        <v>21171854</v>
      </c>
      <c r="J13" s="40">
        <v>89220</v>
      </c>
      <c r="K13" s="40"/>
      <c r="L13" s="40">
        <f>SUM(I13:K13)</f>
        <v>21261074</v>
      </c>
    </row>
    <row r="14" spans="1:13">
      <c r="A14" s="2" t="s">
        <v>52</v>
      </c>
      <c r="I14" s="2">
        <v>4547372</v>
      </c>
      <c r="J14" s="40">
        <v>140940</v>
      </c>
      <c r="K14" s="40"/>
      <c r="L14" s="40">
        <f>SUM(I14:K14)</f>
        <v>4688312</v>
      </c>
    </row>
    <row r="15" spans="1:13">
      <c r="A15" s="2" t="s">
        <v>15</v>
      </c>
      <c r="I15" s="2">
        <v>14490156</v>
      </c>
      <c r="J15" s="40">
        <v>738481</v>
      </c>
      <c r="K15" s="40">
        <v>-222693</v>
      </c>
      <c r="L15" s="40">
        <f>SUM(I15:K15)</f>
        <v>15005944</v>
      </c>
    </row>
    <row r="16" spans="1:13">
      <c r="A16" s="2" t="s">
        <v>381</v>
      </c>
      <c r="I16" s="2">
        <v>1866846</v>
      </c>
      <c r="J16" s="40">
        <v>70474</v>
      </c>
      <c r="K16" s="40">
        <v>-29817</v>
      </c>
      <c r="L16" s="40">
        <f>SUM(I16:K16)</f>
        <v>1907503</v>
      </c>
    </row>
    <row r="17" spans="1:15">
      <c r="A17" s="2" t="s">
        <v>17</v>
      </c>
      <c r="I17" s="2">
        <v>57551183</v>
      </c>
      <c r="J17" s="40">
        <v>640080</v>
      </c>
      <c r="K17" s="40"/>
      <c r="L17" s="40">
        <f>SUM(I17:K17)</f>
        <v>58191263</v>
      </c>
    </row>
    <row r="18" spans="1:15">
      <c r="B18" s="1" t="s">
        <v>18</v>
      </c>
      <c r="C18" s="1"/>
      <c r="I18" s="86">
        <f>SUM(I13:I17)</f>
        <v>99627411</v>
      </c>
      <c r="J18" s="86">
        <f t="shared" ref="J18:L18" si="0">SUM(J13:J17)</f>
        <v>1679195</v>
      </c>
      <c r="K18" s="86">
        <f t="shared" si="0"/>
        <v>-252510</v>
      </c>
      <c r="L18" s="86">
        <f t="shared" si="0"/>
        <v>101054096</v>
      </c>
    </row>
    <row r="20" spans="1:15">
      <c r="A20" s="1" t="s">
        <v>376</v>
      </c>
      <c r="J20" s="40"/>
      <c r="K20" s="40"/>
      <c r="L20" s="40"/>
    </row>
    <row r="21" spans="1:15">
      <c r="A21" s="2" t="s">
        <v>32</v>
      </c>
      <c r="I21" s="40">
        <v>-6691598</v>
      </c>
      <c r="J21" s="40">
        <v>-665373</v>
      </c>
      <c r="K21" s="40"/>
      <c r="L21" s="40">
        <f>SUM(I21:K21)</f>
        <v>-7356971</v>
      </c>
      <c r="M21" s="40">
        <f>L13+L21</f>
        <v>13904103</v>
      </c>
    </row>
    <row r="22" spans="1:15">
      <c r="A22" s="2" t="s">
        <v>52</v>
      </c>
      <c r="I22" s="40">
        <v>-1308567</v>
      </c>
      <c r="J22" s="40">
        <v>-190926</v>
      </c>
      <c r="K22" s="40"/>
      <c r="L22" s="40">
        <f>SUM(I22:K22)</f>
        <v>-1499493</v>
      </c>
      <c r="M22" s="40">
        <f>L14+L22</f>
        <v>3188819</v>
      </c>
    </row>
    <row r="23" spans="1:15">
      <c r="A23" s="2" t="s">
        <v>15</v>
      </c>
      <c r="I23" s="40">
        <v>-8422457</v>
      </c>
      <c r="J23" s="40">
        <v>-1194261</v>
      </c>
      <c r="K23" s="40">
        <v>218199</v>
      </c>
      <c r="L23" s="40">
        <f>SUM(I23:K23)</f>
        <v>-9398519</v>
      </c>
      <c r="M23" s="40">
        <f>L15+L23</f>
        <v>5607425</v>
      </c>
    </row>
    <row r="24" spans="1:15">
      <c r="A24" s="2" t="s">
        <v>381</v>
      </c>
      <c r="I24" s="40">
        <v>-1792962</v>
      </c>
      <c r="J24" s="40">
        <v>-73884</v>
      </c>
      <c r="K24" s="40">
        <v>29817</v>
      </c>
      <c r="L24" s="40">
        <f>SUM(I24:K24)</f>
        <v>-1837029</v>
      </c>
      <c r="M24" s="40">
        <f>L16+L24</f>
        <v>70474</v>
      </c>
    </row>
    <row r="25" spans="1:15">
      <c r="A25" s="2" t="s">
        <v>17</v>
      </c>
      <c r="I25" s="2">
        <v>-44865294</v>
      </c>
      <c r="J25" s="40">
        <v>-1485746</v>
      </c>
      <c r="K25" s="40"/>
      <c r="L25" s="40">
        <v>-46351040</v>
      </c>
      <c r="M25" s="40">
        <f>L17+L25</f>
        <v>11840223</v>
      </c>
    </row>
    <row r="26" spans="1:15">
      <c r="A26" s="1" t="s">
        <v>20</v>
      </c>
      <c r="B26" s="1"/>
      <c r="C26" s="1"/>
      <c r="I26" s="76">
        <f>SUM(I21:I25)</f>
        <v>-63080878</v>
      </c>
      <c r="J26" s="76">
        <f t="shared" ref="J26:L26" si="1">SUM(J21:J25)</f>
        <v>-3610190</v>
      </c>
      <c r="K26" s="76">
        <f t="shared" si="1"/>
        <v>248016</v>
      </c>
      <c r="L26" s="76">
        <f t="shared" si="1"/>
        <v>-66443052</v>
      </c>
      <c r="M26" s="1"/>
    </row>
    <row r="27" spans="1:15">
      <c r="A27" s="1"/>
      <c r="C27" s="1"/>
      <c r="I27" s="87"/>
      <c r="J27" s="87"/>
      <c r="K27" s="87"/>
      <c r="L27" s="87"/>
    </row>
    <row r="28" spans="1:15">
      <c r="A28" s="1" t="s">
        <v>431</v>
      </c>
      <c r="B28" s="57"/>
      <c r="C28" s="34"/>
      <c r="D28" s="34"/>
      <c r="E28" s="34"/>
      <c r="F28" s="34"/>
      <c r="G28" s="34"/>
      <c r="H28" s="34"/>
      <c r="I28" s="77">
        <f>SUM(I26+I18)</f>
        <v>36546533</v>
      </c>
      <c r="J28" s="77">
        <f t="shared" ref="J28:L28" si="2">SUM(J26+J18)</f>
        <v>-1930995</v>
      </c>
      <c r="K28" s="77">
        <f t="shared" si="2"/>
        <v>-4494</v>
      </c>
      <c r="L28" s="77">
        <f t="shared" si="2"/>
        <v>34611044</v>
      </c>
    </row>
    <row r="29" spans="1:15" ht="19.5" thickBot="1">
      <c r="A29" s="1" t="s">
        <v>22</v>
      </c>
      <c r="B29" s="57"/>
      <c r="C29" s="34"/>
      <c r="D29" s="34"/>
      <c r="E29" s="34"/>
      <c r="F29" s="34"/>
      <c r="G29" s="34"/>
      <c r="H29" s="34"/>
      <c r="I29" s="100">
        <f>SUM(I10+I18+I26)</f>
        <v>56279384</v>
      </c>
      <c r="J29" s="100">
        <f t="shared" ref="J29:L29" si="3">SUM(J10+J18+J26)</f>
        <v>6916804</v>
      </c>
      <c r="K29" s="100">
        <f t="shared" si="3"/>
        <v>-68825</v>
      </c>
      <c r="L29" s="100">
        <f t="shared" si="3"/>
        <v>63127363</v>
      </c>
      <c r="M29" s="40">
        <f>SUM(M8:M25)</f>
        <v>63127363</v>
      </c>
    </row>
    <row r="30" spans="1:15">
      <c r="A30" s="1"/>
      <c r="B30" s="1"/>
      <c r="C30" s="34"/>
      <c r="D30" s="34"/>
      <c r="E30" s="34"/>
      <c r="F30" s="34"/>
      <c r="G30" s="34"/>
      <c r="H30" s="34"/>
      <c r="I30" s="78"/>
      <c r="J30" s="78"/>
      <c r="K30" s="78"/>
      <c r="L30" s="78"/>
    </row>
    <row r="31" spans="1:15">
      <c r="A31" s="1" t="s">
        <v>432</v>
      </c>
      <c r="I31" s="113"/>
      <c r="J31" s="113"/>
      <c r="K31" s="113"/>
      <c r="L31" s="113"/>
      <c r="M31" s="114"/>
      <c r="N31" s="114"/>
      <c r="O31" s="114"/>
    </row>
    <row r="32" spans="1:15">
      <c r="A32" s="2" t="s">
        <v>306</v>
      </c>
      <c r="I32" s="113"/>
      <c r="J32" s="113"/>
      <c r="K32" s="113"/>
      <c r="L32" s="113"/>
      <c r="M32" s="114"/>
      <c r="N32" s="114"/>
      <c r="O32" s="114"/>
    </row>
    <row r="33" spans="1:15">
      <c r="A33" s="2" t="s">
        <v>10</v>
      </c>
      <c r="I33" s="113">
        <v>1040000</v>
      </c>
      <c r="J33" s="113">
        <v>10000</v>
      </c>
      <c r="K33" s="113"/>
      <c r="L33" s="113">
        <f>SUM(I33:K33)</f>
        <v>1050000</v>
      </c>
      <c r="M33" s="114">
        <f>L33</f>
        <v>1050000</v>
      </c>
      <c r="N33" s="114"/>
      <c r="O33" s="114"/>
    </row>
    <row r="34" spans="1:15">
      <c r="A34" s="2" t="s">
        <v>11</v>
      </c>
      <c r="I34" s="115">
        <v>23713</v>
      </c>
      <c r="J34" s="115">
        <v>23767</v>
      </c>
      <c r="K34" s="115"/>
      <c r="L34" s="115">
        <f>SUM(I34:K34)</f>
        <v>47480</v>
      </c>
      <c r="M34" s="114">
        <f>L34</f>
        <v>47480</v>
      </c>
      <c r="N34" s="114"/>
      <c r="O34" s="114"/>
    </row>
    <row r="35" spans="1:15">
      <c r="A35" s="1" t="s">
        <v>12</v>
      </c>
      <c r="I35" s="115">
        <f>SUM(I33:I34)</f>
        <v>1063713</v>
      </c>
      <c r="J35" s="115">
        <f t="shared" ref="J35:L35" si="4">SUM(J33:J34)</f>
        <v>33767</v>
      </c>
      <c r="K35" s="115">
        <f t="shared" si="4"/>
        <v>0</v>
      </c>
      <c r="L35" s="115">
        <f t="shared" si="4"/>
        <v>1097480</v>
      </c>
      <c r="M35" s="114"/>
      <c r="N35" s="114"/>
      <c r="O35" s="114"/>
    </row>
    <row r="36" spans="1:15">
      <c r="I36" s="113"/>
      <c r="J36" s="113"/>
      <c r="K36" s="113"/>
      <c r="L36" s="113"/>
      <c r="M36" s="114"/>
      <c r="N36" s="114"/>
      <c r="O36" s="114"/>
    </row>
    <row r="37" spans="1:15">
      <c r="A37" s="1" t="s">
        <v>403</v>
      </c>
      <c r="I37" s="113"/>
      <c r="J37" s="113"/>
      <c r="K37" s="113"/>
      <c r="L37" s="113"/>
      <c r="M37" s="114"/>
      <c r="N37" s="114"/>
      <c r="O37" s="114"/>
    </row>
    <row r="38" spans="1:15">
      <c r="A38" s="2" t="s">
        <v>32</v>
      </c>
      <c r="I38" s="113">
        <v>6748107</v>
      </c>
      <c r="J38" s="113"/>
      <c r="K38" s="113">
        <v>-686937</v>
      </c>
      <c r="L38" s="113">
        <f>SUM(I38:K38)</f>
        <v>6061170</v>
      </c>
      <c r="M38" s="114"/>
      <c r="N38" s="114"/>
      <c r="O38" s="114"/>
    </row>
    <row r="39" spans="1:15">
      <c r="A39" s="2" t="s">
        <v>433</v>
      </c>
      <c r="I39" s="113">
        <v>2098948</v>
      </c>
      <c r="J39" s="113"/>
      <c r="K39" s="113"/>
      <c r="L39" s="113">
        <f t="shared" ref="L39:L42" si="5">SUM(I39:K39)</f>
        <v>2098948</v>
      </c>
      <c r="M39" s="114"/>
      <c r="N39" s="114"/>
      <c r="O39" s="114"/>
    </row>
    <row r="40" spans="1:15">
      <c r="A40" s="2" t="s">
        <v>434</v>
      </c>
      <c r="I40" s="113">
        <v>21854558</v>
      </c>
      <c r="J40" s="113"/>
      <c r="K40" s="113"/>
      <c r="L40" s="113">
        <f t="shared" si="5"/>
        <v>21854558</v>
      </c>
      <c r="M40" s="114"/>
      <c r="N40" s="114"/>
      <c r="O40" s="114"/>
    </row>
    <row r="41" spans="1:15">
      <c r="A41" s="2" t="s">
        <v>435</v>
      </c>
      <c r="I41" s="113">
        <v>743617</v>
      </c>
      <c r="J41" s="113">
        <v>10750</v>
      </c>
      <c r="K41" s="113">
        <v>-3294</v>
      </c>
      <c r="L41" s="113">
        <f t="shared" si="5"/>
        <v>751073</v>
      </c>
      <c r="M41" s="114"/>
      <c r="N41" s="114"/>
      <c r="O41" s="114"/>
    </row>
    <row r="42" spans="1:15">
      <c r="A42" s="2" t="s">
        <v>436</v>
      </c>
      <c r="I42" s="115">
        <v>463668</v>
      </c>
      <c r="J42" s="115">
        <v>130217</v>
      </c>
      <c r="K42" s="115"/>
      <c r="L42" s="115">
        <f t="shared" si="5"/>
        <v>593885</v>
      </c>
      <c r="M42" s="114"/>
      <c r="N42" s="114"/>
      <c r="O42" s="114"/>
    </row>
    <row r="43" spans="1:15">
      <c r="A43" s="1" t="s">
        <v>437</v>
      </c>
      <c r="I43" s="115">
        <f>SUM(I38:I42)</f>
        <v>31908898</v>
      </c>
      <c r="J43" s="115">
        <f t="shared" ref="J43:L43" si="6">SUM(J38:J42)</f>
        <v>140967</v>
      </c>
      <c r="K43" s="115">
        <f t="shared" si="6"/>
        <v>-690231</v>
      </c>
      <c r="L43" s="115">
        <f t="shared" si="6"/>
        <v>31359634</v>
      </c>
      <c r="M43" s="114"/>
      <c r="N43" s="114"/>
      <c r="O43" s="114"/>
    </row>
    <row r="44" spans="1:15">
      <c r="I44" s="113"/>
      <c r="J44" s="113"/>
      <c r="K44" s="113"/>
      <c r="L44" s="113"/>
      <c r="M44" s="114"/>
      <c r="N44" s="114"/>
      <c r="O44" s="114"/>
    </row>
    <row r="45" spans="1:15">
      <c r="A45" s="1" t="s">
        <v>376</v>
      </c>
      <c r="I45" s="113"/>
      <c r="J45" s="113"/>
      <c r="K45" s="113"/>
      <c r="L45" s="113"/>
      <c r="M45" s="114"/>
      <c r="N45" s="114"/>
      <c r="O45" s="114"/>
    </row>
    <row r="46" spans="1:15">
      <c r="A46" s="2" t="s">
        <v>32</v>
      </c>
      <c r="I46" s="113">
        <v>-5332460</v>
      </c>
      <c r="J46" s="113">
        <v>-188709</v>
      </c>
      <c r="K46" s="113"/>
      <c r="L46" s="113">
        <f>SUM(I46:K46)</f>
        <v>-5521169</v>
      </c>
      <c r="M46" s="114">
        <f>SUM(L38+L46)</f>
        <v>540001</v>
      </c>
      <c r="N46" s="114"/>
      <c r="O46" s="114"/>
    </row>
    <row r="47" spans="1:15">
      <c r="A47" s="2" t="s">
        <v>433</v>
      </c>
      <c r="I47" s="113">
        <v>-1569488</v>
      </c>
      <c r="J47" s="113">
        <v>-22122</v>
      </c>
      <c r="K47" s="113"/>
      <c r="L47" s="113">
        <f t="shared" ref="L47:L50" si="7">SUM(I47:K47)</f>
        <v>-1591610</v>
      </c>
      <c r="M47" s="114">
        <f t="shared" ref="M47" si="8">SUM(L39+L47)</f>
        <v>507338</v>
      </c>
      <c r="N47" s="114"/>
      <c r="O47" s="114"/>
    </row>
    <row r="48" spans="1:15">
      <c r="A48" s="2" t="s">
        <v>434</v>
      </c>
      <c r="I48" s="113">
        <v>-10495825</v>
      </c>
      <c r="J48" s="113">
        <v>-608504</v>
      </c>
      <c r="K48" s="113"/>
      <c r="L48" s="113">
        <f t="shared" si="7"/>
        <v>-11104329</v>
      </c>
      <c r="M48" s="114">
        <f>SUM(L40+L48)</f>
        <v>10750229</v>
      </c>
      <c r="N48" s="114"/>
      <c r="O48" s="114"/>
    </row>
    <row r="49" spans="1:15">
      <c r="A49" s="2" t="s">
        <v>435</v>
      </c>
      <c r="I49" s="113">
        <v>-731425</v>
      </c>
      <c r="J49" s="113">
        <v>-5447</v>
      </c>
      <c r="K49" s="113">
        <v>3294</v>
      </c>
      <c r="L49" s="113">
        <f t="shared" si="7"/>
        <v>-733578</v>
      </c>
      <c r="M49" s="114">
        <f>SUM(L41+L49)</f>
        <v>17495</v>
      </c>
      <c r="N49" s="114"/>
      <c r="O49" s="114"/>
    </row>
    <row r="50" spans="1:15">
      <c r="A50" s="2" t="s">
        <v>436</v>
      </c>
      <c r="I50" s="115">
        <v>-323149</v>
      </c>
      <c r="J50" s="115">
        <v>-47166</v>
      </c>
      <c r="K50" s="115"/>
      <c r="L50" s="115">
        <f t="shared" si="7"/>
        <v>-370315</v>
      </c>
      <c r="M50" s="114">
        <f>SUM(L42+L50)</f>
        <v>223570</v>
      </c>
      <c r="N50" s="114"/>
      <c r="O50" s="114"/>
    </row>
    <row r="51" spans="1:15">
      <c r="A51" s="1" t="s">
        <v>20</v>
      </c>
      <c r="I51" s="115">
        <f>SUM(I46:I50)</f>
        <v>-18452347</v>
      </c>
      <c r="J51" s="115">
        <f t="shared" ref="J51:L51" si="9">SUM(J46:J50)</f>
        <v>-871948</v>
      </c>
      <c r="K51" s="115">
        <f t="shared" si="9"/>
        <v>3294</v>
      </c>
      <c r="L51" s="115">
        <f t="shared" si="9"/>
        <v>-19321001</v>
      </c>
      <c r="M51" s="114"/>
      <c r="N51" s="114"/>
      <c r="O51" s="114"/>
    </row>
    <row r="52" spans="1:15">
      <c r="I52" s="113"/>
      <c r="J52" s="113"/>
      <c r="K52" s="113"/>
      <c r="L52" s="113"/>
      <c r="M52" s="114"/>
      <c r="N52" s="114"/>
      <c r="O52" s="114"/>
    </row>
    <row r="53" spans="1:15">
      <c r="A53" s="1" t="s">
        <v>431</v>
      </c>
      <c r="I53" s="115">
        <f>SUM(I43+I51)</f>
        <v>13456551</v>
      </c>
      <c r="J53" s="115">
        <f t="shared" ref="J53:L53" si="10">SUM(J43+J51)</f>
        <v>-730981</v>
      </c>
      <c r="K53" s="115">
        <f t="shared" si="10"/>
        <v>-686937</v>
      </c>
      <c r="L53" s="115">
        <f t="shared" si="10"/>
        <v>12038633</v>
      </c>
      <c r="M53" s="114"/>
      <c r="N53" s="114"/>
      <c r="O53" s="114"/>
    </row>
    <row r="54" spans="1:15">
      <c r="I54" s="113"/>
      <c r="J54" s="113"/>
      <c r="K54" s="113"/>
      <c r="L54" s="113"/>
      <c r="M54" s="114"/>
      <c r="N54" s="114"/>
      <c r="O54" s="114"/>
    </row>
    <row r="55" spans="1:15">
      <c r="A55" s="1" t="s">
        <v>43</v>
      </c>
      <c r="I55" s="115">
        <f>SUM(I35+I53)</f>
        <v>14520264</v>
      </c>
      <c r="J55" s="115">
        <f t="shared" ref="J55:L55" si="11">SUM(J35+J53)</f>
        <v>-697214</v>
      </c>
      <c r="K55" s="115">
        <f t="shared" si="11"/>
        <v>-686937</v>
      </c>
      <c r="L55" s="115">
        <f t="shared" si="11"/>
        <v>13136113</v>
      </c>
      <c r="M55" s="116">
        <f>SUM(M33:M50)</f>
        <v>13136113</v>
      </c>
      <c r="N55" s="114"/>
      <c r="O55" s="114"/>
    </row>
    <row r="56" spans="1:15">
      <c r="I56" s="113"/>
      <c r="J56" s="113"/>
      <c r="K56" s="113"/>
      <c r="L56" s="113"/>
      <c r="M56" s="114"/>
      <c r="N56" s="114"/>
      <c r="O56" s="114"/>
    </row>
    <row r="57" spans="1:15">
      <c r="I57" s="113"/>
      <c r="J57" s="113"/>
      <c r="K57" s="113"/>
      <c r="L57" s="113"/>
      <c r="M57" s="114"/>
      <c r="N57" s="114"/>
      <c r="O57" s="114"/>
    </row>
    <row r="58" spans="1:15">
      <c r="I58" s="113"/>
      <c r="J58" s="113"/>
      <c r="K58" s="113"/>
      <c r="L58" s="113"/>
      <c r="M58" s="113"/>
      <c r="N58" s="113"/>
      <c r="O58" s="113"/>
    </row>
  </sheetData>
  <mergeCells count="3">
    <mergeCell ref="D1:I1"/>
    <mergeCell ref="D2:I2"/>
    <mergeCell ref="D3:I3"/>
  </mergeCells>
  <pageMargins left="0.7" right="0.7" top="0.75" bottom="0.75" header="0.3" footer="0.3"/>
  <pageSetup orientation="portrait"/>
  <extLst>
    <ext xmlns:mx="http://schemas.microsoft.com/office/mac/excel/2008/main" uri="{64002731-A6B0-56B0-2670-7721B7C09600}">
      <mx:PLV Mode="0" OnePage="0" WScale="0"/>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M51"/>
  <sheetViews>
    <sheetView zoomScale="60" zoomScaleNormal="60" zoomScalePageLayoutView="60" workbookViewId="0">
      <selection activeCell="P53" sqref="P53"/>
    </sheetView>
  </sheetViews>
  <sheetFormatPr defaultColWidth="8.85546875" defaultRowHeight="18.75"/>
  <cols>
    <col min="1" max="1" width="4.42578125" style="2" customWidth="1"/>
    <col min="2" max="3" width="4.7109375" style="2" customWidth="1"/>
    <col min="4" max="6" width="8.85546875" style="2"/>
    <col min="7" max="7" width="14.28515625" style="2" bestFit="1" customWidth="1"/>
    <col min="8" max="8" width="12.7109375" style="2" bestFit="1" customWidth="1"/>
    <col min="9" max="9" width="16.28515625" style="2" customWidth="1"/>
    <col min="10" max="10" width="14.28515625" style="2" bestFit="1" customWidth="1"/>
    <col min="11" max="11" width="19.85546875" style="2" bestFit="1" customWidth="1"/>
    <col min="12" max="12" width="15.85546875" style="2" bestFit="1" customWidth="1"/>
    <col min="13" max="13" width="20" style="2" customWidth="1"/>
    <col min="14" max="16384" width="8.85546875" style="2"/>
  </cols>
  <sheetData>
    <row r="1" spans="1:13">
      <c r="D1" s="136" t="s">
        <v>438</v>
      </c>
      <c r="E1" s="136"/>
      <c r="F1" s="136"/>
      <c r="G1" s="136"/>
      <c r="H1" s="136"/>
      <c r="I1" s="136"/>
    </row>
    <row r="2" spans="1:13">
      <c r="D2" s="136" t="s">
        <v>1</v>
      </c>
      <c r="E2" s="136"/>
      <c r="F2" s="136"/>
      <c r="G2" s="136"/>
      <c r="H2" s="136"/>
      <c r="I2" s="136"/>
    </row>
    <row r="3" spans="1:13">
      <c r="D3" s="136" t="s">
        <v>2</v>
      </c>
      <c r="E3" s="136"/>
      <c r="F3" s="136"/>
      <c r="G3" s="136"/>
      <c r="H3" s="136"/>
      <c r="I3" s="136"/>
    </row>
    <row r="4" spans="1:13" ht="14.25" customHeight="1">
      <c r="D4" s="69"/>
      <c r="E4" s="69"/>
      <c r="F4" s="69"/>
      <c r="G4" s="69"/>
      <c r="H4" s="69"/>
      <c r="I4" s="69"/>
    </row>
    <row r="5" spans="1:13" ht="37.5">
      <c r="I5" s="97">
        <v>41640</v>
      </c>
      <c r="J5" s="71" t="s">
        <v>45</v>
      </c>
      <c r="K5" s="71" t="s">
        <v>84</v>
      </c>
      <c r="L5" s="71" t="s">
        <v>439</v>
      </c>
      <c r="M5" s="2" t="s">
        <v>7</v>
      </c>
    </row>
    <row r="6" spans="1:13">
      <c r="A6" s="101" t="s">
        <v>276</v>
      </c>
      <c r="B6" s="101"/>
      <c r="C6" s="101"/>
      <c r="D6" s="101"/>
      <c r="E6" s="101"/>
      <c r="F6" s="101"/>
    </row>
    <row r="7" spans="1:13">
      <c r="A7" s="1" t="s">
        <v>9</v>
      </c>
      <c r="B7" s="1"/>
      <c r="C7" s="1"/>
      <c r="D7" s="1"/>
      <c r="E7" s="1"/>
      <c r="F7" s="1"/>
      <c r="I7" s="40"/>
      <c r="J7" s="40"/>
      <c r="K7" s="40"/>
      <c r="L7" s="40"/>
    </row>
    <row r="8" spans="1:13">
      <c r="B8" s="2" t="s">
        <v>10</v>
      </c>
      <c r="I8" s="40">
        <v>3976254</v>
      </c>
      <c r="J8" s="40"/>
      <c r="K8" s="40"/>
      <c r="L8" s="40">
        <f>SUM(I8:K8)</f>
        <v>3976254</v>
      </c>
      <c r="M8" s="40">
        <f>L8</f>
        <v>3976254</v>
      </c>
    </row>
    <row r="9" spans="1:13">
      <c r="B9" s="2" t="s">
        <v>11</v>
      </c>
      <c r="I9" s="40">
        <v>4747061</v>
      </c>
      <c r="J9" s="40">
        <v>11240834</v>
      </c>
      <c r="K9" s="40">
        <v>-4281743</v>
      </c>
      <c r="L9" s="40">
        <f>SUM(I9:K9)</f>
        <v>11706152</v>
      </c>
      <c r="M9" s="40">
        <f>L9</f>
        <v>11706152</v>
      </c>
    </row>
    <row r="10" spans="1:13">
      <c r="A10" s="1"/>
      <c r="B10" s="98" t="s">
        <v>68</v>
      </c>
      <c r="C10" s="98"/>
      <c r="D10" s="98"/>
      <c r="E10" s="98"/>
      <c r="F10" s="98"/>
      <c r="G10" s="98"/>
      <c r="H10" s="1"/>
      <c r="I10" s="80">
        <f>SUM(I8:I9)</f>
        <v>8723315</v>
      </c>
      <c r="J10" s="80">
        <f>SUM(J8:J9)</f>
        <v>11240834</v>
      </c>
      <c r="K10" s="80">
        <f>SUM(K8:K9)</f>
        <v>-4281743</v>
      </c>
      <c r="L10" s="80">
        <f>SUM(L8:L9)</f>
        <v>15682406</v>
      </c>
      <c r="M10" s="1"/>
    </row>
    <row r="11" spans="1:13">
      <c r="A11" s="1"/>
      <c r="B11" s="98"/>
      <c r="C11" s="98"/>
      <c r="D11" s="98"/>
      <c r="E11" s="98"/>
      <c r="F11" s="98"/>
      <c r="G11" s="98"/>
      <c r="H11" s="1"/>
      <c r="I11" s="81"/>
      <c r="J11" s="81"/>
      <c r="K11" s="81"/>
      <c r="L11" s="81"/>
      <c r="M11" s="1"/>
    </row>
    <row r="12" spans="1:13">
      <c r="A12" s="1" t="s">
        <v>371</v>
      </c>
    </row>
    <row r="13" spans="1:13">
      <c r="A13" s="1"/>
      <c r="B13" s="2" t="s">
        <v>392</v>
      </c>
      <c r="I13" s="2">
        <v>33452568</v>
      </c>
      <c r="J13" s="2">
        <v>442278</v>
      </c>
      <c r="L13" s="2">
        <f>SUM(I13:K13)</f>
        <v>33894846</v>
      </c>
    </row>
    <row r="14" spans="1:13">
      <c r="A14" s="1"/>
      <c r="B14" s="2" t="s">
        <v>17</v>
      </c>
      <c r="I14" s="2">
        <v>170187720</v>
      </c>
      <c r="J14" s="2">
        <v>3732460</v>
      </c>
      <c r="L14" s="2">
        <f>SUM(I14:K14)</f>
        <v>173920180</v>
      </c>
    </row>
    <row r="15" spans="1:13">
      <c r="A15" s="1"/>
      <c r="B15" s="2" t="s">
        <v>440</v>
      </c>
      <c r="I15" s="2">
        <v>21203204</v>
      </c>
      <c r="J15" s="2">
        <v>218262</v>
      </c>
      <c r="L15" s="2">
        <f>SUM(I15:K15)</f>
        <v>21421466</v>
      </c>
    </row>
    <row r="16" spans="1:13">
      <c r="B16" s="2" t="s">
        <v>419</v>
      </c>
      <c r="I16" s="2">
        <v>9850887</v>
      </c>
      <c r="J16" s="40">
        <v>1477011</v>
      </c>
      <c r="K16" s="40">
        <v>-62500</v>
      </c>
      <c r="L16" s="2">
        <f>SUM(I16:K16)</f>
        <v>11265398</v>
      </c>
    </row>
    <row r="17" spans="1:13">
      <c r="B17" s="2" t="s">
        <v>30</v>
      </c>
      <c r="I17" s="2">
        <v>9383657</v>
      </c>
      <c r="J17" s="40">
        <v>321804</v>
      </c>
      <c r="K17" s="40"/>
      <c r="L17" s="2">
        <f>SUM(I17:K17)</f>
        <v>9705461</v>
      </c>
    </row>
    <row r="18" spans="1:13">
      <c r="B18" s="98" t="s">
        <v>18</v>
      </c>
      <c r="C18" s="1"/>
      <c r="I18" s="76">
        <f>SUM(I13:I17)</f>
        <v>244078036</v>
      </c>
      <c r="J18" s="76">
        <f>SUM(J13:J17)</f>
        <v>6191815</v>
      </c>
      <c r="K18" s="76">
        <f>SUM(K13:K17)</f>
        <v>-62500</v>
      </c>
      <c r="L18" s="76">
        <f>SUM(L13:L17)</f>
        <v>250207351</v>
      </c>
    </row>
    <row r="19" spans="1:13">
      <c r="B19" s="98"/>
      <c r="C19" s="1"/>
      <c r="I19" s="87"/>
      <c r="J19" s="87"/>
      <c r="K19" s="87"/>
      <c r="L19" s="87"/>
    </row>
    <row r="20" spans="1:13">
      <c r="A20" s="1" t="s">
        <v>19</v>
      </c>
      <c r="J20" s="40"/>
      <c r="K20" s="40"/>
      <c r="L20" s="40"/>
    </row>
    <row r="21" spans="1:13">
      <c r="B21" s="2" t="s">
        <v>392</v>
      </c>
      <c r="I21" s="40">
        <v>8967784</v>
      </c>
      <c r="J21" s="40">
        <v>1072690</v>
      </c>
      <c r="K21" s="40"/>
      <c r="L21" s="40">
        <f t="shared" ref="L21:L25" si="0">SUM(I21:K21)</f>
        <v>10040474</v>
      </c>
      <c r="M21" s="40">
        <f>L13-L21</f>
        <v>23854372</v>
      </c>
    </row>
    <row r="22" spans="1:13">
      <c r="B22" s="2" t="s">
        <v>17</v>
      </c>
      <c r="I22" s="40">
        <v>145516818</v>
      </c>
      <c r="J22" s="40">
        <v>1821450</v>
      </c>
      <c r="K22" s="40"/>
      <c r="L22" s="40">
        <f t="shared" si="0"/>
        <v>147338268</v>
      </c>
      <c r="M22" s="40">
        <f>L14-L22</f>
        <v>26581912</v>
      </c>
    </row>
    <row r="23" spans="1:13">
      <c r="B23" s="2" t="s">
        <v>440</v>
      </c>
      <c r="I23" s="40">
        <v>6158721</v>
      </c>
      <c r="J23" s="40">
        <v>524443</v>
      </c>
      <c r="K23" s="40"/>
      <c r="L23" s="40">
        <f t="shared" si="0"/>
        <v>6683164</v>
      </c>
      <c r="M23" s="40">
        <f>L15-L23</f>
        <v>14738302</v>
      </c>
    </row>
    <row r="24" spans="1:13">
      <c r="B24" s="2" t="s">
        <v>419</v>
      </c>
      <c r="I24" s="40">
        <v>7680022</v>
      </c>
      <c r="J24" s="40">
        <v>471179</v>
      </c>
      <c r="K24" s="40">
        <v>-62500</v>
      </c>
      <c r="L24" s="40">
        <f t="shared" si="0"/>
        <v>8088701</v>
      </c>
      <c r="M24" s="40">
        <f>L16-L24</f>
        <v>3176697</v>
      </c>
    </row>
    <row r="25" spans="1:13">
      <c r="B25" s="2" t="s">
        <v>30</v>
      </c>
      <c r="I25" s="40">
        <v>7093783</v>
      </c>
      <c r="J25" s="40">
        <v>467724</v>
      </c>
      <c r="K25" s="40"/>
      <c r="L25" s="40">
        <f t="shared" si="0"/>
        <v>7561507</v>
      </c>
      <c r="M25" s="40">
        <f>L17-L25</f>
        <v>2143954</v>
      </c>
    </row>
    <row r="26" spans="1:13">
      <c r="A26" s="1"/>
      <c r="B26" s="1" t="s">
        <v>20</v>
      </c>
      <c r="C26" s="1"/>
      <c r="I26" s="76">
        <f>SUM(I21:I25)</f>
        <v>175417128</v>
      </c>
      <c r="J26" s="76">
        <f t="shared" ref="J26:L26" si="1">SUM(J21:J25)</f>
        <v>4357486</v>
      </c>
      <c r="K26" s="76">
        <f t="shared" si="1"/>
        <v>-62500</v>
      </c>
      <c r="L26" s="76">
        <f t="shared" si="1"/>
        <v>179712114</v>
      </c>
      <c r="M26" s="1"/>
    </row>
    <row r="27" spans="1:13">
      <c r="A27" s="98" t="s">
        <v>21</v>
      </c>
      <c r="B27" s="98"/>
      <c r="C27" s="1"/>
      <c r="I27" s="76">
        <f>SUM(I18-I26)</f>
        <v>68660908</v>
      </c>
      <c r="J27" s="76">
        <f t="shared" ref="J27:L27" si="2">SUM(J18-J26)</f>
        <v>1834329</v>
      </c>
      <c r="K27" s="76">
        <f t="shared" si="2"/>
        <v>0</v>
      </c>
      <c r="L27" s="76">
        <f t="shared" si="2"/>
        <v>70495237</v>
      </c>
      <c r="M27" s="1"/>
    </row>
    <row r="28" spans="1:13">
      <c r="A28" s="98" t="s">
        <v>421</v>
      </c>
      <c r="C28" s="1"/>
      <c r="I28" s="76">
        <f>SUM(I10+I27)</f>
        <v>77384223</v>
      </c>
      <c r="J28" s="76">
        <f t="shared" ref="J28:L28" si="3">SUM(J10+J27)</f>
        <v>13075163</v>
      </c>
      <c r="K28" s="76">
        <f t="shared" si="3"/>
        <v>-4281743</v>
      </c>
      <c r="L28" s="76">
        <f t="shared" si="3"/>
        <v>86177643</v>
      </c>
      <c r="M28" s="40">
        <f>SUM(M8:M26)</f>
        <v>86177643</v>
      </c>
    </row>
    <row r="29" spans="1:13">
      <c r="C29" s="1"/>
      <c r="I29" s="87"/>
      <c r="J29" s="87"/>
      <c r="K29" s="87"/>
      <c r="L29" s="87"/>
    </row>
    <row r="30" spans="1:13">
      <c r="C30" s="1"/>
      <c r="I30" s="87"/>
      <c r="J30" s="87"/>
      <c r="K30" s="87"/>
      <c r="L30" s="87"/>
    </row>
    <row r="31" spans="1:13">
      <c r="A31" s="1" t="s">
        <v>35</v>
      </c>
      <c r="B31" s="1"/>
      <c r="C31" s="1"/>
      <c r="D31" s="1"/>
      <c r="E31" s="1"/>
      <c r="F31" s="1"/>
      <c r="I31" s="87"/>
    </row>
    <row r="32" spans="1:13">
      <c r="A32" s="1" t="s">
        <v>9</v>
      </c>
      <c r="B32" s="1"/>
      <c r="C32" s="1"/>
      <c r="D32" s="1"/>
      <c r="E32" s="1"/>
      <c r="F32" s="1"/>
      <c r="I32" s="40"/>
      <c r="J32" s="40"/>
      <c r="K32" s="40"/>
    </row>
    <row r="33" spans="1:13">
      <c r="A33" s="1"/>
      <c r="B33" s="2" t="s">
        <v>10</v>
      </c>
      <c r="C33" s="1"/>
      <c r="D33" s="1"/>
      <c r="E33" s="1"/>
      <c r="F33" s="1"/>
      <c r="I33" s="40">
        <v>1678616</v>
      </c>
      <c r="J33" s="40"/>
      <c r="K33" s="40"/>
      <c r="L33" s="40">
        <f>SUM(I33:K33)</f>
        <v>1678616</v>
      </c>
      <c r="M33" s="40">
        <f>L33</f>
        <v>1678616</v>
      </c>
    </row>
    <row r="34" spans="1:13">
      <c r="A34" s="1"/>
      <c r="B34" s="2" t="s">
        <v>11</v>
      </c>
      <c r="C34" s="1"/>
      <c r="D34" s="1"/>
      <c r="E34" s="1"/>
      <c r="F34" s="1"/>
      <c r="I34" s="40">
        <v>352803</v>
      </c>
      <c r="J34" s="40">
        <v>1650999</v>
      </c>
      <c r="K34" s="40">
        <v>-516073</v>
      </c>
      <c r="L34" s="40">
        <f>SUM(I34:K34)</f>
        <v>1487729</v>
      </c>
      <c r="M34" s="40">
        <f>L34</f>
        <v>1487729</v>
      </c>
    </row>
    <row r="35" spans="1:13">
      <c r="A35" s="1"/>
      <c r="B35" s="1"/>
      <c r="C35" s="1" t="s">
        <v>88</v>
      </c>
      <c r="D35" s="1"/>
      <c r="E35" s="1"/>
      <c r="F35" s="1"/>
      <c r="G35" s="1"/>
      <c r="H35" s="1"/>
      <c r="I35" s="80">
        <f>SUM(I33:I34)</f>
        <v>2031419</v>
      </c>
      <c r="J35" s="80">
        <f>SUM(J33:J34)</f>
        <v>1650999</v>
      </c>
      <c r="K35" s="80">
        <f>SUM(K33:K34)</f>
        <v>-516073</v>
      </c>
      <c r="L35" s="80">
        <f>SUM(L33:L34)</f>
        <v>3166345</v>
      </c>
    </row>
    <row r="36" spans="1:13">
      <c r="L36" s="81"/>
    </row>
    <row r="37" spans="1:13">
      <c r="A37" s="1" t="s">
        <v>403</v>
      </c>
      <c r="B37" s="34"/>
      <c r="C37" s="1"/>
      <c r="I37" s="78"/>
      <c r="J37" s="78"/>
      <c r="K37" s="78"/>
    </row>
    <row r="38" spans="1:13">
      <c r="A38" s="2" t="s">
        <v>392</v>
      </c>
      <c r="B38" s="34"/>
      <c r="C38" s="1"/>
      <c r="I38" s="51">
        <v>14404866</v>
      </c>
      <c r="J38" s="51">
        <v>117892</v>
      </c>
      <c r="K38" s="51"/>
      <c r="L38" s="40">
        <f>SUM(I38:K38)</f>
        <v>14522758</v>
      </c>
    </row>
    <row r="39" spans="1:13">
      <c r="A39" s="2" t="s">
        <v>441</v>
      </c>
      <c r="B39" s="34"/>
      <c r="C39" s="1"/>
      <c r="I39" s="51">
        <v>205932575</v>
      </c>
      <c r="J39" s="51">
        <v>2353419</v>
      </c>
      <c r="K39" s="51"/>
      <c r="L39" s="40">
        <f>SUM(I39:K39)</f>
        <v>208285994</v>
      </c>
    </row>
    <row r="40" spans="1:13">
      <c r="A40" s="2" t="s">
        <v>419</v>
      </c>
      <c r="B40" s="34"/>
      <c r="C40" s="1"/>
      <c r="I40" s="51">
        <v>5491295</v>
      </c>
      <c r="J40" s="51">
        <v>228274</v>
      </c>
      <c r="K40" s="51">
        <v>-15299</v>
      </c>
      <c r="L40" s="40">
        <f>SUM(I40:K40)</f>
        <v>5704270</v>
      </c>
    </row>
    <row r="41" spans="1:13">
      <c r="A41" s="2" t="s">
        <v>30</v>
      </c>
      <c r="B41" s="34"/>
      <c r="C41" s="1"/>
      <c r="I41" s="51">
        <v>1859327</v>
      </c>
      <c r="J41" s="51">
        <v>67885</v>
      </c>
      <c r="K41" s="51"/>
      <c r="L41" s="40">
        <f>SUM(I41:K41)</f>
        <v>1927212</v>
      </c>
    </row>
    <row r="42" spans="1:13">
      <c r="A42" s="57" t="s">
        <v>310</v>
      </c>
      <c r="C42" s="57"/>
      <c r="D42" s="34"/>
      <c r="E42" s="34"/>
      <c r="F42" s="34"/>
      <c r="G42" s="34"/>
      <c r="H42" s="34"/>
      <c r="I42" s="88">
        <f>SUM(I38:I41)</f>
        <v>227688063</v>
      </c>
      <c r="J42" s="88">
        <f>SUM(J38:J41)</f>
        <v>2767470</v>
      </c>
      <c r="K42" s="88">
        <f>SUM(K38:K41)</f>
        <v>-15299</v>
      </c>
      <c r="L42" s="76">
        <f>SUM(I42:K42)</f>
        <v>230440234</v>
      </c>
    </row>
    <row r="43" spans="1:13">
      <c r="A43" s="1"/>
      <c r="B43" s="34"/>
      <c r="C43" s="34"/>
      <c r="D43" s="34"/>
      <c r="E43" s="34"/>
      <c r="F43" s="34"/>
      <c r="G43" s="34"/>
      <c r="H43" s="34"/>
      <c r="I43" s="34"/>
      <c r="J43" s="34"/>
      <c r="K43" s="34"/>
      <c r="L43" s="87"/>
    </row>
    <row r="44" spans="1:13">
      <c r="A44" s="1" t="s">
        <v>376</v>
      </c>
      <c r="B44" s="57"/>
      <c r="C44" s="34"/>
      <c r="D44" s="34"/>
      <c r="E44" s="34"/>
      <c r="F44" s="34"/>
      <c r="G44" s="34"/>
      <c r="H44" s="34"/>
      <c r="I44" s="78"/>
      <c r="J44" s="78"/>
      <c r="K44" s="78"/>
      <c r="L44" s="40"/>
    </row>
    <row r="45" spans="1:13">
      <c r="A45" s="2" t="s">
        <v>442</v>
      </c>
      <c r="B45" s="34"/>
      <c r="C45" s="34"/>
      <c r="D45" s="34"/>
      <c r="E45" s="34"/>
      <c r="F45" s="34"/>
      <c r="G45" s="34"/>
      <c r="H45" s="34"/>
      <c r="I45" s="34">
        <v>2315498</v>
      </c>
      <c r="J45" s="34">
        <v>386651</v>
      </c>
      <c r="K45" s="34"/>
      <c r="L45" s="40">
        <f t="shared" ref="L45:L49" si="4">SUM(I45:K45)</f>
        <v>2702149</v>
      </c>
      <c r="M45" s="40">
        <f>L38-L45</f>
        <v>11820609</v>
      </c>
    </row>
    <row r="46" spans="1:13">
      <c r="A46" s="2" t="s">
        <v>441</v>
      </c>
      <c r="C46" s="34"/>
      <c r="D46" s="34"/>
      <c r="E46" s="34"/>
      <c r="F46" s="34"/>
      <c r="G46" s="34"/>
      <c r="H46" s="34"/>
      <c r="I46" s="34">
        <v>94478756</v>
      </c>
      <c r="J46" s="34">
        <v>4468553</v>
      </c>
      <c r="K46" s="34"/>
      <c r="L46" s="40">
        <f t="shared" si="4"/>
        <v>98947309</v>
      </c>
      <c r="M46" s="40">
        <f>L39-L46</f>
        <v>109338685</v>
      </c>
    </row>
    <row r="47" spans="1:13">
      <c r="A47" s="2" t="s">
        <v>419</v>
      </c>
      <c r="C47" s="34"/>
      <c r="D47" s="34"/>
      <c r="E47" s="34"/>
      <c r="F47" s="34"/>
      <c r="G47" s="34"/>
      <c r="H47" s="34"/>
      <c r="I47" s="34">
        <v>2451159</v>
      </c>
      <c r="J47" s="34">
        <v>74055</v>
      </c>
      <c r="K47" s="34">
        <v>-1018</v>
      </c>
      <c r="L47" s="40">
        <f t="shared" si="4"/>
        <v>2524196</v>
      </c>
      <c r="M47" s="40">
        <f>L40-L47</f>
        <v>3180074</v>
      </c>
    </row>
    <row r="48" spans="1:13">
      <c r="A48" s="2" t="s">
        <v>30</v>
      </c>
      <c r="C48" s="34"/>
      <c r="D48" s="34"/>
      <c r="E48" s="34"/>
      <c r="F48" s="34"/>
      <c r="G48" s="34"/>
      <c r="H48" s="34"/>
      <c r="I48" s="34">
        <v>1507310</v>
      </c>
      <c r="J48" s="34">
        <v>242427</v>
      </c>
      <c r="K48" s="34"/>
      <c r="L48" s="40">
        <f t="shared" si="4"/>
        <v>1749737</v>
      </c>
      <c r="M48" s="40">
        <f>L41-L48</f>
        <v>177475</v>
      </c>
    </row>
    <row r="49" spans="1:13">
      <c r="A49" s="57" t="s">
        <v>20</v>
      </c>
      <c r="B49" s="57"/>
      <c r="C49" s="34"/>
      <c r="D49" s="34"/>
      <c r="E49" s="34"/>
      <c r="F49" s="34"/>
      <c r="G49" s="34"/>
      <c r="H49" s="34"/>
      <c r="I49" s="99">
        <f>SUM(I45:I48)</f>
        <v>100752723</v>
      </c>
      <c r="J49" s="99">
        <f>SUM(J45:J48)</f>
        <v>5171686</v>
      </c>
      <c r="K49" s="99">
        <f>SUM(K45:K48)</f>
        <v>-1018</v>
      </c>
      <c r="L49" s="76">
        <f t="shared" si="4"/>
        <v>105923391</v>
      </c>
    </row>
    <row r="50" spans="1:13">
      <c r="A50" s="1" t="s">
        <v>431</v>
      </c>
      <c r="B50" s="57"/>
      <c r="C50" s="34"/>
      <c r="D50" s="34"/>
      <c r="E50" s="34"/>
      <c r="F50" s="34"/>
      <c r="G50" s="34"/>
      <c r="H50" s="34"/>
      <c r="I50" s="77">
        <f>SUM(I42-I49)</f>
        <v>126935340</v>
      </c>
      <c r="J50" s="77">
        <f t="shared" ref="J50:L50" si="5">SUM(J42-J49)</f>
        <v>-2404216</v>
      </c>
      <c r="K50" s="77">
        <f t="shared" si="5"/>
        <v>-14281</v>
      </c>
      <c r="L50" s="77">
        <f t="shared" si="5"/>
        <v>124516843</v>
      </c>
    </row>
    <row r="51" spans="1:13" ht="19.5" thickBot="1">
      <c r="A51" s="1" t="s">
        <v>422</v>
      </c>
      <c r="B51" s="57"/>
      <c r="C51" s="34"/>
      <c r="D51" s="34"/>
      <c r="E51" s="34"/>
      <c r="F51" s="34"/>
      <c r="G51" s="34"/>
      <c r="H51" s="34"/>
      <c r="I51" s="100">
        <f>SUM(I35+I50)</f>
        <v>128966759</v>
      </c>
      <c r="J51" s="100">
        <f t="shared" ref="J51:L51" si="6">SUM(J35+J50)</f>
        <v>-753217</v>
      </c>
      <c r="K51" s="100">
        <f t="shared" si="6"/>
        <v>-530354</v>
      </c>
      <c r="L51" s="100">
        <f t="shared" si="6"/>
        <v>127683188</v>
      </c>
      <c r="M51" s="40">
        <f>SUM(M33:M49)</f>
        <v>127683188</v>
      </c>
    </row>
  </sheetData>
  <mergeCells count="3">
    <mergeCell ref="D1:I1"/>
    <mergeCell ref="D2:I2"/>
    <mergeCell ref="D3:I3"/>
  </mergeCells>
  <pageMargins left="0.7" right="0.7" top="0.75" bottom="0.75" header="0.3" footer="0.3"/>
  <extLst>
    <ext xmlns:mx="http://schemas.microsoft.com/office/mac/excel/2008/main" uri="{64002731-A6B0-56B0-2670-7721B7C09600}">
      <mx:PLV Mode="0" OnePage="0" WScale="0"/>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R28"/>
  <sheetViews>
    <sheetView zoomScale="80" zoomScaleNormal="80" zoomScalePageLayoutView="80" workbookViewId="0">
      <selection activeCell="P34" sqref="P34"/>
    </sheetView>
  </sheetViews>
  <sheetFormatPr defaultColWidth="8.85546875" defaultRowHeight="15"/>
  <cols>
    <col min="1" max="1" width="4.42578125" customWidth="1"/>
    <col min="2" max="2" width="7" customWidth="1"/>
    <col min="9" max="9" width="15.42578125" customWidth="1"/>
    <col min="10" max="10" width="14.28515625" bestFit="1" customWidth="1"/>
    <col min="11" max="11" width="13.7109375" bestFit="1" customWidth="1"/>
    <col min="12" max="12" width="15.28515625" bestFit="1" customWidth="1"/>
    <col min="13" max="13" width="16.42578125" customWidth="1"/>
  </cols>
  <sheetData>
    <row r="1" spans="1:18" ht="18.75">
      <c r="A1" s="2"/>
      <c r="B1" s="2"/>
      <c r="C1" s="2"/>
      <c r="D1" s="136" t="s">
        <v>443</v>
      </c>
      <c r="E1" s="136"/>
      <c r="F1" s="136"/>
      <c r="G1" s="136"/>
      <c r="H1" s="136"/>
      <c r="I1" s="136"/>
      <c r="J1" s="2"/>
      <c r="K1" s="2"/>
      <c r="L1" s="2"/>
    </row>
    <row r="2" spans="1:18" ht="18.75">
      <c r="A2" s="2"/>
      <c r="B2" s="2"/>
      <c r="C2" s="2"/>
      <c r="D2" s="136" t="s">
        <v>1</v>
      </c>
      <c r="E2" s="136"/>
      <c r="F2" s="136"/>
      <c r="G2" s="136"/>
      <c r="H2" s="136"/>
      <c r="I2" s="136"/>
      <c r="J2" s="2"/>
      <c r="K2" s="2"/>
      <c r="L2" s="2"/>
    </row>
    <row r="3" spans="1:18" ht="18.75">
      <c r="A3" s="2"/>
      <c r="B3" s="2"/>
      <c r="C3" s="2"/>
      <c r="D3" s="136" t="s">
        <v>2</v>
      </c>
      <c r="E3" s="136"/>
      <c r="F3" s="136"/>
      <c r="G3" s="136"/>
      <c r="H3" s="136"/>
      <c r="I3" s="136"/>
      <c r="J3" s="2"/>
      <c r="K3" s="2"/>
      <c r="L3" s="2"/>
    </row>
    <row r="4" spans="1:18" ht="18.75">
      <c r="A4" s="2"/>
      <c r="B4" s="2"/>
      <c r="C4" s="2"/>
      <c r="D4" s="69"/>
      <c r="E4" s="69"/>
      <c r="F4" s="69"/>
      <c r="G4" s="69"/>
      <c r="H4" s="69"/>
      <c r="I4" s="69"/>
      <c r="J4" s="2"/>
      <c r="K4" s="2"/>
      <c r="L4" s="2"/>
    </row>
    <row r="5" spans="1:18" ht="37.5">
      <c r="A5" s="2"/>
      <c r="B5" s="2"/>
      <c r="C5" s="2"/>
      <c r="D5" s="2"/>
      <c r="E5" s="2"/>
      <c r="F5" s="2"/>
      <c r="G5" s="2"/>
      <c r="H5" s="2"/>
      <c r="I5" s="71" t="s">
        <v>62</v>
      </c>
      <c r="J5" s="71" t="s">
        <v>45</v>
      </c>
      <c r="K5" s="71" t="s">
        <v>46</v>
      </c>
      <c r="L5" s="71" t="s">
        <v>63</v>
      </c>
      <c r="M5" s="71" t="s">
        <v>7</v>
      </c>
    </row>
    <row r="6" spans="1:18" ht="18.75">
      <c r="A6" s="1" t="s">
        <v>49</v>
      </c>
      <c r="B6" s="2"/>
      <c r="C6" s="2"/>
      <c r="D6" s="2"/>
      <c r="E6" s="2"/>
      <c r="F6" s="2"/>
      <c r="G6" s="2"/>
      <c r="H6" s="2"/>
      <c r="I6" s="71"/>
      <c r="J6" s="71"/>
      <c r="K6" s="71"/>
      <c r="L6" s="71"/>
      <c r="M6" s="71"/>
    </row>
    <row r="7" spans="1:18" ht="18.75">
      <c r="A7" s="1" t="s">
        <v>8</v>
      </c>
      <c r="B7" s="1"/>
      <c r="C7" s="1"/>
      <c r="D7" s="1"/>
      <c r="E7" s="1"/>
      <c r="F7" s="1"/>
      <c r="G7" s="2"/>
      <c r="H7" s="2"/>
      <c r="I7" s="2"/>
      <c r="J7" s="2"/>
      <c r="K7" s="2"/>
      <c r="L7" s="2"/>
    </row>
    <row r="8" spans="1:18" ht="18.75">
      <c r="A8" s="1" t="s">
        <v>9</v>
      </c>
      <c r="B8" s="1"/>
      <c r="C8" s="1"/>
      <c r="D8" s="1"/>
      <c r="E8" s="1"/>
      <c r="F8" s="1"/>
      <c r="G8" s="2"/>
      <c r="H8" s="2"/>
      <c r="I8" s="40"/>
      <c r="J8" s="40"/>
      <c r="K8" s="40"/>
      <c r="L8" s="40"/>
      <c r="M8" s="34"/>
      <c r="N8" s="34"/>
      <c r="O8" s="34"/>
      <c r="P8" s="34"/>
      <c r="Q8" s="34"/>
      <c r="R8" s="34"/>
    </row>
    <row r="9" spans="1:18" ht="18.75">
      <c r="A9" s="2"/>
      <c r="B9" s="2" t="s">
        <v>10</v>
      </c>
      <c r="C9" s="2"/>
      <c r="D9" s="2"/>
      <c r="E9" s="2"/>
      <c r="F9" s="2"/>
      <c r="G9" s="2"/>
      <c r="H9" s="2"/>
      <c r="I9" s="40">
        <v>499243</v>
      </c>
      <c r="J9" s="40"/>
      <c r="K9" s="40"/>
      <c r="L9" s="40">
        <f>SUM(I9:K9)</f>
        <v>499243</v>
      </c>
      <c r="M9" s="51">
        <f>L9</f>
        <v>499243</v>
      </c>
      <c r="N9" s="34"/>
      <c r="O9" s="34"/>
      <c r="P9" s="34"/>
      <c r="Q9" s="34"/>
      <c r="R9" s="34"/>
    </row>
    <row r="10" spans="1:18" ht="18.75">
      <c r="A10" s="2"/>
      <c r="B10" s="2" t="s">
        <v>444</v>
      </c>
      <c r="C10" s="2"/>
      <c r="D10" s="2"/>
      <c r="E10" s="2"/>
      <c r="F10" s="2"/>
      <c r="G10" s="2"/>
      <c r="H10" s="2"/>
      <c r="I10" s="40"/>
      <c r="J10" s="40">
        <v>9080748</v>
      </c>
      <c r="K10" s="40"/>
      <c r="L10" s="40">
        <f>SUM(I10:K10)</f>
        <v>9080748</v>
      </c>
      <c r="M10" s="51">
        <f>L10</f>
        <v>9080748</v>
      </c>
      <c r="N10" s="34"/>
      <c r="O10" s="34"/>
      <c r="P10" s="34"/>
      <c r="Q10" s="34"/>
      <c r="R10" s="34"/>
    </row>
    <row r="11" spans="1:18" ht="18.75">
      <c r="A11" s="2"/>
      <c r="B11" s="2"/>
      <c r="C11" s="2"/>
      <c r="D11" s="2"/>
      <c r="E11" s="2"/>
      <c r="F11" s="2"/>
      <c r="G11" s="2"/>
      <c r="H11" s="2"/>
      <c r="I11" s="103">
        <f>SUM(I9:I10)</f>
        <v>499243</v>
      </c>
      <c r="J11" s="103">
        <f t="shared" ref="J11:L11" si="0">SUM(J9:J10)</f>
        <v>9080748</v>
      </c>
      <c r="K11" s="103">
        <f t="shared" si="0"/>
        <v>0</v>
      </c>
      <c r="L11" s="103">
        <f t="shared" si="0"/>
        <v>9579991</v>
      </c>
      <c r="M11" s="34"/>
      <c r="N11" s="34"/>
      <c r="O11" s="34"/>
      <c r="P11" s="34"/>
      <c r="Q11" s="34"/>
      <c r="R11" s="34"/>
    </row>
    <row r="12" spans="1:18" ht="18.75">
      <c r="A12" s="1" t="s">
        <v>371</v>
      </c>
      <c r="B12" s="2"/>
      <c r="C12" s="2"/>
      <c r="D12" s="2"/>
      <c r="E12" s="2"/>
      <c r="F12" s="2"/>
      <c r="G12" s="2"/>
      <c r="H12" s="2"/>
      <c r="I12" s="2"/>
      <c r="J12" s="2"/>
      <c r="K12" s="2"/>
      <c r="L12" s="2"/>
      <c r="M12" s="34"/>
      <c r="N12" s="34"/>
      <c r="O12" s="34"/>
      <c r="P12" s="34"/>
      <c r="Q12" s="34"/>
      <c r="R12" s="34"/>
    </row>
    <row r="13" spans="1:18" ht="18.75">
      <c r="A13" s="2"/>
      <c r="B13" s="2" t="s">
        <v>14</v>
      </c>
      <c r="C13" s="2"/>
      <c r="D13" s="2"/>
      <c r="E13" s="2"/>
      <c r="F13" s="2"/>
      <c r="G13" s="2"/>
      <c r="H13" s="2"/>
      <c r="I13" s="2">
        <v>14525602</v>
      </c>
      <c r="J13" s="40"/>
      <c r="K13" s="40"/>
      <c r="L13" s="40">
        <f>SUM(I13:K13)</f>
        <v>14525602</v>
      </c>
      <c r="M13" s="34"/>
      <c r="N13" s="34"/>
      <c r="O13" s="34"/>
      <c r="P13" s="34"/>
      <c r="Q13" s="34"/>
      <c r="R13" s="34"/>
    </row>
    <row r="14" spans="1:18" ht="18.75">
      <c r="A14" s="2"/>
      <c r="B14" s="2" t="s">
        <v>30</v>
      </c>
      <c r="C14" s="2"/>
      <c r="D14" s="2"/>
      <c r="E14" s="2"/>
      <c r="F14" s="2"/>
      <c r="G14" s="2"/>
      <c r="H14" s="2"/>
      <c r="I14" s="2">
        <v>432982</v>
      </c>
      <c r="J14" s="40">
        <v>129740</v>
      </c>
      <c r="K14" s="40">
        <v>-41955</v>
      </c>
      <c r="L14" s="40">
        <f t="shared" ref="L14:L16" si="1">SUM(I14:K14)</f>
        <v>520767</v>
      </c>
      <c r="M14" s="34"/>
      <c r="N14" s="34"/>
      <c r="O14" s="34"/>
      <c r="P14" s="34"/>
      <c r="Q14" s="34"/>
      <c r="R14" s="34"/>
    </row>
    <row r="15" spans="1:18" ht="18.75">
      <c r="A15" s="2"/>
      <c r="B15" s="2" t="s">
        <v>64</v>
      </c>
      <c r="C15" s="2"/>
      <c r="D15" s="2"/>
      <c r="E15" s="2"/>
      <c r="F15" s="2"/>
      <c r="G15" s="2"/>
      <c r="H15" s="2"/>
      <c r="I15" s="2">
        <v>4468333</v>
      </c>
      <c r="J15" s="40">
        <v>84577</v>
      </c>
      <c r="K15" s="40">
        <v>-113665</v>
      </c>
      <c r="L15" s="40">
        <f t="shared" si="1"/>
        <v>4439245</v>
      </c>
      <c r="M15" s="34"/>
      <c r="N15" s="34"/>
      <c r="O15" s="34"/>
      <c r="P15" s="34"/>
      <c r="Q15" s="34"/>
      <c r="R15" s="34"/>
    </row>
    <row r="16" spans="1:18" ht="18.75">
      <c r="A16" s="2"/>
      <c r="B16" s="2" t="s">
        <v>52</v>
      </c>
      <c r="C16" s="2"/>
      <c r="D16" s="2"/>
      <c r="E16" s="2"/>
      <c r="F16" s="2"/>
      <c r="G16" s="2"/>
      <c r="H16" s="2"/>
      <c r="I16" s="2">
        <v>6342054</v>
      </c>
      <c r="J16" s="40">
        <v>277583</v>
      </c>
      <c r="K16" s="40"/>
      <c r="L16" s="40">
        <f t="shared" si="1"/>
        <v>6619637</v>
      </c>
      <c r="M16" s="34"/>
      <c r="N16" s="34"/>
      <c r="O16" s="34"/>
      <c r="P16" s="34"/>
      <c r="Q16" s="34"/>
      <c r="R16" s="34"/>
    </row>
    <row r="17" spans="1:18" ht="18.75">
      <c r="A17" s="2"/>
      <c r="B17" s="2"/>
      <c r="C17" s="2"/>
      <c r="D17" s="2"/>
      <c r="E17" s="2"/>
      <c r="F17" s="2"/>
      <c r="G17" s="2"/>
      <c r="H17" s="2"/>
      <c r="I17" s="102">
        <f>SUM(I13:I16)</f>
        <v>25768971</v>
      </c>
      <c r="J17" s="103">
        <f>SUM(J13:J16)</f>
        <v>491900</v>
      </c>
      <c r="K17" s="103">
        <f>SUM(K13:K16)</f>
        <v>-155620</v>
      </c>
      <c r="L17" s="102">
        <f>SUM(I17:K17)</f>
        <v>26105251</v>
      </c>
      <c r="M17" s="34"/>
      <c r="N17" s="34"/>
      <c r="O17" s="34"/>
      <c r="P17" s="34"/>
      <c r="Q17" s="34"/>
      <c r="R17" s="34"/>
    </row>
    <row r="18" spans="1:18" ht="18.75">
      <c r="A18" s="1" t="s">
        <v>376</v>
      </c>
      <c r="B18" s="2"/>
      <c r="C18" s="2"/>
      <c r="D18" s="2"/>
      <c r="E18" s="2"/>
      <c r="F18" s="2"/>
      <c r="G18" s="2"/>
      <c r="H18" s="2"/>
      <c r="I18" s="2"/>
      <c r="J18" s="40"/>
      <c r="K18" s="40"/>
      <c r="L18" s="40"/>
      <c r="M18" s="34"/>
      <c r="N18" s="34"/>
      <c r="O18" s="34"/>
      <c r="P18" s="34"/>
      <c r="Q18" s="34"/>
      <c r="R18" s="34"/>
    </row>
    <row r="19" spans="1:18" ht="18.75">
      <c r="A19" s="2"/>
      <c r="B19" s="2" t="s">
        <v>14</v>
      </c>
      <c r="C19" s="2"/>
      <c r="D19" s="2"/>
      <c r="E19" s="2"/>
      <c r="F19" s="2"/>
      <c r="G19" s="2"/>
      <c r="H19" s="2"/>
      <c r="I19" s="40">
        <v>-10607972</v>
      </c>
      <c r="J19" s="40">
        <v>-252767</v>
      </c>
      <c r="K19" s="40"/>
      <c r="L19" s="40">
        <f>SUM(I19:K19)</f>
        <v>-10860739</v>
      </c>
      <c r="M19" s="51">
        <f>L13+L19</f>
        <v>3664863</v>
      </c>
      <c r="N19" s="34"/>
      <c r="O19" s="34"/>
      <c r="P19" s="34"/>
      <c r="Q19" s="34"/>
      <c r="R19" s="34"/>
    </row>
    <row r="20" spans="1:18" ht="18.75">
      <c r="A20" s="2"/>
      <c r="B20" s="2" t="s">
        <v>30</v>
      </c>
      <c r="C20" s="2"/>
      <c r="D20" s="2"/>
      <c r="E20" s="2"/>
      <c r="F20" s="2"/>
      <c r="G20" s="2"/>
      <c r="H20" s="2"/>
      <c r="I20" s="40">
        <v>-193387</v>
      </c>
      <c r="J20" s="40">
        <v>-76444</v>
      </c>
      <c r="K20" s="40">
        <v>36687</v>
      </c>
      <c r="L20" s="40">
        <f t="shared" ref="L20:L22" si="2">SUM(I20:K20)</f>
        <v>-233144</v>
      </c>
      <c r="M20" s="51">
        <f>L14+L20</f>
        <v>287623</v>
      </c>
      <c r="N20" s="34"/>
      <c r="O20" s="34"/>
      <c r="P20" s="34"/>
      <c r="Q20" s="34"/>
      <c r="R20" s="34"/>
    </row>
    <row r="21" spans="1:18" ht="18.75">
      <c r="A21" s="2"/>
      <c r="B21" s="2" t="s">
        <v>64</v>
      </c>
      <c r="C21" s="2"/>
      <c r="D21" s="2"/>
      <c r="E21" s="2"/>
      <c r="F21" s="2"/>
      <c r="G21" s="2"/>
      <c r="H21" s="2"/>
      <c r="I21" s="40">
        <v>-3162472</v>
      </c>
      <c r="J21" s="40">
        <v>-376642</v>
      </c>
      <c r="K21" s="40">
        <v>113665</v>
      </c>
      <c r="L21" s="40">
        <f t="shared" si="2"/>
        <v>-3425449</v>
      </c>
      <c r="M21" s="51">
        <f>L15+L21</f>
        <v>1013796</v>
      </c>
      <c r="N21" s="34"/>
      <c r="O21" s="34"/>
      <c r="P21" s="34"/>
      <c r="Q21" s="34"/>
      <c r="R21" s="34"/>
    </row>
    <row r="22" spans="1:18" ht="18.75">
      <c r="A22" s="2"/>
      <c r="B22" s="2" t="s">
        <v>52</v>
      </c>
      <c r="C22" s="2"/>
      <c r="D22" s="2"/>
      <c r="E22" s="2"/>
      <c r="F22" s="2"/>
      <c r="G22" s="2"/>
      <c r="H22" s="2"/>
      <c r="I22" s="40">
        <v>-2798068</v>
      </c>
      <c r="J22" s="40">
        <v>-286695</v>
      </c>
      <c r="K22" s="40"/>
      <c r="L22" s="40">
        <f t="shared" si="2"/>
        <v>-3084763</v>
      </c>
      <c r="M22" s="51">
        <f>L16+L22</f>
        <v>3534874</v>
      </c>
      <c r="N22" s="34"/>
      <c r="O22" s="34"/>
      <c r="P22" s="34"/>
      <c r="Q22" s="34"/>
      <c r="R22" s="34"/>
    </row>
    <row r="23" spans="1:18" ht="18.75">
      <c r="A23" s="1"/>
      <c r="B23" s="2"/>
      <c r="C23" s="1"/>
      <c r="D23" s="2"/>
      <c r="E23" s="2"/>
      <c r="F23" s="2"/>
      <c r="G23" s="2"/>
      <c r="H23" s="2"/>
      <c r="I23" s="76">
        <f>SUM(I19:I22)</f>
        <v>-16761899</v>
      </c>
      <c r="J23" s="76">
        <f>SUM(J19:J22)</f>
        <v>-992548</v>
      </c>
      <c r="K23" s="76">
        <f>SUM(K19:K22)</f>
        <v>150352</v>
      </c>
      <c r="L23" s="76">
        <f>SUM(L19:L22)</f>
        <v>-17604095</v>
      </c>
      <c r="M23" s="34"/>
      <c r="N23" s="34"/>
      <c r="O23" s="34"/>
      <c r="P23" s="34"/>
      <c r="Q23" s="34"/>
      <c r="R23" s="34"/>
    </row>
    <row r="24" spans="1:18" ht="18.75">
      <c r="A24" s="1" t="s">
        <v>445</v>
      </c>
      <c r="B24" s="2"/>
      <c r="C24" s="1"/>
      <c r="D24" s="2"/>
      <c r="E24" s="2"/>
      <c r="F24" s="2"/>
      <c r="G24" s="2"/>
      <c r="H24" s="2"/>
      <c r="I24" s="76">
        <f>SUM(I17+I23)</f>
        <v>9007072</v>
      </c>
      <c r="J24" s="76">
        <f t="shared" ref="J24:L24" si="3">SUM(J17+J23)</f>
        <v>-500648</v>
      </c>
      <c r="K24" s="76">
        <f t="shared" si="3"/>
        <v>-5268</v>
      </c>
      <c r="L24" s="76">
        <f t="shared" si="3"/>
        <v>8501156</v>
      </c>
      <c r="M24" s="34"/>
      <c r="N24" s="34"/>
      <c r="O24" s="34"/>
      <c r="P24" s="34"/>
      <c r="Q24" s="34"/>
      <c r="R24" s="34"/>
    </row>
    <row r="25" spans="1:18" ht="18.75">
      <c r="A25" s="1" t="s">
        <v>22</v>
      </c>
      <c r="B25" s="2"/>
      <c r="C25" s="1"/>
      <c r="D25" s="2"/>
      <c r="E25" s="2"/>
      <c r="F25" s="2"/>
      <c r="G25" s="2"/>
      <c r="H25" s="2"/>
      <c r="I25" s="76">
        <f>SUM(I11+I17+I23)</f>
        <v>9506315</v>
      </c>
      <c r="J25" s="76">
        <f t="shared" ref="J25:L25" si="4">SUM(J11+J17+J23)</f>
        <v>8580100</v>
      </c>
      <c r="K25" s="76">
        <f t="shared" si="4"/>
        <v>-5268</v>
      </c>
      <c r="L25" s="76">
        <f t="shared" si="4"/>
        <v>18081147</v>
      </c>
      <c r="M25" s="51">
        <f>SUM(M9:M23)</f>
        <v>18081147</v>
      </c>
      <c r="N25" s="34"/>
      <c r="O25" s="34"/>
      <c r="P25" s="34"/>
      <c r="Q25" s="34"/>
      <c r="R25" s="34"/>
    </row>
    <row r="26" spans="1:18" ht="18.75">
      <c r="M26" s="34"/>
      <c r="N26" s="34"/>
      <c r="O26" s="34"/>
      <c r="P26" s="34"/>
      <c r="Q26" s="34"/>
      <c r="R26" s="34"/>
    </row>
    <row r="27" spans="1:18" ht="18.75">
      <c r="M27" s="34"/>
      <c r="N27" s="34"/>
      <c r="O27" s="34"/>
      <c r="P27" s="34"/>
      <c r="Q27" s="34"/>
      <c r="R27" s="34"/>
    </row>
    <row r="28" spans="1:18" ht="18.75">
      <c r="M28" s="34"/>
      <c r="N28" s="34"/>
      <c r="O28" s="34"/>
      <c r="P28" s="34"/>
      <c r="Q28" s="34"/>
      <c r="R28" s="34"/>
    </row>
  </sheetData>
  <mergeCells count="3">
    <mergeCell ref="D1:I1"/>
    <mergeCell ref="D2:I2"/>
    <mergeCell ref="D3:I3"/>
  </mergeCells>
  <pageMargins left="0.7" right="0.7" top="0.75" bottom="0.75" header="0.3" footer="0.3"/>
  <pageSetup orientation="portrait"/>
  <extLst>
    <ext xmlns:mx="http://schemas.microsoft.com/office/mac/excel/2008/main" uri="{64002731-A6B0-56B0-2670-7721B7C09600}">
      <mx:PLV Mode="0" OnePage="0" WScale="0"/>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M28"/>
  <sheetViews>
    <sheetView zoomScale="80" zoomScaleNormal="80" zoomScalePageLayoutView="80" workbookViewId="0">
      <selection activeCell="I11" sqref="I11"/>
    </sheetView>
  </sheetViews>
  <sheetFormatPr defaultColWidth="8.85546875" defaultRowHeight="15"/>
  <cols>
    <col min="9" max="9" width="17.42578125" customWidth="1"/>
    <col min="10" max="10" width="15.7109375" customWidth="1"/>
    <col min="11" max="11" width="15" customWidth="1"/>
    <col min="12" max="13" width="20.42578125" customWidth="1"/>
  </cols>
  <sheetData>
    <row r="1" spans="1:13" ht="18.75">
      <c r="A1" s="2"/>
      <c r="B1" s="2"/>
      <c r="C1" s="2"/>
      <c r="D1" s="136" t="s">
        <v>446</v>
      </c>
      <c r="E1" s="136"/>
      <c r="F1" s="136"/>
      <c r="G1" s="136"/>
      <c r="H1" s="136"/>
      <c r="I1" s="136"/>
      <c r="J1" s="2"/>
      <c r="K1" s="2"/>
      <c r="L1" s="2"/>
    </row>
    <row r="2" spans="1:13" ht="18.75">
      <c r="A2" s="2"/>
      <c r="B2" s="2"/>
      <c r="C2" s="2"/>
      <c r="D2" s="136" t="s">
        <v>1</v>
      </c>
      <c r="E2" s="136"/>
      <c r="F2" s="136"/>
      <c r="G2" s="136"/>
      <c r="H2" s="136"/>
      <c r="I2" s="136"/>
      <c r="J2" s="2"/>
      <c r="K2" s="2"/>
      <c r="L2" s="2"/>
    </row>
    <row r="3" spans="1:13" ht="18.75">
      <c r="A3" s="2"/>
      <c r="B3" s="2"/>
      <c r="C3" s="2"/>
      <c r="D3" s="136" t="s">
        <v>2</v>
      </c>
      <c r="E3" s="136"/>
      <c r="F3" s="136"/>
      <c r="G3" s="136"/>
      <c r="H3" s="136"/>
      <c r="I3" s="136"/>
      <c r="J3" s="2"/>
      <c r="K3" s="2"/>
      <c r="L3" s="2"/>
    </row>
    <row r="4" spans="1:13" ht="18.75">
      <c r="A4" s="2"/>
      <c r="B4" s="2"/>
      <c r="C4" s="2"/>
      <c r="D4" s="69"/>
      <c r="E4" s="69"/>
      <c r="F4" s="69"/>
      <c r="G4" s="69"/>
      <c r="H4" s="69"/>
      <c r="I4" s="69"/>
      <c r="J4" s="2"/>
      <c r="K4" s="2"/>
      <c r="L4" s="2"/>
    </row>
    <row r="5" spans="1:13" ht="37.5">
      <c r="A5" s="2"/>
      <c r="B5" s="2"/>
      <c r="C5" s="2"/>
      <c r="D5" s="2"/>
      <c r="E5" s="2"/>
      <c r="F5" s="2"/>
      <c r="G5" s="2"/>
      <c r="H5" s="2"/>
      <c r="I5" s="71" t="s">
        <v>3</v>
      </c>
      <c r="J5" s="71" t="s">
        <v>447</v>
      </c>
      <c r="K5" s="71" t="s">
        <v>448</v>
      </c>
      <c r="L5" s="71" t="s">
        <v>6</v>
      </c>
      <c r="M5" s="71" t="s">
        <v>7</v>
      </c>
    </row>
    <row r="6" spans="1:13" ht="18.75">
      <c r="A6" s="1" t="s">
        <v>49</v>
      </c>
      <c r="B6" s="2"/>
      <c r="C6" s="2"/>
      <c r="D6" s="2"/>
      <c r="E6" s="2"/>
      <c r="F6" s="2"/>
      <c r="G6" s="2"/>
      <c r="H6" s="2"/>
      <c r="I6" s="79"/>
      <c r="J6" s="79"/>
      <c r="K6" s="79"/>
      <c r="L6" s="79"/>
    </row>
    <row r="7" spans="1:13" ht="18.75">
      <c r="A7" s="1" t="s">
        <v>367</v>
      </c>
      <c r="B7" s="1"/>
      <c r="C7" s="1"/>
      <c r="D7" s="1"/>
      <c r="E7" s="1"/>
      <c r="F7" s="1"/>
      <c r="G7" s="2"/>
      <c r="H7" s="2"/>
      <c r="I7" s="2"/>
      <c r="J7" s="2"/>
      <c r="K7" s="2"/>
      <c r="L7" s="2"/>
    </row>
    <row r="8" spans="1:13" ht="18.75">
      <c r="A8" s="1" t="s">
        <v>9</v>
      </c>
      <c r="B8" s="1"/>
      <c r="C8" s="1"/>
      <c r="D8" s="1"/>
      <c r="E8" s="1"/>
      <c r="F8" s="1"/>
      <c r="G8" s="2"/>
      <c r="H8" s="2"/>
      <c r="I8" s="40"/>
      <c r="J8" s="40"/>
      <c r="K8" s="40"/>
      <c r="L8" s="40"/>
    </row>
    <row r="9" spans="1:13" ht="18.75">
      <c r="A9" s="2"/>
      <c r="B9" s="2" t="s">
        <v>10</v>
      </c>
      <c r="C9" s="2"/>
      <c r="D9" s="2"/>
      <c r="E9" s="2"/>
      <c r="F9" s="2"/>
      <c r="G9" s="2"/>
      <c r="H9" s="2"/>
      <c r="I9" s="40">
        <v>1515115</v>
      </c>
      <c r="J9" s="40">
        <v>45000</v>
      </c>
      <c r="K9" s="40"/>
      <c r="L9" s="40">
        <f>SUM(I9:K9)</f>
        <v>1560115</v>
      </c>
      <c r="M9" s="51">
        <f>L9</f>
        <v>1560115</v>
      </c>
    </row>
    <row r="10" spans="1:13" ht="18.75">
      <c r="A10" s="2"/>
      <c r="B10" s="2" t="s">
        <v>11</v>
      </c>
      <c r="C10" s="2"/>
      <c r="D10" s="2"/>
      <c r="E10" s="2"/>
      <c r="F10" s="2"/>
      <c r="G10" s="2"/>
      <c r="H10" s="2"/>
      <c r="I10" s="2">
        <v>9423016</v>
      </c>
      <c r="J10" s="2">
        <v>1213143</v>
      </c>
      <c r="K10" s="2">
        <v>-9423016</v>
      </c>
      <c r="L10" s="40">
        <f>SUM(I10:K10)</f>
        <v>1213143</v>
      </c>
      <c r="M10" s="51">
        <f>L10</f>
        <v>1213143</v>
      </c>
    </row>
    <row r="11" spans="1:13" ht="18.75">
      <c r="A11" s="1"/>
      <c r="B11" s="1"/>
      <c r="C11" s="1" t="s">
        <v>68</v>
      </c>
      <c r="D11" s="1"/>
      <c r="E11" s="1"/>
      <c r="F11" s="1"/>
      <c r="G11" s="1"/>
      <c r="H11" s="1"/>
      <c r="I11" s="85">
        <f>SUM(I9:I10)</f>
        <v>10938131</v>
      </c>
      <c r="J11" s="85">
        <f>SUM(J9:J10)</f>
        <v>1258143</v>
      </c>
      <c r="K11" s="85">
        <f>SUM(K9:K10)</f>
        <v>-9423016</v>
      </c>
      <c r="L11" s="85">
        <f>SUM(L9:L10)</f>
        <v>2773258</v>
      </c>
      <c r="M11" s="34"/>
    </row>
    <row r="12" spans="1:13" ht="18.75">
      <c r="A12" s="2"/>
      <c r="B12" s="2"/>
      <c r="C12" s="2"/>
      <c r="D12" s="2"/>
      <c r="E12" s="2"/>
      <c r="F12" s="2"/>
      <c r="G12" s="2"/>
      <c r="H12" s="2"/>
      <c r="I12" s="2"/>
      <c r="J12" s="2"/>
      <c r="K12" s="2"/>
      <c r="L12" s="2"/>
      <c r="M12" s="34"/>
    </row>
    <row r="13" spans="1:13" ht="18.75">
      <c r="A13" s="1" t="s">
        <v>371</v>
      </c>
      <c r="B13" s="2"/>
      <c r="C13" s="2"/>
      <c r="D13" s="2"/>
      <c r="E13" s="2"/>
      <c r="F13" s="2"/>
      <c r="G13" s="2"/>
      <c r="H13" s="2"/>
      <c r="I13" s="2"/>
      <c r="J13" s="2"/>
      <c r="K13" s="2"/>
      <c r="L13" s="2"/>
      <c r="M13" s="34"/>
    </row>
    <row r="14" spans="1:13" ht="18.75">
      <c r="A14" s="2"/>
      <c r="B14" s="2" t="s">
        <v>14</v>
      </c>
      <c r="C14" s="2"/>
      <c r="D14" s="2"/>
      <c r="E14" s="2"/>
      <c r="F14" s="2"/>
      <c r="G14" s="2"/>
      <c r="H14" s="2"/>
      <c r="I14" s="2">
        <v>30662464</v>
      </c>
      <c r="J14" s="40">
        <v>5653809</v>
      </c>
      <c r="K14" s="40"/>
      <c r="L14" s="40">
        <f>SUM(I14:K14)</f>
        <v>36316273</v>
      </c>
      <c r="M14" s="34"/>
    </row>
    <row r="15" spans="1:13" ht="18.75">
      <c r="A15" s="2"/>
      <c r="B15" s="2" t="s">
        <v>15</v>
      </c>
      <c r="C15" s="2"/>
      <c r="D15" s="2"/>
      <c r="E15" s="2"/>
      <c r="F15" s="2"/>
      <c r="G15" s="2"/>
      <c r="H15" s="2"/>
      <c r="I15" s="2">
        <v>14905054</v>
      </c>
      <c r="J15" s="40">
        <v>1163510</v>
      </c>
      <c r="K15" s="40">
        <v>-736740</v>
      </c>
      <c r="L15" s="40">
        <f>SUM(I15:K15)</f>
        <v>15331824</v>
      </c>
      <c r="M15" s="34"/>
    </row>
    <row r="16" spans="1:13" ht="18.75">
      <c r="A16" s="2"/>
      <c r="B16" s="2" t="s">
        <v>16</v>
      </c>
      <c r="C16" s="2"/>
      <c r="D16" s="2"/>
      <c r="E16" s="2"/>
      <c r="F16" s="2"/>
      <c r="G16" s="2"/>
      <c r="H16" s="2"/>
      <c r="I16" s="2">
        <v>1781934</v>
      </c>
      <c r="J16" s="40"/>
      <c r="K16" s="40"/>
      <c r="L16" s="40">
        <f>SUM(I16:K16)</f>
        <v>1781934</v>
      </c>
      <c r="M16" s="34"/>
    </row>
    <row r="17" spans="1:13" ht="18.75">
      <c r="A17" s="2"/>
      <c r="B17" s="2" t="s">
        <v>140</v>
      </c>
      <c r="C17" s="2"/>
      <c r="D17" s="2"/>
      <c r="E17" s="2"/>
      <c r="F17" s="2"/>
      <c r="G17" s="2"/>
      <c r="H17" s="2"/>
      <c r="I17" s="2">
        <v>38203364</v>
      </c>
      <c r="J17" s="40">
        <v>5603654</v>
      </c>
      <c r="K17" s="40"/>
      <c r="L17" s="40">
        <f>SUM(I17:K17)</f>
        <v>43807018</v>
      </c>
      <c r="M17" s="34"/>
    </row>
    <row r="18" spans="1:13" ht="18.75">
      <c r="A18" s="2"/>
      <c r="B18" s="2"/>
      <c r="C18" s="1" t="s">
        <v>18</v>
      </c>
      <c r="D18" s="2"/>
      <c r="E18" s="2"/>
      <c r="F18" s="2"/>
      <c r="G18" s="2"/>
      <c r="H18" s="2"/>
      <c r="I18" s="86">
        <f>SUM(I14:I17)</f>
        <v>85552816</v>
      </c>
      <c r="J18" s="86">
        <f>SUM(J14:J17)</f>
        <v>12420973</v>
      </c>
      <c r="K18" s="86">
        <f>SUM(K14:K17)</f>
        <v>-736740</v>
      </c>
      <c r="L18" s="86">
        <f>SUM(L14:L17)</f>
        <v>97237049</v>
      </c>
      <c r="M18" s="34"/>
    </row>
    <row r="19" spans="1:13" ht="18.75">
      <c r="A19" s="2"/>
      <c r="B19" s="2"/>
      <c r="C19" s="2"/>
      <c r="D19" s="2"/>
      <c r="E19" s="2"/>
      <c r="F19" s="2"/>
      <c r="G19" s="2"/>
      <c r="H19" s="2"/>
      <c r="I19" s="2"/>
      <c r="J19" s="2"/>
      <c r="K19" s="2"/>
      <c r="L19" s="2"/>
      <c r="M19" s="34"/>
    </row>
    <row r="20" spans="1:13" ht="18.75">
      <c r="A20" s="1" t="s">
        <v>376</v>
      </c>
      <c r="B20" s="2"/>
      <c r="C20" s="2"/>
      <c r="D20" s="2"/>
      <c r="E20" s="2"/>
      <c r="F20" s="2"/>
      <c r="G20" s="2"/>
      <c r="H20" s="2"/>
      <c r="I20" s="2"/>
      <c r="J20" s="40"/>
      <c r="K20" s="40"/>
      <c r="L20" s="40"/>
      <c r="M20" s="34"/>
    </row>
    <row r="21" spans="1:13" ht="18.75">
      <c r="A21" s="2"/>
      <c r="B21" s="2" t="s">
        <v>32</v>
      </c>
      <c r="C21" s="2"/>
      <c r="D21" s="2"/>
      <c r="E21" s="2"/>
      <c r="F21" s="2"/>
      <c r="G21" s="2"/>
      <c r="H21" s="2"/>
      <c r="I21" s="40">
        <v>7355299</v>
      </c>
      <c r="J21" s="40">
        <v>907907</v>
      </c>
      <c r="K21" s="40"/>
      <c r="L21" s="40">
        <f>SUM(I21:K21)</f>
        <v>8263206</v>
      </c>
      <c r="M21" s="51">
        <f>L14-L21</f>
        <v>28053067</v>
      </c>
    </row>
    <row r="22" spans="1:13" ht="18.75">
      <c r="A22" s="2"/>
      <c r="B22" s="2" t="s">
        <v>101</v>
      </c>
      <c r="C22" s="2"/>
      <c r="D22" s="2"/>
      <c r="E22" s="2"/>
      <c r="F22" s="2"/>
      <c r="G22" s="2"/>
      <c r="H22" s="2"/>
      <c r="I22" s="40">
        <v>9398641</v>
      </c>
      <c r="J22" s="40">
        <v>1460174</v>
      </c>
      <c r="K22" s="40">
        <v>-736740</v>
      </c>
      <c r="L22" s="40">
        <f>SUM(I22:K22)</f>
        <v>10122075</v>
      </c>
      <c r="M22" s="51">
        <f>L15-L22</f>
        <v>5209749</v>
      </c>
    </row>
    <row r="23" spans="1:13" ht="18.75">
      <c r="A23" s="2"/>
      <c r="B23" s="2" t="s">
        <v>16</v>
      </c>
      <c r="C23" s="2"/>
      <c r="D23" s="2"/>
      <c r="E23" s="2"/>
      <c r="F23" s="2"/>
      <c r="G23" s="2"/>
      <c r="H23" s="2"/>
      <c r="I23" s="40">
        <v>676310</v>
      </c>
      <c r="J23" s="40">
        <v>71277</v>
      </c>
      <c r="K23" s="40"/>
      <c r="L23" s="40">
        <f>SUM(I23:K23)</f>
        <v>747587</v>
      </c>
      <c r="M23" s="51">
        <f>L16-L23</f>
        <v>1034347</v>
      </c>
    </row>
    <row r="24" spans="1:13" ht="18.75">
      <c r="A24" s="2"/>
      <c r="B24" s="2" t="s">
        <v>140</v>
      </c>
      <c r="C24" s="2"/>
      <c r="D24" s="2"/>
      <c r="E24" s="2"/>
      <c r="F24" s="2"/>
      <c r="G24" s="2"/>
      <c r="H24" s="2"/>
      <c r="I24" s="40">
        <v>8699862</v>
      </c>
      <c r="J24" s="40">
        <v>1443588</v>
      </c>
      <c r="K24" s="40"/>
      <c r="L24" s="40">
        <f>SUM(I24:K24)</f>
        <v>10143450</v>
      </c>
      <c r="M24" s="51">
        <f>L17-L24</f>
        <v>33663568</v>
      </c>
    </row>
    <row r="25" spans="1:13" ht="18.75">
      <c r="A25" s="1"/>
      <c r="B25" s="2"/>
      <c r="C25" s="1" t="s">
        <v>20</v>
      </c>
      <c r="D25" s="2"/>
      <c r="E25" s="2"/>
      <c r="F25" s="2"/>
      <c r="G25" s="2"/>
      <c r="H25" s="2"/>
      <c r="I25" s="76">
        <f>SUM(I21:I24)</f>
        <v>26130112</v>
      </c>
      <c r="J25" s="76">
        <f>SUM(J21:J24)</f>
        <v>3882946</v>
      </c>
      <c r="K25" s="76">
        <f>SUM(K21:K24)</f>
        <v>-736740</v>
      </c>
      <c r="L25" s="76">
        <f>SUM(L21:L24)</f>
        <v>29276318</v>
      </c>
      <c r="M25" s="34"/>
    </row>
    <row r="26" spans="1:13" ht="18.75">
      <c r="A26" s="2"/>
      <c r="B26" s="2"/>
      <c r="C26" s="2"/>
      <c r="D26" s="2"/>
      <c r="E26" s="2"/>
      <c r="F26" s="2"/>
      <c r="G26" s="2"/>
      <c r="H26" s="2"/>
      <c r="I26" s="2"/>
      <c r="J26" s="2"/>
      <c r="K26" s="2"/>
      <c r="L26" s="2"/>
      <c r="M26" s="34"/>
    </row>
    <row r="27" spans="1:13" ht="18.75">
      <c r="A27" s="1" t="s">
        <v>445</v>
      </c>
      <c r="B27" s="2"/>
      <c r="C27" s="1"/>
      <c r="D27" s="2"/>
      <c r="E27" s="2"/>
      <c r="F27" s="2"/>
      <c r="G27" s="2"/>
      <c r="H27" s="2"/>
      <c r="I27" s="76">
        <f>I18-I25</f>
        <v>59422704</v>
      </c>
      <c r="J27" s="76">
        <f t="shared" ref="J27:L27" si="0">J18-J25</f>
        <v>8538027</v>
      </c>
      <c r="K27" s="76">
        <f t="shared" si="0"/>
        <v>0</v>
      </c>
      <c r="L27" s="76">
        <f t="shared" si="0"/>
        <v>67960731</v>
      </c>
      <c r="M27" s="34"/>
    </row>
    <row r="28" spans="1:13" ht="18.75">
      <c r="A28" s="1" t="s">
        <v>22</v>
      </c>
      <c r="B28" s="2"/>
      <c r="C28" s="1"/>
      <c r="D28" s="2"/>
      <c r="E28" s="2"/>
      <c r="F28" s="2"/>
      <c r="G28" s="2"/>
      <c r="H28" s="2"/>
      <c r="I28" s="76">
        <f>I11+I27</f>
        <v>70360835</v>
      </c>
      <c r="J28" s="76">
        <f>J11+J27</f>
        <v>9796170</v>
      </c>
      <c r="K28" s="76">
        <f>K11+K27</f>
        <v>-9423016</v>
      </c>
      <c r="L28" s="76">
        <f>L11+L27</f>
        <v>70733989</v>
      </c>
      <c r="M28" s="51">
        <f>SUM(M9:M26)</f>
        <v>70733989</v>
      </c>
    </row>
  </sheetData>
  <mergeCells count="3">
    <mergeCell ref="D1:I1"/>
    <mergeCell ref="D2:I2"/>
    <mergeCell ref="D3:I3"/>
  </mergeCells>
  <pageMargins left="0.7" right="0.7" top="0.75" bottom="0.75" header="0.3" footer="0.3"/>
  <extLst>
    <ext xmlns:mx="http://schemas.microsoft.com/office/mac/excel/2008/main" uri="{64002731-A6B0-56B0-2670-7721B7C09600}">
      <mx:PLV Mode="0" OnePage="0" WScale="0"/>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O49"/>
  <sheetViews>
    <sheetView workbookViewId="0">
      <selection activeCell="P13" sqref="P13"/>
    </sheetView>
  </sheetViews>
  <sheetFormatPr defaultColWidth="8.85546875" defaultRowHeight="18.75"/>
  <cols>
    <col min="1" max="1" width="3.85546875" customWidth="1"/>
    <col min="2" max="2" width="5.42578125" customWidth="1"/>
    <col min="3" max="3" width="4.7109375" customWidth="1"/>
    <col min="4" max="4" width="3.7109375" customWidth="1"/>
    <col min="9" max="9" width="17.42578125" customWidth="1"/>
    <col min="10" max="10" width="17.28515625" bestFit="1" customWidth="1"/>
    <col min="11" max="13" width="15.7109375" bestFit="1" customWidth="1"/>
    <col min="14" max="14" width="17.28515625" bestFit="1" customWidth="1"/>
    <col min="15" max="15" width="17.28515625" style="34" bestFit="1" customWidth="1"/>
  </cols>
  <sheetData>
    <row r="1" spans="1:15">
      <c r="B1" s="2"/>
      <c r="C1" s="2"/>
      <c r="D1" s="2"/>
      <c r="E1" s="136" t="s">
        <v>449</v>
      </c>
      <c r="F1" s="136"/>
      <c r="G1" s="136"/>
      <c r="H1" s="136"/>
      <c r="I1" s="136"/>
      <c r="J1" s="136"/>
      <c r="K1" s="2"/>
      <c r="L1" s="2"/>
      <c r="M1" s="2"/>
      <c r="N1" s="2"/>
    </row>
    <row r="2" spans="1:15">
      <c r="B2" s="2"/>
      <c r="C2" s="2"/>
      <c r="D2" s="2"/>
      <c r="E2" s="136" t="s">
        <v>1</v>
      </c>
      <c r="F2" s="136"/>
      <c r="G2" s="136"/>
      <c r="H2" s="136"/>
      <c r="I2" s="136"/>
      <c r="J2" s="136"/>
      <c r="K2" s="2"/>
      <c r="L2" s="2"/>
      <c r="M2" s="2"/>
      <c r="N2" s="2"/>
    </row>
    <row r="3" spans="1:15">
      <c r="B3" s="2"/>
      <c r="C3" s="2"/>
      <c r="D3" s="2"/>
      <c r="E3" s="136" t="s">
        <v>2</v>
      </c>
      <c r="F3" s="136"/>
      <c r="G3" s="136"/>
      <c r="H3" s="136"/>
      <c r="I3" s="136"/>
      <c r="J3" s="136"/>
      <c r="K3" s="2"/>
      <c r="L3" s="2"/>
      <c r="M3" s="2"/>
      <c r="N3" s="2"/>
    </row>
    <row r="4" spans="1:15">
      <c r="B4" s="2"/>
      <c r="C4" s="2"/>
      <c r="D4" s="2"/>
      <c r="E4" s="69"/>
      <c r="F4" s="69"/>
      <c r="G4" s="69"/>
      <c r="H4" s="69"/>
      <c r="I4" s="69"/>
      <c r="J4" s="69"/>
      <c r="K4" s="2"/>
      <c r="L4" s="2"/>
      <c r="M4" s="2"/>
      <c r="N4" s="2"/>
    </row>
    <row r="5" spans="1:15">
      <c r="B5" s="2"/>
      <c r="C5" s="2"/>
      <c r="D5" s="2"/>
      <c r="E5" s="2"/>
      <c r="F5" s="2"/>
      <c r="G5" s="2"/>
      <c r="H5" s="2"/>
      <c r="I5" s="2"/>
      <c r="J5" s="71"/>
      <c r="K5" s="71"/>
      <c r="L5" s="71"/>
      <c r="M5" s="71"/>
      <c r="N5" s="71"/>
      <c r="O5" s="71"/>
    </row>
    <row r="6" spans="1:15" ht="37.5">
      <c r="A6" s="1" t="s">
        <v>49</v>
      </c>
      <c r="B6" s="1"/>
      <c r="C6" s="2"/>
      <c r="D6" s="2"/>
      <c r="E6" s="2"/>
      <c r="F6" s="2"/>
      <c r="G6" s="2"/>
      <c r="H6" s="2"/>
      <c r="I6" s="2"/>
      <c r="J6" s="71" t="s">
        <v>3</v>
      </c>
      <c r="K6" s="71" t="s">
        <v>4</v>
      </c>
      <c r="L6" s="71" t="s">
        <v>5</v>
      </c>
      <c r="M6" s="71" t="s">
        <v>67</v>
      </c>
      <c r="N6" s="71" t="s">
        <v>6</v>
      </c>
      <c r="O6" s="71" t="s">
        <v>7</v>
      </c>
    </row>
    <row r="7" spans="1:15">
      <c r="A7" s="1" t="s">
        <v>276</v>
      </c>
      <c r="B7" s="1"/>
      <c r="C7" s="2"/>
      <c r="D7" s="2"/>
      <c r="E7" s="2"/>
      <c r="F7" s="2"/>
      <c r="G7" s="2"/>
      <c r="H7" s="2"/>
      <c r="I7" s="2"/>
      <c r="J7" s="2"/>
      <c r="K7" s="2"/>
      <c r="L7" s="2"/>
      <c r="M7" s="2"/>
      <c r="N7" s="2"/>
      <c r="O7" s="2"/>
    </row>
    <row r="8" spans="1:15">
      <c r="A8" s="2"/>
      <c r="B8" s="2" t="s">
        <v>9</v>
      </c>
      <c r="C8" s="1"/>
      <c r="D8" s="1"/>
      <c r="E8" s="1"/>
      <c r="F8" s="1"/>
      <c r="G8" s="1"/>
      <c r="H8" s="2"/>
      <c r="I8" s="2"/>
      <c r="J8" s="113"/>
      <c r="K8" s="113"/>
      <c r="L8" s="113"/>
      <c r="M8" s="113"/>
      <c r="N8" s="113"/>
      <c r="O8" s="113"/>
    </row>
    <row r="9" spans="1:15">
      <c r="C9" s="2" t="s">
        <v>10</v>
      </c>
      <c r="D9" s="2"/>
      <c r="E9" s="2"/>
      <c r="F9" s="2"/>
      <c r="G9" s="2"/>
      <c r="H9" s="2"/>
      <c r="I9" s="2"/>
      <c r="J9" s="114">
        <v>1870876</v>
      </c>
      <c r="K9" s="113"/>
      <c r="L9" s="113"/>
      <c r="M9" s="113"/>
      <c r="N9" s="113">
        <f t="shared" ref="N9:N10" si="0">SUM(J9:M9)</f>
        <v>1870876</v>
      </c>
      <c r="O9" s="125">
        <f>N9</f>
        <v>1870876</v>
      </c>
    </row>
    <row r="10" spans="1:15">
      <c r="C10" s="2" t="s">
        <v>11</v>
      </c>
      <c r="D10" s="2"/>
      <c r="E10" s="2"/>
      <c r="F10" s="2"/>
      <c r="G10" s="2"/>
      <c r="H10" s="2"/>
      <c r="I10" s="2"/>
      <c r="J10" s="114">
        <v>1887343</v>
      </c>
      <c r="K10" s="113">
        <v>3329766</v>
      </c>
      <c r="L10" s="113"/>
      <c r="M10" s="113">
        <v>-2317559</v>
      </c>
      <c r="N10" s="113">
        <f t="shared" si="0"/>
        <v>2899550</v>
      </c>
      <c r="O10" s="125">
        <f>N10</f>
        <v>2899550</v>
      </c>
    </row>
    <row r="11" spans="1:15">
      <c r="B11" s="2"/>
      <c r="C11" s="2"/>
      <c r="D11" s="2" t="s">
        <v>88</v>
      </c>
      <c r="E11" s="2"/>
      <c r="F11" s="2"/>
      <c r="G11" s="2"/>
      <c r="H11" s="2"/>
      <c r="I11" s="2"/>
      <c r="J11" s="126">
        <f>SUM(J9:J10)</f>
        <v>3758219</v>
      </c>
      <c r="K11" s="126">
        <f>SUM(K9:K10)</f>
        <v>3329766</v>
      </c>
      <c r="L11" s="126">
        <f>SUM(L9:L10)</f>
        <v>0</v>
      </c>
      <c r="M11" s="126">
        <f>SUM(M9:M10)</f>
        <v>-2317559</v>
      </c>
      <c r="N11" s="126">
        <f>SUM(N9:N10)</f>
        <v>4770426</v>
      </c>
      <c r="O11" s="125"/>
    </row>
    <row r="12" spans="1:15">
      <c r="B12" s="2"/>
      <c r="C12" s="2"/>
      <c r="D12" s="2"/>
      <c r="E12" s="2"/>
      <c r="F12" s="2"/>
      <c r="G12" s="2"/>
      <c r="H12" s="2"/>
      <c r="I12" s="2"/>
      <c r="J12" s="127"/>
      <c r="K12" s="127"/>
      <c r="L12" s="127"/>
      <c r="M12" s="127"/>
      <c r="N12" s="127"/>
      <c r="O12" s="125"/>
    </row>
    <row r="13" spans="1:15">
      <c r="A13" s="2"/>
      <c r="B13" s="2" t="s">
        <v>178</v>
      </c>
      <c r="C13" s="2"/>
      <c r="D13" s="2"/>
      <c r="E13" s="2"/>
      <c r="F13" s="2"/>
      <c r="G13" s="2"/>
      <c r="H13" s="2"/>
      <c r="I13" s="2"/>
      <c r="J13" s="113"/>
      <c r="K13" s="113"/>
      <c r="L13" s="113"/>
      <c r="M13" s="113"/>
      <c r="N13" s="113"/>
      <c r="O13" s="125"/>
    </row>
    <row r="14" spans="1:15">
      <c r="C14" s="2" t="s">
        <v>17</v>
      </c>
      <c r="D14" s="2"/>
      <c r="E14" s="2"/>
      <c r="F14" s="2"/>
      <c r="G14" s="2"/>
      <c r="H14" s="2"/>
      <c r="I14" s="2"/>
      <c r="J14" s="113">
        <v>130789018</v>
      </c>
      <c r="K14" s="113">
        <v>188924</v>
      </c>
      <c r="L14" s="113"/>
      <c r="M14" s="113"/>
      <c r="N14" s="113">
        <f>SUM(J14:M14)</f>
        <v>130977942</v>
      </c>
      <c r="O14" s="125"/>
    </row>
    <row r="15" spans="1:15">
      <c r="C15" s="2" t="s">
        <v>28</v>
      </c>
      <c r="D15" s="2"/>
      <c r="E15" s="2"/>
      <c r="F15" s="2"/>
      <c r="G15" s="2"/>
      <c r="H15" s="2"/>
      <c r="I15" s="2"/>
      <c r="J15" s="113">
        <v>17516962</v>
      </c>
      <c r="K15" s="113"/>
      <c r="L15" s="113"/>
      <c r="M15" s="113"/>
      <c r="N15" s="113">
        <f>SUM(J15:M15)</f>
        <v>17516962</v>
      </c>
      <c r="O15" s="125"/>
    </row>
    <row r="16" spans="1:15">
      <c r="C16" s="2" t="s">
        <v>108</v>
      </c>
      <c r="D16" s="2"/>
      <c r="E16" s="2"/>
      <c r="F16" s="2"/>
      <c r="G16" s="2"/>
      <c r="H16" s="2"/>
      <c r="I16" s="2"/>
      <c r="J16" s="113">
        <v>11507452</v>
      </c>
      <c r="K16" s="113">
        <v>772020</v>
      </c>
      <c r="L16" s="113">
        <v>-1032106</v>
      </c>
      <c r="M16" s="113"/>
      <c r="N16" s="113">
        <f>SUM(J16:M16)</f>
        <v>11247366</v>
      </c>
      <c r="O16" s="125"/>
    </row>
    <row r="17" spans="1:15">
      <c r="C17" s="2" t="s">
        <v>117</v>
      </c>
      <c r="D17" s="2"/>
      <c r="E17" s="2"/>
      <c r="F17" s="2"/>
      <c r="G17" s="2"/>
      <c r="H17" s="2"/>
      <c r="I17" s="2"/>
      <c r="J17" s="113">
        <v>21701903</v>
      </c>
      <c r="K17" s="113"/>
      <c r="L17" s="113"/>
      <c r="M17" s="113">
        <v>2317559</v>
      </c>
      <c r="N17" s="113">
        <f t="shared" ref="N17" si="1">SUM(J17:M17)</f>
        <v>24019462</v>
      </c>
      <c r="O17" s="125"/>
    </row>
    <row r="18" spans="1:15">
      <c r="B18" s="2"/>
      <c r="C18" s="2"/>
      <c r="D18" s="2" t="s">
        <v>18</v>
      </c>
      <c r="E18" s="2"/>
      <c r="F18" s="2"/>
      <c r="G18" s="2"/>
      <c r="H18" s="2"/>
      <c r="I18" s="2"/>
      <c r="J18" s="126">
        <f>SUM(J14:J17)</f>
        <v>181515335</v>
      </c>
      <c r="K18" s="126">
        <f>SUM(K14:K17)</f>
        <v>960944</v>
      </c>
      <c r="L18" s="126">
        <f>SUM(L14:L17)</f>
        <v>-1032106</v>
      </c>
      <c r="M18" s="126">
        <f>SUM(M14:M17)</f>
        <v>2317559</v>
      </c>
      <c r="N18" s="126">
        <f>SUM(N14:N17)</f>
        <v>183761732</v>
      </c>
      <c r="O18" s="125"/>
    </row>
    <row r="19" spans="1:15">
      <c r="B19" s="2"/>
      <c r="C19" s="2"/>
      <c r="D19" s="2"/>
      <c r="E19" s="2"/>
      <c r="F19" s="2"/>
      <c r="G19" s="2"/>
      <c r="H19" s="2"/>
      <c r="I19" s="2"/>
      <c r="J19" s="127"/>
      <c r="K19" s="127"/>
      <c r="L19" s="127"/>
      <c r="M19" s="127"/>
      <c r="N19" s="127"/>
      <c r="O19" s="125"/>
    </row>
    <row r="20" spans="1:15">
      <c r="A20" s="2"/>
      <c r="B20" s="2" t="s">
        <v>19</v>
      </c>
      <c r="C20" s="2"/>
      <c r="D20" s="2"/>
      <c r="E20" s="2"/>
      <c r="F20" s="2"/>
      <c r="G20" s="2"/>
      <c r="H20" s="2"/>
      <c r="I20" s="2"/>
      <c r="J20" s="113"/>
      <c r="K20" s="113"/>
      <c r="L20" s="113"/>
      <c r="M20" s="113"/>
      <c r="N20" s="113"/>
      <c r="O20" s="125"/>
    </row>
    <row r="21" spans="1:15">
      <c r="C21" s="2" t="s">
        <v>17</v>
      </c>
      <c r="D21" s="2"/>
      <c r="E21" s="2"/>
      <c r="F21" s="2"/>
      <c r="G21" s="2"/>
      <c r="H21" s="2"/>
      <c r="I21" s="2"/>
      <c r="J21" s="127">
        <v>-52228358</v>
      </c>
      <c r="K21" s="128">
        <v>-3189061</v>
      </c>
      <c r="L21" s="128"/>
      <c r="M21" s="128"/>
      <c r="N21" s="128">
        <f t="shared" ref="N21:N24" si="2">SUM(J21:M21)</f>
        <v>-55417419</v>
      </c>
      <c r="O21" s="129">
        <f>N14+N21</f>
        <v>75560523</v>
      </c>
    </row>
    <row r="22" spans="1:15">
      <c r="C22" s="2" t="s">
        <v>28</v>
      </c>
      <c r="D22" s="2"/>
      <c r="E22" s="2"/>
      <c r="F22" s="2"/>
      <c r="G22" s="2"/>
      <c r="H22" s="2"/>
      <c r="I22" s="2"/>
      <c r="J22" s="127">
        <v>-6996508</v>
      </c>
      <c r="K22" s="127">
        <v>-472223</v>
      </c>
      <c r="L22" s="127"/>
      <c r="M22" s="127"/>
      <c r="N22" s="128">
        <f t="shared" si="2"/>
        <v>-7468731</v>
      </c>
      <c r="O22" s="129">
        <f>N15+N22</f>
        <v>10048231</v>
      </c>
    </row>
    <row r="23" spans="1:15">
      <c r="C23" s="2" t="s">
        <v>108</v>
      </c>
      <c r="D23" s="2"/>
      <c r="E23" s="2"/>
      <c r="F23" s="2"/>
      <c r="G23" s="2"/>
      <c r="H23" s="2"/>
      <c r="I23" s="2"/>
      <c r="J23" s="114">
        <v>-9484427</v>
      </c>
      <c r="K23" s="113">
        <v>-584895</v>
      </c>
      <c r="L23" s="113">
        <v>1032106</v>
      </c>
      <c r="M23" s="113"/>
      <c r="N23" s="128">
        <f t="shared" si="2"/>
        <v>-9037216</v>
      </c>
      <c r="O23" s="129">
        <f>N16+N23</f>
        <v>2210150</v>
      </c>
    </row>
    <row r="24" spans="1:15">
      <c r="C24" s="2" t="s">
        <v>117</v>
      </c>
      <c r="D24" s="2"/>
      <c r="E24" s="2"/>
      <c r="F24" s="2"/>
      <c r="G24" s="2"/>
      <c r="H24" s="2"/>
      <c r="I24" s="2"/>
      <c r="J24" s="114">
        <v>-7956919</v>
      </c>
      <c r="K24" s="113">
        <v>-1032266</v>
      </c>
      <c r="L24" s="113"/>
      <c r="M24" s="113"/>
      <c r="N24" s="128">
        <f t="shared" si="2"/>
        <v>-8989185</v>
      </c>
      <c r="O24" s="129">
        <f>N17+N24</f>
        <v>15030277</v>
      </c>
    </row>
    <row r="25" spans="1:15">
      <c r="B25" s="2"/>
      <c r="C25" s="2"/>
      <c r="D25" s="2" t="s">
        <v>20</v>
      </c>
      <c r="E25" s="2"/>
      <c r="F25" s="2"/>
      <c r="G25" s="2"/>
      <c r="H25" s="2"/>
      <c r="I25" s="2"/>
      <c r="J25" s="126">
        <f>SUM(J21:J24)</f>
        <v>-76666212</v>
      </c>
      <c r="K25" s="126">
        <f>SUM(K21:K24)</f>
        <v>-5278445</v>
      </c>
      <c r="L25" s="126">
        <f>SUM(L21:L24)</f>
        <v>1032106</v>
      </c>
      <c r="M25" s="126">
        <f>SUM(M21:M24)</f>
        <v>0</v>
      </c>
      <c r="N25" s="126">
        <f>SUM(N21:N24)</f>
        <v>-80912551</v>
      </c>
      <c r="O25" s="125"/>
    </row>
    <row r="26" spans="1:15">
      <c r="B26" s="2"/>
      <c r="C26" s="2"/>
      <c r="D26" s="2" t="s">
        <v>450</v>
      </c>
      <c r="E26" s="2"/>
      <c r="F26" s="2"/>
      <c r="G26" s="2"/>
      <c r="H26" s="2"/>
      <c r="I26" s="2"/>
      <c r="J26" s="126">
        <f>SUM(J18+J25)</f>
        <v>104849123</v>
      </c>
      <c r="K26" s="126">
        <f>SUM(K18+K25)</f>
        <v>-4317501</v>
      </c>
      <c r="L26" s="126">
        <f>SUM(L18+L25)</f>
        <v>0</v>
      </c>
      <c r="M26" s="126">
        <f>SUM(M18+M25)</f>
        <v>2317559</v>
      </c>
      <c r="N26" s="126">
        <f>SUM(N18+N25)</f>
        <v>102849181</v>
      </c>
      <c r="O26" s="125"/>
    </row>
    <row r="27" spans="1:15">
      <c r="C27" s="2"/>
      <c r="D27" s="2" t="s">
        <v>451</v>
      </c>
      <c r="E27" s="2"/>
      <c r="F27" s="2"/>
      <c r="G27" s="2"/>
      <c r="H27" s="2"/>
      <c r="I27" s="2"/>
      <c r="J27" s="126">
        <f>SUM(J11+J26)</f>
        <v>108607342</v>
      </c>
      <c r="K27" s="126">
        <f t="shared" ref="K27:N27" si="3">SUM(K11+K26)</f>
        <v>-987735</v>
      </c>
      <c r="L27" s="126">
        <f t="shared" si="3"/>
        <v>0</v>
      </c>
      <c r="M27" s="126">
        <f t="shared" si="3"/>
        <v>0</v>
      </c>
      <c r="N27" s="126">
        <f t="shared" si="3"/>
        <v>107619607</v>
      </c>
      <c r="O27" s="131">
        <f>SUM(O9:O26)</f>
        <v>107619607</v>
      </c>
    </row>
    <row r="28" spans="1:15">
      <c r="B28" s="2"/>
      <c r="C28" s="2"/>
      <c r="D28" s="2"/>
      <c r="E28" s="2"/>
      <c r="F28" s="2"/>
      <c r="G28" s="2"/>
      <c r="H28" s="2"/>
      <c r="I28" s="2"/>
      <c r="J28" s="114"/>
      <c r="K28" s="113"/>
      <c r="L28" s="113"/>
      <c r="M28" s="113"/>
      <c r="N28" s="128"/>
      <c r="O28" s="130"/>
    </row>
    <row r="29" spans="1:15">
      <c r="A29" s="57" t="s">
        <v>452</v>
      </c>
      <c r="B29" s="2"/>
      <c r="C29" s="2"/>
      <c r="D29" s="2"/>
      <c r="E29" s="2"/>
      <c r="F29" s="2"/>
      <c r="G29" s="2"/>
      <c r="H29" s="2"/>
      <c r="I29" s="2"/>
      <c r="J29" s="114"/>
      <c r="K29" s="113"/>
      <c r="L29" s="113"/>
      <c r="M29" s="113"/>
      <c r="N29" s="128"/>
      <c r="O29" s="130"/>
    </row>
    <row r="30" spans="1:15">
      <c r="B30" s="2" t="s">
        <v>306</v>
      </c>
      <c r="C30" s="2"/>
      <c r="D30" s="2"/>
      <c r="E30" s="2"/>
      <c r="F30" s="2"/>
      <c r="G30" s="2"/>
      <c r="H30" s="2"/>
      <c r="I30" s="2"/>
      <c r="J30" s="114"/>
      <c r="K30" s="113"/>
      <c r="L30" s="113"/>
      <c r="M30" s="113"/>
      <c r="N30" s="128"/>
      <c r="O30" s="130"/>
    </row>
    <row r="31" spans="1:15">
      <c r="B31" s="2"/>
      <c r="C31" s="2" t="s">
        <v>375</v>
      </c>
      <c r="D31" s="2"/>
      <c r="E31" s="2"/>
      <c r="F31" s="2"/>
      <c r="G31" s="2"/>
      <c r="H31" s="2"/>
      <c r="I31" s="2"/>
      <c r="J31" s="114">
        <v>314569</v>
      </c>
      <c r="K31" s="113">
        <v>978058</v>
      </c>
      <c r="L31" s="113"/>
      <c r="M31" s="113">
        <v>-1242559</v>
      </c>
      <c r="N31" s="128">
        <f>SUM(J31:M31)</f>
        <v>50068</v>
      </c>
      <c r="O31" s="130">
        <f>N31</f>
        <v>50068</v>
      </c>
    </row>
    <row r="32" spans="1:15">
      <c r="B32" s="2"/>
      <c r="C32" s="2" t="s">
        <v>10</v>
      </c>
      <c r="D32" s="2"/>
      <c r="E32" s="2"/>
      <c r="F32" s="2"/>
      <c r="G32" s="2"/>
      <c r="H32" s="2"/>
      <c r="I32" s="2"/>
      <c r="J32" s="114">
        <v>2052372</v>
      </c>
      <c r="K32" s="113"/>
      <c r="L32" s="113"/>
      <c r="M32" s="113"/>
      <c r="N32" s="128">
        <f>SUM(J32:M32)</f>
        <v>2052372</v>
      </c>
      <c r="O32" s="130">
        <f>N32</f>
        <v>2052372</v>
      </c>
    </row>
    <row r="33" spans="2:15">
      <c r="B33" s="2"/>
      <c r="C33" s="2" t="s">
        <v>103</v>
      </c>
      <c r="D33" s="2"/>
      <c r="E33" s="2"/>
      <c r="F33" s="2"/>
      <c r="G33" s="2"/>
      <c r="H33" s="2"/>
      <c r="I33" s="2"/>
      <c r="J33" s="116">
        <v>1750227</v>
      </c>
      <c r="K33" s="115"/>
      <c r="L33" s="115"/>
      <c r="M33" s="115"/>
      <c r="N33" s="115">
        <f>SUM(J33:M33)</f>
        <v>1750227</v>
      </c>
      <c r="O33" s="130">
        <f>N33</f>
        <v>1750227</v>
      </c>
    </row>
    <row r="34" spans="2:15">
      <c r="B34" s="2"/>
      <c r="C34" s="2"/>
      <c r="D34" s="2" t="s">
        <v>88</v>
      </c>
      <c r="E34" s="2"/>
      <c r="F34" s="2"/>
      <c r="G34" s="2"/>
      <c r="H34" s="2"/>
      <c r="I34" s="2"/>
      <c r="J34" s="116">
        <f>SUM(J31:J33)</f>
        <v>4117168</v>
      </c>
      <c r="K34" s="116">
        <f t="shared" ref="K34:N34" si="4">SUM(K31:K33)</f>
        <v>978058</v>
      </c>
      <c r="L34" s="116">
        <f t="shared" si="4"/>
        <v>0</v>
      </c>
      <c r="M34" s="116">
        <f t="shared" si="4"/>
        <v>-1242559</v>
      </c>
      <c r="N34" s="116">
        <f t="shared" si="4"/>
        <v>3852667</v>
      </c>
      <c r="O34" s="130"/>
    </row>
    <row r="35" spans="2:15">
      <c r="B35" s="2"/>
      <c r="C35" s="1"/>
      <c r="D35" s="2"/>
      <c r="E35" s="2"/>
      <c r="F35" s="2"/>
      <c r="G35" s="2"/>
      <c r="H35" s="2"/>
      <c r="I35" s="2"/>
      <c r="J35" s="127"/>
      <c r="K35" s="127"/>
      <c r="L35" s="127"/>
      <c r="M35" s="127"/>
      <c r="N35" s="127"/>
      <c r="O35" s="130"/>
    </row>
    <row r="36" spans="2:15">
      <c r="B36" s="2" t="s">
        <v>453</v>
      </c>
      <c r="C36" s="2"/>
      <c r="D36" s="2"/>
      <c r="E36" s="2"/>
      <c r="F36" s="2"/>
      <c r="G36" s="2"/>
      <c r="H36" s="2"/>
      <c r="I36" s="2"/>
      <c r="J36" s="114"/>
      <c r="K36" s="113"/>
      <c r="L36" s="113"/>
      <c r="M36" s="113"/>
      <c r="N36" s="128"/>
      <c r="O36" s="130"/>
    </row>
    <row r="37" spans="2:15">
      <c r="B37" s="2"/>
      <c r="C37" s="2" t="s">
        <v>32</v>
      </c>
      <c r="D37" s="2"/>
      <c r="E37" s="2"/>
      <c r="F37" s="2"/>
      <c r="G37" s="2"/>
      <c r="H37" s="2"/>
      <c r="I37" s="2"/>
      <c r="J37" s="114">
        <v>4455578</v>
      </c>
      <c r="K37" s="113"/>
      <c r="L37" s="113"/>
      <c r="M37" s="113"/>
      <c r="N37" s="128">
        <f>SUM(J37:M37)</f>
        <v>4455578</v>
      </c>
      <c r="O37" s="130"/>
    </row>
    <row r="38" spans="2:15">
      <c r="B38" s="2"/>
      <c r="C38" s="2" t="s">
        <v>33</v>
      </c>
      <c r="D38" s="2"/>
      <c r="E38" s="2"/>
      <c r="F38" s="2"/>
      <c r="G38" s="2"/>
      <c r="H38" s="2"/>
      <c r="I38" s="2"/>
      <c r="J38" s="114">
        <v>8048427</v>
      </c>
      <c r="K38" s="113">
        <v>303955</v>
      </c>
      <c r="L38" s="113">
        <v>-537371</v>
      </c>
      <c r="M38" s="113"/>
      <c r="N38" s="128">
        <f t="shared" ref="N38:N39" si="5">SUM(J38:M38)</f>
        <v>7815011</v>
      </c>
      <c r="O38" s="130"/>
    </row>
    <row r="39" spans="2:15">
      <c r="B39" s="2"/>
      <c r="C39" s="2" t="s">
        <v>117</v>
      </c>
      <c r="D39" s="2"/>
      <c r="E39" s="2"/>
      <c r="F39" s="2"/>
      <c r="G39" s="2"/>
      <c r="H39" s="2"/>
      <c r="I39" s="2"/>
      <c r="J39" s="114">
        <v>17479387</v>
      </c>
      <c r="K39" s="113"/>
      <c r="L39" s="113"/>
      <c r="M39" s="113">
        <v>1242559</v>
      </c>
      <c r="N39" s="128">
        <f t="shared" si="5"/>
        <v>18721946</v>
      </c>
      <c r="O39" s="130"/>
    </row>
    <row r="40" spans="2:15">
      <c r="B40" s="2"/>
      <c r="C40" s="2"/>
      <c r="D40" s="2"/>
      <c r="E40" s="2" t="s">
        <v>18</v>
      </c>
      <c r="F40" s="2"/>
      <c r="G40" s="2"/>
      <c r="H40" s="2"/>
      <c r="I40" s="2"/>
      <c r="J40" s="126">
        <f>SUM(J37:J39)</f>
        <v>29983392</v>
      </c>
      <c r="K40" s="126">
        <f>SUM(K37:K39)</f>
        <v>303955</v>
      </c>
      <c r="L40" s="126">
        <f>SUM(L37:L39)</f>
        <v>-537371</v>
      </c>
      <c r="M40" s="126">
        <f>SUM(M37:M39)</f>
        <v>1242559</v>
      </c>
      <c r="N40" s="126">
        <f>SUM(N37:N39)</f>
        <v>30992535</v>
      </c>
      <c r="O40" s="130"/>
    </row>
    <row r="41" spans="2:15">
      <c r="B41" s="2"/>
      <c r="C41" s="2"/>
      <c r="D41" s="2"/>
      <c r="E41" s="2"/>
      <c r="F41" s="2"/>
      <c r="G41" s="2"/>
      <c r="H41" s="2"/>
      <c r="I41" s="2"/>
      <c r="J41" s="127"/>
      <c r="K41" s="127"/>
      <c r="L41" s="127"/>
      <c r="M41" s="127"/>
      <c r="N41" s="127"/>
      <c r="O41" s="130"/>
    </row>
    <row r="42" spans="2:15">
      <c r="B42" s="2" t="s">
        <v>376</v>
      </c>
      <c r="C42" s="2"/>
      <c r="D42" s="2"/>
      <c r="E42" s="2"/>
      <c r="F42" s="2"/>
      <c r="G42" s="2"/>
      <c r="H42" s="2"/>
      <c r="I42" s="2"/>
      <c r="J42" s="114"/>
      <c r="K42" s="113"/>
      <c r="L42" s="113"/>
      <c r="M42" s="113"/>
      <c r="N42" s="128"/>
      <c r="O42" s="130"/>
    </row>
    <row r="43" spans="2:15">
      <c r="B43" s="2"/>
      <c r="C43" s="2" t="s">
        <v>32</v>
      </c>
      <c r="D43" s="2"/>
      <c r="E43" s="2"/>
      <c r="F43" s="2"/>
      <c r="G43" s="2"/>
      <c r="H43" s="2"/>
      <c r="I43" s="2"/>
      <c r="J43" s="114">
        <v>-4303340</v>
      </c>
      <c r="K43" s="113">
        <v>-9288</v>
      </c>
      <c r="L43" s="113"/>
      <c r="M43" s="113"/>
      <c r="N43" s="128">
        <f>SUM(J43:M43)</f>
        <v>-4312628</v>
      </c>
      <c r="O43" s="130">
        <f>SUM(N43+N37)</f>
        <v>142950</v>
      </c>
    </row>
    <row r="44" spans="2:15">
      <c r="B44" s="2"/>
      <c r="C44" s="2" t="s">
        <v>33</v>
      </c>
      <c r="D44" s="2"/>
      <c r="E44" s="2"/>
      <c r="F44" s="2"/>
      <c r="G44" s="2"/>
      <c r="H44" s="2"/>
      <c r="I44" s="2"/>
      <c r="J44" s="114">
        <v>-5983387</v>
      </c>
      <c r="K44" s="113">
        <v>-424578</v>
      </c>
      <c r="L44" s="113">
        <v>537371</v>
      </c>
      <c r="M44" s="113"/>
      <c r="N44" s="128">
        <f t="shared" ref="N44:N45" si="6">SUM(J44:M44)</f>
        <v>-5870594</v>
      </c>
      <c r="O44" s="130">
        <f>SUM(N44+N38)</f>
        <v>1944417</v>
      </c>
    </row>
    <row r="45" spans="2:15">
      <c r="B45" s="2"/>
      <c r="C45" s="2" t="s">
        <v>117</v>
      </c>
      <c r="D45" s="2"/>
      <c r="E45" s="2"/>
      <c r="F45" s="2"/>
      <c r="G45" s="2"/>
      <c r="H45" s="2"/>
      <c r="I45" s="2"/>
      <c r="J45" s="114">
        <v>-2730605</v>
      </c>
      <c r="K45" s="113">
        <v>-597434</v>
      </c>
      <c r="L45" s="113"/>
      <c r="M45" s="113"/>
      <c r="N45" s="128">
        <f t="shared" si="6"/>
        <v>-3328039</v>
      </c>
      <c r="O45" s="130">
        <f>SUM(N45+N39)</f>
        <v>15393907</v>
      </c>
    </row>
    <row r="46" spans="2:15">
      <c r="B46" s="2"/>
      <c r="C46" s="2"/>
      <c r="D46" s="2" t="s">
        <v>20</v>
      </c>
      <c r="E46" s="2"/>
      <c r="F46" s="2"/>
      <c r="G46" s="2"/>
      <c r="H46" s="2"/>
      <c r="I46" s="2"/>
      <c r="J46" s="126">
        <f>SUM(J43:J45)</f>
        <v>-13017332</v>
      </c>
      <c r="K46" s="126">
        <f>SUM(K43:K45)</f>
        <v>-1031300</v>
      </c>
      <c r="L46" s="126">
        <f>SUM(L43:L45)</f>
        <v>537371</v>
      </c>
      <c r="M46" s="126">
        <v>0</v>
      </c>
      <c r="N46" s="126">
        <f>SUM(N43:N45)</f>
        <v>-13511261</v>
      </c>
      <c r="O46" s="125"/>
    </row>
    <row r="47" spans="2:15">
      <c r="B47" s="2"/>
      <c r="C47" s="2"/>
      <c r="D47" s="2" t="s">
        <v>450</v>
      </c>
      <c r="E47" s="2"/>
      <c r="F47" s="2"/>
      <c r="G47" s="2"/>
      <c r="H47" s="2"/>
      <c r="I47" s="2"/>
      <c r="J47" s="126">
        <f>SUM(J40+J46)</f>
        <v>16966060</v>
      </c>
      <c r="K47" s="126">
        <f>SUM(K40+K46)</f>
        <v>-727345</v>
      </c>
      <c r="L47" s="126">
        <f>SUM(L40+L46)</f>
        <v>0</v>
      </c>
      <c r="M47" s="126">
        <f>SUM(M40+M46)</f>
        <v>1242559</v>
      </c>
      <c r="N47" s="126">
        <f>SUM(N40+N46)</f>
        <v>17481274</v>
      </c>
      <c r="O47" s="125"/>
    </row>
    <row r="48" spans="2:15">
      <c r="B48" s="2"/>
      <c r="C48" s="2"/>
      <c r="D48" s="2" t="s">
        <v>43</v>
      </c>
      <c r="E48" s="2"/>
      <c r="F48" s="2"/>
      <c r="G48" s="2"/>
      <c r="H48" s="2"/>
      <c r="I48" s="2"/>
      <c r="J48" s="126">
        <f>SUM(J34+J47)</f>
        <v>21083228</v>
      </c>
      <c r="K48" s="126">
        <f>SUM(K34+K47)</f>
        <v>250713</v>
      </c>
      <c r="L48" s="126">
        <f>SUM(L34+L47)</f>
        <v>0</v>
      </c>
      <c r="M48" s="126">
        <f>SUM(M34+M47)</f>
        <v>0</v>
      </c>
      <c r="N48" s="126">
        <f>SUM(N34+N47)</f>
        <v>21333941</v>
      </c>
      <c r="O48" s="131">
        <f>SUM(O31:O45)</f>
        <v>21333941</v>
      </c>
    </row>
    <row r="49" spans="10:15">
      <c r="J49" s="132"/>
      <c r="K49" s="132"/>
      <c r="L49" s="132"/>
      <c r="M49" s="132"/>
      <c r="N49" s="132"/>
      <c r="O49" s="125"/>
    </row>
  </sheetData>
  <mergeCells count="3">
    <mergeCell ref="E1:J1"/>
    <mergeCell ref="E2:J2"/>
    <mergeCell ref="E3:J3"/>
  </mergeCell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T95"/>
  <sheetViews>
    <sheetView topLeftCell="A8" zoomScale="85" zoomScaleNormal="85" zoomScalePageLayoutView="85" workbookViewId="0">
      <selection activeCell="A3" sqref="A1:XFD1048576"/>
    </sheetView>
  </sheetViews>
  <sheetFormatPr defaultColWidth="8.85546875" defaultRowHeight="18.75"/>
  <cols>
    <col min="2" max="2" width="5.42578125" customWidth="1"/>
    <col min="3" max="3" width="4.7109375" customWidth="1"/>
    <col min="4" max="4" width="3.7109375" customWidth="1"/>
    <col min="9" max="9" width="17.42578125" customWidth="1"/>
    <col min="10" max="10" width="16.7109375" bestFit="1" customWidth="1"/>
    <col min="11" max="11" width="15.28515625" bestFit="1" customWidth="1"/>
    <col min="12" max="12" width="13.7109375" bestFit="1" customWidth="1"/>
    <col min="13" max="13" width="15.140625" bestFit="1" customWidth="1"/>
    <col min="14" max="14" width="16.7109375" bestFit="1" customWidth="1"/>
    <col min="15" max="15" width="16.28515625" style="34" customWidth="1"/>
  </cols>
  <sheetData>
    <row r="1" spans="2:15">
      <c r="B1" s="2"/>
      <c r="C1" s="2"/>
      <c r="D1" s="2"/>
      <c r="E1" s="136" t="s">
        <v>449</v>
      </c>
      <c r="F1" s="136"/>
      <c r="G1" s="136"/>
      <c r="H1" s="136"/>
      <c r="I1" s="136"/>
      <c r="J1" s="136"/>
      <c r="K1" s="2"/>
      <c r="L1" s="2"/>
      <c r="M1" s="2"/>
      <c r="N1" s="2"/>
    </row>
    <row r="2" spans="2:15">
      <c r="B2" s="2"/>
      <c r="C2" s="2"/>
      <c r="D2" s="2"/>
      <c r="E2" s="136" t="s">
        <v>1</v>
      </c>
      <c r="F2" s="136"/>
      <c r="G2" s="136"/>
      <c r="H2" s="136"/>
      <c r="I2" s="136"/>
      <c r="J2" s="136"/>
      <c r="K2" s="2"/>
      <c r="L2" s="2"/>
      <c r="M2" s="2"/>
      <c r="N2" s="2"/>
    </row>
    <row r="3" spans="2:15">
      <c r="B3" s="2"/>
      <c r="C3" s="2"/>
      <c r="D3" s="2"/>
      <c r="E3" s="136" t="s">
        <v>2</v>
      </c>
      <c r="F3" s="136"/>
      <c r="G3" s="136"/>
      <c r="H3" s="136"/>
      <c r="I3" s="136"/>
      <c r="J3" s="136"/>
      <c r="K3" s="2"/>
      <c r="L3" s="2"/>
      <c r="M3" s="2"/>
      <c r="N3" s="2"/>
    </row>
    <row r="4" spans="2:15">
      <c r="B4" s="2"/>
      <c r="C4" s="2"/>
      <c r="D4" s="2"/>
      <c r="E4" s="69"/>
      <c r="F4" s="69"/>
      <c r="G4" s="69"/>
      <c r="H4" s="69"/>
      <c r="I4" s="69"/>
      <c r="J4" s="69"/>
      <c r="K4" s="2"/>
      <c r="L4" s="2"/>
      <c r="M4" s="2"/>
      <c r="N4" s="2"/>
    </row>
    <row r="5" spans="2:15" ht="37.5">
      <c r="B5" s="2"/>
      <c r="C5" s="2"/>
      <c r="D5" s="2"/>
      <c r="E5" s="2"/>
      <c r="F5" s="2"/>
      <c r="G5" s="2"/>
      <c r="H5" s="2"/>
      <c r="I5" s="2"/>
      <c r="J5" s="71" t="s">
        <v>3</v>
      </c>
      <c r="K5" s="71" t="s">
        <v>4</v>
      </c>
      <c r="L5" s="71" t="s">
        <v>5</v>
      </c>
      <c r="M5" s="71" t="s">
        <v>454</v>
      </c>
      <c r="N5" s="71" t="s">
        <v>6</v>
      </c>
      <c r="O5" s="71" t="s">
        <v>7</v>
      </c>
    </row>
    <row r="6" spans="2:15">
      <c r="B6" s="2"/>
      <c r="C6" s="2"/>
      <c r="D6" s="2"/>
      <c r="E6" s="2"/>
      <c r="F6" s="2"/>
      <c r="G6" s="2"/>
      <c r="H6" s="2"/>
      <c r="I6" s="2"/>
      <c r="J6" s="71"/>
      <c r="K6" s="71"/>
      <c r="L6" s="71"/>
      <c r="M6" s="71"/>
      <c r="N6" s="71"/>
      <c r="O6" s="71"/>
    </row>
    <row r="7" spans="2:15">
      <c r="B7" s="1" t="s">
        <v>49</v>
      </c>
      <c r="C7" s="2"/>
      <c r="D7" s="2"/>
      <c r="E7" s="2"/>
      <c r="F7" s="2"/>
      <c r="G7" s="2"/>
      <c r="H7" s="2"/>
      <c r="I7" s="2"/>
      <c r="J7" s="71"/>
      <c r="K7" s="71"/>
      <c r="L7" s="71"/>
      <c r="M7" s="71"/>
      <c r="N7" s="71"/>
      <c r="O7" s="71"/>
    </row>
    <row r="8" spans="2:15">
      <c r="B8" s="1" t="s">
        <v>276</v>
      </c>
      <c r="C8" s="2"/>
      <c r="D8" s="2"/>
      <c r="E8" s="2"/>
      <c r="F8" s="2"/>
      <c r="G8" s="2"/>
      <c r="H8" s="2"/>
      <c r="I8" s="2"/>
      <c r="J8" s="71"/>
      <c r="K8" s="71"/>
      <c r="L8" s="71"/>
      <c r="M8" s="71"/>
      <c r="N8" s="71"/>
      <c r="O8" s="71"/>
    </row>
    <row r="9" spans="2:15">
      <c r="B9" s="1" t="s">
        <v>9</v>
      </c>
      <c r="C9" s="1"/>
      <c r="D9" s="1"/>
      <c r="E9" s="1"/>
      <c r="F9" s="1"/>
      <c r="G9" s="1"/>
      <c r="H9" s="2"/>
      <c r="I9" s="2"/>
      <c r="J9" s="40"/>
      <c r="K9" s="40"/>
      <c r="L9" s="40"/>
      <c r="M9" s="40"/>
      <c r="N9" s="40"/>
    </row>
    <row r="10" spans="2:15">
      <c r="B10" s="2" t="s">
        <v>10</v>
      </c>
      <c r="C10" s="2"/>
      <c r="D10" s="2"/>
      <c r="E10" s="2"/>
      <c r="F10" s="2"/>
      <c r="G10" s="2"/>
      <c r="H10" s="2"/>
      <c r="I10" s="2"/>
      <c r="J10" s="40">
        <v>46540187</v>
      </c>
      <c r="K10" s="40">
        <v>717211</v>
      </c>
      <c r="L10" s="40">
        <v>-250935</v>
      </c>
      <c r="M10" s="40">
        <v>-2486085</v>
      </c>
      <c r="N10" s="40">
        <f t="shared" ref="N10:N16" si="0">SUM(J10:M10)</f>
        <v>44520378</v>
      </c>
      <c r="O10" s="51">
        <f>N10</f>
        <v>44520378</v>
      </c>
    </row>
    <row r="11" spans="2:15">
      <c r="B11" s="2" t="s">
        <v>455</v>
      </c>
      <c r="C11" s="2"/>
      <c r="D11" s="2"/>
      <c r="E11" s="2"/>
      <c r="F11" s="2"/>
      <c r="G11" s="2"/>
      <c r="H11" s="2"/>
      <c r="I11" s="2"/>
      <c r="J11" s="40">
        <v>1873523</v>
      </c>
      <c r="K11" s="40"/>
      <c r="L11" s="40"/>
      <c r="M11" s="40">
        <v>488760</v>
      </c>
      <c r="N11" s="40">
        <f t="shared" si="0"/>
        <v>2362283</v>
      </c>
      <c r="O11" s="51">
        <f>N11</f>
        <v>2362283</v>
      </c>
    </row>
    <row r="12" spans="2:15">
      <c r="B12" s="2" t="s">
        <v>11</v>
      </c>
      <c r="C12" s="2"/>
      <c r="D12" s="2"/>
      <c r="E12" s="2"/>
      <c r="F12" s="2"/>
      <c r="G12" s="2"/>
      <c r="H12" s="2"/>
      <c r="I12" s="2"/>
      <c r="J12" s="40">
        <v>218211</v>
      </c>
      <c r="K12" s="40">
        <v>3669895</v>
      </c>
      <c r="L12" s="40">
        <v>-8102</v>
      </c>
      <c r="M12" s="40">
        <v>-1700165</v>
      </c>
      <c r="N12" s="40">
        <f t="shared" si="0"/>
        <v>2179839</v>
      </c>
      <c r="O12" s="51">
        <f>N12</f>
        <v>2179839</v>
      </c>
    </row>
    <row r="13" spans="2:15">
      <c r="B13" s="2" t="s">
        <v>360</v>
      </c>
      <c r="C13" s="2"/>
      <c r="D13" s="2"/>
      <c r="E13" s="2"/>
      <c r="F13" s="2"/>
      <c r="G13" s="2"/>
      <c r="H13" s="2"/>
      <c r="I13" s="2"/>
      <c r="J13" s="40"/>
      <c r="K13" s="40"/>
      <c r="L13" s="40"/>
      <c r="M13" s="40"/>
      <c r="N13" s="40"/>
    </row>
    <row r="14" spans="2:15">
      <c r="B14" s="2"/>
      <c r="C14" s="2" t="s">
        <v>10</v>
      </c>
      <c r="D14" s="2"/>
      <c r="E14" s="2"/>
      <c r="F14" s="2"/>
      <c r="G14" s="2"/>
      <c r="H14" s="2"/>
      <c r="I14" s="2"/>
      <c r="J14" s="40">
        <v>19688589</v>
      </c>
      <c r="K14" s="40">
        <v>2233259</v>
      </c>
      <c r="L14" s="40">
        <v>-22728</v>
      </c>
      <c r="M14" s="40"/>
      <c r="N14" s="40">
        <f t="shared" si="0"/>
        <v>21899120</v>
      </c>
      <c r="O14" s="51">
        <f>N14</f>
        <v>21899120</v>
      </c>
    </row>
    <row r="15" spans="2:15">
      <c r="B15" s="2"/>
      <c r="C15" s="2" t="s">
        <v>456</v>
      </c>
      <c r="D15" s="2"/>
      <c r="E15" s="2"/>
      <c r="F15" s="2"/>
      <c r="G15" s="2"/>
      <c r="H15" s="2"/>
      <c r="I15" s="2"/>
      <c r="J15" s="40">
        <v>16208627</v>
      </c>
      <c r="K15" s="40">
        <v>723728</v>
      </c>
      <c r="L15" s="40"/>
      <c r="M15" s="40">
        <v>2462960</v>
      </c>
      <c r="N15" s="40">
        <f t="shared" si="0"/>
        <v>19395315</v>
      </c>
      <c r="O15" s="51">
        <f>N15</f>
        <v>19395315</v>
      </c>
    </row>
    <row r="16" spans="2:15">
      <c r="B16" s="2"/>
      <c r="C16" s="2" t="s">
        <v>11</v>
      </c>
      <c r="D16" s="2"/>
      <c r="E16" s="2"/>
      <c r="F16" s="2"/>
      <c r="G16" s="2"/>
      <c r="H16" s="2"/>
      <c r="I16" s="2"/>
      <c r="J16" s="40">
        <v>18860443</v>
      </c>
      <c r="K16" s="40">
        <v>24651548</v>
      </c>
      <c r="L16" s="40"/>
      <c r="M16" s="40">
        <v>-18555412</v>
      </c>
      <c r="N16" s="40">
        <f t="shared" si="0"/>
        <v>24956579</v>
      </c>
      <c r="O16" s="95">
        <f>N16</f>
        <v>24956579</v>
      </c>
    </row>
    <row r="17" spans="2:15">
      <c r="B17" s="1"/>
      <c r="C17" s="1" t="s">
        <v>88</v>
      </c>
      <c r="D17" s="1"/>
      <c r="E17" s="1"/>
      <c r="F17" s="1"/>
      <c r="G17" s="1"/>
      <c r="H17" s="1"/>
      <c r="I17" s="1"/>
      <c r="J17" s="80">
        <f>SUM(J10:J16)</f>
        <v>103389580</v>
      </c>
      <c r="K17" s="80">
        <f t="shared" ref="K17:N17" si="1">SUM(K10:K16)</f>
        <v>31995641</v>
      </c>
      <c r="L17" s="80">
        <f t="shared" si="1"/>
        <v>-281765</v>
      </c>
      <c r="M17" s="80">
        <f t="shared" si="1"/>
        <v>-19789942</v>
      </c>
      <c r="N17" s="80">
        <f t="shared" si="1"/>
        <v>115313514</v>
      </c>
      <c r="O17" s="51"/>
    </row>
    <row r="18" spans="2:15">
      <c r="B18" s="1" t="s">
        <v>371</v>
      </c>
      <c r="C18" s="2"/>
      <c r="D18" s="2"/>
      <c r="E18" s="2"/>
      <c r="F18" s="2"/>
      <c r="G18" s="2"/>
      <c r="H18" s="2"/>
      <c r="I18" s="2"/>
      <c r="J18" s="2"/>
      <c r="K18" s="2"/>
      <c r="L18" s="2"/>
      <c r="M18" s="2"/>
      <c r="N18" s="2"/>
    </row>
    <row r="19" spans="2:15">
      <c r="B19" s="2" t="s">
        <v>201</v>
      </c>
      <c r="C19" s="2"/>
      <c r="D19" s="2"/>
      <c r="E19" s="2"/>
      <c r="F19" s="2"/>
      <c r="G19" s="2"/>
      <c r="H19" s="2"/>
      <c r="I19" s="2"/>
      <c r="J19" s="2">
        <v>4897831</v>
      </c>
      <c r="K19" s="2"/>
      <c r="L19" s="2"/>
      <c r="M19" s="2"/>
      <c r="N19" s="2">
        <f>SUM(J19:M19)</f>
        <v>4897831</v>
      </c>
    </row>
    <row r="20" spans="2:15">
      <c r="B20" s="2" t="s">
        <v>28</v>
      </c>
      <c r="C20" s="2"/>
      <c r="D20" s="2"/>
      <c r="E20" s="2"/>
      <c r="F20" s="2"/>
      <c r="G20" s="2"/>
      <c r="H20" s="2"/>
      <c r="I20" s="2"/>
      <c r="J20" s="2">
        <v>99024270</v>
      </c>
      <c r="K20" s="2"/>
      <c r="L20" s="2"/>
      <c r="M20" s="2">
        <v>191090</v>
      </c>
      <c r="N20" s="2">
        <f>SUM(J20:M20)</f>
        <v>99215360</v>
      </c>
    </row>
    <row r="21" spans="2:15">
      <c r="B21" s="2" t="s">
        <v>457</v>
      </c>
      <c r="C21" s="2"/>
      <c r="D21" s="2"/>
      <c r="E21" s="2"/>
      <c r="F21" s="2"/>
      <c r="G21" s="2"/>
      <c r="H21" s="2"/>
      <c r="I21" s="2"/>
      <c r="J21" s="2">
        <v>5878284</v>
      </c>
      <c r="K21" s="2">
        <v>56401</v>
      </c>
      <c r="L21" s="2"/>
      <c r="M21" s="2">
        <v>60499</v>
      </c>
      <c r="N21" s="2">
        <f>SUM(J21:M21)</f>
        <v>5995184</v>
      </c>
    </row>
    <row r="22" spans="2:15">
      <c r="B22" s="2" t="s">
        <v>458</v>
      </c>
      <c r="C22" s="2"/>
      <c r="D22" s="2"/>
      <c r="E22" s="2"/>
      <c r="F22" s="2"/>
      <c r="G22" s="2"/>
      <c r="H22" s="2"/>
      <c r="I22" s="2"/>
      <c r="J22" s="2">
        <v>632317</v>
      </c>
      <c r="K22" s="40"/>
      <c r="L22" s="40"/>
      <c r="M22" s="40"/>
      <c r="N22" s="2">
        <f t="shared" ref="N22:N25" si="2">SUM(J22:M22)</f>
        <v>632317</v>
      </c>
    </row>
    <row r="23" spans="2:15">
      <c r="B23" s="2" t="s">
        <v>30</v>
      </c>
      <c r="C23" s="2"/>
      <c r="D23" s="2"/>
      <c r="E23" s="2"/>
      <c r="F23" s="2"/>
      <c r="G23" s="2"/>
      <c r="H23" s="2"/>
      <c r="I23" s="2"/>
      <c r="J23" s="2">
        <v>4222812</v>
      </c>
      <c r="K23" s="40">
        <v>62143</v>
      </c>
      <c r="L23" s="40">
        <v>-231982</v>
      </c>
      <c r="M23" s="40"/>
      <c r="N23" s="2">
        <f t="shared" si="2"/>
        <v>4052973</v>
      </c>
    </row>
    <row r="24" spans="2:15">
      <c r="B24" s="2" t="s">
        <v>15</v>
      </c>
      <c r="C24" s="2"/>
      <c r="D24" s="2"/>
      <c r="E24" s="2"/>
      <c r="F24" s="2"/>
      <c r="G24" s="2"/>
      <c r="H24" s="2"/>
      <c r="I24" s="2"/>
      <c r="J24" s="2">
        <v>23321474</v>
      </c>
      <c r="K24" s="40">
        <v>1355142</v>
      </c>
      <c r="L24" s="40">
        <v>-161437</v>
      </c>
      <c r="M24" s="40"/>
      <c r="N24" s="2">
        <f>SUM(J24:M24)</f>
        <v>24515179</v>
      </c>
    </row>
    <row r="25" spans="2:15">
      <c r="B25" s="2" t="s">
        <v>459</v>
      </c>
      <c r="C25" s="2"/>
      <c r="D25" s="2"/>
      <c r="E25" s="2"/>
      <c r="F25" s="2"/>
      <c r="G25" s="2"/>
      <c r="H25" s="2"/>
      <c r="I25" s="2"/>
      <c r="J25" s="2">
        <v>9841194</v>
      </c>
      <c r="K25" s="40">
        <v>349714</v>
      </c>
      <c r="L25" s="40"/>
      <c r="M25" s="40">
        <v>765599</v>
      </c>
      <c r="N25" s="2">
        <f t="shared" si="2"/>
        <v>10956507</v>
      </c>
    </row>
    <row r="26" spans="2:15">
      <c r="B26" s="2" t="s">
        <v>360</v>
      </c>
      <c r="C26" s="2"/>
      <c r="D26" s="2"/>
      <c r="E26" s="2"/>
      <c r="F26" s="2"/>
      <c r="G26" s="2"/>
      <c r="H26" s="2"/>
      <c r="I26" s="2"/>
      <c r="J26" s="2"/>
      <c r="K26" s="40"/>
      <c r="L26" s="40"/>
      <c r="M26" s="40"/>
      <c r="N26" s="2"/>
    </row>
    <row r="27" spans="2:15">
      <c r="B27" s="2"/>
      <c r="C27" s="2" t="s">
        <v>53</v>
      </c>
      <c r="D27" s="2"/>
      <c r="E27" s="2"/>
      <c r="F27" s="2"/>
      <c r="G27" s="2"/>
      <c r="H27" s="2"/>
      <c r="I27" s="2"/>
      <c r="J27" s="2">
        <v>268801448</v>
      </c>
      <c r="K27" s="40">
        <v>1472270</v>
      </c>
      <c r="L27" s="40">
        <v>-339000</v>
      </c>
      <c r="M27" s="40">
        <v>11012240</v>
      </c>
      <c r="N27" s="2">
        <f>SUM(J27:M27)</f>
        <v>280946958</v>
      </c>
    </row>
    <row r="28" spans="2:15">
      <c r="B28" s="2"/>
      <c r="C28" s="2" t="s">
        <v>460</v>
      </c>
      <c r="D28" s="2"/>
      <c r="E28" s="2"/>
      <c r="F28" s="2"/>
      <c r="G28" s="2"/>
      <c r="H28" s="2"/>
      <c r="I28" s="2"/>
      <c r="J28" s="2">
        <v>30685951</v>
      </c>
      <c r="K28" s="40"/>
      <c r="L28" s="40"/>
      <c r="M28" s="40">
        <v>7523248</v>
      </c>
      <c r="N28" s="2">
        <f>SUM(J28:M28)</f>
        <v>38209199</v>
      </c>
    </row>
    <row r="29" spans="2:15">
      <c r="B29" s="1"/>
      <c r="C29" s="1"/>
      <c r="D29" s="1" t="s">
        <v>18</v>
      </c>
      <c r="E29" s="1"/>
      <c r="F29" s="1"/>
      <c r="G29" s="2"/>
      <c r="H29" s="2"/>
      <c r="I29" s="2"/>
      <c r="J29" s="76">
        <f>SUM(J19:J28)</f>
        <v>447305581</v>
      </c>
      <c r="K29" s="76">
        <f>SUM(K19:K28)</f>
        <v>3295670</v>
      </c>
      <c r="L29" s="76">
        <f>SUM(L19:L28)</f>
        <v>-732419</v>
      </c>
      <c r="M29" s="76">
        <f>SUM(M19:M28)</f>
        <v>19552676</v>
      </c>
      <c r="N29" s="76">
        <f>SUM(N19:N28)</f>
        <v>469421508</v>
      </c>
    </row>
    <row r="30" spans="2:15">
      <c r="B30" s="1" t="s">
        <v>19</v>
      </c>
      <c r="C30" s="2"/>
      <c r="D30" s="2"/>
      <c r="E30" s="2"/>
      <c r="F30" s="2"/>
      <c r="G30" s="2"/>
      <c r="H30" s="2"/>
      <c r="I30" s="2"/>
      <c r="J30" s="2"/>
      <c r="K30" s="40"/>
      <c r="L30" s="40"/>
      <c r="M30" s="40"/>
      <c r="N30" s="40"/>
    </row>
    <row r="31" spans="2:15">
      <c r="B31" s="2" t="s">
        <v>201</v>
      </c>
      <c r="C31" s="2"/>
      <c r="D31" s="2"/>
      <c r="E31" s="2"/>
      <c r="F31" s="2"/>
      <c r="G31" s="2"/>
      <c r="H31" s="2"/>
      <c r="I31" s="2"/>
      <c r="J31" s="40">
        <v>-1720722</v>
      </c>
      <c r="K31" s="40">
        <v>-338043</v>
      </c>
      <c r="L31" s="40"/>
      <c r="M31" s="40"/>
      <c r="N31" s="40">
        <f t="shared" ref="N31:N37" si="3">SUM(J31:M31)</f>
        <v>-2058765</v>
      </c>
      <c r="O31" s="117">
        <f t="shared" ref="O31:O37" si="4">N19+N31</f>
        <v>2839066</v>
      </c>
    </row>
    <row r="32" spans="2:15">
      <c r="B32" s="2" t="s">
        <v>28</v>
      </c>
      <c r="C32" s="2"/>
      <c r="D32" s="2"/>
      <c r="E32" s="2"/>
      <c r="F32" s="2"/>
      <c r="G32" s="2"/>
      <c r="H32" s="2"/>
      <c r="I32" s="2"/>
      <c r="J32" s="40">
        <v>-26307468</v>
      </c>
      <c r="K32" s="40">
        <v>-2482084</v>
      </c>
      <c r="L32" s="40"/>
      <c r="M32" s="40"/>
      <c r="N32" s="40">
        <f t="shared" si="3"/>
        <v>-28789552</v>
      </c>
      <c r="O32" s="117">
        <f t="shared" si="4"/>
        <v>70425808</v>
      </c>
    </row>
    <row r="33" spans="1:20">
      <c r="B33" s="2" t="s">
        <v>457</v>
      </c>
      <c r="C33" s="2"/>
      <c r="D33" s="2"/>
      <c r="E33" s="2"/>
      <c r="F33" s="2"/>
      <c r="G33" s="2"/>
      <c r="H33" s="2"/>
      <c r="I33" s="2"/>
      <c r="J33" s="40">
        <v>-1070900</v>
      </c>
      <c r="K33" s="40">
        <v>-278848</v>
      </c>
      <c r="L33" s="40"/>
      <c r="M33" s="40"/>
      <c r="N33" s="40">
        <f t="shared" si="3"/>
        <v>-1349748</v>
      </c>
      <c r="O33" s="117">
        <f t="shared" si="4"/>
        <v>4645436</v>
      </c>
    </row>
    <row r="34" spans="1:20">
      <c r="B34" s="2" t="s">
        <v>458</v>
      </c>
      <c r="C34" s="2"/>
      <c r="D34" s="2"/>
      <c r="E34" s="2"/>
      <c r="F34" s="2"/>
      <c r="G34" s="2"/>
      <c r="H34" s="2"/>
      <c r="I34" s="2"/>
      <c r="J34" s="40">
        <v>-127651</v>
      </c>
      <c r="K34" s="40">
        <v>-25293</v>
      </c>
      <c r="L34" s="40"/>
      <c r="M34" s="40"/>
      <c r="N34" s="40">
        <f t="shared" si="3"/>
        <v>-152944</v>
      </c>
      <c r="O34" s="117">
        <f t="shared" si="4"/>
        <v>479373</v>
      </c>
    </row>
    <row r="35" spans="1:20">
      <c r="B35" s="2" t="s">
        <v>30</v>
      </c>
      <c r="C35" s="2"/>
      <c r="D35" s="2"/>
      <c r="E35" s="2"/>
      <c r="F35" s="2"/>
      <c r="G35" s="2"/>
      <c r="H35" s="2"/>
      <c r="I35" s="2"/>
      <c r="J35" s="40">
        <v>-3774958</v>
      </c>
      <c r="K35" s="40">
        <v>-153848</v>
      </c>
      <c r="L35" s="40">
        <v>231982</v>
      </c>
      <c r="M35" s="40"/>
      <c r="N35" s="40">
        <f t="shared" si="3"/>
        <v>-3696824</v>
      </c>
      <c r="O35" s="117">
        <f t="shared" si="4"/>
        <v>356149</v>
      </c>
    </row>
    <row r="36" spans="1:20">
      <c r="B36" s="2" t="s">
        <v>15</v>
      </c>
      <c r="C36" s="2"/>
      <c r="D36" s="2"/>
      <c r="E36" s="2"/>
      <c r="F36" s="2"/>
      <c r="G36" s="2"/>
      <c r="H36" s="2"/>
      <c r="I36" s="2"/>
      <c r="J36" s="40">
        <v>-18668658</v>
      </c>
      <c r="K36" s="40">
        <v>-1263712</v>
      </c>
      <c r="L36" s="40">
        <v>159837</v>
      </c>
      <c r="M36" s="40"/>
      <c r="N36" s="40">
        <f t="shared" si="3"/>
        <v>-19772533</v>
      </c>
      <c r="O36" s="117">
        <f t="shared" si="4"/>
        <v>4742646</v>
      </c>
    </row>
    <row r="37" spans="1:20">
      <c r="B37" s="2" t="s">
        <v>459</v>
      </c>
      <c r="C37" s="2"/>
      <c r="D37" s="2"/>
      <c r="E37" s="2"/>
      <c r="F37" s="2"/>
      <c r="G37" s="2"/>
      <c r="H37" s="2"/>
      <c r="I37" s="2"/>
      <c r="J37" s="40">
        <v>-7102222</v>
      </c>
      <c r="K37" s="40">
        <v>-913379</v>
      </c>
      <c r="L37" s="40"/>
      <c r="M37" s="40"/>
      <c r="N37" s="40">
        <f t="shared" si="3"/>
        <v>-8015601</v>
      </c>
      <c r="O37" s="117">
        <f t="shared" si="4"/>
        <v>2940906</v>
      </c>
    </row>
    <row r="38" spans="1:20">
      <c r="B38" s="2" t="s">
        <v>360</v>
      </c>
      <c r="C38" s="2"/>
      <c r="D38" s="2"/>
      <c r="E38" s="2"/>
      <c r="F38" s="2"/>
      <c r="G38" s="2"/>
      <c r="H38" s="2"/>
      <c r="I38" s="2"/>
      <c r="J38" s="40"/>
      <c r="K38" s="40"/>
      <c r="L38" s="40"/>
      <c r="M38" s="40"/>
      <c r="N38" s="40"/>
    </row>
    <row r="39" spans="1:20">
      <c r="B39" s="2"/>
      <c r="C39" s="2" t="s">
        <v>461</v>
      </c>
      <c r="D39" s="2"/>
      <c r="E39" s="2"/>
      <c r="F39" s="2"/>
      <c r="G39" s="2"/>
      <c r="H39" s="2"/>
      <c r="I39" s="2"/>
      <c r="J39" s="40">
        <v>-96310441</v>
      </c>
      <c r="K39" s="40">
        <v>-9772907</v>
      </c>
      <c r="L39" s="40">
        <v>58650</v>
      </c>
      <c r="M39" s="40"/>
      <c r="N39" s="40">
        <f>SUM(J39:M39)</f>
        <v>-106024698</v>
      </c>
      <c r="O39" s="51">
        <f>N27+N39</f>
        <v>174922260</v>
      </c>
    </row>
    <row r="40" spans="1:20">
      <c r="B40" s="2"/>
      <c r="C40" s="2" t="s">
        <v>460</v>
      </c>
      <c r="D40" s="2"/>
      <c r="E40" s="2"/>
      <c r="F40" s="2"/>
      <c r="G40" s="2"/>
      <c r="H40" s="2"/>
      <c r="I40" s="2"/>
      <c r="J40" s="40">
        <v>-4943508</v>
      </c>
      <c r="K40" s="40">
        <v>-1244842</v>
      </c>
      <c r="L40" s="40"/>
      <c r="M40" s="40"/>
      <c r="N40" s="40">
        <f>SUM(J40:M40)</f>
        <v>-6188350</v>
      </c>
      <c r="O40" s="95">
        <f>N28+N40</f>
        <v>32020849</v>
      </c>
    </row>
    <row r="41" spans="1:20">
      <c r="B41" s="1"/>
      <c r="C41" s="1"/>
      <c r="D41" s="1" t="s">
        <v>20</v>
      </c>
      <c r="E41" s="1"/>
      <c r="F41" s="2"/>
      <c r="G41" s="2"/>
      <c r="H41" s="2"/>
      <c r="I41" s="2"/>
      <c r="J41" s="76">
        <f>SUM(J31:J40)</f>
        <v>-160026528</v>
      </c>
      <c r="K41" s="76">
        <f>SUM(K31:K40)</f>
        <v>-16472956</v>
      </c>
      <c r="L41" s="76">
        <f>SUM(L31:L40)</f>
        <v>450469</v>
      </c>
      <c r="M41" s="76">
        <f>SUM(M31:M40)</f>
        <v>0</v>
      </c>
      <c r="N41" s="76">
        <f>SUM(N31:N40)</f>
        <v>-176049015</v>
      </c>
      <c r="O41" s="51"/>
    </row>
    <row r="42" spans="1:20">
      <c r="B42" s="1" t="s">
        <v>21</v>
      </c>
      <c r="C42" s="1"/>
      <c r="D42" s="1"/>
      <c r="E42" s="1"/>
      <c r="F42" s="2"/>
      <c r="G42" s="2"/>
      <c r="H42" s="2"/>
      <c r="I42" s="2"/>
      <c r="J42" s="76">
        <f>SUM(J29+J41)</f>
        <v>287279053</v>
      </c>
      <c r="K42" s="76">
        <f t="shared" ref="K42:M42" si="5">SUM(K29+K41)</f>
        <v>-13177286</v>
      </c>
      <c r="L42" s="76">
        <f t="shared" si="5"/>
        <v>-281950</v>
      </c>
      <c r="M42" s="76">
        <f t="shared" si="5"/>
        <v>19552676</v>
      </c>
      <c r="N42" s="76">
        <f>SUM(N29+N41)</f>
        <v>293372493</v>
      </c>
      <c r="O42" s="51"/>
    </row>
    <row r="43" spans="1:20">
      <c r="B43" s="1"/>
      <c r="C43" s="1"/>
      <c r="D43" s="1"/>
      <c r="E43" s="1"/>
      <c r="F43" s="2"/>
      <c r="G43" s="2"/>
      <c r="H43" s="2"/>
      <c r="I43" s="2"/>
      <c r="J43" s="87"/>
      <c r="K43" s="87"/>
      <c r="L43" s="87"/>
      <c r="M43" s="87"/>
      <c r="N43" s="87"/>
    </row>
    <row r="44" spans="1:20">
      <c r="A44" s="57" t="s">
        <v>462</v>
      </c>
      <c r="B44" s="34"/>
      <c r="C44" s="34"/>
      <c r="D44" s="34"/>
      <c r="E44" s="34"/>
      <c r="F44" s="34"/>
      <c r="G44" s="34"/>
      <c r="H44" s="34"/>
      <c r="I44" s="34"/>
      <c r="J44" s="34"/>
      <c r="K44" s="34"/>
      <c r="L44" s="34"/>
      <c r="M44" s="34"/>
      <c r="N44" s="34"/>
      <c r="P44" s="34"/>
      <c r="Q44" s="34"/>
      <c r="R44" s="34"/>
      <c r="S44" s="34"/>
      <c r="T44" s="34"/>
    </row>
    <row r="45" spans="1:20">
      <c r="B45" s="1" t="s">
        <v>9</v>
      </c>
      <c r="C45" s="1"/>
      <c r="D45" s="1"/>
      <c r="E45" s="1"/>
      <c r="F45" s="1"/>
      <c r="G45" s="1"/>
      <c r="H45" s="2"/>
      <c r="I45" s="2"/>
      <c r="J45" s="40"/>
      <c r="K45" s="40"/>
      <c r="L45" s="40"/>
      <c r="M45" s="40"/>
      <c r="N45" s="40"/>
    </row>
    <row r="46" spans="1:20">
      <c r="B46" s="2" t="s">
        <v>10</v>
      </c>
      <c r="C46" s="2"/>
      <c r="D46" s="2"/>
      <c r="E46" s="2"/>
      <c r="F46" s="2"/>
      <c r="G46" s="2"/>
      <c r="H46" s="2"/>
      <c r="I46" s="2"/>
      <c r="J46" s="40">
        <v>1718617</v>
      </c>
      <c r="K46" s="40"/>
      <c r="L46" s="40"/>
      <c r="M46" s="40"/>
      <c r="N46" s="40">
        <f>SUM(J46:M46)</f>
        <v>1718617</v>
      </c>
      <c r="O46" s="51">
        <f>N46</f>
        <v>1718617</v>
      </c>
    </row>
    <row r="47" spans="1:20">
      <c r="B47" s="1"/>
      <c r="C47" s="1" t="s">
        <v>88</v>
      </c>
      <c r="D47" s="1"/>
      <c r="E47" s="1"/>
      <c r="F47" s="1"/>
      <c r="G47" s="1"/>
      <c r="H47" s="1"/>
      <c r="I47" s="1"/>
      <c r="J47" s="80">
        <f>SUM(J46:J46)</f>
        <v>1718617</v>
      </c>
      <c r="K47" s="80">
        <f>SUM(K46:K46)</f>
        <v>0</v>
      </c>
      <c r="L47" s="80">
        <v>0</v>
      </c>
      <c r="M47" s="80">
        <f>SUM(M46:M46)</f>
        <v>0</v>
      </c>
      <c r="N47" s="80">
        <f>SUM(J47:M47)</f>
        <v>1718617</v>
      </c>
    </row>
    <row r="48" spans="1:20">
      <c r="B48" s="1" t="s">
        <v>371</v>
      </c>
      <c r="C48" s="2"/>
      <c r="D48" s="2"/>
      <c r="E48" s="2"/>
      <c r="F48" s="2"/>
      <c r="G48" s="2"/>
      <c r="H48" s="2"/>
      <c r="I48" s="2"/>
      <c r="J48" s="2"/>
      <c r="K48" s="2"/>
      <c r="L48" s="2"/>
      <c r="M48" s="2"/>
      <c r="N48" s="2"/>
    </row>
    <row r="49" spans="2:15">
      <c r="B49" s="2" t="s">
        <v>201</v>
      </c>
      <c r="C49" s="2"/>
      <c r="D49" s="2"/>
      <c r="E49" s="2"/>
      <c r="F49" s="2"/>
      <c r="G49" s="2"/>
      <c r="H49" s="2"/>
      <c r="I49" s="2"/>
      <c r="J49" s="2">
        <v>455413</v>
      </c>
      <c r="K49" s="2"/>
      <c r="L49" s="2"/>
      <c r="M49" s="2"/>
      <c r="N49" s="2">
        <f t="shared" ref="N49:N54" si="6">SUM(J49:M49)</f>
        <v>455413</v>
      </c>
    </row>
    <row r="50" spans="2:15">
      <c r="B50" s="2" t="s">
        <v>28</v>
      </c>
      <c r="C50" s="2"/>
      <c r="D50" s="2"/>
      <c r="E50" s="2"/>
      <c r="F50" s="2"/>
      <c r="G50" s="2"/>
      <c r="H50" s="2"/>
      <c r="I50" s="2"/>
      <c r="J50" s="2">
        <v>23637722</v>
      </c>
      <c r="K50" s="2"/>
      <c r="L50" s="2"/>
      <c r="M50" s="2"/>
      <c r="N50" s="2">
        <f t="shared" si="6"/>
        <v>23637722</v>
      </c>
    </row>
    <row r="51" spans="2:15">
      <c r="B51" s="2" t="s">
        <v>463</v>
      </c>
      <c r="C51" s="2"/>
      <c r="D51" s="2"/>
      <c r="E51" s="2"/>
      <c r="F51" s="2"/>
      <c r="G51" s="2"/>
      <c r="H51" s="2"/>
      <c r="I51" s="2"/>
      <c r="J51" s="2">
        <v>5721577</v>
      </c>
      <c r="K51" s="2"/>
      <c r="L51" s="2"/>
      <c r="M51" s="2">
        <v>159799</v>
      </c>
      <c r="N51" s="2">
        <f t="shared" si="6"/>
        <v>5881376</v>
      </c>
    </row>
    <row r="52" spans="2:15">
      <c r="B52" s="2" t="s">
        <v>30</v>
      </c>
      <c r="C52" s="2"/>
      <c r="D52" s="2"/>
      <c r="E52" s="2"/>
      <c r="F52" s="2"/>
      <c r="G52" s="2"/>
      <c r="H52" s="2"/>
      <c r="I52" s="2"/>
      <c r="J52" s="2">
        <v>239560</v>
      </c>
      <c r="K52" s="2"/>
      <c r="L52" s="2">
        <v>-12896</v>
      </c>
      <c r="M52" s="2"/>
      <c r="N52" s="2">
        <f t="shared" si="6"/>
        <v>226664</v>
      </c>
    </row>
    <row r="53" spans="2:15">
      <c r="B53" s="2" t="s">
        <v>15</v>
      </c>
      <c r="C53" s="2"/>
      <c r="D53" s="2"/>
      <c r="E53" s="2"/>
      <c r="F53" s="2"/>
      <c r="G53" s="2"/>
      <c r="H53" s="2"/>
      <c r="I53" s="2"/>
      <c r="J53" s="2">
        <v>9999</v>
      </c>
      <c r="K53" s="40"/>
      <c r="L53" s="40"/>
      <c r="M53" s="40"/>
      <c r="N53" s="2">
        <f t="shared" si="6"/>
        <v>9999</v>
      </c>
    </row>
    <row r="54" spans="2:15">
      <c r="B54" s="2" t="s">
        <v>459</v>
      </c>
      <c r="C54" s="2"/>
      <c r="D54" s="2"/>
      <c r="E54" s="2"/>
      <c r="F54" s="2"/>
      <c r="G54" s="2"/>
      <c r="H54" s="2"/>
      <c r="I54" s="2"/>
      <c r="J54" s="2">
        <v>1730689</v>
      </c>
      <c r="K54" s="40">
        <v>463567</v>
      </c>
      <c r="L54" s="40"/>
      <c r="M54" s="40">
        <v>25950</v>
      </c>
      <c r="N54" s="2">
        <f t="shared" si="6"/>
        <v>2220206</v>
      </c>
    </row>
    <row r="55" spans="2:15">
      <c r="B55" s="1"/>
      <c r="C55" s="1"/>
      <c r="D55" s="1" t="s">
        <v>18</v>
      </c>
      <c r="E55" s="1"/>
      <c r="F55" s="1"/>
      <c r="G55" s="2"/>
      <c r="H55" s="2"/>
      <c r="I55" s="2"/>
      <c r="J55" s="76">
        <f>SUM(J49:J54)</f>
        <v>31794960</v>
      </c>
      <c r="K55" s="76">
        <f>SUM(K49:K54)</f>
        <v>463567</v>
      </c>
      <c r="L55" s="76">
        <f>SUM(L49:L54)</f>
        <v>-12896</v>
      </c>
      <c r="M55" s="76">
        <f>SUM(M49:M54)</f>
        <v>185749</v>
      </c>
      <c r="N55" s="76">
        <f>SUM(N49:N54)</f>
        <v>32431380</v>
      </c>
    </row>
    <row r="56" spans="2:15">
      <c r="B56" s="1" t="s">
        <v>19</v>
      </c>
      <c r="C56" s="2"/>
      <c r="D56" s="2"/>
      <c r="E56" s="2"/>
      <c r="F56" s="2"/>
      <c r="G56" s="2"/>
      <c r="H56" s="2"/>
      <c r="I56" s="2"/>
      <c r="J56" s="2"/>
      <c r="K56" s="40"/>
      <c r="L56" s="40"/>
      <c r="M56" s="40"/>
      <c r="N56" s="40"/>
    </row>
    <row r="57" spans="2:15">
      <c r="B57" s="2" t="s">
        <v>201</v>
      </c>
      <c r="C57" s="2"/>
      <c r="D57" s="2"/>
      <c r="E57" s="2"/>
      <c r="F57" s="2"/>
      <c r="G57" s="2"/>
      <c r="H57" s="2"/>
      <c r="I57" s="2"/>
      <c r="J57" s="40">
        <v>-168073</v>
      </c>
      <c r="K57" s="40">
        <v>-22770</v>
      </c>
      <c r="L57" s="40"/>
      <c r="M57" s="40"/>
      <c r="N57" s="40">
        <f t="shared" ref="N57:N62" si="7">SUM(J57:M57)</f>
        <v>-190843</v>
      </c>
      <c r="O57" s="51">
        <f t="shared" ref="O57:O62" si="8">N49+N57</f>
        <v>264570</v>
      </c>
    </row>
    <row r="58" spans="2:15">
      <c r="B58" s="2" t="s">
        <v>28</v>
      </c>
      <c r="C58" s="2"/>
      <c r="D58" s="2"/>
      <c r="E58" s="2"/>
      <c r="F58" s="2"/>
      <c r="G58" s="2"/>
      <c r="H58" s="2"/>
      <c r="I58" s="2"/>
      <c r="J58" s="40">
        <v>-7761154</v>
      </c>
      <c r="K58" s="40">
        <v>-594011</v>
      </c>
      <c r="L58" s="40"/>
      <c r="M58" s="40"/>
      <c r="N58" s="40">
        <f t="shared" si="7"/>
        <v>-8355165</v>
      </c>
      <c r="O58" s="51">
        <f t="shared" si="8"/>
        <v>15282557</v>
      </c>
    </row>
    <row r="59" spans="2:15">
      <c r="B59" s="2" t="s">
        <v>463</v>
      </c>
      <c r="C59" s="2"/>
      <c r="D59" s="2"/>
      <c r="E59" s="2"/>
      <c r="F59" s="2"/>
      <c r="G59" s="2"/>
      <c r="H59" s="2"/>
      <c r="I59" s="2"/>
      <c r="J59" s="40">
        <v>-1475219</v>
      </c>
      <c r="K59" s="40">
        <v>-289493</v>
      </c>
      <c r="L59" s="40"/>
      <c r="M59" s="40"/>
      <c r="N59" s="40">
        <f t="shared" si="7"/>
        <v>-1764712</v>
      </c>
      <c r="O59" s="51">
        <f t="shared" si="8"/>
        <v>4116664</v>
      </c>
    </row>
    <row r="60" spans="2:15">
      <c r="B60" s="2" t="s">
        <v>30</v>
      </c>
      <c r="C60" s="2"/>
      <c r="D60" s="2"/>
      <c r="E60" s="2"/>
      <c r="F60" s="2"/>
      <c r="G60" s="2"/>
      <c r="H60" s="2"/>
      <c r="I60" s="2"/>
      <c r="J60" s="40">
        <v>-195557</v>
      </c>
      <c r="K60" s="40">
        <v>-18681</v>
      </c>
      <c r="L60" s="40">
        <v>12896</v>
      </c>
      <c r="M60" s="40"/>
      <c r="N60" s="40">
        <f t="shared" si="7"/>
        <v>-201342</v>
      </c>
      <c r="O60" s="51">
        <f t="shared" si="8"/>
        <v>25322</v>
      </c>
    </row>
    <row r="61" spans="2:15">
      <c r="B61" s="2" t="s">
        <v>15</v>
      </c>
      <c r="C61" s="2"/>
      <c r="D61" s="2"/>
      <c r="E61" s="2"/>
      <c r="F61" s="2"/>
      <c r="G61" s="2"/>
      <c r="H61" s="2"/>
      <c r="I61" s="2"/>
      <c r="J61" s="40">
        <v>-3809</v>
      </c>
      <c r="K61" s="40">
        <v>-1429</v>
      </c>
      <c r="L61" s="40"/>
      <c r="M61" s="40"/>
      <c r="N61" s="40">
        <f t="shared" si="7"/>
        <v>-5238</v>
      </c>
      <c r="O61" s="51">
        <f t="shared" si="8"/>
        <v>4761</v>
      </c>
    </row>
    <row r="62" spans="2:15">
      <c r="B62" s="2" t="s">
        <v>464</v>
      </c>
      <c r="C62" s="2"/>
      <c r="D62" s="2"/>
      <c r="E62" s="2"/>
      <c r="F62" s="2"/>
      <c r="G62" s="2"/>
      <c r="H62" s="2"/>
      <c r="I62" s="2"/>
      <c r="J62" s="73">
        <v>-1051854</v>
      </c>
      <c r="K62" s="73">
        <v>-176995</v>
      </c>
      <c r="L62" s="73"/>
      <c r="M62" s="73"/>
      <c r="N62" s="73">
        <f t="shared" si="7"/>
        <v>-1228849</v>
      </c>
      <c r="O62" s="51">
        <f t="shared" si="8"/>
        <v>991357</v>
      </c>
    </row>
    <row r="63" spans="2:15">
      <c r="C63" s="2" t="s">
        <v>465</v>
      </c>
      <c r="E63" s="2"/>
      <c r="F63" s="2"/>
      <c r="G63" s="2"/>
      <c r="H63" s="2"/>
      <c r="I63" s="2"/>
      <c r="J63" s="73">
        <f>SUM(J57:J62)</f>
        <v>-10655666</v>
      </c>
      <c r="K63" s="73">
        <f t="shared" ref="K63:N63" si="9">SUM(K57:K62)</f>
        <v>-1103379</v>
      </c>
      <c r="L63" s="73">
        <f t="shared" si="9"/>
        <v>12896</v>
      </c>
      <c r="M63" s="73">
        <f t="shared" si="9"/>
        <v>0</v>
      </c>
      <c r="N63" s="73">
        <f t="shared" si="9"/>
        <v>-11746149</v>
      </c>
      <c r="O63" s="51"/>
    </row>
    <row r="64" spans="2:15">
      <c r="C64" s="2"/>
      <c r="D64" s="1" t="s">
        <v>21</v>
      </c>
      <c r="E64" s="2"/>
      <c r="F64" s="2"/>
      <c r="G64" s="2"/>
      <c r="H64" s="2"/>
      <c r="I64" s="2"/>
      <c r="J64" s="40">
        <f>SUM(J55+J63)</f>
        <v>21139294</v>
      </c>
      <c r="K64" s="40">
        <f t="shared" ref="K64:N64" si="10">SUM(K55+K63)</f>
        <v>-639812</v>
      </c>
      <c r="L64" s="40">
        <f t="shared" si="10"/>
        <v>0</v>
      </c>
      <c r="M64" s="40">
        <f t="shared" si="10"/>
        <v>185749</v>
      </c>
      <c r="N64" s="40">
        <f t="shared" si="10"/>
        <v>20685231</v>
      </c>
      <c r="O64" s="51"/>
    </row>
    <row r="65" spans="1:15">
      <c r="C65" s="2"/>
      <c r="D65" s="1" t="s">
        <v>466</v>
      </c>
      <c r="E65" s="2"/>
      <c r="F65" s="2"/>
      <c r="G65" s="2"/>
      <c r="H65" s="2"/>
      <c r="I65" s="2"/>
      <c r="J65" s="40">
        <f>SUM(J47+J55+J63)</f>
        <v>22857911</v>
      </c>
      <c r="K65" s="40">
        <f t="shared" ref="K65:N65" si="11">SUM(K47+K55+K63)</f>
        <v>-639812</v>
      </c>
      <c r="L65" s="40">
        <f t="shared" si="11"/>
        <v>0</v>
      </c>
      <c r="M65" s="40">
        <f t="shared" si="11"/>
        <v>185749</v>
      </c>
      <c r="N65" s="40">
        <f t="shared" si="11"/>
        <v>22403848</v>
      </c>
      <c r="O65" s="51"/>
    </row>
    <row r="66" spans="1:15">
      <c r="C66" s="2"/>
      <c r="D66" s="1" t="s">
        <v>467</v>
      </c>
      <c r="E66" s="2"/>
      <c r="F66" s="2"/>
      <c r="G66" s="2"/>
      <c r="H66" s="2"/>
      <c r="I66" s="2"/>
      <c r="J66" s="40">
        <f>SUM(J17+J29+J41+J47+J55+J63)</f>
        <v>413526544</v>
      </c>
      <c r="K66" s="40">
        <f t="shared" ref="K66:N66" si="12">SUM(K17+K29+K41+K47+K55+K63)</f>
        <v>18178543</v>
      </c>
      <c r="L66" s="40">
        <f t="shared" si="12"/>
        <v>-563715</v>
      </c>
      <c r="M66" s="40">
        <f t="shared" si="12"/>
        <v>-51517</v>
      </c>
      <c r="N66" s="40">
        <f t="shared" si="12"/>
        <v>431089855</v>
      </c>
      <c r="O66" s="51">
        <f>SUM(O10:O62)</f>
        <v>431089855</v>
      </c>
    </row>
    <row r="67" spans="1:15">
      <c r="B67" s="2"/>
      <c r="C67" s="2"/>
      <c r="D67" s="2"/>
      <c r="E67" s="2"/>
      <c r="F67" s="2"/>
      <c r="G67" s="2"/>
      <c r="H67" s="2"/>
      <c r="I67" s="2"/>
      <c r="J67" s="40"/>
      <c r="K67" s="40"/>
      <c r="L67" s="40"/>
      <c r="M67" s="40"/>
      <c r="N67" s="40"/>
      <c r="O67" s="51"/>
    </row>
    <row r="68" spans="1:15">
      <c r="A68" s="39" t="s">
        <v>452</v>
      </c>
      <c r="B68" s="2"/>
      <c r="C68" s="2"/>
      <c r="D68" s="2"/>
      <c r="E68" s="2"/>
      <c r="F68" s="2"/>
      <c r="G68" s="2"/>
      <c r="H68" s="2"/>
      <c r="I68" s="2"/>
      <c r="J68" s="40"/>
      <c r="K68" s="40"/>
      <c r="L68" s="40"/>
      <c r="M68" s="40"/>
      <c r="N68" s="40"/>
      <c r="O68" s="51"/>
    </row>
    <row r="69" spans="1:15">
      <c r="B69" s="2" t="s">
        <v>306</v>
      </c>
      <c r="C69" s="2"/>
      <c r="D69" s="2"/>
      <c r="E69" s="2"/>
      <c r="F69" s="2"/>
      <c r="G69" s="2"/>
      <c r="H69" s="2"/>
      <c r="I69" s="2"/>
      <c r="J69" s="40"/>
      <c r="K69" s="40"/>
      <c r="L69" s="40"/>
      <c r="M69" s="40"/>
      <c r="N69" s="40"/>
      <c r="O69" s="51"/>
    </row>
    <row r="70" spans="1:15">
      <c r="B70" s="2"/>
      <c r="C70" s="2" t="s">
        <v>10</v>
      </c>
      <c r="D70" s="2"/>
      <c r="E70" s="2"/>
      <c r="F70" s="2"/>
      <c r="G70" s="2"/>
      <c r="H70" s="2"/>
      <c r="I70" s="2"/>
      <c r="J70" s="40">
        <v>575567</v>
      </c>
      <c r="K70" s="40"/>
      <c r="L70" s="40"/>
      <c r="M70" s="40"/>
      <c r="N70" s="40">
        <f>SUM(J70:M70)</f>
        <v>575567</v>
      </c>
      <c r="O70" s="51">
        <f>N70</f>
        <v>575567</v>
      </c>
    </row>
    <row r="71" spans="1:15">
      <c r="B71" s="2"/>
      <c r="C71" s="2" t="s">
        <v>375</v>
      </c>
      <c r="D71" s="2"/>
      <c r="E71" s="2"/>
      <c r="F71" s="2"/>
      <c r="G71" s="2"/>
      <c r="H71" s="2"/>
      <c r="I71" s="2"/>
      <c r="J71" s="73">
        <v>591451</v>
      </c>
      <c r="K71" s="73">
        <v>564016</v>
      </c>
      <c r="L71" s="73"/>
      <c r="M71" s="73">
        <v>-26195</v>
      </c>
      <c r="N71" s="73">
        <f>SUM(J71:M71)</f>
        <v>1129272</v>
      </c>
      <c r="O71" s="51">
        <f>N71</f>
        <v>1129272</v>
      </c>
    </row>
    <row r="72" spans="1:15">
      <c r="B72" s="2"/>
      <c r="C72" s="1" t="s">
        <v>88</v>
      </c>
      <c r="D72" s="2"/>
      <c r="E72" s="2"/>
      <c r="F72" s="2"/>
      <c r="G72" s="2"/>
      <c r="H72" s="2"/>
      <c r="I72" s="2"/>
      <c r="J72" s="73">
        <f>SUM(J70:J71)</f>
        <v>1167018</v>
      </c>
      <c r="K72" s="73">
        <f t="shared" ref="K72:N72" si="13">SUM(K70:K71)</f>
        <v>564016</v>
      </c>
      <c r="L72" s="73">
        <f t="shared" si="13"/>
        <v>0</v>
      </c>
      <c r="M72" s="73">
        <f t="shared" si="13"/>
        <v>-26195</v>
      </c>
      <c r="N72" s="73">
        <f t="shared" si="13"/>
        <v>1704839</v>
      </c>
      <c r="O72" s="51"/>
    </row>
    <row r="73" spans="1:15">
      <c r="B73" s="2" t="s">
        <v>307</v>
      </c>
      <c r="C73" s="2"/>
      <c r="D73" s="2"/>
      <c r="E73" s="2"/>
      <c r="F73" s="2"/>
      <c r="G73" s="2"/>
      <c r="H73" s="2"/>
      <c r="I73" s="2"/>
      <c r="J73" s="40"/>
      <c r="K73" s="40"/>
      <c r="L73" s="40"/>
      <c r="M73" s="40"/>
      <c r="N73" s="40"/>
      <c r="O73" s="51"/>
    </row>
    <row r="74" spans="1:15">
      <c r="B74" s="2"/>
      <c r="C74" s="2" t="s">
        <v>468</v>
      </c>
      <c r="D74" s="2"/>
      <c r="E74" s="2"/>
      <c r="F74" s="2"/>
      <c r="G74" s="2"/>
      <c r="H74" s="2"/>
      <c r="I74" s="2"/>
      <c r="J74" s="40">
        <v>50707</v>
      </c>
      <c r="K74" s="40"/>
      <c r="L74" s="40"/>
      <c r="M74" s="40"/>
      <c r="N74" s="40">
        <f>SUM(J74:M74)</f>
        <v>50707</v>
      </c>
      <c r="O74" s="51"/>
    </row>
    <row r="75" spans="1:15">
      <c r="B75" s="2"/>
      <c r="C75" s="2" t="s">
        <v>32</v>
      </c>
      <c r="D75" s="2"/>
      <c r="E75" s="2"/>
      <c r="F75" s="2"/>
      <c r="G75" s="2"/>
      <c r="H75" s="2"/>
      <c r="I75" s="2"/>
      <c r="J75" s="40">
        <v>13376</v>
      </c>
      <c r="K75" s="40"/>
      <c r="L75" s="40"/>
      <c r="M75" s="40"/>
      <c r="N75" s="40">
        <f t="shared" ref="N75:N81" si="14">SUM(J75:M75)</f>
        <v>13376</v>
      </c>
      <c r="O75" s="51"/>
    </row>
    <row r="76" spans="1:15">
      <c r="B76" s="2"/>
      <c r="C76" s="2" t="s">
        <v>30</v>
      </c>
      <c r="D76" s="2"/>
      <c r="E76" s="2"/>
      <c r="F76" s="2"/>
      <c r="G76" s="2"/>
      <c r="H76" s="2"/>
      <c r="I76" s="2"/>
      <c r="J76" s="40">
        <v>482206</v>
      </c>
      <c r="K76" s="40">
        <v>78808</v>
      </c>
      <c r="L76" s="40">
        <v>-1000</v>
      </c>
      <c r="M76" s="40"/>
      <c r="N76" s="40">
        <f t="shared" si="14"/>
        <v>560014</v>
      </c>
      <c r="O76" s="51"/>
    </row>
    <row r="77" spans="1:15">
      <c r="B77" s="2"/>
      <c r="C77" s="2" t="s">
        <v>101</v>
      </c>
      <c r="D77" s="2"/>
      <c r="E77" s="2"/>
      <c r="F77" s="2"/>
      <c r="G77" s="2"/>
      <c r="H77" s="2"/>
      <c r="I77" s="2"/>
      <c r="J77" s="40">
        <v>526769</v>
      </c>
      <c r="K77" s="40">
        <v>39912</v>
      </c>
      <c r="L77" s="40"/>
      <c r="M77" s="40"/>
      <c r="N77" s="40">
        <f t="shared" si="14"/>
        <v>566681</v>
      </c>
      <c r="O77" s="51"/>
    </row>
    <row r="78" spans="1:15">
      <c r="B78" s="2"/>
      <c r="C78" s="2" t="s">
        <v>464</v>
      </c>
      <c r="D78" s="2"/>
      <c r="E78" s="2"/>
      <c r="F78" s="2"/>
      <c r="G78" s="2"/>
      <c r="H78" s="2"/>
      <c r="I78" s="2"/>
      <c r="J78" s="40">
        <v>6354</v>
      </c>
      <c r="K78" s="40"/>
      <c r="L78" s="40"/>
      <c r="M78" s="40"/>
      <c r="N78" s="40">
        <f t="shared" si="14"/>
        <v>6354</v>
      </c>
      <c r="O78" s="51"/>
    </row>
    <row r="79" spans="1:15">
      <c r="B79" s="2"/>
      <c r="C79" s="2" t="s">
        <v>17</v>
      </c>
      <c r="D79" s="2"/>
      <c r="E79" s="2"/>
      <c r="F79" s="2"/>
      <c r="G79" s="2"/>
      <c r="H79" s="2"/>
      <c r="I79" s="2"/>
      <c r="J79" s="40"/>
      <c r="K79" s="40"/>
      <c r="L79" s="40"/>
      <c r="M79" s="40"/>
      <c r="N79" s="40">
        <f t="shared" si="14"/>
        <v>0</v>
      </c>
      <c r="O79" s="51"/>
    </row>
    <row r="80" spans="1:15">
      <c r="B80" s="2"/>
      <c r="C80" s="2"/>
      <c r="D80" s="2" t="s">
        <v>469</v>
      </c>
      <c r="E80" s="2"/>
      <c r="F80" s="2"/>
      <c r="G80" s="2"/>
      <c r="H80" s="2"/>
      <c r="I80" s="2"/>
      <c r="J80" s="40">
        <v>35017722</v>
      </c>
      <c r="K80" s="40">
        <v>84664</v>
      </c>
      <c r="L80" s="40"/>
      <c r="M80" s="40">
        <v>26195</v>
      </c>
      <c r="N80" s="40">
        <f t="shared" si="14"/>
        <v>35128581</v>
      </c>
      <c r="O80" s="51"/>
    </row>
    <row r="81" spans="2:15">
      <c r="B81" s="2"/>
      <c r="C81" s="2"/>
      <c r="D81" s="2" t="s">
        <v>470</v>
      </c>
      <c r="E81" s="2"/>
      <c r="F81" s="2"/>
      <c r="G81" s="2"/>
      <c r="H81" s="2"/>
      <c r="I81" s="2"/>
      <c r="J81" s="73">
        <v>17346057</v>
      </c>
      <c r="K81" s="73">
        <v>57283</v>
      </c>
      <c r="L81" s="73"/>
      <c r="M81" s="73">
        <v>51517</v>
      </c>
      <c r="N81" s="73">
        <f t="shared" si="14"/>
        <v>17454857</v>
      </c>
      <c r="O81" s="51"/>
    </row>
    <row r="82" spans="2:15">
      <c r="B82" s="2"/>
      <c r="C82" s="2"/>
      <c r="D82" s="2"/>
      <c r="E82" s="2" t="s">
        <v>18</v>
      </c>
      <c r="F82" s="2"/>
      <c r="G82" s="2"/>
      <c r="H82" s="2"/>
      <c r="I82" s="2"/>
      <c r="J82" s="73">
        <f>SUM(J74:J81)</f>
        <v>53443191</v>
      </c>
      <c r="K82" s="73">
        <f t="shared" ref="K82:N82" si="15">SUM(K74:K81)</f>
        <v>260667</v>
      </c>
      <c r="L82" s="73">
        <f t="shared" si="15"/>
        <v>-1000</v>
      </c>
      <c r="M82" s="73">
        <f t="shared" si="15"/>
        <v>77712</v>
      </c>
      <c r="N82" s="73">
        <f t="shared" si="15"/>
        <v>53780570</v>
      </c>
      <c r="O82" s="51"/>
    </row>
    <row r="83" spans="2:15">
      <c r="B83" s="2" t="s">
        <v>376</v>
      </c>
      <c r="C83" s="2"/>
      <c r="D83" s="2"/>
      <c r="E83" s="2"/>
      <c r="F83" s="2"/>
      <c r="G83" s="2"/>
      <c r="H83" s="2"/>
      <c r="I83" s="2"/>
      <c r="J83" s="40"/>
      <c r="K83" s="40"/>
      <c r="L83" s="40"/>
      <c r="M83" s="40"/>
      <c r="N83" s="40"/>
      <c r="O83" s="51"/>
    </row>
    <row r="84" spans="2:15">
      <c r="B84" s="2"/>
      <c r="C84" s="2" t="s">
        <v>103</v>
      </c>
      <c r="D84" s="2"/>
      <c r="E84" s="2"/>
      <c r="F84" s="2"/>
      <c r="G84" s="2"/>
      <c r="H84" s="2"/>
      <c r="I84" s="2"/>
      <c r="J84" s="40">
        <v>-9014</v>
      </c>
      <c r="K84" s="40">
        <v>-2536</v>
      </c>
      <c r="L84" s="40"/>
      <c r="M84" s="40"/>
      <c r="N84" s="40">
        <f>SUM(J84:M84)</f>
        <v>-11550</v>
      </c>
      <c r="O84" s="51">
        <f>SUM(N84+N74)</f>
        <v>39157</v>
      </c>
    </row>
    <row r="85" spans="2:15">
      <c r="B85" s="2"/>
      <c r="C85" s="2" t="s">
        <v>32</v>
      </c>
      <c r="D85" s="2"/>
      <c r="E85" s="2"/>
      <c r="F85" s="2"/>
      <c r="G85" s="2"/>
      <c r="H85" s="2"/>
      <c r="I85" s="2"/>
      <c r="J85" s="40">
        <v>-2185</v>
      </c>
      <c r="K85" s="40">
        <v>-535</v>
      </c>
      <c r="L85" s="40"/>
      <c r="M85" s="40"/>
      <c r="N85" s="40">
        <f t="shared" ref="N85:N88" si="16">SUM(J85:M85)</f>
        <v>-2720</v>
      </c>
      <c r="O85" s="51">
        <f>SUM(N85+N75)</f>
        <v>10656</v>
      </c>
    </row>
    <row r="86" spans="2:15">
      <c r="B86" s="2"/>
      <c r="C86" s="2" t="s">
        <v>30</v>
      </c>
      <c r="D86" s="2"/>
      <c r="E86" s="2"/>
      <c r="F86" s="2"/>
      <c r="G86" s="2"/>
      <c r="H86" s="2"/>
      <c r="I86" s="2"/>
      <c r="J86" s="40">
        <v>-222108</v>
      </c>
      <c r="K86" s="40">
        <v>-65024</v>
      </c>
      <c r="L86" s="40">
        <v>1000</v>
      </c>
      <c r="M86" s="40"/>
      <c r="N86" s="40">
        <f t="shared" si="16"/>
        <v>-286132</v>
      </c>
      <c r="O86" s="51">
        <f>SUM(N86+N76)</f>
        <v>273882</v>
      </c>
    </row>
    <row r="87" spans="2:15">
      <c r="B87" s="2"/>
      <c r="C87" s="2" t="s">
        <v>101</v>
      </c>
      <c r="D87" s="2"/>
      <c r="E87" s="2"/>
      <c r="F87" s="2"/>
      <c r="G87" s="2"/>
      <c r="H87" s="2"/>
      <c r="I87" s="2"/>
      <c r="J87" s="40">
        <v>-300627</v>
      </c>
      <c r="K87" s="40">
        <v>-53895</v>
      </c>
      <c r="L87" s="40"/>
      <c r="M87" s="40"/>
      <c r="N87" s="40">
        <f t="shared" si="16"/>
        <v>-354522</v>
      </c>
      <c r="O87" s="51">
        <f t="shared" ref="O87:O91" si="17">SUM(N87+N77)</f>
        <v>212159</v>
      </c>
    </row>
    <row r="88" spans="2:15">
      <c r="B88" s="2"/>
      <c r="C88" s="2" t="s">
        <v>464</v>
      </c>
      <c r="D88" s="2"/>
      <c r="E88" s="2"/>
      <c r="F88" s="2"/>
      <c r="G88" s="2"/>
      <c r="H88" s="2"/>
      <c r="I88" s="2"/>
      <c r="J88" s="40">
        <v>-756</v>
      </c>
      <c r="K88" s="40">
        <v>-908</v>
      </c>
      <c r="L88" s="40"/>
      <c r="M88" s="40"/>
      <c r="N88" s="40">
        <f t="shared" si="16"/>
        <v>-1664</v>
      </c>
      <c r="O88" s="51">
        <f t="shared" si="17"/>
        <v>4690</v>
      </c>
    </row>
    <row r="89" spans="2:15">
      <c r="B89" s="2"/>
      <c r="C89" s="2" t="s">
        <v>360</v>
      </c>
      <c r="D89" s="2"/>
      <c r="E89" s="2"/>
      <c r="F89" s="2"/>
      <c r="G89" s="2"/>
      <c r="H89" s="2"/>
      <c r="I89" s="2"/>
      <c r="J89" s="40"/>
      <c r="K89" s="40"/>
      <c r="L89" s="40"/>
      <c r="M89" s="40"/>
      <c r="N89" s="40"/>
      <c r="O89" s="51">
        <f t="shared" si="17"/>
        <v>0</v>
      </c>
    </row>
    <row r="90" spans="2:15">
      <c r="B90" s="2"/>
      <c r="D90" s="2" t="s">
        <v>469</v>
      </c>
      <c r="E90" s="2"/>
      <c r="F90" s="2"/>
      <c r="G90" s="2"/>
      <c r="H90" s="2"/>
      <c r="I90" s="2"/>
      <c r="J90" s="40">
        <v>-10325819</v>
      </c>
      <c r="K90" s="40">
        <v>-1683765</v>
      </c>
      <c r="L90" s="40"/>
      <c r="M90" s="40"/>
      <c r="N90" s="40">
        <f t="shared" ref="N90" si="18">SUM(J90:M90)</f>
        <v>-12009584</v>
      </c>
      <c r="O90" s="51">
        <f t="shared" si="17"/>
        <v>23118997</v>
      </c>
    </row>
    <row r="91" spans="2:15">
      <c r="B91" s="2"/>
      <c r="D91" s="2" t="s">
        <v>470</v>
      </c>
      <c r="E91" s="2"/>
      <c r="F91" s="2"/>
      <c r="G91" s="2"/>
      <c r="H91" s="2"/>
      <c r="I91" s="2"/>
      <c r="J91" s="40">
        <v>-3096165</v>
      </c>
      <c r="K91" s="40">
        <v>-648106</v>
      </c>
      <c r="L91" s="40"/>
      <c r="M91" s="40"/>
      <c r="N91" s="40">
        <f>SUM(J91:M91)</f>
        <v>-3744271</v>
      </c>
      <c r="O91" s="51">
        <f t="shared" si="17"/>
        <v>13710586</v>
      </c>
    </row>
    <row r="92" spans="2:15">
      <c r="B92" s="1"/>
      <c r="C92" s="1"/>
      <c r="D92" s="1" t="s">
        <v>20</v>
      </c>
      <c r="E92" s="1"/>
      <c r="F92" s="2"/>
      <c r="G92" s="2"/>
      <c r="H92" s="2"/>
      <c r="I92" s="2"/>
      <c r="J92" s="76">
        <f>SUM(J84:J91)</f>
        <v>-13956674</v>
      </c>
      <c r="K92" s="76">
        <f>SUM(K84:K91)</f>
        <v>-2454769</v>
      </c>
      <c r="L92" s="76">
        <f>SUM(L84:L91)</f>
        <v>1000</v>
      </c>
      <c r="M92" s="76">
        <v>0</v>
      </c>
      <c r="N92" s="76">
        <f>SUM(N84:N91)</f>
        <v>-16410443</v>
      </c>
    </row>
    <row r="93" spans="2:15">
      <c r="B93" s="1" t="s">
        <v>21</v>
      </c>
      <c r="C93" s="1"/>
      <c r="D93" s="1"/>
      <c r="E93" s="1"/>
      <c r="F93" s="2"/>
      <c r="G93" s="2"/>
      <c r="H93" s="2"/>
      <c r="I93" s="2"/>
      <c r="J93" s="76">
        <f>SUM(J82+J92)</f>
        <v>39486517</v>
      </c>
      <c r="K93" s="76">
        <f>SUM(K82+K92)</f>
        <v>-2194102</v>
      </c>
      <c r="L93" s="76">
        <f>SUM(L82+L92)</f>
        <v>0</v>
      </c>
      <c r="M93" s="76">
        <f>SUM(M82+M92)</f>
        <v>77712</v>
      </c>
      <c r="N93" s="76">
        <f>SUM(N82+N92)</f>
        <v>37370127</v>
      </c>
      <c r="O93" s="51"/>
    </row>
    <row r="94" spans="2:15">
      <c r="B94" s="1" t="s">
        <v>471</v>
      </c>
      <c r="C94" s="1"/>
      <c r="D94" s="1"/>
      <c r="E94" s="1"/>
      <c r="F94" s="2"/>
      <c r="G94" s="2"/>
      <c r="H94" s="2"/>
      <c r="I94" s="2"/>
      <c r="J94" s="76">
        <f>SUM(J72+J93)</f>
        <v>40653535</v>
      </c>
      <c r="K94" s="76">
        <f>SUM(K72+K93)</f>
        <v>-1630086</v>
      </c>
      <c r="L94" s="76">
        <f>SUM(L72+L93)</f>
        <v>0</v>
      </c>
      <c r="M94" s="76">
        <f>SUM(M72+M93)</f>
        <v>51517</v>
      </c>
      <c r="N94" s="76">
        <f>SUM(N72+N93)</f>
        <v>39074966</v>
      </c>
      <c r="O94" s="95">
        <f>SUM(O70:O91)</f>
        <v>39074966</v>
      </c>
    </row>
    <row r="95" spans="2:15">
      <c r="B95" s="1" t="s">
        <v>472</v>
      </c>
      <c r="C95" s="1"/>
      <c r="D95" s="1"/>
      <c r="E95" s="1"/>
      <c r="F95" s="2"/>
      <c r="G95" s="2"/>
      <c r="H95" s="2"/>
      <c r="I95" s="2"/>
      <c r="J95" s="76">
        <f>SUM(J94+J66)</f>
        <v>454180079</v>
      </c>
      <c r="K95" s="76">
        <f>SUM(K66+K94)</f>
        <v>16548457</v>
      </c>
      <c r="L95" s="76">
        <f>SUM(L66+L94)</f>
        <v>-563715</v>
      </c>
      <c r="M95" s="76">
        <f>SUM(M66+M94)</f>
        <v>0</v>
      </c>
      <c r="N95" s="76">
        <f>SUM(N66+N94)</f>
        <v>470164821</v>
      </c>
    </row>
  </sheetData>
  <mergeCells count="3">
    <mergeCell ref="E1:J1"/>
    <mergeCell ref="E2:J2"/>
    <mergeCell ref="E3:J3"/>
  </mergeCells>
  <pageMargins left="0.7" right="0.7" top="0.75" bottom="0.75" header="0.3" footer="0.3"/>
  <pageSetup orientation="portrait"/>
  <extLst>
    <ext xmlns:mx="http://schemas.microsoft.com/office/mac/excel/2008/main" uri="{64002731-A6B0-56B0-2670-7721B7C09600}">
      <mx:PLV Mode="0" OnePage="0" WScale="0"/>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M26"/>
  <sheetViews>
    <sheetView zoomScale="80" zoomScaleNormal="80" zoomScalePageLayoutView="80" workbookViewId="0">
      <selection activeCell="I11" sqref="I11"/>
    </sheetView>
  </sheetViews>
  <sheetFormatPr defaultColWidth="8.85546875" defaultRowHeight="15"/>
  <cols>
    <col min="1" max="2" width="4.42578125" customWidth="1"/>
    <col min="3" max="3" width="3.42578125" customWidth="1"/>
    <col min="8" max="8" width="12.140625" customWidth="1"/>
    <col min="9" max="9" width="15.42578125" customWidth="1"/>
    <col min="10" max="10" width="14.28515625" bestFit="1" customWidth="1"/>
    <col min="11" max="11" width="15.28515625" bestFit="1" customWidth="1"/>
    <col min="12" max="12" width="16.42578125" bestFit="1" customWidth="1"/>
    <col min="13" max="13" width="21.85546875" customWidth="1"/>
  </cols>
  <sheetData>
    <row r="1" spans="1:13" ht="18.75">
      <c r="A1" s="2"/>
      <c r="B1" s="2"/>
      <c r="C1" s="2"/>
      <c r="D1" s="136" t="s">
        <v>473</v>
      </c>
      <c r="E1" s="136"/>
      <c r="F1" s="136"/>
      <c r="G1" s="136"/>
      <c r="H1" s="136"/>
      <c r="I1" s="136"/>
      <c r="J1" s="2"/>
      <c r="K1" s="2"/>
      <c r="L1" s="2"/>
    </row>
    <row r="2" spans="1:13" ht="18.75">
      <c r="A2" s="2"/>
      <c r="B2" s="2"/>
      <c r="C2" s="2"/>
      <c r="D2" s="136" t="s">
        <v>1</v>
      </c>
      <c r="E2" s="136"/>
      <c r="F2" s="136"/>
      <c r="G2" s="136"/>
      <c r="H2" s="136"/>
      <c r="I2" s="136"/>
      <c r="J2" s="2"/>
      <c r="K2" s="2"/>
      <c r="L2" s="2"/>
    </row>
    <row r="3" spans="1:13" ht="18.75">
      <c r="A3" s="2"/>
      <c r="B3" s="2"/>
      <c r="C3" s="2"/>
      <c r="D3" s="136" t="s">
        <v>2</v>
      </c>
      <c r="E3" s="136"/>
      <c r="F3" s="136"/>
      <c r="G3" s="136"/>
      <c r="H3" s="136"/>
      <c r="I3" s="136"/>
      <c r="J3" s="2"/>
      <c r="K3" s="2"/>
      <c r="L3" s="2"/>
    </row>
    <row r="4" spans="1:13" ht="18.75">
      <c r="A4" s="2"/>
      <c r="B4" s="2"/>
      <c r="C4" s="2"/>
      <c r="D4" s="69"/>
      <c r="E4" s="69"/>
      <c r="F4" s="69"/>
      <c r="G4" s="69"/>
      <c r="H4" s="69"/>
      <c r="I4" s="69"/>
      <c r="J4" s="2"/>
      <c r="K4" s="2"/>
      <c r="L4" s="2"/>
    </row>
    <row r="5" spans="1:13" ht="37.5">
      <c r="A5" s="2"/>
      <c r="B5" s="2"/>
      <c r="C5" s="2"/>
      <c r="D5" s="2"/>
      <c r="E5" s="2"/>
      <c r="F5" s="2"/>
      <c r="G5" s="2"/>
      <c r="H5" s="2"/>
      <c r="I5" s="71" t="s">
        <v>474</v>
      </c>
      <c r="J5" s="71" t="s">
        <v>475</v>
      </c>
      <c r="K5" s="71" t="s">
        <v>5</v>
      </c>
      <c r="L5" s="71" t="s">
        <v>63</v>
      </c>
      <c r="M5" s="71" t="s">
        <v>7</v>
      </c>
    </row>
    <row r="6" spans="1:13" ht="18.75">
      <c r="A6" s="1" t="s">
        <v>8</v>
      </c>
      <c r="B6" s="1"/>
      <c r="C6" s="1"/>
      <c r="D6" s="1"/>
      <c r="E6" s="1"/>
      <c r="F6" s="1"/>
      <c r="G6" s="2"/>
      <c r="H6" s="2"/>
      <c r="I6" s="2"/>
      <c r="J6" s="2"/>
      <c r="K6" s="2"/>
      <c r="L6" s="2"/>
    </row>
    <row r="7" spans="1:13" ht="18.75">
      <c r="A7" s="1" t="s">
        <v>9</v>
      </c>
      <c r="B7" s="1"/>
      <c r="C7" s="1"/>
      <c r="D7" s="1"/>
      <c r="E7" s="1"/>
      <c r="F7" s="1"/>
      <c r="G7" s="2"/>
      <c r="H7" s="2"/>
      <c r="I7" s="40"/>
      <c r="J7" s="40"/>
      <c r="K7" s="40"/>
      <c r="L7" s="40"/>
    </row>
    <row r="8" spans="1:13" ht="18.75">
      <c r="A8" s="2"/>
      <c r="B8" s="2"/>
      <c r="C8" s="2" t="s">
        <v>10</v>
      </c>
      <c r="D8" s="2"/>
      <c r="E8" s="2"/>
      <c r="F8" s="2"/>
      <c r="G8" s="2"/>
      <c r="H8" s="2"/>
      <c r="I8" s="40">
        <v>2938462</v>
      </c>
      <c r="J8" s="40"/>
      <c r="K8" s="40">
        <v>-27818</v>
      </c>
      <c r="L8" s="40">
        <f>SUM(I8:K8)</f>
        <v>2910644</v>
      </c>
      <c r="M8" s="58">
        <f>L8</f>
        <v>2910644</v>
      </c>
    </row>
    <row r="9" spans="1:13" ht="18.75">
      <c r="A9" s="2"/>
      <c r="B9" s="2"/>
      <c r="C9" s="2" t="s">
        <v>476</v>
      </c>
      <c r="D9" s="2"/>
      <c r="E9" s="2"/>
      <c r="F9" s="2"/>
      <c r="G9" s="2"/>
      <c r="H9" s="2"/>
      <c r="I9" s="2">
        <v>70889285</v>
      </c>
      <c r="J9" s="2">
        <v>1123180</v>
      </c>
      <c r="K9" s="2"/>
      <c r="L9" s="40">
        <f t="shared" ref="L9:L10" si="0">SUM(I9:K9)</f>
        <v>72012465</v>
      </c>
      <c r="M9" s="58">
        <f>L9</f>
        <v>72012465</v>
      </c>
    </row>
    <row r="10" spans="1:13" ht="18.75">
      <c r="A10" s="2"/>
      <c r="B10" s="2"/>
      <c r="C10" s="2" t="s">
        <v>11</v>
      </c>
      <c r="D10" s="2"/>
      <c r="E10" s="2"/>
      <c r="F10" s="2"/>
      <c r="G10" s="2"/>
      <c r="H10" s="2"/>
      <c r="I10" s="2">
        <v>9985749</v>
      </c>
      <c r="J10" s="2">
        <v>7896115</v>
      </c>
      <c r="K10" s="2">
        <v>-15364106</v>
      </c>
      <c r="L10" s="40">
        <f t="shared" si="0"/>
        <v>2517758</v>
      </c>
      <c r="M10" s="58">
        <f>L10</f>
        <v>2517758</v>
      </c>
    </row>
    <row r="11" spans="1:13" ht="18.75">
      <c r="A11" s="1"/>
      <c r="B11" s="1"/>
      <c r="C11" s="1"/>
      <c r="D11" s="1" t="s">
        <v>68</v>
      </c>
      <c r="E11" s="1"/>
      <c r="F11" s="1"/>
      <c r="G11" s="1"/>
      <c r="H11" s="1"/>
      <c r="I11" s="85">
        <f>SUM(I8:I10)</f>
        <v>83813496</v>
      </c>
      <c r="J11" s="85">
        <f>SUM(J8:J10)</f>
        <v>9019295</v>
      </c>
      <c r="K11" s="85">
        <f>SUM(K8:K10)</f>
        <v>-15391924</v>
      </c>
      <c r="L11" s="85">
        <f>SUM(L8:L10)</f>
        <v>77440867</v>
      </c>
    </row>
    <row r="12" spans="1:13" ht="18.75">
      <c r="A12" s="2"/>
      <c r="B12" s="2"/>
      <c r="C12" s="2"/>
      <c r="D12" s="2"/>
      <c r="E12" s="2"/>
      <c r="F12" s="2"/>
      <c r="G12" s="2"/>
      <c r="H12" s="2"/>
      <c r="I12" s="2"/>
      <c r="J12" s="2"/>
      <c r="K12" s="2"/>
      <c r="L12" s="2"/>
    </row>
    <row r="13" spans="1:13" ht="18.75">
      <c r="A13" s="1" t="s">
        <v>371</v>
      </c>
      <c r="B13" s="2"/>
      <c r="C13" s="2"/>
      <c r="D13" s="2"/>
      <c r="E13" s="2"/>
      <c r="F13" s="2"/>
      <c r="G13" s="2"/>
      <c r="H13" s="2"/>
      <c r="I13" s="2"/>
      <c r="J13" s="2"/>
      <c r="K13" s="2"/>
      <c r="L13" s="2"/>
    </row>
    <row r="14" spans="1:13" ht="18.75">
      <c r="A14" s="2"/>
      <c r="B14" s="2" t="s">
        <v>32</v>
      </c>
      <c r="C14" s="2"/>
      <c r="D14" s="2"/>
      <c r="E14" s="2"/>
      <c r="F14" s="2"/>
      <c r="G14" s="2"/>
      <c r="H14" s="2"/>
      <c r="I14" s="2">
        <v>40157566</v>
      </c>
      <c r="J14" s="40">
        <v>8902220</v>
      </c>
      <c r="K14" s="40">
        <v>-30000</v>
      </c>
      <c r="L14" s="40">
        <f>SUM(I14:K14)</f>
        <v>49029786</v>
      </c>
    </row>
    <row r="15" spans="1:13" ht="18.75">
      <c r="A15" s="2"/>
      <c r="B15" s="2" t="s">
        <v>17</v>
      </c>
      <c r="C15" s="2"/>
      <c r="D15" s="2"/>
      <c r="E15" s="2"/>
      <c r="F15" s="2"/>
      <c r="G15" s="2"/>
      <c r="H15" s="2"/>
      <c r="I15" s="2">
        <v>114068116</v>
      </c>
      <c r="J15" s="40">
        <v>6157196</v>
      </c>
      <c r="K15" s="40">
        <v>-1431407</v>
      </c>
      <c r="L15" s="40">
        <f t="shared" ref="L15:L16" si="1">SUM(I15:K15)</f>
        <v>118793905</v>
      </c>
    </row>
    <row r="16" spans="1:13" ht="18.75">
      <c r="A16" s="2"/>
      <c r="B16" s="2" t="s">
        <v>33</v>
      </c>
      <c r="C16" s="2"/>
      <c r="D16" s="2"/>
      <c r="E16" s="2"/>
      <c r="F16" s="2"/>
      <c r="G16" s="2"/>
      <c r="H16" s="2"/>
      <c r="I16" s="2">
        <v>15638590</v>
      </c>
      <c r="J16" s="40">
        <v>1215945</v>
      </c>
      <c r="K16" s="40">
        <v>-22794</v>
      </c>
      <c r="L16" s="40">
        <f t="shared" si="1"/>
        <v>16831741</v>
      </c>
    </row>
    <row r="17" spans="1:13" ht="18.75">
      <c r="A17" s="1"/>
      <c r="B17" s="2"/>
      <c r="C17" s="1"/>
      <c r="D17" s="1" t="s">
        <v>18</v>
      </c>
      <c r="E17" s="2"/>
      <c r="F17" s="2"/>
      <c r="G17" s="2"/>
      <c r="H17" s="2"/>
      <c r="I17" s="86">
        <f>SUM(I14:I16)</f>
        <v>169864272</v>
      </c>
      <c r="J17" s="86">
        <f>SUM(J14:J16)</f>
        <v>16275361</v>
      </c>
      <c r="K17" s="86">
        <f>SUM(K14:K16)</f>
        <v>-1484201</v>
      </c>
      <c r="L17" s="86">
        <f>SUM(I17:K17)</f>
        <v>184655432</v>
      </c>
    </row>
    <row r="18" spans="1:13" ht="18.75">
      <c r="A18" s="2"/>
      <c r="B18" s="2"/>
      <c r="C18" s="2"/>
      <c r="D18" s="2"/>
      <c r="E18" s="2"/>
      <c r="F18" s="2"/>
      <c r="G18" s="2"/>
      <c r="H18" s="2"/>
      <c r="I18" s="2"/>
      <c r="J18" s="2"/>
      <c r="K18" s="2"/>
      <c r="L18" s="2"/>
    </row>
    <row r="19" spans="1:13" ht="18.75">
      <c r="A19" s="1" t="s">
        <v>376</v>
      </c>
      <c r="B19" s="2"/>
      <c r="C19" s="2"/>
      <c r="D19" s="2"/>
      <c r="E19" s="2"/>
      <c r="F19" s="2"/>
      <c r="G19" s="2"/>
      <c r="H19" s="2"/>
      <c r="I19" s="2"/>
      <c r="J19" s="40"/>
      <c r="K19" s="40"/>
      <c r="L19" s="40"/>
    </row>
    <row r="20" spans="1:13" ht="18.75">
      <c r="A20" s="2"/>
      <c r="B20" s="2" t="s">
        <v>32</v>
      </c>
      <c r="C20" s="2"/>
      <c r="D20" s="2"/>
      <c r="E20" s="2"/>
      <c r="F20" s="2"/>
      <c r="G20" s="2"/>
      <c r="H20" s="2"/>
      <c r="I20" s="40">
        <v>11979763</v>
      </c>
      <c r="J20" s="40">
        <v>1064523</v>
      </c>
      <c r="K20" s="40">
        <v>-24328</v>
      </c>
      <c r="L20" s="40">
        <f>SUM(I20:K20)</f>
        <v>13019958</v>
      </c>
      <c r="M20" s="58">
        <f>L14-L20</f>
        <v>36009828</v>
      </c>
    </row>
    <row r="21" spans="1:13" ht="18.75">
      <c r="A21" s="2"/>
      <c r="B21" s="2" t="s">
        <v>17</v>
      </c>
      <c r="C21" s="2"/>
      <c r="D21" s="2"/>
      <c r="E21" s="2"/>
      <c r="F21" s="2"/>
      <c r="G21" s="2"/>
      <c r="H21" s="2"/>
      <c r="I21" s="40">
        <v>54209407</v>
      </c>
      <c r="J21" s="40">
        <v>4237664</v>
      </c>
      <c r="K21" s="40">
        <v>-723116</v>
      </c>
      <c r="L21" s="40">
        <f t="shared" ref="L21" si="2">SUM(I21:K21)</f>
        <v>57723955</v>
      </c>
      <c r="M21" s="58">
        <f>L15-L21</f>
        <v>61069950</v>
      </c>
    </row>
    <row r="22" spans="1:13" ht="18.75">
      <c r="A22" s="2"/>
      <c r="B22" s="2" t="s">
        <v>33</v>
      </c>
      <c r="C22" s="2"/>
      <c r="D22" s="2"/>
      <c r="E22" s="2"/>
      <c r="F22" s="2"/>
      <c r="G22" s="2"/>
      <c r="H22" s="2"/>
      <c r="I22" s="40">
        <v>9358504</v>
      </c>
      <c r="J22" s="40">
        <v>1386261</v>
      </c>
      <c r="K22" s="40">
        <v>-20515</v>
      </c>
      <c r="L22" s="40">
        <f>SUM(I22:K22)</f>
        <v>10724250</v>
      </c>
      <c r="M22" s="58">
        <f>L16-L22</f>
        <v>6107491</v>
      </c>
    </row>
    <row r="23" spans="1:13" ht="18.75">
      <c r="A23" s="1"/>
      <c r="B23" s="2"/>
      <c r="C23" s="1"/>
      <c r="D23" s="1" t="s">
        <v>20</v>
      </c>
      <c r="E23" s="2"/>
      <c r="F23" s="2"/>
      <c r="G23" s="2"/>
      <c r="H23" s="2"/>
      <c r="I23" s="76">
        <f>SUM(I20:I22)</f>
        <v>75547674</v>
      </c>
      <c r="J23" s="76">
        <f>SUM(J20:J22)</f>
        <v>6688448</v>
      </c>
      <c r="K23" s="76">
        <f>SUM(K20:K22)</f>
        <v>-767959</v>
      </c>
      <c r="L23" s="76">
        <f>SUM(I23:K23)</f>
        <v>81468163</v>
      </c>
    </row>
    <row r="24" spans="1:13" ht="18.75">
      <c r="A24" s="2"/>
      <c r="B24" s="2"/>
      <c r="C24" s="2"/>
      <c r="D24" s="2"/>
      <c r="E24" s="2"/>
      <c r="F24" s="2"/>
      <c r="G24" s="2"/>
      <c r="H24" s="2"/>
      <c r="I24" s="2"/>
      <c r="J24" s="2"/>
      <c r="K24" s="2"/>
      <c r="L24" s="2"/>
    </row>
    <row r="25" spans="1:13" ht="18.75">
      <c r="A25" s="1" t="s">
        <v>445</v>
      </c>
      <c r="B25" s="2"/>
      <c r="C25" s="1"/>
      <c r="D25" s="2"/>
      <c r="E25" s="2"/>
      <c r="F25" s="2"/>
      <c r="G25" s="2"/>
      <c r="H25" s="2"/>
      <c r="I25" s="76">
        <f>I17-I23</f>
        <v>94316598</v>
      </c>
      <c r="J25" s="76">
        <f>J17-J23</f>
        <v>9586913</v>
      </c>
      <c r="K25" s="76">
        <f>K17-K23</f>
        <v>-716242</v>
      </c>
      <c r="L25" s="76">
        <f>L17-L23</f>
        <v>103187269</v>
      </c>
    </row>
    <row r="26" spans="1:13" ht="18.75">
      <c r="A26" s="1" t="s">
        <v>477</v>
      </c>
      <c r="B26" s="2"/>
      <c r="C26" s="1"/>
      <c r="D26" s="2"/>
      <c r="E26" s="2"/>
      <c r="F26" s="2"/>
      <c r="G26" s="2"/>
      <c r="H26" s="2"/>
      <c r="I26" s="76">
        <f>I11+I25</f>
        <v>178130094</v>
      </c>
      <c r="J26" s="76">
        <f>J11+J25</f>
        <v>18606208</v>
      </c>
      <c r="K26" s="76">
        <f>K11+K25</f>
        <v>-16108166</v>
      </c>
      <c r="L26" s="76">
        <f>L11+L25</f>
        <v>180628136</v>
      </c>
      <c r="M26" s="58">
        <f>SUM(M8:M24)</f>
        <v>180628136</v>
      </c>
    </row>
  </sheetData>
  <mergeCells count="3">
    <mergeCell ref="D1:I1"/>
    <mergeCell ref="D2:I2"/>
    <mergeCell ref="D3:I3"/>
  </mergeCells>
  <pageMargins left="0.7" right="0.7" top="0.75" bottom="0.75" header="0.3" footer="0.3"/>
  <extLst>
    <ext xmlns:mx="http://schemas.microsoft.com/office/mac/excel/2008/main" uri="{64002731-A6B0-56B0-2670-7721B7C09600}">
      <mx:PLV Mode="0" OnePage="0" WScale="0"/>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M23"/>
  <sheetViews>
    <sheetView zoomScale="80" zoomScaleNormal="80" zoomScalePageLayoutView="80" workbookViewId="0">
      <selection activeCell="I13" sqref="I13"/>
    </sheetView>
  </sheetViews>
  <sheetFormatPr defaultColWidth="8.85546875" defaultRowHeight="15"/>
  <cols>
    <col min="1" max="2" width="4.42578125" customWidth="1"/>
    <col min="3" max="3" width="3.42578125" customWidth="1"/>
    <col min="8" max="8" width="12.140625" customWidth="1"/>
    <col min="9" max="9" width="15.42578125" customWidth="1"/>
    <col min="10" max="10" width="14.28515625" bestFit="1" customWidth="1"/>
    <col min="11" max="11" width="15.28515625" bestFit="1" customWidth="1"/>
    <col min="12" max="12" width="16.42578125" bestFit="1" customWidth="1"/>
    <col min="13" max="13" width="21.85546875" customWidth="1"/>
  </cols>
  <sheetData>
    <row r="1" spans="1:13" ht="18.75">
      <c r="A1" s="2"/>
      <c r="B1" s="2"/>
      <c r="C1" s="2"/>
      <c r="D1" s="136" t="s">
        <v>478</v>
      </c>
      <c r="E1" s="136"/>
      <c r="F1" s="136"/>
      <c r="G1" s="136"/>
      <c r="H1" s="136"/>
      <c r="I1" s="136"/>
      <c r="J1" s="2"/>
      <c r="K1" s="2"/>
      <c r="L1" s="2"/>
    </row>
    <row r="2" spans="1:13" ht="18.75">
      <c r="A2" s="2"/>
      <c r="B2" s="2"/>
      <c r="C2" s="2"/>
      <c r="D2" s="136" t="s">
        <v>1</v>
      </c>
      <c r="E2" s="136"/>
      <c r="F2" s="136"/>
      <c r="G2" s="136"/>
      <c r="H2" s="136"/>
      <c r="I2" s="136"/>
      <c r="J2" s="2"/>
      <c r="K2" s="2"/>
      <c r="L2" s="2"/>
    </row>
    <row r="3" spans="1:13" ht="18.75">
      <c r="A3" s="2"/>
      <c r="B3" s="2"/>
      <c r="C3" s="2"/>
      <c r="D3" s="136" t="s">
        <v>2</v>
      </c>
      <c r="E3" s="136"/>
      <c r="F3" s="136"/>
      <c r="G3" s="136"/>
      <c r="H3" s="136"/>
      <c r="I3" s="136"/>
      <c r="J3" s="2"/>
      <c r="K3" s="2"/>
      <c r="L3" s="2"/>
    </row>
    <row r="4" spans="1:13" ht="18.75">
      <c r="A4" s="2"/>
      <c r="B4" s="2"/>
      <c r="C4" s="2"/>
      <c r="D4" s="69"/>
      <c r="E4" s="69"/>
      <c r="F4" s="69"/>
      <c r="G4" s="69"/>
      <c r="H4" s="69"/>
      <c r="I4" s="69"/>
      <c r="J4" s="2"/>
      <c r="K4" s="2"/>
      <c r="L4" s="2"/>
    </row>
    <row r="5" spans="1:13" ht="37.5">
      <c r="A5" s="2"/>
      <c r="B5" s="2"/>
      <c r="C5" s="2"/>
      <c r="D5" s="2"/>
      <c r="E5" s="2"/>
      <c r="F5" s="2"/>
      <c r="G5" s="2"/>
      <c r="H5" s="2"/>
      <c r="I5" s="71" t="s">
        <v>479</v>
      </c>
      <c r="J5" s="71" t="s">
        <v>475</v>
      </c>
      <c r="K5" s="71" t="s">
        <v>5</v>
      </c>
      <c r="L5" s="71" t="s">
        <v>480</v>
      </c>
      <c r="M5" s="71" t="s">
        <v>7</v>
      </c>
    </row>
    <row r="6" spans="1:13" ht="18.75">
      <c r="A6" s="1" t="s">
        <v>367</v>
      </c>
      <c r="B6" s="1"/>
      <c r="C6" s="1"/>
      <c r="D6" s="1"/>
      <c r="E6" s="1"/>
      <c r="F6" s="1"/>
      <c r="G6" s="2"/>
      <c r="H6" s="2"/>
      <c r="I6" s="2"/>
      <c r="J6" s="2"/>
      <c r="K6" s="2"/>
      <c r="L6" s="2"/>
    </row>
    <row r="7" spans="1:13" ht="18.75">
      <c r="A7" s="1" t="s">
        <v>9</v>
      </c>
      <c r="B7" s="1"/>
      <c r="C7" s="1"/>
      <c r="D7" s="1"/>
      <c r="E7" s="1"/>
      <c r="F7" s="1"/>
      <c r="G7" s="2"/>
      <c r="H7" s="2"/>
      <c r="I7" s="40"/>
      <c r="J7" s="40"/>
      <c r="K7" s="40"/>
      <c r="L7" s="40"/>
    </row>
    <row r="8" spans="1:13" ht="18.75">
      <c r="A8" s="2"/>
      <c r="B8" s="2"/>
      <c r="C8" s="2" t="s">
        <v>10</v>
      </c>
      <c r="D8" s="2"/>
      <c r="E8" s="2"/>
      <c r="F8" s="2"/>
      <c r="G8" s="2"/>
      <c r="H8" s="2"/>
      <c r="I8" s="40">
        <v>743698</v>
      </c>
      <c r="J8" s="40"/>
      <c r="K8" s="40"/>
      <c r="L8" s="40">
        <f>SUM(I8:K8)</f>
        <v>743698</v>
      </c>
      <c r="M8" s="51">
        <f>L8</f>
        <v>743698</v>
      </c>
    </row>
    <row r="9" spans="1:13" ht="18.75">
      <c r="A9" s="2"/>
      <c r="B9" s="2"/>
      <c r="C9" s="2"/>
      <c r="D9" s="2"/>
      <c r="E9" s="2"/>
      <c r="F9" s="2"/>
      <c r="G9" s="2"/>
      <c r="H9" s="2"/>
      <c r="I9" s="2"/>
      <c r="J9" s="2"/>
      <c r="K9" s="2"/>
      <c r="L9" s="2"/>
      <c r="M9" s="34"/>
    </row>
    <row r="10" spans="1:13" ht="18.75">
      <c r="A10" s="1" t="s">
        <v>371</v>
      </c>
      <c r="B10" s="2"/>
      <c r="C10" s="2"/>
      <c r="D10" s="2"/>
      <c r="E10" s="2"/>
      <c r="F10" s="2"/>
      <c r="G10" s="2"/>
      <c r="H10" s="2"/>
      <c r="I10" s="2"/>
      <c r="J10" s="2"/>
      <c r="K10" s="2"/>
      <c r="L10" s="2"/>
      <c r="M10" s="34"/>
    </row>
    <row r="11" spans="1:13" ht="18.75">
      <c r="A11" s="2"/>
      <c r="B11" s="2" t="s">
        <v>32</v>
      </c>
      <c r="C11" s="2"/>
      <c r="D11" s="2"/>
      <c r="E11" s="2"/>
      <c r="F11" s="2"/>
      <c r="G11" s="2"/>
      <c r="H11" s="2"/>
      <c r="I11" s="2">
        <v>8329544</v>
      </c>
      <c r="J11" s="40">
        <v>560403</v>
      </c>
      <c r="K11" s="40"/>
      <c r="L11" s="40">
        <f>SUM(I11:K11)</f>
        <v>8889947</v>
      </c>
      <c r="M11" s="34"/>
    </row>
    <row r="12" spans="1:13" ht="18.75">
      <c r="A12" s="2"/>
      <c r="B12" s="2" t="s">
        <v>419</v>
      </c>
      <c r="C12" s="2"/>
      <c r="D12" s="2"/>
      <c r="E12" s="2"/>
      <c r="F12" s="2"/>
      <c r="G12" s="2"/>
      <c r="H12" s="2"/>
      <c r="I12" s="2">
        <v>4385403</v>
      </c>
      <c r="J12" s="40">
        <v>20440</v>
      </c>
      <c r="K12" s="40"/>
      <c r="L12" s="40">
        <f t="shared" ref="L12" si="0">SUM(I12:K12)</f>
        <v>4405843</v>
      </c>
      <c r="M12" s="34"/>
    </row>
    <row r="13" spans="1:13" ht="18.75">
      <c r="A13" s="1"/>
      <c r="B13" s="2"/>
      <c r="C13" s="1"/>
      <c r="D13" s="1" t="s">
        <v>18</v>
      </c>
      <c r="E13" s="2"/>
      <c r="F13" s="2"/>
      <c r="G13" s="2"/>
      <c r="H13" s="2"/>
      <c r="I13" s="86">
        <f>SUM(I11:I12)</f>
        <v>12714947</v>
      </c>
      <c r="J13" s="86">
        <f>SUM(J11:J12)</f>
        <v>580843</v>
      </c>
      <c r="K13" s="86">
        <f>SUM(K11:K12)</f>
        <v>0</v>
      </c>
      <c r="L13" s="86">
        <f>SUM(I13:K13)</f>
        <v>13295790</v>
      </c>
      <c r="M13" s="34"/>
    </row>
    <row r="14" spans="1:13" ht="18.75">
      <c r="A14" s="2"/>
      <c r="B14" s="2"/>
      <c r="C14" s="2"/>
      <c r="D14" s="2"/>
      <c r="E14" s="2"/>
      <c r="F14" s="2"/>
      <c r="G14" s="2"/>
      <c r="H14" s="2"/>
      <c r="I14" s="2"/>
      <c r="J14" s="2"/>
      <c r="K14" s="2"/>
      <c r="L14" s="2"/>
      <c r="M14" s="34"/>
    </row>
    <row r="15" spans="1:13" ht="18.75">
      <c r="A15" s="1" t="s">
        <v>49</v>
      </c>
      <c r="B15" s="2"/>
      <c r="C15" s="2"/>
      <c r="D15" s="2"/>
      <c r="E15" s="2"/>
      <c r="F15" s="2"/>
      <c r="G15" s="2"/>
      <c r="H15" s="2"/>
      <c r="I15" s="2"/>
      <c r="J15" s="2"/>
      <c r="K15" s="2"/>
      <c r="L15" s="2"/>
      <c r="M15" s="34"/>
    </row>
    <row r="16" spans="1:13" ht="18.75">
      <c r="A16" s="1" t="s">
        <v>113</v>
      </c>
      <c r="B16" s="2"/>
      <c r="C16" s="2"/>
      <c r="D16" s="2"/>
      <c r="E16" s="2"/>
      <c r="F16" s="2"/>
      <c r="G16" s="2"/>
      <c r="H16" s="2"/>
      <c r="I16" s="2"/>
      <c r="J16" s="40"/>
      <c r="K16" s="40"/>
      <c r="L16" s="40"/>
      <c r="M16" s="34"/>
    </row>
    <row r="17" spans="1:13" ht="18.75">
      <c r="A17" s="2"/>
      <c r="B17" s="2" t="s">
        <v>32</v>
      </c>
      <c r="C17" s="2"/>
      <c r="D17" s="2"/>
      <c r="E17" s="2"/>
      <c r="F17" s="2"/>
      <c r="G17" s="2"/>
      <c r="H17" s="2"/>
      <c r="I17" s="40">
        <v>-1383846</v>
      </c>
      <c r="J17" s="40">
        <v>-232621</v>
      </c>
      <c r="K17" s="40"/>
      <c r="L17" s="40">
        <f>SUM(I17:K17)</f>
        <v>-1616467</v>
      </c>
      <c r="M17" s="51">
        <f>L11+L17</f>
        <v>7273480</v>
      </c>
    </row>
    <row r="18" spans="1:13" ht="18.75">
      <c r="A18" s="2"/>
      <c r="B18" s="2" t="s">
        <v>419</v>
      </c>
      <c r="C18" s="2"/>
      <c r="D18" s="2"/>
      <c r="E18" s="2"/>
      <c r="F18" s="2"/>
      <c r="G18" s="2"/>
      <c r="H18" s="2"/>
      <c r="I18" s="40">
        <v>-3506888</v>
      </c>
      <c r="J18" s="40">
        <v>-261185</v>
      </c>
      <c r="K18" s="40"/>
      <c r="L18" s="40">
        <f t="shared" ref="L18" si="1">SUM(I18:K18)</f>
        <v>-3768073</v>
      </c>
      <c r="M18" s="51">
        <f>L12+L18</f>
        <v>637770</v>
      </c>
    </row>
    <row r="19" spans="1:13" ht="18.75">
      <c r="A19" s="1"/>
      <c r="B19" s="2"/>
      <c r="C19" s="1"/>
      <c r="D19" s="1" t="s">
        <v>20</v>
      </c>
      <c r="E19" s="2"/>
      <c r="F19" s="2"/>
      <c r="G19" s="2"/>
      <c r="H19" s="2"/>
      <c r="I19" s="76">
        <f>SUM(I17:I18)</f>
        <v>-4890734</v>
      </c>
      <c r="J19" s="76">
        <f>SUM(J17:J18)</f>
        <v>-493806</v>
      </c>
      <c r="K19" s="76">
        <f>SUM(K17:K18)</f>
        <v>0</v>
      </c>
      <c r="L19" s="76">
        <f>SUM(I19:K19)</f>
        <v>-5384540</v>
      </c>
      <c r="M19" s="34"/>
    </row>
    <row r="20" spans="1:13" ht="18.75">
      <c r="A20" s="2"/>
      <c r="B20" s="2"/>
      <c r="C20" s="2"/>
      <c r="D20" s="2"/>
      <c r="E20" s="2"/>
      <c r="F20" s="2"/>
      <c r="G20" s="2"/>
      <c r="H20" s="2"/>
      <c r="I20" s="2"/>
      <c r="J20" s="2"/>
      <c r="K20" s="2"/>
      <c r="L20" s="2"/>
      <c r="M20" s="34"/>
    </row>
    <row r="21" spans="1:13" ht="18.75">
      <c r="A21" s="1" t="s">
        <v>20</v>
      </c>
      <c r="B21" s="2"/>
      <c r="C21" s="1"/>
      <c r="D21" s="2"/>
      <c r="E21" s="2"/>
      <c r="F21" s="2"/>
      <c r="G21" s="2"/>
      <c r="H21" s="2"/>
      <c r="I21" s="76">
        <f>SUM(I13+I19)</f>
        <v>7824213</v>
      </c>
      <c r="J21" s="76">
        <f t="shared" ref="J21:L21" si="2">SUM(J13+J19)</f>
        <v>87037</v>
      </c>
      <c r="K21" s="76">
        <f t="shared" si="2"/>
        <v>0</v>
      </c>
      <c r="L21" s="76">
        <f t="shared" si="2"/>
        <v>7911250</v>
      </c>
      <c r="M21" s="34"/>
    </row>
    <row r="22" spans="1:13" ht="18.75">
      <c r="A22" s="1" t="s">
        <v>289</v>
      </c>
      <c r="B22" s="2"/>
      <c r="C22" s="1"/>
      <c r="D22" s="2"/>
      <c r="E22" s="2"/>
      <c r="F22" s="2"/>
      <c r="G22" s="2"/>
      <c r="H22" s="2"/>
      <c r="I22" s="76"/>
      <c r="J22" s="76"/>
      <c r="K22" s="76"/>
      <c r="L22" s="76"/>
      <c r="M22" s="34"/>
    </row>
    <row r="23" spans="1:13" ht="18.75">
      <c r="A23" s="1" t="s">
        <v>481</v>
      </c>
      <c r="B23" s="2"/>
      <c r="C23" s="1"/>
      <c r="D23" s="2"/>
      <c r="E23" s="2"/>
      <c r="F23" s="2"/>
      <c r="G23" s="2"/>
      <c r="H23" s="2"/>
      <c r="I23" s="76">
        <f>SUM(I21+I8)</f>
        <v>8567911</v>
      </c>
      <c r="J23" s="76">
        <f t="shared" ref="J23:L23" si="3">SUM(J21+J8)</f>
        <v>87037</v>
      </c>
      <c r="K23" s="76">
        <f t="shared" si="3"/>
        <v>0</v>
      </c>
      <c r="L23" s="76">
        <f t="shared" si="3"/>
        <v>8654948</v>
      </c>
      <c r="M23" s="51">
        <f>SUM(M8:M20)</f>
        <v>8654948</v>
      </c>
    </row>
  </sheetData>
  <mergeCells count="3">
    <mergeCell ref="D1:I1"/>
    <mergeCell ref="D2:I2"/>
    <mergeCell ref="D3:I3"/>
  </mergeCells>
  <pageMargins left="0.7" right="0.7" top="0.75" bottom="0.75" header="0.3" footer="0.3"/>
  <extLst>
    <ext xmlns:mx="http://schemas.microsoft.com/office/mac/excel/2008/main" uri="{64002731-A6B0-56B0-2670-7721B7C09600}">
      <mx:PLV Mode="0" OnePage="0" WScale="0"/>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S46"/>
  <sheetViews>
    <sheetView zoomScale="60" zoomScaleNormal="60" zoomScalePageLayoutView="60" workbookViewId="0">
      <selection activeCell="L49" sqref="L49"/>
    </sheetView>
  </sheetViews>
  <sheetFormatPr defaultColWidth="8.85546875" defaultRowHeight="15"/>
  <cols>
    <col min="2" max="2" width="13.140625" customWidth="1"/>
    <col min="3" max="3" width="10.28515625" customWidth="1"/>
    <col min="4" max="4" width="8.42578125" customWidth="1"/>
    <col min="10" max="10" width="18.28515625" bestFit="1" customWidth="1"/>
    <col min="11" max="11" width="15.28515625" bestFit="1" customWidth="1"/>
    <col min="12" max="12" width="17.85546875" customWidth="1"/>
    <col min="13" max="13" width="16.7109375" bestFit="1" customWidth="1"/>
    <col min="14" max="14" width="24.28515625" customWidth="1"/>
  </cols>
  <sheetData>
    <row r="1" spans="2:14" ht="18.75">
      <c r="B1" s="2"/>
      <c r="C1" s="2"/>
      <c r="D1" s="2"/>
      <c r="E1" s="136" t="s">
        <v>482</v>
      </c>
      <c r="F1" s="136"/>
      <c r="G1" s="136"/>
      <c r="H1" s="136"/>
      <c r="I1" s="136"/>
      <c r="J1" s="136"/>
      <c r="K1" s="2"/>
      <c r="L1" s="2"/>
      <c r="M1" s="2"/>
    </row>
    <row r="2" spans="2:14" ht="18.75">
      <c r="B2" s="2"/>
      <c r="C2" s="2"/>
      <c r="D2" s="2"/>
      <c r="E2" s="136" t="s">
        <v>1</v>
      </c>
      <c r="F2" s="136"/>
      <c r="G2" s="136"/>
      <c r="H2" s="136"/>
      <c r="I2" s="136"/>
      <c r="J2" s="136"/>
      <c r="K2" s="2"/>
      <c r="L2" s="2"/>
      <c r="M2" s="2"/>
    </row>
    <row r="3" spans="2:14" ht="18.75">
      <c r="B3" s="2"/>
      <c r="C3" s="2"/>
      <c r="D3" s="2"/>
      <c r="E3" s="136" t="s">
        <v>2</v>
      </c>
      <c r="F3" s="136"/>
      <c r="G3" s="136"/>
      <c r="H3" s="136"/>
      <c r="I3" s="136"/>
      <c r="J3" s="136"/>
      <c r="K3" s="2"/>
      <c r="L3" s="2"/>
      <c r="M3" s="2"/>
    </row>
    <row r="4" spans="2:14" ht="18.75">
      <c r="B4" s="2"/>
      <c r="C4" s="2"/>
      <c r="D4" s="2"/>
      <c r="E4" s="69"/>
      <c r="F4" s="69"/>
      <c r="G4" s="69"/>
      <c r="H4" s="69"/>
      <c r="I4" s="69"/>
      <c r="J4" s="69"/>
      <c r="K4" s="2"/>
      <c r="L4" s="2"/>
      <c r="M4" s="2"/>
    </row>
    <row r="5" spans="2:14" ht="37.5">
      <c r="B5" s="2"/>
      <c r="C5" s="2"/>
      <c r="D5" s="2"/>
      <c r="E5" s="2"/>
      <c r="F5" s="2"/>
      <c r="G5" s="2"/>
      <c r="H5" s="2"/>
      <c r="I5" s="2"/>
      <c r="J5" s="71" t="s">
        <v>62</v>
      </c>
      <c r="K5" s="71" t="s">
        <v>45</v>
      </c>
      <c r="L5" s="71" t="s">
        <v>483</v>
      </c>
      <c r="M5" s="71" t="s">
        <v>63</v>
      </c>
      <c r="N5" s="71" t="s">
        <v>7</v>
      </c>
    </row>
    <row r="6" spans="2:14" ht="18.75">
      <c r="B6" s="1" t="s">
        <v>9</v>
      </c>
      <c r="C6" s="1"/>
      <c r="D6" s="1"/>
      <c r="E6" s="1"/>
      <c r="F6" s="1"/>
      <c r="G6" s="1"/>
      <c r="H6" s="2"/>
      <c r="I6" s="2"/>
      <c r="J6" s="40"/>
      <c r="K6" s="40"/>
      <c r="L6" s="40"/>
      <c r="M6" s="40"/>
    </row>
    <row r="7" spans="2:14" ht="18.75">
      <c r="B7" s="2" t="s">
        <v>10</v>
      </c>
      <c r="C7" s="2"/>
      <c r="D7" s="2"/>
      <c r="E7" s="2"/>
      <c r="F7" s="2"/>
      <c r="G7" s="2"/>
      <c r="H7" s="2"/>
      <c r="I7" s="2"/>
      <c r="J7" s="40">
        <v>4988188</v>
      </c>
      <c r="K7" s="40">
        <v>1481815</v>
      </c>
      <c r="L7" s="40"/>
      <c r="M7" s="40">
        <f>SUM(J7:L7)</f>
        <v>6470003</v>
      </c>
      <c r="N7" s="58">
        <f>M7</f>
        <v>6470003</v>
      </c>
    </row>
    <row r="8" spans="2:14" ht="18.75">
      <c r="B8" s="2" t="s">
        <v>11</v>
      </c>
      <c r="C8" s="2"/>
      <c r="D8" s="2"/>
      <c r="E8" s="2"/>
      <c r="F8" s="2"/>
      <c r="G8" s="2"/>
      <c r="H8" s="2"/>
      <c r="I8" s="2"/>
      <c r="J8" s="40">
        <v>44105622</v>
      </c>
      <c r="K8" s="40">
        <v>26852469</v>
      </c>
      <c r="L8" s="40">
        <v>-13586222</v>
      </c>
      <c r="M8" s="40">
        <f>SUM(J8:L8)</f>
        <v>57371869</v>
      </c>
      <c r="N8" s="58">
        <f>M8</f>
        <v>57371869</v>
      </c>
    </row>
    <row r="9" spans="2:14" ht="18.75">
      <c r="B9" s="1"/>
      <c r="C9" s="1" t="s">
        <v>88</v>
      </c>
      <c r="D9" s="1"/>
      <c r="E9" s="1"/>
      <c r="F9" s="1"/>
      <c r="G9" s="1"/>
      <c r="H9" s="1"/>
      <c r="I9" s="1"/>
      <c r="J9" s="80">
        <f>SUM(J7:J8)</f>
        <v>49093810</v>
      </c>
      <c r="K9" s="80">
        <f>SUM(K7:K8)</f>
        <v>28334284</v>
      </c>
      <c r="L9" s="80">
        <f>SUM(L7:L8)</f>
        <v>-13586222</v>
      </c>
      <c r="M9" s="80">
        <f>SUM(M7:M8)</f>
        <v>63841872</v>
      </c>
    </row>
    <row r="10" spans="2:14" ht="18.75">
      <c r="B10" s="1" t="s">
        <v>371</v>
      </c>
      <c r="C10" s="2"/>
      <c r="D10" s="2"/>
      <c r="E10" s="2"/>
      <c r="F10" s="2"/>
      <c r="G10" s="2"/>
      <c r="H10" s="2"/>
      <c r="I10" s="2"/>
      <c r="J10" s="2"/>
      <c r="K10" s="2"/>
      <c r="L10" s="2"/>
      <c r="M10" s="2"/>
    </row>
    <row r="11" spans="2:14" ht="18.75">
      <c r="B11" s="2" t="s">
        <v>28</v>
      </c>
      <c r="C11" s="2"/>
      <c r="D11" s="2"/>
      <c r="E11" s="2"/>
      <c r="F11" s="2"/>
      <c r="G11" s="2"/>
      <c r="H11" s="2"/>
      <c r="I11" s="2"/>
      <c r="J11" s="2">
        <v>49731598</v>
      </c>
      <c r="K11" s="2">
        <v>3643337</v>
      </c>
      <c r="L11" s="2"/>
      <c r="M11" s="2">
        <f>SUM(J11:L11)</f>
        <v>53374935</v>
      </c>
    </row>
    <row r="12" spans="2:14" ht="18.75">
      <c r="B12" s="2" t="s">
        <v>33</v>
      </c>
      <c r="C12" s="2"/>
      <c r="D12" s="2"/>
      <c r="E12" s="2"/>
      <c r="F12" s="2"/>
      <c r="G12" s="2"/>
      <c r="H12" s="2"/>
      <c r="I12" s="2"/>
      <c r="J12" s="2">
        <v>62127101</v>
      </c>
      <c r="K12" s="2">
        <v>2850371</v>
      </c>
      <c r="L12" s="2">
        <v>-203307</v>
      </c>
      <c r="M12" s="2">
        <f>SUM(J12:L12)</f>
        <v>64774165</v>
      </c>
    </row>
    <row r="13" spans="2:14" ht="18.75">
      <c r="B13" s="2" t="s">
        <v>360</v>
      </c>
      <c r="C13" s="2"/>
      <c r="D13" s="2"/>
      <c r="E13" s="2"/>
      <c r="F13" s="2"/>
      <c r="G13" s="2"/>
      <c r="H13" s="2"/>
      <c r="I13" s="2"/>
      <c r="J13" s="2">
        <v>266071498</v>
      </c>
      <c r="K13" s="2">
        <v>15202926</v>
      </c>
      <c r="L13" s="2"/>
      <c r="M13" s="2">
        <f>SUM(J13:L13)</f>
        <v>281274424</v>
      </c>
    </row>
    <row r="14" spans="2:14" ht="18.75">
      <c r="B14" s="1"/>
      <c r="C14" s="1"/>
      <c r="D14" s="1" t="s">
        <v>18</v>
      </c>
      <c r="E14" s="1"/>
      <c r="F14" s="1"/>
      <c r="G14" s="2"/>
      <c r="H14" s="2"/>
      <c r="I14" s="2"/>
      <c r="J14" s="76">
        <f>SUM(J11:J13)</f>
        <v>377930197</v>
      </c>
      <c r="K14" s="76">
        <f>SUM(K11:K13)</f>
        <v>21696634</v>
      </c>
      <c r="L14" s="76">
        <f>SUM(L11:L13)</f>
        <v>-203307</v>
      </c>
      <c r="M14" s="76">
        <f>SUM(M11:M13)</f>
        <v>399423524</v>
      </c>
    </row>
    <row r="15" spans="2:14" ht="18.75">
      <c r="B15" s="1" t="s">
        <v>19</v>
      </c>
      <c r="C15" s="2"/>
      <c r="D15" s="2"/>
      <c r="E15" s="2"/>
      <c r="F15" s="2"/>
      <c r="G15" s="2"/>
      <c r="H15" s="2"/>
      <c r="I15" s="2"/>
      <c r="J15" s="2"/>
      <c r="K15" s="40"/>
      <c r="L15" s="40"/>
      <c r="M15" s="40"/>
    </row>
    <row r="16" spans="2:14" ht="18.75">
      <c r="B16" s="2" t="s">
        <v>28</v>
      </c>
      <c r="C16" s="2"/>
      <c r="D16" s="2"/>
      <c r="E16" s="2"/>
      <c r="F16" s="2"/>
      <c r="G16" s="2"/>
      <c r="H16" s="2"/>
      <c r="I16" s="2"/>
      <c r="J16" s="40">
        <v>-21302542</v>
      </c>
      <c r="K16" s="40">
        <v>-1277885</v>
      </c>
      <c r="L16" s="40"/>
      <c r="M16" s="40">
        <f>SUM(J16:L16)</f>
        <v>-22580427</v>
      </c>
      <c r="N16" s="58">
        <f>M11+M16</f>
        <v>30794508</v>
      </c>
    </row>
    <row r="17" spans="1:19" ht="18.75">
      <c r="B17" s="2" t="s">
        <v>33</v>
      </c>
      <c r="C17" s="2"/>
      <c r="D17" s="2"/>
      <c r="E17" s="2"/>
      <c r="F17" s="2"/>
      <c r="G17" s="2"/>
      <c r="H17" s="2"/>
      <c r="I17" s="2"/>
      <c r="J17" s="40">
        <v>-41432722</v>
      </c>
      <c r="K17" s="40">
        <v>-3193802</v>
      </c>
      <c r="L17" s="40">
        <v>203307</v>
      </c>
      <c r="M17" s="40">
        <f>SUM(J17:L17)</f>
        <v>-44423217</v>
      </c>
      <c r="N17" s="58">
        <f>M12+M17</f>
        <v>20350948</v>
      </c>
    </row>
    <row r="18" spans="1:19" ht="18.75">
      <c r="B18" s="2" t="s">
        <v>360</v>
      </c>
      <c r="C18" s="2"/>
      <c r="D18" s="2"/>
      <c r="E18" s="2"/>
      <c r="F18" s="2"/>
      <c r="G18" s="2"/>
      <c r="H18" s="2"/>
      <c r="I18" s="2"/>
      <c r="J18" s="40">
        <v>-66562976</v>
      </c>
      <c r="K18" s="40">
        <v>-7857284</v>
      </c>
      <c r="L18" s="40"/>
      <c r="M18" s="40">
        <f>SUM(J18:L18)</f>
        <v>-74420260</v>
      </c>
      <c r="N18" s="58">
        <f>M13+M18</f>
        <v>206854164</v>
      </c>
    </row>
    <row r="19" spans="1:19" ht="18.75">
      <c r="B19" s="1"/>
      <c r="C19" s="1"/>
      <c r="D19" s="1" t="s">
        <v>20</v>
      </c>
      <c r="E19" s="1"/>
      <c r="F19" s="2"/>
      <c r="G19" s="2"/>
      <c r="H19" s="2"/>
      <c r="I19" s="2"/>
      <c r="J19" s="76">
        <f>SUM(J16:J18)</f>
        <v>-129298240</v>
      </c>
      <c r="K19" s="76">
        <f>SUM(K16:K18)</f>
        <v>-12328971</v>
      </c>
      <c r="L19" s="76">
        <f>SUM(L16:L18)</f>
        <v>203307</v>
      </c>
      <c r="M19" s="76">
        <f>SUM(M16:M18)</f>
        <v>-141423904</v>
      </c>
    </row>
    <row r="20" spans="1:19" ht="18.75">
      <c r="B20" s="1" t="s">
        <v>21</v>
      </c>
      <c r="C20" s="1"/>
      <c r="D20" s="1"/>
      <c r="E20" s="1"/>
      <c r="F20" s="2"/>
      <c r="G20" s="2"/>
      <c r="H20" s="2"/>
      <c r="I20" s="2"/>
      <c r="J20" s="76">
        <f>SUM(J14+J19)</f>
        <v>248631957</v>
      </c>
      <c r="K20" s="76">
        <f t="shared" ref="K20:M20" si="0">SUM(K14+K19)</f>
        <v>9367663</v>
      </c>
      <c r="L20" s="76">
        <f t="shared" si="0"/>
        <v>0</v>
      </c>
      <c r="M20" s="76">
        <f t="shared" si="0"/>
        <v>257999620</v>
      </c>
    </row>
    <row r="21" spans="1:19" ht="18.75">
      <c r="B21" s="1" t="s">
        <v>421</v>
      </c>
      <c r="C21" s="1"/>
      <c r="D21" s="1"/>
      <c r="E21" s="1"/>
      <c r="F21" s="2"/>
      <c r="G21" s="2"/>
      <c r="H21" s="2"/>
      <c r="I21" s="2"/>
      <c r="J21" s="76">
        <f>SUM(J9+J14+J19)</f>
        <v>297725767</v>
      </c>
      <c r="K21" s="76">
        <f t="shared" ref="K21:M21" si="1">SUM(K9+K14+K19)</f>
        <v>37701947</v>
      </c>
      <c r="L21" s="76">
        <f t="shared" si="1"/>
        <v>-13586222</v>
      </c>
      <c r="M21" s="76">
        <f t="shared" si="1"/>
        <v>321841492</v>
      </c>
      <c r="N21" s="58">
        <f>SUM(N7:N19)</f>
        <v>321841492</v>
      </c>
    </row>
    <row r="22" spans="1:19" ht="18.75">
      <c r="B22" s="1"/>
      <c r="C22" s="1"/>
      <c r="D22" s="1"/>
      <c r="E22" s="1"/>
      <c r="F22" s="2"/>
      <c r="G22" s="2"/>
      <c r="H22" s="2"/>
      <c r="I22" s="2"/>
      <c r="J22" s="87"/>
      <c r="K22" s="87"/>
      <c r="L22" s="87"/>
      <c r="M22" s="87"/>
    </row>
    <row r="23" spans="1:19" ht="18.75">
      <c r="B23" s="1"/>
      <c r="C23" s="1"/>
      <c r="D23" s="1"/>
      <c r="E23" s="1"/>
      <c r="F23" s="2"/>
      <c r="G23" s="2"/>
      <c r="H23" s="2"/>
      <c r="I23" s="2"/>
      <c r="J23" s="87"/>
      <c r="K23" s="87"/>
      <c r="L23" s="87"/>
      <c r="M23" s="87"/>
    </row>
    <row r="24" spans="1:19" ht="18.75">
      <c r="A24" s="57" t="s">
        <v>402</v>
      </c>
      <c r="B24" s="34"/>
      <c r="C24" s="34"/>
      <c r="D24" s="34"/>
      <c r="E24" s="34"/>
      <c r="F24" s="34"/>
      <c r="G24" s="34"/>
      <c r="H24" s="34"/>
      <c r="I24" s="34"/>
      <c r="J24" s="34"/>
      <c r="K24" s="34"/>
      <c r="L24" s="34"/>
      <c r="M24" s="34"/>
      <c r="N24" s="34"/>
      <c r="O24" s="34"/>
      <c r="P24" s="34"/>
      <c r="Q24" s="34"/>
      <c r="R24" s="34"/>
      <c r="S24" s="34"/>
    </row>
    <row r="25" spans="1:19" ht="18.75">
      <c r="B25" s="1" t="s">
        <v>9</v>
      </c>
      <c r="C25" s="1"/>
      <c r="D25" s="1"/>
      <c r="E25" s="1"/>
      <c r="F25" s="1"/>
      <c r="G25" s="1"/>
      <c r="H25" s="2"/>
      <c r="I25" s="2"/>
      <c r="J25" s="40"/>
      <c r="K25" s="40"/>
      <c r="L25" s="40"/>
      <c r="M25" s="40"/>
    </row>
    <row r="26" spans="1:19" ht="18.75">
      <c r="B26" s="2" t="s">
        <v>10</v>
      </c>
      <c r="C26" s="2"/>
      <c r="D26" s="2"/>
      <c r="E26" s="2"/>
      <c r="F26" s="2"/>
      <c r="G26" s="2"/>
      <c r="H26" s="2"/>
      <c r="I26" s="2"/>
      <c r="J26" s="40">
        <v>3767923</v>
      </c>
      <c r="K26" s="40"/>
      <c r="L26" s="40">
        <v>-75000</v>
      </c>
      <c r="M26" s="40">
        <f>SUM(J26:L26)</f>
        <v>3692923</v>
      </c>
      <c r="N26" s="58">
        <f>M26</f>
        <v>3692923</v>
      </c>
    </row>
    <row r="27" spans="1:19" ht="18.75">
      <c r="B27" s="2" t="s">
        <v>11</v>
      </c>
      <c r="C27" s="2"/>
      <c r="D27" s="2"/>
      <c r="E27" s="2"/>
      <c r="F27" s="2"/>
      <c r="G27" s="2"/>
      <c r="H27" s="2"/>
      <c r="I27" s="2"/>
      <c r="J27" s="40">
        <v>11900470</v>
      </c>
      <c r="K27" s="40">
        <v>4371934</v>
      </c>
      <c r="L27" s="40">
        <v>-13486537</v>
      </c>
      <c r="M27" s="40">
        <f>SUM(J27:L27)</f>
        <v>2785867</v>
      </c>
      <c r="N27" s="58">
        <f>M27</f>
        <v>2785867</v>
      </c>
    </row>
    <row r="28" spans="1:19" ht="18.75">
      <c r="B28" s="1"/>
      <c r="C28" s="1" t="s">
        <v>88</v>
      </c>
      <c r="D28" s="1"/>
      <c r="E28" s="1"/>
      <c r="F28" s="1"/>
      <c r="G28" s="1"/>
      <c r="H28" s="1"/>
      <c r="I28" s="1"/>
      <c r="J28" s="80">
        <f>SUM(J26:J27)</f>
        <v>15668393</v>
      </c>
      <c r="K28" s="80">
        <f>SUM(K26:K27)</f>
        <v>4371934</v>
      </c>
      <c r="L28" s="80">
        <f>SUM(L26:L27)</f>
        <v>-13561537</v>
      </c>
      <c r="M28" s="80">
        <f>SUM(J28:L28)</f>
        <v>6478790</v>
      </c>
    </row>
    <row r="29" spans="1:19" ht="18.75">
      <c r="B29" s="1" t="s">
        <v>371</v>
      </c>
      <c r="C29" s="2"/>
      <c r="D29" s="2"/>
      <c r="E29" s="2"/>
      <c r="F29" s="2"/>
      <c r="G29" s="2"/>
      <c r="H29" s="2"/>
      <c r="I29" s="2"/>
      <c r="J29" s="2"/>
      <c r="K29" s="2"/>
      <c r="L29" s="2"/>
      <c r="M29" s="2"/>
    </row>
    <row r="30" spans="1:19" ht="18.75">
      <c r="B30" s="2" t="s">
        <v>484</v>
      </c>
      <c r="C30" s="2"/>
      <c r="D30" s="2"/>
      <c r="E30" s="2"/>
      <c r="F30" s="2"/>
      <c r="G30" s="2"/>
      <c r="H30" s="2"/>
      <c r="I30" s="2"/>
      <c r="J30" s="2">
        <v>98846543</v>
      </c>
      <c r="K30" s="2">
        <v>2732823</v>
      </c>
      <c r="L30" s="2"/>
      <c r="M30" s="2">
        <f t="shared" ref="M30:M35" si="2">SUM(J30:L30)</f>
        <v>101579366</v>
      </c>
    </row>
    <row r="31" spans="1:19" ht="18.75">
      <c r="B31" s="2" t="s">
        <v>485</v>
      </c>
      <c r="C31" s="2"/>
      <c r="D31" s="2"/>
      <c r="E31" s="2"/>
      <c r="F31" s="2"/>
      <c r="G31" s="2"/>
      <c r="H31" s="2"/>
      <c r="I31" s="2"/>
      <c r="J31" s="2">
        <v>30483768</v>
      </c>
      <c r="K31" s="2">
        <v>413574</v>
      </c>
      <c r="L31" s="2">
        <v>-20442</v>
      </c>
      <c r="M31" s="2">
        <f t="shared" si="2"/>
        <v>30876900</v>
      </c>
    </row>
    <row r="32" spans="1:19" ht="18.75">
      <c r="B32" s="2" t="s">
        <v>486</v>
      </c>
      <c r="C32" s="2"/>
      <c r="D32" s="2"/>
      <c r="E32" s="2"/>
      <c r="F32" s="2"/>
      <c r="G32" s="2"/>
      <c r="H32" s="2"/>
      <c r="I32" s="2"/>
      <c r="J32" s="2">
        <v>122038036</v>
      </c>
      <c r="K32" s="2">
        <v>14649646</v>
      </c>
      <c r="L32" s="2">
        <v>-25518</v>
      </c>
      <c r="M32" s="2">
        <f t="shared" si="2"/>
        <v>136662164</v>
      </c>
    </row>
    <row r="33" spans="2:14" ht="18.75">
      <c r="B33" s="2" t="s">
        <v>487</v>
      </c>
      <c r="C33" s="2"/>
      <c r="D33" s="2"/>
      <c r="E33" s="2"/>
      <c r="F33" s="2"/>
      <c r="G33" s="2"/>
      <c r="H33" s="2"/>
      <c r="I33" s="2"/>
      <c r="J33" s="2">
        <v>8591365</v>
      </c>
      <c r="K33" s="40">
        <v>15422</v>
      </c>
      <c r="L33" s="40"/>
      <c r="M33" s="2">
        <f t="shared" si="2"/>
        <v>8606787</v>
      </c>
    </row>
    <row r="34" spans="2:14" ht="18.75">
      <c r="B34" s="2" t="s">
        <v>488</v>
      </c>
      <c r="C34" s="2"/>
      <c r="D34" s="2"/>
      <c r="E34" s="2"/>
      <c r="F34" s="2"/>
      <c r="G34" s="2"/>
      <c r="H34" s="2"/>
      <c r="I34" s="2"/>
      <c r="J34" s="2">
        <v>19284926</v>
      </c>
      <c r="K34" s="40">
        <v>11760</v>
      </c>
      <c r="L34" s="40"/>
      <c r="M34" s="2">
        <f t="shared" si="2"/>
        <v>19296686</v>
      </c>
    </row>
    <row r="35" spans="2:14" ht="18.75">
      <c r="B35" s="2" t="s">
        <v>15</v>
      </c>
      <c r="C35" s="2"/>
      <c r="D35" s="2"/>
      <c r="E35" s="2"/>
      <c r="F35" s="2"/>
      <c r="G35" s="2"/>
      <c r="H35" s="2"/>
      <c r="I35" s="2"/>
      <c r="J35" s="2">
        <v>8365837</v>
      </c>
      <c r="K35" s="40">
        <v>359928</v>
      </c>
      <c r="L35" s="40"/>
      <c r="M35" s="2">
        <f t="shared" si="2"/>
        <v>8725765</v>
      </c>
    </row>
    <row r="36" spans="2:14" ht="18.75">
      <c r="B36" s="1"/>
      <c r="C36" s="1"/>
      <c r="D36" s="1" t="s">
        <v>18</v>
      </c>
      <c r="E36" s="1"/>
      <c r="F36" s="1"/>
      <c r="G36" s="2"/>
      <c r="H36" s="2"/>
      <c r="I36" s="2"/>
      <c r="J36" s="76">
        <f>SUM(J30:J35)</f>
        <v>287610475</v>
      </c>
      <c r="K36" s="76">
        <f>SUM(K30:K35)</f>
        <v>18183153</v>
      </c>
      <c r="L36" s="76">
        <f>SUM(L30:L35)</f>
        <v>-45960</v>
      </c>
      <c r="M36" s="76">
        <f>SUM(M30:M35)</f>
        <v>305747668</v>
      </c>
    </row>
    <row r="37" spans="2:14" ht="18.75">
      <c r="B37" s="1" t="s">
        <v>19</v>
      </c>
      <c r="C37" s="2"/>
      <c r="D37" s="2"/>
      <c r="E37" s="2"/>
      <c r="F37" s="2"/>
      <c r="G37" s="2"/>
      <c r="H37" s="2"/>
      <c r="I37" s="2"/>
      <c r="J37" s="2"/>
      <c r="K37" s="40"/>
      <c r="L37" s="40"/>
      <c r="M37" s="40"/>
    </row>
    <row r="38" spans="2:14" ht="18.75">
      <c r="B38" s="2" t="s">
        <v>484</v>
      </c>
      <c r="C38" s="2"/>
      <c r="D38" s="2"/>
      <c r="E38" s="2"/>
      <c r="F38" s="2"/>
      <c r="G38" s="2"/>
      <c r="H38" s="2"/>
      <c r="I38" s="2"/>
      <c r="J38" s="40">
        <v>-68533348</v>
      </c>
      <c r="K38" s="40">
        <v>-2215489</v>
      </c>
      <c r="L38" s="40"/>
      <c r="M38" s="40">
        <f t="shared" ref="M38:M44" si="3">SUM(J38:L38)</f>
        <v>-70748837</v>
      </c>
      <c r="N38" s="106">
        <f t="shared" ref="N38:N43" si="4">M30+M38</f>
        <v>30830529</v>
      </c>
    </row>
    <row r="39" spans="2:14" ht="18.75">
      <c r="B39" s="2" t="s">
        <v>485</v>
      </c>
      <c r="C39" s="2"/>
      <c r="D39" s="2"/>
      <c r="E39" s="2"/>
      <c r="F39" s="2"/>
      <c r="G39" s="2"/>
      <c r="H39" s="2"/>
      <c r="I39" s="2"/>
      <c r="J39" s="40">
        <v>-14440087</v>
      </c>
      <c r="K39" s="40">
        <v>-1091906</v>
      </c>
      <c r="L39" s="40">
        <v>20442</v>
      </c>
      <c r="M39" s="40">
        <f t="shared" si="3"/>
        <v>-15511551</v>
      </c>
      <c r="N39" s="106">
        <f t="shared" si="4"/>
        <v>15365349</v>
      </c>
    </row>
    <row r="40" spans="2:14" ht="18.75">
      <c r="B40" s="2" t="s">
        <v>486</v>
      </c>
      <c r="C40" s="2"/>
      <c r="D40" s="2"/>
      <c r="E40" s="2"/>
      <c r="F40" s="2"/>
      <c r="G40" s="2"/>
      <c r="H40" s="2"/>
      <c r="I40" s="2"/>
      <c r="J40" s="40">
        <v>-54883444</v>
      </c>
      <c r="K40" s="40">
        <v>-3082540</v>
      </c>
      <c r="L40" s="40">
        <v>25518</v>
      </c>
      <c r="M40" s="40">
        <f t="shared" si="3"/>
        <v>-57940466</v>
      </c>
      <c r="N40" s="106">
        <f t="shared" si="4"/>
        <v>78721698</v>
      </c>
    </row>
    <row r="41" spans="2:14" ht="18.75">
      <c r="B41" s="2" t="s">
        <v>489</v>
      </c>
      <c r="C41" s="2"/>
      <c r="D41" s="2"/>
      <c r="E41" s="2"/>
      <c r="F41" s="2"/>
      <c r="G41" s="2"/>
      <c r="H41" s="2"/>
      <c r="I41" s="2"/>
      <c r="J41" s="40">
        <v>-1156295</v>
      </c>
      <c r="K41" s="40">
        <v>-221884</v>
      </c>
      <c r="L41" s="40"/>
      <c r="M41" s="40">
        <f t="shared" si="3"/>
        <v>-1378179</v>
      </c>
      <c r="N41" s="106">
        <f t="shared" si="4"/>
        <v>7228608</v>
      </c>
    </row>
    <row r="42" spans="2:14" ht="18.75">
      <c r="B42" s="2" t="s">
        <v>488</v>
      </c>
      <c r="C42" s="2"/>
      <c r="D42" s="2"/>
      <c r="E42" s="2"/>
      <c r="F42" s="2"/>
      <c r="G42" s="2"/>
      <c r="H42" s="2"/>
      <c r="I42" s="2"/>
      <c r="J42" s="40">
        <v>-7889182</v>
      </c>
      <c r="K42" s="40">
        <v>-516853</v>
      </c>
      <c r="L42" s="40"/>
      <c r="M42" s="40">
        <f t="shared" si="3"/>
        <v>-8406035</v>
      </c>
      <c r="N42" s="58">
        <f t="shared" si="4"/>
        <v>10890651</v>
      </c>
    </row>
    <row r="43" spans="2:14" ht="18.75">
      <c r="B43" s="2" t="s">
        <v>15</v>
      </c>
      <c r="C43" s="2"/>
      <c r="D43" s="2"/>
      <c r="E43" s="2"/>
      <c r="F43" s="2"/>
      <c r="G43" s="2"/>
      <c r="H43" s="2"/>
      <c r="I43" s="2"/>
      <c r="J43" s="40">
        <v>-5273391</v>
      </c>
      <c r="K43" s="40">
        <v>-333331</v>
      </c>
      <c r="L43" s="40"/>
      <c r="M43" s="40">
        <f t="shared" si="3"/>
        <v>-5606722</v>
      </c>
      <c r="N43" s="58">
        <f t="shared" si="4"/>
        <v>3119043</v>
      </c>
    </row>
    <row r="44" spans="2:14" ht="18.75">
      <c r="B44" s="1"/>
      <c r="C44" s="1"/>
      <c r="D44" s="1" t="s">
        <v>20</v>
      </c>
      <c r="E44" s="1"/>
      <c r="F44" s="2"/>
      <c r="G44" s="2"/>
      <c r="H44" s="2"/>
      <c r="I44" s="2"/>
      <c r="J44" s="76">
        <f>SUM(J38:J43)</f>
        <v>-152175747</v>
      </c>
      <c r="K44" s="76">
        <f>SUM(K38:K43)</f>
        <v>-7462003</v>
      </c>
      <c r="L44" s="76">
        <f>SUM(L38:L43)</f>
        <v>45960</v>
      </c>
      <c r="M44" s="76">
        <f t="shared" si="3"/>
        <v>-159591790</v>
      </c>
    </row>
    <row r="45" spans="2:14" ht="18.75">
      <c r="B45" s="1" t="s">
        <v>490</v>
      </c>
      <c r="C45" s="1"/>
      <c r="D45" s="1"/>
      <c r="E45" s="1"/>
      <c r="F45" s="2"/>
      <c r="G45" s="2"/>
      <c r="H45" s="2"/>
      <c r="I45" s="2"/>
      <c r="J45" s="76">
        <f>SUM(J36+J44)</f>
        <v>135434728</v>
      </c>
      <c r="K45" s="76">
        <f t="shared" ref="K45:M45" si="5">SUM(K36+K44)</f>
        <v>10721150</v>
      </c>
      <c r="L45" s="76">
        <f t="shared" si="5"/>
        <v>0</v>
      </c>
      <c r="M45" s="76">
        <f t="shared" si="5"/>
        <v>146155878</v>
      </c>
    </row>
    <row r="46" spans="2:14" ht="18.75">
      <c r="B46" s="1" t="s">
        <v>422</v>
      </c>
      <c r="C46" s="1"/>
      <c r="D46" s="1"/>
      <c r="E46" s="1"/>
      <c r="F46" s="2"/>
      <c r="G46" s="2"/>
      <c r="H46" s="2"/>
      <c r="I46" s="2"/>
      <c r="J46" s="76">
        <f>SUM(J28+J36+J44)</f>
        <v>151103121</v>
      </c>
      <c r="K46" s="76">
        <f t="shared" ref="K46:M46" si="6">SUM(K28+K36+K44)</f>
        <v>15093084</v>
      </c>
      <c r="L46" s="76">
        <f t="shared" si="6"/>
        <v>-13561537</v>
      </c>
      <c r="M46" s="76">
        <f t="shared" si="6"/>
        <v>152634668</v>
      </c>
      <c r="N46" s="58">
        <f>SUM(N26:N43)</f>
        <v>152634668</v>
      </c>
    </row>
  </sheetData>
  <mergeCells count="3">
    <mergeCell ref="E1:J1"/>
    <mergeCell ref="E2:J2"/>
    <mergeCell ref="E3:J3"/>
  </mergeCells>
  <pageMargins left="0.7" right="0.7" top="0.75" bottom="0.75" header="0.3" footer="0.3"/>
  <extLst>
    <ext xmlns:mx="http://schemas.microsoft.com/office/mac/excel/2008/main" uri="{64002731-A6B0-56B0-2670-7721B7C09600}">
      <mx:PLV Mode="0" OnePage="0" WScale="0"/>
    </ext>
  </extLs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M43"/>
  <sheetViews>
    <sheetView zoomScale="70" zoomScaleNormal="70" zoomScalePageLayoutView="70" workbookViewId="0">
      <selection activeCell="X41" sqref="X41"/>
    </sheetView>
  </sheetViews>
  <sheetFormatPr defaultColWidth="8.85546875" defaultRowHeight="15"/>
  <cols>
    <col min="2" max="2" width="5.7109375" customWidth="1"/>
    <col min="9" max="9" width="17.42578125" customWidth="1"/>
    <col min="10" max="10" width="14.28515625" bestFit="1" customWidth="1"/>
    <col min="11" max="11" width="13.7109375" bestFit="1" customWidth="1"/>
    <col min="12" max="13" width="20.42578125" customWidth="1"/>
  </cols>
  <sheetData>
    <row r="1" spans="1:13" ht="18.75">
      <c r="A1" s="2"/>
      <c r="B1" s="2"/>
      <c r="C1" s="2"/>
      <c r="D1" s="136" t="s">
        <v>491</v>
      </c>
      <c r="E1" s="136"/>
      <c r="F1" s="136"/>
      <c r="G1" s="136"/>
      <c r="H1" s="136"/>
      <c r="I1" s="136"/>
      <c r="J1" s="2"/>
      <c r="K1" s="2"/>
      <c r="L1" s="2"/>
    </row>
    <row r="2" spans="1:13" ht="18.75">
      <c r="A2" s="2"/>
      <c r="B2" s="2"/>
      <c r="C2" s="2"/>
      <c r="D2" s="136" t="s">
        <v>1</v>
      </c>
      <c r="E2" s="136"/>
      <c r="F2" s="136"/>
      <c r="G2" s="136"/>
      <c r="H2" s="136"/>
      <c r="I2" s="136"/>
      <c r="J2" s="2"/>
      <c r="K2" s="2"/>
      <c r="L2" s="2"/>
    </row>
    <row r="3" spans="1:13" ht="18.75">
      <c r="A3" s="2"/>
      <c r="B3" s="2"/>
      <c r="C3" s="2"/>
      <c r="D3" s="136" t="s">
        <v>2</v>
      </c>
      <c r="E3" s="136"/>
      <c r="F3" s="136"/>
      <c r="G3" s="136"/>
      <c r="H3" s="136"/>
      <c r="I3" s="136"/>
      <c r="J3" s="2"/>
      <c r="K3" s="2"/>
      <c r="L3" s="2"/>
    </row>
    <row r="4" spans="1:13" ht="18.75">
      <c r="A4" s="2"/>
      <c r="B4" s="2"/>
      <c r="C4" s="2"/>
      <c r="D4" s="69"/>
      <c r="E4" s="69"/>
      <c r="F4" s="69"/>
      <c r="G4" s="69"/>
      <c r="H4" s="69"/>
      <c r="I4" s="69"/>
      <c r="J4" s="2"/>
      <c r="K4" s="2"/>
      <c r="L4" s="2"/>
    </row>
    <row r="5" spans="1:13" ht="37.5">
      <c r="A5" s="2"/>
      <c r="B5" s="2"/>
      <c r="C5" s="2"/>
      <c r="D5" s="2"/>
      <c r="E5" s="2"/>
      <c r="F5" s="2"/>
      <c r="G5" s="2"/>
      <c r="H5" s="2"/>
      <c r="I5" s="71" t="s">
        <v>3</v>
      </c>
      <c r="J5" s="71" t="s">
        <v>45</v>
      </c>
      <c r="K5" s="71" t="s">
        <v>46</v>
      </c>
      <c r="L5" s="71" t="s">
        <v>6</v>
      </c>
      <c r="M5" s="71" t="s">
        <v>7</v>
      </c>
    </row>
    <row r="6" spans="1:13" ht="18.75">
      <c r="A6" s="1" t="s">
        <v>367</v>
      </c>
      <c r="B6" s="1"/>
      <c r="C6" s="1"/>
      <c r="D6" s="1"/>
      <c r="E6" s="1"/>
      <c r="F6" s="1"/>
      <c r="G6" s="2"/>
      <c r="H6" s="2"/>
      <c r="I6" s="2"/>
      <c r="J6" s="2"/>
      <c r="K6" s="2"/>
      <c r="L6" s="2"/>
    </row>
    <row r="7" spans="1:13" ht="18.75">
      <c r="A7" s="1" t="s">
        <v>9</v>
      </c>
      <c r="B7" s="1"/>
      <c r="C7" s="1"/>
      <c r="D7" s="1"/>
      <c r="E7" s="1"/>
      <c r="F7" s="1"/>
      <c r="G7" s="2"/>
      <c r="H7" s="2"/>
      <c r="I7" s="40"/>
      <c r="J7" s="40"/>
      <c r="K7" s="40"/>
      <c r="L7" s="40"/>
    </row>
    <row r="8" spans="1:13" ht="18.75">
      <c r="A8" s="2"/>
      <c r="B8" s="2" t="s">
        <v>10</v>
      </c>
      <c r="C8" s="2"/>
      <c r="D8" s="2"/>
      <c r="E8" s="2"/>
      <c r="F8" s="2"/>
      <c r="G8" s="2"/>
      <c r="H8" s="2"/>
      <c r="I8" s="40">
        <v>760833</v>
      </c>
      <c r="J8" s="40">
        <v>202055</v>
      </c>
      <c r="K8" s="40"/>
      <c r="L8" s="40">
        <f>SUM(I8:K8)</f>
        <v>962888</v>
      </c>
      <c r="M8" s="51">
        <f>L8</f>
        <v>962888</v>
      </c>
    </row>
    <row r="9" spans="1:13" ht="18.75">
      <c r="A9" s="2"/>
      <c r="B9" s="2" t="s">
        <v>11</v>
      </c>
      <c r="C9" s="2"/>
      <c r="D9" s="2"/>
      <c r="E9" s="2"/>
      <c r="F9" s="2"/>
      <c r="G9" s="2"/>
      <c r="H9" s="2"/>
      <c r="I9" s="2">
        <v>1119052</v>
      </c>
      <c r="J9" s="2"/>
      <c r="K9" s="2">
        <v>-1119052</v>
      </c>
      <c r="L9" s="40">
        <f>SUM(I9:K9)</f>
        <v>0</v>
      </c>
      <c r="M9" s="51">
        <f>L9</f>
        <v>0</v>
      </c>
    </row>
    <row r="10" spans="1:13" ht="18.75">
      <c r="A10" s="1"/>
      <c r="B10" s="1"/>
      <c r="C10" s="1" t="s">
        <v>68</v>
      </c>
      <c r="D10" s="1"/>
      <c r="E10" s="1"/>
      <c r="F10" s="1"/>
      <c r="G10" s="1"/>
      <c r="H10" s="1"/>
      <c r="I10" s="85">
        <f>SUM(I8:I9)</f>
        <v>1879885</v>
      </c>
      <c r="J10" s="85">
        <f>SUM(J8:J9)</f>
        <v>202055</v>
      </c>
      <c r="K10" s="85">
        <f>SUM(K8:K9)</f>
        <v>-1119052</v>
      </c>
      <c r="L10" s="85">
        <f>SUM(L8:L9)</f>
        <v>962888</v>
      </c>
      <c r="M10" s="34"/>
    </row>
    <row r="11" spans="1:13" ht="18.75">
      <c r="A11" s="2"/>
      <c r="B11" s="2"/>
      <c r="C11" s="2"/>
      <c r="D11" s="2"/>
      <c r="E11" s="2"/>
      <c r="F11" s="2"/>
      <c r="G11" s="2"/>
      <c r="H11" s="2"/>
      <c r="I11" s="2"/>
      <c r="J11" s="2"/>
      <c r="K11" s="2"/>
      <c r="L11" s="2"/>
      <c r="M11" s="34"/>
    </row>
    <row r="12" spans="1:13" ht="18.75">
      <c r="A12" s="1" t="s">
        <v>371</v>
      </c>
      <c r="B12" s="2"/>
      <c r="C12" s="2"/>
      <c r="D12" s="2"/>
      <c r="E12" s="2"/>
      <c r="F12" s="2"/>
      <c r="G12" s="2"/>
      <c r="H12" s="2"/>
      <c r="I12" s="2"/>
      <c r="J12" s="2"/>
      <c r="K12" s="2"/>
      <c r="L12" s="2"/>
      <c r="M12" s="34"/>
    </row>
    <row r="13" spans="1:13" ht="18.75">
      <c r="A13" s="2"/>
      <c r="B13" s="2" t="s">
        <v>103</v>
      </c>
      <c r="C13" s="2"/>
      <c r="D13" s="2"/>
      <c r="E13" s="2"/>
      <c r="F13" s="2"/>
      <c r="G13" s="2"/>
      <c r="H13" s="2"/>
      <c r="I13" s="2">
        <v>1793309</v>
      </c>
      <c r="J13" s="40"/>
      <c r="K13" s="40"/>
      <c r="L13" s="40">
        <f>SUM(I13:K13)</f>
        <v>1793309</v>
      </c>
      <c r="M13" s="34"/>
    </row>
    <row r="14" spans="1:13" ht="18.75">
      <c r="A14" s="2"/>
      <c r="B14" s="2" t="s">
        <v>14</v>
      </c>
      <c r="C14" s="2"/>
      <c r="D14" s="2"/>
      <c r="E14" s="2"/>
      <c r="F14" s="2"/>
      <c r="G14" s="2"/>
      <c r="H14" s="2"/>
      <c r="I14" s="2">
        <v>9278634</v>
      </c>
      <c r="J14" s="40">
        <v>6771</v>
      </c>
      <c r="K14" s="40"/>
      <c r="L14" s="40">
        <f t="shared" ref="L14:L23" si="0">SUM(I14:K14)</f>
        <v>9285405</v>
      </c>
      <c r="M14" s="34"/>
    </row>
    <row r="15" spans="1:13" ht="18.75">
      <c r="A15" s="2"/>
      <c r="B15" s="2" t="s">
        <v>492</v>
      </c>
      <c r="C15" s="2"/>
      <c r="D15" s="2"/>
      <c r="E15" s="2"/>
      <c r="F15" s="2"/>
      <c r="G15" s="2"/>
      <c r="H15" s="2"/>
      <c r="I15" s="2">
        <v>678680</v>
      </c>
      <c r="J15" s="40">
        <v>1159405</v>
      </c>
      <c r="K15" s="40"/>
      <c r="L15" s="40">
        <f t="shared" si="0"/>
        <v>1838085</v>
      </c>
      <c r="M15" s="34"/>
    </row>
    <row r="16" spans="1:13" ht="18.75">
      <c r="A16" s="2"/>
      <c r="B16" s="2" t="s">
        <v>493</v>
      </c>
      <c r="C16" s="2"/>
      <c r="D16" s="2"/>
      <c r="E16" s="2"/>
      <c r="F16" s="2"/>
      <c r="G16" s="2"/>
      <c r="H16" s="2"/>
      <c r="I16" s="2">
        <v>1885608</v>
      </c>
      <c r="J16" s="40"/>
      <c r="K16" s="40"/>
      <c r="L16" s="40">
        <f t="shared" si="0"/>
        <v>1885608</v>
      </c>
      <c r="M16" s="34"/>
    </row>
    <row r="17" spans="1:13" ht="18.75">
      <c r="A17" s="2"/>
      <c r="B17" s="2" t="s">
        <v>104</v>
      </c>
      <c r="C17" s="2"/>
      <c r="D17" s="2"/>
      <c r="E17" s="2"/>
      <c r="F17" s="2"/>
      <c r="G17" s="2"/>
      <c r="H17" s="2"/>
      <c r="I17" s="2">
        <v>6497122</v>
      </c>
      <c r="J17" s="40">
        <v>537771</v>
      </c>
      <c r="K17" s="40">
        <v>-263283</v>
      </c>
      <c r="L17" s="40">
        <f t="shared" si="0"/>
        <v>6771610</v>
      </c>
      <c r="M17" s="34"/>
    </row>
    <row r="18" spans="1:13" ht="18.75">
      <c r="A18" s="2"/>
      <c r="B18" s="2" t="s">
        <v>30</v>
      </c>
      <c r="C18" s="2"/>
      <c r="D18" s="2"/>
      <c r="E18" s="2"/>
      <c r="F18" s="2"/>
      <c r="G18" s="2"/>
      <c r="H18" s="2"/>
      <c r="I18" s="2">
        <v>2279003</v>
      </c>
      <c r="J18" s="40">
        <v>135395</v>
      </c>
      <c r="K18" s="40">
        <v>-282440</v>
      </c>
      <c r="L18" s="40">
        <f t="shared" si="0"/>
        <v>2131958</v>
      </c>
      <c r="M18" s="34"/>
    </row>
    <row r="19" spans="1:13" ht="18.75">
      <c r="A19" s="2"/>
      <c r="B19" s="2" t="s">
        <v>72</v>
      </c>
      <c r="C19" s="2"/>
      <c r="D19" s="2"/>
      <c r="E19" s="2"/>
      <c r="F19" s="2"/>
      <c r="G19" s="2"/>
      <c r="H19" s="2"/>
      <c r="I19" s="2">
        <v>699030</v>
      </c>
      <c r="J19" s="40"/>
      <c r="K19" s="40"/>
      <c r="L19" s="40">
        <f t="shared" si="0"/>
        <v>699030</v>
      </c>
      <c r="M19" s="34"/>
    </row>
    <row r="20" spans="1:13" ht="18.75">
      <c r="A20" s="2"/>
      <c r="B20" s="2" t="s">
        <v>265</v>
      </c>
      <c r="C20" s="2"/>
      <c r="D20" s="2"/>
      <c r="E20" s="2"/>
      <c r="F20" s="2"/>
      <c r="G20" s="2"/>
      <c r="H20" s="2"/>
      <c r="I20" s="2"/>
      <c r="J20" s="40"/>
      <c r="K20" s="40"/>
      <c r="L20" s="40"/>
      <c r="M20" s="34"/>
    </row>
    <row r="21" spans="1:13" ht="18.75">
      <c r="A21" s="2"/>
      <c r="B21" s="2"/>
      <c r="C21" s="2" t="s">
        <v>106</v>
      </c>
      <c r="D21" s="2"/>
      <c r="E21" s="2"/>
      <c r="F21" s="2"/>
      <c r="G21" s="2"/>
      <c r="H21" s="2"/>
      <c r="I21" s="2">
        <v>227302</v>
      </c>
      <c r="J21" s="40"/>
      <c r="K21" s="40"/>
      <c r="L21" s="40">
        <f t="shared" si="0"/>
        <v>227302</v>
      </c>
      <c r="M21" s="34"/>
    </row>
    <row r="22" spans="1:13" ht="18.75">
      <c r="A22" s="2"/>
      <c r="B22" s="2"/>
      <c r="C22" s="2" t="s">
        <v>494</v>
      </c>
      <c r="D22" s="2"/>
      <c r="E22" s="2"/>
      <c r="F22" s="2"/>
      <c r="G22" s="2"/>
      <c r="H22" s="2"/>
      <c r="I22" s="2">
        <v>192815</v>
      </c>
      <c r="J22" s="40"/>
      <c r="K22" s="40">
        <v>-87285</v>
      </c>
      <c r="L22" s="40">
        <f t="shared" si="0"/>
        <v>105530</v>
      </c>
      <c r="M22" s="34"/>
    </row>
    <row r="23" spans="1:13" ht="18.75">
      <c r="A23" s="2"/>
      <c r="B23" s="2"/>
      <c r="C23" s="2" t="s">
        <v>72</v>
      </c>
      <c r="D23" s="2"/>
      <c r="E23" s="2"/>
      <c r="F23" s="2"/>
      <c r="G23" s="2"/>
      <c r="H23" s="2"/>
      <c r="I23" s="2">
        <v>128378</v>
      </c>
      <c r="J23" s="40"/>
      <c r="K23" s="40"/>
      <c r="L23" s="40">
        <f t="shared" si="0"/>
        <v>128378</v>
      </c>
      <c r="M23" s="34"/>
    </row>
    <row r="24" spans="1:13" ht="18.75">
      <c r="A24" s="2"/>
      <c r="B24" s="2"/>
      <c r="C24" s="2" t="s">
        <v>107</v>
      </c>
      <c r="D24" s="2"/>
      <c r="E24" s="2"/>
      <c r="F24" s="2"/>
      <c r="G24" s="2"/>
      <c r="H24" s="2"/>
      <c r="I24" s="2">
        <v>705171</v>
      </c>
      <c r="J24" s="40">
        <v>69432</v>
      </c>
      <c r="K24" s="40">
        <v>-34253</v>
      </c>
      <c r="L24" s="40">
        <f>SUM(I24:K24)</f>
        <v>740350</v>
      </c>
      <c r="M24" s="34"/>
    </row>
    <row r="25" spans="1:13" ht="18.75">
      <c r="A25" s="2"/>
      <c r="B25" s="2"/>
      <c r="C25" s="1" t="s">
        <v>18</v>
      </c>
      <c r="D25" s="2"/>
      <c r="E25" s="2"/>
      <c r="F25" s="2"/>
      <c r="G25" s="2"/>
      <c r="H25" s="2"/>
      <c r="I25" s="86">
        <f>SUM(I13:I24)</f>
        <v>24365052</v>
      </c>
      <c r="J25" s="86">
        <f>SUM(J13:J24)</f>
        <v>1908774</v>
      </c>
      <c r="K25" s="86">
        <f>SUM(K13:K24)</f>
        <v>-667261</v>
      </c>
      <c r="L25" s="86">
        <f>SUM(L13:L24)</f>
        <v>25606565</v>
      </c>
      <c r="M25" s="34"/>
    </row>
    <row r="26" spans="1:13" ht="18.75">
      <c r="A26" s="2"/>
      <c r="B26" s="2"/>
      <c r="C26" s="2"/>
      <c r="D26" s="2"/>
      <c r="E26" s="2"/>
      <c r="F26" s="2"/>
      <c r="G26" s="2"/>
      <c r="H26" s="2"/>
      <c r="I26" s="2"/>
      <c r="J26" s="2"/>
      <c r="K26" s="2"/>
      <c r="L26" s="2"/>
      <c r="M26" s="34"/>
    </row>
    <row r="27" spans="1:13" ht="18.75">
      <c r="A27" s="1" t="s">
        <v>376</v>
      </c>
      <c r="B27" s="2"/>
      <c r="C27" s="2"/>
      <c r="D27" s="2"/>
      <c r="E27" s="2"/>
      <c r="F27" s="2"/>
      <c r="G27" s="2"/>
      <c r="H27" s="2"/>
      <c r="I27" s="2"/>
      <c r="J27" s="40"/>
      <c r="K27" s="40"/>
      <c r="L27" s="40"/>
      <c r="M27" s="34"/>
    </row>
    <row r="28" spans="1:13" ht="18.75">
      <c r="A28" s="2"/>
      <c r="B28" s="2" t="s">
        <v>103</v>
      </c>
      <c r="C28" s="2"/>
      <c r="D28" s="2"/>
      <c r="E28" s="2"/>
      <c r="F28" s="2"/>
      <c r="G28" s="2"/>
      <c r="H28" s="2"/>
      <c r="I28" s="40">
        <v>595351</v>
      </c>
      <c r="J28" s="40">
        <v>59349</v>
      </c>
      <c r="K28" s="40"/>
      <c r="L28" s="40">
        <f>SUM(I28:K28)</f>
        <v>654700</v>
      </c>
      <c r="M28" s="51">
        <f>L13-L28</f>
        <v>1138609</v>
      </c>
    </row>
    <row r="29" spans="1:13" ht="18.75">
      <c r="A29" s="2"/>
      <c r="B29" s="2" t="s">
        <v>14</v>
      </c>
      <c r="C29" s="2"/>
      <c r="D29" s="2"/>
      <c r="E29" s="2"/>
      <c r="F29" s="2"/>
      <c r="G29" s="2"/>
      <c r="H29" s="2"/>
      <c r="I29" s="40">
        <v>4032116</v>
      </c>
      <c r="J29" s="40">
        <v>231400</v>
      </c>
      <c r="K29" s="40"/>
      <c r="L29" s="40">
        <f t="shared" ref="L29:L38" si="1">SUM(I29:K29)</f>
        <v>4263516</v>
      </c>
      <c r="M29" s="51">
        <f t="shared" ref="M29:M38" si="2">L14-L29</f>
        <v>5021889</v>
      </c>
    </row>
    <row r="30" spans="1:13" ht="18.75">
      <c r="A30" s="2"/>
      <c r="B30" s="2" t="s">
        <v>492</v>
      </c>
      <c r="C30" s="2"/>
      <c r="D30" s="2"/>
      <c r="E30" s="2"/>
      <c r="F30" s="2"/>
      <c r="G30" s="2"/>
      <c r="H30" s="2"/>
      <c r="I30" s="40">
        <v>6992</v>
      </c>
      <c r="J30" s="40">
        <v>62184</v>
      </c>
      <c r="K30" s="40"/>
      <c r="L30" s="40">
        <f t="shared" si="1"/>
        <v>69176</v>
      </c>
      <c r="M30" s="51">
        <f t="shared" si="2"/>
        <v>1768909</v>
      </c>
    </row>
    <row r="31" spans="1:13" ht="18.75">
      <c r="A31" s="2"/>
      <c r="B31" s="2" t="s">
        <v>493</v>
      </c>
      <c r="C31" s="2"/>
      <c r="D31" s="2"/>
      <c r="E31" s="2"/>
      <c r="F31" s="2"/>
      <c r="G31" s="2"/>
      <c r="H31" s="2"/>
      <c r="I31" s="40">
        <v>1119446</v>
      </c>
      <c r="J31" s="40">
        <v>102633</v>
      </c>
      <c r="K31" s="40"/>
      <c r="L31" s="40">
        <f t="shared" si="1"/>
        <v>1222079</v>
      </c>
      <c r="M31" s="51">
        <f t="shared" si="2"/>
        <v>663529</v>
      </c>
    </row>
    <row r="32" spans="1:13" ht="18.75">
      <c r="A32" s="2"/>
      <c r="B32" s="2" t="s">
        <v>104</v>
      </c>
      <c r="C32" s="2"/>
      <c r="D32" s="2"/>
      <c r="E32" s="2"/>
      <c r="F32" s="2"/>
      <c r="G32" s="2"/>
      <c r="H32" s="2"/>
      <c r="I32" s="40">
        <v>4540029</v>
      </c>
      <c r="J32" s="40">
        <v>336814</v>
      </c>
      <c r="K32" s="40">
        <v>-263283</v>
      </c>
      <c r="L32" s="40">
        <f t="shared" si="1"/>
        <v>4613560</v>
      </c>
      <c r="M32" s="51">
        <f t="shared" si="2"/>
        <v>2158050</v>
      </c>
    </row>
    <row r="33" spans="1:13" ht="18.75">
      <c r="A33" s="2"/>
      <c r="B33" s="2" t="s">
        <v>30</v>
      </c>
      <c r="C33" s="2"/>
      <c r="D33" s="2"/>
      <c r="E33" s="2"/>
      <c r="F33" s="2"/>
      <c r="G33" s="2"/>
      <c r="H33" s="2"/>
      <c r="I33" s="40">
        <v>2054332</v>
      </c>
      <c r="J33" s="40">
        <v>99042</v>
      </c>
      <c r="K33" s="40">
        <v>-282440</v>
      </c>
      <c r="L33" s="40">
        <f t="shared" si="1"/>
        <v>1870934</v>
      </c>
      <c r="M33" s="51">
        <f t="shared" si="2"/>
        <v>261024</v>
      </c>
    </row>
    <row r="34" spans="1:13" ht="18.75">
      <c r="A34" s="2"/>
      <c r="B34" s="2" t="s">
        <v>72</v>
      </c>
      <c r="C34" s="2"/>
      <c r="D34" s="2"/>
      <c r="E34" s="2"/>
      <c r="F34" s="2"/>
      <c r="G34" s="2"/>
      <c r="H34" s="2"/>
      <c r="I34" s="40">
        <v>658654</v>
      </c>
      <c r="J34" s="40">
        <v>12314</v>
      </c>
      <c r="K34" s="40"/>
      <c r="L34" s="40">
        <f t="shared" si="1"/>
        <v>670968</v>
      </c>
      <c r="M34" s="51">
        <f t="shared" si="2"/>
        <v>28062</v>
      </c>
    </row>
    <row r="35" spans="1:13" ht="18.75">
      <c r="A35" s="2"/>
      <c r="B35" s="2" t="s">
        <v>265</v>
      </c>
      <c r="C35" s="2"/>
      <c r="D35" s="2"/>
      <c r="E35" s="2"/>
      <c r="F35" s="2"/>
      <c r="G35" s="2"/>
      <c r="H35" s="2"/>
      <c r="I35" s="40"/>
      <c r="J35" s="40"/>
      <c r="K35" s="40"/>
      <c r="L35" s="40"/>
      <c r="M35" s="51"/>
    </row>
    <row r="36" spans="1:13" ht="18.75">
      <c r="A36" s="2"/>
      <c r="B36" s="2"/>
      <c r="C36" s="2" t="s">
        <v>106</v>
      </c>
      <c r="D36" s="2"/>
      <c r="E36" s="2"/>
      <c r="F36" s="2"/>
      <c r="G36" s="2"/>
      <c r="H36" s="2"/>
      <c r="I36" s="40">
        <v>186532</v>
      </c>
      <c r="J36" s="40">
        <v>4227</v>
      </c>
      <c r="K36" s="40"/>
      <c r="L36" s="40">
        <f t="shared" si="1"/>
        <v>190759</v>
      </c>
      <c r="M36" s="51">
        <f t="shared" si="2"/>
        <v>36543</v>
      </c>
    </row>
    <row r="37" spans="1:13" ht="18.75">
      <c r="A37" s="2"/>
      <c r="B37" s="2"/>
      <c r="C37" s="2" t="s">
        <v>494</v>
      </c>
      <c r="D37" s="2"/>
      <c r="E37" s="2"/>
      <c r="F37" s="2"/>
      <c r="G37" s="2"/>
      <c r="H37" s="2"/>
      <c r="I37" s="40">
        <v>140050</v>
      </c>
      <c r="J37" s="40">
        <v>10553</v>
      </c>
      <c r="K37" s="40">
        <v>-87285</v>
      </c>
      <c r="L37" s="40">
        <f t="shared" si="1"/>
        <v>63318</v>
      </c>
      <c r="M37" s="51">
        <f t="shared" si="2"/>
        <v>42212</v>
      </c>
    </row>
    <row r="38" spans="1:13" ht="18.75">
      <c r="A38" s="2"/>
      <c r="B38" s="2"/>
      <c r="C38" s="2" t="s">
        <v>72</v>
      </c>
      <c r="D38" s="2"/>
      <c r="E38" s="2"/>
      <c r="F38" s="2"/>
      <c r="G38" s="2"/>
      <c r="H38" s="2"/>
      <c r="I38" s="40">
        <v>127123</v>
      </c>
      <c r="J38" s="40">
        <v>1255</v>
      </c>
      <c r="K38" s="40"/>
      <c r="L38" s="40">
        <f t="shared" si="1"/>
        <v>128378</v>
      </c>
      <c r="M38" s="51">
        <f t="shared" si="2"/>
        <v>0</v>
      </c>
    </row>
    <row r="39" spans="1:13" ht="18.75">
      <c r="A39" s="2"/>
      <c r="B39" s="2"/>
      <c r="C39" s="2" t="s">
        <v>107</v>
      </c>
      <c r="D39" s="2"/>
      <c r="E39" s="2"/>
      <c r="F39" s="2"/>
      <c r="G39" s="2"/>
      <c r="H39" s="2"/>
      <c r="I39" s="40">
        <v>576465</v>
      </c>
      <c r="J39" s="40">
        <v>51963</v>
      </c>
      <c r="K39" s="40">
        <v>-34253</v>
      </c>
      <c r="L39" s="40">
        <f>SUM(I39:K39)</f>
        <v>594175</v>
      </c>
      <c r="M39" s="51">
        <f>L24-L39</f>
        <v>146175</v>
      </c>
    </row>
    <row r="40" spans="1:13" ht="18.75">
      <c r="A40" s="1"/>
      <c r="B40" s="2"/>
      <c r="C40" s="1" t="s">
        <v>20</v>
      </c>
      <c r="D40" s="2"/>
      <c r="E40" s="2"/>
      <c r="F40" s="2"/>
      <c r="G40" s="2"/>
      <c r="H40" s="2"/>
      <c r="I40" s="76">
        <f>SUM(I28:I39)</f>
        <v>14037090</v>
      </c>
      <c r="J40" s="76">
        <f>SUM(J28:J39)</f>
        <v>971734</v>
      </c>
      <c r="K40" s="76">
        <f>SUM(K28:K39)</f>
        <v>-667261</v>
      </c>
      <c r="L40" s="76">
        <f>SUM(L28:L39)</f>
        <v>14341563</v>
      </c>
      <c r="M40" s="34"/>
    </row>
    <row r="41" spans="1:13" ht="18.75">
      <c r="A41" s="2"/>
      <c r="B41" s="2"/>
      <c r="C41" s="2"/>
      <c r="D41" s="2"/>
      <c r="E41" s="2"/>
      <c r="F41" s="2"/>
      <c r="G41" s="2"/>
      <c r="H41" s="2"/>
      <c r="I41" s="2"/>
      <c r="J41" s="2"/>
      <c r="K41" s="2"/>
      <c r="L41" s="2"/>
      <c r="M41" s="34"/>
    </row>
    <row r="42" spans="1:13" ht="18.75">
      <c r="A42" s="1" t="s">
        <v>445</v>
      </c>
      <c r="B42" s="2"/>
      <c r="C42" s="1"/>
      <c r="D42" s="2"/>
      <c r="E42" s="2"/>
      <c r="F42" s="2"/>
      <c r="G42" s="2"/>
      <c r="H42" s="2"/>
      <c r="I42" s="76">
        <f>I25-I40</f>
        <v>10327962</v>
      </c>
      <c r="J42" s="76">
        <f t="shared" ref="J42:L42" si="3">J25-J40</f>
        <v>937040</v>
      </c>
      <c r="K42" s="76">
        <f t="shared" si="3"/>
        <v>0</v>
      </c>
      <c r="L42" s="76">
        <f t="shared" si="3"/>
        <v>11265002</v>
      </c>
      <c r="M42" s="34"/>
    </row>
    <row r="43" spans="1:13" ht="18.75">
      <c r="A43" s="1" t="s">
        <v>114</v>
      </c>
      <c r="B43" s="2"/>
      <c r="C43" s="1"/>
      <c r="D43" s="2"/>
      <c r="E43" s="2"/>
      <c r="F43" s="2"/>
      <c r="G43" s="2"/>
      <c r="H43" s="2"/>
      <c r="I43" s="76">
        <f>I10+I42</f>
        <v>12207847</v>
      </c>
      <c r="J43" s="76">
        <f>J10+J42</f>
        <v>1139095</v>
      </c>
      <c r="K43" s="76">
        <f>K10+K42</f>
        <v>-1119052</v>
      </c>
      <c r="L43" s="76">
        <f>L10+L42</f>
        <v>12227890</v>
      </c>
      <c r="M43" s="51">
        <f>SUM(M8:M41)</f>
        <v>12227890</v>
      </c>
    </row>
  </sheetData>
  <mergeCells count="3">
    <mergeCell ref="D1:I1"/>
    <mergeCell ref="D2:I2"/>
    <mergeCell ref="D3:I3"/>
  </mergeCells>
  <pageMargins left="0.7" right="0.7" top="0.75" bottom="0.75" header="0.3" footer="0.3"/>
  <extLst>
    <ext xmlns:mx="http://schemas.microsoft.com/office/mac/excel/2008/main" uri="{64002731-A6B0-56B0-2670-7721B7C09600}">
      <mx:PLV Mode="0" OnePage="0" WScale="0"/>
    </ext>
  </extLs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M32"/>
  <sheetViews>
    <sheetView zoomScale="80" zoomScaleNormal="80" zoomScalePageLayoutView="80" workbookViewId="0">
      <selection activeCell="I11" sqref="I11"/>
    </sheetView>
  </sheetViews>
  <sheetFormatPr defaultColWidth="8.85546875" defaultRowHeight="15"/>
  <cols>
    <col min="9" max="9" width="17.42578125" customWidth="1"/>
    <col min="10" max="10" width="14.28515625" bestFit="1" customWidth="1"/>
    <col min="11" max="11" width="13.7109375" bestFit="1" customWidth="1"/>
    <col min="12" max="13" width="20.42578125" customWidth="1"/>
  </cols>
  <sheetData>
    <row r="1" spans="1:13" ht="18.75">
      <c r="A1" s="2"/>
      <c r="B1" s="2"/>
      <c r="C1" s="2"/>
      <c r="D1" s="136" t="s">
        <v>495</v>
      </c>
      <c r="E1" s="136"/>
      <c r="F1" s="136"/>
      <c r="G1" s="136"/>
      <c r="H1" s="136"/>
      <c r="I1" s="136"/>
      <c r="J1" s="2"/>
      <c r="K1" s="2"/>
      <c r="L1" s="2"/>
    </row>
    <row r="2" spans="1:13" ht="18.75">
      <c r="A2" s="2"/>
      <c r="B2" s="2"/>
      <c r="C2" s="2"/>
      <c r="D2" s="136" t="s">
        <v>1</v>
      </c>
      <c r="E2" s="136"/>
      <c r="F2" s="136"/>
      <c r="G2" s="136"/>
      <c r="H2" s="136"/>
      <c r="I2" s="136"/>
      <c r="J2" s="2"/>
      <c r="K2" s="2"/>
      <c r="L2" s="2"/>
    </row>
    <row r="3" spans="1:13" ht="18.75">
      <c r="A3" s="2"/>
      <c r="B3" s="2"/>
      <c r="C3" s="2"/>
      <c r="D3" s="136" t="s">
        <v>2</v>
      </c>
      <c r="E3" s="136"/>
      <c r="F3" s="136"/>
      <c r="G3" s="136"/>
      <c r="H3" s="136"/>
      <c r="I3" s="136"/>
      <c r="J3" s="2"/>
      <c r="K3" s="2"/>
      <c r="L3" s="2"/>
    </row>
    <row r="4" spans="1:13" ht="18.75">
      <c r="A4" s="2"/>
      <c r="B4" s="2"/>
      <c r="C4" s="2"/>
      <c r="D4" s="69"/>
      <c r="E4" s="69"/>
      <c r="F4" s="69"/>
      <c r="G4" s="69"/>
      <c r="H4" s="69"/>
      <c r="I4" s="69"/>
      <c r="J4" s="2"/>
      <c r="K4" s="2"/>
      <c r="L4" s="2"/>
    </row>
    <row r="5" spans="1:13" ht="37.5">
      <c r="A5" s="2"/>
      <c r="B5" s="2"/>
      <c r="C5" s="2"/>
      <c r="D5" s="2"/>
      <c r="E5" s="2"/>
      <c r="F5" s="2"/>
      <c r="G5" s="2"/>
      <c r="H5" s="2"/>
      <c r="I5" s="71" t="s">
        <v>496</v>
      </c>
      <c r="J5" s="71" t="s">
        <v>4</v>
      </c>
      <c r="K5" s="71" t="s">
        <v>5</v>
      </c>
      <c r="L5" s="71" t="s">
        <v>497</v>
      </c>
      <c r="M5" s="71" t="s">
        <v>7</v>
      </c>
    </row>
    <row r="6" spans="1:13" ht="18.75">
      <c r="A6" s="1" t="s">
        <v>498</v>
      </c>
      <c r="B6" s="2"/>
      <c r="C6" s="2"/>
      <c r="D6" s="2"/>
      <c r="E6" s="2"/>
      <c r="F6" s="2"/>
      <c r="G6" s="2"/>
      <c r="H6" s="2"/>
      <c r="I6" s="79"/>
      <c r="J6" s="79"/>
      <c r="K6" s="79"/>
      <c r="L6" s="79"/>
    </row>
    <row r="7" spans="1:13" ht="18.75">
      <c r="A7" s="1" t="s">
        <v>9</v>
      </c>
      <c r="B7" s="1"/>
      <c r="C7" s="1"/>
      <c r="D7" s="1"/>
      <c r="E7" s="1"/>
      <c r="F7" s="1"/>
      <c r="G7" s="2"/>
      <c r="H7" s="2"/>
      <c r="I7" s="40"/>
      <c r="J7" s="40"/>
      <c r="K7" s="40"/>
      <c r="L7" s="40"/>
    </row>
    <row r="8" spans="1:13" ht="18.75">
      <c r="A8" s="1"/>
      <c r="B8" s="1" t="s">
        <v>499</v>
      </c>
      <c r="C8" s="1"/>
      <c r="D8" s="1"/>
      <c r="E8" s="1"/>
      <c r="F8" s="1"/>
      <c r="G8" s="2"/>
      <c r="H8" s="2"/>
      <c r="I8" s="40"/>
      <c r="J8" s="40"/>
      <c r="K8" s="40"/>
      <c r="L8" s="40"/>
    </row>
    <row r="9" spans="1:13" ht="18.75">
      <c r="A9" s="2"/>
      <c r="B9" s="2" t="s">
        <v>10</v>
      </c>
      <c r="C9" s="2"/>
      <c r="D9" s="2"/>
      <c r="E9" s="2"/>
      <c r="F9" s="2"/>
      <c r="G9" s="2"/>
      <c r="H9" s="2"/>
      <c r="I9" s="40">
        <v>1893204</v>
      </c>
      <c r="J9" s="40">
        <v>434192</v>
      </c>
      <c r="K9" s="40"/>
      <c r="L9" s="40">
        <f>SUM(I9:K9)</f>
        <v>2327396</v>
      </c>
      <c r="M9" s="51">
        <f>L9</f>
        <v>2327396</v>
      </c>
    </row>
    <row r="10" spans="1:13" ht="18.75">
      <c r="A10" s="2"/>
      <c r="B10" s="2" t="s">
        <v>11</v>
      </c>
      <c r="C10" s="2"/>
      <c r="D10" s="2"/>
      <c r="E10" s="2"/>
      <c r="F10" s="2"/>
      <c r="G10" s="2"/>
      <c r="H10" s="2"/>
      <c r="I10" s="2">
        <v>3747744</v>
      </c>
      <c r="J10" s="2">
        <v>2496772</v>
      </c>
      <c r="K10" s="2">
        <v>-3287878</v>
      </c>
      <c r="L10" s="40">
        <f>SUM(I10:K10)</f>
        <v>2956638</v>
      </c>
      <c r="M10" s="51">
        <f>L10</f>
        <v>2956638</v>
      </c>
    </row>
    <row r="11" spans="1:13" ht="18.75">
      <c r="A11" s="1"/>
      <c r="B11" s="1"/>
      <c r="C11" s="1" t="s">
        <v>68</v>
      </c>
      <c r="D11" s="1"/>
      <c r="E11" s="1"/>
      <c r="F11" s="1"/>
      <c r="G11" s="1"/>
      <c r="H11" s="1"/>
      <c r="I11" s="85">
        <f>SUM(I9:I10)</f>
        <v>5640948</v>
      </c>
      <c r="J11" s="85">
        <f>SUM(J9:J10)</f>
        <v>2930964</v>
      </c>
      <c r="K11" s="85">
        <f>SUM(K9:K10)</f>
        <v>-3287878</v>
      </c>
      <c r="L11" s="85">
        <f>SUM(L9:L10)</f>
        <v>5284034</v>
      </c>
      <c r="M11" s="34"/>
    </row>
    <row r="12" spans="1:13" ht="18.75">
      <c r="A12" s="2"/>
      <c r="B12" s="2"/>
      <c r="C12" s="2"/>
      <c r="D12" s="2"/>
      <c r="E12" s="2"/>
      <c r="F12" s="2"/>
      <c r="G12" s="2"/>
      <c r="H12" s="2"/>
      <c r="I12" s="2"/>
      <c r="J12" s="2"/>
      <c r="K12" s="2"/>
      <c r="L12" s="2"/>
      <c r="M12" s="34"/>
    </row>
    <row r="13" spans="1:13" ht="18.75">
      <c r="A13" s="1" t="s">
        <v>371</v>
      </c>
      <c r="B13" s="2"/>
      <c r="C13" s="2"/>
      <c r="D13" s="2"/>
      <c r="E13" s="2"/>
      <c r="F13" s="2"/>
      <c r="G13" s="2"/>
      <c r="H13" s="2"/>
      <c r="I13" s="2"/>
      <c r="J13" s="2"/>
      <c r="K13" s="2"/>
      <c r="L13" s="2"/>
      <c r="M13" s="34"/>
    </row>
    <row r="14" spans="1:13" ht="18.75">
      <c r="A14" s="1"/>
      <c r="B14" s="2" t="s">
        <v>500</v>
      </c>
      <c r="C14" s="2"/>
      <c r="D14" s="2"/>
      <c r="E14" s="2"/>
      <c r="F14" s="2"/>
      <c r="G14" s="2"/>
      <c r="H14" s="2"/>
      <c r="I14" s="2"/>
      <c r="J14" s="2"/>
      <c r="K14" s="2"/>
      <c r="L14" s="2"/>
      <c r="M14" s="34"/>
    </row>
    <row r="15" spans="1:13" ht="18.75">
      <c r="A15" s="2"/>
      <c r="B15" s="2"/>
      <c r="C15" s="2" t="s">
        <v>14</v>
      </c>
      <c r="D15" s="2"/>
      <c r="E15" s="2"/>
      <c r="F15" s="2"/>
      <c r="G15" s="2"/>
      <c r="H15" s="2"/>
      <c r="I15" s="2">
        <v>19689083</v>
      </c>
      <c r="J15" s="40">
        <v>59261</v>
      </c>
      <c r="K15" s="40"/>
      <c r="L15" s="40">
        <f>SUM(I15:K15)</f>
        <v>19748344</v>
      </c>
      <c r="M15" s="34"/>
    </row>
    <row r="16" spans="1:13" ht="18.75">
      <c r="A16" s="2"/>
      <c r="B16" s="2"/>
      <c r="C16" s="2" t="s">
        <v>69</v>
      </c>
      <c r="D16" s="2"/>
      <c r="E16" s="2"/>
      <c r="F16" s="2"/>
      <c r="G16" s="2"/>
      <c r="H16" s="2"/>
      <c r="I16" s="2">
        <v>23749110</v>
      </c>
      <c r="J16" s="40">
        <v>883673</v>
      </c>
      <c r="K16" s="40">
        <v>-2924706</v>
      </c>
      <c r="L16" s="40">
        <f>SUM(I16:K16)</f>
        <v>21708077</v>
      </c>
      <c r="M16" s="34"/>
    </row>
    <row r="17" spans="1:13" ht="18.75">
      <c r="A17" s="2"/>
      <c r="B17" s="2" t="s">
        <v>360</v>
      </c>
      <c r="C17" s="2"/>
      <c r="D17" s="2"/>
      <c r="E17" s="2"/>
      <c r="F17" s="2"/>
      <c r="G17" s="2"/>
      <c r="H17" s="2"/>
      <c r="I17" s="2"/>
      <c r="J17" s="40"/>
      <c r="K17" s="40"/>
      <c r="L17" s="40"/>
      <c r="M17" s="34"/>
    </row>
    <row r="18" spans="1:13" ht="18.75">
      <c r="A18" s="2"/>
      <c r="B18" s="2"/>
      <c r="C18" s="2" t="s">
        <v>501</v>
      </c>
      <c r="D18" s="2"/>
      <c r="E18" s="2"/>
      <c r="F18" s="2"/>
      <c r="G18" s="2"/>
      <c r="H18" s="2"/>
      <c r="I18" s="2">
        <v>134347023</v>
      </c>
      <c r="J18" s="40">
        <v>1246503</v>
      </c>
      <c r="K18" s="40"/>
      <c r="L18" s="40">
        <f>SUM(I18:K18)</f>
        <v>135593526</v>
      </c>
      <c r="M18" s="34"/>
    </row>
    <row r="19" spans="1:13" ht="18.75">
      <c r="A19" s="2"/>
      <c r="B19" s="2"/>
      <c r="C19" s="2" t="s">
        <v>502</v>
      </c>
      <c r="D19" s="2"/>
      <c r="E19" s="2"/>
      <c r="F19" s="2"/>
      <c r="G19" s="2"/>
      <c r="H19" s="2"/>
      <c r="I19" s="2">
        <v>14509678</v>
      </c>
      <c r="J19" s="40">
        <v>2628332</v>
      </c>
      <c r="K19" s="40"/>
      <c r="L19" s="40">
        <f>SUM(I19:K19)</f>
        <v>17138010</v>
      </c>
      <c r="M19" s="34"/>
    </row>
    <row r="20" spans="1:13" ht="18.75">
      <c r="A20" s="2"/>
      <c r="B20" s="2"/>
      <c r="C20" s="1" t="s">
        <v>18</v>
      </c>
      <c r="D20" s="2"/>
      <c r="E20" s="2"/>
      <c r="F20" s="2"/>
      <c r="G20" s="2"/>
      <c r="H20" s="2"/>
      <c r="I20" s="86">
        <f>SUM(I15:I19)</f>
        <v>192294894</v>
      </c>
      <c r="J20" s="86">
        <f>SUM(J15:J19)</f>
        <v>4817769</v>
      </c>
      <c r="K20" s="86">
        <f>SUM(K15:K19)</f>
        <v>-2924706</v>
      </c>
      <c r="L20" s="86">
        <f>SUM(L15:L19)</f>
        <v>194187957</v>
      </c>
      <c r="M20" s="34"/>
    </row>
    <row r="21" spans="1:13" ht="18.75">
      <c r="A21" s="2"/>
      <c r="B21" s="2"/>
      <c r="C21" s="2"/>
      <c r="D21" s="2"/>
      <c r="E21" s="2"/>
      <c r="F21" s="2"/>
      <c r="G21" s="2"/>
      <c r="H21" s="2"/>
      <c r="I21" s="2"/>
      <c r="J21" s="2"/>
      <c r="K21" s="2"/>
      <c r="L21" s="2"/>
      <c r="M21" s="34"/>
    </row>
    <row r="22" spans="1:13" ht="18.75">
      <c r="A22" s="1" t="s">
        <v>376</v>
      </c>
      <c r="B22" s="2"/>
      <c r="C22" s="2"/>
      <c r="D22" s="2"/>
      <c r="E22" s="2"/>
      <c r="F22" s="2"/>
      <c r="G22" s="2"/>
      <c r="H22" s="2"/>
      <c r="I22" s="2"/>
      <c r="J22" s="40"/>
      <c r="K22" s="40"/>
      <c r="L22" s="40"/>
      <c r="M22" s="34"/>
    </row>
    <row r="23" spans="1:13" ht="18.75">
      <c r="A23" s="1"/>
      <c r="B23" s="2" t="s">
        <v>500</v>
      </c>
      <c r="C23" s="2"/>
      <c r="D23" s="2"/>
      <c r="E23" s="2"/>
      <c r="F23" s="2"/>
      <c r="G23" s="2"/>
      <c r="H23" s="2"/>
      <c r="I23" s="2"/>
      <c r="J23" s="40"/>
      <c r="K23" s="40"/>
      <c r="L23" s="40"/>
      <c r="M23" s="34"/>
    </row>
    <row r="24" spans="1:13" ht="18.75">
      <c r="A24" s="2"/>
      <c r="B24" s="2"/>
      <c r="C24" s="2" t="s">
        <v>457</v>
      </c>
      <c r="D24" s="2"/>
      <c r="E24" s="2"/>
      <c r="F24" s="2"/>
      <c r="G24" s="2"/>
      <c r="H24" s="2"/>
      <c r="I24" s="40">
        <v>10257720</v>
      </c>
      <c r="J24" s="40">
        <v>452504</v>
      </c>
      <c r="K24" s="40"/>
      <c r="L24" s="40">
        <f>SUM(I24:K24)</f>
        <v>10710224</v>
      </c>
      <c r="M24" s="51">
        <f>L15-L24</f>
        <v>9038120</v>
      </c>
    </row>
    <row r="25" spans="1:13" ht="18.75">
      <c r="A25" s="2"/>
      <c r="B25" s="2"/>
      <c r="C25" s="2" t="s">
        <v>69</v>
      </c>
      <c r="D25" s="2"/>
      <c r="E25" s="2"/>
      <c r="F25" s="2"/>
      <c r="G25" s="2"/>
      <c r="H25" s="2"/>
      <c r="I25" s="40">
        <v>18181315</v>
      </c>
      <c r="J25" s="40">
        <v>810719</v>
      </c>
      <c r="K25" s="40">
        <v>-1821303</v>
      </c>
      <c r="L25" s="40">
        <f>SUM(I25:K25)</f>
        <v>17170731</v>
      </c>
      <c r="M25" s="51">
        <f>L16-L25</f>
        <v>4537346</v>
      </c>
    </row>
    <row r="26" spans="1:13" ht="18.75">
      <c r="A26" s="2"/>
      <c r="B26" s="2" t="s">
        <v>360</v>
      </c>
      <c r="C26" s="2"/>
      <c r="D26" s="2"/>
      <c r="E26" s="2"/>
      <c r="F26" s="2"/>
      <c r="G26" s="2"/>
      <c r="H26" s="2"/>
      <c r="I26" s="40"/>
      <c r="J26" s="40"/>
      <c r="K26" s="40"/>
      <c r="L26" s="40"/>
      <c r="M26" s="51"/>
    </row>
    <row r="27" spans="1:13" ht="18.75">
      <c r="A27" s="2"/>
      <c r="B27" s="2"/>
      <c r="C27" s="2" t="s">
        <v>501</v>
      </c>
      <c r="D27" s="2"/>
      <c r="E27" s="2"/>
      <c r="F27" s="2"/>
      <c r="G27" s="2"/>
      <c r="H27" s="2"/>
      <c r="I27" s="40">
        <v>82749167</v>
      </c>
      <c r="J27" s="40">
        <v>2451748</v>
      </c>
      <c r="K27" s="40"/>
      <c r="L27" s="40">
        <f>SUM(I27:K27)</f>
        <v>85200915</v>
      </c>
      <c r="M27" s="51">
        <f>L18-L27</f>
        <v>50392611</v>
      </c>
    </row>
    <row r="28" spans="1:13" ht="18.75">
      <c r="A28" s="2"/>
      <c r="B28" s="2"/>
      <c r="C28" s="2" t="s">
        <v>502</v>
      </c>
      <c r="D28" s="2"/>
      <c r="E28" s="2"/>
      <c r="F28" s="2"/>
      <c r="G28" s="2"/>
      <c r="H28" s="2"/>
      <c r="I28" s="40">
        <v>4247386</v>
      </c>
      <c r="J28" s="40">
        <v>338349</v>
      </c>
      <c r="K28" s="40"/>
      <c r="L28" s="40">
        <f>SUM(I28:K28)</f>
        <v>4585735</v>
      </c>
      <c r="M28" s="51">
        <f>L19-L28</f>
        <v>12552275</v>
      </c>
    </row>
    <row r="29" spans="1:13" ht="18.75">
      <c r="A29" s="1"/>
      <c r="B29" s="2"/>
      <c r="C29" s="1" t="s">
        <v>20</v>
      </c>
      <c r="D29" s="2"/>
      <c r="E29" s="2"/>
      <c r="F29" s="2"/>
      <c r="G29" s="2"/>
      <c r="H29" s="2"/>
      <c r="I29" s="76">
        <f>SUM(I24:I28)</f>
        <v>115435588</v>
      </c>
      <c r="J29" s="76">
        <f>SUM(J24:J28)</f>
        <v>4053320</v>
      </c>
      <c r="K29" s="76">
        <f>SUM(K24:K28)</f>
        <v>-1821303</v>
      </c>
      <c r="L29" s="76">
        <f>SUM(L24:L28)</f>
        <v>117667605</v>
      </c>
      <c r="M29" s="34"/>
    </row>
    <row r="30" spans="1:13" ht="18.75">
      <c r="A30" s="2"/>
      <c r="B30" s="2"/>
      <c r="C30" s="2"/>
      <c r="D30" s="2"/>
      <c r="E30" s="2"/>
      <c r="F30" s="2"/>
      <c r="G30" s="2"/>
      <c r="H30" s="2"/>
      <c r="I30" s="2"/>
      <c r="J30" s="2"/>
      <c r="K30" s="2"/>
      <c r="L30" s="2"/>
      <c r="M30" s="34"/>
    </row>
    <row r="31" spans="1:13" ht="18.75">
      <c r="A31" s="1" t="s">
        <v>445</v>
      </c>
      <c r="B31" s="2"/>
      <c r="C31" s="1"/>
      <c r="D31" s="2"/>
      <c r="E31" s="2"/>
      <c r="F31" s="2"/>
      <c r="G31" s="2"/>
      <c r="H31" s="2"/>
      <c r="I31" s="76">
        <f>I20-I29</f>
        <v>76859306</v>
      </c>
      <c r="J31" s="76">
        <f t="shared" ref="J31:L31" si="0">J20-J29</f>
        <v>764449</v>
      </c>
      <c r="K31" s="76">
        <f t="shared" si="0"/>
        <v>-1103403</v>
      </c>
      <c r="L31" s="76">
        <f t="shared" si="0"/>
        <v>76520352</v>
      </c>
      <c r="M31" s="34"/>
    </row>
    <row r="32" spans="1:13" ht="18.75">
      <c r="A32" s="1" t="s">
        <v>22</v>
      </c>
      <c r="B32" s="2"/>
      <c r="C32" s="1"/>
      <c r="D32" s="2"/>
      <c r="E32" s="2"/>
      <c r="F32" s="2"/>
      <c r="G32" s="2"/>
      <c r="H32" s="2"/>
      <c r="I32" s="76">
        <f>I11+I31</f>
        <v>82500254</v>
      </c>
      <c r="J32" s="76">
        <f>J11+J31</f>
        <v>3695413</v>
      </c>
      <c r="K32" s="76">
        <f>K11+K31</f>
        <v>-4391281</v>
      </c>
      <c r="L32" s="76">
        <f>L11+L31</f>
        <v>81804386</v>
      </c>
      <c r="M32" s="51">
        <f>SUM(M9:M30)</f>
        <v>81804386</v>
      </c>
    </row>
  </sheetData>
  <mergeCells count="3">
    <mergeCell ref="D1:I1"/>
    <mergeCell ref="D2:I2"/>
    <mergeCell ref="D3:I3"/>
  </mergeCells>
  <pageMargins left="0.7" right="0.7" top="0.75" bottom="0.75" header="0.3" footer="0.3"/>
  <extLst>
    <ext xmlns:mx="http://schemas.microsoft.com/office/mac/excel/2008/main" uri="{64002731-A6B0-56B0-2670-7721B7C09600}">
      <mx:PLV Mode="0" OnePage="0" WScale="0"/>
    </ext>
  </extLs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J16"/>
  <sheetViews>
    <sheetView workbookViewId="0">
      <selection activeCell="I16" sqref="I16"/>
    </sheetView>
  </sheetViews>
  <sheetFormatPr defaultColWidth="8.85546875" defaultRowHeight="18.75"/>
  <cols>
    <col min="1" max="1" width="4.140625" style="2" customWidth="1"/>
    <col min="2" max="2" width="31.42578125" style="2" customWidth="1"/>
    <col min="3" max="3" width="21.140625" style="2" bestFit="1" customWidth="1"/>
    <col min="4" max="4" width="21.140625" style="2" customWidth="1"/>
    <col min="5" max="5" width="21" style="2" customWidth="1"/>
    <col min="6" max="6" width="20.28515625" style="2" customWidth="1"/>
    <col min="7" max="7" width="18.140625" style="2" customWidth="1"/>
    <col min="8" max="8" width="18.42578125" style="2" bestFit="1" customWidth="1"/>
    <col min="9" max="9" width="19.42578125" style="2" customWidth="1"/>
    <col min="10" max="10" width="17.42578125" style="2" bestFit="1" customWidth="1"/>
    <col min="11" max="16384" width="8.85546875" style="2"/>
  </cols>
  <sheetData>
    <row r="1" spans="1:10">
      <c r="B1" s="136" t="s">
        <v>503</v>
      </c>
      <c r="C1" s="136"/>
      <c r="D1" s="136"/>
      <c r="E1" s="136"/>
      <c r="F1" s="136"/>
      <c r="G1" s="136"/>
    </row>
    <row r="2" spans="1:10">
      <c r="B2" s="136" t="s">
        <v>1</v>
      </c>
      <c r="C2" s="136"/>
      <c r="D2" s="136"/>
      <c r="E2" s="136"/>
      <c r="F2" s="136"/>
      <c r="G2" s="136"/>
    </row>
    <row r="3" spans="1:10">
      <c r="B3" s="136" t="s">
        <v>2</v>
      </c>
      <c r="C3" s="136"/>
      <c r="D3" s="136"/>
      <c r="E3" s="136"/>
      <c r="F3" s="136"/>
      <c r="G3" s="136"/>
    </row>
    <row r="4" spans="1:10">
      <c r="B4" s="69"/>
      <c r="C4" s="69"/>
      <c r="D4" s="69"/>
      <c r="E4" s="69"/>
      <c r="F4" s="69"/>
      <c r="G4" s="69"/>
    </row>
    <row r="5" spans="1:10">
      <c r="A5" s="1" t="s">
        <v>203</v>
      </c>
      <c r="B5" s="69"/>
      <c r="C5" s="69"/>
      <c r="D5" s="69"/>
      <c r="E5" s="69"/>
      <c r="F5" s="69"/>
      <c r="G5" s="69"/>
    </row>
    <row r="6" spans="1:10" ht="37.5">
      <c r="C6" s="90" t="s">
        <v>10</v>
      </c>
      <c r="D6" s="91" t="s">
        <v>375</v>
      </c>
      <c r="E6" s="91" t="s">
        <v>14</v>
      </c>
      <c r="F6" s="91" t="s">
        <v>101</v>
      </c>
      <c r="G6" s="91" t="s">
        <v>17</v>
      </c>
      <c r="H6" s="91" t="s">
        <v>504</v>
      </c>
      <c r="I6" s="91" t="s">
        <v>191</v>
      </c>
    </row>
    <row r="7" spans="1:10">
      <c r="A7" s="2" t="s">
        <v>386</v>
      </c>
      <c r="C7" s="3">
        <v>1695977</v>
      </c>
      <c r="D7" s="3"/>
      <c r="E7" s="3">
        <v>12177793</v>
      </c>
      <c r="F7" s="3">
        <v>21253699</v>
      </c>
      <c r="G7" s="3">
        <v>50167390</v>
      </c>
      <c r="H7" s="3">
        <v>1915457</v>
      </c>
      <c r="I7" s="3">
        <f>SUM(C7:H7)</f>
        <v>87210316</v>
      </c>
    </row>
    <row r="8" spans="1:10">
      <c r="B8" s="2" t="s">
        <v>45</v>
      </c>
      <c r="C8" s="3"/>
      <c r="D8" s="3">
        <v>7715076</v>
      </c>
      <c r="E8" s="3">
        <v>92628</v>
      </c>
      <c r="F8" s="3">
        <v>833179</v>
      </c>
      <c r="G8" s="3">
        <v>2692704</v>
      </c>
      <c r="H8" s="3">
        <v>218107</v>
      </c>
      <c r="I8" s="3">
        <f t="shared" ref="I8:I10" si="0">SUM(C8:H8)</f>
        <v>11551694</v>
      </c>
      <c r="J8" s="3"/>
    </row>
    <row r="9" spans="1:10">
      <c r="B9" s="2" t="s">
        <v>46</v>
      </c>
      <c r="C9" s="6"/>
      <c r="D9" s="6"/>
      <c r="E9" s="6">
        <v>0</v>
      </c>
      <c r="F9" s="6">
        <v>-98067</v>
      </c>
      <c r="G9" s="6"/>
      <c r="H9" s="6"/>
      <c r="I9" s="6">
        <f t="shared" si="0"/>
        <v>-98067</v>
      </c>
    </row>
    <row r="10" spans="1:10">
      <c r="A10" s="2" t="s">
        <v>182</v>
      </c>
      <c r="C10" s="6">
        <f>SUM(C7:C9)</f>
        <v>1695977</v>
      </c>
      <c r="D10" s="6">
        <f>SUM(D7:D9)</f>
        <v>7715076</v>
      </c>
      <c r="E10" s="6">
        <f t="shared" ref="E10:H10" si="1">SUM(E7:E9)</f>
        <v>12270421</v>
      </c>
      <c r="F10" s="6">
        <f t="shared" si="1"/>
        <v>21988811</v>
      </c>
      <c r="G10" s="6">
        <f t="shared" si="1"/>
        <v>52860094</v>
      </c>
      <c r="H10" s="6">
        <f t="shared" si="1"/>
        <v>2133564</v>
      </c>
      <c r="I10" s="6">
        <f t="shared" si="0"/>
        <v>98663943</v>
      </c>
    </row>
    <row r="11" spans="1:10">
      <c r="C11" s="3"/>
      <c r="D11" s="3"/>
      <c r="E11" s="3"/>
      <c r="F11" s="3"/>
      <c r="G11" s="3"/>
      <c r="H11" s="3"/>
      <c r="I11" s="3" t="s">
        <v>142</v>
      </c>
    </row>
    <row r="12" spans="1:10">
      <c r="A12" s="2" t="s">
        <v>298</v>
      </c>
      <c r="C12" s="6">
        <v>0</v>
      </c>
      <c r="D12" s="6"/>
      <c r="E12" s="6">
        <v>-6099390</v>
      </c>
      <c r="F12" s="6">
        <v>-13315237</v>
      </c>
      <c r="G12" s="6">
        <v>-24687392</v>
      </c>
      <c r="H12" s="6">
        <v>-1546240</v>
      </c>
      <c r="I12" s="6">
        <f>SUM(C12:H12)</f>
        <v>-45648259</v>
      </c>
    </row>
    <row r="13" spans="1:10">
      <c r="C13" s="3"/>
      <c r="D13" s="3"/>
      <c r="E13" s="3"/>
      <c r="F13" s="3"/>
      <c r="G13" s="3"/>
      <c r="H13" s="3"/>
      <c r="I13" s="3" t="s">
        <v>142</v>
      </c>
    </row>
    <row r="14" spans="1:10">
      <c r="A14" s="2" t="s">
        <v>91</v>
      </c>
      <c r="C14" s="6">
        <f>SUM(C10+C12)</f>
        <v>1695977</v>
      </c>
      <c r="D14" s="6">
        <f t="shared" ref="D14:H14" si="2">SUM(D10+D12)</f>
        <v>7715076</v>
      </c>
      <c r="E14" s="6">
        <f t="shared" si="2"/>
        <v>6171031</v>
      </c>
      <c r="F14" s="6">
        <f t="shared" si="2"/>
        <v>8673574</v>
      </c>
      <c r="G14" s="6">
        <f t="shared" si="2"/>
        <v>28172702</v>
      </c>
      <c r="H14" s="6">
        <f t="shared" si="2"/>
        <v>587324</v>
      </c>
      <c r="I14" s="6">
        <f t="shared" ref="I14" si="3">SUM(I12,I10)</f>
        <v>53015684</v>
      </c>
      <c r="J14" s="3">
        <f>SUM(J7:J13)</f>
        <v>0</v>
      </c>
    </row>
    <row r="15" spans="1:10" s="93" customFormat="1">
      <c r="A15" s="2"/>
      <c r="C15" s="94"/>
      <c r="D15" s="94"/>
      <c r="E15" s="94"/>
      <c r="F15" s="94"/>
      <c r="G15" s="94"/>
      <c r="H15" s="94"/>
    </row>
    <row r="16" spans="1:10" s="93" customFormat="1">
      <c r="A16" s="2" t="s">
        <v>305</v>
      </c>
      <c r="C16" s="3">
        <f>C10</f>
        <v>1695977</v>
      </c>
      <c r="D16" s="3">
        <f>D10</f>
        <v>7715076</v>
      </c>
      <c r="E16" s="3">
        <f>E10+E12</f>
        <v>6171031</v>
      </c>
      <c r="F16" s="3">
        <f>F10+F12</f>
        <v>8673574</v>
      </c>
      <c r="G16" s="3">
        <f>G10+G12</f>
        <v>28172702</v>
      </c>
      <c r="H16" s="3">
        <f>H10+H12</f>
        <v>587324</v>
      </c>
      <c r="I16" s="3">
        <f>SUM(I10+I12)</f>
        <v>53015684</v>
      </c>
    </row>
  </sheetData>
  <mergeCells count="3">
    <mergeCell ref="B1:G1"/>
    <mergeCell ref="B2:G2"/>
    <mergeCell ref="B3:G3"/>
  </mergeCells>
  <pageMargins left="0.7" right="0.7" top="0.75" bottom="0.75" header="0.3" footer="0.3"/>
  <pageSetup orientation="portrait"/>
  <extLst>
    <ext xmlns:mx="http://schemas.microsoft.com/office/mac/excel/2008/main" uri="{64002731-A6B0-56B0-2670-7721B7C09600}">
      <mx:PLV Mode="0" OnePage="0" WScale="0"/>
    </ext>
  </extLs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M29"/>
  <sheetViews>
    <sheetView topLeftCell="A4" workbookViewId="0">
      <selection activeCell="I10" sqref="I10"/>
    </sheetView>
  </sheetViews>
  <sheetFormatPr defaultColWidth="8.85546875" defaultRowHeight="15"/>
  <cols>
    <col min="1" max="2" width="4.42578125" customWidth="1"/>
    <col min="3" max="3" width="3.42578125" customWidth="1"/>
    <col min="8" max="8" width="12.140625" customWidth="1"/>
    <col min="9" max="9" width="15.42578125" customWidth="1"/>
    <col min="10" max="10" width="14.28515625" bestFit="1" customWidth="1"/>
    <col min="11" max="11" width="15.28515625" bestFit="1" customWidth="1"/>
    <col min="12" max="12" width="16.42578125" bestFit="1" customWidth="1"/>
    <col min="13" max="13" width="25.42578125" customWidth="1"/>
  </cols>
  <sheetData>
    <row r="1" spans="1:13" ht="18.75">
      <c r="A1" s="2"/>
      <c r="B1" s="2"/>
      <c r="C1" s="2"/>
      <c r="D1" s="136" t="s">
        <v>505</v>
      </c>
      <c r="E1" s="136"/>
      <c r="F1" s="136"/>
      <c r="G1" s="136"/>
      <c r="H1" s="136"/>
      <c r="I1" s="136"/>
      <c r="J1" s="2"/>
      <c r="K1" s="2"/>
      <c r="L1" s="2"/>
    </row>
    <row r="2" spans="1:13" ht="18.75">
      <c r="A2" s="2"/>
      <c r="B2" s="2"/>
      <c r="C2" s="2"/>
      <c r="D2" s="136" t="s">
        <v>1</v>
      </c>
      <c r="E2" s="136"/>
      <c r="F2" s="136"/>
      <c r="G2" s="136"/>
      <c r="H2" s="136"/>
      <c r="I2" s="136"/>
      <c r="J2" s="2"/>
      <c r="K2" s="2"/>
      <c r="L2" s="2"/>
    </row>
    <row r="3" spans="1:13" ht="18.75">
      <c r="A3" s="2"/>
      <c r="B3" s="2"/>
      <c r="C3" s="2"/>
      <c r="D3" s="136" t="s">
        <v>2</v>
      </c>
      <c r="E3" s="136"/>
      <c r="F3" s="136"/>
      <c r="G3" s="136"/>
      <c r="H3" s="136"/>
      <c r="I3" s="136"/>
      <c r="J3" s="2"/>
      <c r="K3" s="2"/>
      <c r="L3" s="2"/>
    </row>
    <row r="4" spans="1:13" ht="18.75">
      <c r="A4" s="2"/>
      <c r="B4" s="2"/>
      <c r="C4" s="2"/>
      <c r="D4" s="69"/>
      <c r="E4" s="69"/>
      <c r="F4" s="69"/>
      <c r="G4" s="69"/>
      <c r="H4" s="69"/>
      <c r="I4" s="69"/>
      <c r="J4" s="2"/>
      <c r="K4" s="2"/>
      <c r="L4" s="2"/>
    </row>
    <row r="5" spans="1:13" ht="37.5">
      <c r="A5" s="2"/>
      <c r="B5" s="2"/>
      <c r="C5" s="2"/>
      <c r="D5" s="2"/>
      <c r="E5" s="2"/>
      <c r="F5" s="2"/>
      <c r="G5" s="2"/>
      <c r="H5" s="2"/>
      <c r="I5" s="71" t="s">
        <v>474</v>
      </c>
      <c r="J5" s="71" t="s">
        <v>4</v>
      </c>
      <c r="K5" s="71" t="s">
        <v>5</v>
      </c>
      <c r="L5" s="71" t="s">
        <v>63</v>
      </c>
      <c r="M5" s="71" t="s">
        <v>7</v>
      </c>
    </row>
    <row r="6" spans="1:13" ht="18.75">
      <c r="A6" s="1" t="s">
        <v>367</v>
      </c>
      <c r="B6" s="1"/>
      <c r="C6" s="1"/>
      <c r="D6" s="1"/>
      <c r="E6" s="1"/>
      <c r="F6" s="1"/>
      <c r="G6" s="2"/>
      <c r="H6" s="2"/>
      <c r="I6" s="2"/>
      <c r="J6" s="2"/>
      <c r="K6" s="2"/>
      <c r="L6" s="2"/>
    </row>
    <row r="7" spans="1:13" ht="18.75">
      <c r="A7" s="1" t="s">
        <v>9</v>
      </c>
      <c r="B7" s="1"/>
      <c r="C7" s="1"/>
      <c r="D7" s="1"/>
      <c r="E7" s="1"/>
      <c r="F7" s="1"/>
      <c r="G7" s="2"/>
      <c r="H7" s="2"/>
      <c r="I7" s="40"/>
      <c r="J7" s="40"/>
      <c r="K7" s="40"/>
      <c r="L7" s="40"/>
    </row>
    <row r="8" spans="1:13" ht="18.75">
      <c r="A8" s="2"/>
      <c r="B8" s="2" t="s">
        <v>10</v>
      </c>
      <c r="C8" s="2"/>
      <c r="D8" s="2"/>
      <c r="E8" s="2"/>
      <c r="F8" s="2"/>
      <c r="G8" s="2"/>
      <c r="H8" s="2"/>
      <c r="I8" s="40">
        <v>2560211</v>
      </c>
      <c r="J8" s="40">
        <v>1500</v>
      </c>
      <c r="K8" s="40">
        <v>-26542</v>
      </c>
      <c r="L8" s="40">
        <f>SUM(I8:K8)</f>
        <v>2535169</v>
      </c>
      <c r="M8" s="58">
        <f>L8</f>
        <v>2535169</v>
      </c>
    </row>
    <row r="9" spans="1:13" ht="18.75">
      <c r="A9" s="2"/>
      <c r="B9" s="2" t="s">
        <v>11</v>
      </c>
      <c r="C9" s="2"/>
      <c r="D9" s="2"/>
      <c r="E9" s="2"/>
      <c r="F9" s="2"/>
      <c r="G9" s="2"/>
      <c r="H9" s="2"/>
      <c r="I9" s="2">
        <v>217385</v>
      </c>
      <c r="J9" s="2">
        <v>448951</v>
      </c>
      <c r="K9" s="2">
        <v>-208251</v>
      </c>
      <c r="L9" s="40">
        <f>SUM(I9:K9)</f>
        <v>458085</v>
      </c>
      <c r="M9" s="58">
        <f>L9</f>
        <v>458085</v>
      </c>
    </row>
    <row r="10" spans="1:13" ht="18.75">
      <c r="A10" s="1"/>
      <c r="B10" s="1"/>
      <c r="C10" s="1" t="s">
        <v>88</v>
      </c>
      <c r="D10" s="1"/>
      <c r="E10" s="1"/>
      <c r="F10" s="1"/>
      <c r="G10" s="1"/>
      <c r="H10" s="1"/>
      <c r="I10" s="85">
        <f>SUM(I8:I9)</f>
        <v>2777596</v>
      </c>
      <c r="J10" s="85">
        <f>SUM(J8:J9)</f>
        <v>450451</v>
      </c>
      <c r="K10" s="85">
        <f t="shared" ref="K10:L10" si="0">SUM(K8:K9)</f>
        <v>-234793</v>
      </c>
      <c r="L10" s="85">
        <f t="shared" si="0"/>
        <v>2993254</v>
      </c>
    </row>
    <row r="11" spans="1:13" ht="18.75">
      <c r="A11" s="2"/>
      <c r="B11" s="2"/>
      <c r="C11" s="2"/>
      <c r="D11" s="2"/>
      <c r="E11" s="2"/>
      <c r="F11" s="2"/>
      <c r="G11" s="2"/>
      <c r="H11" s="2"/>
      <c r="I11" s="2"/>
      <c r="J11" s="2"/>
      <c r="K11" s="2"/>
      <c r="L11" s="2"/>
    </row>
    <row r="12" spans="1:13" ht="18.75">
      <c r="A12" s="1" t="s">
        <v>178</v>
      </c>
      <c r="B12" s="2"/>
      <c r="C12" s="2"/>
      <c r="D12" s="2"/>
      <c r="E12" s="2"/>
      <c r="F12" s="2"/>
      <c r="G12" s="2"/>
      <c r="H12" s="2"/>
      <c r="I12" s="2"/>
      <c r="J12" s="2"/>
      <c r="K12" s="2"/>
      <c r="L12" s="2"/>
    </row>
    <row r="13" spans="1:13" ht="18.75">
      <c r="A13" s="2"/>
      <c r="B13" s="2" t="s">
        <v>122</v>
      </c>
      <c r="C13" s="1"/>
      <c r="D13" s="2"/>
      <c r="E13" s="2"/>
      <c r="F13" s="2"/>
      <c r="G13" s="2"/>
      <c r="H13" s="2"/>
      <c r="I13" s="2">
        <v>10756300</v>
      </c>
      <c r="J13" s="40">
        <v>25912</v>
      </c>
      <c r="K13" s="40"/>
      <c r="L13" s="40">
        <f>SUM(I13:K13)</f>
        <v>10782212</v>
      </c>
    </row>
    <row r="14" spans="1:13" ht="18.75">
      <c r="A14" s="2"/>
      <c r="B14" s="2" t="s">
        <v>33</v>
      </c>
      <c r="C14" s="2"/>
      <c r="D14" s="2"/>
      <c r="E14" s="2"/>
      <c r="F14" s="2"/>
      <c r="G14" s="2"/>
      <c r="H14" s="2"/>
      <c r="I14" s="2">
        <v>6616011</v>
      </c>
      <c r="J14" s="40">
        <v>136913</v>
      </c>
      <c r="K14" s="40">
        <v>-48422</v>
      </c>
      <c r="L14" s="40">
        <f t="shared" ref="L14:L18" si="1">SUM(I14:K14)</f>
        <v>6704502</v>
      </c>
    </row>
    <row r="15" spans="1:13" ht="18.75">
      <c r="A15" s="2"/>
      <c r="B15" s="2" t="s">
        <v>263</v>
      </c>
      <c r="C15" s="2"/>
      <c r="D15" s="2"/>
      <c r="E15" s="2"/>
      <c r="F15" s="2"/>
      <c r="G15" s="2"/>
      <c r="H15" s="2"/>
      <c r="I15" s="2">
        <v>1391013</v>
      </c>
      <c r="J15" s="40"/>
      <c r="K15" s="40"/>
      <c r="L15" s="40">
        <f t="shared" si="1"/>
        <v>1391013</v>
      </c>
    </row>
    <row r="16" spans="1:13" ht="18.75">
      <c r="A16" s="2"/>
      <c r="B16" s="2" t="s">
        <v>506</v>
      </c>
      <c r="C16" s="2"/>
      <c r="D16" s="2"/>
      <c r="E16" s="2"/>
      <c r="F16" s="2"/>
      <c r="G16" s="2"/>
      <c r="H16" s="2"/>
      <c r="I16" s="2">
        <v>20989059</v>
      </c>
      <c r="J16" s="40"/>
      <c r="K16" s="40"/>
      <c r="L16" s="40">
        <f t="shared" si="1"/>
        <v>20989059</v>
      </c>
    </row>
    <row r="17" spans="1:13" ht="18.75">
      <c r="A17" s="2"/>
      <c r="B17" s="2" t="s">
        <v>507</v>
      </c>
      <c r="C17" s="2"/>
      <c r="D17" s="2"/>
      <c r="E17" s="2"/>
      <c r="F17" s="2"/>
      <c r="G17" s="2"/>
      <c r="H17" s="2"/>
      <c r="I17" s="2">
        <v>6374774</v>
      </c>
      <c r="J17" s="40">
        <v>793346</v>
      </c>
      <c r="K17" s="40">
        <v>-15704</v>
      </c>
      <c r="L17" s="40">
        <f t="shared" si="1"/>
        <v>7152416</v>
      </c>
    </row>
    <row r="18" spans="1:13" ht="18.75">
      <c r="A18" s="2"/>
      <c r="B18" s="2" t="s">
        <v>508</v>
      </c>
      <c r="C18" s="2"/>
      <c r="D18" s="2"/>
      <c r="E18" s="2"/>
      <c r="F18" s="2"/>
      <c r="G18" s="2"/>
      <c r="H18" s="2"/>
      <c r="I18" s="2">
        <v>21631465</v>
      </c>
      <c r="J18" s="40">
        <v>1652780</v>
      </c>
      <c r="K18" s="40">
        <v>-79251</v>
      </c>
      <c r="L18" s="40">
        <f t="shared" si="1"/>
        <v>23204994</v>
      </c>
    </row>
    <row r="19" spans="1:13" ht="18.75">
      <c r="A19" s="1"/>
      <c r="B19" s="2"/>
      <c r="C19" s="1"/>
      <c r="D19" s="1"/>
      <c r="E19" s="2"/>
      <c r="F19" s="2"/>
      <c r="G19" s="2"/>
      <c r="H19" s="2"/>
      <c r="I19" s="86">
        <f>SUM(I13:I18)</f>
        <v>67758622</v>
      </c>
      <c r="J19" s="86">
        <f>SUM(J13:J18)</f>
        <v>2608951</v>
      </c>
      <c r="K19" s="86">
        <f>SUM(K13:K18)</f>
        <v>-143377</v>
      </c>
      <c r="L19" s="86">
        <f>SUM(L13:L18)</f>
        <v>70224196</v>
      </c>
    </row>
    <row r="20" spans="1:13" ht="18.75">
      <c r="A20" s="1" t="s">
        <v>19</v>
      </c>
      <c r="B20" s="2"/>
      <c r="C20" s="2"/>
      <c r="D20" s="2"/>
      <c r="E20" s="2"/>
      <c r="F20" s="2"/>
      <c r="G20" s="2"/>
      <c r="H20" s="2"/>
      <c r="I20" s="2"/>
      <c r="J20" s="40"/>
      <c r="K20" s="40"/>
      <c r="L20" s="40"/>
    </row>
    <row r="21" spans="1:13" ht="18.75">
      <c r="A21" s="2"/>
      <c r="B21" s="2" t="s">
        <v>122</v>
      </c>
      <c r="C21" s="1"/>
      <c r="D21" s="2"/>
      <c r="E21" s="2"/>
      <c r="F21" s="2"/>
      <c r="G21" s="2"/>
      <c r="H21" s="2"/>
      <c r="I21" s="40">
        <v>-4406658</v>
      </c>
      <c r="J21" s="40">
        <v>-262117</v>
      </c>
      <c r="K21" s="40"/>
      <c r="L21" s="40">
        <f>SUM(I21:K21)</f>
        <v>-4668775</v>
      </c>
      <c r="M21" s="58">
        <f t="shared" ref="M21:M26" si="2">L13+L21</f>
        <v>6113437</v>
      </c>
    </row>
    <row r="22" spans="1:13" ht="18.75">
      <c r="A22" s="2"/>
      <c r="B22" s="2" t="s">
        <v>33</v>
      </c>
      <c r="C22" s="2"/>
      <c r="D22" s="2"/>
      <c r="E22" s="2"/>
      <c r="F22" s="2"/>
      <c r="G22" s="2"/>
      <c r="H22" s="2"/>
      <c r="I22" s="40">
        <v>-5220775</v>
      </c>
      <c r="J22" s="40">
        <v>-472516</v>
      </c>
      <c r="K22" s="40">
        <v>40135</v>
      </c>
      <c r="L22" s="40">
        <f t="shared" ref="L22:L26" si="3">SUM(I22:K22)</f>
        <v>-5653156</v>
      </c>
      <c r="M22" s="58">
        <f t="shared" si="2"/>
        <v>1051346</v>
      </c>
    </row>
    <row r="23" spans="1:13" ht="18.75">
      <c r="A23" s="2"/>
      <c r="B23" s="2" t="s">
        <v>263</v>
      </c>
      <c r="C23" s="2"/>
      <c r="D23" s="2"/>
      <c r="E23" s="2"/>
      <c r="F23" s="2"/>
      <c r="G23" s="2"/>
      <c r="H23" s="2"/>
      <c r="I23" s="40">
        <v>-1389038</v>
      </c>
      <c r="J23" s="40">
        <v>-1821</v>
      </c>
      <c r="K23" s="40"/>
      <c r="L23" s="40">
        <f t="shared" si="3"/>
        <v>-1390859</v>
      </c>
      <c r="M23" s="58">
        <f t="shared" si="2"/>
        <v>154</v>
      </c>
    </row>
    <row r="24" spans="1:13" ht="18.75">
      <c r="A24" s="2"/>
      <c r="B24" s="2" t="s">
        <v>506</v>
      </c>
      <c r="C24" s="2"/>
      <c r="D24" s="2"/>
      <c r="E24" s="2"/>
      <c r="F24" s="2"/>
      <c r="G24" s="2"/>
      <c r="H24" s="2"/>
      <c r="I24" s="40">
        <v>-12453466</v>
      </c>
      <c r="J24" s="40">
        <v>-1399271</v>
      </c>
      <c r="K24" s="40"/>
      <c r="L24" s="40">
        <f t="shared" si="3"/>
        <v>-13852737</v>
      </c>
      <c r="M24" s="58">
        <f t="shared" si="2"/>
        <v>7136322</v>
      </c>
    </row>
    <row r="25" spans="1:13" ht="18.75">
      <c r="A25" s="2"/>
      <c r="B25" s="2" t="s">
        <v>507</v>
      </c>
      <c r="C25" s="2"/>
      <c r="D25" s="2"/>
      <c r="E25" s="2"/>
      <c r="F25" s="2"/>
      <c r="G25" s="2"/>
      <c r="H25" s="2"/>
      <c r="I25" s="40">
        <v>-2382493</v>
      </c>
      <c r="J25" s="40">
        <v>-284642</v>
      </c>
      <c r="K25" s="40">
        <v>15704</v>
      </c>
      <c r="L25" s="40">
        <f t="shared" si="3"/>
        <v>-2651431</v>
      </c>
      <c r="M25" s="58">
        <f t="shared" si="2"/>
        <v>4500985</v>
      </c>
    </row>
    <row r="26" spans="1:13" ht="18.75">
      <c r="A26" s="2"/>
      <c r="B26" s="2" t="s">
        <v>509</v>
      </c>
      <c r="C26" s="2"/>
      <c r="D26" s="2"/>
      <c r="E26" s="2"/>
      <c r="F26" s="2"/>
      <c r="G26" s="2"/>
      <c r="H26" s="2"/>
      <c r="I26" s="40">
        <v>-5532863</v>
      </c>
      <c r="J26" s="40">
        <v>-424207</v>
      </c>
      <c r="K26" s="40">
        <v>56860</v>
      </c>
      <c r="L26" s="40">
        <f t="shared" si="3"/>
        <v>-5900210</v>
      </c>
      <c r="M26" s="58">
        <f t="shared" si="2"/>
        <v>17304784</v>
      </c>
    </row>
    <row r="27" spans="1:13" ht="18.75">
      <c r="A27" s="1"/>
      <c r="B27" s="2"/>
      <c r="C27" s="1" t="s">
        <v>20</v>
      </c>
      <c r="D27" s="1"/>
      <c r="E27" s="2"/>
      <c r="F27" s="2"/>
      <c r="G27" s="2"/>
      <c r="H27" s="2"/>
      <c r="I27" s="76">
        <f>SUM(I21:I26)</f>
        <v>-31385293</v>
      </c>
      <c r="J27" s="76">
        <f>SUM(J21:J26)</f>
        <v>-2844574</v>
      </c>
      <c r="K27" s="76">
        <f>SUM(K21:K26)</f>
        <v>112699</v>
      </c>
      <c r="L27" s="76">
        <f>SUM(L21:L26)</f>
        <v>-34117168</v>
      </c>
    </row>
    <row r="28" spans="1:13" ht="18.75">
      <c r="A28" s="1"/>
      <c r="B28" s="2"/>
      <c r="C28" s="1" t="s">
        <v>450</v>
      </c>
      <c r="D28" s="2"/>
      <c r="E28" s="2"/>
      <c r="F28" s="2"/>
      <c r="G28" s="2"/>
      <c r="H28" s="2"/>
      <c r="I28" s="76">
        <f>SUM(I19+I27)</f>
        <v>36373329</v>
      </c>
      <c r="J28" s="76">
        <f t="shared" ref="J28:L28" si="4">SUM(J19+J27)</f>
        <v>-235623</v>
      </c>
      <c r="K28" s="76">
        <f t="shared" si="4"/>
        <v>-30678</v>
      </c>
      <c r="L28" s="76">
        <f t="shared" si="4"/>
        <v>36107028</v>
      </c>
    </row>
    <row r="29" spans="1:13" ht="18.75">
      <c r="A29" s="1"/>
      <c r="B29" s="1" t="s">
        <v>510</v>
      </c>
      <c r="C29" s="1"/>
      <c r="D29" s="2"/>
      <c r="E29" s="2"/>
      <c r="F29" s="2"/>
      <c r="G29" s="2"/>
      <c r="H29" s="2"/>
      <c r="I29" s="76">
        <f>I28+I10</f>
        <v>39150925</v>
      </c>
      <c r="J29" s="76">
        <f>J28+J10</f>
        <v>214828</v>
      </c>
      <c r="K29" s="76">
        <f>K28+K10</f>
        <v>-265471</v>
      </c>
      <c r="L29" s="76">
        <f>L28+L10</f>
        <v>39100282</v>
      </c>
      <c r="M29" s="58">
        <f>SUM(M8:M27)</f>
        <v>39100282</v>
      </c>
    </row>
  </sheetData>
  <mergeCells count="3">
    <mergeCell ref="D1:I1"/>
    <mergeCell ref="D2:I2"/>
    <mergeCell ref="D3:I3"/>
  </mergeCells>
  <pageMargins left="0.7" right="0.7" top="0.75" bottom="0.75" header="0.3" footer="0.3"/>
  <extLst>
    <ext xmlns:mx="http://schemas.microsoft.com/office/mac/excel/2008/main" uri="{64002731-A6B0-56B0-2670-7721B7C09600}">
      <mx:PLV Mode="0" OnePage="0" WScale="0"/>
    </ext>
  </extLs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M27"/>
  <sheetViews>
    <sheetView zoomScale="80" zoomScaleNormal="80" zoomScalePageLayoutView="80" workbookViewId="0">
      <selection activeCell="I10" sqref="I10"/>
    </sheetView>
  </sheetViews>
  <sheetFormatPr defaultColWidth="8.85546875" defaultRowHeight="15"/>
  <cols>
    <col min="9" max="9" width="17.42578125" customWidth="1"/>
    <col min="10" max="10" width="14.28515625" bestFit="1" customWidth="1"/>
    <col min="11" max="11" width="13.7109375" bestFit="1" customWidth="1"/>
    <col min="12" max="13" width="20.42578125" customWidth="1"/>
  </cols>
  <sheetData>
    <row r="1" spans="1:13" ht="18.75">
      <c r="A1" s="2"/>
      <c r="B1" s="2"/>
      <c r="C1" s="2"/>
      <c r="D1" s="136" t="s">
        <v>511</v>
      </c>
      <c r="E1" s="136"/>
      <c r="F1" s="136"/>
      <c r="G1" s="136"/>
      <c r="H1" s="136"/>
      <c r="I1" s="136"/>
      <c r="J1" s="2"/>
      <c r="K1" s="2"/>
      <c r="L1" s="2"/>
    </row>
    <row r="2" spans="1:13" ht="18.75">
      <c r="A2" s="2"/>
      <c r="B2" s="2"/>
      <c r="C2" s="2"/>
      <c r="D2" s="136" t="s">
        <v>1</v>
      </c>
      <c r="E2" s="136"/>
      <c r="F2" s="136"/>
      <c r="G2" s="136"/>
      <c r="H2" s="136"/>
      <c r="I2" s="136"/>
      <c r="J2" s="2"/>
      <c r="K2" s="2"/>
      <c r="L2" s="2"/>
    </row>
    <row r="3" spans="1:13" ht="18.75">
      <c r="A3" s="2"/>
      <c r="B3" s="2"/>
      <c r="C3" s="2"/>
      <c r="D3" s="136" t="s">
        <v>2</v>
      </c>
      <c r="E3" s="136"/>
      <c r="F3" s="136"/>
      <c r="G3" s="136"/>
      <c r="H3" s="136"/>
      <c r="I3" s="136"/>
      <c r="J3" s="2"/>
      <c r="K3" s="2"/>
      <c r="L3" s="2"/>
    </row>
    <row r="4" spans="1:13" ht="18.75">
      <c r="A4" s="2"/>
      <c r="B4" s="2"/>
      <c r="C4" s="2"/>
      <c r="D4" s="69"/>
      <c r="E4" s="69"/>
      <c r="F4" s="69"/>
      <c r="G4" s="69"/>
      <c r="H4" s="69"/>
      <c r="I4" s="69"/>
      <c r="J4" s="2"/>
      <c r="K4" s="2"/>
      <c r="L4" s="2"/>
    </row>
    <row r="5" spans="1:13" ht="37.5">
      <c r="A5" s="2"/>
      <c r="B5" s="2"/>
      <c r="C5" s="2"/>
      <c r="D5" s="2"/>
      <c r="E5" s="2"/>
      <c r="F5" s="2"/>
      <c r="G5" s="2"/>
      <c r="H5" s="2"/>
      <c r="I5" s="71" t="s">
        <v>3</v>
      </c>
      <c r="J5" s="71" t="s">
        <v>4</v>
      </c>
      <c r="K5" s="71" t="s">
        <v>5</v>
      </c>
      <c r="L5" s="71" t="s">
        <v>512</v>
      </c>
      <c r="M5" s="71" t="s">
        <v>7</v>
      </c>
    </row>
    <row r="6" spans="1:13" ht="18.75">
      <c r="A6" s="1" t="s">
        <v>8</v>
      </c>
      <c r="B6" s="1"/>
      <c r="C6" s="1"/>
      <c r="D6" s="1"/>
      <c r="E6" s="1"/>
      <c r="F6" s="1"/>
      <c r="G6" s="2"/>
      <c r="H6" s="2"/>
      <c r="I6" s="2"/>
      <c r="J6" s="2"/>
      <c r="K6" s="2"/>
      <c r="L6" s="2"/>
    </row>
    <row r="7" spans="1:13" ht="18.75">
      <c r="A7" s="1" t="s">
        <v>9</v>
      </c>
      <c r="B7" s="1"/>
      <c r="C7" s="1"/>
      <c r="D7" s="1"/>
      <c r="E7" s="1"/>
      <c r="F7" s="1"/>
      <c r="G7" s="2"/>
      <c r="H7" s="2"/>
      <c r="I7" s="40"/>
      <c r="J7" s="40"/>
      <c r="K7" s="40"/>
      <c r="L7" s="40"/>
    </row>
    <row r="8" spans="1:13" ht="18.75">
      <c r="A8" s="2"/>
      <c r="B8" s="2" t="s">
        <v>10</v>
      </c>
      <c r="C8" s="2"/>
      <c r="D8" s="2"/>
      <c r="E8" s="2"/>
      <c r="F8" s="2"/>
      <c r="G8" s="2"/>
      <c r="H8" s="2"/>
      <c r="I8" s="40">
        <v>1212782</v>
      </c>
      <c r="J8" s="40"/>
      <c r="K8" s="40"/>
      <c r="L8" s="40">
        <f>SUM(I8:K8)</f>
        <v>1212782</v>
      </c>
      <c r="M8" s="51">
        <f>L8</f>
        <v>1212782</v>
      </c>
    </row>
    <row r="9" spans="1:13" ht="18.75">
      <c r="A9" s="2"/>
      <c r="B9" s="2" t="s">
        <v>11</v>
      </c>
      <c r="C9" s="2"/>
      <c r="D9" s="2"/>
      <c r="E9" s="2"/>
      <c r="F9" s="2"/>
      <c r="G9" s="2"/>
      <c r="H9" s="2"/>
      <c r="I9" s="2"/>
      <c r="J9" s="2">
        <v>93735</v>
      </c>
      <c r="K9" s="2"/>
      <c r="L9" s="40">
        <f>SUM(I9:K9)</f>
        <v>93735</v>
      </c>
      <c r="M9" s="51">
        <f>L9</f>
        <v>93735</v>
      </c>
    </row>
    <row r="10" spans="1:13" ht="18.75">
      <c r="A10" s="1"/>
      <c r="B10" s="1"/>
      <c r="C10" s="1" t="s">
        <v>297</v>
      </c>
      <c r="D10" s="1"/>
      <c r="E10" s="1"/>
      <c r="F10" s="1"/>
      <c r="G10" s="1"/>
      <c r="H10" s="1"/>
      <c r="I10" s="85">
        <f>SUM(I8:I9)</f>
        <v>1212782</v>
      </c>
      <c r="J10" s="85">
        <f>SUM(J8:J9)</f>
        <v>93735</v>
      </c>
      <c r="K10" s="85">
        <f>SUM(K8:K9)</f>
        <v>0</v>
      </c>
      <c r="L10" s="85">
        <f>SUM(L8:L9)</f>
        <v>1306517</v>
      </c>
      <c r="M10" s="34"/>
    </row>
    <row r="11" spans="1:13" ht="18.75">
      <c r="A11" s="2"/>
      <c r="B11" s="2"/>
      <c r="C11" s="2"/>
      <c r="D11" s="2"/>
      <c r="E11" s="2"/>
      <c r="F11" s="2"/>
      <c r="G11" s="2"/>
      <c r="H11" s="2"/>
      <c r="I11" s="2"/>
      <c r="J11" s="2"/>
      <c r="K11" s="2"/>
      <c r="L11" s="2"/>
      <c r="M11" s="34"/>
    </row>
    <row r="12" spans="1:13" ht="18.75">
      <c r="A12" s="1" t="s">
        <v>371</v>
      </c>
      <c r="B12" s="2"/>
      <c r="C12" s="2"/>
      <c r="D12" s="2"/>
      <c r="E12" s="2"/>
      <c r="F12" s="2"/>
      <c r="G12" s="2"/>
      <c r="H12" s="2"/>
      <c r="I12" s="2"/>
      <c r="J12" s="2"/>
      <c r="K12" s="2"/>
      <c r="L12" s="2"/>
      <c r="M12" s="34"/>
    </row>
    <row r="13" spans="1:13" ht="18.75">
      <c r="A13" s="2"/>
      <c r="B13" s="2" t="s">
        <v>14</v>
      </c>
      <c r="C13" s="2"/>
      <c r="D13" s="2"/>
      <c r="E13" s="2"/>
      <c r="F13" s="2"/>
      <c r="G13" s="2"/>
      <c r="H13" s="2"/>
      <c r="I13" s="2">
        <v>12859930</v>
      </c>
      <c r="J13" s="40">
        <v>71157</v>
      </c>
      <c r="K13" s="40"/>
      <c r="L13" s="40">
        <f>SUM(I13:K13)</f>
        <v>12931087</v>
      </c>
      <c r="M13" s="34"/>
    </row>
    <row r="14" spans="1:13" ht="18.75">
      <c r="A14" s="2"/>
      <c r="B14" s="2" t="s">
        <v>17</v>
      </c>
      <c r="C14" s="2"/>
      <c r="D14" s="2"/>
      <c r="E14" s="2"/>
      <c r="F14" s="2"/>
      <c r="G14" s="2"/>
      <c r="H14" s="2"/>
      <c r="I14" s="2">
        <v>1979460</v>
      </c>
      <c r="J14" s="40">
        <v>479290</v>
      </c>
      <c r="K14" s="40"/>
      <c r="L14" s="40">
        <f>SUM(I14:K14)</f>
        <v>2458750</v>
      </c>
      <c r="M14" s="34"/>
    </row>
    <row r="15" spans="1:13" ht="18.75">
      <c r="A15" s="2"/>
      <c r="B15" s="2" t="s">
        <v>77</v>
      </c>
      <c r="C15" s="2"/>
      <c r="D15" s="2"/>
      <c r="E15" s="2"/>
      <c r="F15" s="2"/>
      <c r="G15" s="2"/>
      <c r="H15" s="2"/>
      <c r="I15" s="2">
        <v>5853989</v>
      </c>
      <c r="J15" s="40">
        <v>165901</v>
      </c>
      <c r="K15" s="40">
        <v>-322623</v>
      </c>
      <c r="L15" s="40">
        <f>SUM(I15:K15)</f>
        <v>5697267</v>
      </c>
      <c r="M15" s="34"/>
    </row>
    <row r="16" spans="1:13" ht="18.75">
      <c r="A16" s="2"/>
      <c r="B16" s="2" t="s">
        <v>398</v>
      </c>
      <c r="C16" s="2"/>
      <c r="D16" s="2"/>
      <c r="E16" s="2"/>
      <c r="F16" s="2"/>
      <c r="G16" s="2"/>
      <c r="H16" s="2"/>
      <c r="I16" s="2">
        <v>1428818</v>
      </c>
      <c r="J16" s="40">
        <v>317707</v>
      </c>
      <c r="K16" s="40">
        <v>-202372</v>
      </c>
      <c r="L16" s="40">
        <f>SUM(I16:K16)</f>
        <v>1544153</v>
      </c>
      <c r="M16" s="34"/>
    </row>
    <row r="17" spans="1:13" ht="18.75">
      <c r="A17" s="2"/>
      <c r="B17" s="2"/>
      <c r="C17" s="1" t="s">
        <v>297</v>
      </c>
      <c r="D17" s="2"/>
      <c r="E17" s="2"/>
      <c r="F17" s="2"/>
      <c r="G17" s="2"/>
      <c r="H17" s="2"/>
      <c r="I17" s="86">
        <f>SUM(I13:I16)</f>
        <v>22122197</v>
      </c>
      <c r="J17" s="86">
        <f>SUM(J13:J16)</f>
        <v>1034055</v>
      </c>
      <c r="K17" s="86">
        <f>SUM(K13:K16)</f>
        <v>-524995</v>
      </c>
      <c r="L17" s="86">
        <f>SUM(L13:L16)</f>
        <v>22631257</v>
      </c>
      <c r="M17" s="34"/>
    </row>
    <row r="18" spans="1:13" ht="18.75">
      <c r="A18" s="2"/>
      <c r="B18" s="2"/>
      <c r="C18" s="2"/>
      <c r="D18" s="2"/>
      <c r="E18" s="2"/>
      <c r="F18" s="2"/>
      <c r="G18" s="2"/>
      <c r="H18" s="2"/>
      <c r="I18" s="2"/>
      <c r="J18" s="2"/>
      <c r="K18" s="2"/>
      <c r="L18" s="2"/>
      <c r="M18" s="34"/>
    </row>
    <row r="19" spans="1:13" ht="18.75">
      <c r="A19" s="1" t="s">
        <v>376</v>
      </c>
      <c r="B19" s="2"/>
      <c r="C19" s="2"/>
      <c r="D19" s="2"/>
      <c r="E19" s="2"/>
      <c r="F19" s="2"/>
      <c r="G19" s="2"/>
      <c r="H19" s="2"/>
      <c r="I19" s="2"/>
      <c r="J19" s="40"/>
      <c r="K19" s="40"/>
      <c r="L19" s="40"/>
      <c r="M19" s="34"/>
    </row>
    <row r="20" spans="1:13" ht="18.75">
      <c r="A20" s="2"/>
      <c r="B20" s="2" t="s">
        <v>14</v>
      </c>
      <c r="C20" s="2"/>
      <c r="D20" s="2"/>
      <c r="E20" s="2"/>
      <c r="F20" s="2"/>
      <c r="G20" s="2"/>
      <c r="H20" s="2"/>
      <c r="I20" s="40">
        <v>5967216</v>
      </c>
      <c r="J20" s="40">
        <v>329125</v>
      </c>
      <c r="K20" s="40"/>
      <c r="L20" s="40">
        <f>SUM(I20:K20)</f>
        <v>6296341</v>
      </c>
      <c r="M20" s="51">
        <f>L13-L20</f>
        <v>6634746</v>
      </c>
    </row>
    <row r="21" spans="1:13" ht="18.75">
      <c r="A21" s="2"/>
      <c r="B21" s="2" t="s">
        <v>17</v>
      </c>
      <c r="C21" s="2"/>
      <c r="D21" s="2"/>
      <c r="E21" s="2"/>
      <c r="F21" s="2"/>
      <c r="G21" s="2"/>
      <c r="H21" s="2"/>
      <c r="I21" s="40">
        <v>217408</v>
      </c>
      <c r="J21" s="40">
        <v>55770</v>
      </c>
      <c r="K21" s="40"/>
      <c r="L21" s="40">
        <f>SUM(I21:K21)</f>
        <v>273178</v>
      </c>
      <c r="M21" s="51">
        <f>L14-L21</f>
        <v>2185572</v>
      </c>
    </row>
    <row r="22" spans="1:13" ht="18.75">
      <c r="A22" s="2"/>
      <c r="B22" s="2" t="s">
        <v>77</v>
      </c>
      <c r="C22" s="2"/>
      <c r="D22" s="2"/>
      <c r="E22" s="2"/>
      <c r="F22" s="2"/>
      <c r="G22" s="2"/>
      <c r="H22" s="2"/>
      <c r="I22" s="40">
        <v>4930764</v>
      </c>
      <c r="J22" s="40">
        <v>224692</v>
      </c>
      <c r="K22" s="40">
        <v>-322623</v>
      </c>
      <c r="L22" s="40">
        <f>SUM(I22:K22)</f>
        <v>4832833</v>
      </c>
      <c r="M22" s="51">
        <f>L15-L22</f>
        <v>864434</v>
      </c>
    </row>
    <row r="23" spans="1:13" ht="18.75">
      <c r="A23" s="2"/>
      <c r="B23" s="2" t="s">
        <v>398</v>
      </c>
      <c r="C23" s="2"/>
      <c r="D23" s="2"/>
      <c r="E23" s="2"/>
      <c r="F23" s="2"/>
      <c r="G23" s="2"/>
      <c r="H23" s="2"/>
      <c r="I23" s="40">
        <v>688113</v>
      </c>
      <c r="J23" s="40">
        <v>293769</v>
      </c>
      <c r="K23" s="40">
        <v>-200710</v>
      </c>
      <c r="L23" s="40">
        <f>SUM(I23:K23)</f>
        <v>781172</v>
      </c>
      <c r="M23" s="51">
        <f>L16-L23</f>
        <v>762981</v>
      </c>
    </row>
    <row r="24" spans="1:13" ht="18.75">
      <c r="A24" s="1"/>
      <c r="B24" s="2"/>
      <c r="C24" s="1" t="s">
        <v>20</v>
      </c>
      <c r="D24" s="2"/>
      <c r="E24" s="2"/>
      <c r="F24" s="2"/>
      <c r="G24" s="2"/>
      <c r="H24" s="2"/>
      <c r="I24" s="76">
        <f>SUM(I20:I23)</f>
        <v>11803501</v>
      </c>
      <c r="J24" s="76">
        <f>SUM(J20:J23)</f>
        <v>903356</v>
      </c>
      <c r="K24" s="76">
        <f>SUM(K20:K23)</f>
        <v>-523333</v>
      </c>
      <c r="L24" s="76">
        <f>SUM(L20:L23)</f>
        <v>12183524</v>
      </c>
      <c r="M24" s="34"/>
    </row>
    <row r="25" spans="1:13" ht="18.75">
      <c r="A25" s="2"/>
      <c r="B25" s="2"/>
      <c r="C25" s="2"/>
      <c r="D25" s="2"/>
      <c r="E25" s="2"/>
      <c r="F25" s="2"/>
      <c r="G25" s="2"/>
      <c r="H25" s="2"/>
      <c r="I25" s="2"/>
      <c r="J25" s="2"/>
      <c r="K25" s="2"/>
      <c r="L25" s="2"/>
      <c r="M25" s="34"/>
    </row>
    <row r="26" spans="1:13" ht="18.75">
      <c r="A26" s="1" t="s">
        <v>513</v>
      </c>
      <c r="B26" s="2"/>
      <c r="C26" s="1"/>
      <c r="D26" s="2"/>
      <c r="E26" s="2"/>
      <c r="F26" s="2"/>
      <c r="G26" s="2"/>
      <c r="H26" s="2"/>
      <c r="I26" s="76">
        <f>I17-I24</f>
        <v>10318696</v>
      </c>
      <c r="J26" s="76">
        <f>J17-J24</f>
        <v>130699</v>
      </c>
      <c r="K26" s="76">
        <f>K17-K24</f>
        <v>-1662</v>
      </c>
      <c r="L26" s="76">
        <f>L17-L24</f>
        <v>10447733</v>
      </c>
      <c r="M26" s="34"/>
    </row>
    <row r="27" spans="1:13" ht="18.75">
      <c r="A27" s="1" t="s">
        <v>22</v>
      </c>
      <c r="B27" s="2"/>
      <c r="C27" s="1"/>
      <c r="D27" s="2"/>
      <c r="E27" s="2"/>
      <c r="F27" s="2"/>
      <c r="G27" s="2"/>
      <c r="H27" s="2"/>
      <c r="I27" s="76">
        <f>I10+I26</f>
        <v>11531478</v>
      </c>
      <c r="J27" s="76">
        <f>J10+J26</f>
        <v>224434</v>
      </c>
      <c r="K27" s="76">
        <f>K10+K26</f>
        <v>-1662</v>
      </c>
      <c r="L27" s="76">
        <f>L10+L26</f>
        <v>11754250</v>
      </c>
      <c r="M27" s="51">
        <f>SUM(M8:M25)</f>
        <v>11754250</v>
      </c>
    </row>
  </sheetData>
  <mergeCells count="3">
    <mergeCell ref="D1:I1"/>
    <mergeCell ref="D2:I2"/>
    <mergeCell ref="D3:I3"/>
  </mergeCells>
  <pageMargins left="0.7" right="0.7" top="0.75" bottom="0.75" header="0.3" footer="0.3"/>
  <extLst>
    <ext xmlns:mx="http://schemas.microsoft.com/office/mac/excel/2008/main" uri="{64002731-A6B0-56B0-2670-7721B7C09600}">
      <mx:PLV Mode="0" OnePage="0" WScale="0"/>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M25"/>
  <sheetViews>
    <sheetView zoomScale="80" zoomScaleNormal="80" zoomScalePageLayoutView="80" workbookViewId="0">
      <selection activeCell="I10" sqref="I10"/>
    </sheetView>
  </sheetViews>
  <sheetFormatPr defaultColWidth="8.85546875" defaultRowHeight="15"/>
  <cols>
    <col min="9" max="9" width="17.42578125" customWidth="1"/>
    <col min="10" max="10" width="14.28515625" bestFit="1" customWidth="1"/>
    <col min="11" max="11" width="15.85546875" customWidth="1"/>
    <col min="12" max="13" width="20.42578125" customWidth="1"/>
  </cols>
  <sheetData>
    <row r="1" spans="1:13" ht="18.75">
      <c r="A1" s="2"/>
      <c r="B1" s="2"/>
      <c r="C1" s="2"/>
      <c r="D1" s="136" t="s">
        <v>514</v>
      </c>
      <c r="E1" s="136"/>
      <c r="F1" s="136"/>
      <c r="G1" s="136"/>
      <c r="H1" s="136"/>
      <c r="I1" s="136"/>
      <c r="J1" s="2"/>
      <c r="K1" s="2"/>
      <c r="L1" s="2"/>
    </row>
    <row r="2" spans="1:13" ht="18.75">
      <c r="A2" s="2"/>
      <c r="B2" s="2"/>
      <c r="C2" s="2"/>
      <c r="D2" s="136" t="s">
        <v>1</v>
      </c>
      <c r="E2" s="136"/>
      <c r="F2" s="136"/>
      <c r="G2" s="136"/>
      <c r="H2" s="136"/>
      <c r="I2" s="136"/>
      <c r="J2" s="2"/>
      <c r="K2" s="2"/>
      <c r="L2" s="2"/>
    </row>
    <row r="3" spans="1:13" ht="18.75">
      <c r="A3" s="2"/>
      <c r="B3" s="2"/>
      <c r="C3" s="2"/>
      <c r="D3" s="136" t="s">
        <v>2</v>
      </c>
      <c r="E3" s="136"/>
      <c r="F3" s="136"/>
      <c r="G3" s="136"/>
      <c r="H3" s="136"/>
      <c r="I3" s="136"/>
      <c r="J3" s="2"/>
      <c r="K3" s="2"/>
      <c r="L3" s="2"/>
    </row>
    <row r="4" spans="1:13" ht="18.75">
      <c r="A4" s="2"/>
      <c r="B4" s="2"/>
      <c r="C4" s="2"/>
      <c r="D4" s="69"/>
      <c r="E4" s="69"/>
      <c r="F4" s="69"/>
      <c r="G4" s="69"/>
      <c r="H4" s="69"/>
      <c r="I4" s="69"/>
      <c r="J4" s="2"/>
      <c r="K4" s="2"/>
      <c r="L4" s="2"/>
    </row>
    <row r="5" spans="1:13" ht="56.25">
      <c r="A5" s="2"/>
      <c r="B5" s="2"/>
      <c r="C5" s="2"/>
      <c r="D5" s="2"/>
      <c r="E5" s="2"/>
      <c r="F5" s="2"/>
      <c r="G5" s="2"/>
      <c r="H5" s="2"/>
      <c r="I5" s="71" t="s">
        <v>83</v>
      </c>
      <c r="J5" s="71" t="s">
        <v>45</v>
      </c>
      <c r="K5" s="71" t="s">
        <v>483</v>
      </c>
      <c r="L5" s="71" t="s">
        <v>85</v>
      </c>
      <c r="M5" s="71" t="s">
        <v>7</v>
      </c>
    </row>
    <row r="6" spans="1:13" ht="18.75">
      <c r="A6" s="2"/>
      <c r="B6" s="2"/>
      <c r="C6" s="2"/>
      <c r="D6" s="2"/>
      <c r="E6" s="2"/>
      <c r="F6" s="2"/>
      <c r="G6" s="2"/>
      <c r="H6" s="2"/>
      <c r="I6" s="71"/>
      <c r="J6" s="71"/>
      <c r="K6" s="71"/>
      <c r="L6" s="71"/>
      <c r="M6" s="71"/>
    </row>
    <row r="7" spans="1:13" ht="18.75">
      <c r="A7" s="1" t="s">
        <v>9</v>
      </c>
      <c r="B7" s="1"/>
      <c r="C7" s="1"/>
      <c r="D7" s="1"/>
      <c r="E7" s="1"/>
      <c r="F7" s="1"/>
      <c r="G7" s="2"/>
      <c r="H7" s="2"/>
      <c r="I7" s="40"/>
      <c r="J7" s="40"/>
      <c r="K7" s="40"/>
      <c r="L7" s="40"/>
    </row>
    <row r="8" spans="1:13" ht="18.75">
      <c r="A8" s="2"/>
      <c r="B8" s="2" t="s">
        <v>10</v>
      </c>
      <c r="C8" s="2"/>
      <c r="D8" s="2"/>
      <c r="E8" s="2"/>
      <c r="F8" s="2"/>
      <c r="G8" s="2"/>
      <c r="H8" s="2"/>
      <c r="I8" s="40">
        <v>1760826</v>
      </c>
      <c r="J8" s="40"/>
      <c r="K8" s="40"/>
      <c r="L8" s="40">
        <f>SUM(I8:K8)</f>
        <v>1760826</v>
      </c>
      <c r="M8" s="51">
        <f>L8</f>
        <v>1760826</v>
      </c>
    </row>
    <row r="9" spans="1:13" ht="18.75">
      <c r="A9" s="2"/>
      <c r="B9" s="2" t="s">
        <v>11</v>
      </c>
      <c r="C9" s="2"/>
      <c r="D9" s="2"/>
      <c r="E9" s="2"/>
      <c r="F9" s="2"/>
      <c r="G9" s="2"/>
      <c r="H9" s="2"/>
      <c r="I9" s="2">
        <v>1260003</v>
      </c>
      <c r="J9" s="2">
        <v>1013283</v>
      </c>
      <c r="K9" s="2">
        <v>-1184805</v>
      </c>
      <c r="L9" s="40">
        <f>SUM(I9:K9)</f>
        <v>1088481</v>
      </c>
      <c r="M9" s="51">
        <f>L9</f>
        <v>1088481</v>
      </c>
    </row>
    <row r="10" spans="1:13" ht="18.75">
      <c r="A10" s="1"/>
      <c r="B10" s="1"/>
      <c r="C10" s="1" t="s">
        <v>68</v>
      </c>
      <c r="D10" s="1"/>
      <c r="E10" s="1"/>
      <c r="F10" s="1"/>
      <c r="G10" s="1"/>
      <c r="H10" s="1"/>
      <c r="I10" s="85">
        <f>SUM(I8:I9)</f>
        <v>3020829</v>
      </c>
      <c r="J10" s="85">
        <f>SUM(J8:J9)</f>
        <v>1013283</v>
      </c>
      <c r="K10" s="85">
        <f>SUM(K8:K9)</f>
        <v>-1184805</v>
      </c>
      <c r="L10" s="85">
        <f>SUM(L8:L9)</f>
        <v>2849307</v>
      </c>
      <c r="M10" s="34"/>
    </row>
    <row r="11" spans="1:13" ht="18.75">
      <c r="A11" s="2"/>
      <c r="B11" s="2"/>
      <c r="C11" s="2"/>
      <c r="D11" s="2"/>
      <c r="E11" s="2"/>
      <c r="F11" s="2"/>
      <c r="G11" s="2"/>
      <c r="H11" s="2"/>
      <c r="I11" s="2"/>
      <c r="J11" s="2"/>
      <c r="K11" s="2"/>
      <c r="L11" s="2"/>
      <c r="M11" s="34"/>
    </row>
    <row r="12" spans="1:13" ht="18.75">
      <c r="A12" s="1" t="s">
        <v>371</v>
      </c>
      <c r="B12" s="2"/>
      <c r="C12" s="2"/>
      <c r="D12" s="2"/>
      <c r="E12" s="2"/>
      <c r="F12" s="2"/>
      <c r="G12" s="2"/>
      <c r="H12" s="2"/>
      <c r="I12" s="2"/>
      <c r="J12" s="2"/>
      <c r="K12" s="2"/>
      <c r="L12" s="2"/>
      <c r="M12" s="34"/>
    </row>
    <row r="13" spans="1:13" ht="18.75">
      <c r="A13" s="2"/>
      <c r="B13" s="2" t="s">
        <v>32</v>
      </c>
      <c r="C13" s="2"/>
      <c r="D13" s="2"/>
      <c r="E13" s="2"/>
      <c r="F13" s="2"/>
      <c r="G13" s="2"/>
      <c r="H13" s="2"/>
      <c r="I13" s="2">
        <v>38291753</v>
      </c>
      <c r="J13" s="40">
        <v>481260</v>
      </c>
      <c r="K13" s="40">
        <v>108412</v>
      </c>
      <c r="L13" s="40">
        <f>SUM(I13:K13)</f>
        <v>38881425</v>
      </c>
      <c r="M13" s="34"/>
    </row>
    <row r="14" spans="1:13" ht="18.75">
      <c r="A14" s="2"/>
      <c r="B14" s="2" t="s">
        <v>33</v>
      </c>
      <c r="C14" s="2"/>
      <c r="D14" s="2"/>
      <c r="E14" s="2"/>
      <c r="F14" s="2"/>
      <c r="G14" s="2"/>
      <c r="H14" s="2"/>
      <c r="I14" s="2">
        <v>12709101</v>
      </c>
      <c r="J14" s="40">
        <v>1027833</v>
      </c>
      <c r="K14" s="40">
        <v>-387063</v>
      </c>
      <c r="L14" s="40">
        <f>SUM(I14:K14)</f>
        <v>13349871</v>
      </c>
      <c r="M14" s="34"/>
    </row>
    <row r="15" spans="1:13" ht="18.75">
      <c r="A15" s="2"/>
      <c r="B15" s="2" t="s">
        <v>17</v>
      </c>
      <c r="C15" s="2"/>
      <c r="D15" s="2"/>
      <c r="E15" s="2"/>
      <c r="F15" s="2"/>
      <c r="G15" s="2"/>
      <c r="H15" s="2"/>
      <c r="I15" s="2">
        <v>38707036</v>
      </c>
      <c r="J15" s="40">
        <v>1182351</v>
      </c>
      <c r="K15" s="40">
        <v>1068302</v>
      </c>
      <c r="L15" s="40">
        <f>SUM(I15:K15)</f>
        <v>40957689</v>
      </c>
      <c r="M15" s="34"/>
    </row>
    <row r="16" spans="1:13" ht="18.75">
      <c r="A16" s="2"/>
      <c r="B16" s="2"/>
      <c r="C16" s="1" t="s">
        <v>18</v>
      </c>
      <c r="D16" s="2"/>
      <c r="E16" s="2"/>
      <c r="F16" s="2"/>
      <c r="G16" s="2"/>
      <c r="H16" s="2"/>
      <c r="I16" s="86">
        <f>SUM(I13:I15)</f>
        <v>89707890</v>
      </c>
      <c r="J16" s="86">
        <f>SUM(J13:J15)</f>
        <v>2691444</v>
      </c>
      <c r="K16" s="86">
        <f>SUM(K13:K15)</f>
        <v>789651</v>
      </c>
      <c r="L16" s="86">
        <f>SUM(L13:L15)</f>
        <v>93188985</v>
      </c>
      <c r="M16" s="34"/>
    </row>
    <row r="17" spans="1:13" ht="18.75">
      <c r="A17" s="2"/>
      <c r="B17" s="2"/>
      <c r="C17" s="2"/>
      <c r="D17" s="2"/>
      <c r="E17" s="2"/>
      <c r="F17" s="2"/>
      <c r="G17" s="2"/>
      <c r="H17" s="2"/>
      <c r="I17" s="2"/>
      <c r="J17" s="2"/>
      <c r="K17" s="2"/>
      <c r="L17" s="2"/>
      <c r="M17" s="34"/>
    </row>
    <row r="18" spans="1:13" ht="18.75">
      <c r="A18" s="1" t="s">
        <v>376</v>
      </c>
      <c r="B18" s="2"/>
      <c r="C18" s="2"/>
      <c r="D18" s="2"/>
      <c r="E18" s="2"/>
      <c r="F18" s="2"/>
      <c r="G18" s="2"/>
      <c r="H18" s="2"/>
      <c r="I18" s="2"/>
      <c r="J18" s="40"/>
      <c r="K18" s="40"/>
      <c r="L18" s="40"/>
      <c r="M18" s="34"/>
    </row>
    <row r="19" spans="1:13" ht="18.75">
      <c r="A19" s="2"/>
      <c r="B19" s="2" t="s">
        <v>32</v>
      </c>
      <c r="C19" s="2"/>
      <c r="D19" s="2"/>
      <c r="E19" s="2"/>
      <c r="F19" s="2"/>
      <c r="G19" s="2"/>
      <c r="H19" s="2"/>
      <c r="I19" s="40">
        <v>-12953778</v>
      </c>
      <c r="J19" s="40">
        <v>-909759</v>
      </c>
      <c r="K19" s="40"/>
      <c r="L19" s="40">
        <f>SUM(I19:K19)</f>
        <v>-13863537</v>
      </c>
      <c r="M19" s="51">
        <f>L13+L19</f>
        <v>25017888</v>
      </c>
    </row>
    <row r="20" spans="1:13" ht="18.75">
      <c r="A20" s="2"/>
      <c r="B20" s="2" t="s">
        <v>33</v>
      </c>
      <c r="C20" s="2"/>
      <c r="D20" s="2"/>
      <c r="E20" s="2"/>
      <c r="F20" s="2"/>
      <c r="G20" s="2"/>
      <c r="H20" s="2"/>
      <c r="I20" s="40">
        <v>-9346093</v>
      </c>
      <c r="J20" s="40">
        <v>-1216623</v>
      </c>
      <c r="K20" s="40">
        <v>407275</v>
      </c>
      <c r="L20" s="40">
        <f>SUM(I20:K20)</f>
        <v>-10155441</v>
      </c>
      <c r="M20" s="51">
        <f>L14+L20</f>
        <v>3194430</v>
      </c>
    </row>
    <row r="21" spans="1:13" ht="18.75">
      <c r="A21" s="2"/>
      <c r="B21" s="2" t="s">
        <v>17</v>
      </c>
      <c r="C21" s="2"/>
      <c r="D21" s="2"/>
      <c r="E21" s="2"/>
      <c r="F21" s="2"/>
      <c r="G21" s="2"/>
      <c r="H21" s="2"/>
      <c r="I21" s="40">
        <v>-9263785</v>
      </c>
      <c r="J21" s="40">
        <v>-1003862</v>
      </c>
      <c r="K21" s="40"/>
      <c r="L21" s="40">
        <f>SUM(I21:K21)</f>
        <v>-10267647</v>
      </c>
      <c r="M21" s="51">
        <f>L15+L21</f>
        <v>30690042</v>
      </c>
    </row>
    <row r="22" spans="1:13" ht="18.75">
      <c r="A22" s="1"/>
      <c r="B22" s="2"/>
      <c r="C22" s="1" t="s">
        <v>20</v>
      </c>
      <c r="D22" s="2"/>
      <c r="E22" s="2"/>
      <c r="F22" s="2"/>
      <c r="G22" s="2"/>
      <c r="H22" s="2"/>
      <c r="I22" s="76">
        <f>SUM(I19:I21)</f>
        <v>-31563656</v>
      </c>
      <c r="J22" s="76">
        <f>SUM(J19:J21)</f>
        <v>-3130244</v>
      </c>
      <c r="K22" s="76">
        <f>SUM(K19:K21)</f>
        <v>407275</v>
      </c>
      <c r="L22" s="76">
        <f>SUM(L19:L21)</f>
        <v>-34286625</v>
      </c>
      <c r="M22" s="34"/>
    </row>
    <row r="23" spans="1:13" ht="18.75">
      <c r="A23" s="2"/>
      <c r="B23" s="2"/>
      <c r="C23" s="2"/>
      <c r="D23" s="2"/>
      <c r="E23" s="2"/>
      <c r="F23" s="2"/>
      <c r="G23" s="2"/>
      <c r="H23" s="2"/>
      <c r="I23" s="2"/>
      <c r="J23" s="2"/>
      <c r="K23" s="2"/>
      <c r="L23" s="2"/>
      <c r="M23" s="34"/>
    </row>
    <row r="24" spans="1:13" ht="18.75">
      <c r="A24" s="1" t="s">
        <v>445</v>
      </c>
      <c r="B24" s="2"/>
      <c r="C24" s="1"/>
      <c r="D24" s="2"/>
      <c r="E24" s="2"/>
      <c r="F24" s="2"/>
      <c r="G24" s="2"/>
      <c r="H24" s="2"/>
      <c r="I24" s="76">
        <f>I16+I22</f>
        <v>58144234</v>
      </c>
      <c r="J24" s="76">
        <f t="shared" ref="J24:L24" si="0">J16+J22</f>
        <v>-438800</v>
      </c>
      <c r="K24" s="76">
        <f t="shared" si="0"/>
        <v>1196926</v>
      </c>
      <c r="L24" s="76">
        <f t="shared" si="0"/>
        <v>58902360</v>
      </c>
      <c r="M24" s="34"/>
    </row>
    <row r="25" spans="1:13" ht="18.75">
      <c r="A25" s="1" t="s">
        <v>22</v>
      </c>
      <c r="B25" s="2"/>
      <c r="C25" s="1"/>
      <c r="D25" s="2"/>
      <c r="E25" s="2"/>
      <c r="F25" s="2"/>
      <c r="G25" s="2"/>
      <c r="H25" s="2"/>
      <c r="I25" s="76">
        <f>I10+I24</f>
        <v>61165063</v>
      </c>
      <c r="J25" s="76">
        <f>J10+J24</f>
        <v>574483</v>
      </c>
      <c r="K25" s="76">
        <f>K10+K24</f>
        <v>12121</v>
      </c>
      <c r="L25" s="76">
        <f>L10+L24</f>
        <v>61751667</v>
      </c>
      <c r="M25" s="51">
        <f>SUM(M8:M23)</f>
        <v>61751667</v>
      </c>
    </row>
  </sheetData>
  <mergeCells count="3">
    <mergeCell ref="D1:I1"/>
    <mergeCell ref="D2:I2"/>
    <mergeCell ref="D3:I3"/>
  </mergeCells>
  <pageMargins left="0.7" right="0.7" top="0.75" bottom="0.75" header="0.3" footer="0.3"/>
  <extLst>
    <ext xmlns:mx="http://schemas.microsoft.com/office/mac/excel/2008/main" uri="{64002731-A6B0-56B0-2670-7721B7C09600}">
      <mx:PLV Mode="0" OnePage="0" WScale="0"/>
    </ext>
  </extLs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N39"/>
  <sheetViews>
    <sheetView zoomScale="70" zoomScaleNormal="70" zoomScalePageLayoutView="70" workbookViewId="0">
      <selection sqref="A1:XFD1048576"/>
    </sheetView>
  </sheetViews>
  <sheetFormatPr defaultColWidth="8.85546875" defaultRowHeight="15"/>
  <cols>
    <col min="9" max="9" width="19.140625" customWidth="1"/>
    <col min="10" max="10" width="17.7109375" customWidth="1"/>
    <col min="11" max="11" width="16" customWidth="1"/>
    <col min="12" max="12" width="18.85546875" customWidth="1"/>
    <col min="13" max="13" width="17" customWidth="1"/>
    <col min="14" max="14" width="16" bestFit="1" customWidth="1"/>
  </cols>
  <sheetData>
    <row r="1" spans="1:14" ht="18.75">
      <c r="A1" s="2"/>
      <c r="B1" s="2"/>
      <c r="C1" s="2"/>
      <c r="D1" s="136" t="s">
        <v>515</v>
      </c>
      <c r="E1" s="136"/>
      <c r="F1" s="136"/>
      <c r="G1" s="136"/>
      <c r="H1" s="136"/>
      <c r="I1" s="136"/>
      <c r="J1" s="3"/>
      <c r="K1" s="3"/>
      <c r="L1" s="3"/>
      <c r="M1" s="2"/>
    </row>
    <row r="2" spans="1:14" ht="18.75">
      <c r="A2" s="2"/>
      <c r="B2" s="2"/>
      <c r="C2" s="2"/>
      <c r="D2" s="136" t="s">
        <v>1</v>
      </c>
      <c r="E2" s="136"/>
      <c r="F2" s="136"/>
      <c r="G2" s="136"/>
      <c r="H2" s="136"/>
      <c r="I2" s="136"/>
      <c r="J2" s="3"/>
      <c r="K2" s="3"/>
      <c r="L2" s="3"/>
      <c r="M2" s="2"/>
    </row>
    <row r="3" spans="1:14" ht="18.75">
      <c r="A3" s="2"/>
      <c r="B3" s="2"/>
      <c r="C3" s="2"/>
      <c r="D3" s="136" t="s">
        <v>2</v>
      </c>
      <c r="E3" s="136"/>
      <c r="F3" s="136"/>
      <c r="G3" s="136"/>
      <c r="H3" s="136"/>
      <c r="I3" s="136"/>
      <c r="J3" s="3"/>
      <c r="K3" s="3"/>
      <c r="L3" s="3"/>
      <c r="M3" s="2"/>
    </row>
    <row r="4" spans="1:14" ht="18.75">
      <c r="A4" s="2"/>
      <c r="B4" s="2"/>
      <c r="C4" s="2"/>
      <c r="D4" s="69"/>
      <c r="E4" s="69"/>
      <c r="F4" s="69"/>
      <c r="G4" s="69"/>
      <c r="H4" s="69"/>
      <c r="I4" s="4"/>
      <c r="J4" s="3"/>
      <c r="K4" s="3"/>
      <c r="L4" s="3"/>
      <c r="M4" s="2"/>
    </row>
    <row r="5" spans="1:14" ht="37.5">
      <c r="A5" s="2"/>
      <c r="B5" s="2"/>
      <c r="C5" s="2"/>
      <c r="D5" s="2"/>
      <c r="E5" s="2"/>
      <c r="F5" s="2"/>
      <c r="G5" s="2"/>
      <c r="H5" s="2"/>
      <c r="I5" s="11" t="s">
        <v>3</v>
      </c>
      <c r="J5" s="11" t="s">
        <v>150</v>
      </c>
      <c r="K5" s="11" t="s">
        <v>45</v>
      </c>
      <c r="L5" s="11" t="s">
        <v>46</v>
      </c>
      <c r="M5" s="11" t="s">
        <v>182</v>
      </c>
      <c r="N5" s="11" t="s">
        <v>7</v>
      </c>
    </row>
    <row r="6" spans="1:14" ht="18.75">
      <c r="A6" s="2"/>
      <c r="B6" s="2"/>
      <c r="C6" s="2"/>
      <c r="D6" s="2"/>
      <c r="E6" s="2"/>
      <c r="F6" s="2"/>
      <c r="G6" s="2"/>
      <c r="H6" s="2"/>
      <c r="I6" s="16"/>
      <c r="J6" s="16"/>
      <c r="K6" s="16"/>
      <c r="L6" s="16"/>
      <c r="M6" s="2"/>
    </row>
    <row r="7" spans="1:14" ht="18.75">
      <c r="A7" s="1" t="s">
        <v>9</v>
      </c>
      <c r="B7" s="1"/>
      <c r="C7" s="1"/>
      <c r="D7" s="1"/>
      <c r="E7" s="1"/>
      <c r="F7" s="1"/>
      <c r="G7" s="2"/>
      <c r="H7" s="2"/>
      <c r="I7" s="3"/>
      <c r="J7" s="3"/>
      <c r="K7" s="3"/>
      <c r="L7" s="3"/>
      <c r="M7" s="2"/>
      <c r="N7" s="34"/>
    </row>
    <row r="8" spans="1:14" ht="18.75">
      <c r="A8" s="2"/>
      <c r="B8" s="2" t="s">
        <v>10</v>
      </c>
      <c r="C8" s="2"/>
      <c r="D8" s="2"/>
      <c r="E8" s="2"/>
      <c r="F8" s="2"/>
      <c r="G8" s="2"/>
      <c r="H8" s="2"/>
      <c r="I8" s="3">
        <v>936927</v>
      </c>
      <c r="J8" s="3"/>
      <c r="K8" s="3"/>
      <c r="L8" s="3"/>
      <c r="M8" s="3">
        <f>SUM(I8:L8)</f>
        <v>936927</v>
      </c>
      <c r="N8" s="35">
        <f>M8</f>
        <v>936927</v>
      </c>
    </row>
    <row r="9" spans="1:14" ht="18.75">
      <c r="A9" s="2"/>
      <c r="B9" s="2" t="s">
        <v>516</v>
      </c>
      <c r="C9" s="2"/>
      <c r="D9" s="2"/>
      <c r="E9" s="2"/>
      <c r="F9" s="2"/>
      <c r="G9" s="2"/>
      <c r="H9" s="2"/>
      <c r="I9" s="3">
        <v>89589</v>
      </c>
      <c r="J9" s="3"/>
      <c r="K9" s="3"/>
      <c r="L9" s="3"/>
      <c r="M9" s="3">
        <f t="shared" ref="M9:M10" si="0">SUM(I9:L9)</f>
        <v>89589</v>
      </c>
      <c r="N9" s="35">
        <f>M9</f>
        <v>89589</v>
      </c>
    </row>
    <row r="10" spans="1:14" ht="18.75">
      <c r="A10" s="2"/>
      <c r="B10" s="2" t="s">
        <v>11</v>
      </c>
      <c r="C10" s="2"/>
      <c r="D10" s="2"/>
      <c r="E10" s="2"/>
      <c r="F10" s="2"/>
      <c r="G10" s="2"/>
      <c r="H10" s="2"/>
      <c r="I10" s="3">
        <v>24000</v>
      </c>
      <c r="J10" s="3"/>
      <c r="K10" s="3">
        <v>410063</v>
      </c>
      <c r="L10" s="3"/>
      <c r="M10" s="3">
        <f t="shared" si="0"/>
        <v>434063</v>
      </c>
      <c r="N10" s="35">
        <f>M10</f>
        <v>434063</v>
      </c>
    </row>
    <row r="11" spans="1:14" ht="18.75">
      <c r="A11" s="1"/>
      <c r="B11" s="1"/>
      <c r="C11" s="1" t="s">
        <v>517</v>
      </c>
      <c r="D11" s="1"/>
      <c r="E11" s="1"/>
      <c r="F11" s="1"/>
      <c r="G11" s="1"/>
      <c r="H11" s="1"/>
      <c r="I11" s="12">
        <f>SUM(I8:I10)</f>
        <v>1050516</v>
      </c>
      <c r="J11" s="12">
        <f>SUM(J8:J10)</f>
        <v>0</v>
      </c>
      <c r="K11" s="12">
        <f>SUM(K8:K10)</f>
        <v>410063</v>
      </c>
      <c r="L11" s="12"/>
      <c r="M11" s="12">
        <f>SUM(M8:M10)</f>
        <v>1460579</v>
      </c>
      <c r="N11" s="41"/>
    </row>
    <row r="12" spans="1:14" ht="18.75">
      <c r="A12" s="2"/>
      <c r="B12" s="2"/>
      <c r="C12" s="2"/>
      <c r="D12" s="2"/>
      <c r="E12" s="2"/>
      <c r="F12" s="2"/>
      <c r="G12" s="2"/>
      <c r="H12" s="2"/>
      <c r="I12" s="3"/>
      <c r="J12" s="3"/>
      <c r="K12" s="3"/>
      <c r="L12" s="3"/>
      <c r="M12" s="2"/>
      <c r="N12" s="34"/>
    </row>
    <row r="13" spans="1:14" ht="18.75">
      <c r="A13" s="1" t="s">
        <v>13</v>
      </c>
      <c r="B13" s="2"/>
      <c r="C13" s="2"/>
      <c r="D13" s="2"/>
      <c r="E13" s="2"/>
      <c r="F13" s="2"/>
      <c r="G13" s="2"/>
      <c r="H13" s="2"/>
      <c r="I13" s="3"/>
      <c r="J13" s="3"/>
      <c r="K13" s="3"/>
      <c r="L13" s="3"/>
      <c r="M13" s="2"/>
      <c r="N13" s="34"/>
    </row>
    <row r="14" spans="1:14" ht="18.75">
      <c r="A14" s="1"/>
      <c r="B14" s="2" t="s">
        <v>17</v>
      </c>
      <c r="C14" s="2"/>
      <c r="D14" s="2"/>
      <c r="E14" s="2"/>
      <c r="F14" s="2"/>
      <c r="G14" s="2"/>
      <c r="H14" s="2"/>
      <c r="I14" s="3"/>
      <c r="J14" s="3"/>
      <c r="K14" s="3"/>
      <c r="L14" s="3"/>
      <c r="M14" s="2"/>
      <c r="N14" s="34"/>
    </row>
    <row r="15" spans="1:14" ht="18.75">
      <c r="A15" s="1"/>
      <c r="B15" s="2"/>
      <c r="C15" s="2" t="s">
        <v>53</v>
      </c>
      <c r="D15" s="2"/>
      <c r="E15" s="2"/>
      <c r="F15" s="2"/>
      <c r="G15" s="2"/>
      <c r="H15" s="2"/>
      <c r="I15" s="3">
        <v>36388038</v>
      </c>
      <c r="J15" s="3">
        <v>-257987</v>
      </c>
      <c r="K15" s="3"/>
      <c r="L15" s="3"/>
      <c r="M15" s="3">
        <f>SUM(I15:L15)</f>
        <v>36130051</v>
      </c>
      <c r="N15" s="34"/>
    </row>
    <row r="16" spans="1:14" ht="18.75">
      <c r="A16" s="1"/>
      <c r="B16" s="2"/>
      <c r="C16" s="2" t="s">
        <v>54</v>
      </c>
      <c r="D16" s="2"/>
      <c r="E16" s="2"/>
      <c r="F16" s="2"/>
      <c r="G16" s="2"/>
      <c r="H16" s="2"/>
      <c r="I16" s="3">
        <v>1644448</v>
      </c>
      <c r="J16" s="3"/>
      <c r="K16" s="3"/>
      <c r="L16" s="3"/>
      <c r="M16" s="3">
        <f t="shared" ref="M16:M22" si="1">SUM(I16:L16)</f>
        <v>1644448</v>
      </c>
      <c r="N16" s="34"/>
    </row>
    <row r="17" spans="1:14" ht="18.75">
      <c r="A17" s="1"/>
      <c r="B17" s="2" t="s">
        <v>14</v>
      </c>
      <c r="C17" s="2"/>
      <c r="D17" s="2"/>
      <c r="E17" s="2"/>
      <c r="F17" s="2"/>
      <c r="G17" s="2"/>
      <c r="H17" s="2"/>
      <c r="I17" s="3">
        <v>6360686</v>
      </c>
      <c r="J17" s="3"/>
      <c r="K17" s="3">
        <v>502595</v>
      </c>
      <c r="L17" s="3"/>
      <c r="M17" s="3">
        <f t="shared" si="1"/>
        <v>6863281</v>
      </c>
      <c r="N17" s="34"/>
    </row>
    <row r="18" spans="1:14" ht="18.75">
      <c r="A18" s="2"/>
      <c r="B18" s="2" t="s">
        <v>52</v>
      </c>
      <c r="C18" s="2"/>
      <c r="D18" s="2"/>
      <c r="E18" s="2"/>
      <c r="F18" s="2"/>
      <c r="G18" s="2"/>
      <c r="H18" s="2"/>
      <c r="I18" s="3">
        <v>2852261</v>
      </c>
      <c r="J18" s="3"/>
      <c r="K18" s="3"/>
      <c r="L18" s="3"/>
      <c r="M18" s="3">
        <f t="shared" si="1"/>
        <v>2852261</v>
      </c>
      <c r="N18" s="34"/>
    </row>
    <row r="19" spans="1:14" ht="18.75">
      <c r="A19" s="2"/>
      <c r="B19" s="2" t="s">
        <v>72</v>
      </c>
      <c r="C19" s="2"/>
      <c r="D19" s="2"/>
      <c r="E19" s="2"/>
      <c r="F19" s="2"/>
      <c r="G19" s="2"/>
      <c r="H19" s="2"/>
      <c r="I19" s="3">
        <v>100502</v>
      </c>
      <c r="J19" s="3"/>
      <c r="K19" s="3">
        <v>199119</v>
      </c>
      <c r="L19" s="3">
        <v>-10680</v>
      </c>
      <c r="M19" s="3">
        <f t="shared" si="1"/>
        <v>288941</v>
      </c>
      <c r="N19" s="34"/>
    </row>
    <row r="20" spans="1:14" ht="18.75">
      <c r="A20" s="2"/>
      <c r="B20" s="2" t="s">
        <v>65</v>
      </c>
      <c r="C20" s="2"/>
      <c r="D20" s="2"/>
      <c r="E20" s="2"/>
      <c r="F20" s="2"/>
      <c r="G20" s="2"/>
      <c r="H20" s="2"/>
      <c r="I20" s="3">
        <v>2230042</v>
      </c>
      <c r="J20" s="3"/>
      <c r="K20" s="3">
        <v>68800</v>
      </c>
      <c r="L20" s="3"/>
      <c r="M20" s="3">
        <f t="shared" si="1"/>
        <v>2298842</v>
      </c>
      <c r="N20" s="34"/>
    </row>
    <row r="21" spans="1:14" ht="18.75">
      <c r="A21" s="2"/>
      <c r="B21" s="2" t="s">
        <v>187</v>
      </c>
      <c r="C21" s="2"/>
      <c r="D21" s="2"/>
      <c r="E21" s="2"/>
      <c r="F21" s="2"/>
      <c r="G21" s="2"/>
      <c r="H21" s="2"/>
      <c r="I21" s="3">
        <v>867387</v>
      </c>
      <c r="J21" s="3">
        <v>-5</v>
      </c>
      <c r="K21" s="3">
        <v>19758</v>
      </c>
      <c r="L21" s="3"/>
      <c r="M21" s="3">
        <f t="shared" si="1"/>
        <v>887140</v>
      </c>
      <c r="N21" s="34"/>
    </row>
    <row r="22" spans="1:14" ht="18.75">
      <c r="A22" s="2"/>
      <c r="B22" s="2" t="s">
        <v>30</v>
      </c>
      <c r="C22" s="2"/>
      <c r="D22" s="2"/>
      <c r="E22" s="2"/>
      <c r="F22" s="2"/>
      <c r="G22" s="2"/>
      <c r="H22" s="2"/>
      <c r="I22" s="3">
        <v>2086043</v>
      </c>
      <c r="J22" s="3"/>
      <c r="K22" s="3">
        <v>88509</v>
      </c>
      <c r="L22" s="3"/>
      <c r="M22" s="3">
        <f t="shared" si="1"/>
        <v>2174552</v>
      </c>
      <c r="N22" s="34"/>
    </row>
    <row r="23" spans="1:14" ht="18.75">
      <c r="A23" s="2"/>
      <c r="B23" s="2"/>
      <c r="C23" s="1" t="s">
        <v>18</v>
      </c>
      <c r="D23" s="2"/>
      <c r="E23" s="2"/>
      <c r="F23" s="2"/>
      <c r="G23" s="2"/>
      <c r="H23" s="2"/>
      <c r="I23" s="13">
        <f>SUM(I14:I22)</f>
        <v>52529407</v>
      </c>
      <c r="J23" s="13">
        <f>SUM(J14:J22)</f>
        <v>-257992</v>
      </c>
      <c r="K23" s="13">
        <f>SUM(K14:K22)</f>
        <v>878781</v>
      </c>
      <c r="L23" s="13">
        <f>SUM(L14:L22)</f>
        <v>-10680</v>
      </c>
      <c r="M23" s="13">
        <f>SUM(M15:M22)</f>
        <v>53139516</v>
      </c>
      <c r="N23" s="34"/>
    </row>
    <row r="24" spans="1:14" ht="18.75">
      <c r="A24" s="2"/>
      <c r="B24" s="2"/>
      <c r="C24" s="1"/>
      <c r="D24" s="2"/>
      <c r="E24" s="2"/>
      <c r="F24" s="2"/>
      <c r="G24" s="2"/>
      <c r="H24" s="2"/>
      <c r="I24" s="15"/>
      <c r="J24" s="15"/>
      <c r="K24" s="15"/>
      <c r="L24" s="15"/>
      <c r="M24" s="2"/>
      <c r="N24" s="34"/>
    </row>
    <row r="25" spans="1:14" ht="18.75">
      <c r="A25" s="1" t="s">
        <v>19</v>
      </c>
      <c r="B25" s="2"/>
      <c r="C25" s="2"/>
      <c r="D25" s="2"/>
      <c r="E25" s="2"/>
      <c r="F25" s="2"/>
      <c r="G25" s="2"/>
      <c r="H25" s="2"/>
      <c r="I25" s="3"/>
      <c r="J25" s="3"/>
      <c r="K25" s="3"/>
      <c r="L25" s="3"/>
      <c r="M25" s="2"/>
      <c r="N25" s="34"/>
    </row>
    <row r="26" spans="1:14" ht="18.75">
      <c r="A26" s="2"/>
      <c r="B26" s="2" t="s">
        <v>135</v>
      </c>
      <c r="C26" s="2"/>
      <c r="D26" s="2"/>
      <c r="E26" s="2"/>
      <c r="F26" s="2"/>
      <c r="G26" s="2"/>
      <c r="H26" s="2"/>
      <c r="I26" s="3"/>
      <c r="J26" s="3"/>
      <c r="L26" s="3"/>
      <c r="M26" s="3"/>
      <c r="N26" s="34"/>
    </row>
    <row r="27" spans="1:14" ht="18.75">
      <c r="A27" s="2"/>
      <c r="B27" s="2"/>
      <c r="C27" s="2" t="s">
        <v>53</v>
      </c>
      <c r="D27" s="2"/>
      <c r="E27" s="2"/>
      <c r="F27" s="2"/>
      <c r="G27" s="2"/>
      <c r="H27" s="2"/>
      <c r="I27" s="3">
        <v>-30243181</v>
      </c>
      <c r="J27" s="3"/>
      <c r="K27" s="3">
        <v>-394956</v>
      </c>
      <c r="L27" s="3"/>
      <c r="M27" s="3">
        <f>SUM(I27:L27)</f>
        <v>-30638137</v>
      </c>
      <c r="N27" s="35">
        <f>M15+M27</f>
        <v>5491914</v>
      </c>
    </row>
    <row r="28" spans="1:14" ht="18.75">
      <c r="A28" s="2"/>
      <c r="B28" s="2"/>
      <c r="C28" s="2" t="s">
        <v>54</v>
      </c>
      <c r="D28" s="2"/>
      <c r="E28" s="2"/>
      <c r="F28" s="2"/>
      <c r="G28" s="2"/>
      <c r="H28" s="2"/>
      <c r="I28" s="3">
        <v>-892500</v>
      </c>
      <c r="J28" s="3"/>
      <c r="K28" s="3">
        <v>-85188</v>
      </c>
      <c r="L28" s="3"/>
      <c r="M28" s="3">
        <f t="shared" ref="M28:M34" si="2">SUM(I28:L28)</f>
        <v>-977688</v>
      </c>
      <c r="N28" s="35">
        <f>SUM(M16+M28)</f>
        <v>666760</v>
      </c>
    </row>
    <row r="29" spans="1:14" ht="18.75">
      <c r="A29" s="2"/>
      <c r="B29" s="2" t="s">
        <v>14</v>
      </c>
      <c r="C29" s="2"/>
      <c r="D29" s="2"/>
      <c r="E29" s="2"/>
      <c r="F29" s="2"/>
      <c r="G29" s="2"/>
      <c r="H29" s="2"/>
      <c r="I29" s="3">
        <v>-3095734</v>
      </c>
      <c r="J29" s="3"/>
      <c r="K29" s="3">
        <v>-130447</v>
      </c>
      <c r="L29" s="3"/>
      <c r="M29" s="3">
        <f t="shared" si="2"/>
        <v>-3226181</v>
      </c>
      <c r="N29" s="35">
        <f t="shared" ref="N29:N34" si="3">SUM(M17+M29)</f>
        <v>3637100</v>
      </c>
    </row>
    <row r="30" spans="1:14" ht="18.75">
      <c r="A30" s="2"/>
      <c r="B30" s="2" t="s">
        <v>52</v>
      </c>
      <c r="C30" s="2"/>
      <c r="D30" s="2"/>
      <c r="E30" s="2"/>
      <c r="F30" s="2"/>
      <c r="G30" s="2"/>
      <c r="H30" s="2"/>
      <c r="I30" s="3">
        <v>-873368</v>
      </c>
      <c r="J30" s="3"/>
      <c r="K30" s="3">
        <v>-71307</v>
      </c>
      <c r="L30" s="3"/>
      <c r="M30" s="3">
        <f t="shared" si="2"/>
        <v>-944675</v>
      </c>
      <c r="N30" s="35">
        <f>SUM(M18+M30)</f>
        <v>1907586</v>
      </c>
    </row>
    <row r="31" spans="1:14" ht="18.75">
      <c r="A31" s="2"/>
      <c r="B31" s="2" t="s">
        <v>72</v>
      </c>
      <c r="C31" s="2"/>
      <c r="D31" s="2"/>
      <c r="E31" s="2"/>
      <c r="F31" s="2"/>
      <c r="G31" s="2"/>
      <c r="H31" s="2"/>
      <c r="I31" s="3">
        <v>-87163</v>
      </c>
      <c r="J31" s="3"/>
      <c r="K31" s="3">
        <v>-3150</v>
      </c>
      <c r="L31" s="3">
        <v>10680</v>
      </c>
      <c r="M31" s="3">
        <f t="shared" si="2"/>
        <v>-79633</v>
      </c>
      <c r="N31" s="35">
        <f t="shared" si="3"/>
        <v>209308</v>
      </c>
    </row>
    <row r="32" spans="1:14" ht="18.75">
      <c r="A32" s="2"/>
      <c r="B32" s="2" t="s">
        <v>65</v>
      </c>
      <c r="C32" s="2"/>
      <c r="D32" s="2"/>
      <c r="E32" s="2"/>
      <c r="F32" s="2"/>
      <c r="G32" s="2"/>
      <c r="H32" s="2"/>
      <c r="I32" s="3">
        <v>-1761637</v>
      </c>
      <c r="J32" s="3"/>
      <c r="K32" s="3">
        <v>-88679</v>
      </c>
      <c r="L32" s="3"/>
      <c r="M32" s="3">
        <f t="shared" si="2"/>
        <v>-1850316</v>
      </c>
      <c r="N32" s="35">
        <f t="shared" si="3"/>
        <v>448526</v>
      </c>
    </row>
    <row r="33" spans="1:14" ht="18.75">
      <c r="A33" s="2"/>
      <c r="B33" s="2" t="s">
        <v>187</v>
      </c>
      <c r="C33" s="2"/>
      <c r="D33" s="2"/>
      <c r="E33" s="2"/>
      <c r="F33" s="2"/>
      <c r="G33" s="2"/>
      <c r="H33" s="2"/>
      <c r="I33" s="3">
        <v>-678595</v>
      </c>
      <c r="J33" s="3"/>
      <c r="K33" s="3">
        <v>-39422</v>
      </c>
      <c r="L33" s="3"/>
      <c r="M33" s="3">
        <f t="shared" si="2"/>
        <v>-718017</v>
      </c>
      <c r="N33" s="35">
        <f t="shared" si="3"/>
        <v>169123</v>
      </c>
    </row>
    <row r="34" spans="1:14" ht="18.75">
      <c r="A34" s="2"/>
      <c r="B34" s="2" t="s">
        <v>30</v>
      </c>
      <c r="C34" s="2"/>
      <c r="D34" s="2"/>
      <c r="E34" s="2"/>
      <c r="F34" s="2"/>
      <c r="G34" s="2"/>
      <c r="H34" s="2"/>
      <c r="I34" s="3">
        <v>-1930475</v>
      </c>
      <c r="J34" s="3"/>
      <c r="K34" s="3">
        <v>-78190</v>
      </c>
      <c r="L34" s="3"/>
      <c r="M34" s="3">
        <f t="shared" si="2"/>
        <v>-2008665</v>
      </c>
      <c r="N34" s="35">
        <f t="shared" si="3"/>
        <v>165887</v>
      </c>
    </row>
    <row r="35" spans="1:14" ht="18.75">
      <c r="A35" s="1"/>
      <c r="B35" s="1"/>
      <c r="C35" s="1" t="s">
        <v>20</v>
      </c>
      <c r="D35" s="1"/>
      <c r="E35" s="1"/>
      <c r="F35" s="1"/>
      <c r="G35" s="1"/>
      <c r="H35" s="1"/>
      <c r="I35" s="10">
        <f>SUM(I26:I34)</f>
        <v>-39562653</v>
      </c>
      <c r="J35" s="10">
        <f>SUM(J26:J34)</f>
        <v>0</v>
      </c>
      <c r="K35" s="10">
        <f>SUM(K27:K34)</f>
        <v>-891339</v>
      </c>
      <c r="L35" s="10">
        <f>SUM(L26:L34)</f>
        <v>10680</v>
      </c>
      <c r="M35" s="12">
        <f>SUM(M27:M34)</f>
        <v>-40443312</v>
      </c>
      <c r="N35" s="41"/>
    </row>
    <row r="36" spans="1:14" ht="18.75">
      <c r="A36" s="1"/>
      <c r="B36" s="1"/>
      <c r="C36" s="1"/>
      <c r="D36" s="1"/>
      <c r="E36" s="1"/>
      <c r="F36" s="1"/>
      <c r="G36" s="1"/>
      <c r="H36" s="1"/>
      <c r="I36" s="10"/>
      <c r="J36" s="10"/>
      <c r="K36" s="10"/>
      <c r="L36" s="10"/>
      <c r="M36" s="1"/>
      <c r="N36" s="34"/>
    </row>
    <row r="37" spans="1:14" ht="18.75">
      <c r="A37" s="1"/>
      <c r="B37" s="1" t="s">
        <v>21</v>
      </c>
      <c r="C37" s="1"/>
      <c r="D37" s="1"/>
      <c r="E37" s="1"/>
      <c r="F37" s="1"/>
      <c r="G37" s="1"/>
      <c r="H37" s="1"/>
      <c r="I37" s="10">
        <f>I23+I35</f>
        <v>12966754</v>
      </c>
      <c r="J37" s="10">
        <f t="shared" ref="J37:M37" si="4">J23+J35</f>
        <v>-257992</v>
      </c>
      <c r="K37" s="10">
        <f t="shared" si="4"/>
        <v>-12558</v>
      </c>
      <c r="L37" s="10">
        <f t="shared" si="4"/>
        <v>0</v>
      </c>
      <c r="M37" s="10">
        <f t="shared" si="4"/>
        <v>12696204</v>
      </c>
      <c r="N37" s="34"/>
    </row>
    <row r="38" spans="1:14" ht="18.75">
      <c r="A38" s="1"/>
      <c r="B38" s="1"/>
      <c r="C38" s="1"/>
      <c r="D38" s="1"/>
      <c r="E38" s="1"/>
      <c r="F38" s="1"/>
      <c r="G38" s="1"/>
      <c r="H38" s="1"/>
      <c r="I38" s="31"/>
      <c r="J38" s="31"/>
      <c r="K38" s="31"/>
      <c r="L38" s="31"/>
      <c r="M38" s="1"/>
    </row>
    <row r="39" spans="1:14" ht="18.75">
      <c r="A39" s="2"/>
      <c r="B39" s="1" t="s">
        <v>114</v>
      </c>
      <c r="C39" s="2"/>
      <c r="D39" s="2"/>
      <c r="E39" s="2"/>
      <c r="F39" s="2"/>
      <c r="G39" s="2"/>
      <c r="H39" s="2"/>
      <c r="I39" s="14">
        <f>I11+I37</f>
        <v>14017270</v>
      </c>
      <c r="J39" s="14">
        <f>J11+J37</f>
        <v>-257992</v>
      </c>
      <c r="K39" s="14">
        <f>K11+K37</f>
        <v>397505</v>
      </c>
      <c r="L39" s="14">
        <f>L11+L37</f>
        <v>0</v>
      </c>
      <c r="M39" s="14">
        <f>M11+M37</f>
        <v>14156783</v>
      </c>
      <c r="N39" s="42">
        <f>SUM(N8:N34)</f>
        <v>14156783</v>
      </c>
    </row>
  </sheetData>
  <mergeCells count="3">
    <mergeCell ref="D1:I1"/>
    <mergeCell ref="D2:I2"/>
    <mergeCell ref="D3:I3"/>
  </mergeCells>
  <pageMargins left="0.7" right="0.7" top="0.75" bottom="0.75" header="0.3" footer="0.3"/>
  <pageSetup orientation="portrait"/>
  <extLst>
    <ext xmlns:mx="http://schemas.microsoft.com/office/mac/excel/2008/main" uri="{64002731-A6B0-56B0-2670-7721B7C09600}">
      <mx:PLV Mode="0" OnePage="0" WScale="0"/>
    </ext>
  </extLs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M51"/>
  <sheetViews>
    <sheetView workbookViewId="0">
      <selection activeCell="I51" sqref="I51:L51"/>
    </sheetView>
  </sheetViews>
  <sheetFormatPr defaultColWidth="8.85546875" defaultRowHeight="15"/>
  <cols>
    <col min="1" max="1" width="5.7109375" customWidth="1"/>
    <col min="5" max="5" width="5.85546875" customWidth="1"/>
    <col min="6" max="6" width="5.140625" customWidth="1"/>
    <col min="7" max="7" width="6.42578125" customWidth="1"/>
    <col min="9" max="9" width="13.85546875" customWidth="1"/>
    <col min="10" max="10" width="14" bestFit="1" customWidth="1"/>
    <col min="11" max="11" width="11" bestFit="1" customWidth="1"/>
    <col min="12" max="12" width="14" bestFit="1" customWidth="1"/>
    <col min="13" max="13" width="14.85546875" customWidth="1"/>
  </cols>
  <sheetData>
    <row r="1" spans="1:13" ht="18.75">
      <c r="A1" s="2"/>
      <c r="B1" s="2"/>
      <c r="C1" s="2"/>
      <c r="D1" s="136" t="s">
        <v>518</v>
      </c>
      <c r="E1" s="136"/>
      <c r="F1" s="136"/>
      <c r="G1" s="136"/>
      <c r="H1" s="136"/>
      <c r="I1" s="136"/>
      <c r="J1" s="3"/>
      <c r="K1" s="3"/>
      <c r="L1" s="2"/>
    </row>
    <row r="2" spans="1:13" ht="18.75">
      <c r="A2" s="2"/>
      <c r="B2" s="2"/>
      <c r="C2" s="2"/>
      <c r="D2" s="136" t="s">
        <v>1</v>
      </c>
      <c r="E2" s="136"/>
      <c r="F2" s="136"/>
      <c r="G2" s="136"/>
      <c r="H2" s="136"/>
      <c r="I2" s="136"/>
      <c r="J2" s="3"/>
      <c r="K2" s="3"/>
      <c r="L2" s="2"/>
    </row>
    <row r="3" spans="1:13" ht="18.75">
      <c r="A3" s="2"/>
      <c r="B3" s="2"/>
      <c r="C3" s="2"/>
      <c r="D3" s="136" t="s">
        <v>2</v>
      </c>
      <c r="E3" s="136"/>
      <c r="F3" s="136"/>
      <c r="G3" s="136"/>
      <c r="H3" s="136"/>
      <c r="I3" s="136"/>
      <c r="J3" s="3"/>
      <c r="K3" s="3"/>
      <c r="L3" s="2"/>
    </row>
    <row r="4" spans="1:13" ht="18.75">
      <c r="A4" s="2"/>
      <c r="B4" s="2"/>
      <c r="C4" s="2"/>
      <c r="D4" s="69"/>
      <c r="E4" s="69"/>
      <c r="F4" s="69"/>
      <c r="G4" s="69"/>
      <c r="H4" s="69"/>
      <c r="I4" s="4"/>
      <c r="J4" s="3"/>
      <c r="K4" s="3"/>
      <c r="L4" s="2"/>
    </row>
    <row r="5" spans="1:13" ht="56.25">
      <c r="A5" s="2"/>
      <c r="B5" s="2"/>
      <c r="C5" s="2"/>
      <c r="D5" s="2"/>
      <c r="E5" s="2"/>
      <c r="F5" s="2"/>
      <c r="G5" s="2"/>
      <c r="H5" s="2"/>
      <c r="I5" s="11" t="s">
        <v>519</v>
      </c>
      <c r="J5" s="11" t="s">
        <v>45</v>
      </c>
      <c r="K5" s="11" t="s">
        <v>46</v>
      </c>
      <c r="L5" s="11" t="s">
        <v>520</v>
      </c>
      <c r="M5" s="11" t="s">
        <v>7</v>
      </c>
    </row>
    <row r="6" spans="1:13" ht="18.75">
      <c r="A6" s="2"/>
      <c r="B6" s="2"/>
      <c r="C6" s="2"/>
      <c r="D6" s="2"/>
      <c r="E6" s="2"/>
      <c r="F6" s="2"/>
      <c r="G6" s="2"/>
      <c r="H6" s="2"/>
      <c r="I6" s="16"/>
      <c r="J6" s="16"/>
      <c r="K6" s="16"/>
      <c r="L6" s="2"/>
    </row>
    <row r="7" spans="1:13" ht="18.75">
      <c r="A7" s="1" t="s">
        <v>521</v>
      </c>
      <c r="B7" s="1"/>
      <c r="C7" s="1"/>
      <c r="D7" s="1"/>
      <c r="E7" s="1"/>
      <c r="F7" s="1"/>
      <c r="G7" s="2"/>
      <c r="H7" s="2"/>
      <c r="I7" s="3"/>
      <c r="J7" s="3"/>
      <c r="K7" s="3"/>
      <c r="L7" s="2"/>
      <c r="M7" s="34"/>
    </row>
    <row r="8" spans="1:13" ht="18.75">
      <c r="A8" s="2"/>
      <c r="B8" s="2" t="s">
        <v>10</v>
      </c>
      <c r="C8" s="2"/>
      <c r="D8" s="2"/>
      <c r="E8" s="2"/>
      <c r="F8" s="2"/>
      <c r="G8" s="2"/>
      <c r="H8" s="2"/>
      <c r="I8" s="3">
        <v>1388267</v>
      </c>
      <c r="J8" s="3"/>
      <c r="K8" s="3"/>
      <c r="L8" s="3">
        <f>SUM(I8:K8)</f>
        <v>1388267</v>
      </c>
      <c r="M8" s="35">
        <f>L8</f>
        <v>1388267</v>
      </c>
    </row>
    <row r="9" spans="1:13" ht="18.75">
      <c r="A9" s="2"/>
      <c r="B9" s="2" t="s">
        <v>11</v>
      </c>
      <c r="C9" s="2"/>
      <c r="D9" s="2"/>
      <c r="E9" s="2"/>
      <c r="F9" s="2"/>
      <c r="G9" s="2"/>
      <c r="H9" s="2"/>
      <c r="I9" s="3">
        <v>1195435</v>
      </c>
      <c r="J9" s="3">
        <v>1336628</v>
      </c>
      <c r="K9" s="3"/>
      <c r="L9" s="3">
        <f>SUM(I9:K9)</f>
        <v>2532063</v>
      </c>
      <c r="M9" s="35">
        <f>L9</f>
        <v>2532063</v>
      </c>
    </row>
    <row r="10" spans="1:13" ht="18.75">
      <c r="A10" s="1"/>
      <c r="B10" s="1"/>
      <c r="C10" s="1" t="s">
        <v>517</v>
      </c>
      <c r="D10" s="1"/>
      <c r="E10" s="1"/>
      <c r="F10" s="1"/>
      <c r="G10" s="1"/>
      <c r="H10" s="1"/>
      <c r="I10" s="53">
        <f>SUM(I8:I9)</f>
        <v>2583702</v>
      </c>
      <c r="J10" s="53">
        <f>SUM(J8:J9)</f>
        <v>1336628</v>
      </c>
      <c r="K10" s="53"/>
      <c r="L10" s="53">
        <f>SUM(L8:L9)</f>
        <v>3920330</v>
      </c>
      <c r="M10" s="41"/>
    </row>
    <row r="11" spans="1:13" ht="18.75">
      <c r="A11" s="2"/>
      <c r="B11" s="2"/>
      <c r="C11" s="2"/>
      <c r="D11" s="2"/>
      <c r="E11" s="2"/>
      <c r="F11" s="2"/>
      <c r="G11" s="2"/>
      <c r="H11" s="2"/>
      <c r="I11" s="3"/>
      <c r="J11" s="3"/>
      <c r="K11" s="3"/>
      <c r="L11" s="2"/>
      <c r="M11" s="34"/>
    </row>
    <row r="12" spans="1:13" ht="18.75">
      <c r="A12" s="1" t="s">
        <v>522</v>
      </c>
      <c r="B12" s="2"/>
      <c r="C12" s="2"/>
      <c r="D12" s="2"/>
      <c r="E12" s="2"/>
      <c r="F12" s="2"/>
      <c r="G12" s="2"/>
      <c r="H12" s="2"/>
      <c r="I12" s="3"/>
      <c r="J12" s="3"/>
      <c r="K12" s="3"/>
      <c r="L12" s="2"/>
      <c r="M12" s="34"/>
    </row>
    <row r="13" spans="1:13" ht="18.75">
      <c r="A13" s="1"/>
      <c r="B13" s="2" t="s">
        <v>32</v>
      </c>
      <c r="C13" s="2"/>
      <c r="D13" s="2"/>
      <c r="E13" s="2"/>
      <c r="F13" s="2"/>
      <c r="G13" s="2"/>
      <c r="H13" s="2"/>
      <c r="I13" s="3">
        <v>12586355</v>
      </c>
      <c r="J13" s="3">
        <v>9500</v>
      </c>
      <c r="K13" s="3"/>
      <c r="L13" s="3">
        <f t="shared" ref="L13:L18" si="0">SUM(I13:K13)</f>
        <v>12595855</v>
      </c>
      <c r="M13" s="34"/>
    </row>
    <row r="14" spans="1:13" ht="18.75">
      <c r="A14" s="1"/>
      <c r="B14" s="2" t="s">
        <v>33</v>
      </c>
      <c r="C14" s="2"/>
      <c r="D14" s="2"/>
      <c r="E14" s="2"/>
      <c r="F14" s="2"/>
      <c r="G14" s="2"/>
      <c r="H14" s="2"/>
      <c r="I14" s="3">
        <v>2023150</v>
      </c>
      <c r="J14" s="3">
        <v>41918</v>
      </c>
      <c r="K14" s="3"/>
      <c r="L14" s="3">
        <f t="shared" si="0"/>
        <v>2065068</v>
      </c>
      <c r="M14" s="34"/>
    </row>
    <row r="15" spans="1:13" ht="18.75">
      <c r="A15" s="1"/>
      <c r="B15" s="2" t="s">
        <v>29</v>
      </c>
      <c r="C15" s="2"/>
      <c r="D15" s="2"/>
      <c r="E15" s="2"/>
      <c r="F15" s="2"/>
      <c r="G15" s="2"/>
      <c r="H15" s="2"/>
      <c r="I15" s="3">
        <v>77689</v>
      </c>
      <c r="J15" s="3">
        <v>11675</v>
      </c>
      <c r="K15" s="3"/>
      <c r="L15" s="3">
        <f t="shared" si="0"/>
        <v>89364</v>
      </c>
      <c r="M15" s="34"/>
    </row>
    <row r="16" spans="1:13" ht="18.75">
      <c r="A16" s="1"/>
      <c r="B16" s="2" t="s">
        <v>523</v>
      </c>
      <c r="C16" s="2"/>
      <c r="D16" s="2"/>
      <c r="E16" s="2"/>
      <c r="F16" s="2"/>
      <c r="G16" s="2"/>
      <c r="H16" s="2"/>
      <c r="I16" s="3">
        <v>248366</v>
      </c>
      <c r="J16" s="3"/>
      <c r="K16" s="3"/>
      <c r="L16" s="3">
        <f t="shared" si="0"/>
        <v>248366</v>
      </c>
      <c r="M16" s="34"/>
    </row>
    <row r="17" spans="1:13" ht="18.75">
      <c r="A17" s="2"/>
      <c r="B17" s="2" t="s">
        <v>17</v>
      </c>
      <c r="C17" s="2"/>
      <c r="D17" s="2"/>
      <c r="E17" s="2"/>
      <c r="F17" s="2"/>
      <c r="G17" s="2"/>
      <c r="H17" s="2"/>
      <c r="I17" s="3">
        <v>5236148</v>
      </c>
      <c r="J17" s="3"/>
      <c r="K17" s="3"/>
      <c r="L17" s="3">
        <f t="shared" si="0"/>
        <v>5236148</v>
      </c>
      <c r="M17" s="34"/>
    </row>
    <row r="18" spans="1:13" ht="18.75">
      <c r="A18" s="2"/>
      <c r="B18" s="2" t="s">
        <v>30</v>
      </c>
      <c r="C18" s="2"/>
      <c r="D18" s="2"/>
      <c r="E18" s="2"/>
      <c r="F18" s="2"/>
      <c r="G18" s="2"/>
      <c r="H18" s="2"/>
      <c r="I18" s="3">
        <v>594092</v>
      </c>
      <c r="J18" s="3">
        <v>5900</v>
      </c>
      <c r="K18" s="3"/>
      <c r="L18" s="3">
        <f t="shared" si="0"/>
        <v>599992</v>
      </c>
      <c r="M18" s="34"/>
    </row>
    <row r="19" spans="1:13" ht="18.75">
      <c r="A19" s="2"/>
      <c r="B19" s="2"/>
      <c r="C19" s="1" t="s">
        <v>18</v>
      </c>
      <c r="D19" s="2"/>
      <c r="E19" s="2"/>
      <c r="F19" s="2"/>
      <c r="G19" s="2"/>
      <c r="H19" s="2"/>
      <c r="I19" s="30">
        <f>SUM(I13:I18)</f>
        <v>20765800</v>
      </c>
      <c r="J19" s="30">
        <f t="shared" ref="J19:L19" si="1">SUM(J13:J18)</f>
        <v>68993</v>
      </c>
      <c r="K19" s="30">
        <f t="shared" si="1"/>
        <v>0</v>
      </c>
      <c r="L19" s="30">
        <f t="shared" si="1"/>
        <v>20834793</v>
      </c>
      <c r="M19" s="34"/>
    </row>
    <row r="20" spans="1:13" ht="18.75">
      <c r="A20" s="2"/>
      <c r="B20" s="2"/>
      <c r="C20" s="1"/>
      <c r="D20" s="2"/>
      <c r="E20" s="2"/>
      <c r="F20" s="2"/>
      <c r="G20" s="2"/>
      <c r="H20" s="2"/>
      <c r="I20" s="3"/>
      <c r="J20" s="3"/>
      <c r="K20" s="3"/>
      <c r="L20" s="2"/>
      <c r="M20" s="34"/>
    </row>
    <row r="21" spans="1:13" ht="18.75">
      <c r="A21" s="1" t="s">
        <v>19</v>
      </c>
      <c r="B21" s="2"/>
      <c r="C21" s="2"/>
      <c r="D21" s="2"/>
      <c r="E21" s="2"/>
      <c r="F21" s="2"/>
      <c r="G21" s="2"/>
      <c r="H21" s="2"/>
      <c r="I21" s="3"/>
      <c r="J21" s="3"/>
      <c r="K21" s="3"/>
      <c r="L21" s="2"/>
      <c r="M21" s="34"/>
    </row>
    <row r="22" spans="1:13" ht="18.75">
      <c r="A22" s="2"/>
      <c r="B22" s="2" t="s">
        <v>32</v>
      </c>
      <c r="C22" s="2"/>
      <c r="D22" s="2"/>
      <c r="E22" s="2"/>
      <c r="F22" s="2"/>
      <c r="G22" s="2"/>
      <c r="H22" s="2"/>
      <c r="I22" s="3">
        <v>-2354056</v>
      </c>
      <c r="J22">
        <v>-170608</v>
      </c>
      <c r="K22" s="3"/>
      <c r="L22" s="3">
        <f t="shared" ref="L22:L27" si="2">SUM(I22:K22)</f>
        <v>-2524664</v>
      </c>
      <c r="M22" s="35">
        <f>L13+L22</f>
        <v>10071191</v>
      </c>
    </row>
    <row r="23" spans="1:13" ht="18.75">
      <c r="A23" s="2"/>
      <c r="B23" s="2" t="s">
        <v>33</v>
      </c>
      <c r="C23" s="2"/>
      <c r="D23" s="2"/>
      <c r="E23" s="2"/>
      <c r="F23" s="2"/>
      <c r="G23" s="2"/>
      <c r="H23" s="2"/>
      <c r="I23" s="3">
        <v>-1576821</v>
      </c>
      <c r="J23" s="3">
        <v>-56492</v>
      </c>
      <c r="K23" s="3"/>
      <c r="L23" s="3">
        <f t="shared" si="2"/>
        <v>-1633313</v>
      </c>
      <c r="M23" s="35">
        <f>L14+L23</f>
        <v>431755</v>
      </c>
    </row>
    <row r="24" spans="1:13" ht="18.75">
      <c r="A24" s="2"/>
      <c r="B24" s="2" t="s">
        <v>29</v>
      </c>
      <c r="C24" s="2"/>
      <c r="D24" s="2"/>
      <c r="E24" s="2"/>
      <c r="F24" s="2"/>
      <c r="G24" s="2"/>
      <c r="H24" s="2"/>
      <c r="I24" s="3">
        <v>-68290</v>
      </c>
      <c r="J24" s="3">
        <v>-1924</v>
      </c>
      <c r="K24" s="3"/>
      <c r="L24" s="3">
        <f t="shared" si="2"/>
        <v>-70214</v>
      </c>
      <c r="M24" s="35">
        <f t="shared" ref="M24:M27" si="3">L15+L24</f>
        <v>19150</v>
      </c>
    </row>
    <row r="25" spans="1:13" ht="18.75">
      <c r="A25" s="2"/>
      <c r="B25" s="2" t="s">
        <v>381</v>
      </c>
      <c r="C25" s="2"/>
      <c r="D25" s="2"/>
      <c r="E25" s="2"/>
      <c r="F25" s="2"/>
      <c r="G25" s="2"/>
      <c r="H25" s="2"/>
      <c r="I25" s="3">
        <v>-176285</v>
      </c>
      <c r="J25" s="3">
        <v>-13350</v>
      </c>
      <c r="K25" s="3"/>
      <c r="L25" s="3">
        <f t="shared" si="2"/>
        <v>-189635</v>
      </c>
      <c r="M25" s="35">
        <f t="shared" si="3"/>
        <v>58731</v>
      </c>
    </row>
    <row r="26" spans="1:13" ht="18.75">
      <c r="A26" s="2"/>
      <c r="B26" s="2" t="s">
        <v>17</v>
      </c>
      <c r="C26" s="2"/>
      <c r="D26" s="2"/>
      <c r="E26" s="2"/>
      <c r="F26" s="2"/>
      <c r="G26" s="2"/>
      <c r="H26" s="2"/>
      <c r="I26" s="3">
        <v>-2073689</v>
      </c>
      <c r="J26" s="3">
        <v>-81799</v>
      </c>
      <c r="K26" s="3"/>
      <c r="L26" s="3">
        <f t="shared" si="2"/>
        <v>-2155488</v>
      </c>
      <c r="M26" s="35">
        <f t="shared" si="3"/>
        <v>3080660</v>
      </c>
    </row>
    <row r="27" spans="1:13" ht="18.75">
      <c r="A27" s="2"/>
      <c r="B27" s="2" t="s">
        <v>30</v>
      </c>
      <c r="C27" s="2"/>
      <c r="D27" s="2"/>
      <c r="E27" s="2"/>
      <c r="F27" s="2"/>
      <c r="G27" s="2"/>
      <c r="H27" s="2"/>
      <c r="I27" s="3">
        <v>-469738</v>
      </c>
      <c r="J27" s="3">
        <v>-21896</v>
      </c>
      <c r="K27" s="3"/>
      <c r="L27" s="3">
        <f t="shared" si="2"/>
        <v>-491634</v>
      </c>
      <c r="M27" s="35">
        <f t="shared" si="3"/>
        <v>108358</v>
      </c>
    </row>
    <row r="28" spans="1:13" ht="18.75">
      <c r="A28" s="1"/>
      <c r="B28" s="1"/>
      <c r="C28" s="1" t="s">
        <v>20</v>
      </c>
      <c r="D28" s="1"/>
      <c r="E28" s="1"/>
      <c r="F28" s="1"/>
      <c r="G28" s="1"/>
      <c r="H28" s="1"/>
      <c r="I28" s="133">
        <f>SUM(I22:I27)</f>
        <v>-6718879</v>
      </c>
      <c r="J28" s="133">
        <f t="shared" ref="J28:L28" si="4">SUM(J22:J27)</f>
        <v>-346069</v>
      </c>
      <c r="K28" s="133">
        <f t="shared" si="4"/>
        <v>0</v>
      </c>
      <c r="L28" s="133">
        <f t="shared" si="4"/>
        <v>-7064948</v>
      </c>
      <c r="M28" s="41"/>
    </row>
    <row r="29" spans="1:13" ht="18.75">
      <c r="A29" s="1"/>
      <c r="B29" s="1"/>
      <c r="C29" s="1"/>
      <c r="D29" s="1"/>
      <c r="E29" s="1"/>
      <c r="F29" s="1"/>
      <c r="G29" s="1"/>
      <c r="H29" s="1"/>
      <c r="I29" s="133"/>
      <c r="J29" s="133"/>
      <c r="K29" s="133"/>
      <c r="L29" s="2"/>
      <c r="M29" s="34"/>
    </row>
    <row r="30" spans="1:13" ht="18.75">
      <c r="A30" s="1"/>
      <c r="B30" s="1"/>
      <c r="C30" s="1" t="s">
        <v>524</v>
      </c>
      <c r="D30" s="1"/>
      <c r="E30" s="1"/>
      <c r="F30" s="1"/>
      <c r="G30" s="1"/>
      <c r="H30" s="1"/>
      <c r="I30" s="133">
        <f>I19+I28</f>
        <v>14046921</v>
      </c>
      <c r="J30" s="133">
        <f>J19+J28</f>
        <v>-277076</v>
      </c>
      <c r="K30" s="133">
        <f>K19+K28</f>
        <v>0</v>
      </c>
      <c r="L30" s="133">
        <f>L19+L28</f>
        <v>13769845</v>
      </c>
      <c r="M30" s="34"/>
    </row>
    <row r="31" spans="1:13" ht="18.75">
      <c r="A31" s="1"/>
      <c r="B31" s="1"/>
      <c r="C31" s="1"/>
      <c r="D31" s="1"/>
      <c r="E31" s="1"/>
      <c r="F31" s="1"/>
      <c r="G31" s="1"/>
      <c r="H31" s="1"/>
      <c r="I31" s="134"/>
      <c r="J31" s="134"/>
      <c r="K31" s="134"/>
      <c r="L31" s="2"/>
    </row>
    <row r="32" spans="1:13" ht="19.5" thickBot="1">
      <c r="A32" s="2"/>
      <c r="B32" s="1"/>
      <c r="C32" s="1" t="s">
        <v>114</v>
      </c>
      <c r="D32" s="2"/>
      <c r="E32" s="2"/>
      <c r="F32" s="2"/>
      <c r="G32" s="2"/>
      <c r="H32" s="2"/>
      <c r="I32" s="135">
        <f>I10+I30</f>
        <v>16630623</v>
      </c>
      <c r="J32" s="135">
        <f>J10+J30</f>
        <v>1059552</v>
      </c>
      <c r="K32" s="135">
        <f>K10+K30</f>
        <v>0</v>
      </c>
      <c r="L32" s="135">
        <f>L10+L30</f>
        <v>17690175</v>
      </c>
      <c r="M32" s="37">
        <f>SUM(M8:M27)</f>
        <v>17690175</v>
      </c>
    </row>
    <row r="35" spans="1:13" ht="56.25">
      <c r="A35" s="2"/>
      <c r="B35" s="2"/>
      <c r="C35" s="2"/>
      <c r="D35" s="2"/>
      <c r="E35" s="2"/>
      <c r="F35" s="2"/>
      <c r="G35" s="2"/>
      <c r="H35" s="2"/>
      <c r="I35" s="11" t="s">
        <v>519</v>
      </c>
      <c r="J35" s="11" t="s">
        <v>45</v>
      </c>
      <c r="K35" s="11" t="s">
        <v>46</v>
      </c>
      <c r="L35" s="11" t="s">
        <v>520</v>
      </c>
      <c r="M35" s="11" t="s">
        <v>7</v>
      </c>
    </row>
    <row r="37" spans="1:13" ht="18.75">
      <c r="A37" s="1" t="s">
        <v>525</v>
      </c>
      <c r="B37" s="2"/>
      <c r="C37" s="2"/>
      <c r="D37" s="2"/>
      <c r="E37" s="2"/>
      <c r="F37" s="2"/>
      <c r="G37" s="2"/>
      <c r="H37" s="2"/>
      <c r="I37" s="3"/>
      <c r="J37" s="3"/>
      <c r="K37" s="3"/>
      <c r="L37" s="2"/>
      <c r="M37" s="34"/>
    </row>
    <row r="38" spans="1:13" ht="18.75">
      <c r="A38" s="1"/>
      <c r="B38" s="2" t="s">
        <v>526</v>
      </c>
      <c r="C38" s="2"/>
      <c r="D38" s="2"/>
      <c r="E38" s="2"/>
      <c r="F38" s="2"/>
      <c r="G38" s="2"/>
      <c r="H38" s="2"/>
      <c r="I38" s="3">
        <v>15480464</v>
      </c>
      <c r="J38" s="3"/>
      <c r="K38" s="3"/>
      <c r="L38" s="3">
        <f>SUM(I38:K38)</f>
        <v>15480464</v>
      </c>
      <c r="M38" s="34"/>
    </row>
    <row r="39" spans="1:13" ht="18.75">
      <c r="A39" s="1"/>
      <c r="B39" s="2" t="s">
        <v>33</v>
      </c>
      <c r="C39" s="2"/>
      <c r="D39" s="2"/>
      <c r="E39" s="2"/>
      <c r="F39" s="2"/>
      <c r="G39" s="2"/>
      <c r="H39" s="2"/>
      <c r="I39" s="3">
        <v>217136</v>
      </c>
      <c r="J39" s="3"/>
      <c r="K39" s="3"/>
      <c r="L39" s="3">
        <f>SUM(I39:K39)</f>
        <v>217136</v>
      </c>
      <c r="M39" s="34"/>
    </row>
    <row r="40" spans="1:13" ht="18.75">
      <c r="A40" s="1"/>
      <c r="B40" s="2" t="s">
        <v>30</v>
      </c>
      <c r="C40" s="2"/>
      <c r="D40" s="2"/>
      <c r="E40" s="2"/>
      <c r="F40" s="2"/>
      <c r="G40" s="2"/>
      <c r="H40" s="2"/>
      <c r="I40" s="3">
        <v>87000</v>
      </c>
      <c r="J40" s="3">
        <v>41200</v>
      </c>
      <c r="K40" s="3"/>
      <c r="L40" s="3">
        <f>SUM(I40:K40)</f>
        <v>128200</v>
      </c>
      <c r="M40" s="34"/>
    </row>
    <row r="41" spans="1:13" ht="18.75">
      <c r="A41" s="2"/>
      <c r="B41" s="2"/>
      <c r="C41" s="1" t="s">
        <v>18</v>
      </c>
      <c r="D41" s="2"/>
      <c r="E41" s="2"/>
      <c r="F41" s="2"/>
      <c r="G41" s="2"/>
      <c r="H41" s="2"/>
      <c r="I41" s="30">
        <f>SUM(I38:I40)</f>
        <v>15784600</v>
      </c>
      <c r="J41" s="30">
        <f t="shared" ref="J41:L41" si="5">SUM(J38:J40)</f>
        <v>41200</v>
      </c>
      <c r="K41" s="30">
        <f t="shared" si="5"/>
        <v>0</v>
      </c>
      <c r="L41" s="30">
        <f t="shared" si="5"/>
        <v>15825800</v>
      </c>
      <c r="M41" s="34"/>
    </row>
    <row r="42" spans="1:13" ht="18.75">
      <c r="A42" s="2"/>
      <c r="B42" s="2"/>
      <c r="C42" s="1"/>
      <c r="D42" s="2"/>
      <c r="E42" s="2"/>
      <c r="F42" s="2"/>
      <c r="G42" s="2"/>
      <c r="H42" s="2"/>
      <c r="I42" s="3"/>
      <c r="J42" s="3"/>
      <c r="K42" s="3"/>
      <c r="L42" s="2"/>
      <c r="M42" s="34"/>
    </row>
    <row r="43" spans="1:13" ht="18.75">
      <c r="A43" s="1" t="s">
        <v>19</v>
      </c>
      <c r="B43" s="2"/>
      <c r="C43" s="2"/>
      <c r="D43" s="2"/>
      <c r="E43" s="2"/>
      <c r="F43" s="2"/>
      <c r="G43" s="2"/>
      <c r="H43" s="2"/>
      <c r="I43" s="3"/>
      <c r="J43" s="3"/>
      <c r="K43" s="3"/>
      <c r="L43" s="2"/>
      <c r="M43" s="34"/>
    </row>
    <row r="44" spans="1:13" ht="18.75">
      <c r="A44" s="2"/>
      <c r="B44" s="2" t="s">
        <v>526</v>
      </c>
      <c r="C44" s="2"/>
      <c r="D44" s="2"/>
      <c r="E44" s="2"/>
      <c r="F44" s="2"/>
      <c r="G44" s="2"/>
      <c r="H44" s="2"/>
      <c r="I44" s="3">
        <v>-5639823</v>
      </c>
      <c r="J44" s="125">
        <v>-195861</v>
      </c>
      <c r="K44" s="3"/>
      <c r="L44" s="3">
        <f>SUM(I44:K44)</f>
        <v>-5835684</v>
      </c>
      <c r="M44" s="35">
        <f>L38+L44</f>
        <v>9644780</v>
      </c>
    </row>
    <row r="45" spans="1:13" ht="18.75">
      <c r="A45" s="2"/>
      <c r="B45" s="2" t="s">
        <v>33</v>
      </c>
      <c r="C45" s="2"/>
      <c r="D45" s="2"/>
      <c r="E45" s="2"/>
      <c r="F45" s="2"/>
      <c r="G45" s="2"/>
      <c r="H45" s="2"/>
      <c r="I45" s="3">
        <v>-96287</v>
      </c>
      <c r="J45" s="3">
        <v>-12967</v>
      </c>
      <c r="K45" s="3"/>
      <c r="L45" s="3">
        <f>SUM(I45:K45)</f>
        <v>-109254</v>
      </c>
      <c r="M45" s="35">
        <f>L39+L45</f>
        <v>107882</v>
      </c>
    </row>
    <row r="46" spans="1:13" ht="18.75">
      <c r="A46" s="2"/>
      <c r="B46" s="2" t="s">
        <v>30</v>
      </c>
      <c r="C46" s="2"/>
      <c r="D46" s="2"/>
      <c r="E46" s="2"/>
      <c r="F46" s="2"/>
      <c r="G46" s="2"/>
      <c r="H46" s="2"/>
      <c r="I46" s="3">
        <v>-70317</v>
      </c>
      <c r="J46" s="3">
        <v>-4872</v>
      </c>
      <c r="K46" s="3"/>
      <c r="L46" s="3">
        <f>SUM(I46:K46)</f>
        <v>-75189</v>
      </c>
      <c r="M46" s="35">
        <f>SUM(L40+L46)</f>
        <v>53011</v>
      </c>
    </row>
    <row r="47" spans="1:13" ht="18.75">
      <c r="A47" s="1"/>
      <c r="B47" s="1"/>
      <c r="C47" s="1" t="s">
        <v>20</v>
      </c>
      <c r="D47" s="1"/>
      <c r="E47" s="1"/>
      <c r="F47" s="1"/>
      <c r="G47" s="1"/>
      <c r="H47" s="1"/>
      <c r="I47" s="133">
        <f>SUM(I44:I46)</f>
        <v>-5806427</v>
      </c>
      <c r="J47" s="133">
        <f t="shared" ref="J47:L47" si="6">SUM(J44:J46)</f>
        <v>-213700</v>
      </c>
      <c r="K47" s="133">
        <f t="shared" si="6"/>
        <v>0</v>
      </c>
      <c r="L47" s="133">
        <f t="shared" si="6"/>
        <v>-6020127</v>
      </c>
      <c r="M47" s="41"/>
    </row>
    <row r="48" spans="1:13" ht="18.75">
      <c r="A48" s="1"/>
      <c r="B48" s="1"/>
      <c r="C48" s="1"/>
      <c r="D48" s="1"/>
      <c r="E48" s="1"/>
      <c r="F48" s="1"/>
      <c r="G48" s="1"/>
      <c r="H48" s="1"/>
      <c r="I48" s="133"/>
      <c r="J48" s="133"/>
      <c r="K48" s="133"/>
      <c r="L48" s="2"/>
      <c r="M48" s="34"/>
    </row>
    <row r="49" spans="1:13" ht="18.75">
      <c r="A49" s="1"/>
      <c r="B49" s="1"/>
      <c r="C49" s="1" t="s">
        <v>524</v>
      </c>
      <c r="D49" s="1"/>
      <c r="E49" s="1"/>
      <c r="F49" s="1"/>
      <c r="G49" s="1"/>
      <c r="H49" s="1"/>
      <c r="I49" s="133">
        <f>I41+I47</f>
        <v>9978173</v>
      </c>
      <c r="J49" s="133">
        <f>J41+J47</f>
        <v>-172500</v>
      </c>
      <c r="K49" s="133">
        <f>K41+K47</f>
        <v>0</v>
      </c>
      <c r="L49" s="133">
        <f>L41+L47</f>
        <v>9805673</v>
      </c>
      <c r="M49" s="34"/>
    </row>
    <row r="50" spans="1:13" ht="18.75">
      <c r="A50" s="1"/>
      <c r="B50" s="1"/>
      <c r="C50" s="1"/>
      <c r="D50" s="1"/>
      <c r="E50" s="1"/>
      <c r="F50" s="1"/>
      <c r="G50" s="1"/>
      <c r="H50" s="1"/>
      <c r="I50" s="134"/>
      <c r="J50" s="134"/>
      <c r="K50" s="134"/>
      <c r="L50" s="2"/>
    </row>
    <row r="51" spans="1:13" ht="19.5" thickBot="1">
      <c r="A51" s="2"/>
      <c r="B51" s="1"/>
      <c r="C51" s="1" t="s">
        <v>114</v>
      </c>
      <c r="D51" s="2"/>
      <c r="E51" s="2"/>
      <c r="F51" s="2"/>
      <c r="G51" s="2"/>
      <c r="H51" s="2"/>
      <c r="I51" s="135">
        <f>I49</f>
        <v>9978173</v>
      </c>
      <c r="J51" s="135">
        <f t="shared" ref="J51:L51" si="7">J49</f>
        <v>-172500</v>
      </c>
      <c r="K51" s="135">
        <f t="shared" si="7"/>
        <v>0</v>
      </c>
      <c r="L51" s="135">
        <f t="shared" si="7"/>
        <v>9805673</v>
      </c>
      <c r="M51" s="37">
        <f>SUM(M37:M46)</f>
        <v>9805673</v>
      </c>
    </row>
  </sheetData>
  <mergeCells count="3">
    <mergeCell ref="D1:I1"/>
    <mergeCell ref="D2:I2"/>
    <mergeCell ref="D3:I3"/>
  </mergeCell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M39"/>
  <sheetViews>
    <sheetView zoomScale="60" zoomScaleNormal="60" zoomScalePageLayoutView="60" workbookViewId="0">
      <selection activeCell="I38" sqref="I38"/>
    </sheetView>
  </sheetViews>
  <sheetFormatPr defaultColWidth="8.85546875" defaultRowHeight="15"/>
  <cols>
    <col min="9" max="9" width="15.42578125" bestFit="1" customWidth="1"/>
    <col min="10" max="10" width="16" customWidth="1"/>
    <col min="11" max="11" width="15.140625" bestFit="1" customWidth="1"/>
    <col min="12" max="12" width="17.42578125" customWidth="1"/>
    <col min="13" max="13" width="19.28515625" customWidth="1"/>
  </cols>
  <sheetData>
    <row r="1" spans="1:13" ht="18.75">
      <c r="A1" s="2"/>
      <c r="B1" s="2"/>
      <c r="C1" s="2"/>
      <c r="D1" s="136" t="s">
        <v>527</v>
      </c>
      <c r="E1" s="136"/>
      <c r="F1" s="136"/>
      <c r="G1" s="136"/>
      <c r="H1" s="136"/>
      <c r="I1" s="136"/>
      <c r="J1" s="3"/>
      <c r="K1" s="3"/>
      <c r="L1" s="3"/>
      <c r="M1" s="2"/>
    </row>
    <row r="2" spans="1:13" ht="18.75">
      <c r="A2" s="2"/>
      <c r="B2" s="2"/>
      <c r="C2" s="2"/>
      <c r="D2" s="136" t="s">
        <v>1</v>
      </c>
      <c r="E2" s="136"/>
      <c r="F2" s="136"/>
      <c r="G2" s="136"/>
      <c r="H2" s="136"/>
      <c r="I2" s="136"/>
      <c r="J2" s="3"/>
      <c r="K2" s="3"/>
      <c r="L2" s="3"/>
      <c r="M2" s="2"/>
    </row>
    <row r="3" spans="1:13" ht="18.75">
      <c r="A3" s="2"/>
      <c r="B3" s="2"/>
      <c r="C3" s="2"/>
      <c r="D3" s="136" t="s">
        <v>2</v>
      </c>
      <c r="E3" s="136"/>
      <c r="F3" s="136"/>
      <c r="G3" s="136"/>
      <c r="H3" s="136"/>
      <c r="I3" s="136"/>
      <c r="J3" s="3"/>
      <c r="K3" s="3"/>
      <c r="L3" s="3"/>
      <c r="M3" s="2"/>
    </row>
    <row r="4" spans="1:13" ht="18.75">
      <c r="A4" s="2"/>
      <c r="B4" s="2"/>
      <c r="C4" s="2"/>
      <c r="D4" s="69"/>
      <c r="E4" s="69"/>
      <c r="F4" s="69"/>
      <c r="G4" s="69"/>
      <c r="H4" s="69"/>
      <c r="I4" s="4"/>
      <c r="J4" s="3"/>
      <c r="K4" s="3"/>
      <c r="L4" s="3"/>
      <c r="M4" s="2"/>
    </row>
    <row r="5" spans="1:13" ht="37.5">
      <c r="A5" s="2"/>
      <c r="B5" s="2"/>
      <c r="C5" s="2"/>
      <c r="D5" s="2"/>
      <c r="E5" s="2"/>
      <c r="F5" s="2"/>
      <c r="G5" s="2"/>
      <c r="H5" s="2"/>
      <c r="I5" s="11" t="s">
        <v>3</v>
      </c>
      <c r="J5" s="11" t="s">
        <v>45</v>
      </c>
      <c r="K5" s="11" t="s">
        <v>46</v>
      </c>
      <c r="L5" s="11" t="s">
        <v>6</v>
      </c>
      <c r="M5" s="11" t="s">
        <v>7</v>
      </c>
    </row>
    <row r="6" spans="1:13" ht="18.75">
      <c r="A6" s="2"/>
      <c r="B6" s="2"/>
      <c r="C6" s="2"/>
      <c r="D6" s="2"/>
      <c r="E6" s="2"/>
      <c r="F6" s="2"/>
      <c r="G6" s="2"/>
      <c r="H6" s="2"/>
      <c r="I6" s="16"/>
      <c r="J6" s="16"/>
      <c r="K6" s="16"/>
      <c r="L6" s="16"/>
      <c r="M6" s="2"/>
    </row>
    <row r="7" spans="1:13" ht="18.75">
      <c r="A7" s="1" t="s">
        <v>49</v>
      </c>
      <c r="B7" s="1"/>
      <c r="C7" s="1"/>
      <c r="D7" s="1"/>
      <c r="E7" s="1"/>
      <c r="F7" s="1"/>
      <c r="G7" s="2"/>
      <c r="H7" s="2"/>
      <c r="I7" s="3"/>
      <c r="J7" s="3"/>
      <c r="K7" s="3"/>
      <c r="L7" s="3"/>
      <c r="M7" s="2"/>
    </row>
    <row r="8" spans="1:13" ht="18.75">
      <c r="A8" s="1" t="s">
        <v>50</v>
      </c>
      <c r="B8" s="1"/>
      <c r="C8" s="1"/>
      <c r="D8" s="1"/>
      <c r="E8" s="1"/>
      <c r="F8" s="1"/>
      <c r="G8" s="2"/>
      <c r="H8" s="2"/>
      <c r="I8" s="3"/>
      <c r="J8" s="3"/>
      <c r="K8" s="3"/>
      <c r="L8" s="3"/>
      <c r="M8" s="2"/>
    </row>
    <row r="9" spans="1:13" ht="18.75">
      <c r="A9" s="1" t="s">
        <v>9</v>
      </c>
      <c r="B9" s="1"/>
      <c r="C9" s="1"/>
      <c r="D9" s="1"/>
      <c r="E9" s="1"/>
      <c r="F9" s="1"/>
      <c r="G9" s="2"/>
      <c r="H9" s="2"/>
      <c r="I9" s="3"/>
      <c r="J9" s="3"/>
      <c r="K9" s="3"/>
      <c r="L9" s="3"/>
      <c r="M9" s="2"/>
    </row>
    <row r="10" spans="1:13" ht="18.75">
      <c r="A10" s="2"/>
      <c r="B10" s="2" t="s">
        <v>10</v>
      </c>
      <c r="C10" s="2"/>
      <c r="D10" s="2"/>
      <c r="E10" s="2"/>
      <c r="F10" s="2"/>
      <c r="G10" s="2"/>
      <c r="H10" s="2"/>
      <c r="I10" s="3">
        <v>223675</v>
      </c>
      <c r="J10" s="3"/>
      <c r="K10" s="3"/>
      <c r="L10" s="3">
        <f>SUM(I10:K10)</f>
        <v>223675</v>
      </c>
      <c r="M10" s="3">
        <f>SUM(L10)</f>
        <v>223675</v>
      </c>
    </row>
    <row r="11" spans="1:13" ht="18.75">
      <c r="A11" s="2"/>
      <c r="B11" s="2" t="s">
        <v>528</v>
      </c>
      <c r="C11" s="2"/>
      <c r="D11" s="2"/>
      <c r="E11" s="2"/>
      <c r="F11" s="2"/>
      <c r="G11" s="2"/>
      <c r="H11" s="2"/>
      <c r="I11" s="3">
        <v>1932890</v>
      </c>
      <c r="J11" s="3">
        <v>2939763</v>
      </c>
      <c r="K11" s="3"/>
      <c r="L11" s="3">
        <f t="shared" ref="L11:L16" si="0">SUM(I11:K11)</f>
        <v>4872653</v>
      </c>
      <c r="M11" s="3"/>
    </row>
    <row r="12" spans="1:13" ht="18.75">
      <c r="A12" s="2"/>
      <c r="B12" s="2" t="s">
        <v>118</v>
      </c>
      <c r="C12" s="2"/>
      <c r="D12" s="2"/>
      <c r="E12" s="2"/>
      <c r="F12" s="2"/>
      <c r="G12" s="2"/>
      <c r="H12" s="2"/>
      <c r="I12" s="3">
        <v>1236855</v>
      </c>
      <c r="J12" s="3">
        <v>333708</v>
      </c>
      <c r="K12" s="3"/>
      <c r="L12" s="3">
        <f t="shared" si="0"/>
        <v>1570563</v>
      </c>
      <c r="M12" s="3"/>
    </row>
    <row r="13" spans="1:13" ht="18.75">
      <c r="A13" s="2"/>
      <c r="B13" s="2" t="s">
        <v>529</v>
      </c>
      <c r="C13" s="2"/>
      <c r="D13" s="2"/>
      <c r="E13" s="2"/>
      <c r="F13" s="2"/>
      <c r="G13" s="2"/>
      <c r="H13" s="2"/>
      <c r="I13" s="3">
        <v>433538</v>
      </c>
      <c r="J13" s="3"/>
      <c r="K13" s="3"/>
      <c r="L13" s="3">
        <f t="shared" si="0"/>
        <v>433538</v>
      </c>
      <c r="M13" s="3"/>
    </row>
    <row r="14" spans="1:13" ht="18.75">
      <c r="A14" s="2"/>
      <c r="B14" s="2" t="s">
        <v>530</v>
      </c>
      <c r="C14" s="2"/>
      <c r="D14" s="2"/>
      <c r="E14" s="2"/>
      <c r="F14" s="2"/>
      <c r="G14" s="2"/>
      <c r="H14" s="2"/>
      <c r="I14" s="3">
        <v>29980</v>
      </c>
      <c r="J14" s="3"/>
      <c r="K14" s="3"/>
      <c r="L14" s="3">
        <f t="shared" si="0"/>
        <v>29980</v>
      </c>
      <c r="M14" s="3"/>
    </row>
    <row r="15" spans="1:13" ht="18.75">
      <c r="A15" s="2"/>
      <c r="B15" s="2" t="s">
        <v>531</v>
      </c>
      <c r="C15" s="2"/>
      <c r="D15" s="2"/>
      <c r="E15" s="2"/>
      <c r="F15" s="2"/>
      <c r="G15" s="2"/>
      <c r="H15" s="2"/>
      <c r="I15" s="3">
        <v>1054210</v>
      </c>
      <c r="J15" s="3">
        <v>65610</v>
      </c>
      <c r="K15" s="3"/>
      <c r="L15" s="3">
        <f t="shared" si="0"/>
        <v>1119820</v>
      </c>
      <c r="M15" s="3"/>
    </row>
    <row r="16" spans="1:13" ht="18.75">
      <c r="A16" s="2"/>
      <c r="B16" s="2" t="s">
        <v>11</v>
      </c>
      <c r="C16" s="2"/>
      <c r="D16" s="2"/>
      <c r="E16" s="2"/>
      <c r="F16" s="2"/>
      <c r="G16" s="2"/>
      <c r="H16" s="2"/>
      <c r="I16" s="3">
        <v>1298815</v>
      </c>
      <c r="J16" s="3">
        <v>1640947.24</v>
      </c>
      <c r="K16" s="3">
        <v>-2939763</v>
      </c>
      <c r="L16" s="3">
        <f t="shared" si="0"/>
        <v>-0.75999999977648258</v>
      </c>
      <c r="M16" s="3">
        <f>SUM(L16)</f>
        <v>-0.75999999977648258</v>
      </c>
    </row>
    <row r="17" spans="1:13" ht="18.75">
      <c r="A17" s="1"/>
      <c r="B17" s="1"/>
      <c r="C17" s="1" t="s">
        <v>68</v>
      </c>
      <c r="D17" s="1"/>
      <c r="E17" s="1"/>
      <c r="F17" s="1"/>
      <c r="G17" s="1"/>
      <c r="H17" s="1"/>
      <c r="I17" s="12">
        <f>SUM(I10:I16)</f>
        <v>6209963</v>
      </c>
      <c r="J17" s="12">
        <f t="shared" ref="J17:L17" si="1">SUM(J10:J16)</f>
        <v>4980028.24</v>
      </c>
      <c r="K17" s="12">
        <f t="shared" si="1"/>
        <v>-2939763</v>
      </c>
      <c r="L17" s="12">
        <f t="shared" si="1"/>
        <v>8250228.2400000002</v>
      </c>
      <c r="M17" s="1"/>
    </row>
    <row r="18" spans="1:13" ht="18.75">
      <c r="A18" s="2"/>
      <c r="B18" s="2"/>
      <c r="C18" s="2"/>
      <c r="D18" s="2"/>
      <c r="E18" s="2"/>
      <c r="F18" s="2"/>
      <c r="G18" s="2"/>
      <c r="H18" s="2"/>
      <c r="I18" s="3"/>
      <c r="J18" s="3"/>
      <c r="K18" s="3"/>
      <c r="L18" s="3"/>
      <c r="M18" s="2"/>
    </row>
    <row r="19" spans="1:13" ht="18.75">
      <c r="A19" s="2" t="s">
        <v>360</v>
      </c>
      <c r="B19" s="2"/>
      <c r="C19" s="2"/>
      <c r="D19" s="2"/>
      <c r="E19" s="2"/>
      <c r="F19" s="2"/>
      <c r="G19" s="2"/>
      <c r="H19" s="2"/>
      <c r="I19" s="3"/>
      <c r="J19" s="3"/>
      <c r="K19" s="3"/>
      <c r="L19" s="3"/>
      <c r="M19" s="2"/>
    </row>
    <row r="20" spans="1:13" ht="18.75">
      <c r="A20" s="2"/>
      <c r="B20" s="2" t="s">
        <v>53</v>
      </c>
      <c r="C20" s="2"/>
      <c r="D20" s="2"/>
      <c r="E20" s="2"/>
      <c r="F20" s="2"/>
      <c r="G20" s="2"/>
      <c r="H20" s="2"/>
      <c r="I20" s="3">
        <v>819190</v>
      </c>
      <c r="J20" s="3">
        <v>833516</v>
      </c>
      <c r="K20" s="3"/>
      <c r="L20" s="3">
        <f>SUM(I20:K20)</f>
        <v>1652706</v>
      </c>
      <c r="M20" s="2"/>
    </row>
    <row r="21" spans="1:13" ht="18.75">
      <c r="A21" s="2"/>
      <c r="B21" s="2"/>
      <c r="C21" s="2"/>
      <c r="D21" s="2"/>
      <c r="E21" s="2"/>
      <c r="F21" s="2"/>
      <c r="G21" s="2"/>
      <c r="H21" s="2"/>
      <c r="I21" s="30"/>
      <c r="J21" s="30"/>
      <c r="K21" s="30"/>
      <c r="L21" s="30"/>
      <c r="M21" s="2"/>
    </row>
    <row r="22" spans="1:13" s="39" customFormat="1" ht="18.75">
      <c r="A22" s="1"/>
      <c r="B22" s="1"/>
      <c r="C22" s="1" t="s">
        <v>56</v>
      </c>
      <c r="D22" s="1"/>
      <c r="E22" s="1"/>
      <c r="F22" s="1"/>
      <c r="G22" s="1"/>
      <c r="H22" s="1"/>
      <c r="I22" s="15">
        <f>SUM(I17+I20)</f>
        <v>7029153</v>
      </c>
      <c r="J22" s="15">
        <f t="shared" ref="J22:L22" si="2">SUM(J17+J20)</f>
        <v>5813544.2400000002</v>
      </c>
      <c r="K22" s="15">
        <f t="shared" si="2"/>
        <v>-2939763</v>
      </c>
      <c r="L22" s="15">
        <f t="shared" si="2"/>
        <v>9902934.2400000002</v>
      </c>
      <c r="M22" s="1"/>
    </row>
    <row r="23" spans="1:13" ht="18.75">
      <c r="A23" s="2"/>
      <c r="B23" s="2"/>
      <c r="C23" s="2"/>
      <c r="D23" s="2"/>
      <c r="E23" s="2"/>
      <c r="F23" s="2"/>
      <c r="G23" s="2"/>
      <c r="H23" s="2"/>
      <c r="I23" s="3"/>
      <c r="J23" s="3"/>
      <c r="K23" s="3"/>
      <c r="L23" s="3"/>
      <c r="M23" s="2"/>
    </row>
    <row r="24" spans="1:13" ht="18.75">
      <c r="A24" s="1" t="s">
        <v>19</v>
      </c>
      <c r="B24" s="2"/>
      <c r="C24" s="2"/>
      <c r="D24" s="2"/>
      <c r="E24" s="2"/>
      <c r="F24" s="2"/>
      <c r="G24" s="2"/>
      <c r="H24" s="2"/>
      <c r="I24" s="3"/>
      <c r="J24" s="3"/>
      <c r="K24" s="3"/>
      <c r="L24" s="3"/>
      <c r="M24" s="2"/>
    </row>
    <row r="25" spans="1:13" ht="18.75">
      <c r="A25" s="1"/>
      <c r="B25" s="2" t="s">
        <v>14</v>
      </c>
      <c r="C25" s="2"/>
      <c r="D25" s="2"/>
      <c r="E25" s="2"/>
      <c r="F25" s="2"/>
      <c r="G25" s="2"/>
      <c r="H25" s="2"/>
      <c r="I25" s="3">
        <v>-1233918</v>
      </c>
      <c r="J25" s="3">
        <v>-122433</v>
      </c>
      <c r="K25" s="3"/>
      <c r="L25" s="3">
        <f>SUM(I25:K25)</f>
        <v>-1356351</v>
      </c>
      <c r="M25" s="3">
        <f>SUM(L11+L25)</f>
        <v>3516302</v>
      </c>
    </row>
    <row r="26" spans="1:13" ht="18.75">
      <c r="A26" s="1"/>
      <c r="B26" s="2" t="s">
        <v>118</v>
      </c>
      <c r="C26" s="2"/>
      <c r="D26" s="2"/>
      <c r="E26" s="2"/>
      <c r="F26" s="2"/>
      <c r="G26" s="2"/>
      <c r="H26" s="2"/>
      <c r="I26" s="3">
        <v>-815111</v>
      </c>
      <c r="J26" s="3">
        <v>-144325</v>
      </c>
      <c r="K26" s="3"/>
      <c r="L26" s="3">
        <f t="shared" ref="L26:L29" si="3">SUM(I26:K26)</f>
        <v>-959436</v>
      </c>
      <c r="M26" s="3">
        <f t="shared" ref="M26:M29" si="4">SUM(L12+L26)</f>
        <v>611127</v>
      </c>
    </row>
    <row r="27" spans="1:13" ht="18.75">
      <c r="A27" s="1"/>
      <c r="B27" s="2" t="s">
        <v>529</v>
      </c>
      <c r="C27" s="2"/>
      <c r="D27" s="2"/>
      <c r="E27" s="2"/>
      <c r="F27" s="2"/>
      <c r="G27" s="2"/>
      <c r="H27" s="2"/>
      <c r="I27" s="3">
        <v>-369476</v>
      </c>
      <c r="J27" s="3">
        <v>-43354</v>
      </c>
      <c r="K27" s="3"/>
      <c r="L27" s="3">
        <f t="shared" si="3"/>
        <v>-412830</v>
      </c>
      <c r="M27" s="3">
        <f>SUM(L13+L27)</f>
        <v>20708</v>
      </c>
    </row>
    <row r="28" spans="1:13" ht="18.75">
      <c r="A28" s="2"/>
      <c r="B28" s="2" t="s">
        <v>530</v>
      </c>
      <c r="C28" s="2"/>
      <c r="D28" s="2"/>
      <c r="E28" s="2"/>
      <c r="F28" s="2"/>
      <c r="G28" s="2"/>
      <c r="H28" s="2"/>
      <c r="I28" s="3">
        <v>-27644</v>
      </c>
      <c r="J28" s="3">
        <v>-2267</v>
      </c>
      <c r="K28" s="3"/>
      <c r="L28" s="3">
        <f t="shared" si="3"/>
        <v>-29911</v>
      </c>
      <c r="M28" s="3">
        <f>SUM(L14+L28)</f>
        <v>69</v>
      </c>
    </row>
    <row r="29" spans="1:13" ht="18" customHeight="1">
      <c r="A29" s="2"/>
      <c r="B29" s="2" t="s">
        <v>531</v>
      </c>
      <c r="C29" s="2"/>
      <c r="D29" s="2"/>
      <c r="E29" s="2"/>
      <c r="F29" s="2"/>
      <c r="G29" s="2"/>
      <c r="H29" s="2"/>
      <c r="I29" s="3">
        <v>-902795</v>
      </c>
      <c r="J29" s="3">
        <v>-223964</v>
      </c>
      <c r="K29" s="3"/>
      <c r="L29" s="3">
        <f t="shared" si="3"/>
        <v>-1126759</v>
      </c>
      <c r="M29" s="3">
        <f t="shared" si="4"/>
        <v>-6939</v>
      </c>
    </row>
    <row r="30" spans="1:13" ht="18.75">
      <c r="A30" s="2"/>
      <c r="B30" s="2"/>
      <c r="C30" s="1" t="s">
        <v>18</v>
      </c>
      <c r="D30" s="2"/>
      <c r="E30" s="2"/>
      <c r="F30" s="2"/>
      <c r="G30" s="2"/>
      <c r="H30" s="2"/>
      <c r="I30" s="13">
        <f>SUM(I25:I29)</f>
        <v>-3348944</v>
      </c>
      <c r="J30" s="13">
        <f>SUM(J25:J29)</f>
        <v>-536343</v>
      </c>
      <c r="K30" s="13">
        <f>SUM(K25:K29)</f>
        <v>0</v>
      </c>
      <c r="L30" s="13">
        <f>SUM(L25:L29)</f>
        <v>-3885287</v>
      </c>
      <c r="M30" s="2"/>
    </row>
    <row r="31" spans="1:13" ht="18.75">
      <c r="A31" s="2"/>
      <c r="B31" s="2"/>
      <c r="C31" s="1"/>
      <c r="D31" s="2"/>
      <c r="E31" s="2"/>
      <c r="F31" s="2"/>
      <c r="G31" s="2"/>
      <c r="H31" s="2"/>
      <c r="I31" s="15"/>
      <c r="J31" s="15"/>
      <c r="K31" s="15"/>
      <c r="L31" s="15"/>
      <c r="M31" s="2"/>
    </row>
    <row r="32" spans="1:13" ht="18.75">
      <c r="A32" s="2" t="s">
        <v>360</v>
      </c>
      <c r="B32" s="2"/>
      <c r="C32" s="1"/>
      <c r="D32" s="2"/>
      <c r="E32" s="2"/>
      <c r="F32" s="2"/>
      <c r="G32" s="2"/>
      <c r="H32" s="2"/>
      <c r="I32" s="15"/>
      <c r="J32" s="15"/>
      <c r="K32" s="15"/>
      <c r="L32" s="15"/>
      <c r="M32" s="2"/>
    </row>
    <row r="33" spans="1:13" ht="18.75">
      <c r="A33" s="2"/>
      <c r="B33" s="2" t="s">
        <v>53</v>
      </c>
      <c r="C33" s="1"/>
      <c r="D33" s="2"/>
      <c r="E33" s="2"/>
      <c r="F33" s="2"/>
      <c r="G33" s="2"/>
      <c r="H33" s="2"/>
      <c r="I33" s="15">
        <v>-81919</v>
      </c>
      <c r="J33" s="15">
        <v>-41318</v>
      </c>
      <c r="K33" s="15"/>
      <c r="L33" s="15">
        <v>-123237</v>
      </c>
      <c r="M33" s="3">
        <f>L20+L33</f>
        <v>1529469</v>
      </c>
    </row>
    <row r="34" spans="1:13" ht="18.75">
      <c r="A34" s="1"/>
      <c r="B34" s="1"/>
      <c r="C34" s="1"/>
      <c r="D34" s="1"/>
      <c r="E34" s="1"/>
      <c r="F34" s="1"/>
      <c r="G34" s="1"/>
      <c r="H34" s="1"/>
      <c r="I34" s="10"/>
      <c r="J34" s="10"/>
      <c r="K34" s="10"/>
      <c r="L34" s="10"/>
      <c r="M34" s="1"/>
    </row>
    <row r="35" spans="1:13" ht="18.75">
      <c r="A35" s="1"/>
      <c r="B35" s="1" t="s">
        <v>20</v>
      </c>
      <c r="C35" s="1"/>
      <c r="D35" s="1"/>
      <c r="E35" s="1"/>
      <c r="F35" s="1"/>
      <c r="G35" s="1"/>
      <c r="H35" s="1"/>
      <c r="I35" s="10">
        <f>SUM(I30+I33)</f>
        <v>-3430863</v>
      </c>
      <c r="J35" s="10">
        <f t="shared" ref="J35:L35" si="5">SUM(J30+J33)</f>
        <v>-577661</v>
      </c>
      <c r="K35" s="10">
        <f t="shared" si="5"/>
        <v>0</v>
      </c>
      <c r="L35" s="10">
        <f t="shared" si="5"/>
        <v>-4008524</v>
      </c>
      <c r="M35" s="1"/>
    </row>
    <row r="36" spans="1:13" ht="18.75">
      <c r="A36" s="1"/>
      <c r="B36" s="1"/>
      <c r="C36" s="1"/>
      <c r="D36" s="1"/>
      <c r="E36" s="1"/>
      <c r="F36" s="1"/>
      <c r="G36" s="1"/>
      <c r="H36" s="1"/>
      <c r="I36" s="31"/>
      <c r="J36" s="31"/>
      <c r="K36" s="31"/>
      <c r="L36" s="31"/>
      <c r="M36" s="1"/>
    </row>
    <row r="37" spans="1:13" ht="18.75">
      <c r="A37" s="2"/>
      <c r="B37" s="1" t="s">
        <v>260</v>
      </c>
      <c r="C37" s="2"/>
      <c r="D37" s="2"/>
      <c r="E37" s="2"/>
      <c r="F37" s="2"/>
      <c r="G37" s="2"/>
      <c r="H37" s="2"/>
      <c r="I37" s="14">
        <f>I22+I35</f>
        <v>3598290</v>
      </c>
      <c r="J37" s="14">
        <f t="shared" ref="J37:L37" si="6">J22+J35</f>
        <v>5235883.24</v>
      </c>
      <c r="K37" s="14">
        <f t="shared" si="6"/>
        <v>-2939763</v>
      </c>
      <c r="L37" s="14">
        <f t="shared" si="6"/>
        <v>5894410.2400000002</v>
      </c>
      <c r="M37" s="3">
        <f>SUM(M10:M33)</f>
        <v>5894410.2400000002</v>
      </c>
    </row>
    <row r="38" spans="1:13" ht="18.75">
      <c r="A38" s="2"/>
      <c r="B38" s="1"/>
      <c r="C38" s="2"/>
      <c r="D38" s="2"/>
      <c r="E38" s="2"/>
      <c r="F38" s="2"/>
      <c r="G38" s="2"/>
      <c r="H38" s="2"/>
      <c r="I38" s="15"/>
      <c r="J38" s="15"/>
      <c r="K38" s="15"/>
      <c r="L38" s="15"/>
      <c r="M38" s="2"/>
    </row>
    <row r="39" spans="1:13" ht="18.75">
      <c r="A39" s="2"/>
      <c r="B39" s="2"/>
      <c r="C39" s="2"/>
      <c r="D39" s="2"/>
      <c r="E39" s="2"/>
      <c r="F39" s="2"/>
      <c r="G39" s="2"/>
      <c r="H39" s="2"/>
      <c r="I39" s="3"/>
      <c r="J39" s="3"/>
      <c r="K39" s="3"/>
      <c r="L39" s="3"/>
      <c r="M39" s="2"/>
    </row>
  </sheetData>
  <mergeCells count="3">
    <mergeCell ref="D1:I1"/>
    <mergeCell ref="D2:I2"/>
    <mergeCell ref="D3:I3"/>
  </mergeCells>
  <pageMargins left="0.7" right="0.7" top="0.75" bottom="0.75" header="0.3" footer="0.3"/>
  <extLst>
    <ext xmlns:mx="http://schemas.microsoft.com/office/mac/excel/2008/main" uri="{64002731-A6B0-56B0-2670-7721B7C09600}">
      <mx:PLV Mode="0" OnePage="0" WScale="0"/>
    </ext>
  </extLs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J115"/>
  <sheetViews>
    <sheetView topLeftCell="A16" zoomScale="70" zoomScaleNormal="70" workbookViewId="0">
      <selection activeCell="A30" sqref="A30:XFD30"/>
    </sheetView>
  </sheetViews>
  <sheetFormatPr defaultColWidth="8.85546875" defaultRowHeight="15"/>
  <cols>
    <col min="1" max="1" width="20.7109375" style="18" customWidth="1"/>
    <col min="2" max="2" width="14.28515625" style="19" customWidth="1"/>
    <col min="3" max="3" width="22.85546875" style="19" bestFit="1" customWidth="1"/>
    <col min="4" max="4" width="22.85546875" style="19" customWidth="1"/>
    <col min="5" max="5" width="27.28515625" style="19" bestFit="1" customWidth="1"/>
    <col min="6" max="6" width="33" style="19" bestFit="1" customWidth="1"/>
    <col min="7" max="7" width="24.7109375" style="19" customWidth="1"/>
    <col min="8" max="8" width="30.42578125" style="19" customWidth="1"/>
    <col min="9" max="9" width="20.140625" style="19" customWidth="1"/>
    <col min="10" max="10" width="22.42578125" style="19" customWidth="1"/>
    <col min="11" max="11" width="14" style="19" customWidth="1"/>
    <col min="12" max="12" width="12.85546875" style="19" customWidth="1"/>
    <col min="13" max="13" width="35" style="19" bestFit="1" customWidth="1"/>
    <col min="14" max="14" width="15.7109375" style="19" customWidth="1"/>
    <col min="15" max="15" width="25" style="19" customWidth="1"/>
    <col min="16" max="16" width="15" style="19" customWidth="1"/>
    <col min="17" max="17" width="8.85546875" style="19"/>
    <col min="18" max="18" width="18" style="19" customWidth="1"/>
    <col min="19" max="19" width="22.85546875" style="19" bestFit="1" customWidth="1"/>
    <col min="20" max="20" width="22.85546875" style="19" customWidth="1"/>
    <col min="21" max="21" width="27.28515625" style="19" bestFit="1" customWidth="1"/>
    <col min="22" max="22" width="33" style="19" bestFit="1" customWidth="1"/>
    <col min="23" max="23" width="24.85546875" style="19" bestFit="1" customWidth="1"/>
    <col min="24" max="24" width="30.7109375" style="19" bestFit="1" customWidth="1"/>
    <col min="25" max="26" width="20.42578125" style="19" bestFit="1" customWidth="1"/>
    <col min="27" max="28" width="18" style="19" customWidth="1"/>
    <col min="29" max="29" width="35" style="19" bestFit="1" customWidth="1"/>
    <col min="30" max="33" width="18" style="19" customWidth="1"/>
    <col min="34" max="34" width="15.85546875" style="19" customWidth="1"/>
    <col min="35" max="35" width="16" style="19" customWidth="1"/>
    <col min="36" max="36" width="10.42578125" style="19" customWidth="1"/>
    <col min="37" max="16384" width="8.85546875" style="19"/>
  </cols>
  <sheetData>
    <row r="1" spans="1:36">
      <c r="B1" s="18" t="s">
        <v>532</v>
      </c>
    </row>
    <row r="2" spans="1:36">
      <c r="B2" s="18" t="s">
        <v>533</v>
      </c>
      <c r="O2" s="20" t="s">
        <v>276</v>
      </c>
      <c r="AE2" s="20" t="s">
        <v>534</v>
      </c>
      <c r="AH2" s="18" t="s">
        <v>535</v>
      </c>
    </row>
    <row r="3" spans="1:36">
      <c r="B3" s="21" t="s">
        <v>276</v>
      </c>
      <c r="C3" s="22"/>
      <c r="D3" s="22"/>
      <c r="E3" s="22"/>
      <c r="F3" s="22"/>
      <c r="G3" s="22"/>
      <c r="H3" s="22"/>
      <c r="I3" s="22"/>
      <c r="J3" s="22"/>
      <c r="K3" s="22"/>
      <c r="L3" s="22"/>
      <c r="M3" s="22"/>
      <c r="N3" s="22"/>
      <c r="O3" s="23" t="s">
        <v>1</v>
      </c>
      <c r="P3" s="24"/>
      <c r="R3" s="21" t="s">
        <v>534</v>
      </c>
      <c r="S3" s="22"/>
      <c r="T3" s="22"/>
      <c r="U3" s="22"/>
      <c r="V3" s="22"/>
      <c r="W3" s="22"/>
      <c r="X3" s="22"/>
      <c r="Y3" s="22"/>
      <c r="Z3" s="22"/>
      <c r="AA3" s="22"/>
      <c r="AB3" s="22"/>
      <c r="AC3" s="22"/>
      <c r="AD3" s="22"/>
      <c r="AE3" s="23" t="s">
        <v>1</v>
      </c>
      <c r="AF3" s="24"/>
      <c r="AH3" s="18" t="s">
        <v>536</v>
      </c>
    </row>
    <row r="4" spans="1:36" s="18" customFormat="1" ht="30">
      <c r="B4" s="105" t="s">
        <v>10</v>
      </c>
      <c r="C4" s="104" t="s">
        <v>11</v>
      </c>
      <c r="D4" s="104" t="s">
        <v>537</v>
      </c>
      <c r="E4" s="104" t="s">
        <v>538</v>
      </c>
      <c r="F4" s="104" t="s">
        <v>52</v>
      </c>
      <c r="G4" s="104" t="s">
        <v>15</v>
      </c>
      <c r="H4" s="104" t="s">
        <v>539</v>
      </c>
      <c r="I4" s="104" t="s">
        <v>120</v>
      </c>
      <c r="J4" s="104" t="s">
        <v>29</v>
      </c>
      <c r="K4" s="104" t="s">
        <v>30</v>
      </c>
      <c r="L4" s="104" t="s">
        <v>54</v>
      </c>
      <c r="M4" s="104" t="s">
        <v>540</v>
      </c>
      <c r="N4" s="104" t="s">
        <v>17</v>
      </c>
      <c r="O4" s="20" t="s">
        <v>541</v>
      </c>
      <c r="P4" s="18" t="s">
        <v>542</v>
      </c>
      <c r="Q4" s="18" t="s">
        <v>543</v>
      </c>
      <c r="R4" s="105" t="s">
        <v>10</v>
      </c>
      <c r="S4" s="104" t="s">
        <v>11</v>
      </c>
      <c r="T4" s="104" t="s">
        <v>537</v>
      </c>
      <c r="U4" s="104" t="s">
        <v>538</v>
      </c>
      <c r="V4" s="104" t="s">
        <v>52</v>
      </c>
      <c r="W4" s="104" t="s">
        <v>15</v>
      </c>
      <c r="X4" s="104" t="s">
        <v>539</v>
      </c>
      <c r="Y4" s="104" t="s">
        <v>120</v>
      </c>
      <c r="Z4" s="104" t="s">
        <v>29</v>
      </c>
      <c r="AA4" s="104" t="s">
        <v>30</v>
      </c>
      <c r="AB4" s="104" t="s">
        <v>54</v>
      </c>
      <c r="AC4" s="18" t="s">
        <v>540</v>
      </c>
      <c r="AD4" s="18" t="s">
        <v>17</v>
      </c>
      <c r="AE4" s="20" t="s">
        <v>541</v>
      </c>
      <c r="AF4" s="18" t="s">
        <v>542</v>
      </c>
      <c r="AG4" s="18" t="s">
        <v>543</v>
      </c>
      <c r="AI4" s="18" t="s">
        <v>542</v>
      </c>
      <c r="AJ4" s="18" t="s">
        <v>543</v>
      </c>
    </row>
    <row r="5" spans="1:36" ht="14.25" customHeight="1">
      <c r="A5" s="18" t="s">
        <v>544</v>
      </c>
      <c r="B5" s="19">
        <f>Acadia!K9</f>
        <v>1329008</v>
      </c>
      <c r="C5" s="19">
        <f>Acadia!K10</f>
        <v>616503</v>
      </c>
      <c r="D5" s="19">
        <v>0</v>
      </c>
      <c r="E5" s="19">
        <f>Acadia!K23</f>
        <v>17215834</v>
      </c>
      <c r="F5" s="19">
        <f>Acadia!K25</f>
        <v>359256</v>
      </c>
      <c r="G5" s="19">
        <f>Acadia!K24</f>
        <v>4951533</v>
      </c>
      <c r="H5" s="19">
        <v>0</v>
      </c>
      <c r="I5" s="19">
        <v>0</v>
      </c>
      <c r="J5" s="19">
        <v>0</v>
      </c>
      <c r="N5" s="19">
        <f>Acadia!K26</f>
        <v>28520577</v>
      </c>
      <c r="O5" s="25">
        <f>Acadia!K32</f>
        <v>52992711</v>
      </c>
      <c r="P5" s="19">
        <f t="shared" ref="P5" si="0">SUM(B5:N5)</f>
        <v>52992711</v>
      </c>
      <c r="Q5" s="20" t="str">
        <f t="shared" ref="Q5:Q6" si="1">IF(O5="","Blank",IF(O5=P5,"Yes","No"))</f>
        <v>Yes</v>
      </c>
      <c r="AF5" s="18">
        <f t="shared" ref="AF5:AF6" si="2">SUM(R5:AD5)</f>
        <v>0</v>
      </c>
      <c r="AG5" s="20" t="str">
        <f t="shared" ref="AG5:AG6" si="3">IF(AE5="","Blank",IF(AE5=AF5,"Yes","No"))</f>
        <v>Blank</v>
      </c>
      <c r="AH5" s="19">
        <f>Acadia!K32</f>
        <v>52992711</v>
      </c>
      <c r="AI5" s="19">
        <f t="shared" ref="AI5:AI6" si="4">O5+AE5</f>
        <v>52992711</v>
      </c>
      <c r="AJ5" s="18" t="str">
        <f t="shared" ref="AJ5:AJ6" si="5">IF(AH5="","Blank",IF(AH5=AI5,"Yes","No"))</f>
        <v>Yes</v>
      </c>
    </row>
    <row r="6" spans="1:36" ht="14.25" customHeight="1">
      <c r="A6" s="18" t="s">
        <v>545</v>
      </c>
      <c r="B6" s="19">
        <f>Allen!K10</f>
        <v>572300</v>
      </c>
      <c r="C6" s="19">
        <f>Allen!K9</f>
        <v>98703</v>
      </c>
      <c r="D6" s="19">
        <v>0</v>
      </c>
      <c r="E6" s="19">
        <f>Allen!K24</f>
        <v>2705821</v>
      </c>
      <c r="F6" s="19">
        <f>Allen!K25</f>
        <v>3478780</v>
      </c>
      <c r="G6" s="19">
        <f>Allen!K28</f>
        <v>1099303</v>
      </c>
      <c r="J6" s="19">
        <f>Allen!K26</f>
        <v>88411</v>
      </c>
      <c r="K6" s="19">
        <f>Allen!K27</f>
        <v>156764</v>
      </c>
      <c r="N6" s="19">
        <f>Allen!K29</f>
        <v>15773747</v>
      </c>
      <c r="O6" s="25">
        <f>Allen!K35</f>
        <v>23973829</v>
      </c>
      <c r="P6" s="19">
        <f>SUM(B6:N6)</f>
        <v>23973829</v>
      </c>
      <c r="Q6" s="20" t="str">
        <f t="shared" si="1"/>
        <v>Yes</v>
      </c>
      <c r="AF6" s="18">
        <f t="shared" si="2"/>
        <v>0</v>
      </c>
      <c r="AG6" s="20" t="str">
        <f t="shared" si="3"/>
        <v>Blank</v>
      </c>
      <c r="AH6" s="19">
        <f>Allen!K35</f>
        <v>23973829</v>
      </c>
      <c r="AI6" s="19">
        <f t="shared" si="4"/>
        <v>23973829</v>
      </c>
      <c r="AJ6" s="18" t="str">
        <f t="shared" si="5"/>
        <v>Yes</v>
      </c>
    </row>
    <row r="7" spans="1:36" ht="14.25" customHeight="1">
      <c r="A7" s="18" t="s">
        <v>546</v>
      </c>
      <c r="B7" s="19">
        <f>Assumption!N10</f>
        <v>2334193</v>
      </c>
      <c r="C7" s="19">
        <f>Assumption!N16</f>
        <v>701781</v>
      </c>
      <c r="D7" s="19">
        <v>0</v>
      </c>
      <c r="E7" s="19">
        <f>Assumption!N28</f>
        <v>15681863.839302227</v>
      </c>
      <c r="F7" s="19">
        <f>Assumption!N29</f>
        <v>7725821.8898921441</v>
      </c>
      <c r="G7" s="19">
        <f>Assumption!N32</f>
        <v>4800913.7128763171</v>
      </c>
      <c r="L7" s="19">
        <f>Assumption!N31</f>
        <v>386940.13017566106</v>
      </c>
      <c r="N7" s="19">
        <f>Assumption!N30</f>
        <v>10662450.42775365</v>
      </c>
      <c r="O7" s="25">
        <f>Assumption!N36</f>
        <v>42293964</v>
      </c>
      <c r="P7" s="19">
        <f t="shared" ref="P7:P58" si="6">SUM(B7:N7)</f>
        <v>42293964</v>
      </c>
      <c r="Q7" s="20" t="str">
        <f t="shared" ref="Q7:Q58" si="7">IF(O7="","Blank",IF(O7=P7,"Yes","No"))</f>
        <v>Yes</v>
      </c>
      <c r="AF7" s="18">
        <f t="shared" ref="AF7:AF58" si="8">SUM(R7:AD7)</f>
        <v>0</v>
      </c>
      <c r="AG7" s="20" t="str">
        <f t="shared" ref="AG7:AG8" si="9">IF(AE7="","Blank",IF(AE7=AF7,"Yes","No"))</f>
        <v>Blank</v>
      </c>
      <c r="AH7" s="19">
        <f>Assumption!N36</f>
        <v>42293964</v>
      </c>
      <c r="AI7" s="19">
        <f t="shared" ref="AI7:AI8" si="10">O7+AE7</f>
        <v>42293964</v>
      </c>
      <c r="AJ7" s="18" t="str">
        <f t="shared" ref="AJ7:AJ8" si="11">IF(AH7="","Blank",IF(AH7=AI7,"Yes","No"))</f>
        <v>Yes</v>
      </c>
    </row>
    <row r="8" spans="1:36" ht="14.25" customHeight="1">
      <c r="A8" s="18" t="s">
        <v>547</v>
      </c>
      <c r="B8" s="19">
        <f>Avoyelles!K9</f>
        <v>590548</v>
      </c>
      <c r="E8" s="19">
        <f>Avoyelles!K23</f>
        <v>3732748</v>
      </c>
      <c r="G8" s="19">
        <f>Avoyelles!K24+Avoyelles!K26</f>
        <v>829122</v>
      </c>
      <c r="N8" s="19">
        <f>Avoyelles!K25</f>
        <v>37442</v>
      </c>
      <c r="O8" s="25">
        <f>Avoyelles!K30</f>
        <v>5189860</v>
      </c>
      <c r="P8" s="19">
        <f t="shared" si="6"/>
        <v>5189860</v>
      </c>
      <c r="Q8" s="20" t="str">
        <f t="shared" si="7"/>
        <v>Yes</v>
      </c>
      <c r="AF8" s="18">
        <f t="shared" si="8"/>
        <v>0</v>
      </c>
      <c r="AG8" s="20" t="str">
        <f t="shared" si="9"/>
        <v>Blank</v>
      </c>
      <c r="AH8" s="19">
        <f>Avoyelles!K30</f>
        <v>5189860</v>
      </c>
      <c r="AI8" s="19">
        <f t="shared" si="10"/>
        <v>5189860</v>
      </c>
      <c r="AJ8" s="18" t="str">
        <f t="shared" si="11"/>
        <v>Yes</v>
      </c>
    </row>
    <row r="9" spans="1:36" ht="14.25" customHeight="1">
      <c r="A9" s="18" t="s">
        <v>548</v>
      </c>
      <c r="B9" s="19">
        <f>Beauregard!N9</f>
        <v>688379</v>
      </c>
      <c r="C9" s="19">
        <f>Beauregard!N10</f>
        <v>2175229</v>
      </c>
      <c r="E9" s="19">
        <f>Beauregard!N20</f>
        <v>9185845</v>
      </c>
      <c r="J9" s="19">
        <f>Beauregard!N22</f>
        <v>4096339</v>
      </c>
      <c r="N9" s="19">
        <f>Beauregard!N21</f>
        <v>15391434</v>
      </c>
      <c r="O9" s="25">
        <f>Beauregard!N25</f>
        <v>31537226</v>
      </c>
      <c r="P9" s="19">
        <f>SUM(B9:N9)</f>
        <v>31537226</v>
      </c>
      <c r="Q9" s="20" t="str">
        <f t="shared" si="7"/>
        <v>Yes</v>
      </c>
      <c r="AF9" s="18"/>
      <c r="AG9" s="20"/>
      <c r="AJ9" s="18"/>
    </row>
    <row r="10" spans="1:36">
      <c r="A10" s="18" t="s">
        <v>549</v>
      </c>
      <c r="B10" s="19">
        <f>Bienville!M9</f>
        <v>660250</v>
      </c>
      <c r="D10" s="19">
        <v>0</v>
      </c>
      <c r="E10" s="19">
        <f>Bienville!M29</f>
        <v>13555326</v>
      </c>
      <c r="F10" s="19">
        <v>0</v>
      </c>
      <c r="G10" s="19">
        <f>Bienville!M30+Bienville!M31+Bienville!M33</f>
        <v>1002035</v>
      </c>
      <c r="K10" s="19">
        <f>Bienville!M32</f>
        <v>591866</v>
      </c>
      <c r="N10" s="19">
        <f>Bienville!M27+Bienville!M28</f>
        <v>6695130</v>
      </c>
      <c r="O10" s="25">
        <f>Bienville!M39</f>
        <v>22504607</v>
      </c>
      <c r="P10" s="19">
        <f t="shared" ref="P10:P16" si="12">SUM(B10:N10)</f>
        <v>22504607</v>
      </c>
      <c r="Q10" s="20" t="str">
        <f t="shared" ref="Q10:Q19" si="13">IF(O10="","Blank",IF(O10=P10,"Yes","No"))</f>
        <v>Yes</v>
      </c>
      <c r="AF10" s="18">
        <f t="shared" ref="AF10:AF19" si="14">SUM(R10:AD10)</f>
        <v>0</v>
      </c>
      <c r="AG10" s="20" t="str">
        <f t="shared" ref="AG10:AG63" si="15">IF(AE10="","Blank",IF(AE10=AF10,"Yes","No"))</f>
        <v>Blank</v>
      </c>
      <c r="AH10" s="19">
        <f>Bienville!M39</f>
        <v>22504607</v>
      </c>
      <c r="AI10" s="19">
        <f t="shared" ref="AI10:AI65" si="16">O10+AE10</f>
        <v>22504607</v>
      </c>
      <c r="AJ10" s="18" t="str">
        <f t="shared" ref="AJ10:AJ66" si="17">IF(AH10="","Blank",IF(AH10=AI10,"Yes","No"))</f>
        <v>Yes</v>
      </c>
    </row>
    <row r="11" spans="1:36">
      <c r="A11" s="18" t="s">
        <v>550</v>
      </c>
      <c r="B11" s="19">
        <f>Bossier!N10</f>
        <v>12972258</v>
      </c>
      <c r="C11" s="19">
        <f>Bossier!N11</f>
        <v>6272099</v>
      </c>
      <c r="D11" s="19">
        <v>0</v>
      </c>
      <c r="E11" s="19">
        <f>Bossier!N22</f>
        <v>81602610</v>
      </c>
      <c r="I11" s="19">
        <f>Bossier!N25</f>
        <v>1210404</v>
      </c>
      <c r="J11" s="19">
        <f>Bossier!N24</f>
        <v>4027455</v>
      </c>
      <c r="N11" s="19">
        <f>Bossier!N23</f>
        <v>179041274</v>
      </c>
      <c r="O11" s="25">
        <f>Bossier!N30</f>
        <v>285126100</v>
      </c>
      <c r="P11" s="19">
        <f t="shared" si="12"/>
        <v>285126100</v>
      </c>
      <c r="Q11" s="20" t="str">
        <f t="shared" si="13"/>
        <v>Yes</v>
      </c>
      <c r="R11" s="19">
        <f>Bossier!N37</f>
        <v>1411812</v>
      </c>
      <c r="S11" s="19">
        <f>Bossier!N39</f>
        <v>13631606</v>
      </c>
      <c r="T11" s="19">
        <f>Bossier!N38</f>
        <v>1226000</v>
      </c>
      <c r="U11" s="19">
        <f>Bossier!N49</f>
        <v>4417799</v>
      </c>
      <c r="V11" s="19">
        <v>0</v>
      </c>
      <c r="W11" s="19">
        <v>0</v>
      </c>
      <c r="X11" s="19">
        <v>0</v>
      </c>
      <c r="Y11" s="19">
        <v>0</v>
      </c>
      <c r="Z11" s="19">
        <f>Bossier!N48</f>
        <v>192126</v>
      </c>
      <c r="AA11" s="19">
        <v>0</v>
      </c>
      <c r="AB11" s="19">
        <v>0</v>
      </c>
      <c r="AC11" s="19">
        <v>0</v>
      </c>
      <c r="AE11" s="19">
        <f>Bossier!N54</f>
        <v>20879343</v>
      </c>
      <c r="AF11" s="18">
        <f t="shared" si="14"/>
        <v>20879343</v>
      </c>
      <c r="AG11" s="20" t="str">
        <f t="shared" si="15"/>
        <v>Yes</v>
      </c>
      <c r="AH11" s="19">
        <f>Bossier!N30+Bossier!N54</f>
        <v>306005443</v>
      </c>
      <c r="AI11" s="19">
        <f t="shared" si="16"/>
        <v>306005443</v>
      </c>
      <c r="AJ11" s="18" t="str">
        <f t="shared" si="17"/>
        <v>Yes</v>
      </c>
    </row>
    <row r="12" spans="1:36">
      <c r="A12" s="18" t="s">
        <v>551</v>
      </c>
      <c r="B12" s="19">
        <f>Caddo!M9</f>
        <v>14578409</v>
      </c>
      <c r="C12" s="19">
        <f>Caddo!M10</f>
        <v>5935905</v>
      </c>
      <c r="E12" s="19">
        <f>Caddo!M20</f>
        <v>61578152</v>
      </c>
      <c r="G12" s="19">
        <f>Caddo!M21</f>
        <v>12288040</v>
      </c>
      <c r="N12" s="19">
        <f>Caddo!M22</f>
        <v>109562605</v>
      </c>
      <c r="O12" s="25">
        <f>Caddo!M25</f>
        <v>203943111</v>
      </c>
      <c r="P12" s="19">
        <f t="shared" si="12"/>
        <v>203943111</v>
      </c>
      <c r="Q12" s="20" t="str">
        <f t="shared" si="13"/>
        <v>Yes</v>
      </c>
      <c r="AF12" s="18">
        <f t="shared" si="14"/>
        <v>0</v>
      </c>
      <c r="AG12" s="20"/>
      <c r="AH12" s="19">
        <f>Caddo!M25</f>
        <v>203943111</v>
      </c>
      <c r="AI12" s="19">
        <f t="shared" si="16"/>
        <v>203943111</v>
      </c>
      <c r="AJ12" s="18" t="str">
        <f t="shared" si="17"/>
        <v>Yes</v>
      </c>
    </row>
    <row r="13" spans="1:36">
      <c r="A13" s="18" t="s">
        <v>552</v>
      </c>
      <c r="B13" s="19">
        <f>Calcasieu!M9</f>
        <v>18022266</v>
      </c>
      <c r="C13" s="19">
        <f>Calcasieu!M10</f>
        <v>7378939</v>
      </c>
      <c r="D13" s="19">
        <f>Calcasieu!M11</f>
        <v>395417424</v>
      </c>
      <c r="E13" s="19">
        <f>Calcasieu!M23</f>
        <v>74641842</v>
      </c>
      <c r="G13" s="19">
        <f>Calcasieu!M24</f>
        <v>13241859</v>
      </c>
      <c r="J13" s="26"/>
      <c r="L13" s="19">
        <f>Calcasieu!M25</f>
        <v>10105861</v>
      </c>
      <c r="O13" s="25">
        <f>Calcasieu!M31</f>
        <v>518808191</v>
      </c>
      <c r="P13" s="19">
        <f t="shared" si="12"/>
        <v>518808191</v>
      </c>
      <c r="Q13" s="20" t="str">
        <f t="shared" si="13"/>
        <v>Yes</v>
      </c>
      <c r="R13" s="19">
        <f>Calcasieu!M39</f>
        <v>227920</v>
      </c>
      <c r="S13" s="19">
        <f>Calcasieu!M40</f>
        <v>24850</v>
      </c>
      <c r="U13" s="19">
        <f>Calcasieu!M54</f>
        <v>18118</v>
      </c>
      <c r="V13" s="19">
        <f>Calcasieu!M53</f>
        <v>6798527</v>
      </c>
      <c r="W13" s="19">
        <f>Calcasieu!M56</f>
        <v>39962</v>
      </c>
      <c r="X13" s="19">
        <v>0</v>
      </c>
      <c r="Y13" s="19">
        <v>0</v>
      </c>
      <c r="AB13" s="19">
        <v>0</v>
      </c>
      <c r="AC13" s="19">
        <v>0</v>
      </c>
      <c r="AD13" s="19">
        <f>Calcasieu!M55</f>
        <v>1963143</v>
      </c>
      <c r="AE13" s="19">
        <f>Calcasieu!M62</f>
        <v>9072520</v>
      </c>
      <c r="AF13" s="18">
        <f t="shared" si="14"/>
        <v>9072520</v>
      </c>
      <c r="AG13" s="20" t="str">
        <f t="shared" si="15"/>
        <v>Yes</v>
      </c>
      <c r="AH13" s="19">
        <f>Calcasieu!M31+Calcasieu!M62</f>
        <v>527880711</v>
      </c>
      <c r="AI13" s="19">
        <f t="shared" si="16"/>
        <v>527880711</v>
      </c>
      <c r="AJ13" s="18" t="str">
        <f t="shared" si="17"/>
        <v>Yes</v>
      </c>
    </row>
    <row r="14" spans="1:36">
      <c r="A14" s="18" t="s">
        <v>553</v>
      </c>
      <c r="B14" s="19">
        <f>Caldwell!N10</f>
        <v>420095</v>
      </c>
      <c r="C14" s="19">
        <f>Caldwell!N11</f>
        <v>10535878</v>
      </c>
      <c r="D14" s="19">
        <v>0</v>
      </c>
      <c r="E14" s="19">
        <f>Caldwell!N30</f>
        <v>364579</v>
      </c>
      <c r="F14" s="19">
        <f>Caldwell!N31</f>
        <v>498921</v>
      </c>
      <c r="G14" s="19">
        <f>Caldwell!N32+Caldwell!N34+Caldwell!N35</f>
        <v>619862</v>
      </c>
      <c r="J14" s="26"/>
      <c r="K14" s="19">
        <f>Caldwell!N33</f>
        <v>72294</v>
      </c>
      <c r="N14" s="19">
        <f>Caldwell!N28+Caldwell!N29</f>
        <v>1597483</v>
      </c>
      <c r="O14" s="25">
        <f>Caldwell!N40</f>
        <v>14109112</v>
      </c>
      <c r="P14" s="19">
        <f t="shared" si="12"/>
        <v>14109112</v>
      </c>
      <c r="Q14" s="20" t="str">
        <f t="shared" si="13"/>
        <v>Yes</v>
      </c>
      <c r="AF14" s="19">
        <f t="shared" si="14"/>
        <v>0</v>
      </c>
      <c r="AG14" s="20" t="str">
        <f t="shared" si="15"/>
        <v>Blank</v>
      </c>
      <c r="AH14" s="19">
        <f>Caldwell!N40</f>
        <v>14109112</v>
      </c>
      <c r="AI14" s="19">
        <f t="shared" si="16"/>
        <v>14109112</v>
      </c>
      <c r="AJ14" s="18" t="str">
        <f t="shared" si="17"/>
        <v>Yes</v>
      </c>
    </row>
    <row r="15" spans="1:36">
      <c r="A15" s="18" t="s">
        <v>554</v>
      </c>
      <c r="B15" s="19">
        <f>Cameron!M10</f>
        <v>1409390</v>
      </c>
      <c r="C15" s="19">
        <f>Cameron!M11</f>
        <v>26212651</v>
      </c>
      <c r="D15" s="19">
        <v>0</v>
      </c>
      <c r="E15" s="19">
        <f>Cameron!M26</f>
        <v>31190618</v>
      </c>
      <c r="F15" s="19">
        <v>0</v>
      </c>
      <c r="I15" s="19">
        <f>Cameron!M27</f>
        <v>644123</v>
      </c>
      <c r="J15" s="26">
        <f>Cameron!M28</f>
        <v>14819955</v>
      </c>
      <c r="N15" s="19">
        <f>Cameron!M29</f>
        <v>49691028</v>
      </c>
      <c r="O15" s="25">
        <f>Cameron!M34</f>
        <v>123967765</v>
      </c>
      <c r="P15" s="19">
        <f t="shared" ref="P15" si="18">SUM(B15:N15)</f>
        <v>123967765</v>
      </c>
      <c r="Q15" s="20" t="str">
        <f t="shared" ref="Q15" si="19">IF(O15="","Blank",IF(O15=P15,"Yes","No"))</f>
        <v>Yes</v>
      </c>
      <c r="AF15" s="19">
        <f t="shared" ref="AF15" si="20">SUM(R15:AD15)</f>
        <v>0</v>
      </c>
      <c r="AG15" s="20" t="str">
        <f t="shared" si="15"/>
        <v>Blank</v>
      </c>
      <c r="AH15" s="19">
        <f>Cameron!M34</f>
        <v>123967765</v>
      </c>
      <c r="AI15" s="19">
        <f t="shared" si="16"/>
        <v>123967765</v>
      </c>
      <c r="AJ15" s="18" t="str">
        <f t="shared" ref="AJ15" si="21">IF(AH15="","Blank",IF(AH15=AI15,"Yes","No"))</f>
        <v>Yes</v>
      </c>
    </row>
    <row r="16" spans="1:36">
      <c r="A16" s="18" t="s">
        <v>555</v>
      </c>
      <c r="B16" s="19">
        <f>Catahoula!N10</f>
        <v>112200</v>
      </c>
      <c r="C16" s="19">
        <f>Catahoula!N11</f>
        <v>33780</v>
      </c>
      <c r="D16" s="19">
        <v>0</v>
      </c>
      <c r="E16" s="19">
        <f>Catahoula!N26</f>
        <v>425105</v>
      </c>
      <c r="F16" s="19">
        <f>Catahoula!N27</f>
        <v>1280532</v>
      </c>
      <c r="G16" s="19">
        <f>Catahoula!N28+Catahoula!N29</f>
        <v>561319</v>
      </c>
      <c r="I16" s="19">
        <f>Catahoula!N31</f>
        <v>84066</v>
      </c>
      <c r="K16" s="19">
        <f>Catahoula!N30</f>
        <v>201554</v>
      </c>
      <c r="N16" s="19">
        <f>Catahoula!N25</f>
        <v>3032493</v>
      </c>
      <c r="O16" s="25">
        <f>Catahoula!N36</f>
        <v>5731049</v>
      </c>
      <c r="P16" s="19">
        <f t="shared" si="12"/>
        <v>5731049</v>
      </c>
      <c r="Q16" s="20" t="str">
        <f t="shared" si="13"/>
        <v>Yes</v>
      </c>
      <c r="X16" s="19">
        <v>0</v>
      </c>
      <c r="Y16" s="19">
        <v>0</v>
      </c>
      <c r="AB16" s="19">
        <v>0</v>
      </c>
      <c r="AC16" s="19">
        <v>0</v>
      </c>
      <c r="AF16" s="19">
        <f t="shared" si="14"/>
        <v>0</v>
      </c>
      <c r="AG16" s="20" t="str">
        <f t="shared" si="15"/>
        <v>Blank</v>
      </c>
      <c r="AH16" s="19">
        <f>Catahoula!N36</f>
        <v>5731049</v>
      </c>
      <c r="AI16" s="19">
        <f t="shared" si="16"/>
        <v>5731049</v>
      </c>
      <c r="AJ16" s="18" t="str">
        <f t="shared" si="17"/>
        <v>Yes</v>
      </c>
    </row>
    <row r="17" spans="1:36">
      <c r="A17" s="18" t="s">
        <v>556</v>
      </c>
      <c r="B17" s="19">
        <f>Claiborne!N11+Claiborne!N12+Claiborne!N13+Claiborne!N14</f>
        <v>270788</v>
      </c>
      <c r="C17" s="19">
        <f>Claiborne!N15</f>
        <v>43262</v>
      </c>
      <c r="D17" s="19">
        <v>0</v>
      </c>
      <c r="E17" s="19">
        <f>Claiborne!N49+Claiborne!N57+Claiborne!N60+Claiborne!N64</f>
        <v>4403099</v>
      </c>
      <c r="F17" s="19">
        <f>Claiborne!N48+Claiborne!N59</f>
        <v>1133</v>
      </c>
      <c r="G17" s="27">
        <f>Claiborne!N50+Claiborne!N51</f>
        <v>1205005</v>
      </c>
      <c r="H17" s="27"/>
      <c r="I17" s="19">
        <f>Claiborne!N67</f>
        <v>-38748</v>
      </c>
      <c r="J17" s="19">
        <f>Claiborne!N66+Claiborne!N62+Claiborne!N56+Claiborne!N53</f>
        <v>405924</v>
      </c>
      <c r="K17" s="27">
        <f>Claiborne!N52+Claiborne!N55+Claiborne!N61+Claiborne!N65</f>
        <v>169508</v>
      </c>
      <c r="N17" s="19">
        <f>Claiborne!N46+Claiborne!N47</f>
        <v>1759528</v>
      </c>
      <c r="O17" s="25">
        <f>Claiborne!N72</f>
        <v>8219499</v>
      </c>
      <c r="P17" s="19">
        <f t="shared" ref="P17:P19" si="22">SUM(B17:N17)</f>
        <v>8219499</v>
      </c>
      <c r="Q17" s="20" t="str">
        <f t="shared" si="13"/>
        <v>Yes</v>
      </c>
      <c r="X17" s="19">
        <v>0</v>
      </c>
      <c r="Y17" s="19">
        <v>0</v>
      </c>
      <c r="AB17" s="19">
        <v>0</v>
      </c>
      <c r="AC17" s="19">
        <v>0</v>
      </c>
      <c r="AF17" s="19">
        <f t="shared" si="14"/>
        <v>0</v>
      </c>
      <c r="AG17" s="20" t="str">
        <f t="shared" si="15"/>
        <v>Blank</v>
      </c>
      <c r="AH17" s="19">
        <f>Claiborne!N72</f>
        <v>8219499</v>
      </c>
      <c r="AI17" s="19">
        <f t="shared" si="16"/>
        <v>8219499</v>
      </c>
      <c r="AJ17" s="18" t="str">
        <f t="shared" si="17"/>
        <v>Yes</v>
      </c>
    </row>
    <row r="18" spans="1:36">
      <c r="A18" s="18" t="s">
        <v>557</v>
      </c>
      <c r="B18" s="19">
        <f>Concordia!M9</f>
        <v>7038</v>
      </c>
      <c r="E18" s="19">
        <f>Concordia!M22</f>
        <v>2754456.25</v>
      </c>
      <c r="G18" s="27">
        <f>Concordia!M24+Concordia!M25</f>
        <v>1661165</v>
      </c>
      <c r="H18" s="27"/>
      <c r="J18" s="19">
        <f>Concordia!M23</f>
        <v>200330</v>
      </c>
      <c r="K18" s="27"/>
      <c r="L18" s="19">
        <f>Concordia!M26</f>
        <v>5592640</v>
      </c>
      <c r="O18" s="25">
        <f>Concordia!M32</f>
        <v>10215629.25</v>
      </c>
      <c r="P18" s="19">
        <f t="shared" si="22"/>
        <v>10215629.25</v>
      </c>
      <c r="Q18" s="20" t="str">
        <f t="shared" si="13"/>
        <v>Yes</v>
      </c>
      <c r="X18" s="19">
        <v>0</v>
      </c>
      <c r="Y18" s="19">
        <v>0</v>
      </c>
      <c r="AB18" s="19">
        <v>0</v>
      </c>
      <c r="AC18" s="19">
        <v>0</v>
      </c>
      <c r="AF18" s="19">
        <f t="shared" si="14"/>
        <v>0</v>
      </c>
      <c r="AG18" s="20" t="str">
        <f t="shared" si="15"/>
        <v>Blank</v>
      </c>
      <c r="AH18" s="19">
        <f>Concordia!M32</f>
        <v>10215629.25</v>
      </c>
      <c r="AI18" s="19">
        <f t="shared" si="16"/>
        <v>10215629.25</v>
      </c>
      <c r="AJ18" s="18" t="str">
        <f t="shared" si="17"/>
        <v>Yes</v>
      </c>
    </row>
    <row r="19" spans="1:36">
      <c r="A19" s="18" t="s">
        <v>558</v>
      </c>
      <c r="B19" s="19">
        <f>DeSoto!M10</f>
        <v>1979943</v>
      </c>
      <c r="C19" s="19">
        <f>DeSoto!M11</f>
        <v>1040897</v>
      </c>
      <c r="D19" s="19">
        <v>0</v>
      </c>
      <c r="E19" s="19">
        <f>DeSoto!M22</f>
        <v>13940192</v>
      </c>
      <c r="F19" s="19">
        <f>DeSoto!M23</f>
        <v>5640752</v>
      </c>
      <c r="J19" s="26">
        <f>DeSoto!M24</f>
        <v>5368573</v>
      </c>
      <c r="N19" s="19">
        <f>DeSoto!M25</f>
        <v>45811368</v>
      </c>
      <c r="O19" s="25">
        <f>DeSoto!M30</f>
        <v>73781725</v>
      </c>
      <c r="P19" s="19">
        <f t="shared" si="22"/>
        <v>73781725</v>
      </c>
      <c r="Q19" s="20" t="str">
        <f t="shared" si="13"/>
        <v>Yes</v>
      </c>
      <c r="R19" s="19">
        <f>DeSoto!M35</f>
        <v>10175</v>
      </c>
      <c r="Y19" s="19">
        <v>0</v>
      </c>
      <c r="AB19" s="19">
        <v>0</v>
      </c>
      <c r="AC19" s="19">
        <v>0</v>
      </c>
      <c r="AD19" s="19">
        <f>DeSoto!M44+DeSoto!M45</f>
        <v>0</v>
      </c>
      <c r="AE19" s="19">
        <f>DeSoto!M51</f>
        <v>10175</v>
      </c>
      <c r="AF19" s="19">
        <f t="shared" si="14"/>
        <v>10175</v>
      </c>
      <c r="AG19" s="20" t="str">
        <f t="shared" si="15"/>
        <v>Yes</v>
      </c>
      <c r="AH19" s="19">
        <f>DeSoto!M51+DeSoto!M30</f>
        <v>73791900</v>
      </c>
      <c r="AI19" s="19">
        <f t="shared" si="16"/>
        <v>73791900</v>
      </c>
      <c r="AJ19" s="18" t="str">
        <f t="shared" si="17"/>
        <v>Yes</v>
      </c>
    </row>
    <row r="20" spans="1:36">
      <c r="A20" s="18" t="s">
        <v>559</v>
      </c>
      <c r="B20" s="19">
        <f>'East Baton Rouge'!N10</f>
        <v>160234370</v>
      </c>
      <c r="C20" s="19">
        <f>'East Baton Rouge'!N11</f>
        <v>51918050</v>
      </c>
      <c r="D20" s="19">
        <v>0</v>
      </c>
      <c r="E20" s="19">
        <f>'East Baton Rouge'!N22</f>
        <v>81602610</v>
      </c>
      <c r="F20" s="19">
        <f>'East Baton Rouge'!N24</f>
        <v>224555723</v>
      </c>
      <c r="G20" s="19">
        <f>'East Baton Rouge'!N25</f>
        <v>1210404</v>
      </c>
      <c r="O20" s="25">
        <f>'East Baton Rouge'!N30</f>
        <v>519521157</v>
      </c>
      <c r="P20" s="19">
        <f t="shared" si="6"/>
        <v>519521157</v>
      </c>
      <c r="Q20" s="20" t="str">
        <f t="shared" si="7"/>
        <v>Yes</v>
      </c>
      <c r="R20" s="19">
        <f>'East Baton Rouge'!N37</f>
        <v>1411812</v>
      </c>
      <c r="S20" s="19">
        <f>'East Baton Rouge'!N39</f>
        <v>13631606</v>
      </c>
      <c r="T20" s="19">
        <f>'East Baton Rouge'!N38</f>
        <v>1226000</v>
      </c>
      <c r="U20" s="19">
        <f>'East Baton Rouge'!N50</f>
        <v>192126</v>
      </c>
      <c r="V20" s="19">
        <f>'East Baton Rouge'!N51</f>
        <v>4417799</v>
      </c>
      <c r="X20" s="19">
        <v>0</v>
      </c>
      <c r="Y20" s="19">
        <v>0</v>
      </c>
      <c r="AB20" s="19">
        <v>0</v>
      </c>
      <c r="AC20" s="19">
        <v>0</v>
      </c>
      <c r="AE20" s="19">
        <f>'East Baton Rouge'!N58</f>
        <v>20879343</v>
      </c>
      <c r="AF20" s="19">
        <f t="shared" si="8"/>
        <v>20879343</v>
      </c>
      <c r="AG20" s="20" t="str">
        <f t="shared" si="15"/>
        <v>Yes</v>
      </c>
      <c r="AH20" s="19">
        <f>'East Baton Rouge'!N30+'East Baton Rouge'!N58</f>
        <v>540400500</v>
      </c>
      <c r="AI20" s="19">
        <f t="shared" si="16"/>
        <v>540400500</v>
      </c>
      <c r="AJ20" s="18" t="str">
        <f t="shared" si="17"/>
        <v>Yes</v>
      </c>
    </row>
    <row r="21" spans="1:36">
      <c r="A21" s="18" t="s">
        <v>560</v>
      </c>
      <c r="B21" s="19">
        <f>'East Carroll'!M7</f>
        <v>274665</v>
      </c>
      <c r="C21" s="19">
        <f>'East Carroll'!M9</f>
        <v>265027</v>
      </c>
      <c r="D21" s="19">
        <f>'East Carroll'!M8</f>
        <v>101000</v>
      </c>
      <c r="E21" s="19">
        <f>'East Carroll'!M28</f>
        <v>4283127</v>
      </c>
      <c r="G21" s="19">
        <f>'East Carroll'!M29+'East Carroll'!M31</f>
        <v>3376988</v>
      </c>
      <c r="I21" s="19">
        <f>'East Carroll'!M33</f>
        <v>685096</v>
      </c>
      <c r="J21" s="19">
        <f>'East Carroll'!M30</f>
        <v>106278</v>
      </c>
      <c r="K21" s="19">
        <f>'East Carroll'!M32</f>
        <v>5047747</v>
      </c>
      <c r="N21" s="19">
        <f>'East Carroll'!M35+'East Carroll'!M36+'East Carroll'!M37+'East Carroll'!M38</f>
        <v>20776088</v>
      </c>
      <c r="O21" s="25">
        <f>'East Carroll'!M43</f>
        <v>34916016</v>
      </c>
      <c r="P21" s="19">
        <f t="shared" ref="P21:P26" si="23">SUM(B21:N21)</f>
        <v>34916016</v>
      </c>
      <c r="Q21" s="20" t="str">
        <f t="shared" ref="Q21" si="24">IF(O21="","Blank",IF(O21=P21,"Yes","No"))</f>
        <v>Yes</v>
      </c>
      <c r="X21" s="19">
        <v>0</v>
      </c>
      <c r="Y21" s="19">
        <v>0</v>
      </c>
      <c r="Z21" s="19">
        <f>'East Carroll'!M57</f>
        <v>1</v>
      </c>
      <c r="AA21" s="19">
        <f>'East Carroll'!M58</f>
        <v>-1</v>
      </c>
      <c r="AB21" s="19">
        <v>0</v>
      </c>
      <c r="AC21" s="19">
        <v>0</v>
      </c>
      <c r="AE21" s="19">
        <f>'East Carroll'!M62</f>
        <v>0</v>
      </c>
      <c r="AF21" s="19">
        <f t="shared" ref="AF21:AF23" si="25">SUM(R21:AD21)</f>
        <v>0</v>
      </c>
      <c r="AG21" s="20" t="str">
        <f t="shared" si="15"/>
        <v>Yes</v>
      </c>
      <c r="AH21" s="19">
        <f>'East Carroll'!M43+'East Carroll'!M62</f>
        <v>34916016</v>
      </c>
      <c r="AI21" s="19">
        <f t="shared" si="16"/>
        <v>34916016</v>
      </c>
      <c r="AJ21" s="18" t="str">
        <f t="shared" si="17"/>
        <v>Yes</v>
      </c>
    </row>
    <row r="22" spans="1:36">
      <c r="A22" s="28" t="s">
        <v>561</v>
      </c>
      <c r="B22" s="19">
        <v>259230</v>
      </c>
      <c r="D22" s="19">
        <v>0</v>
      </c>
      <c r="E22" s="19">
        <f>'East Feliciana'!M15</f>
        <v>5374785.3200000003</v>
      </c>
      <c r="F22" s="19">
        <v>0</v>
      </c>
      <c r="G22" s="19">
        <f>'East Feliciana'!M19</f>
        <v>2008547.9700000002</v>
      </c>
      <c r="L22" s="19">
        <f>'East Feliciana'!M23</f>
        <v>5219185.9399999995</v>
      </c>
      <c r="O22" s="25">
        <f>'East Feliciana'!M25</f>
        <v>12861749.23</v>
      </c>
      <c r="P22" s="19">
        <f t="shared" ref="P22" si="26">SUM(B22:N22)</f>
        <v>12861749.23</v>
      </c>
      <c r="Q22" s="20" t="str">
        <f t="shared" ref="Q22:Q28" si="27">IF(O22="","Blank",IF(O22=P22,"Yes","No"))</f>
        <v>Yes</v>
      </c>
      <c r="AF22" s="19">
        <f>SUM(R22:AE22)</f>
        <v>0</v>
      </c>
      <c r="AG22" s="20" t="str">
        <f t="shared" si="15"/>
        <v>Blank</v>
      </c>
      <c r="AH22" s="19">
        <f>'East Feliciana'!M25</f>
        <v>12861749.23</v>
      </c>
      <c r="AI22" s="19">
        <f t="shared" si="16"/>
        <v>12861749.23</v>
      </c>
      <c r="AJ22" s="18" t="str">
        <f t="shared" si="17"/>
        <v>Yes</v>
      </c>
    </row>
    <row r="23" spans="1:36">
      <c r="A23" s="18" t="s">
        <v>562</v>
      </c>
      <c r="B23" s="26">
        <f>Evangeline!M10</f>
        <v>876298</v>
      </c>
      <c r="C23" s="19">
        <f>Evangeline!M11</f>
        <v>3632280</v>
      </c>
      <c r="E23" s="19">
        <f>Evangeline!M20</f>
        <v>8641226</v>
      </c>
      <c r="F23" s="19">
        <v>0</v>
      </c>
      <c r="G23" s="19">
        <f>Evangeline!M23</f>
        <v>2007774</v>
      </c>
      <c r="K23" s="19">
        <f>Evangeline!M22</f>
        <v>79196</v>
      </c>
      <c r="L23" s="27"/>
      <c r="N23" s="19">
        <f>Evangeline!M21</f>
        <v>10410591</v>
      </c>
      <c r="O23" s="25">
        <f>Evangeline!M26</f>
        <v>25647365</v>
      </c>
      <c r="P23" s="19">
        <f t="shared" si="23"/>
        <v>25647365</v>
      </c>
      <c r="Q23" s="20" t="str">
        <f t="shared" si="27"/>
        <v>Yes</v>
      </c>
      <c r="T23" s="19">
        <f>Evangeline!M33+Evangeline!M34</f>
        <v>0</v>
      </c>
      <c r="W23" s="19">
        <f>Evangeline!M39</f>
        <v>6103</v>
      </c>
      <c r="X23" s="19">
        <f>Evangeline!M40</f>
        <v>0</v>
      </c>
      <c r="Y23" s="19">
        <v>0</v>
      </c>
      <c r="AB23" s="19">
        <v>0</v>
      </c>
      <c r="AC23" s="19">
        <v>0</v>
      </c>
      <c r="AD23" s="19">
        <f>Evangeline!M38</f>
        <v>255862</v>
      </c>
      <c r="AE23" s="19">
        <f>Evangeline!M43</f>
        <v>261965</v>
      </c>
      <c r="AF23" s="19">
        <f t="shared" si="25"/>
        <v>261965</v>
      </c>
      <c r="AG23" s="20" t="str">
        <f t="shared" si="15"/>
        <v>Yes</v>
      </c>
      <c r="AH23" s="19">
        <f>Evangeline!M26+Evangeline!M43</f>
        <v>25909330</v>
      </c>
      <c r="AI23" s="19">
        <f t="shared" si="16"/>
        <v>25909330</v>
      </c>
      <c r="AJ23" s="18" t="str">
        <f t="shared" si="17"/>
        <v>Yes</v>
      </c>
    </row>
    <row r="24" spans="1:36">
      <c r="A24" s="28" t="s">
        <v>563</v>
      </c>
      <c r="B24" s="19">
        <f>Franklin!M10</f>
        <v>390416</v>
      </c>
      <c r="C24" s="19">
        <f>Franklin!M11</f>
        <v>2102050</v>
      </c>
      <c r="D24" s="19">
        <f>Franklin!M12</f>
        <v>70000</v>
      </c>
      <c r="E24" s="19">
        <f>Franklin!M29</f>
        <v>1196058</v>
      </c>
      <c r="F24" s="19">
        <f>Franklin!M30</f>
        <v>813243</v>
      </c>
      <c r="G24" s="19">
        <f>Franklin!M32+Franklin!M33</f>
        <v>895459</v>
      </c>
      <c r="J24" s="19">
        <f>Franklin!M31</f>
        <v>3514</v>
      </c>
      <c r="K24" s="19">
        <f>Franklin!M34</f>
        <v>77274</v>
      </c>
      <c r="N24" s="19">
        <f>Franklin!M27+Franklin!M28</f>
        <v>13195766</v>
      </c>
      <c r="O24" s="25">
        <f>Franklin!M38</f>
        <v>18743780</v>
      </c>
      <c r="P24" s="19">
        <f>SUM(B24:N24)</f>
        <v>18743780</v>
      </c>
      <c r="Q24" s="20" t="str">
        <f t="shared" si="27"/>
        <v>Yes</v>
      </c>
      <c r="X24" s="19">
        <v>0</v>
      </c>
      <c r="Y24" s="19">
        <v>0</v>
      </c>
      <c r="AB24" s="19">
        <v>0</v>
      </c>
      <c r="AC24" s="19">
        <v>0</v>
      </c>
      <c r="AF24" s="19">
        <f>SUM(R24:AE24)</f>
        <v>0</v>
      </c>
      <c r="AG24" s="20" t="str">
        <f t="shared" si="15"/>
        <v>Blank</v>
      </c>
      <c r="AH24" s="19">
        <f>Franklin!M38</f>
        <v>18743780</v>
      </c>
      <c r="AI24" s="19">
        <f t="shared" si="16"/>
        <v>18743780</v>
      </c>
      <c r="AJ24" s="18" t="str">
        <f t="shared" si="17"/>
        <v>Yes</v>
      </c>
    </row>
    <row r="25" spans="1:36">
      <c r="A25" s="18" t="s">
        <v>564</v>
      </c>
      <c r="B25" s="19">
        <f>Grant!M11</f>
        <v>203250</v>
      </c>
      <c r="C25" s="19">
        <f>Grant!M10</f>
        <v>60410</v>
      </c>
      <c r="E25" s="19">
        <f>Grant!P14</f>
        <v>1485943.3819798047</v>
      </c>
      <c r="J25" s="26">
        <f>Grant!P15</f>
        <v>1468608.5488397689</v>
      </c>
      <c r="N25" s="19">
        <f>Grant!P16+Grant!P17</f>
        <v>2714541.4816261791</v>
      </c>
      <c r="O25" s="25">
        <f>Grant!M22</f>
        <v>5932753.4124457529</v>
      </c>
      <c r="P25" s="19">
        <f t="shared" ref="P25" si="28">SUM(B25:N25)</f>
        <v>5932753.4124457529</v>
      </c>
      <c r="Q25" s="20" t="str">
        <f t="shared" si="27"/>
        <v>Yes</v>
      </c>
      <c r="U25" s="19">
        <f>Grant!P30</f>
        <v>1674.8741114891809</v>
      </c>
      <c r="W25" s="19">
        <f>Grant!P31</f>
        <v>59856.486118402856</v>
      </c>
      <c r="X25" s="19">
        <f>Grant!P29</f>
        <v>287705.63977010793</v>
      </c>
      <c r="Y25" s="19">
        <v>0</v>
      </c>
      <c r="AB25" s="19">
        <v>0</v>
      </c>
      <c r="AC25" s="19">
        <v>0</v>
      </c>
      <c r="AE25" s="19">
        <f>Grant!P32</f>
        <v>349236.99999999994</v>
      </c>
      <c r="AF25" s="19">
        <f t="shared" ref="AF25" si="29">SUM(R25:AD25)</f>
        <v>349236.99999999994</v>
      </c>
      <c r="AG25" s="20" t="str">
        <f t="shared" si="15"/>
        <v>Yes</v>
      </c>
      <c r="AH25" s="19">
        <f>Grant!M40+Grant!M22</f>
        <v>6281990.4124457529</v>
      </c>
      <c r="AI25" s="19">
        <f t="shared" si="16"/>
        <v>6281990.4124457529</v>
      </c>
      <c r="AJ25" s="18" t="str">
        <f t="shared" si="17"/>
        <v>Yes</v>
      </c>
    </row>
    <row r="26" spans="1:36">
      <c r="A26" s="28" t="s">
        <v>565</v>
      </c>
      <c r="B26" s="19">
        <f>Iberia!M10</f>
        <v>2466687</v>
      </c>
      <c r="C26" s="19">
        <f>Iberia!M11</f>
        <v>5040099</v>
      </c>
      <c r="D26" s="19">
        <v>0</v>
      </c>
      <c r="E26" s="19">
        <f>Iberia!M23</f>
        <v>13976457</v>
      </c>
      <c r="F26" s="19">
        <f>Iberia!M22</f>
        <v>2572</v>
      </c>
      <c r="J26" s="19">
        <f>Iberia!M24</f>
        <v>3500818</v>
      </c>
      <c r="N26" s="19">
        <f>Iberia!M25</f>
        <v>69234115</v>
      </c>
      <c r="O26" s="25">
        <f>Iberia!M28</f>
        <v>94220748</v>
      </c>
      <c r="P26" s="19">
        <f t="shared" si="23"/>
        <v>94220748</v>
      </c>
      <c r="Q26" s="20" t="str">
        <f t="shared" si="27"/>
        <v>Yes</v>
      </c>
      <c r="X26" s="19">
        <v>0</v>
      </c>
      <c r="Y26" s="19">
        <v>0</v>
      </c>
      <c r="AB26" s="19">
        <v>0</v>
      </c>
      <c r="AC26" s="19">
        <v>0</v>
      </c>
      <c r="AF26" s="19">
        <f>SUM(R26:AE26)</f>
        <v>0</v>
      </c>
      <c r="AG26" s="20" t="str">
        <f t="shared" si="15"/>
        <v>Blank</v>
      </c>
      <c r="AH26" s="19">
        <f>Iberia!M28</f>
        <v>94220748</v>
      </c>
      <c r="AI26" s="19">
        <f t="shared" si="16"/>
        <v>94220748</v>
      </c>
      <c r="AJ26" s="18" t="str">
        <f t="shared" si="17"/>
        <v>Yes</v>
      </c>
    </row>
    <row r="27" spans="1:36">
      <c r="A27" s="18" t="s">
        <v>566</v>
      </c>
      <c r="B27" s="19">
        <f>Iberville!E25</f>
        <v>3105380</v>
      </c>
      <c r="C27" s="19">
        <f>Iberville!F25</f>
        <v>22208945</v>
      </c>
      <c r="E27" s="19">
        <f>Iberville!G25</f>
        <v>30995324</v>
      </c>
      <c r="J27" s="19">
        <f>Iberville!I25</f>
        <v>3776825</v>
      </c>
      <c r="N27" s="19">
        <f>Iberville!H25</f>
        <v>55191369</v>
      </c>
      <c r="O27" s="25">
        <f>Iberville!J25</f>
        <v>115277843</v>
      </c>
      <c r="P27" s="19">
        <f t="shared" si="6"/>
        <v>115277843</v>
      </c>
      <c r="Q27" s="20" t="str">
        <f t="shared" si="27"/>
        <v>Yes</v>
      </c>
      <c r="R27" s="19">
        <f>Iberville!E49</f>
        <v>193511</v>
      </c>
      <c r="S27" s="19">
        <f>Iberville!F49</f>
        <v>687059</v>
      </c>
      <c r="U27" s="19">
        <f>Iberville!G49</f>
        <v>9708202</v>
      </c>
      <c r="W27" s="19">
        <f>Iberville!H49</f>
        <v>336997</v>
      </c>
      <c r="X27" s="19">
        <v>0</v>
      </c>
      <c r="Y27" s="19">
        <v>0</v>
      </c>
      <c r="AB27" s="19">
        <v>0</v>
      </c>
      <c r="AC27" s="19">
        <v>0</v>
      </c>
      <c r="AE27" s="19">
        <f>Iberville!I49:I49</f>
        <v>10925769</v>
      </c>
      <c r="AF27" s="19">
        <f>SUM(R27:AD27)</f>
        <v>10925769</v>
      </c>
      <c r="AG27" s="20" t="str">
        <f t="shared" si="15"/>
        <v>Yes</v>
      </c>
      <c r="AH27" s="19">
        <f>Iberville!I49+Iberville!J25</f>
        <v>126203612</v>
      </c>
      <c r="AI27" s="19">
        <f>O27+AE27</f>
        <v>126203612</v>
      </c>
      <c r="AJ27" s="18" t="str">
        <f t="shared" si="17"/>
        <v>Yes</v>
      </c>
    </row>
    <row r="28" spans="1:36">
      <c r="A28" s="18" t="s">
        <v>567</v>
      </c>
      <c r="B28" s="26">
        <f>Jackson!M10</f>
        <v>433912</v>
      </c>
      <c r="C28" s="19">
        <f>Jackson!M11</f>
        <v>25909</v>
      </c>
      <c r="E28" s="19">
        <f>Jackson!M22</f>
        <v>6345844</v>
      </c>
      <c r="F28" s="19">
        <v>0</v>
      </c>
      <c r="G28" s="19">
        <f>Jackson!M24</f>
        <v>1728258</v>
      </c>
      <c r="K28" s="19">
        <f>Jackson!M23</f>
        <v>843776</v>
      </c>
      <c r="L28" s="27"/>
      <c r="N28" s="19">
        <f>Jackson!M25</f>
        <v>7073655</v>
      </c>
      <c r="O28" s="25">
        <f>Jackson!M29</f>
        <v>16451354</v>
      </c>
      <c r="P28" s="19">
        <f t="shared" ref="P28" si="30">SUM(B28:N28)</f>
        <v>16451354</v>
      </c>
      <c r="Q28" s="20" t="str">
        <f t="shared" si="27"/>
        <v>Yes</v>
      </c>
      <c r="X28" s="19">
        <v>0</v>
      </c>
      <c r="Y28" s="19">
        <v>0</v>
      </c>
      <c r="AB28" s="19">
        <v>0</v>
      </c>
      <c r="AC28" s="19">
        <v>0</v>
      </c>
      <c r="AF28" s="19">
        <f t="shared" ref="AF28" si="31">SUM(R28:AD28)</f>
        <v>0</v>
      </c>
      <c r="AG28" s="20" t="str">
        <f t="shared" si="15"/>
        <v>Blank</v>
      </c>
      <c r="AH28" s="19">
        <f>Jackson!M29</f>
        <v>16451354</v>
      </c>
      <c r="AI28" s="19">
        <f t="shared" si="16"/>
        <v>16451354</v>
      </c>
      <c r="AJ28" s="18" t="str">
        <f t="shared" si="17"/>
        <v>Yes</v>
      </c>
    </row>
    <row r="29" spans="1:36">
      <c r="A29" s="18" t="s">
        <v>568</v>
      </c>
      <c r="B29" s="19">
        <f>Jefferson!O10</f>
        <v>66997</v>
      </c>
      <c r="C29" s="19">
        <f>Jefferson!O11</f>
        <v>166705</v>
      </c>
      <c r="E29" s="19">
        <f>Jefferson!O23</f>
        <v>565516</v>
      </c>
      <c r="F29" s="19">
        <f>Jefferson!O24</f>
        <v>275984</v>
      </c>
      <c r="G29" s="19">
        <f>Jefferson!O26</f>
        <v>465549</v>
      </c>
      <c r="J29" s="26"/>
      <c r="K29" s="19">
        <f>Jefferson!O25</f>
        <v>107569</v>
      </c>
      <c r="N29" s="19">
        <f>Jefferson!O27</f>
        <v>5561413</v>
      </c>
      <c r="O29" s="25">
        <f>Jefferson!O32</f>
        <v>7209733</v>
      </c>
      <c r="P29" s="19">
        <f t="shared" si="6"/>
        <v>7209733</v>
      </c>
      <c r="Q29" s="20" t="str">
        <f t="shared" si="7"/>
        <v>Yes</v>
      </c>
      <c r="R29" s="19">
        <f>Jefferson!O40</f>
        <v>13591</v>
      </c>
      <c r="S29" s="19">
        <f>Jefferson!O41</f>
        <v>5756</v>
      </c>
      <c r="U29" s="19">
        <f>Jefferson!O54</f>
        <v>12867</v>
      </c>
      <c r="V29" s="19">
        <f>Jefferson!O57</f>
        <v>10640</v>
      </c>
      <c r="W29" s="19">
        <f>Jefferson!O58</f>
        <v>1023</v>
      </c>
      <c r="X29" s="19">
        <f>Jefferson!O55</f>
        <v>360645</v>
      </c>
      <c r="Y29" s="19">
        <v>0</v>
      </c>
      <c r="AA29" s="19">
        <f>Jefferson!O59</f>
        <v>2970</v>
      </c>
      <c r="AB29" s="19">
        <v>0</v>
      </c>
      <c r="AC29" s="19">
        <v>0</v>
      </c>
      <c r="AD29" s="19">
        <f>Jefferson!O56</f>
        <v>139266</v>
      </c>
      <c r="AE29" s="19">
        <f>Jefferson!O63</f>
        <v>546758</v>
      </c>
      <c r="AF29" s="19">
        <f t="shared" si="8"/>
        <v>546758</v>
      </c>
      <c r="AG29" s="20" t="str">
        <f t="shared" si="15"/>
        <v>Yes</v>
      </c>
      <c r="AH29" s="19">
        <f>Jefferson!O32+Jefferson!O63</f>
        <v>7756491</v>
      </c>
      <c r="AI29" s="19">
        <f t="shared" si="16"/>
        <v>7756491</v>
      </c>
      <c r="AJ29" s="18" t="str">
        <f t="shared" si="17"/>
        <v>Yes</v>
      </c>
    </row>
    <row r="30" spans="1:36">
      <c r="A30" s="18" t="s">
        <v>569</v>
      </c>
      <c r="B30" s="19">
        <f>'Jefferson Davis'!N10</f>
        <v>846907</v>
      </c>
      <c r="C30" s="19">
        <f>'Jefferson Davis'!N11</f>
        <v>767244</v>
      </c>
      <c r="D30" s="19">
        <v>0</v>
      </c>
      <c r="E30" s="19">
        <f>'Jefferson Davis'!N25</f>
        <v>8330412</v>
      </c>
      <c r="F30" s="19">
        <v>0</v>
      </c>
      <c r="G30" s="19">
        <f>'Jefferson Davis'!N27+'Jefferson Davis'!N28</f>
        <v>1266296</v>
      </c>
      <c r="J30" s="19">
        <f>'Jefferson Davis'!N29</f>
        <v>57956</v>
      </c>
      <c r="K30" s="19">
        <f>'Jefferson Davis'!N26</f>
        <v>2942993</v>
      </c>
      <c r="N30" s="19">
        <f>'Jefferson Davis'!N30+'Jefferson Davis'!N31</f>
        <v>19771726</v>
      </c>
      <c r="O30" s="25">
        <f>'Jefferson Davis'!N36</f>
        <v>33983534</v>
      </c>
      <c r="P30" s="19">
        <f>SUM(B30:N30)</f>
        <v>33983534</v>
      </c>
      <c r="Q30" s="20" t="str">
        <f t="shared" ref="Q30" si="32">IF(O30="","Blank",IF(O30=P30,"Yes","No"))</f>
        <v>Yes</v>
      </c>
      <c r="X30" s="19">
        <v>0</v>
      </c>
      <c r="Y30" s="19">
        <v>0</v>
      </c>
      <c r="AB30" s="19">
        <v>0</v>
      </c>
      <c r="AC30" s="19">
        <v>0</v>
      </c>
      <c r="AF30" s="19">
        <f>SUM(R30:AD30)</f>
        <v>0</v>
      </c>
      <c r="AG30" s="20" t="str">
        <f>IF(AE30="","Blank",IF(AE30=AF30,"Yes","No"))</f>
        <v>Blank</v>
      </c>
      <c r="AH30" s="19">
        <f>'Jefferson Davis'!N36</f>
        <v>33983534</v>
      </c>
      <c r="AI30" s="19">
        <f>O30+AE30</f>
        <v>33983534</v>
      </c>
      <c r="AJ30" s="18" t="str">
        <f>IF(AH30="","Blank",IF(AH30=AI30,"Yes","No"))</f>
        <v>Yes</v>
      </c>
    </row>
    <row r="31" spans="1:36">
      <c r="A31" s="18" t="s">
        <v>570</v>
      </c>
      <c r="B31" s="19">
        <f>Lafayette!M10</f>
        <v>40295476</v>
      </c>
      <c r="C31" s="19">
        <f>Lafayette!M11</f>
        <v>29613976</v>
      </c>
      <c r="D31" s="19">
        <v>0</v>
      </c>
      <c r="E31" s="19">
        <f>Lafayette!M24</f>
        <v>102845336</v>
      </c>
      <c r="F31" s="19">
        <f>Lafayette!M23</f>
        <v>6122786</v>
      </c>
      <c r="J31" s="19">
        <f>Lafayette!M26</f>
        <v>12634455</v>
      </c>
      <c r="K31" s="19">
        <f>Lafayette!M25</f>
        <v>19586533</v>
      </c>
      <c r="N31" s="19">
        <f>Lafayette!M27</f>
        <v>381028690</v>
      </c>
      <c r="O31" s="25">
        <f>Lafayette!M30</f>
        <v>592127252</v>
      </c>
      <c r="P31" s="19">
        <f t="shared" si="6"/>
        <v>592127252</v>
      </c>
      <c r="Q31" s="20" t="str">
        <f t="shared" si="7"/>
        <v>Yes</v>
      </c>
      <c r="R31" s="19">
        <f>Lafayette!M39</f>
        <v>22263203</v>
      </c>
      <c r="S31" s="19">
        <f>Lafayette!M40</f>
        <v>76453802</v>
      </c>
      <c r="U31" s="19">
        <f>Lafayette!M53</f>
        <v>219712</v>
      </c>
      <c r="W31" s="19">
        <f>Lafayette!M58</f>
        <v>13936579</v>
      </c>
      <c r="Y31" s="19">
        <v>0</v>
      </c>
      <c r="Z31" s="19">
        <f>Lafayette!M57</f>
        <v>81880435</v>
      </c>
      <c r="AB31" s="19">
        <v>0</v>
      </c>
      <c r="AC31" s="19">
        <v>0</v>
      </c>
      <c r="AD31" s="19">
        <f>Lafayette!M54+Lafayette!M55+Lafayette!M56</f>
        <v>574749765</v>
      </c>
      <c r="AE31" s="19">
        <f>Lafayette!M61</f>
        <v>769503496</v>
      </c>
      <c r="AF31" s="19">
        <f t="shared" si="8"/>
        <v>769503496</v>
      </c>
      <c r="AG31" s="20" t="str">
        <f t="shared" si="15"/>
        <v>Yes</v>
      </c>
      <c r="AH31" s="19">
        <f>Lafayette!M61+Lafayette!M30</f>
        <v>1361630748</v>
      </c>
      <c r="AI31" s="19">
        <f t="shared" si="16"/>
        <v>1361630748</v>
      </c>
      <c r="AJ31" s="18" t="str">
        <f t="shared" si="17"/>
        <v>Yes</v>
      </c>
    </row>
    <row r="32" spans="1:36">
      <c r="A32" s="18" t="s">
        <v>571</v>
      </c>
      <c r="B32" s="19">
        <f>Lafourche!M10</f>
        <v>1297276</v>
      </c>
      <c r="C32" s="19">
        <f>Lafourche!M11</f>
        <v>38515577</v>
      </c>
      <c r="D32" s="19">
        <v>0</v>
      </c>
      <c r="E32" s="19">
        <f>Lafourche!M26</f>
        <v>22428560</v>
      </c>
      <c r="F32" s="19">
        <f>Lafourche!M28</f>
        <v>1324228</v>
      </c>
      <c r="G32" s="27">
        <f>Lafourche!M30</f>
        <v>3077522</v>
      </c>
      <c r="H32" s="27"/>
      <c r="K32" s="27">
        <f>Lafourche!M31</f>
        <v>3592344</v>
      </c>
      <c r="N32" s="19">
        <f>Lafourche!M27+Lafourche!M29</f>
        <v>25976989</v>
      </c>
      <c r="O32" s="25">
        <f>Lafourche!M36</f>
        <v>96212496</v>
      </c>
      <c r="P32" s="19">
        <f t="shared" si="6"/>
        <v>96212496</v>
      </c>
      <c r="Q32" s="20" t="str">
        <f t="shared" si="7"/>
        <v>Yes</v>
      </c>
      <c r="X32" s="19">
        <v>0</v>
      </c>
      <c r="Y32" s="19">
        <v>0</v>
      </c>
      <c r="AB32" s="19">
        <v>0</v>
      </c>
      <c r="AC32" s="19">
        <v>0</v>
      </c>
      <c r="AF32" s="19">
        <f t="shared" si="8"/>
        <v>0</v>
      </c>
      <c r="AG32" s="20" t="str">
        <f t="shared" si="15"/>
        <v>Blank</v>
      </c>
      <c r="AH32" s="19">
        <f>Lafourche!M36</f>
        <v>96212496</v>
      </c>
      <c r="AI32" s="19">
        <f t="shared" si="16"/>
        <v>96212496</v>
      </c>
      <c r="AJ32" s="18" t="str">
        <f t="shared" si="17"/>
        <v>Yes</v>
      </c>
    </row>
    <row r="33" spans="1:36">
      <c r="A33" s="18" t="s">
        <v>572</v>
      </c>
      <c r="B33" s="19">
        <f>SUM(LaSalle!M8+LaSalle!M25)</f>
        <v>501018</v>
      </c>
      <c r="C33" s="19">
        <f>LaSalle!M9</f>
        <v>955258</v>
      </c>
      <c r="D33" s="19">
        <v>0</v>
      </c>
      <c r="E33" s="19">
        <f>LaSalle!M42+LaSalle!M31</f>
        <v>1627869</v>
      </c>
      <c r="G33" s="19">
        <f>LaSalle!M33+LaSalle!M44+LaSalle!M45</f>
        <v>184672</v>
      </c>
      <c r="I33" s="19">
        <f>LaSalle!M29+LaSalle!M47</f>
        <v>158291</v>
      </c>
      <c r="J33" s="19">
        <f>LaSalle!M32+LaSalle!M43</f>
        <v>703871</v>
      </c>
      <c r="K33" s="19">
        <f>LaSalle!M30+LaSalle!M46</f>
        <v>141785</v>
      </c>
      <c r="N33" s="19">
        <f>LaSalle!M41</f>
        <v>2822579</v>
      </c>
      <c r="O33" s="25">
        <f>LaSalle!M52</f>
        <v>7095343</v>
      </c>
      <c r="P33" s="19">
        <f t="shared" ref="P33" si="33">SUM(B33:N33)</f>
        <v>7095343</v>
      </c>
      <c r="Q33" s="20" t="str">
        <f t="shared" si="7"/>
        <v>Yes</v>
      </c>
      <c r="X33" s="19">
        <v>0</v>
      </c>
      <c r="Y33" s="19">
        <v>0</v>
      </c>
      <c r="AB33" s="19">
        <v>0</v>
      </c>
      <c r="AC33" s="19">
        <v>0</v>
      </c>
      <c r="AF33" s="19">
        <f t="shared" si="8"/>
        <v>0</v>
      </c>
      <c r="AG33" s="20" t="str">
        <f t="shared" si="15"/>
        <v>Blank</v>
      </c>
      <c r="AH33" s="19">
        <f>LaSalle!M52</f>
        <v>7095343</v>
      </c>
      <c r="AI33" s="19">
        <f t="shared" si="16"/>
        <v>7095343</v>
      </c>
      <c r="AJ33" s="18" t="str">
        <f t="shared" si="17"/>
        <v>Yes</v>
      </c>
    </row>
    <row r="34" spans="1:36">
      <c r="A34" s="18" t="s">
        <v>573</v>
      </c>
      <c r="C34" s="19">
        <v>0</v>
      </c>
      <c r="D34" s="19">
        <v>0</v>
      </c>
      <c r="O34" s="25"/>
      <c r="P34" s="19">
        <f t="shared" ref="P34" si="34">SUM(B34:N34)</f>
        <v>0</v>
      </c>
      <c r="Q34" s="20" t="str">
        <f t="shared" ref="Q34" si="35">IF(O34="","Blank",IF(O34=P34,"Yes","No"))</f>
        <v>Blank</v>
      </c>
      <c r="X34" s="19">
        <v>0</v>
      </c>
      <c r="Y34" s="19">
        <v>0</v>
      </c>
      <c r="AB34" s="19">
        <v>0</v>
      </c>
      <c r="AC34" s="19">
        <v>0</v>
      </c>
      <c r="AF34" s="19">
        <f t="shared" ref="AF34" si="36">SUM(R34:AD34)</f>
        <v>0</v>
      </c>
      <c r="AG34" s="20" t="str">
        <f t="shared" si="15"/>
        <v>Blank</v>
      </c>
      <c r="AH34" s="19">
        <f>LaSalle!M53</f>
        <v>0</v>
      </c>
      <c r="AI34" s="19">
        <f t="shared" si="16"/>
        <v>0</v>
      </c>
      <c r="AJ34" s="18" t="str">
        <f t="shared" si="17"/>
        <v>Yes</v>
      </c>
    </row>
    <row r="35" spans="1:36">
      <c r="A35" s="18" t="s">
        <v>574</v>
      </c>
      <c r="B35" s="26">
        <f>Livingston!M9</f>
        <v>5844429</v>
      </c>
      <c r="C35" s="19">
        <f>Livingston!M10</f>
        <v>5706789</v>
      </c>
      <c r="D35" s="19">
        <v>0</v>
      </c>
      <c r="E35" s="19">
        <f>Livingston!M21</f>
        <v>63611610</v>
      </c>
      <c r="G35" s="19">
        <f>Livingston!M23</f>
        <v>1840441</v>
      </c>
      <c r="H35" s="19">
        <f>SUM(Livingston!M24+Livingston!M22)</f>
        <v>-12894852</v>
      </c>
      <c r="J35" s="19">
        <f>Livingston!M26</f>
        <v>-111826</v>
      </c>
      <c r="L35" s="27"/>
      <c r="N35" s="19">
        <f>Livingston!M25</f>
        <v>79339881</v>
      </c>
      <c r="O35" s="25">
        <f>Livingston!M29</f>
        <v>143336472</v>
      </c>
      <c r="P35" s="19">
        <f t="shared" si="6"/>
        <v>143336472</v>
      </c>
      <c r="Q35" s="20" t="str">
        <f t="shared" si="7"/>
        <v>Yes</v>
      </c>
      <c r="R35" s="19">
        <f>Livingston!M34</f>
        <v>13243</v>
      </c>
      <c r="S35" s="19">
        <f>Livingston!M35</f>
        <v>51119</v>
      </c>
      <c r="W35" s="19">
        <f>Livingston!M41</f>
        <v>7811640</v>
      </c>
      <c r="X35" s="19">
        <v>0</v>
      </c>
      <c r="Y35" s="19">
        <v>0</v>
      </c>
      <c r="AB35" s="19">
        <v>0</v>
      </c>
      <c r="AC35" s="19">
        <v>0</v>
      </c>
      <c r="AE35" s="19">
        <f>Livingston!M44</f>
        <v>7876002</v>
      </c>
      <c r="AF35" s="19">
        <f t="shared" si="8"/>
        <v>7876002</v>
      </c>
      <c r="AG35" s="20" t="str">
        <f t="shared" si="15"/>
        <v>Yes</v>
      </c>
      <c r="AH35" s="19">
        <f>SUM(Livingston!M29+Livingston!M44)</f>
        <v>151212474</v>
      </c>
      <c r="AI35" s="19">
        <f t="shared" si="16"/>
        <v>151212474</v>
      </c>
      <c r="AJ35" s="18" t="str">
        <f t="shared" si="17"/>
        <v>Yes</v>
      </c>
    </row>
    <row r="36" spans="1:36">
      <c r="A36" s="28" t="s">
        <v>575</v>
      </c>
      <c r="B36" s="19">
        <f>Madison!M9</f>
        <v>188750</v>
      </c>
      <c r="C36" s="19">
        <v>0</v>
      </c>
      <c r="D36" s="19">
        <f>Madison!M10</f>
        <v>3771405</v>
      </c>
      <c r="E36" s="19">
        <f>Madison!M18</f>
        <v>1445380</v>
      </c>
      <c r="F36" s="19">
        <v>0</v>
      </c>
      <c r="H36" s="19">
        <f>Madison!M12</f>
        <v>1688635</v>
      </c>
      <c r="I36" s="19">
        <f>Madison!M20</f>
        <v>103527</v>
      </c>
      <c r="J36" s="19">
        <f>Madison!M19</f>
        <v>889442</v>
      </c>
      <c r="O36" s="25">
        <f>Madison!M22</f>
        <v>8087139</v>
      </c>
      <c r="P36" s="19">
        <f>SUM(B36:N36)</f>
        <v>8087139</v>
      </c>
      <c r="Q36" s="20" t="str">
        <f t="shared" ref="Q36" si="37">IF(O36="","Blank",IF(O36=P36,"Yes","No"))</f>
        <v>Yes</v>
      </c>
      <c r="R36" s="19">
        <f>Madison!M22</f>
        <v>8087139</v>
      </c>
      <c r="X36" s="19">
        <v>0</v>
      </c>
      <c r="Y36" s="19">
        <v>0</v>
      </c>
      <c r="AB36" s="19">
        <v>0</v>
      </c>
      <c r="AC36" s="19">
        <v>0</v>
      </c>
      <c r="AF36" s="19">
        <f t="shared" ref="AF36" si="38">SUM(R36:AD36)</f>
        <v>8087139</v>
      </c>
      <c r="AG36" s="20" t="str">
        <f t="shared" si="15"/>
        <v>Blank</v>
      </c>
      <c r="AH36" s="19">
        <f>Madison!M22</f>
        <v>8087139</v>
      </c>
      <c r="AI36" s="19">
        <f t="shared" si="16"/>
        <v>8087139</v>
      </c>
      <c r="AJ36" s="18" t="str">
        <f t="shared" si="17"/>
        <v>Yes</v>
      </c>
    </row>
    <row r="37" spans="1:36">
      <c r="A37" s="28" t="s">
        <v>576</v>
      </c>
      <c r="B37" s="19">
        <f>Morehouse!N8</f>
        <v>778626</v>
      </c>
      <c r="C37" s="19">
        <v>0</v>
      </c>
      <c r="D37" s="19">
        <v>0</v>
      </c>
      <c r="E37" s="19">
        <f>Morehouse!N14</f>
        <v>11574881</v>
      </c>
      <c r="G37" s="19">
        <f>Morehouse!N15</f>
        <v>1040910</v>
      </c>
      <c r="O37" s="25">
        <f>Morehouse!N20</f>
        <v>13394417</v>
      </c>
      <c r="P37" s="19">
        <f t="shared" si="6"/>
        <v>13394417</v>
      </c>
      <c r="Q37" s="20" t="str">
        <f t="shared" si="7"/>
        <v>Yes</v>
      </c>
      <c r="X37" s="19">
        <v>0</v>
      </c>
      <c r="Y37" s="19">
        <v>0</v>
      </c>
      <c r="AB37" s="19">
        <v>0</v>
      </c>
      <c r="AC37" s="19">
        <v>0</v>
      </c>
      <c r="AF37" s="19">
        <f>SUM(R37:AE37)</f>
        <v>0</v>
      </c>
      <c r="AG37" s="20" t="str">
        <f t="shared" si="15"/>
        <v>Blank</v>
      </c>
      <c r="AH37" s="19">
        <f>SUM(Morehouse!N20)</f>
        <v>13394417</v>
      </c>
      <c r="AI37" s="19">
        <f t="shared" si="16"/>
        <v>13394417</v>
      </c>
      <c r="AJ37" s="18" t="str">
        <f t="shared" si="17"/>
        <v>Yes</v>
      </c>
    </row>
    <row r="38" spans="1:36">
      <c r="A38" s="28" t="s">
        <v>577</v>
      </c>
      <c r="B38" s="19">
        <f>SUM(Natchitoches!M10+Natchitoches!M31+Natchitoches!M50+Natchitoches!M67)</f>
        <v>7633862</v>
      </c>
      <c r="D38" s="19">
        <v>0</v>
      </c>
      <c r="E38" s="19">
        <f>SUM(Natchitoches!M21+Natchitoches!M41+Natchitoches!M59)</f>
        <v>12384499</v>
      </c>
      <c r="F38" s="19">
        <v>0</v>
      </c>
      <c r="G38" s="19">
        <f>SUM(Natchitoches!M22+Natchitoches!M43+Natchitoches!M61)</f>
        <v>797480</v>
      </c>
      <c r="H38" s="19">
        <f>SUM(Natchitoches!M24+Natchitoches!M25)</f>
        <v>6834564</v>
      </c>
      <c r="J38" s="19">
        <f>SUM(Natchitoches!M44+Natchitoches!M62)</f>
        <v>2012</v>
      </c>
      <c r="K38" s="19">
        <f>SUM(Natchitoches!M23+Natchitoches!M45+Natchitoches!M60)</f>
        <v>1846228</v>
      </c>
      <c r="N38" s="19">
        <f>SUM(Natchitoches!M26++Natchitoches!M42+Natchitoches!M73)</f>
        <v>5106580</v>
      </c>
      <c r="O38" s="25">
        <f>SUM(Natchitoches!M10+Natchitoches!M21+Natchitoches!M22+Natchitoches!M23+Natchitoches!M24+Natchitoches!M25+Natchitoches!M26+Natchitoches!M31+Natchitoches!M41+Natchitoches!M42+Natchitoches!M43+Natchitoches!M44+Natchitoches!M45+Natchitoches!M50+Natchitoches!M59+Natchitoches!M60+Natchitoches!M61+Natchitoches!M62+Natchitoches!M67+Natchitoches!M73)</f>
        <v>34605225</v>
      </c>
      <c r="P38" s="19">
        <f t="shared" ref="P38" si="39">SUM(B38:N38)</f>
        <v>34605225</v>
      </c>
      <c r="Q38" s="20" t="str">
        <f t="shared" ref="Q38" si="40">IF(O38="","Blank",IF(O38=P38,"Yes","No"))</f>
        <v>Yes</v>
      </c>
      <c r="S38" s="19">
        <f>Natchitoches!M82+Natchitoches!M86+Natchitoches!M88+Natchitoches!M90</f>
        <v>1688203</v>
      </c>
      <c r="X38" s="19">
        <v>0</v>
      </c>
      <c r="Y38" s="19">
        <v>0</v>
      </c>
      <c r="AB38" s="19">
        <v>0</v>
      </c>
      <c r="AC38" s="19">
        <v>0</v>
      </c>
      <c r="AE38" s="19">
        <f>Natchitoches!M78++Natchitoches!M80+Natchitoches!M82+Natchitoches!M84+Natchitoches!M86+Natchitoches!M88+Natchitoches!M90</f>
        <v>1688203</v>
      </c>
      <c r="AF38" s="19">
        <f t="shared" ref="AF38" si="41">SUM(R38:AD38)</f>
        <v>1688203</v>
      </c>
      <c r="AG38" s="20" t="str">
        <f t="shared" si="15"/>
        <v>Yes</v>
      </c>
      <c r="AH38" s="19">
        <f>Natchitoches!M94</f>
        <v>36293428</v>
      </c>
      <c r="AI38" s="19">
        <f>O38+AE38</f>
        <v>36293428</v>
      </c>
      <c r="AJ38" s="18" t="str">
        <f t="shared" si="17"/>
        <v>Yes</v>
      </c>
    </row>
    <row r="39" spans="1:36">
      <c r="A39" s="18" t="s">
        <v>578</v>
      </c>
      <c r="B39" s="19">
        <f>Orleans!N8</f>
        <v>94474</v>
      </c>
      <c r="C39" s="19">
        <f>Orleans!N9</f>
        <v>509752</v>
      </c>
      <c r="D39" s="19">
        <v>0</v>
      </c>
      <c r="E39" s="19">
        <f>Orleans!N21</f>
        <v>291967</v>
      </c>
      <c r="F39" s="19">
        <v>0</v>
      </c>
      <c r="H39" s="19">
        <f>Orleans!N23</f>
        <v>8955</v>
      </c>
      <c r="K39" s="107">
        <f>Orleans!N22</f>
        <v>15577</v>
      </c>
      <c r="N39" s="19">
        <f>Orleans!N20</f>
        <v>674955</v>
      </c>
      <c r="O39" s="25">
        <f>Orleans!N26</f>
        <v>1595680</v>
      </c>
      <c r="P39" s="19">
        <f t="shared" si="6"/>
        <v>1595680</v>
      </c>
      <c r="Q39" s="20" t="str">
        <f t="shared" si="7"/>
        <v>Yes</v>
      </c>
      <c r="X39" s="19">
        <v>0</v>
      </c>
      <c r="Y39" s="19">
        <v>0</v>
      </c>
      <c r="AB39" s="19">
        <v>0</v>
      </c>
      <c r="AC39" s="19">
        <v>0</v>
      </c>
      <c r="AF39" s="19">
        <f t="shared" si="8"/>
        <v>0</v>
      </c>
      <c r="AG39" s="20" t="str">
        <f t="shared" si="15"/>
        <v>Blank</v>
      </c>
      <c r="AH39" s="19">
        <f>SUM(Orleans!N26)</f>
        <v>1595680</v>
      </c>
      <c r="AI39" s="19">
        <f t="shared" si="16"/>
        <v>1595680</v>
      </c>
      <c r="AJ39" s="18" t="str">
        <f t="shared" si="17"/>
        <v>Yes</v>
      </c>
    </row>
    <row r="40" spans="1:36">
      <c r="A40" s="28" t="s">
        <v>579</v>
      </c>
      <c r="B40" s="19">
        <f>Ouachita!M9</f>
        <v>12244547</v>
      </c>
      <c r="C40" s="19">
        <f>Ouachita!M10</f>
        <v>10535196</v>
      </c>
      <c r="D40" s="19">
        <v>0</v>
      </c>
      <c r="E40" s="19">
        <f>Ouachita!M26</f>
        <v>36837905</v>
      </c>
      <c r="F40" s="19">
        <v>0</v>
      </c>
      <c r="I40" s="19">
        <f>Ouachita!M28</f>
        <v>1538874</v>
      </c>
      <c r="J40" s="19">
        <f>Ouachita!M27</f>
        <v>11811014</v>
      </c>
      <c r="N40" s="19">
        <f>SUM(Ouachita!M30+Ouachita!M31+Ouachita!M32)</f>
        <v>107999040</v>
      </c>
      <c r="O40" s="25">
        <f>Ouachita!M34</f>
        <v>180966576</v>
      </c>
      <c r="P40" s="19">
        <f t="shared" ref="P40" si="42">SUM(B40:N40)</f>
        <v>180966576</v>
      </c>
      <c r="Q40" s="20" t="str">
        <f t="shared" ref="Q40" si="43">IF(O40="","Blank",IF(O40=P40,"Yes","No"))</f>
        <v>Yes</v>
      </c>
      <c r="X40" s="19">
        <v>0</v>
      </c>
      <c r="Y40" s="19">
        <v>0</v>
      </c>
      <c r="AB40" s="19">
        <v>0</v>
      </c>
      <c r="AC40" s="19">
        <v>0</v>
      </c>
      <c r="AF40" s="19">
        <f>SUM(R40:AE40)</f>
        <v>0</v>
      </c>
      <c r="AG40" s="20" t="str">
        <f t="shared" si="15"/>
        <v>Blank</v>
      </c>
      <c r="AH40" s="19">
        <f>SUM(Ouachita!M34)</f>
        <v>180966576</v>
      </c>
      <c r="AI40" s="19">
        <f t="shared" si="16"/>
        <v>180966576</v>
      </c>
      <c r="AJ40" s="18" t="str">
        <f t="shared" si="17"/>
        <v>Yes</v>
      </c>
    </row>
    <row r="41" spans="1:36">
      <c r="A41" s="18" t="s">
        <v>580</v>
      </c>
      <c r="B41" s="19">
        <f>Plaquemines!M8</f>
        <v>13523564</v>
      </c>
      <c r="C41" s="19">
        <f>SUM(Plaquemines!M9+Plaquemines!M10)</f>
        <v>147331516</v>
      </c>
      <c r="D41" s="19">
        <v>0</v>
      </c>
      <c r="E41" s="19">
        <f>Plaquemines!M21</f>
        <v>127345285</v>
      </c>
      <c r="F41" s="19">
        <f>Plaquemines!M22</f>
        <v>76103503</v>
      </c>
      <c r="G41" s="19">
        <f>Plaquemines!M23</f>
        <v>22424863</v>
      </c>
      <c r="N41" s="19">
        <f>Plaquemines!M24</f>
        <v>86196755</v>
      </c>
      <c r="O41" s="25">
        <f>Plaquemines!M28</f>
        <v>472925486</v>
      </c>
      <c r="P41" s="19">
        <f t="shared" si="6"/>
        <v>472925486</v>
      </c>
      <c r="Q41" s="20" t="str">
        <f t="shared" si="7"/>
        <v>Yes</v>
      </c>
      <c r="R41" s="19">
        <f>Plaquemines!M33</f>
        <v>52000</v>
      </c>
      <c r="S41" s="19">
        <f>Plaquemines!M34</f>
        <v>27712347</v>
      </c>
      <c r="U41" s="19">
        <f>Plaquemines!M45</f>
        <v>25977971</v>
      </c>
      <c r="V41" s="19">
        <f>Plaquemines!M46</f>
        <v>44070083</v>
      </c>
      <c r="W41" s="19">
        <f>Plaquemines!M47</f>
        <v>1366258</v>
      </c>
      <c r="X41" s="19">
        <v>0</v>
      </c>
      <c r="Y41" s="19">
        <v>0</v>
      </c>
      <c r="AB41" s="19">
        <v>0</v>
      </c>
      <c r="AC41" s="19">
        <v>0</v>
      </c>
      <c r="AD41" s="19">
        <f>Plaquemines!M48</f>
        <v>4332091</v>
      </c>
      <c r="AE41" s="19">
        <f>Plaquemines!M53</f>
        <v>103510750</v>
      </c>
      <c r="AF41" s="19">
        <f t="shared" si="8"/>
        <v>103510750</v>
      </c>
      <c r="AG41" s="20" t="str">
        <f t="shared" si="15"/>
        <v>Yes</v>
      </c>
      <c r="AH41" s="19">
        <f>SUM(Plaquemines!M53+Plaquemines!M28)</f>
        <v>576436236</v>
      </c>
      <c r="AI41" s="19">
        <f t="shared" si="16"/>
        <v>576436236</v>
      </c>
      <c r="AJ41" s="18" t="str">
        <f t="shared" si="17"/>
        <v>Yes</v>
      </c>
    </row>
    <row r="42" spans="1:36">
      <c r="A42" s="28" t="s">
        <v>581</v>
      </c>
      <c r="B42" s="19">
        <f>'Pointe Coupee'!M8</f>
        <v>841274</v>
      </c>
      <c r="C42" s="19">
        <f>'Pointe Coupee'!M9</f>
        <v>618897</v>
      </c>
      <c r="D42" s="19">
        <v>0</v>
      </c>
      <c r="E42" s="19">
        <f>'Pointe Coupee'!M20</f>
        <v>4895714</v>
      </c>
      <c r="F42" s="19">
        <v>0</v>
      </c>
      <c r="G42" s="19">
        <f>'Pointe Coupee'!M22</f>
        <v>321053</v>
      </c>
      <c r="I42" s="19">
        <f>'Pointe Coupee'!M21</f>
        <v>489282</v>
      </c>
      <c r="N42" s="19">
        <f>'Pointe Coupee'!M23</f>
        <v>9835814</v>
      </c>
      <c r="O42" s="25">
        <f>'Pointe Coupee'!M27</f>
        <v>17002034</v>
      </c>
      <c r="P42" s="19">
        <f t="shared" si="6"/>
        <v>17002034</v>
      </c>
      <c r="Q42" s="20" t="str">
        <f t="shared" si="7"/>
        <v>Yes</v>
      </c>
      <c r="R42" s="19">
        <f>'Pointe Coupee'!M32</f>
        <v>45233</v>
      </c>
      <c r="X42" s="19">
        <f>'Pointe Coupee'!M36</f>
        <v>2061224</v>
      </c>
      <c r="Y42" s="19">
        <v>0</v>
      </c>
      <c r="AB42" s="19">
        <v>0</v>
      </c>
      <c r="AC42" s="19">
        <v>0</v>
      </c>
      <c r="AE42" s="19">
        <f>'Pointe Coupee'!M40</f>
        <v>2106457</v>
      </c>
      <c r="AF42" s="19">
        <f t="shared" si="8"/>
        <v>2106457</v>
      </c>
      <c r="AG42" s="20" t="str">
        <f t="shared" si="15"/>
        <v>Yes</v>
      </c>
      <c r="AH42" s="19">
        <f>'Pointe Coupee'!M40+'Pointe Coupee'!M27</f>
        <v>19108491</v>
      </c>
      <c r="AI42" s="19">
        <f t="shared" si="16"/>
        <v>19108491</v>
      </c>
      <c r="AJ42" s="18" t="str">
        <f t="shared" si="17"/>
        <v>Yes</v>
      </c>
    </row>
    <row r="43" spans="1:36">
      <c r="A43" s="18" t="s">
        <v>582</v>
      </c>
      <c r="B43" s="19">
        <f>Rapides!E20</f>
        <v>1991998</v>
      </c>
      <c r="C43" s="19">
        <f>Rapides!F20</f>
        <v>4503009</v>
      </c>
      <c r="D43" s="19">
        <v>0</v>
      </c>
      <c r="E43" s="19">
        <f>Rapides!G20</f>
        <v>10023028</v>
      </c>
      <c r="J43" s="19">
        <f>Rapides!H20</f>
        <v>8034399</v>
      </c>
      <c r="N43" s="19">
        <f>Rapides!I20</f>
        <v>29558510</v>
      </c>
      <c r="O43" s="25">
        <f>Rapides!J20</f>
        <v>54110944</v>
      </c>
      <c r="P43" s="19">
        <f t="shared" ref="P43:P46" si="44">SUM(B43:N43)</f>
        <v>54110944</v>
      </c>
      <c r="Q43" s="20" t="str">
        <f t="shared" ref="Q43:Q46" si="45">IF(O43="","Blank",IF(O43=P43,"Yes","No"))</f>
        <v>Yes</v>
      </c>
      <c r="X43" s="19">
        <v>0</v>
      </c>
      <c r="Y43" s="19">
        <v>0</v>
      </c>
      <c r="AB43" s="19">
        <v>0</v>
      </c>
      <c r="AC43" s="19">
        <v>0</v>
      </c>
      <c r="AF43" s="19">
        <f t="shared" ref="AF43:AF46" si="46">SUM(R43:AD43)</f>
        <v>0</v>
      </c>
      <c r="AG43" s="20" t="str">
        <f t="shared" si="15"/>
        <v>Blank</v>
      </c>
      <c r="AH43" s="19">
        <f>Rapides!J20</f>
        <v>54110944</v>
      </c>
      <c r="AI43" s="19">
        <f t="shared" si="16"/>
        <v>54110944</v>
      </c>
      <c r="AJ43" s="18" t="str">
        <f t="shared" si="17"/>
        <v>Yes</v>
      </c>
    </row>
    <row r="44" spans="1:36">
      <c r="A44" s="18" t="s">
        <v>583</v>
      </c>
      <c r="B44" s="19">
        <f>'Red River'!M8</f>
        <v>301537</v>
      </c>
      <c r="C44" s="19">
        <f>'Red River'!M9</f>
        <v>792015</v>
      </c>
      <c r="D44" s="19">
        <v>0</v>
      </c>
      <c r="E44" s="19">
        <f>'Red River'!M14</f>
        <v>4729643</v>
      </c>
      <c r="F44" s="19">
        <f>'Red River'!M18</f>
        <v>8279970</v>
      </c>
      <c r="I44" s="19">
        <f>'Red River'!M26</f>
        <v>73906</v>
      </c>
      <c r="J44" s="19">
        <f>'Red River'!M22</f>
        <v>1121223</v>
      </c>
      <c r="O44" s="25">
        <f>'Red River'!M31</f>
        <v>15298294</v>
      </c>
      <c r="P44" s="19">
        <f t="shared" si="44"/>
        <v>15298294</v>
      </c>
      <c r="Q44" s="20" t="str">
        <f t="shared" si="45"/>
        <v>Yes</v>
      </c>
      <c r="X44" s="19">
        <f>'Red River'!M36</f>
        <v>262880</v>
      </c>
      <c r="Y44" s="19">
        <v>0</v>
      </c>
      <c r="AB44" s="19">
        <v>0</v>
      </c>
      <c r="AC44" s="19">
        <v>0</v>
      </c>
      <c r="AE44" s="19">
        <f>'Red River'!M39</f>
        <v>262880</v>
      </c>
      <c r="AF44" s="19">
        <f t="shared" si="46"/>
        <v>262880</v>
      </c>
      <c r="AG44" s="20" t="str">
        <f t="shared" si="15"/>
        <v>Yes</v>
      </c>
      <c r="AH44" s="19">
        <f>'Red River'!M44</f>
        <v>15561174</v>
      </c>
      <c r="AI44" s="19">
        <f t="shared" si="16"/>
        <v>15561174</v>
      </c>
      <c r="AJ44" s="18" t="str">
        <f t="shared" si="17"/>
        <v>Yes</v>
      </c>
    </row>
    <row r="45" spans="1:36">
      <c r="A45" s="18" t="s">
        <v>584</v>
      </c>
      <c r="B45" s="25">
        <f>Richland!M9</f>
        <v>311523</v>
      </c>
      <c r="C45" s="19">
        <v>0</v>
      </c>
      <c r="E45" s="19">
        <f>Richland!M17</f>
        <v>1678988</v>
      </c>
      <c r="G45" s="19">
        <f>Richland!M18</f>
        <v>629291</v>
      </c>
      <c r="K45" s="27"/>
      <c r="O45" s="25">
        <f>Richland!M23</f>
        <v>2619802</v>
      </c>
      <c r="P45" s="19">
        <f t="shared" si="44"/>
        <v>2619802</v>
      </c>
      <c r="Q45" s="20" t="str">
        <f t="shared" si="45"/>
        <v>Yes</v>
      </c>
      <c r="X45" s="19">
        <v>0</v>
      </c>
      <c r="Y45" s="19">
        <v>0</v>
      </c>
      <c r="AB45" s="19">
        <v>0</v>
      </c>
      <c r="AC45" s="19">
        <v>0</v>
      </c>
      <c r="AF45" s="19">
        <f t="shared" si="46"/>
        <v>0</v>
      </c>
      <c r="AG45" s="20" t="str">
        <f t="shared" si="15"/>
        <v>Blank</v>
      </c>
      <c r="AH45" s="19">
        <f>Richland!M23</f>
        <v>2619802</v>
      </c>
      <c r="AI45" s="19">
        <f t="shared" si="16"/>
        <v>2619802</v>
      </c>
      <c r="AJ45" s="18" t="str">
        <f t="shared" si="17"/>
        <v>Yes</v>
      </c>
    </row>
    <row r="46" spans="1:36">
      <c r="A46" s="18" t="s">
        <v>585</v>
      </c>
      <c r="B46" s="26">
        <f>Sabine!M6</f>
        <v>639576</v>
      </c>
      <c r="C46" s="19">
        <f>Sabine!M7</f>
        <v>2281793</v>
      </c>
      <c r="D46" s="19">
        <v>0</v>
      </c>
      <c r="E46" s="19">
        <f>Sabine!M15</f>
        <v>2199290</v>
      </c>
      <c r="G46" s="19">
        <f>Sabine!M16</f>
        <v>2943475</v>
      </c>
      <c r="J46" s="19">
        <f>Sabine!M17</f>
        <v>12573</v>
      </c>
      <c r="N46" s="19">
        <f>Sabine!M18</f>
        <v>5800838</v>
      </c>
      <c r="O46" s="25">
        <f>Sabine!L21</f>
        <v>13877545</v>
      </c>
      <c r="P46" s="19">
        <f t="shared" si="44"/>
        <v>13877545</v>
      </c>
      <c r="Q46" s="20" t="str">
        <f t="shared" si="45"/>
        <v>Yes</v>
      </c>
      <c r="X46" s="19">
        <v>0</v>
      </c>
      <c r="Y46" s="19">
        <v>0</v>
      </c>
      <c r="AB46" s="19">
        <v>0</v>
      </c>
      <c r="AC46" s="19">
        <v>0</v>
      </c>
      <c r="AF46" s="19">
        <f t="shared" si="46"/>
        <v>0</v>
      </c>
      <c r="AG46" s="20" t="str">
        <f t="shared" si="15"/>
        <v>Blank</v>
      </c>
      <c r="AH46" s="19">
        <f>Sabine!M21</f>
        <v>13877545</v>
      </c>
      <c r="AI46" s="19">
        <f t="shared" si="16"/>
        <v>13877545</v>
      </c>
      <c r="AJ46" s="18" t="str">
        <f t="shared" si="17"/>
        <v>Yes</v>
      </c>
    </row>
    <row r="47" spans="1:36">
      <c r="A47" s="18" t="s">
        <v>586</v>
      </c>
      <c r="D47" s="19">
        <f>SUM('St. Bernard'!M17+'St. Bernard'!M13)</f>
        <v>0</v>
      </c>
      <c r="E47" s="19">
        <f>'St. Bernard'!M14</f>
        <v>0</v>
      </c>
      <c r="G47" s="19">
        <f>'St. Bernard'!M16</f>
        <v>0</v>
      </c>
      <c r="J47" s="19">
        <f>'St. Bernard'!M15</f>
        <v>0</v>
      </c>
      <c r="L47" s="19">
        <f>'St. Bernard'!M18</f>
        <v>0</v>
      </c>
      <c r="O47" s="25">
        <f>'St. Bernard'!M29</f>
        <v>0</v>
      </c>
      <c r="P47" s="19">
        <f t="shared" si="6"/>
        <v>0</v>
      </c>
      <c r="Q47" s="20" t="str">
        <f t="shared" si="7"/>
        <v>Yes</v>
      </c>
      <c r="U47" s="19">
        <f>'St. Bernard'!M39</f>
        <v>0</v>
      </c>
      <c r="W47" s="19">
        <f>'St. Bernard'!M41</f>
        <v>0</v>
      </c>
      <c r="X47" s="19">
        <v>0</v>
      </c>
      <c r="Y47" s="19">
        <v>0</v>
      </c>
      <c r="Z47" s="19">
        <f>'St. Bernard'!M40</f>
        <v>0</v>
      </c>
      <c r="AB47" s="19">
        <v>0</v>
      </c>
      <c r="AC47" s="19">
        <v>0</v>
      </c>
      <c r="AD47" s="19">
        <f>'St. Bernard'!M42</f>
        <v>0</v>
      </c>
      <c r="AF47" s="19">
        <f t="shared" si="8"/>
        <v>0</v>
      </c>
      <c r="AG47" s="20" t="str">
        <f t="shared" si="15"/>
        <v>Blank</v>
      </c>
      <c r="AI47" s="19">
        <f t="shared" si="16"/>
        <v>0</v>
      </c>
      <c r="AJ47" s="18" t="str">
        <f t="shared" si="17"/>
        <v>Blank</v>
      </c>
    </row>
    <row r="48" spans="1:36">
      <c r="A48" s="18" t="s">
        <v>587</v>
      </c>
      <c r="B48" s="25">
        <f>'St. Charles'!N8</f>
        <v>10484811</v>
      </c>
      <c r="C48" s="19">
        <f>'St. Charles'!N10</f>
        <v>34185224</v>
      </c>
      <c r="D48" s="19">
        <f>'St. Charles'!N9</f>
        <v>14855447</v>
      </c>
      <c r="E48" s="19">
        <f>'St. Charles'!N21</f>
        <v>37927482</v>
      </c>
      <c r="F48" s="19">
        <f>'St. Charles'!N22</f>
        <v>47041687</v>
      </c>
      <c r="G48" s="19">
        <f>'St. Charles'!N23</f>
        <v>10395636</v>
      </c>
      <c r="K48" s="27"/>
      <c r="N48" s="19">
        <f>'St. Charles'!N24</f>
        <v>42727089</v>
      </c>
      <c r="O48" s="25">
        <f>'St. Charles'!N29</f>
        <v>197617376</v>
      </c>
      <c r="P48" s="19">
        <f t="shared" si="6"/>
        <v>197617376</v>
      </c>
      <c r="Q48" s="20" t="str">
        <f t="shared" si="7"/>
        <v>Yes</v>
      </c>
      <c r="R48" s="19">
        <f>'St. Charles'!N33</f>
        <v>824777</v>
      </c>
      <c r="S48" s="19">
        <f>'St. Charles'!N34</f>
        <v>3944738</v>
      </c>
      <c r="U48" s="19">
        <f>'St. Charles'!N43</f>
        <v>126421154</v>
      </c>
      <c r="W48" s="19">
        <f>'St. Charles'!N44</f>
        <v>1774611</v>
      </c>
      <c r="X48" s="19">
        <v>0</v>
      </c>
      <c r="Y48" s="19">
        <v>0</v>
      </c>
      <c r="AB48" s="19">
        <v>0</v>
      </c>
      <c r="AC48" s="19">
        <v>0</v>
      </c>
      <c r="AE48" s="19">
        <f>'St. Charles'!N49</f>
        <v>132965280</v>
      </c>
      <c r="AF48" s="19">
        <f t="shared" si="8"/>
        <v>132965280</v>
      </c>
      <c r="AG48" s="20" t="str">
        <f t="shared" si="15"/>
        <v>Yes</v>
      </c>
      <c r="AH48" s="19">
        <f>SUM('St. Charles'!N29+'St. Charles'!N49)</f>
        <v>330582656</v>
      </c>
      <c r="AI48" s="19">
        <f t="shared" si="16"/>
        <v>330582656</v>
      </c>
      <c r="AJ48" s="18" t="str">
        <f t="shared" si="17"/>
        <v>Yes</v>
      </c>
    </row>
    <row r="49" spans="1:36">
      <c r="A49" s="18" t="s">
        <v>588</v>
      </c>
      <c r="B49" s="26">
        <f>'St. Helena'!N8</f>
        <v>235036</v>
      </c>
      <c r="C49" s="19">
        <f>'St. Helena'!N9</f>
        <v>2104367</v>
      </c>
      <c r="E49" s="19">
        <f>'St. Helena'!N19</f>
        <v>3770370</v>
      </c>
      <c r="F49" s="19">
        <v>0</v>
      </c>
      <c r="G49" s="19">
        <f>'St. Helena'!N20</f>
        <v>2462531</v>
      </c>
      <c r="N49" s="19">
        <f>'St. Helena'!N21</f>
        <v>9295161</v>
      </c>
      <c r="O49" s="25">
        <f>'St. Helena'!N25</f>
        <v>17867465</v>
      </c>
      <c r="P49" s="19">
        <f t="shared" si="6"/>
        <v>17867465</v>
      </c>
      <c r="Q49" s="20" t="str">
        <f t="shared" si="7"/>
        <v>Yes</v>
      </c>
      <c r="X49" s="19">
        <v>0</v>
      </c>
      <c r="Y49" s="19">
        <v>0</v>
      </c>
      <c r="AB49" s="19">
        <v>0</v>
      </c>
      <c r="AC49" s="19">
        <v>0</v>
      </c>
      <c r="AF49" s="19">
        <f t="shared" si="8"/>
        <v>0</v>
      </c>
      <c r="AG49" s="20" t="str">
        <f t="shared" si="15"/>
        <v>Blank</v>
      </c>
      <c r="AI49" s="19">
        <f t="shared" si="16"/>
        <v>17867465</v>
      </c>
      <c r="AJ49" s="18" t="str">
        <f t="shared" si="17"/>
        <v>Blank</v>
      </c>
    </row>
    <row r="50" spans="1:36">
      <c r="A50" s="18" t="s">
        <v>589</v>
      </c>
      <c r="B50" s="19">
        <f>'St. James'!M8</f>
        <v>21340364</v>
      </c>
      <c r="C50" s="19">
        <f>'St. James'!M9</f>
        <v>7175955</v>
      </c>
      <c r="E50" s="19">
        <f>'St. James'!M21</f>
        <v>13904103</v>
      </c>
      <c r="F50" s="19">
        <f>'St. James'!M22</f>
        <v>3188819</v>
      </c>
      <c r="G50" s="19">
        <f>'St. James'!M23</f>
        <v>5607425</v>
      </c>
      <c r="I50" s="19">
        <f>'St. James'!M24</f>
        <v>70474</v>
      </c>
      <c r="N50" s="19">
        <f>'St. James'!M25</f>
        <v>11840223</v>
      </c>
      <c r="O50" s="25">
        <f>'St. James'!M29</f>
        <v>63127363</v>
      </c>
      <c r="P50" s="19">
        <f t="shared" si="6"/>
        <v>63127363</v>
      </c>
      <c r="Q50" s="20" t="str">
        <f t="shared" si="7"/>
        <v>Yes</v>
      </c>
      <c r="R50" s="19">
        <f>'St. James'!M33</f>
        <v>1050000</v>
      </c>
      <c r="S50" s="19">
        <f>'St. James'!M34</f>
        <v>47480</v>
      </c>
      <c r="U50" s="19">
        <f>'St. James'!M46</f>
        <v>540001</v>
      </c>
      <c r="W50" s="19">
        <f>'St. James'!M50</f>
        <v>223570</v>
      </c>
      <c r="X50" s="19">
        <f>SUM('St. James'!M47+'St. James'!M48)</f>
        <v>11257567</v>
      </c>
      <c r="Y50" s="19">
        <v>0</v>
      </c>
      <c r="Z50" s="19">
        <f>'St. James'!M49</f>
        <v>17495</v>
      </c>
      <c r="AB50" s="19">
        <v>0</v>
      </c>
      <c r="AC50" s="19">
        <v>0</v>
      </c>
      <c r="AE50" s="19">
        <f>'St. James'!M55</f>
        <v>13136113</v>
      </c>
      <c r="AF50" s="19">
        <f t="shared" si="8"/>
        <v>13136113</v>
      </c>
      <c r="AG50" s="20" t="str">
        <f t="shared" si="15"/>
        <v>Yes</v>
      </c>
      <c r="AH50" s="19">
        <f>SUM('St. James'!M55+'St. James'!M29)</f>
        <v>76263476</v>
      </c>
      <c r="AI50" s="19">
        <f t="shared" si="16"/>
        <v>76263476</v>
      </c>
      <c r="AJ50" s="18" t="str">
        <f t="shared" si="17"/>
        <v>Yes</v>
      </c>
    </row>
    <row r="51" spans="1:36">
      <c r="A51" s="18" t="s">
        <v>590</v>
      </c>
      <c r="B51" s="19">
        <f>'St. John the Baptist'!M8</f>
        <v>3976254</v>
      </c>
      <c r="C51" s="19">
        <f>'St. John the Baptist'!M9</f>
        <v>11706152</v>
      </c>
      <c r="D51" s="19">
        <v>0</v>
      </c>
      <c r="E51" s="27">
        <f>'St. John the Baptist'!M21</f>
        <v>23854372</v>
      </c>
      <c r="F51" s="19">
        <v>0</v>
      </c>
      <c r="H51" s="19">
        <f>'St. John the Baptist'!M23</f>
        <v>14738302</v>
      </c>
      <c r="J51" s="19">
        <f>'St. John the Baptist'!M24</f>
        <v>3176697</v>
      </c>
      <c r="K51" s="19">
        <f>'St. John the Baptist'!M25</f>
        <v>2143954</v>
      </c>
      <c r="N51" s="19">
        <f>'St. John the Baptist'!M22</f>
        <v>26581912</v>
      </c>
      <c r="O51" s="25">
        <f>'St. John the Baptist'!M28</f>
        <v>86177643</v>
      </c>
      <c r="P51" s="19">
        <f t="shared" si="6"/>
        <v>86177643</v>
      </c>
      <c r="Q51" s="20" t="str">
        <f t="shared" si="7"/>
        <v>Yes</v>
      </c>
      <c r="R51" s="19">
        <f>'St. John the Baptist'!M33</f>
        <v>1678616</v>
      </c>
      <c r="S51" s="19">
        <f>'St. John the Baptist'!M34</f>
        <v>1487729</v>
      </c>
      <c r="U51" s="19">
        <f>'St. John the Baptist'!M45</f>
        <v>11820609</v>
      </c>
      <c r="X51" s="19">
        <f>'St. John the Baptist'!M46</f>
        <v>109338685</v>
      </c>
      <c r="Y51" s="19">
        <v>0</v>
      </c>
      <c r="Z51" s="19">
        <f>'St. John the Baptist'!M47</f>
        <v>3180074</v>
      </c>
      <c r="AA51" s="19">
        <f>'St. John the Baptist'!M48</f>
        <v>177475</v>
      </c>
      <c r="AB51" s="19">
        <v>0</v>
      </c>
      <c r="AC51" s="19">
        <v>0</v>
      </c>
      <c r="AE51" s="19">
        <f>'St. John the Baptist'!M51</f>
        <v>127683188</v>
      </c>
      <c r="AF51" s="19">
        <f>SUM(R51:AD51)</f>
        <v>127683188</v>
      </c>
      <c r="AG51" s="20" t="str">
        <f t="shared" si="15"/>
        <v>Yes</v>
      </c>
      <c r="AH51" s="19">
        <f>SUM('St. John the Baptist'!M28+'St. John the Baptist'!M51)</f>
        <v>213860831</v>
      </c>
      <c r="AI51" s="19">
        <f t="shared" si="16"/>
        <v>213860831</v>
      </c>
      <c r="AJ51" s="18" t="str">
        <f t="shared" si="17"/>
        <v>Yes</v>
      </c>
    </row>
    <row r="52" spans="1:36">
      <c r="A52" s="28" t="s">
        <v>591</v>
      </c>
      <c r="B52" s="19">
        <f>'St. Landry'!M9</f>
        <v>499243</v>
      </c>
      <c r="C52" s="19">
        <f>'St. Landry'!M10</f>
        <v>9080748</v>
      </c>
      <c r="E52" s="19">
        <f>'St. Landry'!M19</f>
        <v>3664863</v>
      </c>
      <c r="F52" s="19">
        <f>'St. Landry'!M22</f>
        <v>3534874</v>
      </c>
      <c r="J52" s="19">
        <f>'St. Landry'!M21</f>
        <v>1013796</v>
      </c>
      <c r="K52" s="19">
        <f>'St. Landry'!M20</f>
        <v>287623</v>
      </c>
      <c r="O52" s="25">
        <f>'St. Landry'!M25</f>
        <v>18081147</v>
      </c>
      <c r="P52" s="19">
        <f t="shared" si="6"/>
        <v>18081147</v>
      </c>
      <c r="Q52" s="20" t="str">
        <f t="shared" si="7"/>
        <v>Yes</v>
      </c>
      <c r="X52" s="19">
        <v>0</v>
      </c>
      <c r="Y52" s="19">
        <v>0</v>
      </c>
      <c r="AB52" s="19">
        <v>0</v>
      </c>
      <c r="AC52" s="19">
        <v>0</v>
      </c>
      <c r="AF52" s="19">
        <f t="shared" si="8"/>
        <v>0</v>
      </c>
      <c r="AG52" s="20" t="str">
        <f t="shared" si="15"/>
        <v>Blank</v>
      </c>
      <c r="AH52" s="19">
        <f>'St. Landry'!M25</f>
        <v>18081147</v>
      </c>
      <c r="AI52" s="19">
        <f t="shared" si="16"/>
        <v>18081147</v>
      </c>
      <c r="AJ52" s="18" t="str">
        <f t="shared" si="17"/>
        <v>Yes</v>
      </c>
    </row>
    <row r="53" spans="1:36">
      <c r="A53" s="18" t="s">
        <v>592</v>
      </c>
      <c r="B53" s="19">
        <f>'St. Martin'!M9</f>
        <v>1560115</v>
      </c>
      <c r="C53" s="19">
        <f>'St. Martin'!M10</f>
        <v>1213143</v>
      </c>
      <c r="E53" s="19">
        <f>'St. Martin'!M21</f>
        <v>28053067</v>
      </c>
      <c r="F53" s="19">
        <f>'St. Martin'!M23</f>
        <v>1034347</v>
      </c>
      <c r="G53" s="19">
        <f>'St. Martin'!M22</f>
        <v>5209749</v>
      </c>
      <c r="L53" s="29">
        <f>'St. Martin'!M24</f>
        <v>33663568</v>
      </c>
      <c r="O53" s="25">
        <f>'St. Martin'!M28</f>
        <v>70733989</v>
      </c>
      <c r="P53" s="19">
        <f t="shared" ref="P53" si="47">SUM(B53:N53)</f>
        <v>70733989</v>
      </c>
      <c r="Q53" s="20" t="str">
        <f t="shared" ref="Q53" si="48">IF(O53="","Blank",IF(O53=P53,"Yes","No"))</f>
        <v>Yes</v>
      </c>
      <c r="X53" s="19">
        <v>0</v>
      </c>
      <c r="Y53" s="19">
        <v>0</v>
      </c>
      <c r="AB53" s="19">
        <v>0</v>
      </c>
      <c r="AC53" s="19">
        <v>0</v>
      </c>
      <c r="AF53" s="19">
        <f t="shared" ref="AF53" si="49">SUM(R53:AD53)</f>
        <v>0</v>
      </c>
      <c r="AG53" s="20" t="str">
        <f t="shared" si="15"/>
        <v>Blank</v>
      </c>
      <c r="AH53" s="19">
        <f>'St. Martin'!M28</f>
        <v>70733989</v>
      </c>
      <c r="AI53" s="19">
        <f t="shared" si="16"/>
        <v>70733989</v>
      </c>
      <c r="AJ53" s="18" t="str">
        <f t="shared" si="17"/>
        <v>Yes</v>
      </c>
    </row>
    <row r="54" spans="1:36">
      <c r="A54" s="18" t="s">
        <v>593</v>
      </c>
      <c r="B54" s="19">
        <f>'St Mary'!O9</f>
        <v>1870876</v>
      </c>
      <c r="C54" s="19">
        <f>'St Mary'!O10</f>
        <v>2899550</v>
      </c>
      <c r="E54" s="19">
        <f>'St Mary'!O22</f>
        <v>10048231</v>
      </c>
      <c r="F54" s="19">
        <f>'St Mary'!O24</f>
        <v>15030277</v>
      </c>
      <c r="G54" s="19">
        <f>'St Mary'!O23</f>
        <v>2210150</v>
      </c>
      <c r="N54" s="19">
        <f>'St Mary'!O21</f>
        <v>75560523</v>
      </c>
      <c r="O54" s="25">
        <f>'St Mary'!O27</f>
        <v>107619607</v>
      </c>
      <c r="P54" s="19">
        <f t="shared" si="6"/>
        <v>107619607</v>
      </c>
      <c r="Q54" s="20" t="str">
        <f t="shared" si="7"/>
        <v>Yes</v>
      </c>
      <c r="R54" s="19">
        <f>'St Mary'!O33+'St Mary'!O32</f>
        <v>3802599</v>
      </c>
      <c r="S54" s="19">
        <f>'St Mary'!O31</f>
        <v>50068</v>
      </c>
      <c r="U54" s="19">
        <f>'St Mary'!O43</f>
        <v>142950</v>
      </c>
      <c r="V54" s="19">
        <f>'St Mary'!O45</f>
        <v>15393907</v>
      </c>
      <c r="W54" s="19">
        <f>'St Mary'!O44</f>
        <v>1944417</v>
      </c>
      <c r="X54" s="19">
        <v>0</v>
      </c>
      <c r="Y54" s="19">
        <v>0</v>
      </c>
      <c r="AB54" s="19">
        <v>0</v>
      </c>
      <c r="AC54" s="19">
        <v>0</v>
      </c>
      <c r="AE54" s="19">
        <f>'St Mary'!O48</f>
        <v>21333941</v>
      </c>
      <c r="AF54" s="19">
        <f t="shared" si="8"/>
        <v>21333941</v>
      </c>
      <c r="AG54" s="20" t="str">
        <f t="shared" si="15"/>
        <v>Yes</v>
      </c>
      <c r="AH54" s="19">
        <f>'St Mary'!O48+'St Mary'!O27</f>
        <v>128953548</v>
      </c>
      <c r="AI54" s="19">
        <f t="shared" si="16"/>
        <v>128953548</v>
      </c>
      <c r="AJ54" s="18" t="str">
        <f t="shared" si="17"/>
        <v>Yes</v>
      </c>
    </row>
    <row r="55" spans="1:36">
      <c r="A55" s="18" t="s">
        <v>594</v>
      </c>
      <c r="B55" s="19">
        <f>'St. Tammany'!O10+'St. Tammany'!O11</f>
        <v>46882661</v>
      </c>
      <c r="C55" s="19">
        <f>'St. Tammany'!O12</f>
        <v>2179839</v>
      </c>
      <c r="D55" s="19">
        <f>'St. Tammany'!O16+'St. Tammany'!O15+'St. Tammany'!O14</f>
        <v>66251014</v>
      </c>
      <c r="E55" s="19">
        <f>'St. Tammany'!O33+'St. Tammany'!O32</f>
        <v>75071244</v>
      </c>
      <c r="F55" s="19">
        <f>'St. Tammany'!O31</f>
        <v>2839066</v>
      </c>
      <c r="G55" s="19">
        <f>'St. Tammany'!O37+'St. Tammany'!O36</f>
        <v>7683552</v>
      </c>
      <c r="H55" s="19">
        <f>SUM('St. Tammany'!O34+'St. Tammany'!O37)</f>
        <v>3420279</v>
      </c>
      <c r="K55" s="19">
        <f>'St. Tammany'!O35</f>
        <v>356149</v>
      </c>
      <c r="N55" s="19">
        <f>'St. Tammany'!O39+'St. Tammany'!O40</f>
        <v>206943109</v>
      </c>
      <c r="O55" s="25">
        <f>'St. Tammany'!O66</f>
        <v>431089855</v>
      </c>
      <c r="P55" s="19">
        <f t="shared" si="6"/>
        <v>411626913</v>
      </c>
      <c r="Q55" s="20" t="str">
        <f t="shared" si="7"/>
        <v>No</v>
      </c>
      <c r="R55" s="19">
        <f>'St. Tammany'!O70</f>
        <v>575567</v>
      </c>
      <c r="S55" s="19">
        <f>'St. Tammany'!O71</f>
        <v>1129272</v>
      </c>
      <c r="U55" s="19">
        <f>'St. Tammany'!O85</f>
        <v>10656</v>
      </c>
      <c r="V55" s="19">
        <f>'St. Tammany'!O84</f>
        <v>39157</v>
      </c>
      <c r="W55" s="19">
        <f>SUM('St. Tammany'!O87+'St. Tammany'!O88)</f>
        <v>216849</v>
      </c>
      <c r="X55" s="19">
        <v>0</v>
      </c>
      <c r="Y55" s="19">
        <v>0</v>
      </c>
      <c r="AA55" s="19">
        <f>'St. Tammany'!O86</f>
        <v>273882</v>
      </c>
      <c r="AB55" s="19">
        <v>0</v>
      </c>
      <c r="AC55" s="19">
        <v>0</v>
      </c>
      <c r="AD55" s="19">
        <f>SUM('St. Tammany'!O90+'St. Tammany'!O91)</f>
        <v>36829583</v>
      </c>
      <c r="AE55" s="19">
        <f>'St. Tammany'!O94</f>
        <v>39074966</v>
      </c>
      <c r="AF55" s="19">
        <f t="shared" si="8"/>
        <v>39074966</v>
      </c>
      <c r="AG55" s="20" t="str">
        <f t="shared" si="15"/>
        <v>Yes</v>
      </c>
      <c r="AH55" s="19">
        <f>SUM('St. Tammany'!O17+'St. Tammany'!O42+'St. Tammany'!O94)</f>
        <v>39074966</v>
      </c>
      <c r="AI55" s="19">
        <f t="shared" si="16"/>
        <v>470164821</v>
      </c>
      <c r="AJ55" s="18" t="str">
        <f t="shared" si="17"/>
        <v>No</v>
      </c>
    </row>
    <row r="56" spans="1:36">
      <c r="A56" s="18" t="s">
        <v>595</v>
      </c>
      <c r="B56" s="19">
        <f>Tangipahoa!M8</f>
        <v>2910644</v>
      </c>
      <c r="C56" s="19">
        <f>Tangipahoa!M10</f>
        <v>2517758</v>
      </c>
      <c r="D56" s="19">
        <f>Tangipahoa!M9</f>
        <v>72012465</v>
      </c>
      <c r="E56" s="19">
        <f>Tangipahoa!M20</f>
        <v>36009828</v>
      </c>
      <c r="G56" s="19">
        <f>Tangipahoa!M22</f>
        <v>6107491</v>
      </c>
      <c r="L56" s="27"/>
      <c r="N56" s="19">
        <f>Tangipahoa!M21</f>
        <v>61069950</v>
      </c>
      <c r="O56" s="25">
        <f>Tangipahoa!M26</f>
        <v>180628136</v>
      </c>
      <c r="P56" s="19">
        <f t="shared" si="6"/>
        <v>180628136</v>
      </c>
      <c r="Q56" s="20" t="str">
        <f t="shared" si="7"/>
        <v>Yes</v>
      </c>
      <c r="X56" s="19">
        <v>0</v>
      </c>
      <c r="Y56" s="19">
        <v>0</v>
      </c>
      <c r="AB56" s="19">
        <v>0</v>
      </c>
      <c r="AC56" s="19">
        <v>0</v>
      </c>
      <c r="AF56" s="19">
        <f t="shared" si="8"/>
        <v>0</v>
      </c>
      <c r="AG56" s="20" t="str">
        <f t="shared" si="15"/>
        <v>Blank</v>
      </c>
      <c r="AH56" s="19">
        <f>Tangipahoa!M26</f>
        <v>180628136</v>
      </c>
      <c r="AI56" s="19">
        <f t="shared" si="16"/>
        <v>180628136</v>
      </c>
      <c r="AJ56" s="18" t="str">
        <f t="shared" si="17"/>
        <v>Yes</v>
      </c>
    </row>
    <row r="57" spans="1:36">
      <c r="A57" s="18" t="s">
        <v>596</v>
      </c>
      <c r="B57" s="19">
        <f>Tensas!M8</f>
        <v>743698</v>
      </c>
      <c r="D57" s="19">
        <v>0</v>
      </c>
      <c r="E57" s="19">
        <f>Tensas!M17</f>
        <v>7273480</v>
      </c>
      <c r="J57" s="19">
        <f>Tensas!M18</f>
        <v>637770</v>
      </c>
      <c r="O57" s="25">
        <f>Tensas!M23</f>
        <v>8654948</v>
      </c>
      <c r="P57" s="19">
        <f t="shared" si="6"/>
        <v>8654948</v>
      </c>
      <c r="Q57" s="20" t="str">
        <f t="shared" si="7"/>
        <v>Yes</v>
      </c>
      <c r="X57" s="19">
        <v>0</v>
      </c>
      <c r="Y57" s="19">
        <v>0</v>
      </c>
      <c r="AB57" s="19">
        <v>0</v>
      </c>
      <c r="AC57" s="19">
        <v>0</v>
      </c>
      <c r="AF57" s="19">
        <f t="shared" si="8"/>
        <v>0</v>
      </c>
      <c r="AG57" s="20" t="str">
        <f t="shared" si="15"/>
        <v>Blank</v>
      </c>
      <c r="AH57" s="19">
        <f>Tensas!M23</f>
        <v>8654948</v>
      </c>
      <c r="AI57" s="19">
        <f t="shared" si="16"/>
        <v>8654948</v>
      </c>
      <c r="AJ57" s="18" t="str">
        <f t="shared" si="17"/>
        <v>Yes</v>
      </c>
    </row>
    <row r="58" spans="1:36">
      <c r="A58" s="18" t="s">
        <v>597</v>
      </c>
      <c r="B58" s="19">
        <f>Terrebonne!N7</f>
        <v>6470003</v>
      </c>
      <c r="C58" s="19">
        <f>Terrebonne!N8</f>
        <v>57371869</v>
      </c>
      <c r="D58" s="19">
        <v>0</v>
      </c>
      <c r="E58" s="19">
        <f>Terrebonne!N16</f>
        <v>30794508</v>
      </c>
      <c r="F58" s="19">
        <v>0</v>
      </c>
      <c r="G58" s="19">
        <f>Terrebonne!N17</f>
        <v>20350948</v>
      </c>
      <c r="N58" s="19">
        <f>Terrebonne!N18</f>
        <v>206854164</v>
      </c>
      <c r="O58" s="25">
        <f>Terrebonne!N21</f>
        <v>321841492</v>
      </c>
      <c r="P58" s="19">
        <f t="shared" si="6"/>
        <v>321841492</v>
      </c>
      <c r="Q58" s="20" t="str">
        <f t="shared" si="7"/>
        <v>Yes</v>
      </c>
      <c r="R58" s="19">
        <f>Terrebonne!N26</f>
        <v>3692923</v>
      </c>
      <c r="S58" s="19">
        <f>Terrebonne!N27</f>
        <v>2785867</v>
      </c>
      <c r="U58" s="19">
        <f>SUM(Terrebonne!N39+Terrebonne!N40+Terrebonne!N42)</f>
        <v>104977698</v>
      </c>
      <c r="W58" s="19">
        <f>Terrebonne!N43</f>
        <v>3119043</v>
      </c>
      <c r="X58" s="19">
        <f>SUM(Terrebonne!N38+Terrebonne!N41)</f>
        <v>38059137</v>
      </c>
      <c r="Y58" s="19">
        <v>0</v>
      </c>
      <c r="AB58" s="19">
        <v>0</v>
      </c>
      <c r="AC58" s="19">
        <v>0</v>
      </c>
      <c r="AE58" s="19">
        <f>Terrebonne!N46</f>
        <v>152634668</v>
      </c>
      <c r="AF58" s="19">
        <f t="shared" si="8"/>
        <v>152634668</v>
      </c>
      <c r="AG58" s="20" t="str">
        <f t="shared" si="15"/>
        <v>Yes</v>
      </c>
      <c r="AH58" s="19">
        <f>SUM(Terrebonne!N21+Terrebonne!N46)</f>
        <v>474476160</v>
      </c>
      <c r="AI58" s="19">
        <f t="shared" si="16"/>
        <v>474476160</v>
      </c>
      <c r="AJ58" s="18" t="str">
        <f t="shared" si="17"/>
        <v>Yes</v>
      </c>
    </row>
    <row r="59" spans="1:36">
      <c r="A59" s="18" t="s">
        <v>598</v>
      </c>
      <c r="B59" s="19">
        <f>Union!M8</f>
        <v>962888</v>
      </c>
      <c r="D59" s="19">
        <v>0</v>
      </c>
      <c r="E59" s="19">
        <f>Union!M29</f>
        <v>5021889</v>
      </c>
      <c r="F59" s="19">
        <f>Union!M28+Union!M30+Union!M31</f>
        <v>3571047</v>
      </c>
      <c r="G59" s="19">
        <f>Union!M32+Union!M34</f>
        <v>2186112</v>
      </c>
      <c r="I59" s="19">
        <f>Union!M36+Union!M37+Union!M39+Union!M38</f>
        <v>224930</v>
      </c>
      <c r="K59" s="19">
        <f>Union!M33</f>
        <v>261024</v>
      </c>
      <c r="O59" s="25">
        <f>Union!M43</f>
        <v>12227890</v>
      </c>
      <c r="P59" s="19">
        <f t="shared" ref="P59:P61" si="50">SUM(B59:N59)</f>
        <v>12227890</v>
      </c>
      <c r="Q59" s="20" t="str">
        <f t="shared" ref="Q59:Q61" si="51">IF(O59="","Blank",IF(O59=P59,"Yes","No"))</f>
        <v>Yes</v>
      </c>
      <c r="X59" s="19">
        <v>0</v>
      </c>
      <c r="Y59" s="19">
        <v>0</v>
      </c>
      <c r="AB59" s="19">
        <v>0</v>
      </c>
      <c r="AC59" s="19">
        <v>0</v>
      </c>
      <c r="AF59" s="19">
        <f t="shared" ref="AF59:AF61" si="52">SUM(R59:AD59)</f>
        <v>0</v>
      </c>
      <c r="AG59" s="20" t="str">
        <f t="shared" si="15"/>
        <v>Blank</v>
      </c>
      <c r="AH59" s="19">
        <f>Union!M43</f>
        <v>12227890</v>
      </c>
      <c r="AI59" s="19">
        <f t="shared" si="16"/>
        <v>12227890</v>
      </c>
      <c r="AJ59" s="18" t="str">
        <f t="shared" si="17"/>
        <v>Yes</v>
      </c>
    </row>
    <row r="60" spans="1:36">
      <c r="A60" s="18" t="s">
        <v>599</v>
      </c>
      <c r="B60" s="19">
        <f>Vermillion!M9</f>
        <v>2327396</v>
      </c>
      <c r="C60" s="19">
        <f>Vermillion!M10</f>
        <v>2956638</v>
      </c>
      <c r="D60" s="19">
        <v>0</v>
      </c>
      <c r="E60" s="19">
        <f>Vermillion!M24</f>
        <v>9038120</v>
      </c>
      <c r="J60" s="19">
        <f>Vermillion!M25</f>
        <v>4537346</v>
      </c>
      <c r="N60" s="19">
        <f>SUM(Vermillion!M27+Vermillion!M28)</f>
        <v>62944886</v>
      </c>
      <c r="O60" s="25">
        <f>Vermillion!M32</f>
        <v>81804386</v>
      </c>
      <c r="P60" s="19">
        <f t="shared" si="50"/>
        <v>81804386</v>
      </c>
      <c r="Q60" s="20" t="str">
        <f t="shared" si="51"/>
        <v>Yes</v>
      </c>
      <c r="X60" s="19">
        <v>0</v>
      </c>
      <c r="Y60" s="19">
        <v>0</v>
      </c>
      <c r="AB60" s="19">
        <v>0</v>
      </c>
      <c r="AG60" s="20" t="str">
        <f t="shared" si="15"/>
        <v>Blank</v>
      </c>
      <c r="AH60" s="19">
        <f>SUM(Vermillion!M32)</f>
        <v>81804386</v>
      </c>
      <c r="AI60" s="19">
        <f t="shared" si="16"/>
        <v>81804386</v>
      </c>
      <c r="AJ60" s="18" t="str">
        <f t="shared" si="17"/>
        <v>Yes</v>
      </c>
    </row>
    <row r="61" spans="1:36">
      <c r="A61" s="18" t="s">
        <v>600</v>
      </c>
      <c r="B61" s="19">
        <f>Vernon!C16</f>
        <v>1695977</v>
      </c>
      <c r="C61" s="19">
        <f>Vernon!D16</f>
        <v>7715076</v>
      </c>
      <c r="D61" s="19">
        <v>0</v>
      </c>
      <c r="E61" s="19">
        <f>SUM(Vernon!E16)</f>
        <v>6171031</v>
      </c>
      <c r="F61" s="19">
        <v>0</v>
      </c>
      <c r="G61" s="19">
        <f>Vernon!F16</f>
        <v>8673574</v>
      </c>
      <c r="I61" s="19">
        <f>Vernon!H16</f>
        <v>587324</v>
      </c>
      <c r="N61" s="19">
        <f>Vernon!G16</f>
        <v>28172702</v>
      </c>
      <c r="O61" s="25">
        <f>Vernon!I16</f>
        <v>53015684</v>
      </c>
      <c r="P61" s="19">
        <f t="shared" si="50"/>
        <v>53015684</v>
      </c>
      <c r="Q61" s="20" t="str">
        <f t="shared" si="51"/>
        <v>Yes</v>
      </c>
      <c r="X61" s="19">
        <v>0</v>
      </c>
      <c r="Y61" s="19">
        <v>0</v>
      </c>
      <c r="AB61" s="19">
        <v>0</v>
      </c>
      <c r="AC61" s="19">
        <v>0</v>
      </c>
      <c r="AF61" s="19">
        <f t="shared" si="52"/>
        <v>0</v>
      </c>
      <c r="AG61" s="20" t="str">
        <f t="shared" si="15"/>
        <v>Blank</v>
      </c>
      <c r="AH61" s="19">
        <f>Vernon!I16</f>
        <v>53015684</v>
      </c>
      <c r="AI61" s="19">
        <f t="shared" si="16"/>
        <v>53015684</v>
      </c>
      <c r="AJ61" s="18" t="str">
        <f t="shared" si="17"/>
        <v>Yes</v>
      </c>
    </row>
    <row r="62" spans="1:36">
      <c r="A62" s="18" t="s">
        <v>601</v>
      </c>
      <c r="B62" s="19">
        <f>Washington!M8</f>
        <v>2535169</v>
      </c>
      <c r="C62" s="19">
        <f>Washington!M9</f>
        <v>458085</v>
      </c>
      <c r="E62" s="19">
        <f>Washington!M21</f>
        <v>6113437</v>
      </c>
      <c r="F62" s="19">
        <v>0</v>
      </c>
      <c r="G62" s="19">
        <f>Washington!M22</f>
        <v>1051346</v>
      </c>
      <c r="H62" s="19">
        <f>SUM(Washington!M24+Washington!M25)</f>
        <v>11637307</v>
      </c>
      <c r="I62" s="19">
        <f>Washington!M23</f>
        <v>154</v>
      </c>
      <c r="L62" s="27">
        <f>Washington!M26</f>
        <v>17304784</v>
      </c>
      <c r="O62" s="25">
        <f>Washington!M29</f>
        <v>39100282</v>
      </c>
      <c r="P62" s="19">
        <f t="shared" ref="P62" si="53">SUM(B62:N62)</f>
        <v>39100282</v>
      </c>
      <c r="Q62" s="20" t="str">
        <f t="shared" ref="Q62:Q64" si="54">IF(O62="","Blank",IF(O62=P62,"Yes","No"))</f>
        <v>Yes</v>
      </c>
      <c r="X62" s="19">
        <v>0</v>
      </c>
      <c r="Y62" s="19">
        <v>0</v>
      </c>
      <c r="AB62" s="19">
        <v>0</v>
      </c>
      <c r="AC62" s="19">
        <v>0</v>
      </c>
      <c r="AF62" s="19">
        <f t="shared" ref="AF62:AF64" si="55">SUM(R62:AD62)</f>
        <v>0</v>
      </c>
      <c r="AG62" s="20" t="str">
        <f t="shared" si="15"/>
        <v>Blank</v>
      </c>
      <c r="AH62" s="19">
        <f>Washington!M29</f>
        <v>39100282</v>
      </c>
      <c r="AI62" s="19">
        <f t="shared" si="16"/>
        <v>39100282</v>
      </c>
      <c r="AJ62" s="18" t="str">
        <f t="shared" si="17"/>
        <v>Yes</v>
      </c>
    </row>
    <row r="63" spans="1:36">
      <c r="A63" s="18" t="s">
        <v>602</v>
      </c>
      <c r="B63" s="19">
        <f>Webster!M8</f>
        <v>1212782</v>
      </c>
      <c r="C63" s="19">
        <f>Webster!M9</f>
        <v>93735</v>
      </c>
      <c r="E63" s="19">
        <f>Webster!M20</f>
        <v>6634746</v>
      </c>
      <c r="F63" s="19">
        <v>0</v>
      </c>
      <c r="I63" s="19">
        <f>Webster!M23</f>
        <v>762981</v>
      </c>
      <c r="J63" s="19">
        <f>Webster!M22</f>
        <v>864434</v>
      </c>
      <c r="N63" s="19">
        <f>Webster!M21</f>
        <v>2185572</v>
      </c>
      <c r="O63" s="25">
        <f>Webster!M27</f>
        <v>11754250</v>
      </c>
      <c r="P63" s="19">
        <f t="shared" ref="P63:P64" si="56">SUM(B63:N63)</f>
        <v>11754250</v>
      </c>
      <c r="Q63" s="20" t="str">
        <f t="shared" si="54"/>
        <v>Yes</v>
      </c>
      <c r="X63" s="19">
        <v>0</v>
      </c>
      <c r="Y63" s="19">
        <v>0</v>
      </c>
      <c r="AB63" s="19">
        <v>0</v>
      </c>
      <c r="AC63" s="19">
        <v>0</v>
      </c>
      <c r="AF63" s="19">
        <f t="shared" si="55"/>
        <v>0</v>
      </c>
      <c r="AG63" s="20" t="str">
        <f t="shared" si="15"/>
        <v>Blank</v>
      </c>
      <c r="AH63" s="19">
        <f>Webster!M27</f>
        <v>11754250</v>
      </c>
      <c r="AI63" s="19">
        <f t="shared" si="16"/>
        <v>11754250</v>
      </c>
      <c r="AJ63" s="18" t="str">
        <f t="shared" si="17"/>
        <v>Yes</v>
      </c>
    </row>
    <row r="64" spans="1:36">
      <c r="A64" s="18" t="s">
        <v>603</v>
      </c>
      <c r="B64" s="19">
        <f>'West Baton Rouge'!M8</f>
        <v>1760826</v>
      </c>
      <c r="C64" s="19">
        <f>'West Baton Rouge'!M9</f>
        <v>1088481</v>
      </c>
      <c r="E64" s="19">
        <f>'West Baton Rouge'!M19</f>
        <v>25017888</v>
      </c>
      <c r="F64" s="19">
        <v>0</v>
      </c>
      <c r="G64" s="19">
        <f>'West Baton Rouge'!M20</f>
        <v>3194430</v>
      </c>
      <c r="N64" s="19">
        <f>'West Baton Rouge'!M21</f>
        <v>30690042</v>
      </c>
      <c r="O64" s="25">
        <f>'West Baton Rouge'!M25</f>
        <v>61751667</v>
      </c>
      <c r="P64" s="19">
        <f t="shared" si="56"/>
        <v>61751667</v>
      </c>
      <c r="Q64" s="20" t="str">
        <f t="shared" si="54"/>
        <v>Yes</v>
      </c>
      <c r="X64" s="19">
        <v>0</v>
      </c>
      <c r="Y64" s="19">
        <v>0</v>
      </c>
      <c r="AB64" s="19">
        <v>0</v>
      </c>
      <c r="AC64" s="19">
        <v>0</v>
      </c>
      <c r="AF64" s="19">
        <f t="shared" si="55"/>
        <v>0</v>
      </c>
      <c r="AG64" s="20" t="str">
        <f t="shared" ref="AG64" si="57">IF(AE64="","Blank",IF(AE64=AF64,"Yes","No"))</f>
        <v>Blank</v>
      </c>
      <c r="AH64" s="19">
        <f>O64</f>
        <v>61751667</v>
      </c>
      <c r="AI64" s="19">
        <f t="shared" si="16"/>
        <v>61751667</v>
      </c>
      <c r="AJ64" s="18" t="str">
        <f t="shared" si="17"/>
        <v>Yes</v>
      </c>
    </row>
    <row r="65" spans="1:36">
      <c r="A65" s="18" t="s">
        <v>604</v>
      </c>
      <c r="B65" s="19">
        <f>'West Carroll'!N8</f>
        <v>936927</v>
      </c>
      <c r="C65" s="19">
        <f>'West Carroll'!N10</f>
        <v>434063</v>
      </c>
      <c r="D65" s="19">
        <f>'West Carroll'!N9</f>
        <v>89589</v>
      </c>
      <c r="E65" s="19">
        <f>'West Carroll'!N29</f>
        <v>3637100</v>
      </c>
      <c r="F65" s="19">
        <f>'West Carroll'!N30</f>
        <v>1907586</v>
      </c>
      <c r="G65" s="19">
        <f>'West Carroll'!N31+'West Carroll'!N32+'West Carroll'!N33</f>
        <v>826957</v>
      </c>
      <c r="K65" s="19">
        <f>'West Carroll'!N34</f>
        <v>165887</v>
      </c>
      <c r="L65" s="27"/>
      <c r="N65" s="19">
        <f>'West Carroll'!N27+'West Carroll'!N28</f>
        <v>6158674</v>
      </c>
      <c r="O65" s="25">
        <f>'West Carroll'!N39</f>
        <v>14156783</v>
      </c>
      <c r="P65" s="19">
        <f t="shared" ref="P65:P66" si="58">SUM(B65:N65)</f>
        <v>14156783</v>
      </c>
      <c r="Q65" s="20" t="str">
        <f t="shared" ref="Q65:Q67" si="59">IF(O65="","Blank",IF(O65=P65,"Yes","No"))</f>
        <v>Yes</v>
      </c>
      <c r="Y65" s="19">
        <v>0</v>
      </c>
      <c r="AB65" s="19">
        <v>0</v>
      </c>
      <c r="AC65" s="19">
        <v>0</v>
      </c>
      <c r="AF65" s="19">
        <f t="shared" ref="AF65:AF67" si="60">SUM(R65:AD65)</f>
        <v>0</v>
      </c>
      <c r="AG65" s="20" t="str">
        <f t="shared" ref="AG65:AG67" si="61">IF(AE65="","Blank",IF(AE65=AF65,"Yes","No"))</f>
        <v>Blank</v>
      </c>
      <c r="AH65" s="19">
        <f>'West Carroll'!N39</f>
        <v>14156783</v>
      </c>
      <c r="AI65" s="19">
        <f t="shared" si="16"/>
        <v>14156783</v>
      </c>
      <c r="AJ65" s="18" t="str">
        <f t="shared" si="17"/>
        <v>Yes</v>
      </c>
    </row>
    <row r="66" spans="1:36">
      <c r="A66" s="18" t="s">
        <v>605</v>
      </c>
      <c r="B66" s="19">
        <f>'West Feliciana'!M8</f>
        <v>1388267</v>
      </c>
      <c r="C66" s="19">
        <f>'West Feliciana'!M9</f>
        <v>2532063</v>
      </c>
      <c r="D66" s="19">
        <v>0</v>
      </c>
      <c r="E66" s="19">
        <f>'West Feliciana'!M22</f>
        <v>10071191</v>
      </c>
      <c r="F66" s="19">
        <v>0</v>
      </c>
      <c r="G66" s="19">
        <f>'West Feliciana'!M23</f>
        <v>431755</v>
      </c>
      <c r="I66" s="19">
        <f>'West Feliciana'!M25</f>
        <v>58731</v>
      </c>
      <c r="J66" s="19">
        <f>'West Feliciana'!M24</f>
        <v>19150</v>
      </c>
      <c r="K66" s="19">
        <f>'West Feliciana'!M27</f>
        <v>108358</v>
      </c>
      <c r="L66" s="29"/>
      <c r="N66" s="19">
        <f>'West Feliciana'!M26</f>
        <v>3080660</v>
      </c>
      <c r="O66" s="25">
        <f>'West Feliciana'!M32</f>
        <v>17690175</v>
      </c>
      <c r="P66" s="19">
        <f t="shared" si="58"/>
        <v>17690175</v>
      </c>
      <c r="Q66" s="20" t="str">
        <f t="shared" si="59"/>
        <v>Yes</v>
      </c>
      <c r="W66" s="19">
        <f>'West Feliciana'!M45</f>
        <v>107882</v>
      </c>
      <c r="X66" s="19">
        <f>'West Feliciana'!M44</f>
        <v>9644780</v>
      </c>
      <c r="Y66" s="19">
        <v>0</v>
      </c>
      <c r="AA66" s="19">
        <f>'West Feliciana'!M46</f>
        <v>53011</v>
      </c>
      <c r="AB66" s="19">
        <v>0</v>
      </c>
      <c r="AC66" s="19">
        <v>0</v>
      </c>
      <c r="AE66" s="19">
        <f>'West Feliciana'!M51</f>
        <v>9805673</v>
      </c>
      <c r="AF66" s="19">
        <f t="shared" si="60"/>
        <v>9805673</v>
      </c>
      <c r="AG66" s="20" t="str">
        <f t="shared" si="61"/>
        <v>Yes</v>
      </c>
      <c r="AH66" s="19">
        <f>'West Feliciana'!M32+'West Feliciana'!M51</f>
        <v>27495848</v>
      </c>
      <c r="AI66" s="19">
        <f t="shared" ref="AI66:AI67" si="62">O66+AE66</f>
        <v>27495848</v>
      </c>
      <c r="AJ66" s="18" t="str">
        <f t="shared" si="17"/>
        <v>Yes</v>
      </c>
    </row>
    <row r="67" spans="1:36">
      <c r="A67" s="18" t="s">
        <v>606</v>
      </c>
      <c r="B67" s="19">
        <f>Winn!M10</f>
        <v>223675</v>
      </c>
      <c r="C67" s="19">
        <f>Winn!M16</f>
        <v>-0.75999999977648258</v>
      </c>
      <c r="D67" s="19">
        <v>0</v>
      </c>
      <c r="E67" s="19">
        <f>Winn!M25</f>
        <v>3516302</v>
      </c>
      <c r="F67" s="19">
        <v>0</v>
      </c>
      <c r="G67" s="19">
        <f>Winn!M26</f>
        <v>611127</v>
      </c>
      <c r="I67" s="19">
        <f>Winn!M29</f>
        <v>-6939</v>
      </c>
      <c r="J67" s="19">
        <f>Winn!M28</f>
        <v>69</v>
      </c>
      <c r="K67" s="19">
        <f>Winn!M27</f>
        <v>20708</v>
      </c>
      <c r="N67" s="19">
        <f>Winn!M33</f>
        <v>1529469</v>
      </c>
      <c r="O67" s="25">
        <f>Winn!M37</f>
        <v>5894410.2400000002</v>
      </c>
      <c r="P67" s="19">
        <f t="shared" ref="P67" si="63">SUM(B67:N67)</f>
        <v>5894410.2400000002</v>
      </c>
      <c r="Q67" s="20" t="str">
        <f t="shared" si="59"/>
        <v>Yes</v>
      </c>
      <c r="X67" s="19">
        <v>0</v>
      </c>
      <c r="Y67" s="19">
        <v>0</v>
      </c>
      <c r="AB67" s="19">
        <v>0</v>
      </c>
      <c r="AC67" s="19">
        <v>0</v>
      </c>
      <c r="AF67" s="19">
        <f t="shared" si="60"/>
        <v>0</v>
      </c>
      <c r="AG67" s="20" t="str">
        <f t="shared" si="61"/>
        <v>Blank</v>
      </c>
      <c r="AH67" s="19">
        <f>Winn!M37</f>
        <v>5894410.2400000002</v>
      </c>
      <c r="AI67" s="19">
        <f t="shared" si="62"/>
        <v>5894410.2400000002</v>
      </c>
      <c r="AJ67" s="18" t="str">
        <f t="shared" ref="AJ67" si="64">IF(AH67="","Blank",IF(AH67=AI67,"Yes","No"))</f>
        <v>Yes</v>
      </c>
    </row>
    <row r="68" spans="1:36">
      <c r="A68" s="19"/>
      <c r="Q68" s="20"/>
      <c r="AG68" s="20"/>
      <c r="AJ68" s="18"/>
    </row>
    <row r="69" spans="1:36">
      <c r="A69" s="19"/>
      <c r="Q69" s="20"/>
      <c r="AG69" s="20"/>
      <c r="AJ69" s="18"/>
    </row>
    <row r="70" spans="1:36">
      <c r="A70" s="19"/>
      <c r="Q70" s="20"/>
      <c r="AG70" s="20"/>
      <c r="AJ70" s="18"/>
    </row>
    <row r="71" spans="1:36">
      <c r="A71" s="19"/>
      <c r="Q71" s="20"/>
      <c r="AG71" s="20"/>
      <c r="AJ71" s="18"/>
    </row>
    <row r="72" spans="1:36">
      <c r="A72" s="19"/>
      <c r="Q72" s="20"/>
      <c r="AG72" s="20"/>
      <c r="AJ72" s="18"/>
    </row>
    <row r="73" spans="1:36">
      <c r="A73" s="19"/>
      <c r="Q73" s="20"/>
      <c r="AG73" s="20"/>
      <c r="AJ73" s="18"/>
    </row>
    <row r="74" spans="1:36">
      <c r="A74" s="19"/>
      <c r="Q74" s="20"/>
      <c r="AG74" s="20"/>
      <c r="AJ74" s="18"/>
    </row>
    <row r="75" spans="1:36">
      <c r="A75" s="19"/>
      <c r="Q75" s="20"/>
      <c r="AG75" s="20"/>
      <c r="AJ75" s="18"/>
    </row>
    <row r="76" spans="1:36">
      <c r="A76" s="19"/>
      <c r="Q76" s="20"/>
      <c r="AG76" s="20"/>
      <c r="AJ76" s="18"/>
    </row>
    <row r="77" spans="1:36">
      <c r="A77" s="19"/>
      <c r="Q77" s="20"/>
      <c r="AG77" s="20"/>
      <c r="AJ77" s="18"/>
    </row>
    <row r="78" spans="1:36">
      <c r="A78" s="19"/>
      <c r="Q78" s="20"/>
      <c r="AG78" s="20"/>
      <c r="AJ78" s="18"/>
    </row>
    <row r="79" spans="1:36">
      <c r="A79" s="19"/>
      <c r="Q79" s="20"/>
      <c r="AG79" s="20"/>
      <c r="AJ79" s="18"/>
    </row>
    <row r="80" spans="1:36">
      <c r="A80" s="19"/>
      <c r="Q80" s="20"/>
      <c r="AG80" s="20"/>
      <c r="AJ80" s="18"/>
    </row>
    <row r="81" spans="1:36">
      <c r="A81" s="19"/>
      <c r="Q81" s="20"/>
      <c r="AG81" s="20"/>
      <c r="AJ81" s="18"/>
    </row>
    <row r="82" spans="1:36">
      <c r="A82" s="19"/>
      <c r="Q82" s="20"/>
      <c r="AG82" s="20"/>
      <c r="AJ82" s="18"/>
    </row>
    <row r="83" spans="1:36">
      <c r="A83" s="19"/>
      <c r="Q83" s="20"/>
      <c r="AG83" s="20"/>
      <c r="AJ83" s="18"/>
    </row>
    <row r="84" spans="1:36">
      <c r="A84" s="19"/>
      <c r="Q84" s="20"/>
      <c r="AG84" s="20"/>
      <c r="AJ84" s="18"/>
    </row>
    <row r="85" spans="1:36">
      <c r="A85" s="19"/>
      <c r="Q85" s="20"/>
      <c r="AG85" s="20"/>
      <c r="AJ85" s="18"/>
    </row>
    <row r="86" spans="1:36">
      <c r="A86" s="19"/>
      <c r="Q86" s="20"/>
      <c r="AG86" s="20"/>
      <c r="AJ86" s="18"/>
    </row>
    <row r="87" spans="1:36">
      <c r="A87" s="19"/>
      <c r="Q87" s="20"/>
      <c r="AG87" s="20"/>
      <c r="AJ87" s="18"/>
    </row>
    <row r="88" spans="1:36">
      <c r="A88" s="19"/>
      <c r="Q88" s="20"/>
      <c r="AG88" s="20"/>
      <c r="AJ88" s="18"/>
    </row>
    <row r="89" spans="1:36">
      <c r="A89" s="19"/>
      <c r="Q89" s="20"/>
      <c r="AG89" s="20"/>
      <c r="AJ89" s="18"/>
    </row>
    <row r="90" spans="1:36">
      <c r="A90" s="19"/>
      <c r="Q90" s="20"/>
      <c r="AG90" s="20"/>
      <c r="AJ90" s="18"/>
    </row>
    <row r="91" spans="1:36">
      <c r="A91" s="19"/>
      <c r="Q91" s="20"/>
      <c r="AG91" s="20"/>
      <c r="AJ91" s="18"/>
    </row>
    <row r="92" spans="1:36">
      <c r="A92" s="19"/>
      <c r="Q92" s="20"/>
      <c r="AG92" s="20"/>
      <c r="AJ92" s="18"/>
    </row>
    <row r="93" spans="1:36">
      <c r="A93" s="19"/>
      <c r="Q93" s="20"/>
      <c r="AG93" s="20"/>
      <c r="AJ93" s="18"/>
    </row>
    <row r="94" spans="1:36">
      <c r="A94" s="19"/>
      <c r="Q94" s="20"/>
      <c r="AG94" s="20"/>
      <c r="AJ94" s="18"/>
    </row>
    <row r="95" spans="1:36">
      <c r="A95" s="19"/>
      <c r="Q95" s="20"/>
      <c r="AG95" s="20"/>
      <c r="AJ95" s="18"/>
    </row>
    <row r="96" spans="1:36">
      <c r="A96" s="19"/>
      <c r="Q96" s="20"/>
      <c r="AG96" s="20"/>
      <c r="AJ96" s="18"/>
    </row>
    <row r="97" spans="1:36">
      <c r="A97" s="19"/>
      <c r="Q97" s="20"/>
      <c r="AG97" s="20"/>
      <c r="AJ97" s="18"/>
    </row>
    <row r="98" spans="1:36">
      <c r="A98" s="19"/>
      <c r="Q98" s="20"/>
      <c r="AG98" s="20"/>
      <c r="AJ98" s="18"/>
    </row>
    <row r="99" spans="1:36">
      <c r="A99" s="19"/>
      <c r="Q99" s="20"/>
      <c r="AG99" s="20"/>
      <c r="AJ99" s="18"/>
    </row>
    <row r="100" spans="1:36">
      <c r="A100" s="19"/>
      <c r="Q100" s="20"/>
      <c r="AG100" s="20"/>
      <c r="AJ100" s="18"/>
    </row>
    <row r="101" spans="1:36">
      <c r="A101" s="19"/>
      <c r="Q101" s="20"/>
      <c r="AG101" s="20"/>
      <c r="AJ101" s="18"/>
    </row>
    <row r="102" spans="1:36">
      <c r="A102" s="19"/>
      <c r="Q102" s="20"/>
      <c r="AG102" s="20"/>
      <c r="AJ102" s="18"/>
    </row>
    <row r="103" spans="1:36">
      <c r="A103" s="19"/>
      <c r="Q103" s="20"/>
      <c r="AG103" s="20"/>
      <c r="AJ103" s="18"/>
    </row>
    <row r="104" spans="1:36">
      <c r="A104" s="19"/>
      <c r="Q104" s="20"/>
      <c r="AG104" s="20"/>
      <c r="AJ104" s="18"/>
    </row>
    <row r="105" spans="1:36">
      <c r="A105" s="19"/>
      <c r="Q105" s="20"/>
      <c r="AG105" s="20"/>
      <c r="AJ105" s="18"/>
    </row>
    <row r="106" spans="1:36">
      <c r="A106" s="19"/>
      <c r="Q106" s="20"/>
      <c r="AG106" s="20"/>
      <c r="AJ106" s="18"/>
    </row>
    <row r="107" spans="1:36">
      <c r="A107" s="19"/>
      <c r="Q107" s="20"/>
      <c r="AG107" s="20"/>
      <c r="AJ107" s="18"/>
    </row>
    <row r="108" spans="1:36">
      <c r="A108" s="19"/>
      <c r="Q108" s="20"/>
      <c r="AG108" s="20"/>
      <c r="AJ108" s="18"/>
    </row>
    <row r="109" spans="1:36">
      <c r="A109" s="19"/>
      <c r="Q109" s="20"/>
      <c r="AG109" s="20"/>
      <c r="AJ109" s="18"/>
    </row>
    <row r="110" spans="1:36">
      <c r="A110" s="19"/>
      <c r="Q110" s="20"/>
      <c r="AG110" s="20"/>
      <c r="AJ110" s="18"/>
    </row>
    <row r="111" spans="1:36">
      <c r="A111" s="19"/>
      <c r="Q111" s="20"/>
      <c r="AG111" s="20"/>
      <c r="AJ111" s="18"/>
    </row>
    <row r="112" spans="1:36">
      <c r="A112" s="19"/>
      <c r="Q112" s="20"/>
      <c r="AG112" s="20"/>
      <c r="AJ112" s="18"/>
    </row>
    <row r="113" spans="1:36">
      <c r="A113" s="19"/>
      <c r="Q113" s="20"/>
      <c r="AG113" s="20"/>
      <c r="AJ113" s="18"/>
    </row>
    <row r="114" spans="1:36">
      <c r="A114" s="19"/>
      <c r="AG114" s="20"/>
      <c r="AJ114" s="18"/>
    </row>
    <row r="115" spans="1:36">
      <c r="A115" s="19"/>
      <c r="AG115" s="20"/>
      <c r="AJ115" s="18"/>
    </row>
  </sheetData>
  <pageMargins left="0.7" right="0.7" top="0.75" bottom="0.75" header="0.3" footer="0.3"/>
  <pageSetup orientation="portrait" horizontalDpi="1200" verticalDpi="1200"/>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346E7C3A01C2A47A437981BA5A3419C" ma:contentTypeVersion="11" ma:contentTypeDescription="Create a new document." ma:contentTypeScope="" ma:versionID="d554655ad64208c1d6e2effa97f27dc4">
  <xsd:schema xmlns:xsd="http://www.w3.org/2001/XMLSchema" xmlns:xs="http://www.w3.org/2001/XMLSchema" xmlns:p="http://schemas.microsoft.com/office/2006/metadata/properties" xmlns:ns2="a04dc2bb-3752-482a-bef8-a3d7520562f3" xmlns:ns3="07258940-cd77-4b7c-bf02-282e7e1fade8" xmlns:ns4="a09b295e-4c54-4020-9012-76e6da7e7cd2" targetNamespace="http://schemas.microsoft.com/office/2006/metadata/properties" ma:root="true" ma:fieldsID="df42f594409b0399f47f761bc5024e7c" ns2:_="" ns3:_="" ns4:_="">
    <xsd:import namespace="a04dc2bb-3752-482a-bef8-a3d7520562f3"/>
    <xsd:import namespace="07258940-cd77-4b7c-bf02-282e7e1fade8"/>
    <xsd:import namespace="a09b295e-4c54-4020-9012-76e6da7e7cd2"/>
    <xsd:element name="properties">
      <xsd:complexType>
        <xsd:sequence>
          <xsd:element name="documentManagement">
            <xsd:complexType>
              <xsd:all>
                <xsd:element ref="ns2:SharedWithUsers" minOccurs="0"/>
                <xsd:element ref="ns2:SharingHintHash" minOccurs="0"/>
                <xsd:element ref="ns2:SharedWithDetails" minOccurs="0"/>
                <xsd:element ref="ns3:LastSharedByUser" minOccurs="0"/>
                <xsd:element ref="ns3:LastSharedByTime" minOccurs="0"/>
                <xsd:element ref="ns4:MediaServiceMetadata" minOccurs="0"/>
                <xsd:element ref="ns4:MediaServiceFastMetadata" minOccurs="0"/>
                <xsd:element ref="ns4:MediaServiceEventHashCode" minOccurs="0"/>
                <xsd:element ref="ns4:MediaServiceGenerationTime" minOccurs="0"/>
                <xsd:element ref="ns4:MediaServiceObjectDetectorVersion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04dc2bb-3752-482a-bef8-a3d7520562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9" nillable="true" ma:displayName="Sharing Hint Hash" ma:internalName="SharingHintHash" ma:readOnly="true">
      <xsd:simpleType>
        <xsd:restriction base="dms:Text"/>
      </xsd:simpleType>
    </xsd:element>
    <xsd:element name="SharedWithDetails" ma:index="10"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7258940-cd77-4b7c-bf02-282e7e1fade8" elementFormDefault="qualified">
    <xsd:import namespace="http://schemas.microsoft.com/office/2006/documentManagement/types"/>
    <xsd:import namespace="http://schemas.microsoft.com/office/infopath/2007/PartnerControls"/>
    <xsd:element name="LastSharedByUser" ma:index="11" nillable="true" ma:displayName="Last Shared By User" ma:description="" ma:internalName="LastSharedByUser" ma:readOnly="true">
      <xsd:simpleType>
        <xsd:restriction base="dms:Note">
          <xsd:maxLength value="255"/>
        </xsd:restriction>
      </xsd:simpleType>
    </xsd:element>
    <xsd:element name="LastSharedByTime" ma:index="12"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a09b295e-4c54-4020-9012-76e6da7e7cd2" elementFormDefault="qualified">
    <xsd:import namespace="http://schemas.microsoft.com/office/2006/documentManagement/types"/>
    <xsd:import namespace="http://schemas.microsoft.com/office/infopath/2007/PartnerControls"/>
    <xsd:element name="MediaServiceMetadata" ma:index="13" nillable="true" ma:displayName="MediaServiceMetadata" ma:description="" ma:hidden="true" ma:internalName="MediaServiceMetadata" ma:readOnly="true">
      <xsd:simpleType>
        <xsd:restriction base="dms:Note"/>
      </xsd:simpleType>
    </xsd:element>
    <xsd:element name="MediaServiceFastMetadata" ma:index="14" nillable="true" ma:displayName="MediaServiceFastMetadata" ma:description="" ma:hidden="true" ma:internalName="MediaServiceFastMetadata" ma:readOnly="true">
      <xsd:simpleType>
        <xsd:restriction base="dms:Note"/>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a04dc2bb-3752-482a-bef8-a3d7520562f3">
      <UserInfo>
        <DisplayName/>
        <AccountId xsi:nil="true"/>
        <AccountType/>
      </UserInfo>
    </SharedWithUsers>
  </documentManagement>
</p:properties>
</file>

<file path=customXml/itemProps1.xml><?xml version="1.0" encoding="utf-8"?>
<ds:datastoreItem xmlns:ds="http://schemas.openxmlformats.org/officeDocument/2006/customXml" ds:itemID="{8B4DFE40-C152-4DC2-B3D1-37015A25319C}"/>
</file>

<file path=customXml/itemProps2.xml><?xml version="1.0" encoding="utf-8"?>
<ds:datastoreItem xmlns:ds="http://schemas.openxmlformats.org/officeDocument/2006/customXml" ds:itemID="{7B4E17FB-BFA3-477C-A491-55DFFF5D0726}"/>
</file>

<file path=customXml/itemProps3.xml><?xml version="1.0" encoding="utf-8"?>
<ds:datastoreItem xmlns:ds="http://schemas.openxmlformats.org/officeDocument/2006/customXml" ds:itemID="{711A811D-78F8-4A87-874C-4E3A1E50352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asteib2</dc:creator>
  <cp:keywords/>
  <dc:description/>
  <cp:lastModifiedBy>Luftig, Valerio</cp:lastModifiedBy>
  <cp:revision/>
  <dcterms:created xsi:type="dcterms:W3CDTF">2013-06-13T17:51:59Z</dcterms:created>
  <dcterms:modified xsi:type="dcterms:W3CDTF">2025-06-17T18:23:03Z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0x0101009346E7C3A01C2A47A437981BA5A3419C</vt:lpwstr>
  </property>
</Properties>
</file>